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ortholitevietnam-my.sharepoint.com/personal/lam_dv2_ortholite_vn/Documents/PROJECT LÂM/DailyFoamingReport/"/>
    </mc:Choice>
  </mc:AlternateContent>
  <xr:revisionPtr revIDLastSave="114" documentId="8_{C0F6C630-9010-4F6C-847B-CD1179B82015}" xr6:coauthVersionLast="47" xr6:coauthVersionMax="47" xr10:uidLastSave="{A848208F-1654-4CE9-AD70-750F931C8C8D}"/>
  <bookViews>
    <workbookView xWindow="-110" yWindow="-110" windowWidth="19420" windowHeight="11500" xr2:uid="{7B15CE19-8BC0-404E-A856-815EB17D3853}"/>
  </bookViews>
  <sheets>
    <sheet name="BCC Tổng 06.2026 G" sheetId="6" r:id="rId1"/>
    <sheet name="phát sinh OT" sheetId="5" state="hidden" r:id="rId2"/>
    <sheet name="Total vượt OT" sheetId="4" state="hidden" r:id="rId3"/>
    <sheet name="Detail 2026" sheetId="2" state="hidden" r:id="rId4"/>
  </sheets>
  <externalReferences>
    <externalReference r:id="rId5"/>
    <externalReference r:id="rId6"/>
    <externalReference r:id="rId7"/>
    <externalReference r:id="rId8"/>
    <externalReference r:id="rId9"/>
  </externalReferences>
  <definedNames>
    <definedName name="_xlnm._FilterDatabase" localSheetId="0" hidden="1">'BCC Tổng 06.2026 G'!$A$36:$X$157</definedName>
    <definedName name="_xlnm._FilterDatabase" localSheetId="3" hidden="1">'Detail 2026'!$A$3:$BG$122</definedName>
    <definedName name="BenhDaiNgay">#REF!</definedName>
    <definedName name="Diachi">#REF!</definedName>
    <definedName name="Diachicutru">#REF!</definedName>
    <definedName name="dienthoai">#REF!</definedName>
    <definedName name="DMNV">OFFSET(INDIRECT(ADDRESS(3,2,1,1,"DMNV")),0,0,COUNTA(#REF!),38)</definedName>
    <definedName name="Giamdoc">#REF!</definedName>
    <definedName name="Manhanvien">OFFSET(INDIRECT(ADDRESS(3,2,1,1,"DMNV")),0,0,COUNTA(#REF!),1)</definedName>
    <definedName name="masothue">#REF!</definedName>
    <definedName name="Nam">#REF!</definedName>
    <definedName name="Ngaysinh">#REF!</definedName>
    <definedName name="NhomHuong">#REF!</definedName>
    <definedName name="SCMT">#REF!</definedName>
    <definedName name="Slicer_BỘ_PHẬN_Section">#N/A</definedName>
    <definedName name="ten_tinh">#REF!</definedName>
    <definedName name="Tendoanhnghiep">#REF!</definedName>
    <definedName name="Tinh">#REF!</definedName>
    <definedName name="TuyenBenhVien">#REF!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4" i="6" l="1"/>
  <c r="R154" i="6" s="1"/>
  <c r="I155" i="6"/>
  <c r="J155" i="6" s="1"/>
  <c r="I156" i="6"/>
  <c r="J156" i="6" s="1"/>
  <c r="I157" i="6"/>
  <c r="J157" i="6" s="1"/>
  <c r="I77" i="6"/>
  <c r="Q157" i="6" l="1"/>
  <c r="R157" i="6" s="1"/>
  <c r="M157" i="6"/>
  <c r="N157" i="6" s="1"/>
  <c r="Q156" i="6"/>
  <c r="R156" i="6" s="1"/>
  <c r="M156" i="6"/>
  <c r="N156" i="6" s="1"/>
  <c r="Q155" i="6"/>
  <c r="R155" i="6" s="1"/>
  <c r="M155" i="6"/>
  <c r="N155" i="6" s="1"/>
  <c r="Q153" i="6"/>
  <c r="R153" i="6" s="1"/>
  <c r="T154" i="6"/>
  <c r="S154" i="6"/>
  <c r="L155" i="6"/>
  <c r="K156" i="6"/>
  <c r="K155" i="6"/>
  <c r="L157" i="6"/>
  <c r="L156" i="6"/>
  <c r="K157" i="6"/>
  <c r="O155" i="6" l="1"/>
  <c r="P155" i="6"/>
  <c r="O156" i="6"/>
  <c r="O157" i="6"/>
  <c r="P157" i="6"/>
  <c r="P156" i="6"/>
  <c r="S156" i="6"/>
  <c r="S157" i="6"/>
  <c r="T157" i="6"/>
  <c r="T153" i="6"/>
  <c r="T155" i="6"/>
  <c r="T156" i="6"/>
  <c r="S153" i="6"/>
  <c r="S155" i="6"/>
  <c r="B45" i="6" l="1"/>
  <c r="B124" i="6" l="1"/>
  <c r="B125" i="6" s="1"/>
  <c r="U141" i="6" l="1"/>
  <c r="U60" i="6"/>
  <c r="U58" i="6"/>
  <c r="U137" i="6"/>
  <c r="U82" i="6"/>
  <c r="U145" i="6"/>
  <c r="U140" i="6"/>
  <c r="U57" i="6"/>
  <c r="U143" i="6"/>
  <c r="U68" i="6"/>
  <c r="U67" i="6"/>
  <c r="U136" i="6"/>
  <c r="U128" i="6"/>
  <c r="U127" i="6"/>
  <c r="U139" i="6"/>
  <c r="U125" i="6"/>
  <c r="U124" i="6"/>
  <c r="U123" i="6"/>
  <c r="U122" i="6"/>
  <c r="U71" i="6"/>
  <c r="U120" i="6"/>
  <c r="U119" i="6"/>
  <c r="U118" i="6"/>
  <c r="U117" i="6"/>
  <c r="U116" i="6"/>
  <c r="U115" i="6"/>
  <c r="U134" i="6"/>
  <c r="U138" i="6"/>
  <c r="U59" i="6"/>
  <c r="U121" i="6"/>
  <c r="U110" i="6"/>
  <c r="U109" i="6"/>
  <c r="U108" i="6"/>
  <c r="U107" i="6"/>
  <c r="U114" i="6"/>
  <c r="U133" i="6"/>
  <c r="U126" i="6"/>
  <c r="U103" i="6"/>
  <c r="U66" i="6"/>
  <c r="U101" i="6"/>
  <c r="U100" i="6"/>
  <c r="U99" i="6"/>
  <c r="U98" i="6"/>
  <c r="U97" i="6"/>
  <c r="U96" i="6"/>
  <c r="U95" i="6"/>
  <c r="U94" i="6"/>
  <c r="U92" i="6"/>
  <c r="U91" i="6"/>
  <c r="U90" i="6"/>
  <c r="U89" i="6"/>
  <c r="U88" i="6"/>
  <c r="U87" i="6"/>
  <c r="U86" i="6"/>
  <c r="U64" i="6"/>
  <c r="U84" i="6"/>
  <c r="U56" i="6"/>
  <c r="U135" i="6"/>
  <c r="U81" i="6"/>
  <c r="U55" i="6"/>
  <c r="U79" i="6"/>
  <c r="U111" i="6"/>
  <c r="U77" i="6"/>
  <c r="U76" i="6"/>
  <c r="U113" i="6"/>
  <c r="U74" i="6"/>
  <c r="U73" i="6"/>
  <c r="U52" i="6"/>
  <c r="U46" i="6"/>
  <c r="U70" i="6"/>
  <c r="U69" i="6"/>
  <c r="U132" i="6"/>
  <c r="U131" i="6"/>
  <c r="U44" i="6"/>
  <c r="U105" i="6"/>
  <c r="U63" i="6"/>
  <c r="U62" i="6"/>
  <c r="U61" i="6"/>
  <c r="U104" i="6"/>
  <c r="U130" i="6"/>
  <c r="U83" i="6"/>
  <c r="U75" i="6"/>
  <c r="U48" i="6"/>
  <c r="U106" i="6"/>
  <c r="U54" i="6"/>
  <c r="U53" i="6"/>
  <c r="U72" i="6"/>
  <c r="U51" i="6"/>
  <c r="U50" i="6"/>
  <c r="U49" i="6"/>
  <c r="U65" i="6"/>
  <c r="U37" i="6"/>
  <c r="U47" i="6"/>
  <c r="U102" i="6"/>
  <c r="U45" i="6"/>
  <c r="U43" i="6"/>
  <c r="U85" i="6"/>
  <c r="U80" i="6"/>
  <c r="U42" i="6"/>
  <c r="U41" i="6"/>
  <c r="U40" i="6"/>
  <c r="U39" i="6"/>
  <c r="U38" i="6"/>
  <c r="U129" i="6"/>
  <c r="A5" i="2" l="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N116" i="2"/>
  <c r="O116" i="2"/>
  <c r="P116" i="2" s="1"/>
  <c r="A5" i="4"/>
  <c r="A6" i="4" s="1"/>
  <c r="A7" i="4" s="1"/>
  <c r="A8" i="4" s="1"/>
  <c r="A9" i="4" s="1"/>
  <c r="A10" i="4" s="1"/>
  <c r="A11" i="4" s="1"/>
  <c r="A12" i="4" s="1"/>
  <c r="A13" i="4" s="1"/>
  <c r="A14" i="4" s="1"/>
  <c r="A15" i="4" s="1"/>
  <c r="A16" i="4" s="1"/>
  <c r="A17" i="4" s="1"/>
  <c r="A18" i="4" s="1"/>
  <c r="A19" i="4" s="1"/>
  <c r="A20" i="4" s="1"/>
  <c r="AV116" i="2" l="1"/>
  <c r="AV115" i="2"/>
  <c r="O115" i="2"/>
  <c r="P115" i="2" s="1"/>
  <c r="N115" i="2"/>
  <c r="AV114" i="2"/>
  <c r="O114" i="2"/>
  <c r="N114" i="2"/>
  <c r="AV113" i="2"/>
  <c r="O113" i="2"/>
  <c r="N113" i="2"/>
  <c r="AV112" i="2"/>
  <c r="O112" i="2"/>
  <c r="N112" i="2"/>
  <c r="AV111" i="2"/>
  <c r="O111" i="2"/>
  <c r="P111" i="2" s="1"/>
  <c r="N111" i="2"/>
  <c r="AV110" i="2"/>
  <c r="O110" i="2"/>
  <c r="P110" i="2" s="1"/>
  <c r="N110" i="2"/>
  <c r="AV109" i="2"/>
  <c r="O109" i="2"/>
  <c r="P109" i="2" s="1"/>
  <c r="N109" i="2"/>
  <c r="AV108" i="2"/>
  <c r="O108" i="2"/>
  <c r="N108" i="2"/>
  <c r="AV107" i="2"/>
  <c r="O107" i="2"/>
  <c r="P107" i="2" s="1"/>
  <c r="N107" i="2"/>
  <c r="AV106" i="2"/>
  <c r="O106" i="2"/>
  <c r="P106" i="2" s="1"/>
  <c r="N106" i="2"/>
  <c r="AV105" i="2"/>
  <c r="O105" i="2"/>
  <c r="N105" i="2"/>
  <c r="AV104" i="2"/>
  <c r="P104" i="2"/>
  <c r="N104" i="2"/>
  <c r="AV103" i="2"/>
  <c r="P103" i="2"/>
  <c r="N103" i="2"/>
  <c r="AV102" i="2"/>
  <c r="O102" i="2"/>
  <c r="P102" i="2" s="1"/>
  <c r="N102" i="2"/>
  <c r="AV101" i="2"/>
  <c r="O101" i="2"/>
  <c r="P101" i="2" s="1"/>
  <c r="N101" i="2"/>
  <c r="AV100" i="2"/>
  <c r="O100" i="2"/>
  <c r="P100" i="2" s="1"/>
  <c r="N100" i="2"/>
  <c r="AV99" i="2"/>
  <c r="O99" i="2"/>
  <c r="P99" i="2" s="1"/>
  <c r="N99" i="2"/>
  <c r="AV98" i="2"/>
  <c r="O98" i="2"/>
  <c r="P98" i="2" s="1"/>
  <c r="N98" i="2"/>
  <c r="AV97" i="2"/>
  <c r="O97" i="2"/>
  <c r="P97" i="2" s="1"/>
  <c r="N97" i="2"/>
  <c r="AV96" i="2"/>
  <c r="O96" i="2"/>
  <c r="P96" i="2" s="1"/>
  <c r="N96" i="2"/>
  <c r="AV95" i="2"/>
  <c r="O95" i="2"/>
  <c r="P95" i="2" s="1"/>
  <c r="N95" i="2"/>
  <c r="AV94" i="2"/>
  <c r="O94" i="2"/>
  <c r="P94" i="2" s="1"/>
  <c r="N94" i="2"/>
  <c r="AV93" i="2"/>
  <c r="O93" i="2"/>
  <c r="P93" i="2" s="1"/>
  <c r="N93" i="2"/>
  <c r="AV92" i="2"/>
  <c r="O92" i="2"/>
  <c r="P92" i="2" s="1"/>
  <c r="N92" i="2"/>
  <c r="AV91" i="2"/>
  <c r="O91" i="2"/>
  <c r="P91" i="2" s="1"/>
  <c r="N91" i="2"/>
  <c r="AV90" i="2"/>
  <c r="O90" i="2"/>
  <c r="P90" i="2" s="1"/>
  <c r="N90" i="2"/>
  <c r="AV89" i="2"/>
  <c r="O89" i="2"/>
  <c r="P89" i="2" s="1"/>
  <c r="N89" i="2"/>
  <c r="AV88" i="2"/>
  <c r="O88" i="2"/>
  <c r="P88" i="2" s="1"/>
  <c r="N88" i="2"/>
  <c r="AV87" i="2"/>
  <c r="O87" i="2"/>
  <c r="P87" i="2" s="1"/>
  <c r="N87" i="2"/>
  <c r="AV86" i="2"/>
  <c r="O86" i="2"/>
  <c r="P86" i="2" s="1"/>
  <c r="N86" i="2"/>
  <c r="AV85" i="2"/>
  <c r="O85" i="2"/>
  <c r="P85" i="2" s="1"/>
  <c r="N85" i="2"/>
  <c r="AV84" i="2"/>
  <c r="O84" i="2"/>
  <c r="P84" i="2" s="1"/>
  <c r="N84" i="2"/>
  <c r="AV83" i="2"/>
  <c r="O83" i="2"/>
  <c r="P83" i="2" s="1"/>
  <c r="N83" i="2"/>
  <c r="AV82" i="2"/>
  <c r="O82" i="2"/>
  <c r="P82" i="2" s="1"/>
  <c r="N82" i="2"/>
  <c r="AV81" i="2"/>
  <c r="O81" i="2"/>
  <c r="P81" i="2" s="1"/>
  <c r="N81" i="2"/>
  <c r="AV80" i="2"/>
  <c r="O80" i="2"/>
  <c r="P80" i="2" s="1"/>
  <c r="N80" i="2"/>
  <c r="AV79" i="2"/>
  <c r="O79" i="2"/>
  <c r="P79" i="2" s="1"/>
  <c r="N79" i="2"/>
  <c r="AV78" i="2"/>
  <c r="O78" i="2"/>
  <c r="P78" i="2" s="1"/>
  <c r="N78" i="2"/>
  <c r="AV77" i="2"/>
  <c r="O77" i="2"/>
  <c r="P77" i="2" s="1"/>
  <c r="N77" i="2"/>
  <c r="AV76" i="2"/>
  <c r="O76" i="2"/>
  <c r="P76" i="2" s="1"/>
  <c r="N76" i="2"/>
  <c r="AV75" i="2"/>
  <c r="O75" i="2"/>
  <c r="P75" i="2" s="1"/>
  <c r="N75" i="2"/>
  <c r="AV74" i="2"/>
  <c r="O74" i="2"/>
  <c r="P74" i="2" s="1"/>
  <c r="N74" i="2"/>
  <c r="AV73" i="2"/>
  <c r="O73" i="2"/>
  <c r="P73" i="2" s="1"/>
  <c r="N73" i="2"/>
  <c r="AV72" i="2"/>
  <c r="O72" i="2"/>
  <c r="P72" i="2" s="1"/>
  <c r="N72" i="2"/>
  <c r="AV71" i="2"/>
  <c r="O71" i="2"/>
  <c r="P71" i="2" s="1"/>
  <c r="N71" i="2"/>
  <c r="AV70" i="2"/>
  <c r="O70" i="2"/>
  <c r="P70" i="2" s="1"/>
  <c r="N70" i="2"/>
  <c r="AV69" i="2"/>
  <c r="O69" i="2"/>
  <c r="P69" i="2" s="1"/>
  <c r="N69" i="2"/>
  <c r="AV68" i="2"/>
  <c r="O68" i="2"/>
  <c r="P68" i="2" s="1"/>
  <c r="N68" i="2"/>
  <c r="AV67" i="2"/>
  <c r="O67" i="2"/>
  <c r="P67" i="2" s="1"/>
  <c r="N67" i="2"/>
  <c r="AV66" i="2"/>
  <c r="O66" i="2"/>
  <c r="P66" i="2" s="1"/>
  <c r="N66" i="2"/>
  <c r="AV65" i="2"/>
  <c r="O65" i="2"/>
  <c r="P65" i="2" s="1"/>
  <c r="N65" i="2"/>
  <c r="AV64" i="2"/>
  <c r="O64" i="2"/>
  <c r="P64" i="2" s="1"/>
  <c r="N64" i="2"/>
  <c r="AV63" i="2"/>
  <c r="O63" i="2"/>
  <c r="P63" i="2" s="1"/>
  <c r="N63" i="2"/>
  <c r="AV62" i="2"/>
  <c r="O62" i="2"/>
  <c r="P62" i="2" s="1"/>
  <c r="N62" i="2"/>
  <c r="AV61" i="2"/>
  <c r="O61" i="2"/>
  <c r="P61" i="2" s="1"/>
  <c r="N61" i="2"/>
  <c r="AV60" i="2"/>
  <c r="O60" i="2"/>
  <c r="P60" i="2" s="1"/>
  <c r="N60" i="2"/>
  <c r="AV59" i="2"/>
  <c r="O59" i="2"/>
  <c r="P59" i="2" s="1"/>
  <c r="N59" i="2"/>
  <c r="AV58" i="2"/>
  <c r="O58" i="2"/>
  <c r="P58" i="2" s="1"/>
  <c r="N58" i="2"/>
  <c r="AV57" i="2"/>
  <c r="R57" i="2"/>
  <c r="O57" i="2"/>
  <c r="P57" i="2" s="1"/>
  <c r="N57" i="2"/>
  <c r="AV56" i="2"/>
  <c r="O56" i="2"/>
  <c r="P56" i="2" s="1"/>
  <c r="N56" i="2"/>
  <c r="AV55" i="2"/>
  <c r="O55" i="2"/>
  <c r="N55" i="2"/>
  <c r="AV54" i="2"/>
  <c r="O54" i="2"/>
  <c r="N54" i="2"/>
  <c r="AV53" i="2"/>
  <c r="O53" i="2"/>
  <c r="P53" i="2" s="1"/>
  <c r="N53" i="2"/>
  <c r="AV52" i="2"/>
  <c r="O52" i="2"/>
  <c r="N52" i="2"/>
  <c r="AV51" i="2"/>
  <c r="O51" i="2"/>
  <c r="P51" i="2" s="1"/>
  <c r="N51" i="2"/>
  <c r="AV50" i="2"/>
  <c r="O50" i="2"/>
  <c r="P50" i="2" s="1"/>
  <c r="N50" i="2"/>
  <c r="AV49" i="2"/>
  <c r="O49" i="2"/>
  <c r="N49" i="2"/>
  <c r="AV48" i="2"/>
  <c r="O48" i="2"/>
  <c r="N48" i="2"/>
  <c r="AV47" i="2"/>
  <c r="O47" i="2"/>
  <c r="P47" i="2" s="1"/>
  <c r="N47" i="2"/>
  <c r="AV46" i="2"/>
  <c r="O46" i="2"/>
  <c r="P46" i="2" s="1"/>
  <c r="N46" i="2"/>
  <c r="AV45" i="2"/>
  <c r="O45" i="2"/>
  <c r="N45" i="2"/>
  <c r="AV44" i="2"/>
  <c r="O44" i="2"/>
  <c r="P44" i="2" s="1"/>
  <c r="N44" i="2"/>
  <c r="AV43" i="2"/>
  <c r="O43" i="2"/>
  <c r="N43" i="2"/>
  <c r="AV42" i="2"/>
  <c r="O42" i="2"/>
  <c r="N42" i="2"/>
  <c r="AV41" i="2"/>
  <c r="O41" i="2"/>
  <c r="P41" i="2" s="1"/>
  <c r="N41" i="2"/>
  <c r="AV40" i="2"/>
  <c r="O40" i="2"/>
  <c r="N40" i="2"/>
  <c r="AV39" i="2"/>
  <c r="O39" i="2"/>
  <c r="P39" i="2" s="1"/>
  <c r="N39" i="2"/>
  <c r="AV38" i="2"/>
  <c r="O38" i="2"/>
  <c r="P38" i="2" s="1"/>
  <c r="N38" i="2"/>
  <c r="AV37" i="2"/>
  <c r="O37" i="2"/>
  <c r="N37" i="2"/>
  <c r="AV36" i="2"/>
  <c r="O36" i="2"/>
  <c r="N36" i="2"/>
  <c r="AV35" i="2"/>
  <c r="O35" i="2"/>
  <c r="P35" i="2" s="1"/>
  <c r="N35" i="2"/>
  <c r="AV34" i="2"/>
  <c r="O34" i="2"/>
  <c r="P34" i="2" s="1"/>
  <c r="N34" i="2"/>
  <c r="AV33" i="2"/>
  <c r="O33" i="2"/>
  <c r="P33" i="2" s="1"/>
  <c r="N33" i="2"/>
  <c r="AV32" i="2"/>
  <c r="O32" i="2"/>
  <c r="P32" i="2" s="1"/>
  <c r="N32" i="2"/>
  <c r="AV31" i="2"/>
  <c r="O31" i="2"/>
  <c r="P31" i="2" s="1"/>
  <c r="N31" i="2"/>
  <c r="AV30" i="2"/>
  <c r="O30" i="2"/>
  <c r="P30" i="2" s="1"/>
  <c r="N30" i="2"/>
  <c r="AV29" i="2"/>
  <c r="O29" i="2"/>
  <c r="P29" i="2" s="1"/>
  <c r="N29" i="2"/>
  <c r="AV28" i="2"/>
  <c r="O28" i="2"/>
  <c r="P28" i="2" s="1"/>
  <c r="N28" i="2"/>
  <c r="AV27" i="2"/>
  <c r="O27" i="2"/>
  <c r="P27" i="2" s="1"/>
  <c r="N27" i="2"/>
  <c r="AV26" i="2"/>
  <c r="O26" i="2"/>
  <c r="P26" i="2" s="1"/>
  <c r="N26" i="2"/>
  <c r="AV25" i="2"/>
  <c r="O25" i="2"/>
  <c r="P25" i="2" s="1"/>
  <c r="N25" i="2"/>
  <c r="AV24" i="2"/>
  <c r="O24" i="2"/>
  <c r="P24" i="2" s="1"/>
  <c r="N24" i="2"/>
  <c r="AV23" i="2"/>
  <c r="O23" i="2"/>
  <c r="P23" i="2" s="1"/>
  <c r="N23" i="2"/>
  <c r="AV22" i="2"/>
  <c r="O22" i="2"/>
  <c r="P22" i="2" s="1"/>
  <c r="N22" i="2"/>
  <c r="AV21" i="2"/>
  <c r="O21" i="2"/>
  <c r="P21" i="2" s="1"/>
  <c r="N21" i="2"/>
  <c r="AV20" i="2"/>
  <c r="O20" i="2"/>
  <c r="P20" i="2" s="1"/>
  <c r="N20" i="2"/>
  <c r="AV19" i="2"/>
  <c r="O19" i="2"/>
  <c r="P19" i="2" s="1"/>
  <c r="N19" i="2"/>
  <c r="AV18" i="2"/>
  <c r="O18" i="2"/>
  <c r="P18" i="2" s="1"/>
  <c r="N18" i="2"/>
  <c r="AV17" i="2"/>
  <c r="O17" i="2"/>
  <c r="P17" i="2" s="1"/>
  <c r="N17" i="2"/>
  <c r="AV16" i="2"/>
  <c r="O16" i="2"/>
  <c r="P16" i="2" s="1"/>
  <c r="N16" i="2"/>
  <c r="AV15" i="2"/>
  <c r="O15" i="2"/>
  <c r="P15" i="2" s="1"/>
  <c r="N15" i="2"/>
  <c r="AV14" i="2"/>
  <c r="O14" i="2"/>
  <c r="P14" i="2" s="1"/>
  <c r="N14" i="2"/>
  <c r="AV13" i="2"/>
  <c r="O13" i="2"/>
  <c r="P13" i="2" s="1"/>
  <c r="N13" i="2"/>
  <c r="AV12" i="2"/>
  <c r="O12" i="2"/>
  <c r="P12" i="2" s="1"/>
  <c r="N12" i="2"/>
  <c r="AV11" i="2"/>
  <c r="O11" i="2"/>
  <c r="P11" i="2" s="1"/>
  <c r="N11" i="2"/>
  <c r="AV10" i="2"/>
  <c r="O10" i="2"/>
  <c r="P10" i="2" s="1"/>
  <c r="N10" i="2"/>
  <c r="AV9" i="2"/>
  <c r="O9" i="2"/>
  <c r="P9" i="2" s="1"/>
  <c r="N9" i="2"/>
  <c r="AV8" i="2"/>
  <c r="O8" i="2"/>
  <c r="P8" i="2" s="1"/>
  <c r="N8" i="2"/>
  <c r="AV7" i="2"/>
  <c r="O7" i="2"/>
  <c r="P7" i="2" s="1"/>
  <c r="N7" i="2"/>
  <c r="AV6" i="2"/>
  <c r="O6" i="2"/>
  <c r="P6" i="2" s="1"/>
  <c r="N6" i="2"/>
  <c r="AV5" i="2"/>
  <c r="O5" i="2"/>
  <c r="P5" i="2" s="1"/>
  <c r="N5" i="2"/>
  <c r="AV4" i="2"/>
  <c r="O4" i="2"/>
  <c r="P4" i="2" s="1"/>
  <c r="N4" i="2"/>
  <c r="AQ3" i="2"/>
  <c r="AP3" i="2"/>
  <c r="AO3" i="2"/>
  <c r="AN3" i="2"/>
  <c r="AM3" i="2"/>
  <c r="AL3" i="2"/>
  <c r="AK3" i="2"/>
  <c r="AJ3" i="2"/>
  <c r="AI3" i="2"/>
  <c r="AH3" i="2"/>
  <c r="AG3" i="2"/>
  <c r="AF3" i="2"/>
  <c r="AE3" i="2"/>
  <c r="AD3" i="2"/>
  <c r="AC3" i="2"/>
  <c r="AB3" i="2"/>
  <c r="AA3" i="2"/>
  <c r="Z3" i="2"/>
  <c r="Y3" i="2"/>
  <c r="X3" i="2"/>
  <c r="W3" i="2"/>
  <c r="V3" i="2"/>
  <c r="U3" i="2"/>
  <c r="T3" i="2"/>
  <c r="S3" i="2"/>
  <c r="Q3" i="2"/>
  <c r="M3" i="2"/>
  <c r="L3" i="2"/>
  <c r="K3" i="2"/>
  <c r="J3" i="2"/>
  <c r="I3" i="2"/>
  <c r="H3" i="2"/>
  <c r="N3" i="2" l="1"/>
  <c r="P42" i="2"/>
  <c r="P36" i="2"/>
  <c r="P48" i="2"/>
  <c r="P43" i="2"/>
  <c r="P55" i="2"/>
  <c r="O3" i="2"/>
  <c r="P45" i="2"/>
  <c r="P40" i="2"/>
  <c r="P52" i="2"/>
  <c r="P37" i="2"/>
  <c r="P49" i="2"/>
  <c r="P54" i="2"/>
  <c r="AR57" i="2"/>
  <c r="P105" i="2"/>
  <c r="P108" i="2"/>
  <c r="P112" i="2"/>
  <c r="P114" i="2"/>
  <c r="P113" i="2"/>
  <c r="P3" i="2" l="1"/>
  <c r="AT57" i="2"/>
  <c r="AS57" i="2"/>
  <c r="R27" i="2" l="1"/>
  <c r="AR27" i="2" s="1"/>
  <c r="R62" i="2"/>
  <c r="AR62" i="2" s="1"/>
  <c r="R82" i="2"/>
  <c r="AR82" i="2" s="1"/>
  <c r="R63" i="2"/>
  <c r="AR63" i="2" s="1"/>
  <c r="R103" i="2"/>
  <c r="AR103" i="2" s="1"/>
  <c r="R98" i="2"/>
  <c r="AR98" i="2" s="1"/>
  <c r="R28" i="2"/>
  <c r="AR28" i="2" s="1"/>
  <c r="R65" i="2"/>
  <c r="AR65" i="2" s="1"/>
  <c r="R44" i="2"/>
  <c r="AR44" i="2" s="1"/>
  <c r="R104" i="2"/>
  <c r="AR104" i="2" s="1"/>
  <c r="R75" i="2"/>
  <c r="AR75" i="2" s="1"/>
  <c r="R81" i="2"/>
  <c r="AR81" i="2" s="1"/>
  <c r="R116" i="2"/>
  <c r="AR116" i="2" s="1"/>
  <c r="AS116" i="2" l="1"/>
  <c r="AT116" i="2"/>
  <c r="R117" i="2"/>
  <c r="AR117" i="2" s="1"/>
  <c r="R121" i="2"/>
  <c r="AR121" i="2" s="1"/>
  <c r="R122" i="2"/>
  <c r="AR122" i="2" s="1"/>
  <c r="R118" i="2"/>
  <c r="AR118" i="2" s="1"/>
  <c r="R120" i="2"/>
  <c r="AR120" i="2" s="1"/>
  <c r="R119" i="2"/>
  <c r="AR119" i="2" s="1"/>
  <c r="R20" i="2"/>
  <c r="AR20" i="2" s="1"/>
  <c r="R33" i="2"/>
  <c r="AR33" i="2" s="1"/>
  <c r="R85" i="2"/>
  <c r="AR85" i="2" s="1"/>
  <c r="R23" i="2"/>
  <c r="AR23" i="2" s="1"/>
  <c r="R26" i="2"/>
  <c r="AR26" i="2" s="1"/>
  <c r="R52" i="2"/>
  <c r="AR52" i="2" s="1"/>
  <c r="R12" i="2"/>
  <c r="AR12" i="2" s="1"/>
  <c r="R47" i="2"/>
  <c r="AR47" i="2" s="1"/>
  <c r="R29" i="2"/>
  <c r="AR29" i="2" s="1"/>
  <c r="R41" i="2"/>
  <c r="AR41" i="2" s="1"/>
  <c r="R31" i="2"/>
  <c r="AR31" i="2" s="1"/>
  <c r="R50" i="2"/>
  <c r="AR50" i="2" s="1"/>
  <c r="R17" i="2"/>
  <c r="AR17" i="2" s="1"/>
  <c r="R53" i="2"/>
  <c r="AR53" i="2" s="1"/>
  <c r="R64" i="2"/>
  <c r="AR64" i="2" s="1"/>
  <c r="R39" i="2"/>
  <c r="AR39" i="2" s="1"/>
  <c r="R25" i="2"/>
  <c r="AR25" i="2" s="1"/>
  <c r="R30" i="2"/>
  <c r="AR30" i="2" s="1"/>
  <c r="R43" i="2"/>
  <c r="AR43" i="2" s="1"/>
  <c r="R42" i="2"/>
  <c r="AR42" i="2" s="1"/>
  <c r="R48" i="2"/>
  <c r="AR48" i="2" s="1"/>
  <c r="R18" i="2"/>
  <c r="AR18" i="2" s="1"/>
  <c r="R13" i="2"/>
  <c r="AR13" i="2" s="1"/>
  <c r="R8" i="2"/>
  <c r="AR8" i="2" s="1"/>
  <c r="R11" i="2"/>
  <c r="AR11" i="2" s="1"/>
  <c r="R14" i="2"/>
  <c r="AR14" i="2" s="1"/>
  <c r="R10" i="2"/>
  <c r="AR10" i="2" s="1"/>
  <c r="R76" i="2"/>
  <c r="AR76" i="2" s="1"/>
  <c r="R22" i="2"/>
  <c r="AR22" i="2" s="1"/>
  <c r="R15" i="2"/>
  <c r="AR15" i="2" s="1"/>
  <c r="R32" i="2"/>
  <c r="AR32" i="2" s="1"/>
  <c r="R34" i="2"/>
  <c r="AR34" i="2" s="1"/>
  <c r="R21" i="2"/>
  <c r="AR21" i="2" s="1"/>
  <c r="R9" i="2"/>
  <c r="AR9" i="2" s="1"/>
  <c r="R19" i="2"/>
  <c r="AR19" i="2" s="1"/>
  <c r="R24" i="2"/>
  <c r="AR24" i="2" s="1"/>
  <c r="R5" i="2"/>
  <c r="AR5" i="2" s="1"/>
  <c r="R35" i="2"/>
  <c r="AR35" i="2" s="1"/>
  <c r="R46" i="2"/>
  <c r="AR46" i="2" s="1"/>
  <c r="R101" i="2"/>
  <c r="AR101" i="2" s="1"/>
  <c r="R97" i="2"/>
  <c r="AR97" i="2" s="1"/>
  <c r="R99" i="2"/>
  <c r="AR99" i="2" s="1"/>
  <c r="R102" i="2"/>
  <c r="AR102" i="2" s="1"/>
  <c r="R96" i="2"/>
  <c r="AR96" i="2" s="1"/>
  <c r="R100" i="2"/>
  <c r="AR100" i="2" s="1"/>
  <c r="R93" i="2"/>
  <c r="AR93" i="2" s="1"/>
  <c r="R95" i="2"/>
  <c r="AR95" i="2" s="1"/>
  <c r="R38" i="2"/>
  <c r="AR38" i="2" s="1"/>
  <c r="R94" i="2"/>
  <c r="AR94" i="2" s="1"/>
  <c r="R91" i="2"/>
  <c r="AR91" i="2" s="1"/>
  <c r="R89" i="2"/>
  <c r="AR89" i="2" s="1"/>
  <c r="R80" i="2"/>
  <c r="AR80" i="2" s="1"/>
  <c r="R90" i="2"/>
  <c r="AR90" i="2" s="1"/>
  <c r="R88" i="2"/>
  <c r="AR88" i="2" s="1"/>
  <c r="R86" i="2"/>
  <c r="AR86" i="2" s="1"/>
  <c r="R83" i="2"/>
  <c r="AR83" i="2" s="1"/>
  <c r="R79" i="2"/>
  <c r="AR79" i="2" s="1"/>
  <c r="R74" i="2"/>
  <c r="AR74" i="2" s="1"/>
  <c r="R78" i="2"/>
  <c r="AR78" i="2" s="1"/>
  <c r="R77" i="2"/>
  <c r="AR77" i="2" s="1"/>
  <c r="R70" i="2"/>
  <c r="AR70" i="2" s="1"/>
  <c r="R87" i="2"/>
  <c r="AR87" i="2" s="1"/>
  <c r="R84" i="2"/>
  <c r="AR84" i="2" s="1"/>
  <c r="R68" i="2"/>
  <c r="AR68" i="2" s="1"/>
  <c r="R71" i="2"/>
  <c r="AR71" i="2" s="1"/>
  <c r="R66" i="2"/>
  <c r="AR66" i="2" s="1"/>
  <c r="R69" i="2"/>
  <c r="AR69" i="2" s="1"/>
  <c r="R67" i="2"/>
  <c r="AR67" i="2" s="1"/>
  <c r="R72" i="2"/>
  <c r="AR72" i="2" s="1"/>
  <c r="R92" i="2"/>
  <c r="AR92" i="2" s="1"/>
  <c r="R61" i="2"/>
  <c r="AR61" i="2" s="1"/>
  <c r="R58" i="2"/>
  <c r="AR58" i="2" s="1"/>
  <c r="R59" i="2"/>
  <c r="AR59" i="2" s="1"/>
  <c r="R60" i="2"/>
  <c r="AR60" i="2" s="1"/>
  <c r="R49" i="2"/>
  <c r="AR49" i="2" s="1"/>
  <c r="R37" i="2"/>
  <c r="AR37" i="2" s="1"/>
  <c r="R45" i="2"/>
  <c r="AR45" i="2" s="1"/>
  <c r="R55" i="2"/>
  <c r="AR55" i="2" s="1"/>
  <c r="R54" i="2"/>
  <c r="AR54" i="2" s="1"/>
  <c r="R51" i="2"/>
  <c r="AR51" i="2" s="1"/>
  <c r="R56" i="2"/>
  <c r="AR56" i="2" s="1"/>
  <c r="R36" i="2"/>
  <c r="AR36" i="2" s="1"/>
  <c r="R40" i="2"/>
  <c r="AR40" i="2" s="1"/>
  <c r="R7" i="2"/>
  <c r="AR7" i="2" s="1"/>
  <c r="R6" i="2"/>
  <c r="AR6" i="2" s="1"/>
  <c r="R111" i="2"/>
  <c r="AR111" i="2" s="1"/>
  <c r="R112" i="2"/>
  <c r="AR112" i="2" s="1"/>
  <c r="R114" i="2"/>
  <c r="AR114" i="2" s="1"/>
  <c r="R110" i="2"/>
  <c r="AR110" i="2" s="1"/>
  <c r="R106" i="2"/>
  <c r="AR106" i="2" s="1"/>
  <c r="R113" i="2"/>
  <c r="AR113" i="2" s="1"/>
  <c r="R115" i="2"/>
  <c r="AR115" i="2" s="1"/>
  <c r="R109" i="2"/>
  <c r="AR109" i="2" s="1"/>
  <c r="R107" i="2"/>
  <c r="AR107" i="2" s="1"/>
  <c r="R105" i="2"/>
  <c r="AR105" i="2" s="1"/>
  <c r="AT81" i="2"/>
  <c r="AS81" i="2"/>
  <c r="AS75" i="2"/>
  <c r="AT75" i="2"/>
  <c r="AS104" i="2"/>
  <c r="AT104" i="2"/>
  <c r="AT44" i="2"/>
  <c r="AS44" i="2"/>
  <c r="AT65" i="2"/>
  <c r="AS65" i="2"/>
  <c r="AT28" i="2"/>
  <c r="AS28" i="2"/>
  <c r="AS98" i="2"/>
  <c r="AT98" i="2"/>
  <c r="AT103" i="2"/>
  <c r="AS103" i="2"/>
  <c r="AT63" i="2"/>
  <c r="AS63" i="2"/>
  <c r="AT82" i="2"/>
  <c r="AS82" i="2"/>
  <c r="AT62" i="2"/>
  <c r="AS62" i="2"/>
  <c r="AT27" i="2"/>
  <c r="AS27" i="2"/>
  <c r="AT119" i="2" l="1"/>
  <c r="AS119" i="2"/>
  <c r="AS120" i="2"/>
  <c r="AT120" i="2"/>
  <c r="AS118" i="2"/>
  <c r="AT118" i="2"/>
  <c r="AS122" i="2"/>
  <c r="AT122" i="2"/>
  <c r="AS121" i="2"/>
  <c r="AT121" i="2"/>
  <c r="AS117" i="2"/>
  <c r="AT117" i="2"/>
  <c r="R16" i="2"/>
  <c r="AR16" i="2" s="1"/>
  <c r="R73" i="2"/>
  <c r="AR73" i="2" s="1"/>
  <c r="R108" i="2"/>
  <c r="AR108" i="2" s="1"/>
  <c r="AT105" i="2"/>
  <c r="AS105" i="2"/>
  <c r="AT107" i="2"/>
  <c r="AS107" i="2"/>
  <c r="AT109" i="2"/>
  <c r="AS109" i="2"/>
  <c r="AS115" i="2"/>
  <c r="AT115" i="2"/>
  <c r="AS113" i="2"/>
  <c r="AT113" i="2"/>
  <c r="AT106" i="2"/>
  <c r="AS106" i="2"/>
  <c r="AT110" i="2"/>
  <c r="AS110" i="2"/>
  <c r="AT114" i="2"/>
  <c r="AS114" i="2"/>
  <c r="AT112" i="2"/>
  <c r="AS112" i="2"/>
  <c r="AT111" i="2"/>
  <c r="AS111" i="2"/>
  <c r="AS6" i="2"/>
  <c r="AT6" i="2"/>
  <c r="AS7" i="2"/>
  <c r="AT7" i="2"/>
  <c r="AT40" i="2"/>
  <c r="AS40" i="2"/>
  <c r="AS36" i="2"/>
  <c r="AT36" i="2"/>
  <c r="AT56" i="2"/>
  <c r="AS56" i="2"/>
  <c r="AS51" i="2"/>
  <c r="AT51" i="2"/>
  <c r="AS54" i="2"/>
  <c r="AT54" i="2"/>
  <c r="AS55" i="2"/>
  <c r="AT55" i="2"/>
  <c r="AS45" i="2"/>
  <c r="AT45" i="2"/>
  <c r="AT37" i="2"/>
  <c r="AS37" i="2"/>
  <c r="AS49" i="2"/>
  <c r="AT49" i="2"/>
  <c r="AS60" i="2"/>
  <c r="AT60" i="2"/>
  <c r="AT59" i="2"/>
  <c r="AS59" i="2"/>
  <c r="AT58" i="2"/>
  <c r="AS58" i="2"/>
  <c r="AT61" i="2"/>
  <c r="AS61" i="2"/>
  <c r="AT92" i="2"/>
  <c r="AS92" i="2"/>
  <c r="AT72" i="2"/>
  <c r="AS72" i="2"/>
  <c r="AS67" i="2"/>
  <c r="AT67" i="2"/>
  <c r="AS69" i="2"/>
  <c r="AT69" i="2"/>
  <c r="AT66" i="2"/>
  <c r="AS66" i="2"/>
  <c r="AS71" i="2"/>
  <c r="AT71" i="2"/>
  <c r="AT68" i="2"/>
  <c r="AS68" i="2"/>
  <c r="AT84" i="2"/>
  <c r="AS84" i="2"/>
  <c r="AT87" i="2"/>
  <c r="AS87" i="2"/>
  <c r="AT70" i="2"/>
  <c r="AS70" i="2"/>
  <c r="AS77" i="2"/>
  <c r="AT77" i="2"/>
  <c r="AS78" i="2"/>
  <c r="AT78" i="2"/>
  <c r="AS74" i="2"/>
  <c r="AT74" i="2"/>
  <c r="AT79" i="2"/>
  <c r="AS79" i="2"/>
  <c r="AT83" i="2"/>
  <c r="AS83" i="2"/>
  <c r="AS86" i="2"/>
  <c r="AT86" i="2"/>
  <c r="AS88" i="2"/>
  <c r="AT88" i="2"/>
  <c r="AS90" i="2"/>
  <c r="AT90" i="2"/>
  <c r="AT80" i="2"/>
  <c r="AS80" i="2"/>
  <c r="AS89" i="2"/>
  <c r="AT89" i="2"/>
  <c r="AT91" i="2"/>
  <c r="AS91" i="2"/>
  <c r="AT94" i="2"/>
  <c r="AS94" i="2"/>
  <c r="AT38" i="2"/>
  <c r="AS38" i="2"/>
  <c r="AS95" i="2"/>
  <c r="AT95" i="2"/>
  <c r="AS93" i="2"/>
  <c r="AT93" i="2"/>
  <c r="AT100" i="2"/>
  <c r="AS100" i="2"/>
  <c r="AS96" i="2"/>
  <c r="AT96" i="2"/>
  <c r="AS102" i="2"/>
  <c r="AT102" i="2"/>
  <c r="AS99" i="2"/>
  <c r="AT99" i="2"/>
  <c r="AS97" i="2"/>
  <c r="AT97" i="2"/>
  <c r="AS101" i="2"/>
  <c r="AT101" i="2"/>
  <c r="AS46" i="2"/>
  <c r="AT46" i="2"/>
  <c r="AS35" i="2"/>
  <c r="AT35" i="2"/>
  <c r="AS5" i="2"/>
  <c r="AT5" i="2"/>
  <c r="AT24" i="2"/>
  <c r="AS24" i="2"/>
  <c r="AS19" i="2"/>
  <c r="AT19" i="2"/>
  <c r="AS9" i="2"/>
  <c r="AT9" i="2"/>
  <c r="AS21" i="2"/>
  <c r="AT21" i="2"/>
  <c r="AS34" i="2"/>
  <c r="AT34" i="2"/>
  <c r="AT32" i="2"/>
  <c r="AS32" i="2"/>
  <c r="AS15" i="2"/>
  <c r="AT15" i="2"/>
  <c r="AT22" i="2"/>
  <c r="AS22" i="2"/>
  <c r="AT76" i="2"/>
  <c r="AS76" i="2"/>
  <c r="AS10" i="2"/>
  <c r="AT10" i="2"/>
  <c r="AS14" i="2"/>
  <c r="AT14" i="2"/>
  <c r="AT11" i="2"/>
  <c r="AS11" i="2"/>
  <c r="AT8" i="2"/>
  <c r="AS8" i="2"/>
  <c r="AS13" i="2"/>
  <c r="AT13" i="2"/>
  <c r="AS18" i="2"/>
  <c r="AT18" i="2"/>
  <c r="AS48" i="2"/>
  <c r="AT48" i="2"/>
  <c r="AT42" i="2"/>
  <c r="AS42" i="2"/>
  <c r="AT43" i="2"/>
  <c r="AS43" i="2"/>
  <c r="AS30" i="2"/>
  <c r="AT30" i="2"/>
  <c r="AT25" i="2"/>
  <c r="AS25" i="2"/>
  <c r="AT39" i="2"/>
  <c r="AS39" i="2"/>
  <c r="AS64" i="2"/>
  <c r="AT64" i="2"/>
  <c r="AT53" i="2"/>
  <c r="AS53" i="2"/>
  <c r="AS17" i="2"/>
  <c r="AT17" i="2"/>
  <c r="AS50" i="2"/>
  <c r="AT50" i="2"/>
  <c r="AS31" i="2"/>
  <c r="AT31" i="2"/>
  <c r="AT41" i="2"/>
  <c r="AS41" i="2"/>
  <c r="AS29" i="2"/>
  <c r="AT29" i="2"/>
  <c r="AS47" i="2"/>
  <c r="AT47" i="2"/>
  <c r="AS12" i="2"/>
  <c r="AT12" i="2"/>
  <c r="AT52" i="2"/>
  <c r="AS52" i="2"/>
  <c r="AT26" i="2"/>
  <c r="AS26" i="2"/>
  <c r="AS23" i="2"/>
  <c r="AT23" i="2"/>
  <c r="AT85" i="2"/>
  <c r="AS85" i="2"/>
  <c r="AS33" i="2"/>
  <c r="AT33" i="2"/>
  <c r="AT20" i="2"/>
  <c r="AS20" i="2"/>
  <c r="R4" i="2" l="1"/>
  <c r="AS108" i="2"/>
  <c r="AT108" i="2"/>
  <c r="AS73" i="2"/>
  <c r="AT73" i="2"/>
  <c r="AS16" i="2"/>
  <c r="AT16" i="2"/>
  <c r="R3" i="2" l="1"/>
  <c r="AR4" i="2"/>
  <c r="AT4" i="2" s="1"/>
  <c r="AS4" i="2" l="1"/>
  <c r="AT3" i="2"/>
  <c r="K77" i="6" l="1"/>
  <c r="L77" i="6"/>
  <c r="J77" i="6"/>
  <c r="I93" i="6" l="1"/>
  <c r="I95" i="6"/>
  <c r="I96" i="6"/>
  <c r="I98" i="6"/>
  <c r="I51" i="6"/>
  <c r="I97" i="6"/>
  <c r="I99" i="6"/>
  <c r="I54" i="6"/>
  <c r="I107" i="6"/>
  <c r="I103" i="6"/>
  <c r="I55" i="6"/>
  <c r="I52" i="6"/>
  <c r="I104" i="6"/>
  <c r="I100" i="6"/>
  <c r="I37" i="6"/>
  <c r="I101" i="6"/>
  <c r="I53" i="6"/>
  <c r="I102" i="6"/>
  <c r="I56" i="6"/>
  <c r="I105" i="6"/>
  <c r="I106" i="6"/>
  <c r="I38" i="6"/>
  <c r="I39" i="6"/>
  <c r="I108" i="6"/>
  <c r="I109" i="6"/>
  <c r="I57" i="6"/>
  <c r="I110" i="6"/>
  <c r="I58" i="6"/>
  <c r="I59" i="6"/>
  <c r="I111" i="6"/>
  <c r="I124" i="6"/>
  <c r="I92" i="6"/>
  <c r="I112" i="6"/>
  <c r="I113" i="6"/>
  <c r="I114" i="6"/>
  <c r="I60" i="6"/>
  <c r="I61" i="6"/>
  <c r="I62" i="6"/>
  <c r="I115" i="6"/>
  <c r="I63" i="6"/>
  <c r="I116" i="6"/>
  <c r="I117" i="6"/>
  <c r="I118" i="6"/>
  <c r="I64" i="6"/>
  <c r="I65" i="6"/>
  <c r="I119" i="6"/>
  <c r="I66" i="6"/>
  <c r="I120" i="6"/>
  <c r="I67" i="6"/>
  <c r="I121" i="6"/>
  <c r="I122" i="6"/>
  <c r="I68" i="6"/>
  <c r="I69" i="6"/>
  <c r="I42" i="6"/>
  <c r="I43" i="6"/>
  <c r="I70" i="6"/>
  <c r="I48" i="6"/>
  <c r="I71" i="6"/>
  <c r="I125" i="6"/>
  <c r="I126" i="6"/>
  <c r="I127" i="6"/>
  <c r="I72" i="6"/>
  <c r="I73" i="6"/>
  <c r="I74" i="6"/>
  <c r="I128" i="6"/>
  <c r="I129" i="6"/>
  <c r="I40" i="6"/>
  <c r="I130" i="6"/>
  <c r="I147" i="6"/>
  <c r="I131" i="6"/>
  <c r="I132" i="6"/>
  <c r="I75" i="6"/>
  <c r="I45" i="6"/>
  <c r="I133" i="6"/>
  <c r="I76" i="6"/>
  <c r="I134" i="6"/>
  <c r="I135" i="6"/>
  <c r="I136" i="6"/>
  <c r="I137" i="6"/>
  <c r="I78" i="6"/>
  <c r="I123" i="6"/>
  <c r="I138" i="6"/>
  <c r="I79" i="6"/>
  <c r="I80" i="6"/>
  <c r="I81" i="6"/>
  <c r="I82" i="6"/>
  <c r="I46" i="6"/>
  <c r="I139" i="6"/>
  <c r="I140" i="6"/>
  <c r="I47" i="6"/>
  <c r="I141" i="6"/>
  <c r="I83" i="6"/>
  <c r="I84" i="6"/>
  <c r="I142" i="6"/>
  <c r="I85" i="6"/>
  <c r="I143" i="6"/>
  <c r="I144" i="6"/>
  <c r="I86" i="6"/>
  <c r="I87" i="6"/>
  <c r="I145" i="6"/>
  <c r="I88" i="6"/>
  <c r="I146" i="6"/>
  <c r="I148" i="6"/>
  <c r="I89" i="6"/>
  <c r="I41" i="6"/>
  <c r="I44" i="6"/>
  <c r="I90" i="6"/>
  <c r="I49" i="6"/>
  <c r="I91" i="6"/>
  <c r="I50" i="6"/>
  <c r="I149" i="6"/>
  <c r="I150" i="6"/>
  <c r="I151" i="6"/>
  <c r="I152" i="6"/>
  <c r="I153" i="6"/>
  <c r="I154" i="6"/>
  <c r="I94" i="6"/>
  <c r="J154" i="6" l="1"/>
  <c r="K154" i="6"/>
  <c r="L154" i="6"/>
  <c r="J153" i="6"/>
  <c r="L153" i="6"/>
  <c r="K153" i="6"/>
  <c r="K110" i="6"/>
  <c r="L110" i="6"/>
  <c r="J110" i="6"/>
  <c r="J96" i="6"/>
  <c r="L96" i="6"/>
  <c r="K96" i="6"/>
  <c r="K91" i="6"/>
  <c r="J91" i="6"/>
  <c r="L91" i="6"/>
  <c r="K86" i="6"/>
  <c r="J86" i="6"/>
  <c r="L86" i="6"/>
  <c r="K82" i="6"/>
  <c r="L82" i="6"/>
  <c r="J82" i="6"/>
  <c r="J133" i="6"/>
  <c r="K133" i="6"/>
  <c r="L133" i="6"/>
  <c r="K72" i="6"/>
  <c r="L72" i="6"/>
  <c r="J72" i="6"/>
  <c r="L121" i="6"/>
  <c r="J121" i="6"/>
  <c r="K121" i="6"/>
  <c r="L62" i="6"/>
  <c r="J62" i="6"/>
  <c r="K62" i="6"/>
  <c r="L57" i="6"/>
  <c r="J57" i="6"/>
  <c r="K57" i="6"/>
  <c r="K100" i="6"/>
  <c r="L100" i="6"/>
  <c r="J100" i="6"/>
  <c r="K95" i="6"/>
  <c r="L95" i="6"/>
  <c r="J95" i="6"/>
  <c r="J50" i="6"/>
  <c r="L50" i="6"/>
  <c r="K50" i="6"/>
  <c r="L45" i="6"/>
  <c r="J45" i="6"/>
  <c r="K45" i="6"/>
  <c r="L109" i="6"/>
  <c r="J109" i="6"/>
  <c r="K109" i="6"/>
  <c r="L126" i="6"/>
  <c r="K126" i="6"/>
  <c r="J126" i="6"/>
  <c r="K79" i="6"/>
  <c r="J79" i="6"/>
  <c r="L79" i="6"/>
  <c r="J132" i="6"/>
  <c r="K132" i="6"/>
  <c r="L132" i="6"/>
  <c r="L125" i="6"/>
  <c r="K125" i="6"/>
  <c r="J125" i="6"/>
  <c r="J66" i="6"/>
  <c r="K66" i="6"/>
  <c r="L66" i="6"/>
  <c r="J114" i="6"/>
  <c r="K114" i="6"/>
  <c r="L114" i="6"/>
  <c r="J39" i="6"/>
  <c r="K39" i="6"/>
  <c r="L39" i="6"/>
  <c r="L55" i="6"/>
  <c r="J55" i="6"/>
  <c r="K55" i="6"/>
  <c r="K115" i="6"/>
  <c r="L115" i="6"/>
  <c r="J115" i="6"/>
  <c r="J75" i="6"/>
  <c r="L75" i="6"/>
  <c r="K75" i="6"/>
  <c r="K142" i="6"/>
  <c r="L142" i="6"/>
  <c r="J142" i="6"/>
  <c r="L138" i="6"/>
  <c r="J138" i="6"/>
  <c r="K138" i="6"/>
  <c r="J131" i="6"/>
  <c r="K131" i="6"/>
  <c r="L131" i="6"/>
  <c r="J71" i="6"/>
  <c r="L71" i="6"/>
  <c r="K71" i="6"/>
  <c r="J119" i="6"/>
  <c r="K119" i="6"/>
  <c r="L119" i="6"/>
  <c r="L113" i="6"/>
  <c r="J113" i="6"/>
  <c r="K113" i="6"/>
  <c r="J38" i="6"/>
  <c r="K38" i="6"/>
  <c r="L38" i="6"/>
  <c r="K103" i="6"/>
  <c r="L103" i="6"/>
  <c r="J103" i="6"/>
  <c r="K73" i="6"/>
  <c r="J73" i="6"/>
  <c r="L73" i="6"/>
  <c r="J37" i="6"/>
  <c r="K37" i="6"/>
  <c r="L37" i="6"/>
  <c r="J127" i="6"/>
  <c r="L127" i="6"/>
  <c r="K127" i="6"/>
  <c r="L143" i="6"/>
  <c r="K143" i="6"/>
  <c r="J143" i="6"/>
  <c r="K147" i="6"/>
  <c r="J147" i="6"/>
  <c r="L147" i="6"/>
  <c r="L48" i="6"/>
  <c r="K48" i="6"/>
  <c r="J48" i="6"/>
  <c r="L65" i="6"/>
  <c r="K65" i="6"/>
  <c r="J65" i="6"/>
  <c r="L112" i="6"/>
  <c r="J112" i="6"/>
  <c r="K112" i="6"/>
  <c r="L106" i="6"/>
  <c r="K106" i="6"/>
  <c r="J106" i="6"/>
  <c r="K107" i="6"/>
  <c r="L107" i="6"/>
  <c r="J107" i="6"/>
  <c r="K87" i="6"/>
  <c r="J87" i="6"/>
  <c r="L87" i="6"/>
  <c r="K49" i="6"/>
  <c r="J49" i="6"/>
  <c r="L49" i="6"/>
  <c r="K67" i="6"/>
  <c r="J67" i="6"/>
  <c r="L67" i="6"/>
  <c r="L90" i="6"/>
  <c r="K90" i="6"/>
  <c r="J90" i="6"/>
  <c r="K52" i="6"/>
  <c r="J52" i="6"/>
  <c r="L52" i="6"/>
  <c r="J85" i="6"/>
  <c r="K85" i="6"/>
  <c r="L85" i="6"/>
  <c r="L89" i="6"/>
  <c r="J89" i="6"/>
  <c r="K89" i="6"/>
  <c r="K83" i="6"/>
  <c r="L83" i="6"/>
  <c r="J83" i="6"/>
  <c r="J78" i="6"/>
  <c r="K78" i="6"/>
  <c r="L78" i="6"/>
  <c r="J130" i="6"/>
  <c r="K130" i="6"/>
  <c r="L130" i="6"/>
  <c r="J70" i="6"/>
  <c r="L70" i="6"/>
  <c r="K70" i="6"/>
  <c r="J64" i="6"/>
  <c r="L64" i="6"/>
  <c r="K64" i="6"/>
  <c r="K92" i="6"/>
  <c r="J92" i="6"/>
  <c r="L92" i="6"/>
  <c r="L105" i="6"/>
  <c r="J105" i="6"/>
  <c r="K105" i="6"/>
  <c r="J54" i="6"/>
  <c r="K54" i="6"/>
  <c r="L54" i="6"/>
  <c r="J122" i="6"/>
  <c r="K122" i="6"/>
  <c r="L122" i="6"/>
  <c r="K144" i="6"/>
  <c r="J144" i="6"/>
  <c r="L144" i="6"/>
  <c r="J61" i="6"/>
  <c r="K61" i="6"/>
  <c r="L61" i="6"/>
  <c r="L60" i="6"/>
  <c r="J60" i="6"/>
  <c r="K60" i="6"/>
  <c r="J44" i="6"/>
  <c r="K44" i="6"/>
  <c r="L44" i="6"/>
  <c r="J152" i="6"/>
  <c r="L152" i="6"/>
  <c r="K152" i="6"/>
  <c r="J148" i="6"/>
  <c r="K148" i="6"/>
  <c r="L148" i="6"/>
  <c r="J141" i="6"/>
  <c r="L141" i="6"/>
  <c r="K141" i="6"/>
  <c r="L137" i="6"/>
  <c r="J137" i="6"/>
  <c r="K137" i="6"/>
  <c r="J40" i="6"/>
  <c r="L40" i="6"/>
  <c r="K40" i="6"/>
  <c r="J43" i="6"/>
  <c r="K43" i="6"/>
  <c r="L43" i="6"/>
  <c r="L118" i="6"/>
  <c r="J118" i="6"/>
  <c r="K118" i="6"/>
  <c r="L124" i="6"/>
  <c r="J124" i="6"/>
  <c r="K124" i="6"/>
  <c r="J56" i="6"/>
  <c r="L56" i="6"/>
  <c r="K56" i="6"/>
  <c r="L99" i="6"/>
  <c r="J99" i="6"/>
  <c r="K99" i="6"/>
  <c r="L104" i="6"/>
  <c r="J104" i="6"/>
  <c r="K104" i="6"/>
  <c r="J108" i="6"/>
  <c r="L108" i="6"/>
  <c r="K108" i="6"/>
  <c r="L123" i="6"/>
  <c r="J123" i="6"/>
  <c r="K123" i="6"/>
  <c r="J151" i="6"/>
  <c r="L151" i="6"/>
  <c r="K151" i="6"/>
  <c r="L146" i="6"/>
  <c r="J146" i="6"/>
  <c r="K146" i="6"/>
  <c r="J47" i="6"/>
  <c r="L47" i="6"/>
  <c r="K47" i="6"/>
  <c r="L136" i="6"/>
  <c r="J136" i="6"/>
  <c r="K136" i="6"/>
  <c r="L129" i="6"/>
  <c r="J129" i="6"/>
  <c r="K129" i="6"/>
  <c r="L42" i="6"/>
  <c r="K42" i="6"/>
  <c r="J42" i="6"/>
  <c r="L117" i="6"/>
  <c r="J117" i="6"/>
  <c r="K117" i="6"/>
  <c r="L111" i="6"/>
  <c r="J111" i="6"/>
  <c r="K111" i="6"/>
  <c r="K102" i="6"/>
  <c r="L102" i="6"/>
  <c r="J102" i="6"/>
  <c r="J97" i="6"/>
  <c r="K97" i="6"/>
  <c r="L97" i="6"/>
  <c r="J46" i="6"/>
  <c r="K46" i="6"/>
  <c r="L46" i="6"/>
  <c r="L81" i="6"/>
  <c r="K81" i="6"/>
  <c r="J81" i="6"/>
  <c r="L80" i="6"/>
  <c r="K80" i="6"/>
  <c r="J80" i="6"/>
  <c r="K84" i="6"/>
  <c r="J84" i="6"/>
  <c r="L84" i="6"/>
  <c r="L150" i="6"/>
  <c r="J150" i="6"/>
  <c r="K150" i="6"/>
  <c r="J88" i="6"/>
  <c r="K88" i="6"/>
  <c r="L88" i="6"/>
  <c r="J140" i="6"/>
  <c r="K140" i="6"/>
  <c r="L140" i="6"/>
  <c r="K135" i="6"/>
  <c r="L135" i="6"/>
  <c r="J135" i="6"/>
  <c r="L128" i="6"/>
  <c r="K128" i="6"/>
  <c r="J128" i="6"/>
  <c r="K69" i="6"/>
  <c r="L69" i="6"/>
  <c r="J69" i="6"/>
  <c r="L116" i="6"/>
  <c r="J116" i="6"/>
  <c r="K116" i="6"/>
  <c r="L59" i="6"/>
  <c r="J59" i="6"/>
  <c r="K59" i="6"/>
  <c r="K53" i="6"/>
  <c r="L53" i="6"/>
  <c r="J53" i="6"/>
  <c r="K51" i="6"/>
  <c r="L51" i="6"/>
  <c r="J51" i="6"/>
  <c r="J76" i="6"/>
  <c r="L76" i="6"/>
  <c r="K76" i="6"/>
  <c r="J94" i="6"/>
  <c r="L94" i="6"/>
  <c r="K94" i="6"/>
  <c r="L93" i="6"/>
  <c r="J93" i="6"/>
  <c r="K93" i="6"/>
  <c r="J120" i="6"/>
  <c r="L120" i="6"/>
  <c r="K120" i="6"/>
  <c r="K41" i="6"/>
  <c r="L41" i="6"/>
  <c r="J41" i="6"/>
  <c r="J149" i="6"/>
  <c r="L149" i="6"/>
  <c r="K149" i="6"/>
  <c r="L145" i="6"/>
  <c r="J145" i="6"/>
  <c r="K145" i="6"/>
  <c r="L139" i="6"/>
  <c r="J139" i="6"/>
  <c r="K139" i="6"/>
  <c r="L134" i="6"/>
  <c r="J134" i="6"/>
  <c r="K134" i="6"/>
  <c r="K74" i="6"/>
  <c r="J74" i="6"/>
  <c r="L74" i="6"/>
  <c r="J68" i="6"/>
  <c r="L68" i="6"/>
  <c r="K68" i="6"/>
  <c r="K63" i="6"/>
  <c r="J63" i="6"/>
  <c r="L63" i="6"/>
  <c r="K58" i="6"/>
  <c r="J58" i="6"/>
  <c r="L58" i="6"/>
  <c r="J101" i="6"/>
  <c r="L101" i="6"/>
  <c r="K101" i="6"/>
  <c r="K98" i="6"/>
  <c r="L98" i="6"/>
  <c r="J98" i="6"/>
  <c r="M153" i="6" l="1"/>
  <c r="M154" i="6"/>
  <c r="N154" i="6" l="1"/>
  <c r="O154" i="6"/>
  <c r="P154" i="6"/>
  <c r="N153" i="6"/>
  <c r="O153" i="6"/>
  <c r="P153" i="6"/>
  <c r="M41" i="6" l="1"/>
  <c r="M151" i="6"/>
  <c r="M152" i="6"/>
  <c r="Q152" i="6" l="1"/>
  <c r="O152" i="6"/>
  <c r="P152" i="6"/>
  <c r="N152" i="6"/>
  <c r="Q151" i="6"/>
  <c r="N151" i="6"/>
  <c r="P151" i="6"/>
  <c r="O151" i="6"/>
  <c r="Q41" i="6"/>
  <c r="N41" i="6"/>
  <c r="P41" i="6"/>
  <c r="O41" i="6"/>
  <c r="R151" i="6" l="1"/>
  <c r="T151" i="6"/>
  <c r="S151" i="6"/>
  <c r="T41" i="6"/>
  <c r="W41" i="6" s="1"/>
  <c r="S41" i="6"/>
  <c r="R41" i="6"/>
  <c r="R152" i="6"/>
  <c r="T152" i="6"/>
  <c r="S152" i="6"/>
  <c r="M83" i="6" l="1"/>
  <c r="M63" i="6"/>
  <c r="M68" i="6"/>
  <c r="M81" i="6"/>
  <c r="M110" i="6"/>
  <c r="M131" i="6"/>
  <c r="M37" i="6"/>
  <c r="M85" i="6"/>
  <c r="M82" i="6"/>
  <c r="M58" i="6"/>
  <c r="M109" i="6"/>
  <c r="M92" i="6"/>
  <c r="M144" i="6"/>
  <c r="M135" i="6"/>
  <c r="M100" i="6"/>
  <c r="M65" i="6"/>
  <c r="M104" i="6"/>
  <c r="M54" i="6"/>
  <c r="M90" i="6"/>
  <c r="M53" i="6"/>
  <c r="M129" i="6"/>
  <c r="M75" i="6"/>
  <c r="M55" i="6"/>
  <c r="M80" i="6"/>
  <c r="M114" i="6"/>
  <c r="M59" i="6"/>
  <c r="M45" i="6"/>
  <c r="M97" i="6"/>
  <c r="M86" i="6"/>
  <c r="M147" i="6"/>
  <c r="M76" i="6"/>
  <c r="M150" i="6"/>
  <c r="M123" i="6"/>
  <c r="M112" i="6"/>
  <c r="M84" i="6"/>
  <c r="M66" i="6"/>
  <c r="M93" i="6"/>
  <c r="M87" i="6"/>
  <c r="M39" i="6"/>
  <c r="M120" i="6"/>
  <c r="M136" i="6"/>
  <c r="M130" i="6"/>
  <c r="M138" i="6"/>
  <c r="M51" i="6"/>
  <c r="M52" i="6"/>
  <c r="M71" i="6"/>
  <c r="M101" i="6"/>
  <c r="M47" i="6"/>
  <c r="M134" i="6"/>
  <c r="M148" i="6"/>
  <c r="M113" i="6"/>
  <c r="M124" i="6"/>
  <c r="M46" i="6"/>
  <c r="M95" i="6"/>
  <c r="M139" i="6"/>
  <c r="M116" i="6"/>
  <c r="M57" i="6"/>
  <c r="M42" i="6"/>
  <c r="M74" i="6"/>
  <c r="M60" i="6"/>
  <c r="M96" i="6"/>
  <c r="M126" i="6"/>
  <c r="M145" i="6"/>
  <c r="M77" i="6"/>
  <c r="M105" i="6"/>
  <c r="M149" i="6"/>
  <c r="M119" i="6"/>
  <c r="M125" i="6"/>
  <c r="M140" i="6"/>
  <c r="M38" i="6"/>
  <c r="M70" i="6"/>
  <c r="M43" i="6"/>
  <c r="M115" i="6"/>
  <c r="M50" i="6"/>
  <c r="M56" i="6"/>
  <c r="M133" i="6"/>
  <c r="M103" i="6"/>
  <c r="M106" i="6"/>
  <c r="M107" i="6"/>
  <c r="M67" i="6"/>
  <c r="M73" i="6"/>
  <c r="M62" i="6"/>
  <c r="M44" i="6"/>
  <c r="M99" i="6"/>
  <c r="M118" i="6"/>
  <c r="M127" i="6"/>
  <c r="M146" i="6"/>
  <c r="M89" i="6"/>
  <c r="M111" i="6"/>
  <c r="M142" i="6"/>
  <c r="M102" i="6"/>
  <c r="M40" i="6"/>
  <c r="M64" i="6"/>
  <c r="M69" i="6"/>
  <c r="M78" i="6"/>
  <c r="M49" i="6"/>
  <c r="M122" i="6"/>
  <c r="M61" i="6"/>
  <c r="M141" i="6"/>
  <c r="M91" i="6"/>
  <c r="M128" i="6"/>
  <c r="M132" i="6"/>
  <c r="M88" i="6"/>
  <c r="M117" i="6"/>
  <c r="M137" i="6"/>
  <c r="M143" i="6"/>
  <c r="M79" i="6"/>
  <c r="M72" i="6"/>
  <c r="M121" i="6"/>
  <c r="M48" i="6"/>
  <c r="M108" i="6"/>
  <c r="M94" i="6"/>
  <c r="M98" i="6"/>
  <c r="Q149" i="6" l="1"/>
  <c r="N132" i="6"/>
  <c r="P132" i="6"/>
  <c r="O132" i="6"/>
  <c r="P49" i="6"/>
  <c r="O49" i="6"/>
  <c r="N49" i="6"/>
  <c r="N142" i="6"/>
  <c r="P142" i="6"/>
  <c r="O142" i="6"/>
  <c r="N99" i="6"/>
  <c r="O99" i="6"/>
  <c r="P99" i="6"/>
  <c r="N106" i="6"/>
  <c r="O106" i="6"/>
  <c r="P106" i="6"/>
  <c r="N43" i="6"/>
  <c r="O43" i="6"/>
  <c r="P43" i="6"/>
  <c r="P149" i="6"/>
  <c r="N149" i="6"/>
  <c r="O149" i="6"/>
  <c r="O60" i="6"/>
  <c r="P60" i="6"/>
  <c r="N60" i="6"/>
  <c r="N95" i="6"/>
  <c r="P95" i="6"/>
  <c r="O95" i="6"/>
  <c r="N47" i="6"/>
  <c r="P47" i="6"/>
  <c r="O47" i="6"/>
  <c r="O130" i="6"/>
  <c r="P130" i="6"/>
  <c r="N130" i="6"/>
  <c r="P66" i="6"/>
  <c r="N66" i="6"/>
  <c r="O66" i="6"/>
  <c r="N147" i="6"/>
  <c r="P147" i="6"/>
  <c r="O147" i="6"/>
  <c r="O80" i="6"/>
  <c r="N80" i="6"/>
  <c r="P80" i="6"/>
  <c r="N54" i="6"/>
  <c r="P54" i="6"/>
  <c r="O54" i="6"/>
  <c r="O92" i="6"/>
  <c r="P92" i="6"/>
  <c r="N92" i="6"/>
  <c r="N131" i="6"/>
  <c r="O131" i="6"/>
  <c r="P131" i="6"/>
  <c r="N98" i="6"/>
  <c r="O98" i="6"/>
  <c r="P98" i="6"/>
  <c r="O79" i="6"/>
  <c r="P79" i="6"/>
  <c r="N79" i="6"/>
  <c r="N128" i="6"/>
  <c r="P128" i="6"/>
  <c r="O128" i="6"/>
  <c r="P78" i="6"/>
  <c r="N78" i="6"/>
  <c r="O78" i="6"/>
  <c r="O111" i="6"/>
  <c r="P111" i="6"/>
  <c r="N111" i="6"/>
  <c r="N44" i="6"/>
  <c r="P44" i="6"/>
  <c r="O44" i="6"/>
  <c r="P103" i="6"/>
  <c r="O103" i="6"/>
  <c r="N103" i="6"/>
  <c r="O70" i="6"/>
  <c r="N70" i="6"/>
  <c r="P70" i="6"/>
  <c r="N105" i="6"/>
  <c r="O105" i="6"/>
  <c r="P105" i="6"/>
  <c r="O74" i="6"/>
  <c r="N74" i="6"/>
  <c r="P74" i="6"/>
  <c r="P46" i="6"/>
  <c r="O46" i="6"/>
  <c r="N46" i="6"/>
  <c r="P101" i="6"/>
  <c r="N101" i="6"/>
  <c r="O101" i="6"/>
  <c r="P136" i="6"/>
  <c r="N136" i="6"/>
  <c r="O136" i="6"/>
  <c r="O84" i="6"/>
  <c r="N84" i="6"/>
  <c r="P84" i="6"/>
  <c r="O86" i="6"/>
  <c r="P86" i="6"/>
  <c r="N86" i="6"/>
  <c r="N55" i="6"/>
  <c r="P55" i="6"/>
  <c r="O55" i="6"/>
  <c r="O104" i="6"/>
  <c r="P104" i="6"/>
  <c r="N104" i="6"/>
  <c r="O109" i="6"/>
  <c r="P109" i="6"/>
  <c r="N109" i="6"/>
  <c r="P110" i="6"/>
  <c r="O110" i="6"/>
  <c r="N110" i="6"/>
  <c r="N94" i="6"/>
  <c r="P94" i="6"/>
  <c r="O94" i="6"/>
  <c r="O143" i="6"/>
  <c r="N143" i="6"/>
  <c r="P143" i="6"/>
  <c r="N91" i="6"/>
  <c r="O91" i="6"/>
  <c r="P91" i="6"/>
  <c r="P69" i="6"/>
  <c r="N69" i="6"/>
  <c r="O69" i="6"/>
  <c r="P89" i="6"/>
  <c r="N89" i="6"/>
  <c r="O89" i="6"/>
  <c r="N62" i="6"/>
  <c r="O62" i="6"/>
  <c r="P62" i="6"/>
  <c r="P133" i="6"/>
  <c r="N133" i="6"/>
  <c r="O133" i="6"/>
  <c r="O38" i="6"/>
  <c r="P38" i="6"/>
  <c r="N38" i="6"/>
  <c r="P77" i="6"/>
  <c r="N77" i="6"/>
  <c r="O77" i="6"/>
  <c r="O42" i="6"/>
  <c r="N42" i="6"/>
  <c r="P42" i="6"/>
  <c r="N124" i="6"/>
  <c r="P124" i="6"/>
  <c r="O124" i="6"/>
  <c r="N71" i="6"/>
  <c r="O71" i="6"/>
  <c r="P71" i="6"/>
  <c r="N120" i="6"/>
  <c r="P120" i="6"/>
  <c r="O120" i="6"/>
  <c r="O112" i="6"/>
  <c r="N112" i="6"/>
  <c r="P112" i="6"/>
  <c r="N97" i="6"/>
  <c r="P97" i="6"/>
  <c r="O97" i="6"/>
  <c r="P75" i="6"/>
  <c r="O75" i="6"/>
  <c r="N75" i="6"/>
  <c r="P65" i="6"/>
  <c r="N65" i="6"/>
  <c r="O65" i="6"/>
  <c r="P58" i="6"/>
  <c r="N58" i="6"/>
  <c r="O58" i="6"/>
  <c r="P81" i="6"/>
  <c r="O81" i="6"/>
  <c r="N81" i="6"/>
  <c r="Q49" i="6"/>
  <c r="Q44" i="6"/>
  <c r="Q146" i="6"/>
  <c r="Q145" i="6"/>
  <c r="N72" i="6"/>
  <c r="O72" i="6"/>
  <c r="P72" i="6"/>
  <c r="O108" i="6"/>
  <c r="N108" i="6"/>
  <c r="P108" i="6"/>
  <c r="N137" i="6"/>
  <c r="O137" i="6"/>
  <c r="P137" i="6"/>
  <c r="O141" i="6"/>
  <c r="N141" i="6"/>
  <c r="P141" i="6"/>
  <c r="P64" i="6"/>
  <c r="N64" i="6"/>
  <c r="O64" i="6"/>
  <c r="O146" i="6"/>
  <c r="P146" i="6"/>
  <c r="N146" i="6"/>
  <c r="P73" i="6"/>
  <c r="N73" i="6"/>
  <c r="O73" i="6"/>
  <c r="N56" i="6"/>
  <c r="P56" i="6"/>
  <c r="O56" i="6"/>
  <c r="O140" i="6"/>
  <c r="P140" i="6"/>
  <c r="N140" i="6"/>
  <c r="N145" i="6"/>
  <c r="O145" i="6"/>
  <c r="P145" i="6"/>
  <c r="O57" i="6"/>
  <c r="P57" i="6"/>
  <c r="N57" i="6"/>
  <c r="P113" i="6"/>
  <c r="O113" i="6"/>
  <c r="N113" i="6"/>
  <c r="N52" i="6"/>
  <c r="P52" i="6"/>
  <c r="O52" i="6"/>
  <c r="P39" i="6"/>
  <c r="N39" i="6"/>
  <c r="O39" i="6"/>
  <c r="N123" i="6"/>
  <c r="P123" i="6"/>
  <c r="O123" i="6"/>
  <c r="N45" i="6"/>
  <c r="P45" i="6"/>
  <c r="O45" i="6"/>
  <c r="O129" i="6"/>
  <c r="P129" i="6"/>
  <c r="N129" i="6"/>
  <c r="N100" i="6"/>
  <c r="P100" i="6"/>
  <c r="O100" i="6"/>
  <c r="P82" i="6"/>
  <c r="N82" i="6"/>
  <c r="O82" i="6"/>
  <c r="O68" i="6"/>
  <c r="N68" i="6"/>
  <c r="P68" i="6"/>
  <c r="Q89" i="6"/>
  <c r="Q48" i="6"/>
  <c r="Q50" i="6"/>
  <c r="Q148" i="6"/>
  <c r="Q87" i="6"/>
  <c r="Q150" i="6"/>
  <c r="P48" i="6"/>
  <c r="O48" i="6"/>
  <c r="N48" i="6"/>
  <c r="O117" i="6"/>
  <c r="N117" i="6"/>
  <c r="P117" i="6"/>
  <c r="P61" i="6"/>
  <c r="N61" i="6"/>
  <c r="O61" i="6"/>
  <c r="P40" i="6"/>
  <c r="N40" i="6"/>
  <c r="O40" i="6"/>
  <c r="O127" i="6"/>
  <c r="P127" i="6"/>
  <c r="N127" i="6"/>
  <c r="N67" i="6"/>
  <c r="P67" i="6"/>
  <c r="O67" i="6"/>
  <c r="N50" i="6"/>
  <c r="P50" i="6"/>
  <c r="O50" i="6"/>
  <c r="O125" i="6"/>
  <c r="N125" i="6"/>
  <c r="P125" i="6"/>
  <c r="O126" i="6"/>
  <c r="N126" i="6"/>
  <c r="P126" i="6"/>
  <c r="P116" i="6"/>
  <c r="O116" i="6"/>
  <c r="N116" i="6"/>
  <c r="N148" i="6"/>
  <c r="P148" i="6"/>
  <c r="O148" i="6"/>
  <c r="P51" i="6"/>
  <c r="N51" i="6"/>
  <c r="O51" i="6"/>
  <c r="P87" i="6"/>
  <c r="O87" i="6"/>
  <c r="N87" i="6"/>
  <c r="N150" i="6"/>
  <c r="O150" i="6"/>
  <c r="P150" i="6"/>
  <c r="O59" i="6"/>
  <c r="N59" i="6"/>
  <c r="P59" i="6"/>
  <c r="O53" i="6"/>
  <c r="P53" i="6"/>
  <c r="N53" i="6"/>
  <c r="O135" i="6"/>
  <c r="N135" i="6"/>
  <c r="P135" i="6"/>
  <c r="P85" i="6"/>
  <c r="O85" i="6"/>
  <c r="N85" i="6"/>
  <c r="N63" i="6"/>
  <c r="P63" i="6"/>
  <c r="O63" i="6"/>
  <c r="Q88" i="6"/>
  <c r="Q90" i="6"/>
  <c r="Q91" i="6"/>
  <c r="N121" i="6"/>
  <c r="O121" i="6"/>
  <c r="P121" i="6"/>
  <c r="O88" i="6"/>
  <c r="P88" i="6"/>
  <c r="N88" i="6"/>
  <c r="N122" i="6"/>
  <c r="P122" i="6"/>
  <c r="O122" i="6"/>
  <c r="O102" i="6"/>
  <c r="N102" i="6"/>
  <c r="P102" i="6"/>
  <c r="N118" i="6"/>
  <c r="O118" i="6"/>
  <c r="P118" i="6"/>
  <c r="O107" i="6"/>
  <c r="P107" i="6"/>
  <c r="N107" i="6"/>
  <c r="N115" i="6"/>
  <c r="O115" i="6"/>
  <c r="P115" i="6"/>
  <c r="N119" i="6"/>
  <c r="P119" i="6"/>
  <c r="O119" i="6"/>
  <c r="O96" i="6"/>
  <c r="P96" i="6"/>
  <c r="N96" i="6"/>
  <c r="P139" i="6"/>
  <c r="O139" i="6"/>
  <c r="N139" i="6"/>
  <c r="O134" i="6"/>
  <c r="P134" i="6"/>
  <c r="N134" i="6"/>
  <c r="O138" i="6"/>
  <c r="P138" i="6"/>
  <c r="N138" i="6"/>
  <c r="P93" i="6"/>
  <c r="N93" i="6"/>
  <c r="O93" i="6"/>
  <c r="O76" i="6"/>
  <c r="N76" i="6"/>
  <c r="P76" i="6"/>
  <c r="N114" i="6"/>
  <c r="O114" i="6"/>
  <c r="P114" i="6"/>
  <c r="N90" i="6"/>
  <c r="P90" i="6"/>
  <c r="O90" i="6"/>
  <c r="P144" i="6"/>
  <c r="N144" i="6"/>
  <c r="O144" i="6"/>
  <c r="P37" i="6"/>
  <c r="O37" i="6"/>
  <c r="N37" i="6"/>
  <c r="P83" i="6"/>
  <c r="N83" i="6"/>
  <c r="O83" i="6"/>
  <c r="T87" i="6" l="1"/>
  <c r="R87" i="6"/>
  <c r="S87" i="6"/>
  <c r="T44" i="6"/>
  <c r="S44" i="6"/>
  <c r="R44" i="6"/>
  <c r="R148" i="6"/>
  <c r="S148" i="6"/>
  <c r="T148" i="6"/>
  <c r="R50" i="6"/>
  <c r="T50" i="6"/>
  <c r="S50" i="6"/>
  <c r="R89" i="6"/>
  <c r="T89" i="6"/>
  <c r="W89" i="6" s="1"/>
  <c r="S89" i="6"/>
  <c r="R90" i="6"/>
  <c r="S90" i="6"/>
  <c r="T90" i="6"/>
  <c r="T146" i="6"/>
  <c r="R146" i="6"/>
  <c r="S146" i="6"/>
  <c r="R49" i="6"/>
  <c r="S49" i="6"/>
  <c r="T49" i="6"/>
  <c r="R150" i="6"/>
  <c r="S150" i="6"/>
  <c r="T150" i="6"/>
  <c r="R145" i="6"/>
  <c r="T145" i="6"/>
  <c r="S145" i="6"/>
  <c r="T91" i="6"/>
  <c r="R91" i="6"/>
  <c r="S91" i="6"/>
  <c r="S88" i="6"/>
  <c r="T88" i="6"/>
  <c r="W88" i="6" s="1"/>
  <c r="R88" i="6"/>
  <c r="T48" i="6"/>
  <c r="R48" i="6"/>
  <c r="S48" i="6"/>
  <c r="R149" i="6"/>
  <c r="T149" i="6"/>
  <c r="S149" i="6"/>
  <c r="Q83" i="6" l="1"/>
  <c r="Q63" i="6"/>
  <c r="Q68" i="6"/>
  <c r="Q81" i="6"/>
  <c r="Q110" i="6"/>
  <c r="Q131" i="6"/>
  <c r="Q37" i="6"/>
  <c r="Q85" i="6"/>
  <c r="Q82" i="6"/>
  <c r="Q58" i="6"/>
  <c r="Q109" i="6"/>
  <c r="Q92" i="6"/>
  <c r="Q144" i="6"/>
  <c r="Q135" i="6"/>
  <c r="Q100" i="6"/>
  <c r="Q65" i="6"/>
  <c r="Q104" i="6"/>
  <c r="Q54" i="6"/>
  <c r="Q53" i="6"/>
  <c r="Q129" i="6"/>
  <c r="Q75" i="6"/>
  <c r="Q55" i="6"/>
  <c r="Q80" i="6"/>
  <c r="Q114" i="6"/>
  <c r="Q59" i="6"/>
  <c r="Q45" i="6"/>
  <c r="Q97" i="6"/>
  <c r="Q86" i="6"/>
  <c r="Q147" i="6"/>
  <c r="Q76" i="6"/>
  <c r="Q123" i="6"/>
  <c r="Q112" i="6"/>
  <c r="Q84" i="6"/>
  <c r="Q66" i="6"/>
  <c r="Q93" i="6"/>
  <c r="Q39" i="6"/>
  <c r="Q120" i="6"/>
  <c r="Q136" i="6"/>
  <c r="Q130" i="6"/>
  <c r="Q138" i="6"/>
  <c r="Q51" i="6"/>
  <c r="Q52" i="6"/>
  <c r="Q71" i="6"/>
  <c r="Q101" i="6"/>
  <c r="Q47" i="6"/>
  <c r="Q134" i="6"/>
  <c r="Q113" i="6"/>
  <c r="Q124" i="6"/>
  <c r="Q46" i="6"/>
  <c r="Q95" i="6"/>
  <c r="Q139" i="6"/>
  <c r="Q116" i="6"/>
  <c r="Q57" i="6"/>
  <c r="Q42" i="6"/>
  <c r="Q74" i="6"/>
  <c r="Q60" i="6"/>
  <c r="Q96" i="6"/>
  <c r="Q126" i="6"/>
  <c r="Q77" i="6"/>
  <c r="Q105" i="6"/>
  <c r="Q119" i="6"/>
  <c r="Q125" i="6"/>
  <c r="Q140" i="6"/>
  <c r="Q38" i="6"/>
  <c r="Q70" i="6"/>
  <c r="Q43" i="6"/>
  <c r="Q115" i="6"/>
  <c r="Q56" i="6"/>
  <c r="Q133" i="6"/>
  <c r="Q103" i="6"/>
  <c r="Q106" i="6"/>
  <c r="Q107" i="6"/>
  <c r="Q67" i="6"/>
  <c r="Q73" i="6"/>
  <c r="Q62" i="6"/>
  <c r="Q99" i="6"/>
  <c r="Q118" i="6"/>
  <c r="Q127" i="6"/>
  <c r="Q111" i="6"/>
  <c r="Q142" i="6"/>
  <c r="Q102" i="6"/>
  <c r="Q40" i="6"/>
  <c r="Q64" i="6"/>
  <c r="Q69" i="6"/>
  <c r="Q78" i="6"/>
  <c r="Q122" i="6"/>
  <c r="Q61" i="6"/>
  <c r="Q141" i="6"/>
  <c r="Q128" i="6"/>
  <c r="Q132" i="6"/>
  <c r="Q117" i="6"/>
  <c r="Q137" i="6"/>
  <c r="Q143" i="6"/>
  <c r="Q79" i="6"/>
  <c r="Q72" i="6"/>
  <c r="Q121" i="6"/>
  <c r="Q108" i="6"/>
  <c r="Q98" i="6"/>
  <c r="S60" i="6" l="1"/>
  <c r="T60" i="6"/>
  <c r="R60" i="6"/>
  <c r="S79" i="6"/>
  <c r="R79" i="6"/>
  <c r="T79" i="6"/>
  <c r="R78" i="6"/>
  <c r="T78" i="6"/>
  <c r="S78" i="6"/>
  <c r="T70" i="6"/>
  <c r="R70" i="6"/>
  <c r="S70" i="6"/>
  <c r="T74" i="6"/>
  <c r="W74" i="6" s="1"/>
  <c r="R74" i="6"/>
  <c r="S74" i="6"/>
  <c r="S101" i="6"/>
  <c r="R101" i="6"/>
  <c r="T101" i="6"/>
  <c r="S84" i="6"/>
  <c r="R84" i="6"/>
  <c r="T84" i="6"/>
  <c r="S55" i="6"/>
  <c r="R55" i="6"/>
  <c r="T55" i="6"/>
  <c r="W55" i="6" s="1"/>
  <c r="T109" i="6"/>
  <c r="R109" i="6"/>
  <c r="S109" i="6"/>
  <c r="T66" i="6"/>
  <c r="S66" i="6"/>
  <c r="R66" i="6"/>
  <c r="R143" i="6"/>
  <c r="S143" i="6"/>
  <c r="T143" i="6"/>
  <c r="R69" i="6"/>
  <c r="S69" i="6"/>
  <c r="T69" i="6"/>
  <c r="W69" i="6" s="1"/>
  <c r="S62" i="6"/>
  <c r="T62" i="6"/>
  <c r="W62" i="6" s="1"/>
  <c r="R62" i="6"/>
  <c r="S38" i="6"/>
  <c r="T38" i="6"/>
  <c r="W38" i="6" s="1"/>
  <c r="R38" i="6"/>
  <c r="R42" i="6"/>
  <c r="T42" i="6"/>
  <c r="S42" i="6"/>
  <c r="R71" i="6"/>
  <c r="S71" i="6"/>
  <c r="T71" i="6"/>
  <c r="T112" i="6"/>
  <c r="S112" i="6"/>
  <c r="R112" i="6"/>
  <c r="R75" i="6"/>
  <c r="S75" i="6"/>
  <c r="T75" i="6"/>
  <c r="S58" i="6"/>
  <c r="T58" i="6"/>
  <c r="R58" i="6"/>
  <c r="T47" i="6"/>
  <c r="R47" i="6"/>
  <c r="S47" i="6"/>
  <c r="S64" i="6"/>
  <c r="T64" i="6"/>
  <c r="R64" i="6"/>
  <c r="T73" i="6"/>
  <c r="S73" i="6"/>
  <c r="R73" i="6"/>
  <c r="T140" i="6"/>
  <c r="S140" i="6"/>
  <c r="R140" i="6"/>
  <c r="S57" i="6"/>
  <c r="T57" i="6"/>
  <c r="R57" i="6"/>
  <c r="T52" i="6"/>
  <c r="S52" i="6"/>
  <c r="R52" i="6"/>
  <c r="R123" i="6"/>
  <c r="S123" i="6"/>
  <c r="T123" i="6"/>
  <c r="W123" i="6" s="1"/>
  <c r="T129" i="6"/>
  <c r="R129" i="6"/>
  <c r="S129" i="6"/>
  <c r="S82" i="6"/>
  <c r="R82" i="6"/>
  <c r="T82" i="6"/>
  <c r="T72" i="6"/>
  <c r="S72" i="6"/>
  <c r="R72" i="6"/>
  <c r="S80" i="6"/>
  <c r="R80" i="6"/>
  <c r="T80" i="6"/>
  <c r="T40" i="6"/>
  <c r="W40" i="6" s="1"/>
  <c r="R40" i="6"/>
  <c r="S40" i="6"/>
  <c r="S67" i="6"/>
  <c r="T67" i="6"/>
  <c r="R67" i="6"/>
  <c r="S125" i="6"/>
  <c r="R125" i="6"/>
  <c r="T125" i="6"/>
  <c r="S116" i="6"/>
  <c r="T116" i="6"/>
  <c r="R116" i="6"/>
  <c r="R51" i="6"/>
  <c r="S51" i="6"/>
  <c r="T51" i="6"/>
  <c r="S53" i="6"/>
  <c r="T53" i="6"/>
  <c r="R53" i="6"/>
  <c r="R85" i="6"/>
  <c r="T85" i="6"/>
  <c r="S85" i="6"/>
  <c r="T99" i="6"/>
  <c r="W99" i="6" s="1"/>
  <c r="S99" i="6"/>
  <c r="R99" i="6"/>
  <c r="S137" i="6"/>
  <c r="R137" i="6"/>
  <c r="T137" i="6"/>
  <c r="S117" i="6"/>
  <c r="T117" i="6"/>
  <c r="W117" i="6" s="1"/>
  <c r="R117" i="6"/>
  <c r="R102" i="6"/>
  <c r="S102" i="6"/>
  <c r="T102" i="6"/>
  <c r="S107" i="6"/>
  <c r="T107" i="6"/>
  <c r="R107" i="6"/>
  <c r="S119" i="6"/>
  <c r="R119" i="6"/>
  <c r="T119" i="6"/>
  <c r="R139" i="6"/>
  <c r="T139" i="6"/>
  <c r="S139" i="6"/>
  <c r="S138" i="6"/>
  <c r="R138" i="6"/>
  <c r="T138" i="6"/>
  <c r="S76" i="6"/>
  <c r="T76" i="6"/>
  <c r="R76" i="6"/>
  <c r="S37" i="6"/>
  <c r="T37" i="6"/>
  <c r="R37" i="6"/>
  <c r="R92" i="6"/>
  <c r="T92" i="6"/>
  <c r="S92" i="6"/>
  <c r="R132" i="6"/>
  <c r="S132" i="6"/>
  <c r="T132" i="6"/>
  <c r="T142" i="6"/>
  <c r="R142" i="6"/>
  <c r="S142" i="6"/>
  <c r="T106" i="6"/>
  <c r="S106" i="6"/>
  <c r="R106" i="6"/>
  <c r="T95" i="6"/>
  <c r="S95" i="6"/>
  <c r="R95" i="6"/>
  <c r="R130" i="6"/>
  <c r="S130" i="6"/>
  <c r="T130" i="6"/>
  <c r="T147" i="6"/>
  <c r="R147" i="6"/>
  <c r="S147" i="6"/>
  <c r="T54" i="6"/>
  <c r="R54" i="6"/>
  <c r="S54" i="6"/>
  <c r="T131" i="6"/>
  <c r="S131" i="6"/>
  <c r="R131" i="6"/>
  <c r="T111" i="6"/>
  <c r="S111" i="6"/>
  <c r="R111" i="6"/>
  <c r="T46" i="6"/>
  <c r="S46" i="6"/>
  <c r="R46" i="6"/>
  <c r="S136" i="6"/>
  <c r="T136" i="6"/>
  <c r="R136" i="6"/>
  <c r="R86" i="6"/>
  <c r="T86" i="6"/>
  <c r="S86" i="6"/>
  <c r="S104" i="6"/>
  <c r="T104" i="6"/>
  <c r="R104" i="6"/>
  <c r="S110" i="6"/>
  <c r="T110" i="6"/>
  <c r="R110" i="6"/>
  <c r="T128" i="6"/>
  <c r="S128" i="6"/>
  <c r="R128" i="6"/>
  <c r="S103" i="6"/>
  <c r="T103" i="6"/>
  <c r="W103" i="6" s="1"/>
  <c r="R103" i="6"/>
  <c r="S105" i="6"/>
  <c r="R105" i="6"/>
  <c r="T105" i="6"/>
  <c r="S133" i="6"/>
  <c r="T133" i="6"/>
  <c r="R133" i="6"/>
  <c r="T77" i="6"/>
  <c r="S77" i="6"/>
  <c r="R77" i="6"/>
  <c r="T124" i="6"/>
  <c r="R124" i="6"/>
  <c r="S124" i="6"/>
  <c r="R120" i="6"/>
  <c r="T120" i="6"/>
  <c r="S120" i="6"/>
  <c r="T97" i="6"/>
  <c r="S97" i="6"/>
  <c r="R97" i="6"/>
  <c r="R65" i="6"/>
  <c r="S65" i="6"/>
  <c r="T65" i="6"/>
  <c r="S81" i="6"/>
  <c r="T81" i="6"/>
  <c r="W81" i="6" s="1"/>
  <c r="R81" i="6"/>
  <c r="S43" i="6"/>
  <c r="R43" i="6"/>
  <c r="T43" i="6"/>
  <c r="W43" i="6" s="1"/>
  <c r="R98" i="6"/>
  <c r="S98" i="6"/>
  <c r="T98" i="6"/>
  <c r="S108" i="6"/>
  <c r="R108" i="6"/>
  <c r="T108" i="6"/>
  <c r="R141" i="6"/>
  <c r="T141" i="6"/>
  <c r="S141" i="6"/>
  <c r="S56" i="6"/>
  <c r="R56" i="6"/>
  <c r="T56" i="6"/>
  <c r="T113" i="6"/>
  <c r="S113" i="6"/>
  <c r="R113" i="6"/>
  <c r="T39" i="6"/>
  <c r="S39" i="6"/>
  <c r="R39" i="6"/>
  <c r="R45" i="6"/>
  <c r="S45" i="6"/>
  <c r="T45" i="6"/>
  <c r="S100" i="6"/>
  <c r="T100" i="6"/>
  <c r="W100" i="6" s="1"/>
  <c r="R100" i="6"/>
  <c r="T68" i="6"/>
  <c r="S68" i="6"/>
  <c r="R68" i="6"/>
  <c r="T61" i="6"/>
  <c r="S61" i="6"/>
  <c r="R61" i="6"/>
  <c r="R127" i="6"/>
  <c r="S127" i="6"/>
  <c r="T127" i="6"/>
  <c r="R126" i="6"/>
  <c r="S126" i="6"/>
  <c r="T126" i="6"/>
  <c r="R59" i="6"/>
  <c r="S59" i="6"/>
  <c r="T59" i="6"/>
  <c r="T135" i="6"/>
  <c r="S135" i="6"/>
  <c r="R135" i="6"/>
  <c r="R63" i="6"/>
  <c r="S63" i="6"/>
  <c r="T63" i="6"/>
  <c r="S121" i="6"/>
  <c r="T121" i="6"/>
  <c r="R121" i="6"/>
  <c r="S122" i="6"/>
  <c r="T122" i="6"/>
  <c r="W122" i="6" s="1"/>
  <c r="R122" i="6"/>
  <c r="R118" i="6"/>
  <c r="S118" i="6"/>
  <c r="T118" i="6"/>
  <c r="R115" i="6"/>
  <c r="T115" i="6"/>
  <c r="S115" i="6"/>
  <c r="T96" i="6"/>
  <c r="R96" i="6"/>
  <c r="S96" i="6"/>
  <c r="T134" i="6"/>
  <c r="S134" i="6"/>
  <c r="R134" i="6"/>
  <c r="S93" i="6"/>
  <c r="R93" i="6"/>
  <c r="T93" i="6"/>
  <c r="T114" i="6"/>
  <c r="S114" i="6"/>
  <c r="R114" i="6"/>
  <c r="S144" i="6"/>
  <c r="R144" i="6"/>
  <c r="T144" i="6"/>
  <c r="T83" i="6"/>
  <c r="R83" i="6"/>
  <c r="S83" i="6"/>
  <c r="Q94" i="6"/>
  <c r="R94" i="6" l="1"/>
  <c r="T94" i="6"/>
  <c r="S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Quy Doan</author>
    <author>Thieu Thi Tu Anh</author>
  </authors>
  <commentList>
    <comment ref="A25" authorId="0" shapeId="0" xr:uid="{26B57ACA-CAF7-4BED-B9AB-20ED5EF6ECDD}">
      <text>
        <r>
          <rPr>
            <b/>
            <sz val="9"/>
            <color indexed="81"/>
            <rFont val="Tahoma"/>
            <family val="2"/>
          </rPr>
          <t>Quy Doan:</t>
        </r>
        <r>
          <rPr>
            <sz val="9"/>
            <color indexed="81"/>
            <rFont val="Tahoma"/>
            <family val="2"/>
          </rPr>
          <t xml:space="preserve">
bh trả</t>
        </r>
      </text>
    </comment>
    <comment ref="A27" authorId="0" shapeId="0" xr:uid="{56EF6D0A-6C70-49A3-9F80-24063E9921B3}">
      <text>
        <r>
          <rPr>
            <b/>
            <sz val="9"/>
            <color indexed="81"/>
            <rFont val="Tahoma"/>
            <family val="2"/>
          </rPr>
          <t>Quy Doan:</t>
        </r>
        <r>
          <rPr>
            <sz val="9"/>
            <color indexed="81"/>
            <rFont val="Tahoma"/>
            <family val="2"/>
          </rPr>
          <t xml:space="preserve">
công ty trả</t>
        </r>
      </text>
    </comment>
    <comment ref="A28" authorId="1" shapeId="0" xr:uid="{2983C4EB-4D23-4B0E-B0D0-464239DA45AF}">
      <text>
        <r>
          <rPr>
            <b/>
            <sz val="9"/>
            <color indexed="81"/>
            <rFont val="Tahoma"/>
            <family val="2"/>
          </rPr>
          <t>Thieu Thi Tu Anh:</t>
        </r>
        <r>
          <rPr>
            <sz val="9"/>
            <color indexed="81"/>
            <rFont val="Tahoma"/>
            <family val="2"/>
          </rPr>
          <t xml:space="preserve">
khám thai,trừ nc nhưng ko trừ CC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Thieu Thi Tu Anh</author>
  </authors>
  <commentList>
    <comment ref="X3" authorId="0" shapeId="0" xr:uid="{089D7003-4B47-499A-A087-8B672B2C6ED4}">
      <text>
        <r>
          <rPr>
            <b/>
            <sz val="9"/>
            <color indexed="81"/>
            <rFont val="Tahoma"/>
            <family val="2"/>
          </rPr>
          <t>Thieu Thi Tu Anh:</t>
        </r>
        <r>
          <rPr>
            <sz val="9"/>
            <color indexed="81"/>
            <rFont val="Tahoma"/>
            <family val="2"/>
          </rPr>
          <t xml:space="preserve">
mail anh HÀ 25/06</t>
        </r>
      </text>
    </comment>
  </commentList>
</comments>
</file>

<file path=xl/sharedStrings.xml><?xml version="1.0" encoding="utf-8"?>
<sst xmlns="http://schemas.openxmlformats.org/spreadsheetml/2006/main" count="1896" uniqueCount="484">
  <si>
    <t>Đ</t>
  </si>
  <si>
    <t>Night shift</t>
  </si>
  <si>
    <t>Ca đêm 8h</t>
  </si>
  <si>
    <t>AL8</t>
  </si>
  <si>
    <t>Annual leave - 1 day</t>
  </si>
  <si>
    <t xml:space="preserve">Nghỉ phép năm 01 ngày </t>
  </si>
  <si>
    <t>AL4</t>
  </si>
  <si>
    <t>Annual leave - 0.5 day</t>
  </si>
  <si>
    <t xml:space="preserve">Nghỉ phép năm nửa ngày </t>
  </si>
  <si>
    <t>AL4Đ</t>
  </si>
  <si>
    <t>Annual leave - 0.5 day (night)</t>
  </si>
  <si>
    <t>Nghỉ phép năm nửa ngày ca đêm</t>
  </si>
  <si>
    <t>AL4/UP4</t>
  </si>
  <si>
    <t>Annual leave 0.5 day - unpaid leave 0.5 day</t>
  </si>
  <si>
    <t>Nghỉ phép năm nửa ngày/phép không lương nửa ngày</t>
  </si>
  <si>
    <t>AL4/WH4</t>
  </si>
  <si>
    <t>Annual leave 0.5 day - work form home 0.5 day</t>
  </si>
  <si>
    <t>Nghỉ phép năm nửa ngày/ công tác nửa ngày</t>
  </si>
  <si>
    <t>AL4/BS4</t>
  </si>
  <si>
    <t>Annual leave 0.5 day - Business trip 0.5 day</t>
  </si>
  <si>
    <t>Nghỉ phép năm nửa ngày/làm việc tại nhà nửa ngày</t>
  </si>
  <si>
    <t>BS</t>
  </si>
  <si>
    <t>Business trip</t>
  </si>
  <si>
    <t>Công tác</t>
  </si>
  <si>
    <t>BS4</t>
  </si>
  <si>
    <t>Business trip 0.5 day</t>
  </si>
  <si>
    <t>Công tác nửa ngày</t>
  </si>
  <si>
    <t>PO</t>
  </si>
  <si>
    <t>Paid Day</t>
  </si>
  <si>
    <t>Nghỉ hưởng 100% lương</t>
  </si>
  <si>
    <t>POS</t>
  </si>
  <si>
    <t>Paid leave S</t>
  </si>
  <si>
    <t>POM</t>
  </si>
  <si>
    <t>Paid leave M</t>
  </si>
  <si>
    <t>POD</t>
  </si>
  <si>
    <t>Paid leave D</t>
  </si>
  <si>
    <t>POS4</t>
  </si>
  <si>
    <t>Paid leave S -0.5 day</t>
  </si>
  <si>
    <t>POM4</t>
  </si>
  <si>
    <t>Paid leave M- 0.5 day</t>
  </si>
  <si>
    <t>POD4</t>
  </si>
  <si>
    <t>Paid leave D - 0.5 day</t>
  </si>
  <si>
    <t>H</t>
  </si>
  <si>
    <t>Holiday</t>
  </si>
  <si>
    <t>Nghỉ lễ</t>
  </si>
  <si>
    <t>WH</t>
  </si>
  <si>
    <t>Work from home</t>
  </si>
  <si>
    <t>Làm việc tại nhà</t>
  </si>
  <si>
    <t>WH4</t>
  </si>
  <si>
    <t>Work from home 0.5 day</t>
  </si>
  <si>
    <t>Làm việc tại nhà nửa ngày</t>
  </si>
  <si>
    <t>CĐ</t>
  </si>
  <si>
    <t>Paid leave (Funeral, wedding, etc.)</t>
  </si>
  <si>
    <t>nghỉ hưởng lương: kết hôn, tang chế,..</t>
  </si>
  <si>
    <t>S</t>
  </si>
  <si>
    <t>Pregnance health-check (paid by company)</t>
  </si>
  <si>
    <t>Khám thai công ty chi trả</t>
  </si>
  <si>
    <t>M</t>
  </si>
  <si>
    <t>Pregnance health-check (paid by Insurance)</t>
  </si>
  <si>
    <t>Khám thai bảo hiểm chi trả</t>
  </si>
  <si>
    <t>WOT</t>
  </si>
  <si>
    <t>Compensatory leave for overtime on Rest day</t>
  </si>
  <si>
    <t>Nghỉ bù tăng ca chủ nhật</t>
  </si>
  <si>
    <t>SL</t>
  </si>
  <si>
    <t>Sick leave (claim insurance)</t>
  </si>
  <si>
    <t>Nghỉ bệnh bảo hiểm chi trả</t>
  </si>
  <si>
    <t>SWD</t>
  </si>
  <si>
    <t>Sick leave (not claim insurance)</t>
  </si>
  <si>
    <t xml:space="preserve">Nghỉ bệnh không kèm giấy tờ, không hưởng bảo hiểm </t>
  </si>
  <si>
    <t>UP8</t>
  </si>
  <si>
    <t>Unpaid Leave</t>
  </si>
  <si>
    <t>Nghỉ không hưởng lương</t>
  </si>
  <si>
    <t>UP4Đ</t>
  </si>
  <si>
    <t>Unpaid Leave-0.5 days leave (night)</t>
  </si>
  <si>
    <t>Nghỉ không hưởng lưởng nửa buổi đêm</t>
  </si>
  <si>
    <t>NP</t>
  </si>
  <si>
    <t>Absent without permission</t>
  </si>
  <si>
    <t>Nghỉ không lý do, kháng công</t>
  </si>
  <si>
    <t>PL</t>
  </si>
  <si>
    <t>Paternity leave</t>
  </si>
  <si>
    <t>Chồng nghỉ vợ sinh</t>
  </si>
  <si>
    <t>TV</t>
  </si>
  <si>
    <t>Resign</t>
  </si>
  <si>
    <t>Thôi việc</t>
  </si>
  <si>
    <t>Code</t>
  </si>
  <si>
    <t>Số Thẻ
Code</t>
  </si>
  <si>
    <t>Họ và Tên
Full Name</t>
  </si>
  <si>
    <t>PHÒNG BAN
Department</t>
  </si>
  <si>
    <t>BỘ PHẬN
Section</t>
  </si>
  <si>
    <t>CHỨC VỤ 
Position</t>
  </si>
  <si>
    <t>NGÀY VÀO LÀM 
Start day worrking</t>
  </si>
  <si>
    <t>Worker</t>
  </si>
  <si>
    <t>Team Leader</t>
  </si>
  <si>
    <t>Skilled worker</t>
  </si>
  <si>
    <t>F-C003</t>
  </si>
  <si>
    <t>00295</t>
  </si>
  <si>
    <t>Nguyễn Thị Diễm Trang</t>
  </si>
  <si>
    <t>Foaming</t>
  </si>
  <si>
    <t>FOAMING Splitting</t>
  </si>
  <si>
    <t>Operator</t>
  </si>
  <si>
    <t>Nguyễn Thị Thu Thảo</t>
  </si>
  <si>
    <t>01079</t>
  </si>
  <si>
    <t>Phan Hoàng Linh</t>
  </si>
  <si>
    <t>Forklift Driver</t>
  </si>
  <si>
    <t>01221</t>
  </si>
  <si>
    <t>Nguyễn Văn Vạn</t>
  </si>
  <si>
    <t>01362</t>
  </si>
  <si>
    <t>02067</t>
  </si>
  <si>
    <t>Trương Văn Đạt</t>
  </si>
  <si>
    <t>F-C002</t>
  </si>
  <si>
    <t>02075</t>
  </si>
  <si>
    <t>Đinh Chí Linh</t>
  </si>
  <si>
    <t>FOAMING Rectangular</t>
  </si>
  <si>
    <t>02076</t>
  </si>
  <si>
    <t>Hoàng Văn Tuấn</t>
  </si>
  <si>
    <t>02101</t>
  </si>
  <si>
    <t>Nguyễn Văn Trọn</t>
  </si>
  <si>
    <t>02108</t>
  </si>
  <si>
    <t>Nguyễn Văn Thịnh</t>
  </si>
  <si>
    <t>02111</t>
  </si>
  <si>
    <t>Lâm Hoàng Đặng</t>
  </si>
  <si>
    <t>02126</t>
  </si>
  <si>
    <t>Lê Cao Tài</t>
  </si>
  <si>
    <t>02130</t>
  </si>
  <si>
    <t>Phạm Tuấn Dũ</t>
  </si>
  <si>
    <t>02132</t>
  </si>
  <si>
    <t>Cao Thanh Ngọc</t>
  </si>
  <si>
    <t>02133</t>
  </si>
  <si>
    <t>Đặng Minh Dương</t>
  </si>
  <si>
    <t>02150</t>
  </si>
  <si>
    <t>Võ Thị Hồng Quy</t>
  </si>
  <si>
    <t>02163</t>
  </si>
  <si>
    <t>Trần Văn Nhựt</t>
  </si>
  <si>
    <t>02166</t>
  </si>
  <si>
    <t>Nguyễn Văn Hưởng</t>
  </si>
  <si>
    <t>02167</t>
  </si>
  <si>
    <t>02174</t>
  </si>
  <si>
    <t>Nguyễn Hữu Diện</t>
  </si>
  <si>
    <t>02190</t>
  </si>
  <si>
    <t>Nguyễn Bảo Lăng</t>
  </si>
  <si>
    <t>02289</t>
  </si>
  <si>
    <t>Thái Thị Trúc Ly</t>
  </si>
  <si>
    <t>02320</t>
  </si>
  <si>
    <t>Nguyễn Thị Ngọc Lan</t>
  </si>
  <si>
    <t>02322</t>
  </si>
  <si>
    <t>Lâm Thị Tú Phương</t>
  </si>
  <si>
    <t>02328</t>
  </si>
  <si>
    <t>Biện Công Phúc Vy</t>
  </si>
  <si>
    <t>02336</t>
  </si>
  <si>
    <t>02352</t>
  </si>
  <si>
    <t>Nguyễn Văn Khánh</t>
  </si>
  <si>
    <t>02474</t>
  </si>
  <si>
    <t>02514</t>
  </si>
  <si>
    <t>Nguyễn Hà Trang</t>
  </si>
  <si>
    <t>02538</t>
  </si>
  <si>
    <t>Nguyễn Thị Bích Duyên</t>
  </si>
  <si>
    <t>02603</t>
  </si>
  <si>
    <t>Nguyễn Văn Thảo</t>
  </si>
  <si>
    <t>02604</t>
  </si>
  <si>
    <t>Nguyễn Xuân Tiến</t>
  </si>
  <si>
    <t>02737</t>
  </si>
  <si>
    <t>Võ Thị Thu Hằng</t>
  </si>
  <si>
    <t>02786</t>
  </si>
  <si>
    <t>Lê Huỳnh Hân</t>
  </si>
  <si>
    <t>02793</t>
  </si>
  <si>
    <t>Khưu Thanh Nhã</t>
  </si>
  <si>
    <t>02920</t>
  </si>
  <si>
    <t>Nguyễn Tuấn Kiệt</t>
  </si>
  <si>
    <t>03053</t>
  </si>
  <si>
    <t>Nguyễn Việt Hưng</t>
  </si>
  <si>
    <t>03065</t>
  </si>
  <si>
    <t>Nguyễn Ngọc Đức</t>
  </si>
  <si>
    <t>03071</t>
  </si>
  <si>
    <t>Hồ Phú Hữu</t>
  </si>
  <si>
    <t>03075</t>
  </si>
  <si>
    <t>Nguyễn Thị Muội</t>
  </si>
  <si>
    <t>03107</t>
  </si>
  <si>
    <t>03108</t>
  </si>
  <si>
    <t>Nguyễn Thị Cẩm Nguyên</t>
  </si>
  <si>
    <t>03227</t>
  </si>
  <si>
    <t>Nguyễn Văn Kha</t>
  </si>
  <si>
    <t>03267</t>
  </si>
  <si>
    <t>Lê Duy Khang</t>
  </si>
  <si>
    <t>03363</t>
  </si>
  <si>
    <t>Nguyễn Văn Sáng</t>
  </si>
  <si>
    <t>03373</t>
  </si>
  <si>
    <t>Phan Minh Gạch</t>
  </si>
  <si>
    <t>03376</t>
  </si>
  <si>
    <t>Ngô Vũ Luân</t>
  </si>
  <si>
    <t>03514</t>
  </si>
  <si>
    <t>Giáp Thị Kiều</t>
  </si>
  <si>
    <t>03515</t>
  </si>
  <si>
    <t>Phạm Thị Kim Nhung</t>
  </si>
  <si>
    <t>03521</t>
  </si>
  <si>
    <t>Nguyễn Văn Sành</t>
  </si>
  <si>
    <t>03564</t>
  </si>
  <si>
    <t>Nguyễn Tuấn Vũ</t>
  </si>
  <si>
    <t>03783</t>
  </si>
  <si>
    <t>Hồ Văn Tuốt</t>
  </si>
  <si>
    <t>Supervisor</t>
  </si>
  <si>
    <t>04004</t>
  </si>
  <si>
    <t>Nguyễn Văn Sự</t>
  </si>
  <si>
    <t>04044</t>
  </si>
  <si>
    <t>Lý Tuyết Mịnh</t>
  </si>
  <si>
    <t>04046</t>
  </si>
  <si>
    <t>Lê Đoàn Vũ</t>
  </si>
  <si>
    <t>04047</t>
  </si>
  <si>
    <t>Danh Tấn Đức</t>
  </si>
  <si>
    <t>04064</t>
  </si>
  <si>
    <t>Huỳnh Minh An</t>
  </si>
  <si>
    <t>04067</t>
  </si>
  <si>
    <t>Phạm Văn Sang</t>
  </si>
  <si>
    <t>04080</t>
  </si>
  <si>
    <t>Nguyễn Văn Thủy</t>
  </si>
  <si>
    <t>04112</t>
  </si>
  <si>
    <t>04151</t>
  </si>
  <si>
    <t>Đặng Đông Tình</t>
  </si>
  <si>
    <t>04152</t>
  </si>
  <si>
    <t>Nguyễn Hà Sang</t>
  </si>
  <si>
    <t>04283</t>
  </si>
  <si>
    <t>Lê Trung Lil</t>
  </si>
  <si>
    <t>04314</t>
  </si>
  <si>
    <t>Nguyễn Trọng Sơn</t>
  </si>
  <si>
    <t>04392</t>
  </si>
  <si>
    <t>Lê Phi Công</t>
  </si>
  <si>
    <t>04393</t>
  </si>
  <si>
    <t>Ngô Vũ Phương</t>
  </si>
  <si>
    <t>04420</t>
  </si>
  <si>
    <t>Nguyễn Quốc Nam</t>
  </si>
  <si>
    <t>04421</t>
  </si>
  <si>
    <t>Lâm Tấn Đạt</t>
  </si>
  <si>
    <t>04424</t>
  </si>
  <si>
    <t>Huỳnh Tài Chánh</t>
  </si>
  <si>
    <t>03575</t>
  </si>
  <si>
    <t>Phạm Thị Ngọt</t>
  </si>
  <si>
    <t>04462</t>
  </si>
  <si>
    <t>Danh Tiền</t>
  </si>
  <si>
    <t>04464</t>
  </si>
  <si>
    <t>Hà Thành Đạt</t>
  </si>
  <si>
    <t>04465</t>
  </si>
  <si>
    <t>Trần Văn Linh</t>
  </si>
  <si>
    <t>04517</t>
  </si>
  <si>
    <t>Hoàng Văn Anh</t>
  </si>
  <si>
    <t>04546</t>
  </si>
  <si>
    <t>Nguyễn Thái Hoàng</t>
  </si>
  <si>
    <t>04681</t>
  </si>
  <si>
    <t>Đoàn Minh Trí</t>
  </si>
  <si>
    <t>04820</t>
  </si>
  <si>
    <t>Trần Tuấn Anh</t>
  </si>
  <si>
    <t>02396</t>
  </si>
  <si>
    <t>Trương Hồng Gấm</t>
  </si>
  <si>
    <t>04974</t>
  </si>
  <si>
    <t>Lê Đắc Đức</t>
  </si>
  <si>
    <t>04975</t>
  </si>
  <si>
    <t>Lê Bá Thế Anh</t>
  </si>
  <si>
    <t>04976</t>
  </si>
  <si>
    <t>Huỳnh Đức Trung</t>
  </si>
  <si>
    <t>04981</t>
  </si>
  <si>
    <t>Trần Thanh Phúc</t>
  </si>
  <si>
    <t>04982</t>
  </si>
  <si>
    <t>04983</t>
  </si>
  <si>
    <t>Lê Hà Gia Phát</t>
  </si>
  <si>
    <t>04993</t>
  </si>
  <si>
    <t>Võ Văn Long</t>
  </si>
  <si>
    <t>05001</t>
  </si>
  <si>
    <t>Thạch Som</t>
  </si>
  <si>
    <t>05064</t>
  </si>
  <si>
    <t>Dương Trùng Vương</t>
  </si>
  <si>
    <t>05065</t>
  </si>
  <si>
    <t>Nguyễn Bá Kiên</t>
  </si>
  <si>
    <t>05066</t>
  </si>
  <si>
    <t>Phạm Văn Trường</t>
  </si>
  <si>
    <t>05067</t>
  </si>
  <si>
    <t>Dương Văn Bảo</t>
  </si>
  <si>
    <t>Stt</t>
  </si>
  <si>
    <t>02139</t>
  </si>
  <si>
    <t>Đặng Thị Diễm My</t>
  </si>
  <si>
    <t>02165</t>
  </si>
  <si>
    <t>Trần Kim Giàu</t>
  </si>
  <si>
    <t>02239</t>
  </si>
  <si>
    <t>Lê Phong Nhã</t>
  </si>
  <si>
    <t>02271</t>
  </si>
  <si>
    <t>Nguyễn Hoài Nam</t>
  </si>
  <si>
    <t>50004</t>
  </si>
  <si>
    <t>Lê Phúc Sang</t>
  </si>
  <si>
    <t>02107</t>
  </si>
  <si>
    <t>Nguyễn Vũ Em</t>
  </si>
  <si>
    <t>Võ Hữu Nghi</t>
  </si>
  <si>
    <t>Phạm Hoàng Nam</t>
  </si>
  <si>
    <t>Nguyễn Anh Tú</t>
  </si>
  <si>
    <t>02929</t>
  </si>
  <si>
    <t>Nguyễn Thị Hoàng Ngọc Phượng</t>
  </si>
  <si>
    <t>00012</t>
  </si>
  <si>
    <t>Lê Hữu Dũng</t>
  </si>
  <si>
    <t>03366</t>
  </si>
  <si>
    <t>Lê Chí Hiển</t>
  </si>
  <si>
    <t>03651</t>
  </si>
  <si>
    <t>Huỳnh Hữu Trí</t>
  </si>
  <si>
    <t>03781</t>
  </si>
  <si>
    <t>Huỳnh Trọng Kha</t>
  </si>
  <si>
    <t>03907</t>
  </si>
  <si>
    <t>Nguyễn Thị Thanh Tâm</t>
  </si>
  <si>
    <t>04043</t>
  </si>
  <si>
    <t>Phạm Việt Hà</t>
  </si>
  <si>
    <t>04066</t>
  </si>
  <si>
    <t>Trần Thanh Hùng Em</t>
  </si>
  <si>
    <t>04079</t>
  </si>
  <si>
    <t>Huỳnh Văn Mãi</t>
  </si>
  <si>
    <t>Trần Thanh Đại</t>
  </si>
  <si>
    <t>04195</t>
  </si>
  <si>
    <t>Lê Văn Tươi</t>
  </si>
  <si>
    <t>04196</t>
  </si>
  <si>
    <t>Hồ Quốc Tế</t>
  </si>
  <si>
    <t>04237</t>
  </si>
  <si>
    <t>04240</t>
  </si>
  <si>
    <t>Trầm Công Lý</t>
  </si>
  <si>
    <t>04313</t>
  </si>
  <si>
    <t>Nguyễn Hồng Thuận</t>
  </si>
  <si>
    <t>04425</t>
  </si>
  <si>
    <t>Trương Văn Trong</t>
  </si>
  <si>
    <t>04667</t>
  </si>
  <si>
    <t>Hoàng Minh Thuỳ</t>
  </si>
  <si>
    <t>04926</t>
  </si>
  <si>
    <t>Phan Hải Giang</t>
  </si>
  <si>
    <t>05089</t>
  </si>
  <si>
    <t xml:space="preserve">Dương Đại Vĩ </t>
  </si>
  <si>
    <t>05091</t>
  </si>
  <si>
    <t>Phan Nguyễn Trọng Đức</t>
  </si>
  <si>
    <t>05094</t>
  </si>
  <si>
    <t>Nguyễn Văn Đầy</t>
  </si>
  <si>
    <t>05110</t>
  </si>
  <si>
    <t>Trịnh Văn Túc</t>
  </si>
  <si>
    <t>05111</t>
  </si>
  <si>
    <t>Châu Hoàng Giang</t>
  </si>
  <si>
    <t>05112</t>
  </si>
  <si>
    <t>Phạm Trọng Nghĩa</t>
  </si>
  <si>
    <t>FOAMING Production control</t>
  </si>
  <si>
    <t>Senior Staff</t>
  </si>
  <si>
    <t>Group Leader</t>
  </si>
  <si>
    <t>Associate Specialist</t>
  </si>
  <si>
    <t>Deputy Foaming Manager</t>
  </si>
  <si>
    <t>Associate Engineer</t>
  </si>
  <si>
    <t>Staff</t>
  </si>
  <si>
    <t>Foaming Operation Director</t>
  </si>
  <si>
    <t>15/08/2024</t>
  </si>
  <si>
    <t>19/09/2024</t>
  </si>
  <si>
    <t>Junior Technician</t>
  </si>
  <si>
    <t>30/09/2024</t>
  </si>
  <si>
    <t>15/10/2024</t>
  </si>
  <si>
    <t>21/10/2024</t>
  </si>
  <si>
    <t>02/01/2025</t>
  </si>
  <si>
    <t>17/02/2025</t>
  </si>
  <si>
    <t>26/02/2025</t>
  </si>
  <si>
    <t>05/03/2025</t>
  </si>
  <si>
    <t>14/03/2025</t>
  </si>
  <si>
    <t xml:space="preserve">Chemical Associate Engineer </t>
  </si>
  <si>
    <t>26/06/2025</t>
  </si>
  <si>
    <t>21/07/2025</t>
  </si>
  <si>
    <t>29/09/2025</t>
  </si>
  <si>
    <t>02/03/2026</t>
  </si>
  <si>
    <t>05/03/2026</t>
  </si>
  <si>
    <t>19/03/2026</t>
  </si>
  <si>
    <t>27/03/2026</t>
  </si>
  <si>
    <t>Foaming Manager</t>
  </si>
  <si>
    <t>31/03/2026</t>
  </si>
  <si>
    <t>02/04/2026</t>
  </si>
  <si>
    <t>F-F001</t>
  </si>
  <si>
    <t>28 -&gt; 36 hr</t>
  </si>
  <si>
    <t xml:space="preserve"> =&lt;28 hr</t>
  </si>
  <si>
    <t>&gt; =36 hr</t>
  </si>
  <si>
    <t>Kiểm soát &lt;= 40hr/tháng</t>
  </si>
  <si>
    <t>Kiểm soát &lt;= 300hr/năm</t>
  </si>
  <si>
    <t>Số giờ đã tăng ca theo năm (YTD)</t>
  </si>
  <si>
    <t>&gt; =300 hr</t>
  </si>
  <si>
    <t>250 -&gt; 300 hr</t>
  </si>
  <si>
    <t xml:space="preserve"> =&lt;250 hr</t>
  </si>
  <si>
    <t xml:space="preserve">Số giờ đã tăng ca theo tháng </t>
  </si>
  <si>
    <t>Kiểm soát &lt;= 12hr/tuần</t>
  </si>
  <si>
    <t>&gt; =12 hr</t>
  </si>
  <si>
    <t>8 -&gt; 12 hr</t>
  </si>
  <si>
    <t xml:space="preserve"> =&lt; 8 hr</t>
  </si>
  <si>
    <t>Huỳnh Văn Trường</t>
  </si>
  <si>
    <t>JAN</t>
  </si>
  <si>
    <t>FEB</t>
  </si>
  <si>
    <t>MARCH</t>
  </si>
  <si>
    <t>APR</t>
  </si>
  <si>
    <t>MAY</t>
  </si>
  <si>
    <t>JUNE</t>
  </si>
  <si>
    <t>JULY</t>
  </si>
  <si>
    <t>AUGUST</t>
  </si>
  <si>
    <t>SEP</t>
  </si>
  <si>
    <t>OCT</t>
  </si>
  <si>
    <t>NOV</t>
  </si>
  <si>
    <t>DEC</t>
  </si>
  <si>
    <t>OT in the year</t>
  </si>
  <si>
    <t>Over 300h</t>
  </si>
  <si>
    <t>Số người vượt 300h</t>
  </si>
  <si>
    <t>STT</t>
  </si>
  <si>
    <t>Full name</t>
  </si>
  <si>
    <t>Department</t>
  </si>
  <si>
    <t>Section</t>
  </si>
  <si>
    <t>Position</t>
  </si>
  <si>
    <t>Start working day</t>
  </si>
  <si>
    <t>Thời gian làm việc</t>
  </si>
  <si>
    <t>Số giờ tăng ca</t>
  </si>
  <si>
    <t>Số người vượt &gt;40h/tháng</t>
  </si>
  <si>
    <t>12</t>
  </si>
  <si>
    <t>T1</t>
  </si>
  <si>
    <t>T2</t>
  </si>
  <si>
    <t>T3</t>
  </si>
  <si>
    <t>T4</t>
  </si>
  <si>
    <t>T5</t>
  </si>
  <si>
    <t>T6</t>
  </si>
  <si>
    <t>T7</t>
  </si>
  <si>
    <t>T8</t>
  </si>
  <si>
    <t>T9</t>
  </si>
  <si>
    <t>T10</t>
  </si>
  <si>
    <t>T11</t>
  </si>
  <si>
    <t>T12</t>
  </si>
  <si>
    <t>TOTAL</t>
  </si>
  <si>
    <t xml:space="preserve">Nguyễn Vũ Em </t>
  </si>
  <si>
    <t>Võ Hửu Nghi</t>
  </si>
  <si>
    <t xml:space="preserve">Phạm Hoàng Nam </t>
  </si>
  <si>
    <t>Nguyễn  Anh Tú</t>
  </si>
  <si>
    <t>22/02/2021</t>
  </si>
  <si>
    <t>26/04/2021</t>
  </si>
  <si>
    <t>05/05/2021</t>
  </si>
  <si>
    <t>11/11/2021</t>
  </si>
  <si>
    <t>03406</t>
  </si>
  <si>
    <t>Ngô Thị Mỹ Xuyên</t>
  </si>
  <si>
    <t>Trần Thành Đại</t>
  </si>
  <si>
    <t xml:space="preserve">Phan Kiều Diễm </t>
  </si>
  <si>
    <t>Đoàn  Quốc Lập</t>
  </si>
  <si>
    <t/>
  </si>
  <si>
    <t>DANH SÁCH VƯỢT OT MỚI</t>
  </si>
  <si>
    <t>Số giờ đã tăng ca theo tháng 2</t>
  </si>
  <si>
    <t>Số giờ đã tăng ca theo tuần</t>
  </si>
  <si>
    <t>05164</t>
  </si>
  <si>
    <t>Trịnh Linh Nghi</t>
  </si>
  <si>
    <t>05182</t>
  </si>
  <si>
    <t>Huỳnh Hữu Phước</t>
  </si>
  <si>
    <t>05196</t>
  </si>
  <si>
    <t>Đỗ Hoàng Chí Tâm</t>
  </si>
  <si>
    <t>05209</t>
  </si>
  <si>
    <t>Trần Thị Hồng Lam</t>
  </si>
  <si>
    <t>05210</t>
  </si>
  <si>
    <t>Huỳnh Hồng Phúc</t>
  </si>
  <si>
    <t>05229</t>
  </si>
  <si>
    <t>Phạm Vĩnh An</t>
  </si>
  <si>
    <t>29/05/2026</t>
  </si>
  <si>
    <t>03909</t>
  </si>
  <si>
    <t>Phạm Trương Thanh Hoài</t>
  </si>
  <si>
    <t>05259</t>
  </si>
  <si>
    <t>Trần Văn Trọng</t>
  </si>
  <si>
    <t>Tháng 6.2026</t>
  </si>
  <si>
    <t>Sup Thảo (Linh)</t>
  </si>
  <si>
    <t>Sup Thảo</t>
  </si>
  <si>
    <t>Sup Lâm</t>
  </si>
  <si>
    <t>Sup Linh</t>
  </si>
  <si>
    <t>Sup Tuấn Anh</t>
  </si>
  <si>
    <t>Nam</t>
  </si>
  <si>
    <t xml:space="preserve">Sup Thảo </t>
  </si>
  <si>
    <t>Sup Sang</t>
  </si>
  <si>
    <t xml:space="preserve"> </t>
  </si>
  <si>
    <t>`</t>
  </si>
  <si>
    <t>05280</t>
  </si>
  <si>
    <t>Nguyễn Đình Dương Khang</t>
  </si>
  <si>
    <t>19/06/2026</t>
  </si>
  <si>
    <t>05281</t>
  </si>
  <si>
    <t>Nguyễn Văn Gấm</t>
  </si>
  <si>
    <t>05228</t>
  </si>
  <si>
    <t>Đặng Thị Minh Thư</t>
  </si>
  <si>
    <t>04127</t>
  </si>
  <si>
    <t>Dương Vĩnh Lâm</t>
  </si>
  <si>
    <t>05291</t>
  </si>
  <si>
    <t>Huỳnh Thị Trà My</t>
  </si>
  <si>
    <t>05292</t>
  </si>
  <si>
    <t>Đặng Thu Duyên</t>
  </si>
  <si>
    <t>05293</t>
  </si>
  <si>
    <t>Nguyễn Văn Trường</t>
  </si>
  <si>
    <t>05295</t>
  </si>
  <si>
    <t>Lương Văn Thắng</t>
  </si>
  <si>
    <t>05296</t>
  </si>
  <si>
    <t>Nguyễn Văn Khải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</si>
</sst>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dd\/mm\/yyyy"/>
    <numFmt numFmtId="165" formatCode="_-* #,##0.00\ _₫_-;\-* #,##0.00\ _₫_-;_-* &quot;-&quot;??\ _₫_-;_-@_-"/>
    <numFmt numFmtId="166" formatCode="_(* #,##0.0_);_(* \(#,##0.0\);_(* &quot;-&quot;??_);_(@_)"/>
    <numFmt numFmtId="167" formatCode="[$-14809]d/m/yyyy;@"/>
    <numFmt numFmtId="168" formatCode="_(* #,##0_);_(* \(#,##0\);_(* &quot;-&quot;??_);_(@_)"/>
    <numFmt numFmtId="169" formatCode="#,##0.00;[Red]#,##0.00"/>
  </numFmts>
  <fonts count="54" x14ac:knownFonts="1">
    <font>
      <sz val="11"/>
      <color theme="1"/>
      <name val="Calibri"/>
      <family val="2"/>
      <scheme val="minor"/>
    </font>
    <font>
      <sz val="11"/>
      <color theme="1"/>
      <name val="Calibri"/>
      <family val="2"/>
      <scheme val="minor"/>
    </font>
    <font>
      <b/>
      <sz val="15"/>
      <color theme="1"/>
      <name val="Times New Roman"/>
      <family val="1"/>
    </font>
    <font>
      <b/>
      <sz val="15"/>
      <name val="Times New Roman"/>
      <family val="1"/>
    </font>
    <font>
      <b/>
      <sz val="15"/>
      <color rgb="FFFF0000"/>
      <name val="Times New Roman"/>
      <family val="1"/>
    </font>
    <font>
      <b/>
      <sz val="9"/>
      <color rgb="FFFF0000"/>
      <name val="Times New Roman"/>
      <family val="1"/>
    </font>
    <font>
      <sz val="11"/>
      <name val="Times New Roman"/>
      <family val="1"/>
    </font>
    <font>
      <sz val="11"/>
      <color theme="1"/>
      <name val="Times New Roman"/>
      <family val="1"/>
    </font>
    <font>
      <sz val="11"/>
      <name val="Arial"/>
      <family val="2"/>
    </font>
    <font>
      <sz val="10"/>
      <color theme="1"/>
      <name val="Times New Roman"/>
      <family val="1"/>
    </font>
    <font>
      <b/>
      <sz val="11"/>
      <color rgb="FFFF0000"/>
      <name val="Times New Roman"/>
      <family val="1"/>
      <charset val="163"/>
    </font>
    <font>
      <sz val="10"/>
      <name val="Times New Roman"/>
      <family val="1"/>
    </font>
    <font>
      <sz val="11"/>
      <color theme="1"/>
      <name val="Arial"/>
      <family val="2"/>
    </font>
    <font>
      <sz val="8"/>
      <color theme="1"/>
      <name val="Times New Roman"/>
      <family val="1"/>
    </font>
    <font>
      <sz val="13"/>
      <color theme="1"/>
      <name val="Times New Roman"/>
      <family val="1"/>
    </font>
    <font>
      <sz val="13"/>
      <name val="Times New Roman"/>
      <family val="1"/>
    </font>
    <font>
      <b/>
      <u/>
      <sz val="13"/>
      <name val="Times New Roman"/>
      <family val="1"/>
    </font>
    <font>
      <b/>
      <sz val="13"/>
      <color rgb="FFFF0000"/>
      <name val="Times New Roman"/>
      <family val="1"/>
      <charset val="163"/>
    </font>
    <font>
      <sz val="7"/>
      <color theme="1"/>
      <name val="Times New Roman"/>
      <family val="1"/>
    </font>
    <font>
      <b/>
      <sz val="8"/>
      <color theme="1"/>
      <name val="Times New Roman"/>
      <family val="1"/>
    </font>
    <font>
      <b/>
      <sz val="10"/>
      <name val="Times New Roman"/>
      <family val="1"/>
    </font>
    <font>
      <sz val="10"/>
      <name val="Arial"/>
      <family val="2"/>
    </font>
    <font>
      <b/>
      <sz val="11"/>
      <color rgb="FFFF0000"/>
      <name val="Calibri"/>
      <family val="2"/>
      <charset val="163"/>
      <scheme val="minor"/>
    </font>
    <font>
      <b/>
      <sz val="9"/>
      <color indexed="81"/>
      <name val="Tahoma"/>
      <family val="2"/>
    </font>
    <font>
      <sz val="9"/>
      <color indexed="81"/>
      <name val="Tahoma"/>
      <family val="2"/>
    </font>
    <font>
      <b/>
      <sz val="10"/>
      <color theme="1"/>
      <name val="Times New Roman"/>
      <family val="1"/>
    </font>
    <font>
      <sz val="20"/>
      <color rgb="FFFF0000"/>
      <name val="Times New Roman"/>
      <family val="1"/>
    </font>
    <font>
      <sz val="20"/>
      <color theme="1"/>
      <name val="Times New Roman"/>
      <family val="1"/>
    </font>
    <font>
      <b/>
      <sz val="12"/>
      <color theme="1"/>
      <name val="Times New Roman"/>
      <family val="1"/>
      <charset val="163"/>
    </font>
    <font>
      <b/>
      <sz val="11"/>
      <color theme="1"/>
      <name val="Times New Roman"/>
      <family val="1"/>
    </font>
    <font>
      <b/>
      <sz val="12"/>
      <color rgb="FFFF0000"/>
      <name val="Times New Roman"/>
      <family val="1"/>
      <charset val="163"/>
    </font>
    <font>
      <sz val="20"/>
      <color theme="1"/>
      <name val="Calibri"/>
      <family val="2"/>
      <scheme val="minor"/>
    </font>
    <font>
      <b/>
      <sz val="9"/>
      <name val="Times New Roman"/>
      <family val="1"/>
    </font>
    <font>
      <b/>
      <sz val="9"/>
      <color theme="1"/>
      <name val="Times New Roman"/>
      <family val="1"/>
    </font>
    <font>
      <b/>
      <sz val="9"/>
      <name val="Times New Roman"/>
      <family val="1"/>
      <charset val="163"/>
    </font>
    <font>
      <b/>
      <sz val="8"/>
      <name val="Times New Roman"/>
      <family val="1"/>
      <charset val="163"/>
    </font>
    <font>
      <sz val="11"/>
      <color rgb="FFFF0000"/>
      <name val="Times New Roman"/>
      <family val="1"/>
    </font>
    <font>
      <sz val="9"/>
      <name val="Times New Roman"/>
      <family val="1"/>
    </font>
    <font>
      <sz val="9"/>
      <color theme="1"/>
      <name val="Times New Roman"/>
      <family val="1"/>
    </font>
    <font>
      <b/>
      <sz val="8"/>
      <color rgb="FFFF0000"/>
      <name val="Times New Roman"/>
      <family val="1"/>
      <charset val="163"/>
    </font>
    <font>
      <b/>
      <sz val="8"/>
      <color rgb="FFFF0000"/>
      <name val="Times New Roman"/>
      <family val="1"/>
    </font>
    <font>
      <b/>
      <sz val="11"/>
      <color rgb="FFFF0000"/>
      <name val="Times New Roman"/>
      <family val="1"/>
    </font>
    <font>
      <sz val="9"/>
      <color theme="1"/>
      <name val="Times New Roman"/>
      <family val="1"/>
      <charset val="163"/>
    </font>
    <font>
      <sz val="8"/>
      <color theme="1"/>
      <name val="Times New Roman"/>
      <family val="1"/>
      <charset val="163"/>
    </font>
    <font>
      <sz val="11"/>
      <color theme="1"/>
      <name val="Calibri"/>
      <family val="2"/>
      <charset val="163"/>
      <scheme val="minor"/>
    </font>
    <font>
      <sz val="8"/>
      <color theme="1"/>
      <name val="Calibri"/>
      <family val="2"/>
      <charset val="163"/>
      <scheme val="minor"/>
    </font>
    <font>
      <b/>
      <sz val="12"/>
      <color theme="1"/>
      <name val="Calibri"/>
      <family val="2"/>
      <charset val="163"/>
      <scheme val="minor"/>
    </font>
    <font>
      <b/>
      <sz val="16"/>
      <color theme="1"/>
      <name val="Times New Roman"/>
      <family val="1"/>
    </font>
    <font>
      <sz val="14"/>
      <name val="Times New Roman"/>
      <family val="1"/>
    </font>
    <font>
      <b/>
      <u/>
      <sz val="14"/>
      <color rgb="FFFF0000"/>
      <name val="Times New Roman"/>
      <family val="1"/>
    </font>
    <font>
      <sz val="14"/>
      <color theme="1"/>
      <name val="Times New Roman"/>
      <family val="1"/>
    </font>
    <font>
      <b/>
      <sz val="14"/>
      <color theme="1"/>
      <name val="Times New Roman"/>
      <family val="1"/>
    </font>
    <font>
      <b/>
      <sz val="14"/>
      <name val="Times New Roman"/>
      <family val="1"/>
    </font>
    <font>
      <sz val="14"/>
      <color theme="1"/>
      <name val="Calibri"/>
      <family val="2"/>
      <scheme val="minor"/>
    </font>
  </fonts>
  <fills count="20">
    <fill>
      <patternFill patternType="none"/>
    </fill>
    <fill>
      <patternFill patternType="gray125"/>
    </fill>
    <fill>
      <patternFill patternType="solid">
        <fgColor rgb="FFFFCCFF"/>
        <bgColor indexed="64"/>
      </patternFill>
    </fill>
    <fill>
      <patternFill patternType="solid">
        <fgColor theme="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rgb="FF92D050"/>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FF66FF"/>
        <bgColor indexed="64"/>
      </patternFill>
    </fill>
    <fill>
      <patternFill patternType="solid">
        <fgColor theme="5" tint="0.59999389629810485"/>
        <bgColor indexed="64"/>
      </patternFill>
    </fill>
  </fills>
  <borders count="25">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s>
  <cellStyleXfs count="8">
    <xf numFmtId="0" fontId="0" fillId="0" borderId="0"/>
    <xf numFmtId="165" fontId="1" fillId="0" borderId="0" applyFont="0" applyFill="0" applyBorder="0" applyAlignment="0" applyProtection="0"/>
    <xf numFmtId="0" fontId="21" fillId="0" borderId="0"/>
    <xf numFmtId="0" fontId="21" fillId="0" borderId="0"/>
    <xf numFmtId="0" fontId="1" fillId="0" borderId="0"/>
    <xf numFmtId="167" fontId="21" fillId="0" borderId="0"/>
    <xf numFmtId="167" fontId="1" fillId="0" borderId="0"/>
    <xf numFmtId="43" fontId="1" fillId="0" borderId="0" applyFont="0" applyFill="0" applyBorder="0" applyAlignment="0" applyProtection="0"/>
  </cellStyleXfs>
  <cellXfs count="226">
    <xf numFmtId="0" fontId="0" fillId="0" borderId="0" xfId="0"/>
    <xf numFmtId="0" fontId="2" fillId="0" borderId="0" xfId="0" applyFont="1"/>
    <xf numFmtId="0" fontId="3" fillId="0" borderId="0" xfId="0" applyFont="1"/>
    <xf numFmtId="0" fontId="2" fillId="0" borderId="0" xfId="0" applyFont="1" applyAlignment="1">
      <alignment horizontal="left"/>
    </xf>
    <xf numFmtId="0" fontId="2" fillId="0" borderId="0" xfId="0" applyFont="1" applyAlignment="1">
      <alignment horizontal="left" vertical="center"/>
    </xf>
    <xf numFmtId="164" fontId="2" fillId="0" borderId="0" xfId="0" applyNumberFormat="1" applyFont="1"/>
    <xf numFmtId="0" fontId="4" fillId="0" borderId="0" xfId="0" applyFont="1" applyAlignment="1">
      <alignment horizontal="center" vertical="center" textRotation="90"/>
    </xf>
    <xf numFmtId="0" fontId="5" fillId="0" borderId="0" xfId="0" applyFont="1" applyAlignment="1">
      <alignment horizontal="center" vertical="center"/>
    </xf>
    <xf numFmtId="0" fontId="6"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0" fontId="7" fillId="0" borderId="0" xfId="0" applyFont="1" applyAlignment="1">
      <alignment horizontal="left" vertical="center"/>
    </xf>
    <xf numFmtId="164" fontId="7" fillId="0" borderId="0" xfId="0" applyNumberFormat="1" applyFont="1" applyAlignment="1">
      <alignment vertical="center"/>
    </xf>
    <xf numFmtId="0" fontId="10" fillId="0" borderId="0" xfId="0" applyFont="1" applyAlignment="1">
      <alignment horizontal="center" vertical="center"/>
    </xf>
    <xf numFmtId="0" fontId="11" fillId="0" borderId="0" xfId="0" applyFont="1" applyAlignment="1">
      <alignment horizontal="left" vertical="center"/>
    </xf>
    <xf numFmtId="0" fontId="8" fillId="0" borderId="0" xfId="0" applyFont="1" applyAlignment="1">
      <alignment horizontal="left" vertical="center"/>
    </xf>
    <xf numFmtId="0" fontId="12" fillId="0" borderId="0" xfId="0" applyFont="1"/>
    <xf numFmtId="164" fontId="13" fillId="0" borderId="0" xfId="0" applyNumberFormat="1" applyFont="1" applyAlignment="1">
      <alignment horizontal="center" vertical="center"/>
    </xf>
    <xf numFmtId="0" fontId="14"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4" fillId="0" borderId="0" xfId="0" applyFont="1" applyAlignment="1">
      <alignment horizontal="left" vertical="center"/>
    </xf>
    <xf numFmtId="164" fontId="14" fillId="0" borderId="0" xfId="0" applyNumberFormat="1" applyFont="1" applyAlignment="1">
      <alignment horizontal="center" vertical="center"/>
    </xf>
    <xf numFmtId="0" fontId="17" fillId="0" borderId="0" xfId="0" applyFont="1" applyAlignment="1">
      <alignment horizontal="center" vertical="center"/>
    </xf>
    <xf numFmtId="166" fontId="18" fillId="0" borderId="0" xfId="1" applyNumberFormat="1" applyFont="1" applyFill="1" applyAlignment="1">
      <alignment horizontal="center" vertical="center"/>
    </xf>
    <xf numFmtId="0" fontId="19" fillId="2" borderId="1" xfId="0" applyFont="1" applyFill="1" applyBorder="1" applyAlignment="1">
      <alignment vertical="center" wrapText="1"/>
    </xf>
    <xf numFmtId="0" fontId="20" fillId="2" borderId="1" xfId="0" applyFont="1" applyFill="1" applyBorder="1" applyAlignment="1">
      <alignment vertical="center" wrapText="1"/>
    </xf>
    <xf numFmtId="0" fontId="20" fillId="2" borderId="1" xfId="0" applyFont="1" applyFill="1" applyBorder="1" applyAlignment="1">
      <alignment horizontal="left" vertical="center" wrapText="1"/>
    </xf>
    <xf numFmtId="0" fontId="13" fillId="3" borderId="0" xfId="0" applyFont="1" applyFill="1"/>
    <xf numFmtId="0" fontId="9" fillId="0" borderId="3" xfId="0" applyFont="1" applyBorder="1" applyAlignment="1">
      <alignment horizontal="center" vertical="center"/>
    </xf>
    <xf numFmtId="2" fontId="9" fillId="0" borderId="3" xfId="0" quotePrefix="1" applyNumberFormat="1" applyFont="1" applyBorder="1" applyAlignment="1">
      <alignment horizontal="center" vertical="center"/>
    </xf>
    <xf numFmtId="0" fontId="11" fillId="0" borderId="2" xfId="0" quotePrefix="1" applyFont="1" applyBorder="1" applyAlignment="1">
      <alignment horizontal="center" vertical="center"/>
    </xf>
    <xf numFmtId="0" fontId="11" fillId="0" borderId="2" xfId="0" applyFont="1" applyBorder="1" applyAlignment="1">
      <alignment horizontal="left" vertical="center" wrapText="1"/>
    </xf>
    <xf numFmtId="2" fontId="9" fillId="0" borderId="2" xfId="2" applyNumberFormat="1" applyFont="1" applyBorder="1" applyAlignment="1">
      <alignment horizontal="left" vertical="center"/>
    </xf>
    <xf numFmtId="0" fontId="9" fillId="0" borderId="0" xfId="0" applyFont="1" applyAlignment="1">
      <alignment vertical="center"/>
    </xf>
    <xf numFmtId="0" fontId="9" fillId="0" borderId="2" xfId="4" quotePrefix="1" applyFont="1" applyBorder="1" applyAlignment="1">
      <alignment horizontal="center" vertical="center"/>
    </xf>
    <xf numFmtId="0" fontId="9" fillId="0" borderId="2" xfId="4" applyFont="1" applyBorder="1" applyAlignment="1">
      <alignment horizontal="left" vertical="center"/>
    </xf>
    <xf numFmtId="0" fontId="11" fillId="0" borderId="2" xfId="4" quotePrefix="1" applyFont="1" applyBorder="1" applyAlignment="1">
      <alignment horizontal="center" vertical="center"/>
    </xf>
    <xf numFmtId="0" fontId="9" fillId="0" borderId="3" xfId="4" quotePrefix="1" applyFont="1" applyBorder="1" applyAlignment="1">
      <alignment horizontal="center" vertical="center"/>
    </xf>
    <xf numFmtId="0" fontId="9" fillId="0" borderId="3" xfId="4" applyFont="1" applyBorder="1" applyAlignment="1">
      <alignment horizontal="left" vertical="center"/>
    </xf>
    <xf numFmtId="0" fontId="11" fillId="0" borderId="2" xfId="4" applyFont="1" applyBorder="1" applyAlignment="1">
      <alignment horizontal="left" vertical="center"/>
    </xf>
    <xf numFmtId="0" fontId="9" fillId="4" borderId="0" xfId="0" applyFont="1" applyFill="1" applyAlignment="1">
      <alignment vertical="center"/>
    </xf>
    <xf numFmtId="0" fontId="0" fillId="5" borderId="0" xfId="0" applyFill="1"/>
    <xf numFmtId="0" fontId="0" fillId="0" borderId="0" xfId="0" applyAlignment="1">
      <alignment horizontal="left"/>
    </xf>
    <xf numFmtId="164" fontId="0" fillId="0" borderId="0" xfId="0" applyNumberFormat="1"/>
    <xf numFmtId="0" fontId="9" fillId="0" borderId="2" xfId="0" applyFont="1" applyBorder="1" applyAlignment="1">
      <alignment vertical="center"/>
    </xf>
    <xf numFmtId="164" fontId="20" fillId="2" borderId="4" xfId="0" applyNumberFormat="1" applyFont="1" applyFill="1" applyBorder="1" applyAlignment="1">
      <alignment horizontal="center" vertical="center" wrapText="1"/>
    </xf>
    <xf numFmtId="166" fontId="11" fillId="0" borderId="10" xfId="0" applyNumberFormat="1" applyFont="1" applyBorder="1" applyAlignment="1">
      <alignment horizontal="center" vertical="center"/>
    </xf>
    <xf numFmtId="0" fontId="9" fillId="0" borderId="9" xfId="0" applyFont="1" applyBorder="1" applyAlignment="1">
      <alignment vertical="center"/>
    </xf>
    <xf numFmtId="0" fontId="20" fillId="0" borderId="8" xfId="0" applyFont="1" applyBorder="1" applyAlignment="1">
      <alignment horizontal="center" vertical="center" wrapText="1"/>
    </xf>
    <xf numFmtId="0" fontId="22" fillId="0" borderId="0" xfId="0" applyFont="1"/>
    <xf numFmtId="0" fontId="25" fillId="8" borderId="2"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7" borderId="9" xfId="0" applyFont="1" applyFill="1" applyBorder="1" applyAlignment="1">
      <alignment horizontal="center" vertical="center" wrapText="1"/>
    </xf>
    <xf numFmtId="14" fontId="9" fillId="0" borderId="2" xfId="2" applyNumberFormat="1" applyFont="1" applyBorder="1" applyAlignment="1">
      <alignment horizontal="left" vertical="center"/>
    </xf>
    <xf numFmtId="2" fontId="9" fillId="6" borderId="3" xfId="0" quotePrefix="1" applyNumberFormat="1" applyFont="1" applyFill="1" applyBorder="1" applyAlignment="1">
      <alignment horizontal="center" vertical="center"/>
    </xf>
    <xf numFmtId="0" fontId="9" fillId="6" borderId="2" xfId="4" quotePrefix="1" applyFont="1" applyFill="1" applyBorder="1" applyAlignment="1">
      <alignment horizontal="center" vertical="center"/>
    </xf>
    <xf numFmtId="0" fontId="9" fillId="6" borderId="2" xfId="4" applyFont="1" applyFill="1" applyBorder="1" applyAlignment="1">
      <alignment horizontal="left" vertical="center"/>
    </xf>
    <xf numFmtId="0" fontId="11" fillId="6" borderId="2" xfId="4" quotePrefix="1" applyFont="1" applyFill="1" applyBorder="1" applyAlignment="1">
      <alignment horizontal="center" vertical="center"/>
    </xf>
    <xf numFmtId="0" fontId="11" fillId="6" borderId="2" xfId="4" applyFont="1" applyFill="1" applyBorder="1" applyAlignment="1">
      <alignment horizontal="left" vertical="center"/>
    </xf>
    <xf numFmtId="0" fontId="9" fillId="6" borderId="3" xfId="4" quotePrefix="1" applyFont="1" applyFill="1" applyBorder="1" applyAlignment="1">
      <alignment horizontal="center" vertical="center"/>
    </xf>
    <xf numFmtId="0" fontId="9" fillId="6" borderId="3" xfId="4" applyFont="1" applyFill="1" applyBorder="1" applyAlignment="1">
      <alignment horizontal="left" vertical="center"/>
    </xf>
    <xf numFmtId="0" fontId="26" fillId="9" borderId="2" xfId="0" applyFont="1" applyFill="1" applyBorder="1"/>
    <xf numFmtId="0" fontId="27" fillId="9" borderId="2" xfId="0" applyFont="1" applyFill="1" applyBorder="1"/>
    <xf numFmtId="0" fontId="28" fillId="10" borderId="12" xfId="0" applyFont="1" applyFill="1" applyBorder="1" applyAlignment="1">
      <alignment horizontal="center"/>
    </xf>
    <xf numFmtId="0" fontId="28" fillId="6" borderId="12" xfId="0" applyFont="1" applyFill="1" applyBorder="1" applyAlignment="1">
      <alignment horizontal="center"/>
    </xf>
    <xf numFmtId="0" fontId="28" fillId="11" borderId="13" xfId="0" applyFont="1" applyFill="1" applyBorder="1" applyAlignment="1">
      <alignment horizontal="center"/>
    </xf>
    <xf numFmtId="0" fontId="28" fillId="12" borderId="12" xfId="0" applyFont="1" applyFill="1" applyBorder="1"/>
    <xf numFmtId="0" fontId="28" fillId="6" borderId="13" xfId="0" applyFont="1" applyFill="1" applyBorder="1" applyAlignment="1">
      <alignment horizontal="center"/>
    </xf>
    <xf numFmtId="0" fontId="30" fillId="0" borderId="0" xfId="0" applyFont="1"/>
    <xf numFmtId="0" fontId="27" fillId="0" borderId="0" xfId="0" applyFont="1"/>
    <xf numFmtId="0" fontId="31" fillId="0" borderId="0" xfId="0" applyFont="1"/>
    <xf numFmtId="168" fontId="32" fillId="9" borderId="2" xfId="7" applyNumberFormat="1" applyFont="1" applyFill="1" applyBorder="1" applyAlignment="1">
      <alignment horizontal="center" vertical="center" wrapText="1"/>
    </xf>
    <xf numFmtId="168" fontId="32" fillId="9" borderId="14" xfId="7" applyNumberFormat="1" applyFont="1" applyFill="1" applyBorder="1" applyAlignment="1">
      <alignment horizontal="center" vertical="center" wrapText="1"/>
    </xf>
    <xf numFmtId="168" fontId="33" fillId="9" borderId="2" xfId="7" applyNumberFormat="1" applyFont="1" applyFill="1" applyBorder="1" applyAlignment="1">
      <alignment horizontal="center" vertical="center" wrapText="1"/>
    </xf>
    <xf numFmtId="169" fontId="34" fillId="10" borderId="1" xfId="7" applyNumberFormat="1" applyFont="1" applyFill="1" applyBorder="1" applyAlignment="1">
      <alignment horizontal="center" vertical="center" wrapText="1"/>
    </xf>
    <xf numFmtId="169" fontId="35" fillId="10" borderId="1" xfId="7" applyNumberFormat="1" applyFont="1" applyFill="1" applyBorder="1" applyAlignment="1">
      <alignment horizontal="center" vertical="center" wrapText="1"/>
    </xf>
    <xf numFmtId="169" fontId="34" fillId="6" borderId="1" xfId="7" applyNumberFormat="1" applyFont="1" applyFill="1" applyBorder="1" applyAlignment="1">
      <alignment horizontal="center" vertical="center" wrapText="1"/>
    </xf>
    <xf numFmtId="169" fontId="35" fillId="6" borderId="1" xfId="7" applyNumberFormat="1" applyFont="1" applyFill="1" applyBorder="1" applyAlignment="1">
      <alignment horizontal="center" vertical="center" wrapText="1"/>
    </xf>
    <xf numFmtId="169" fontId="34" fillId="11" borderId="1" xfId="7" applyNumberFormat="1" applyFont="1" applyFill="1" applyBorder="1" applyAlignment="1">
      <alignment horizontal="center" vertical="center" wrapText="1"/>
    </xf>
    <xf numFmtId="169" fontId="35" fillId="11" borderId="1" xfId="7" applyNumberFormat="1" applyFont="1" applyFill="1" applyBorder="1" applyAlignment="1">
      <alignment horizontal="center" vertical="center" wrapText="1"/>
    </xf>
    <xf numFmtId="169" fontId="35" fillId="12" borderId="2" xfId="7" applyNumberFormat="1" applyFont="1" applyFill="1" applyBorder="1" applyAlignment="1">
      <alignment horizontal="center" vertical="center" wrapText="1"/>
    </xf>
    <xf numFmtId="169" fontId="35" fillId="11" borderId="2" xfId="7" applyNumberFormat="1" applyFont="1" applyFill="1" applyBorder="1" applyAlignment="1">
      <alignment horizontal="center" vertical="center" wrapText="1"/>
    </xf>
    <xf numFmtId="169" fontId="35" fillId="6" borderId="2" xfId="7" applyNumberFormat="1" applyFont="1" applyFill="1" applyBorder="1" applyAlignment="1">
      <alignment horizontal="center" vertical="center" wrapText="1"/>
    </xf>
    <xf numFmtId="169" fontId="35" fillId="13" borderId="2" xfId="7" applyNumberFormat="1" applyFont="1" applyFill="1" applyBorder="1" applyAlignment="1">
      <alignment horizontal="center" vertical="center" wrapText="1"/>
    </xf>
    <xf numFmtId="169" fontId="35" fillId="14" borderId="2" xfId="7" applyNumberFormat="1" applyFont="1" applyFill="1" applyBorder="1" applyAlignment="1">
      <alignment horizontal="center" vertical="center" wrapText="1"/>
    </xf>
    <xf numFmtId="169" fontId="35" fillId="14" borderId="11" xfId="7" applyNumberFormat="1" applyFont="1" applyFill="1" applyBorder="1" applyAlignment="1">
      <alignment horizontal="center" vertical="center" wrapText="1"/>
    </xf>
    <xf numFmtId="169" fontId="35" fillId="15" borderId="11" xfId="7" applyNumberFormat="1" applyFont="1" applyFill="1" applyBorder="1" applyAlignment="1">
      <alignment horizontal="center" vertical="center" wrapText="1"/>
    </xf>
    <xf numFmtId="169" fontId="35" fillId="6" borderId="11" xfId="7" applyNumberFormat="1" applyFont="1" applyFill="1" applyBorder="1" applyAlignment="1">
      <alignment horizontal="center" vertical="center" wrapText="1"/>
    </xf>
    <xf numFmtId="169" fontId="35" fillId="19" borderId="2" xfId="7" applyNumberFormat="1" applyFont="1" applyFill="1" applyBorder="1" applyAlignment="1">
      <alignment horizontal="center" vertical="center" wrapText="1"/>
    </xf>
    <xf numFmtId="168" fontId="30" fillId="0" borderId="0" xfId="7" applyNumberFormat="1" applyFont="1"/>
    <xf numFmtId="0" fontId="7" fillId="0" borderId="0" xfId="0" applyFont="1"/>
    <xf numFmtId="0" fontId="36" fillId="0" borderId="0" xfId="0" applyFont="1" applyAlignment="1">
      <alignment wrapText="1"/>
    </xf>
    <xf numFmtId="0" fontId="36" fillId="0" borderId="0" xfId="0" applyFont="1" applyAlignment="1">
      <alignment horizontal="center"/>
    </xf>
    <xf numFmtId="0" fontId="7" fillId="0" borderId="0" xfId="0" quotePrefix="1" applyFont="1" applyAlignment="1">
      <alignment vertical="center"/>
    </xf>
    <xf numFmtId="168" fontId="37" fillId="9" borderId="2" xfId="7" applyNumberFormat="1" applyFont="1" applyFill="1" applyBorder="1" applyAlignment="1">
      <alignment horizontal="left" vertical="center" wrapText="1"/>
    </xf>
    <xf numFmtId="168" fontId="37" fillId="9" borderId="17" xfId="7" applyNumberFormat="1" applyFont="1" applyFill="1" applyBorder="1" applyAlignment="1">
      <alignment horizontal="center" vertical="center" wrapText="1"/>
    </xf>
    <xf numFmtId="168" fontId="37" fillId="9" borderId="18" xfId="7" applyNumberFormat="1" applyFont="1" applyFill="1" applyBorder="1" applyAlignment="1">
      <alignment horizontal="center" vertical="center" wrapText="1"/>
    </xf>
    <xf numFmtId="168" fontId="38" fillId="9" borderId="18" xfId="7" applyNumberFormat="1" applyFont="1" applyFill="1" applyBorder="1" applyAlignment="1">
      <alignment horizontal="center" vertical="center" wrapText="1"/>
    </xf>
    <xf numFmtId="168" fontId="38" fillId="9" borderId="1" xfId="7" applyNumberFormat="1" applyFont="1" applyFill="1" applyBorder="1" applyAlignment="1">
      <alignment horizontal="center" vertical="center" wrapText="1"/>
    </xf>
    <xf numFmtId="169" fontId="39" fillId="0" borderId="1" xfId="7" applyNumberFormat="1" applyFont="1" applyFill="1" applyBorder="1" applyAlignment="1">
      <alignment horizontal="center" vertical="center" wrapText="1"/>
    </xf>
    <xf numFmtId="169" fontId="40" fillId="0" borderId="1" xfId="7" applyNumberFormat="1" applyFont="1" applyFill="1" applyBorder="1" applyAlignment="1">
      <alignment horizontal="center" vertical="center" wrapText="1"/>
    </xf>
    <xf numFmtId="0" fontId="41" fillId="0" borderId="0" xfId="0" applyFont="1"/>
    <xf numFmtId="1" fontId="37" fillId="0" borderId="2" xfId="0" applyNumberFormat="1" applyFont="1" applyBorder="1" applyAlignment="1">
      <alignment horizontal="center" vertical="center" wrapText="1"/>
    </xf>
    <xf numFmtId="0" fontId="37" fillId="0" borderId="2" xfId="0" applyFont="1" applyBorder="1" applyAlignment="1">
      <alignment horizontal="left" vertical="center" wrapText="1"/>
    </xf>
    <xf numFmtId="14" fontId="7" fillId="0" borderId="2" xfId="2" applyNumberFormat="1" applyFont="1" applyBorder="1" applyAlignment="1">
      <alignment horizontal="center" vertical="center"/>
    </xf>
    <xf numFmtId="0" fontId="42" fillId="0" borderId="2" xfId="7" applyNumberFormat="1" applyFont="1" applyFill="1" applyBorder="1" applyAlignment="1">
      <alignment horizontal="center" vertical="center" wrapText="1"/>
    </xf>
    <xf numFmtId="43" fontId="42" fillId="0" borderId="2" xfId="7" applyFont="1" applyFill="1" applyBorder="1" applyAlignment="1">
      <alignment horizontal="center" vertical="center" wrapText="1"/>
    </xf>
    <xf numFmtId="43" fontId="43" fillId="0" borderId="2" xfId="7" applyFont="1" applyFill="1" applyBorder="1" applyAlignment="1">
      <alignment horizontal="center" vertical="center" wrapText="1"/>
    </xf>
    <xf numFmtId="43" fontId="43" fillId="0" borderId="14" xfId="7" applyFont="1" applyFill="1" applyBorder="1" applyAlignment="1">
      <alignment horizontal="center" vertical="center" wrapText="1"/>
    </xf>
    <xf numFmtId="43" fontId="38" fillId="0" borderId="14" xfId="7" applyFont="1" applyFill="1" applyBorder="1" applyAlignment="1">
      <alignment horizontal="center" vertical="center" wrapText="1"/>
    </xf>
    <xf numFmtId="43" fontId="38" fillId="0" borderId="2" xfId="7" applyFont="1" applyFill="1" applyBorder="1" applyAlignment="1">
      <alignment horizontal="center" vertical="center" wrapText="1"/>
    </xf>
    <xf numFmtId="0" fontId="7" fillId="0" borderId="0" xfId="0" applyFont="1" applyAlignment="1">
      <alignment horizontal="center"/>
    </xf>
    <xf numFmtId="14" fontId="28" fillId="0" borderId="0" xfId="0" applyNumberFormat="1" applyFont="1"/>
    <xf numFmtId="165" fontId="7" fillId="0" borderId="0" xfId="0" applyNumberFormat="1" applyFont="1"/>
    <xf numFmtId="44" fontId="44" fillId="0" borderId="0" xfId="0" applyNumberFormat="1" applyFont="1"/>
    <xf numFmtId="0" fontId="45" fillId="0" borderId="0" xfId="0" applyFont="1"/>
    <xf numFmtId="0" fontId="44" fillId="0" borderId="0" xfId="0" applyFont="1"/>
    <xf numFmtId="0" fontId="0" fillId="0" borderId="0" xfId="0" applyAlignment="1">
      <alignment horizontal="center"/>
    </xf>
    <xf numFmtId="0" fontId="46" fillId="0" borderId="0" xfId="0" applyFont="1"/>
    <xf numFmtId="2" fontId="9" fillId="0" borderId="18" xfId="0" quotePrefix="1" applyNumberFormat="1" applyFont="1" applyBorder="1" applyAlignment="1">
      <alignment horizontal="center" vertical="center"/>
    </xf>
    <xf numFmtId="0" fontId="9" fillId="0" borderId="18" xfId="4" quotePrefix="1" applyFont="1" applyBorder="1" applyAlignment="1">
      <alignment horizontal="center" vertical="center"/>
    </xf>
    <xf numFmtId="0" fontId="9" fillId="0" borderId="18" xfId="4" applyFont="1" applyBorder="1" applyAlignment="1">
      <alignment horizontal="left" vertical="center"/>
    </xf>
    <xf numFmtId="2" fontId="9" fillId="0" borderId="1" xfId="2" applyNumberFormat="1" applyFont="1" applyBorder="1" applyAlignment="1">
      <alignment horizontal="left" vertical="center"/>
    </xf>
    <xf numFmtId="14" fontId="9" fillId="0" borderId="1" xfId="2" applyNumberFormat="1" applyFont="1" applyBorder="1" applyAlignment="1">
      <alignment horizontal="left" vertical="center"/>
    </xf>
    <xf numFmtId="166" fontId="11" fillId="0" borderId="8" xfId="0" applyNumberFormat="1" applyFont="1" applyBorder="1" applyAlignment="1">
      <alignment horizontal="center" vertical="center"/>
    </xf>
    <xf numFmtId="0" fontId="9" fillId="0" borderId="1" xfId="0" applyFont="1" applyBorder="1" applyAlignment="1">
      <alignment vertical="center"/>
    </xf>
    <xf numFmtId="0" fontId="9" fillId="0" borderId="22" xfId="0" applyFont="1" applyBorder="1" applyAlignment="1">
      <alignment vertical="center"/>
    </xf>
    <xf numFmtId="0" fontId="9" fillId="0" borderId="20" xfId="0" applyFont="1" applyBorder="1" applyAlignment="1">
      <alignment horizontal="center" vertical="center"/>
    </xf>
    <xf numFmtId="0" fontId="9" fillId="0" borderId="11" xfId="0" applyFont="1" applyBorder="1" applyAlignment="1">
      <alignment vertical="center"/>
    </xf>
    <xf numFmtId="0" fontId="20" fillId="2" borderId="18" xfId="0" applyFont="1" applyFill="1" applyBorder="1" applyAlignment="1">
      <alignment vertical="center" wrapText="1"/>
    </xf>
    <xf numFmtId="0" fontId="20" fillId="2" borderId="18" xfId="0" applyFont="1" applyFill="1" applyBorder="1" applyAlignment="1">
      <alignment horizontal="left" vertical="center" wrapText="1"/>
    </xf>
    <xf numFmtId="164" fontId="20" fillId="2" borderId="16" xfId="0" applyNumberFormat="1" applyFont="1" applyFill="1" applyBorder="1" applyAlignment="1">
      <alignment horizontal="center" vertical="center" wrapText="1"/>
    </xf>
    <xf numFmtId="0" fontId="20" fillId="0" borderId="23" xfId="0" applyFont="1" applyBorder="1" applyAlignment="1">
      <alignment horizontal="center" vertical="center" wrapText="1"/>
    </xf>
    <xf numFmtId="0" fontId="25" fillId="8" borderId="3"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7" borderId="24" xfId="0" applyFont="1" applyFill="1" applyBorder="1" applyAlignment="1">
      <alignment horizontal="center" vertical="center" wrapText="1"/>
    </xf>
    <xf numFmtId="0" fontId="25" fillId="7" borderId="19" xfId="0" applyFont="1" applyFill="1" applyBorder="1" applyAlignment="1">
      <alignment horizontal="center" vertical="center" wrapText="1"/>
    </xf>
    <xf numFmtId="0" fontId="9" fillId="0" borderId="4" xfId="0" applyFont="1" applyBorder="1" applyAlignment="1">
      <alignment vertical="center"/>
    </xf>
    <xf numFmtId="2" fontId="11" fillId="0" borderId="2" xfId="2" applyNumberFormat="1" applyFont="1" applyBorder="1" applyAlignment="1">
      <alignment horizontal="left" vertical="center"/>
    </xf>
    <xf numFmtId="166" fontId="48" fillId="0" borderId="0" xfId="1" applyNumberFormat="1" applyFont="1" applyFill="1" applyBorder="1" applyAlignment="1">
      <alignment horizontal="center" vertical="center"/>
    </xf>
    <xf numFmtId="166" fontId="49" fillId="0" borderId="0" xfId="1" applyNumberFormat="1" applyFont="1" applyFill="1" applyAlignment="1">
      <alignment horizontal="left" vertical="center"/>
    </xf>
    <xf numFmtId="166" fontId="50" fillId="0" borderId="0" xfId="1" applyNumberFormat="1" applyFont="1" applyFill="1" applyAlignment="1">
      <alignment horizontal="left" vertical="center"/>
    </xf>
    <xf numFmtId="0" fontId="50" fillId="0" borderId="0" xfId="0" applyFont="1" applyAlignment="1">
      <alignment horizontal="left"/>
    </xf>
    <xf numFmtId="164" fontId="50" fillId="0" borderId="0" xfId="0" applyNumberFormat="1" applyFont="1" applyAlignment="1">
      <alignment horizontal="center"/>
    </xf>
    <xf numFmtId="166" fontId="51" fillId="3" borderId="5" xfId="1" applyNumberFormat="1" applyFont="1" applyFill="1" applyBorder="1" applyAlignment="1">
      <alignment vertical="center"/>
    </xf>
    <xf numFmtId="166" fontId="51" fillId="3" borderId="6" xfId="1" applyNumberFormat="1" applyFont="1" applyFill="1" applyBorder="1" applyAlignment="1">
      <alignment vertical="center"/>
    </xf>
    <xf numFmtId="166" fontId="51" fillId="3" borderId="7" xfId="1" applyNumberFormat="1" applyFont="1" applyFill="1" applyBorder="1" applyAlignment="1">
      <alignment vertical="center"/>
    </xf>
    <xf numFmtId="166" fontId="50" fillId="0" borderId="0" xfId="1" applyNumberFormat="1" applyFont="1" applyFill="1" applyAlignment="1">
      <alignment horizontal="center" vertical="center"/>
    </xf>
    <xf numFmtId="0" fontId="51" fillId="2" borderId="1" xfId="0" applyFont="1" applyFill="1" applyBorder="1" applyAlignment="1">
      <alignment vertical="center" wrapText="1"/>
    </xf>
    <xf numFmtId="0" fontId="52" fillId="2" borderId="1" xfId="0" applyFont="1" applyFill="1" applyBorder="1" applyAlignment="1">
      <alignment vertical="center" wrapText="1"/>
    </xf>
    <xf numFmtId="0" fontId="52" fillId="2" borderId="1" xfId="0" applyFont="1" applyFill="1" applyBorder="1" applyAlignment="1">
      <alignment horizontal="left" vertical="center" wrapText="1"/>
    </xf>
    <xf numFmtId="164" fontId="52" fillId="2" borderId="4" xfId="0" applyNumberFormat="1" applyFont="1" applyFill="1" applyBorder="1" applyAlignment="1">
      <alignment horizontal="center" vertical="center" wrapText="1"/>
    </xf>
    <xf numFmtId="0" fontId="52" fillId="0" borderId="8" xfId="0" applyFont="1" applyBorder="1" applyAlignment="1">
      <alignment horizontal="center" vertical="center" wrapText="1"/>
    </xf>
    <xf numFmtId="0" fontId="51" fillId="8" borderId="2" xfId="0" applyFont="1" applyFill="1" applyBorder="1" applyAlignment="1">
      <alignment horizontal="center" vertical="center" wrapText="1"/>
    </xf>
    <xf numFmtId="0" fontId="51" fillId="6" borderId="2" xfId="0" applyFont="1" applyFill="1" applyBorder="1" applyAlignment="1">
      <alignment horizontal="center" vertical="center" wrapText="1"/>
    </xf>
    <xf numFmtId="0" fontId="51" fillId="7" borderId="9" xfId="0" applyFont="1" applyFill="1" applyBorder="1" applyAlignment="1">
      <alignment horizontal="center" vertical="center" wrapText="1"/>
    </xf>
    <xf numFmtId="0" fontId="50" fillId="3" borderId="0" xfId="0" applyFont="1" applyFill="1"/>
    <xf numFmtId="0" fontId="50" fillId="0" borderId="3" xfId="0" applyFont="1" applyBorder="1" applyAlignment="1">
      <alignment horizontal="center" vertical="center"/>
    </xf>
    <xf numFmtId="2" fontId="50" fillId="0" borderId="3" xfId="0" quotePrefix="1" applyNumberFormat="1" applyFont="1" applyBorder="1" applyAlignment="1">
      <alignment horizontal="center" vertical="center"/>
    </xf>
    <xf numFmtId="0" fontId="50" fillId="0" borderId="2" xfId="0" applyFont="1" applyBorder="1" applyAlignment="1">
      <alignment vertical="center"/>
    </xf>
    <xf numFmtId="0" fontId="50" fillId="0" borderId="9" xfId="0" applyFont="1" applyBorder="1" applyAlignment="1">
      <alignment vertical="center"/>
    </xf>
    <xf numFmtId="0" fontId="50" fillId="0" borderId="0" xfId="0" applyFont="1" applyAlignment="1">
      <alignment vertical="center"/>
    </xf>
    <xf numFmtId="2" fontId="50" fillId="6" borderId="3" xfId="0" quotePrefix="1" applyNumberFormat="1" applyFont="1" applyFill="1" applyBorder="1" applyAlignment="1">
      <alignment horizontal="center" vertical="center"/>
    </xf>
    <xf numFmtId="0" fontId="53" fillId="0" borderId="0" xfId="0" applyFont="1"/>
    <xf numFmtId="2" fontId="50" fillId="0" borderId="2" xfId="0" quotePrefix="1" applyNumberFormat="1" applyFont="1" applyBorder="1" applyAlignment="1">
      <alignment horizontal="center" vertical="center"/>
    </xf>
    <xf numFmtId="0" fontId="50" fillId="3" borderId="2" xfId="4" quotePrefix="1" applyFont="1" applyFill="1" applyBorder="1" applyAlignment="1">
      <alignment horizontal="center" vertical="center"/>
    </xf>
    <xf numFmtId="0" fontId="50" fillId="3" borderId="2" xfId="4" applyFont="1" applyFill="1" applyBorder="1" applyAlignment="1">
      <alignment horizontal="left" vertical="center"/>
    </xf>
    <xf numFmtId="0" fontId="48" fillId="3" borderId="3" xfId="0" quotePrefix="1" applyFont="1" applyFill="1" applyBorder="1" applyAlignment="1">
      <alignment horizontal="center" vertical="center"/>
    </xf>
    <xf numFmtId="0" fontId="48" fillId="3" borderId="3" xfId="0" applyFont="1" applyFill="1" applyBorder="1" applyAlignment="1">
      <alignment horizontal="left" vertical="center" wrapText="1"/>
    </xf>
    <xf numFmtId="2" fontId="50" fillId="3" borderId="2" xfId="2" applyNumberFormat="1" applyFont="1" applyFill="1" applyBorder="1" applyAlignment="1">
      <alignment horizontal="left" vertical="center"/>
    </xf>
    <xf numFmtId="14" fontId="50" fillId="3" borderId="2" xfId="2" applyNumberFormat="1" applyFont="1" applyFill="1" applyBorder="1" applyAlignment="1">
      <alignment horizontal="left" vertical="center"/>
    </xf>
    <xf numFmtId="166" fontId="48" fillId="3" borderId="10" xfId="0" applyNumberFormat="1" applyFont="1" applyFill="1" applyBorder="1" applyAlignment="1">
      <alignment horizontal="center" vertical="center"/>
    </xf>
    <xf numFmtId="0" fontId="50" fillId="3" borderId="2" xfId="0" applyFont="1" applyFill="1" applyBorder="1" applyAlignment="1">
      <alignment vertical="center"/>
    </xf>
    <xf numFmtId="0" fontId="50" fillId="3" borderId="9" xfId="0" applyFont="1" applyFill="1" applyBorder="1" applyAlignment="1">
      <alignment vertical="center"/>
    </xf>
    <xf numFmtId="0" fontId="48" fillId="3" borderId="2" xfId="0" quotePrefix="1" applyFont="1" applyFill="1" applyBorder="1" applyAlignment="1">
      <alignment horizontal="center" vertical="center"/>
    </xf>
    <xf numFmtId="0" fontId="48" fillId="3" borderId="2" xfId="0" applyFont="1" applyFill="1" applyBorder="1" applyAlignment="1">
      <alignment horizontal="left" vertical="center" wrapText="1"/>
    </xf>
    <xf numFmtId="0" fontId="48" fillId="3" borderId="2" xfId="4" quotePrefix="1" applyFont="1" applyFill="1" applyBorder="1" applyAlignment="1">
      <alignment horizontal="center" vertical="center"/>
    </xf>
    <xf numFmtId="0" fontId="48" fillId="3" borderId="2" xfId="4" applyFont="1" applyFill="1" applyBorder="1" applyAlignment="1">
      <alignment horizontal="left" vertical="center"/>
    </xf>
    <xf numFmtId="2" fontId="48" fillId="3" borderId="2" xfId="2" applyNumberFormat="1" applyFont="1" applyFill="1" applyBorder="1" applyAlignment="1">
      <alignment horizontal="left" vertical="center"/>
    </xf>
    <xf numFmtId="0" fontId="48" fillId="3" borderId="2" xfId="0" applyFont="1" applyFill="1" applyBorder="1" applyAlignment="1">
      <alignment vertical="center"/>
    </xf>
    <xf numFmtId="0" fontId="48" fillId="3" borderId="9" xfId="0" applyFont="1" applyFill="1" applyBorder="1" applyAlignment="1">
      <alignment vertical="center"/>
    </xf>
    <xf numFmtId="0" fontId="50" fillId="3" borderId="3" xfId="4" quotePrefix="1" applyFont="1" applyFill="1" applyBorder="1" applyAlignment="1">
      <alignment horizontal="center" vertical="center"/>
    </xf>
    <xf numFmtId="0" fontId="50" fillId="3" borderId="3" xfId="4" applyFont="1" applyFill="1" applyBorder="1" applyAlignment="1">
      <alignment horizontal="left" vertical="center"/>
    </xf>
    <xf numFmtId="2" fontId="50" fillId="3" borderId="3" xfId="2" applyNumberFormat="1" applyFont="1" applyFill="1" applyBorder="1" applyAlignment="1">
      <alignment horizontal="left" vertical="center"/>
    </xf>
    <xf numFmtId="0" fontId="48" fillId="3" borderId="3" xfId="3" applyFont="1" applyFill="1" applyBorder="1" applyAlignment="1">
      <alignment horizontal="left" vertical="center" wrapText="1"/>
    </xf>
    <xf numFmtId="0" fontId="48" fillId="3" borderId="3" xfId="4" quotePrefix="1" applyFont="1" applyFill="1" applyBorder="1" applyAlignment="1">
      <alignment horizontal="center" vertical="center"/>
    </xf>
    <xf numFmtId="0" fontId="48" fillId="3" borderId="3" xfId="4" applyFont="1" applyFill="1" applyBorder="1" applyAlignment="1">
      <alignment horizontal="left" vertical="center"/>
    </xf>
    <xf numFmtId="0" fontId="50" fillId="3" borderId="11" xfId="0" applyFont="1" applyFill="1" applyBorder="1" applyAlignment="1">
      <alignment vertical="center"/>
    </xf>
    <xf numFmtId="164" fontId="53" fillId="3" borderId="0" xfId="0" applyNumberFormat="1" applyFont="1" applyFill="1"/>
    <xf numFmtId="2" fontId="50" fillId="3" borderId="2" xfId="0" quotePrefix="1" applyNumberFormat="1" applyFont="1" applyFill="1" applyBorder="1" applyAlignment="1">
      <alignment horizontal="center" vertical="center"/>
    </xf>
    <xf numFmtId="0" fontId="50" fillId="0" borderId="0" xfId="0" applyFont="1" applyAlignment="1">
      <alignment horizontal="center" vertical="center"/>
    </xf>
    <xf numFmtId="0" fontId="50" fillId="0" borderId="2" xfId="0" applyFont="1" applyBorder="1" applyAlignment="1">
      <alignment horizontal="center" vertical="center"/>
    </xf>
    <xf numFmtId="0" fontId="50" fillId="3" borderId="2" xfId="4" applyFont="1" applyFill="1" applyBorder="1" applyAlignment="1">
      <alignment vertical="center"/>
    </xf>
    <xf numFmtId="2" fontId="50" fillId="3" borderId="2" xfId="2" applyNumberFormat="1" applyFont="1" applyFill="1" applyBorder="1" applyAlignment="1">
      <alignment vertical="center"/>
    </xf>
    <xf numFmtId="166" fontId="51" fillId="3" borderId="5" xfId="1" applyNumberFormat="1" applyFont="1" applyFill="1" applyBorder="1" applyAlignment="1">
      <alignment horizontal="center" vertical="center"/>
    </xf>
    <xf numFmtId="166" fontId="51" fillId="3" borderId="6" xfId="1" applyNumberFormat="1" applyFont="1" applyFill="1" applyBorder="1" applyAlignment="1">
      <alignment horizontal="center" vertical="center"/>
    </xf>
    <xf numFmtId="166" fontId="51" fillId="3" borderId="7" xfId="1" applyNumberFormat="1" applyFont="1" applyFill="1" applyBorder="1" applyAlignment="1">
      <alignment horizontal="center" vertical="center"/>
    </xf>
    <xf numFmtId="0" fontId="47" fillId="0" borderId="21" xfId="0" applyFont="1" applyBorder="1" applyAlignment="1">
      <alignment horizontal="center" vertical="center"/>
    </xf>
    <xf numFmtId="0" fontId="2" fillId="0" borderId="21" xfId="0" applyFont="1" applyBorder="1" applyAlignment="1">
      <alignment horizontal="center"/>
    </xf>
    <xf numFmtId="0" fontId="28" fillId="13" borderId="12" xfId="0" applyFont="1" applyFill="1" applyBorder="1" applyAlignment="1">
      <alignment horizontal="center"/>
    </xf>
    <xf numFmtId="0" fontId="28" fillId="10" borderId="11" xfId="0" applyFont="1" applyFill="1" applyBorder="1" applyAlignment="1">
      <alignment horizontal="center"/>
    </xf>
    <xf numFmtId="0" fontId="28" fillId="10" borderId="12" xfId="0" applyFont="1" applyFill="1" applyBorder="1" applyAlignment="1">
      <alignment horizontal="center"/>
    </xf>
    <xf numFmtId="0" fontId="28" fillId="6" borderId="11" xfId="0" applyFont="1" applyFill="1" applyBorder="1" applyAlignment="1">
      <alignment horizontal="center"/>
    </xf>
    <xf numFmtId="0" fontId="28" fillId="6" borderId="12" xfId="0" applyFont="1" applyFill="1" applyBorder="1" applyAlignment="1">
      <alignment horizontal="center"/>
    </xf>
    <xf numFmtId="0" fontId="28" fillId="11" borderId="11" xfId="0" applyFont="1" applyFill="1" applyBorder="1" applyAlignment="1">
      <alignment horizontal="center"/>
    </xf>
    <xf numFmtId="0" fontId="28" fillId="11" borderId="12" xfId="0" applyFont="1" applyFill="1" applyBorder="1" applyAlignment="1">
      <alignment horizontal="center"/>
    </xf>
    <xf numFmtId="0" fontId="29" fillId="17" borderId="1" xfId="0" applyFont="1" applyFill="1" applyBorder="1" applyAlignment="1">
      <alignment horizontal="center" vertical="center" wrapText="1"/>
    </xf>
    <xf numFmtId="0" fontId="29" fillId="17" borderId="18" xfId="0" applyFont="1" applyFill="1" applyBorder="1" applyAlignment="1">
      <alignment horizontal="center" vertical="center" wrapText="1"/>
    </xf>
    <xf numFmtId="0" fontId="29" fillId="17" borderId="3" xfId="0" applyFont="1" applyFill="1" applyBorder="1" applyAlignment="1">
      <alignment horizontal="center" vertical="center" wrapText="1"/>
    </xf>
    <xf numFmtId="0" fontId="7" fillId="18" borderId="16" xfId="0" applyFont="1" applyFill="1" applyBorder="1" applyAlignment="1">
      <alignment horizontal="center" vertical="center" wrapText="1"/>
    </xf>
    <xf numFmtId="0" fontId="7" fillId="18" borderId="19" xfId="0" applyFont="1" applyFill="1" applyBorder="1" applyAlignment="1">
      <alignment horizontal="center" vertical="center" wrapText="1"/>
    </xf>
    <xf numFmtId="0" fontId="28" fillId="14" borderId="12" xfId="0" applyFont="1" applyFill="1" applyBorder="1" applyAlignment="1">
      <alignment horizontal="center"/>
    </xf>
    <xf numFmtId="0" fontId="28" fillId="15" borderId="12" xfId="0" applyFont="1" applyFill="1" applyBorder="1" applyAlignment="1">
      <alignment horizontal="center"/>
    </xf>
    <xf numFmtId="0" fontId="28" fillId="15" borderId="14" xfId="0" applyFont="1" applyFill="1" applyBorder="1" applyAlignment="1">
      <alignment horizontal="center"/>
    </xf>
    <xf numFmtId="0" fontId="28" fillId="6" borderId="14" xfId="0" applyFont="1" applyFill="1" applyBorder="1" applyAlignment="1">
      <alignment horizontal="center"/>
    </xf>
    <xf numFmtId="0" fontId="28" fillId="16" borderId="11" xfId="0" applyFont="1" applyFill="1" applyBorder="1" applyAlignment="1">
      <alignment horizontal="center"/>
    </xf>
    <xf numFmtId="0" fontId="28" fillId="16" borderId="12" xfId="0" applyFont="1" applyFill="1" applyBorder="1" applyAlignment="1">
      <alignment horizontal="center"/>
    </xf>
    <xf numFmtId="0" fontId="28" fillId="16" borderId="14" xfId="0" applyFont="1" applyFill="1" applyBorder="1" applyAlignment="1">
      <alignment horizontal="center"/>
    </xf>
    <xf numFmtId="0" fontId="28" fillId="6" borderId="4" xfId="0" applyFont="1" applyFill="1" applyBorder="1" applyAlignment="1">
      <alignment horizontal="center"/>
    </xf>
    <xf numFmtId="0" fontId="28" fillId="6" borderId="13" xfId="0" applyFont="1" applyFill="1" applyBorder="1" applyAlignment="1">
      <alignment horizontal="center"/>
    </xf>
    <xf numFmtId="0" fontId="28" fillId="6" borderId="15" xfId="0" applyFont="1" applyFill="1" applyBorder="1" applyAlignment="1">
      <alignment horizontal="center"/>
    </xf>
    <xf numFmtId="0" fontId="29" fillId="17" borderId="15" xfId="0" applyFont="1" applyFill="1" applyBorder="1" applyAlignment="1">
      <alignment horizontal="center" vertical="center" wrapText="1"/>
    </xf>
    <xf numFmtId="0" fontId="29" fillId="17" borderId="17" xfId="0" applyFont="1" applyFill="1" applyBorder="1" applyAlignment="1">
      <alignment horizontal="center" vertical="center" wrapText="1"/>
    </xf>
    <xf numFmtId="0" fontId="29" fillId="17" borderId="20" xfId="0" applyFont="1" applyFill="1" applyBorder="1" applyAlignment="1">
      <alignment horizontal="center" vertical="center" wrapText="1"/>
    </xf>
  </cellXfs>
  <cellStyles count="8">
    <cellStyle name="Comma" xfId="1" builtinId="3"/>
    <cellStyle name="Comma 2" xfId="7" xr:uid="{26A0DFBD-02B3-4246-B797-4A84947D7155}"/>
    <cellStyle name="Normal" xfId="0" builtinId="0"/>
    <cellStyle name="Normal 10" xfId="4" xr:uid="{79E2DFAB-3D90-4F29-89FF-72E60527A024}"/>
    <cellStyle name="Normal 12" xfId="6" xr:uid="{F30BDFE4-A567-4434-891F-E288142F421D}"/>
    <cellStyle name="Normal 2" xfId="5" xr:uid="{099F8573-9104-48E1-A45C-80509284C3E2}"/>
    <cellStyle name="Normal 3" xfId="3" xr:uid="{A5E24BE7-B942-4E93-A398-2B1A51DA727E}"/>
    <cellStyle name="一般_Sheet1" xfId="2" xr:uid="{8398124F-519A-4C79-995C-51B588176404}"/>
  </cellStyles>
  <dxfs count="62">
    <dxf>
      <fill>
        <patternFill>
          <bgColor theme="3" tint="0.59996337778862885"/>
        </patternFill>
      </fill>
    </dxf>
    <dxf>
      <fill>
        <patternFill>
          <bgColor rgb="FF00FFFF"/>
        </patternFill>
      </fill>
    </dxf>
    <dxf>
      <fill>
        <patternFill>
          <bgColor rgb="FFFFFF00"/>
        </patternFill>
      </fill>
    </dxf>
    <dxf>
      <fill>
        <patternFill>
          <bgColor rgb="FF92D050"/>
        </patternFill>
      </fill>
    </dxf>
    <dxf>
      <fill>
        <patternFill>
          <bgColor theme="5" tint="0.79998168889431442"/>
        </patternFill>
      </fill>
    </dxf>
    <dxf>
      <fill>
        <patternFill>
          <bgColor theme="4"/>
        </patternFill>
      </fill>
    </dxf>
    <dxf>
      <fill>
        <patternFill>
          <bgColor theme="1" tint="0.499984740745262"/>
        </patternFill>
      </fill>
    </dxf>
    <dxf>
      <font>
        <color rgb="FFFF0000"/>
      </font>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19" formatCode="m/d/yyyy"/>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left"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center" vertical="center" textRotation="0" wrapText="0" indent="0" justifyLastLine="0" shrinkToFit="0" readingOrder="0"/>
      <border diagonalUp="0" diagonalDown="0">
        <left/>
        <right style="thin">
          <color indexed="64"/>
        </right>
        <top/>
        <bottom style="thin">
          <color indexed="64"/>
        </bottom>
        <vertical/>
        <horizontal/>
      </border>
    </dxf>
    <dxf>
      <border outline="0">
        <left style="thin">
          <color indexed="64"/>
        </left>
        <right style="medium">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20</xdr:col>
      <xdr:colOff>581025</xdr:colOff>
      <xdr:row>2</xdr:row>
      <xdr:rowOff>123825</xdr:rowOff>
    </xdr:from>
    <xdr:to>
      <xdr:col>23</xdr:col>
      <xdr:colOff>581025</xdr:colOff>
      <xdr:row>12</xdr:row>
      <xdr:rowOff>123825</xdr:rowOff>
    </xdr:to>
    <mc:AlternateContent xmlns:mc="http://schemas.openxmlformats.org/markup-compatibility/2006" xmlns:sle15="http://schemas.microsoft.com/office/drawing/2012/slicer">
      <mc:Choice Requires="sle15">
        <xdr:graphicFrame macro="">
          <xdr:nvGraphicFramePr>
            <xdr:cNvPr id="2" name="BỘ PHẬN&#10;Section">
              <a:extLst>
                <a:ext uri="{FF2B5EF4-FFF2-40B4-BE49-F238E27FC236}">
                  <a16:creationId xmlns:a16="http://schemas.microsoft.com/office/drawing/2014/main" id="{CD0A60BF-8111-BB4D-AE37-69BEF84B196F}"/>
                </a:ext>
              </a:extLst>
            </xdr:cNvPr>
            <xdr:cNvGraphicFramePr/>
          </xdr:nvGraphicFramePr>
          <xdr:xfrm>
            <a:off x="0" y="0"/>
            <a:ext cx="0" cy="0"/>
          </xdr:xfrm>
          <a:graphic>
            <a:graphicData uri="http://schemas.microsoft.com/office/drawing/2010/slicer">
              <sle:slicer xmlns:sle="http://schemas.microsoft.com/office/drawing/2010/slicer" name="BỘ PHẬN&#10;Section"/>
            </a:graphicData>
          </a:graphic>
        </xdr:graphicFrame>
      </mc:Choice>
      <mc:Fallback xmlns="">
        <xdr:sp macro="" textlink="">
          <xdr:nvSpPr>
            <xdr:cNvPr id="0" name=""/>
            <xdr:cNvSpPr>
              <a:spLocks noTextEdit="1"/>
            </xdr:cNvSpPr>
          </xdr:nvSpPr>
          <xdr:spPr>
            <a:xfrm>
              <a:off x="15973425" y="5619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ites/foaming/Shared%20Documents/Foaming/25.%20Giang%20FM/Admin/B&#7842;NG%20CH&#7844;M%20C&#212;NG/2026/07.2026/S&#7842;N%20L&#431;&#7906;NG%20T07.2026.xlsx" TargetMode="External"/><Relationship Id="rId2" Type="http://schemas.openxmlformats.org/officeDocument/2006/relationships/externalLinkPath" Target="https://ortholitevietnam.sharepoint.com/sites/foaming/Shared%20Documents/Foaming/25.%20Giang%20FM/Admin/B&#7842;NG%20CH&#7844;M%20C&#212;NG/2026/07.2026/S&#7842;N%20L&#431;&#7906;NG%20T07.2026.xlsx" TargetMode="External"/><Relationship Id="rId1" Type="http://schemas.openxmlformats.org/officeDocument/2006/relationships/externalLinkPath" Target="/sites/foaming/Shared%20Documents/Foaming/25.%20Giang%20FM/Admin/B&#7842;NG%20CH&#7844;M%20C&#212;NG/2026/07.2026/S&#7842;N%20L&#431;&#7906;NG%20T07.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ortholitevietnam.sharepoint.com/sites/foaming/Shared%20Documents/Foaming/25.%20Giang%20FM/Admin/OT/T&#7893;ng%20t&#259;ng%20ca%20Foaming..xlsx" TargetMode="External"/><Relationship Id="rId1" Type="http://schemas.openxmlformats.org/officeDocument/2006/relationships/externalLinkPath" Target="T&#7893;ng%20t&#259;ng%20ca%20Foaming..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sites/foaming/Shared%20Documents/Foaming/18.PIC%20T&#226;m/REPORT%20-PIC%20TAM/B&#7842;NG%20X&#7870;P%20CA/2026/BXC%20NEW%20T&#194;M.xlsx" TargetMode="External"/><Relationship Id="rId2" Type="http://schemas.openxmlformats.org/officeDocument/2006/relationships/externalLinkPath" Target="https://ortholitevietnam.sharepoint.com/sites/foaming/Shared%20Documents/Foaming/18.PIC%20T&#226;m/REPORT%20-PIC%20TAM/B&#7842;NG%20X&#7870;P%20CA/2026/BXC%20NEW%20T&#194;M.xlsx" TargetMode="External"/><Relationship Id="rId1" Type="http://schemas.openxmlformats.org/officeDocument/2006/relationships/externalLinkPath" Target="/sites/foaming/Shared%20Documents/Foaming/18.PIC%20T&#226;m/REPORT%20-PIC%20TAM/B&#7842;NG%20X&#7870;P%20CA/2026/BXC%20NEW%20T&#194;M.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sites/hr/Shared%20Documents/HR-Admin%20documents/8.%20HR%20Operations/12.%20Time%20keeping/1.%20Time%20attendance/1.%20BCC/2026/1.%20BCC%202026/03.%20MAR.xlsx" TargetMode="External"/><Relationship Id="rId2" Type="http://schemas.openxmlformats.org/officeDocument/2006/relationships/externalLinkPath" Target="https://ortholitevietnam.sharepoint.com/sites/hr/Shared%20Documents/HR-Admin%20documents/8.%20HR%20Operations/12.%20Time%20keeping/1.%20Time%20attendance/1.%20BCC/2026/1.%20BCC%202026/03.%20MAR.xlsx" TargetMode="External"/><Relationship Id="rId1" Type="http://schemas.openxmlformats.org/officeDocument/2006/relationships/externalLinkPath" Target="/sites/hr/Shared%20Documents/HR-Admin%20documents/8.%20HR%20Operations/12.%20Time%20keeping/1.%20Time%20attendance/1.%20BCC/2026/1.%20BCC%202026/03.%20MAR.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ites/foaming/Shared%20Documents/Foaming/18.PIC%20T&#226;m/REPORT%20-PIC%20TAM/B&#7842;NG%20CH&#7844;M%20C&#212;NG/2026/S&#7842;N%20L&#431;&#7906;NG%20T04.2026.xlsx" TargetMode="External"/><Relationship Id="rId2" Type="http://schemas.openxmlformats.org/officeDocument/2006/relationships/externalLinkPath" Target="https://ortholitevietnam.sharepoint.com/sites/foaming/Shared%20Documents/Foaming/18.PIC%20T&#226;m/REPORT%20-PIC%20TAM/B&#7842;NG%20CH&#7844;M%20C&#212;NG/2026/S&#7842;N%20L&#431;&#7906;NG%20T04.2026.xlsx" TargetMode="External"/><Relationship Id="rId1" Type="http://schemas.openxmlformats.org/officeDocument/2006/relationships/externalLinkPath" Target="/sites/foaming/Shared%20Documents/Foaming/18.PIC%20T&#226;m/REPORT%20-PIC%20TAM/B&#7842;NG%20CH&#7844;M%20C&#212;NG/2026/S&#7842;N%20L&#431;&#7906;NG%20T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etail in Aug"/>
      <sheetName val="Sheet3"/>
      <sheetName val="Sheet1"/>
      <sheetName val="OT 6 tháng"/>
      <sheetName val="Sản Lượng Ngày"/>
      <sheetName val="VỆ SINH T7.2026"/>
      <sheetName val="BCC"/>
      <sheetName val="BCC Tổng 07.2026"/>
      <sheetName val="Tăng ca Hr"/>
      <sheetName val="BCC tháng 6 KT"/>
      <sheetName val="Tăng ca KT"/>
      <sheetName val="Điểm sản lượng HR tháng 6.2026"/>
      <sheetName val="Activities T6 Hr"/>
      <sheetName val="Activities T6 KT"/>
      <sheetName val="Bảng PPH"/>
      <sheetName val="cập nhật mới không tính PPH T1"/>
      <sheetName val="Đổ"/>
      <sheetName val="FOAMING_POURING"/>
      <sheetName val="BCC tháng 6 ĐỔ"/>
      <sheetName val="BCC tháng TÁCH"/>
      <sheetName val="Tách"/>
      <sheetName val="FOAMING_SPLITTING"/>
    </sheetNames>
    <sheetDataSet>
      <sheetData sheetId="0"/>
      <sheetData sheetId="1"/>
      <sheetData sheetId="2"/>
      <sheetData sheetId="3"/>
      <sheetData sheetId="4"/>
      <sheetData sheetId="5"/>
      <sheetData sheetId="6"/>
      <sheetData sheetId="7"/>
      <sheetData sheetId="8">
        <row r="1">
          <cell r="CP1" t="str">
            <v>CÔNG TY TNHH ORTHOLITE VIỆT NAM</v>
          </cell>
        </row>
        <row r="2">
          <cell r="AT2">
            <v>0</v>
          </cell>
          <cell r="BU2">
            <v>46199</v>
          </cell>
          <cell r="CP2" t="str">
            <v>Bảng tăng ca tháng 06 năm 2026 (Ngày 26/05/2026 đến 25/06/2026)</v>
          </cell>
        </row>
        <row r="18">
          <cell r="K18">
            <v>46168</v>
          </cell>
        </row>
        <row r="19">
          <cell r="BZ19" t="str">
            <v xml:space="preserve">Vui lòng kiểm tra bảng công và  xác nhận. Sau ngày 28 hàng tháng nếu không ký xác nhận bảng công được xem như là đúng. </v>
          </cell>
          <cell r="DA19">
            <v>0</v>
          </cell>
          <cell r="DB19">
            <v>0</v>
          </cell>
          <cell r="DC19">
            <v>0</v>
          </cell>
          <cell r="DD19">
            <v>278</v>
          </cell>
          <cell r="DE19">
            <v>0</v>
          </cell>
          <cell r="DF19">
            <v>0</v>
          </cell>
          <cell r="DG19">
            <v>0</v>
          </cell>
          <cell r="DH19">
            <v>0</v>
          </cell>
        </row>
        <row r="20">
          <cell r="L20">
            <v>0</v>
          </cell>
          <cell r="M20">
            <v>0</v>
          </cell>
          <cell r="N20">
            <v>0</v>
          </cell>
          <cell r="O20">
            <v>0</v>
          </cell>
          <cell r="P20">
            <v>0</v>
          </cell>
          <cell r="Q20">
            <v>0</v>
          </cell>
          <cell r="R20">
            <v>0</v>
          </cell>
          <cell r="T20">
            <v>0</v>
          </cell>
          <cell r="U20">
            <v>0</v>
          </cell>
          <cell r="V20">
            <v>0</v>
          </cell>
          <cell r="W20">
            <v>0</v>
          </cell>
          <cell r="X20">
            <v>0</v>
          </cell>
          <cell r="Y20">
            <v>0</v>
          </cell>
          <cell r="Z20">
            <v>0</v>
          </cell>
          <cell r="AB20">
            <v>0</v>
          </cell>
          <cell r="AC20">
            <v>0</v>
          </cell>
          <cell r="AD20">
            <v>0</v>
          </cell>
          <cell r="AE20">
            <v>0</v>
          </cell>
          <cell r="AF20">
            <v>0</v>
          </cell>
          <cell r="AG20">
            <v>0</v>
          </cell>
          <cell r="AH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29</v>
          </cell>
          <cell r="BW20">
            <v>8</v>
          </cell>
          <cell r="BX20">
            <v>0</v>
          </cell>
          <cell r="BY20">
            <v>106</v>
          </cell>
          <cell r="BZ20">
            <v>135</v>
          </cell>
          <cell r="CA20">
            <v>0</v>
          </cell>
          <cell r="CB20">
            <v>0</v>
          </cell>
          <cell r="CC20">
            <v>0</v>
          </cell>
          <cell r="CD20">
            <v>0</v>
          </cell>
          <cell r="CE20">
            <v>0</v>
          </cell>
          <cell r="CF20">
            <v>0</v>
          </cell>
          <cell r="CG20">
            <v>0</v>
          </cell>
          <cell r="CH20">
            <v>0</v>
          </cell>
          <cell r="CI20">
            <v>0</v>
          </cell>
          <cell r="CJ20">
            <v>0</v>
          </cell>
          <cell r="CK20">
            <v>0</v>
          </cell>
          <cell r="CL20">
            <v>0</v>
          </cell>
          <cell r="CM20">
            <v>0</v>
          </cell>
          <cell r="CN20">
            <v>0</v>
          </cell>
          <cell r="CO20">
            <v>0</v>
          </cell>
          <cell r="CP20">
            <v>0</v>
          </cell>
          <cell r="CQ20">
            <v>0</v>
          </cell>
          <cell r="CR20">
            <v>0</v>
          </cell>
          <cell r="CS20">
            <v>0</v>
          </cell>
          <cell r="CT20">
            <v>0</v>
          </cell>
          <cell r="CU20">
            <v>0</v>
          </cell>
          <cell r="CV20">
            <v>0</v>
          </cell>
          <cell r="CW20">
            <v>0</v>
          </cell>
          <cell r="CX20">
            <v>0</v>
          </cell>
          <cell r="CY20">
            <v>0</v>
          </cell>
          <cell r="CZ20">
            <v>0</v>
          </cell>
          <cell r="DA20">
            <v>2.1</v>
          </cell>
          <cell r="DB20">
            <v>1</v>
          </cell>
          <cell r="DC20">
            <v>1.3</v>
          </cell>
          <cell r="DD20">
            <v>1.5</v>
          </cell>
          <cell r="DE20">
            <v>2</v>
          </cell>
          <cell r="DF20">
            <v>2.7</v>
          </cell>
          <cell r="DG20">
            <v>3</v>
          </cell>
          <cell r="DH20">
            <v>3.9</v>
          </cell>
          <cell r="DI20">
            <v>0</v>
          </cell>
          <cell r="DJ20">
            <v>278</v>
          </cell>
        </row>
        <row r="21">
          <cell r="E21" t="str">
            <v>Số Thẻ
Code</v>
          </cell>
          <cell r="F21" t="str">
            <v>Họ và Tên
Full Name</v>
          </cell>
          <cell r="G21" t="str">
            <v>PHÒNG BAN
Department</v>
          </cell>
          <cell r="H21" t="str">
            <v>BỘ PHẬN
Section</v>
          </cell>
          <cell r="I21" t="str">
            <v>CHỨC VỤ 
Position</v>
          </cell>
          <cell r="J21" t="str">
            <v>NGÀY VÀO LÀM 
Start day worrking</v>
          </cell>
          <cell r="K21" t="str">
            <v>Ngày ký HĐLĐ chính thức</v>
          </cell>
          <cell r="L21">
            <v>46168</v>
          </cell>
          <cell r="M21">
            <v>46169</v>
          </cell>
          <cell r="N21">
            <v>46170</v>
          </cell>
          <cell r="O21">
            <v>46171</v>
          </cell>
          <cell r="P21">
            <v>46172</v>
          </cell>
          <cell r="Q21">
            <v>46173</v>
          </cell>
          <cell r="R21">
            <v>46174</v>
          </cell>
          <cell r="S21">
            <v>46175</v>
          </cell>
          <cell r="T21">
            <v>46176</v>
          </cell>
          <cell r="U21">
            <v>46177</v>
          </cell>
          <cell r="V21">
            <v>46178</v>
          </cell>
          <cell r="W21">
            <v>46179</v>
          </cell>
          <cell r="X21">
            <v>46180</v>
          </cell>
          <cell r="Y21">
            <v>46181</v>
          </cell>
          <cell r="Z21">
            <v>46182</v>
          </cell>
          <cell r="AA21">
            <v>46183</v>
          </cell>
          <cell r="AB21">
            <v>46184</v>
          </cell>
          <cell r="AC21">
            <v>46185</v>
          </cell>
          <cell r="AD21">
            <v>46186</v>
          </cell>
          <cell r="AE21">
            <v>46187</v>
          </cell>
          <cell r="AF21">
            <v>46188</v>
          </cell>
          <cell r="AG21">
            <v>46189</v>
          </cell>
          <cell r="AH21">
            <v>46190</v>
          </cell>
          <cell r="AI21">
            <v>46191</v>
          </cell>
          <cell r="AJ21">
            <v>46192</v>
          </cell>
          <cell r="AK21">
            <v>46193</v>
          </cell>
          <cell r="AL21">
            <v>46194</v>
          </cell>
          <cell r="AM21">
            <v>46195</v>
          </cell>
          <cell r="AN21">
            <v>46196</v>
          </cell>
          <cell r="AO21">
            <v>46197</v>
          </cell>
          <cell r="AP21">
            <v>46198</v>
          </cell>
          <cell r="AQ21" t="e">
            <v>#REF!</v>
          </cell>
          <cell r="AR21" t="e">
            <v>#REF!</v>
          </cell>
          <cell r="AS21" t="e">
            <v>#REF!</v>
          </cell>
          <cell r="AT21" t="str">
            <v xml:space="preserve">Tổng giờ công
 ca đêm 130%
Night shift
</v>
          </cell>
          <cell r="AU21" t="str">
            <v>Tổng số giờ công ca ngày 
Total 
working day</v>
          </cell>
          <cell r="AV21" t="str">
            <v>Số giờ làm hưởng lương 1/2 ngày</v>
          </cell>
          <cell r="AW21" t="str">
            <v>Nghỉ BHXH (SL)</v>
          </cell>
          <cell r="AX21" t="str">
            <v xml:space="preserve">Nghỉ UP có tính lương(UP&lt;8)
</v>
          </cell>
          <cell r="AY21" t="str">
            <v xml:space="preserve">Nghỉ không lương(UP8)
</v>
          </cell>
          <cell r="AZ21" t="str">
            <v>Nghỉ không phép (NP)</v>
          </cell>
          <cell r="BA21" t="str">
            <v>Công tác
(BS)</v>
          </cell>
          <cell r="BB21" t="str">
            <v>Nghỉ được hưởng lương PO</v>
          </cell>
          <cell r="BC21" t="str">
            <v>Nghỉ Thai sản (S)</v>
          </cell>
          <cell r="BD21" t="str">
            <v>Nghỉ Thai sản (M)</v>
          </cell>
          <cell r="BE21" t="str">
            <v>Chồng nghỉ vợ sinh (PL)</v>
          </cell>
          <cell r="BF21" t="str">
            <v>Chế độ (Cưới, tang) CĐ</v>
          </cell>
          <cell r="BG21" t="str">
            <v>Phép năm AL8</v>
          </cell>
          <cell r="BH21" t="str">
            <v>Nghỉ lễ
(H)</v>
          </cell>
          <cell r="BI21" t="str">
            <v>Nghỉ bù
(WOT)</v>
          </cell>
          <cell r="BJ21" t="str">
            <v xml:space="preserve">Nghỉ làm việc tại nhà (WH)
</v>
          </cell>
          <cell r="BK21" t="str">
            <v xml:space="preserve">Nghỉ dịch CV19 
</v>
          </cell>
          <cell r="BL21" t="str">
            <v>Nghỉ TNLD
(TNLD)</v>
          </cell>
          <cell r="BM21" t="str">
            <v>TỎNG CÔNG</v>
          </cell>
          <cell r="BN21" t="str">
            <v>AL8</v>
          </cell>
          <cell r="BO21" t="str">
            <v>AL4</v>
          </cell>
          <cell r="BP21" t="str">
            <v>UP4+UP8</v>
          </cell>
          <cell r="BQ21" t="str">
            <v>Phép năm AL8</v>
          </cell>
          <cell r="BR21" t="str">
            <v xml:space="preserve">Số Phép nghỉ trong tháng </v>
          </cell>
          <cell r="BS21" t="str">
            <v>Số phép năm còn lại</v>
          </cell>
          <cell r="BT21" t="str">
            <v>Ký tên xác nhận Signature</v>
          </cell>
          <cell r="BV21">
            <v>46199</v>
          </cell>
          <cell r="BW21">
            <v>46200</v>
          </cell>
          <cell r="BX21">
            <v>46201</v>
          </cell>
          <cell r="BY21">
            <v>46202</v>
          </cell>
          <cell r="BZ21">
            <v>46203</v>
          </cell>
          <cell r="CA21">
            <v>46204</v>
          </cell>
          <cell r="CB21">
            <v>46205</v>
          </cell>
          <cell r="CC21">
            <v>46206</v>
          </cell>
          <cell r="CD21">
            <v>46207</v>
          </cell>
          <cell r="CE21">
            <v>46208</v>
          </cell>
          <cell r="CF21">
            <v>46209</v>
          </cell>
          <cell r="CG21">
            <v>46210</v>
          </cell>
          <cell r="CH21">
            <v>46211</v>
          </cell>
          <cell r="CI21">
            <v>46212</v>
          </cell>
          <cell r="CJ21">
            <v>46213</v>
          </cell>
          <cell r="CK21">
            <v>46214</v>
          </cell>
          <cell r="CL21">
            <v>46215</v>
          </cell>
          <cell r="CM21">
            <v>46216</v>
          </cell>
          <cell r="CN21">
            <v>46217</v>
          </cell>
          <cell r="CO21">
            <v>46218</v>
          </cell>
          <cell r="CP21">
            <v>46219</v>
          </cell>
          <cell r="CQ21">
            <v>46220</v>
          </cell>
          <cell r="CR21">
            <v>46221</v>
          </cell>
          <cell r="CS21">
            <v>46222</v>
          </cell>
          <cell r="CT21">
            <v>46223</v>
          </cell>
          <cell r="CU21">
            <v>46224</v>
          </cell>
          <cell r="CV21">
            <v>46225</v>
          </cell>
          <cell r="CW21">
            <v>46226</v>
          </cell>
          <cell r="CX21">
            <v>46227</v>
          </cell>
          <cell r="CY21">
            <v>46228</v>
          </cell>
          <cell r="CZ21">
            <v>46229</v>
          </cell>
          <cell r="DA21" t="str">
            <v>OT SAU 22H</v>
          </cell>
          <cell r="DB21" t="str">
            <v>Chế độ con nhỏ (ca ngày)</v>
          </cell>
          <cell r="DC21" t="str">
            <v>Chế độ con nhỏ (ca đêm)</v>
          </cell>
          <cell r="DD21" t="str">
            <v>Giờ Tăng ca ngày thường ca ngày (giờ) Daytime overtime</v>
          </cell>
          <cell r="DE21" t="str">
            <v>Giờ tăng ca ngày thường Chủ Nhật (Giờ)Overtime Sunday</v>
          </cell>
          <cell r="DF21" t="str">
            <v>Giờ tăng ca đêm thường Chủ Nhật  (Giờ) Overtime Sunday night</v>
          </cell>
          <cell r="DG21" t="str">
            <v>Tăng ca ngày lễ ca ngày
Holiday
Overtime</v>
          </cell>
          <cell r="DH21" t="str">
            <v>Tăng ca đêm ngày lễ 
Holiday
Overtime</v>
          </cell>
          <cell r="DI21" t="str">
            <v>Note</v>
          </cell>
          <cell r="DJ21" t="str">
            <v>GHI CHÚ</v>
          </cell>
          <cell r="DM21" t="str">
            <v>26-28.06</v>
          </cell>
          <cell r="DN21" t="str">
            <v>29-04.07</v>
          </cell>
        </row>
        <row r="22">
          <cell r="E22" t="str">
            <v>00295</v>
          </cell>
          <cell r="F22" t="str">
            <v>Nguyễn Thị Diễm Trang</v>
          </cell>
          <cell r="G22" t="str">
            <v>Foaming</v>
          </cell>
          <cell r="H22" t="str">
            <v>FOAMING Splitting</v>
          </cell>
          <cell r="I22" t="str">
            <v>Worker</v>
          </cell>
          <cell r="J22">
            <v>41690</v>
          </cell>
          <cell r="BV22">
            <v>3</v>
          </cell>
          <cell r="BW22">
            <v>0</v>
          </cell>
          <cell r="BX22" t="str">
            <v>CN</v>
          </cell>
          <cell r="BY22">
            <v>3</v>
          </cell>
          <cell r="BZ22">
            <v>0</v>
          </cell>
          <cell r="CE22" t="str">
            <v>CN</v>
          </cell>
          <cell r="CL22" t="str">
            <v>CN</v>
          </cell>
          <cell r="CS22" t="str">
            <v>CN</v>
          </cell>
          <cell r="CZ22" t="str">
            <v>CN</v>
          </cell>
          <cell r="DA22">
            <v>0</v>
          </cell>
          <cell r="DD22">
            <v>6</v>
          </cell>
          <cell r="DE22">
            <v>0</v>
          </cell>
          <cell r="DF22">
            <v>0</v>
          </cell>
          <cell r="DJ22">
            <v>6</v>
          </cell>
          <cell r="DL22">
            <v>295</v>
          </cell>
          <cell r="DM22">
            <v>3</v>
          </cell>
          <cell r="DN22">
            <v>3</v>
          </cell>
        </row>
        <row r="23">
          <cell r="E23" t="str">
            <v>01079</v>
          </cell>
          <cell r="F23" t="str">
            <v>Phan Hoàng Linh</v>
          </cell>
          <cell r="G23" t="str">
            <v>Foaming</v>
          </cell>
          <cell r="H23" t="str">
            <v>FOAMING Splitting</v>
          </cell>
          <cell r="I23" t="str">
            <v>Team Leader</v>
          </cell>
          <cell r="J23">
            <v>43040</v>
          </cell>
          <cell r="BV23">
            <v>0</v>
          </cell>
          <cell r="BW23">
            <v>0</v>
          </cell>
          <cell r="BX23" t="str">
            <v>CN</v>
          </cell>
          <cell r="BY23">
            <v>0</v>
          </cell>
          <cell r="BZ23">
            <v>0</v>
          </cell>
          <cell r="CE23" t="str">
            <v>CN</v>
          </cell>
          <cell r="CL23" t="str">
            <v>CN</v>
          </cell>
          <cell r="CS23" t="str">
            <v>CN</v>
          </cell>
          <cell r="CZ23" t="str">
            <v>CN</v>
          </cell>
          <cell r="DA23">
            <v>0</v>
          </cell>
          <cell r="DD23">
            <v>0</v>
          </cell>
          <cell r="DE23">
            <v>0</v>
          </cell>
          <cell r="DF23">
            <v>0</v>
          </cell>
          <cell r="DJ23">
            <v>0</v>
          </cell>
          <cell r="DL23">
            <v>1079</v>
          </cell>
          <cell r="DM23">
            <v>0</v>
          </cell>
          <cell r="DN23">
            <v>0</v>
          </cell>
        </row>
        <row r="24">
          <cell r="E24" t="str">
            <v>01221</v>
          </cell>
          <cell r="F24" t="str">
            <v>Nguyễn Văn Vạn</v>
          </cell>
          <cell r="G24" t="str">
            <v>Foaming</v>
          </cell>
          <cell r="H24" t="str">
            <v>FOAMING Splitting</v>
          </cell>
          <cell r="I24" t="str">
            <v>Worker</v>
          </cell>
          <cell r="J24">
            <v>43195</v>
          </cell>
          <cell r="BV24">
            <v>0</v>
          </cell>
          <cell r="BW24">
            <v>0</v>
          </cell>
          <cell r="BX24" t="str">
            <v>CN</v>
          </cell>
          <cell r="BY24">
            <v>0</v>
          </cell>
          <cell r="BZ24">
            <v>0</v>
          </cell>
          <cell r="CE24" t="str">
            <v>CN</v>
          </cell>
          <cell r="CL24" t="str">
            <v>CN</v>
          </cell>
          <cell r="CS24" t="str">
            <v>CN</v>
          </cell>
          <cell r="CZ24" t="str">
            <v>CN</v>
          </cell>
          <cell r="DA24">
            <v>0</v>
          </cell>
          <cell r="DD24">
            <v>0</v>
          </cell>
          <cell r="DE24">
            <v>0</v>
          </cell>
          <cell r="DF24">
            <v>0</v>
          </cell>
          <cell r="DJ24">
            <v>0</v>
          </cell>
          <cell r="DL24">
            <v>1221</v>
          </cell>
          <cell r="DM24">
            <v>0</v>
          </cell>
          <cell r="DN24">
            <v>0</v>
          </cell>
        </row>
        <row r="25">
          <cell r="E25" t="str">
            <v>01362</v>
          </cell>
          <cell r="F25" t="str">
            <v>Huỳnh Văn Trường</v>
          </cell>
          <cell r="G25" t="str">
            <v>Foaming</v>
          </cell>
          <cell r="H25" t="str">
            <v>FOAMING Splitting</v>
          </cell>
          <cell r="I25" t="str">
            <v>Operator</v>
          </cell>
          <cell r="J25">
            <v>43356</v>
          </cell>
          <cell r="BV25">
            <v>0</v>
          </cell>
          <cell r="BW25">
            <v>0</v>
          </cell>
          <cell r="BX25" t="str">
            <v>CN</v>
          </cell>
          <cell r="BY25">
            <v>0</v>
          </cell>
          <cell r="BZ25">
            <v>0</v>
          </cell>
          <cell r="CE25" t="str">
            <v>CN</v>
          </cell>
          <cell r="CL25" t="str">
            <v>CN</v>
          </cell>
          <cell r="CS25" t="str">
            <v>CN</v>
          </cell>
          <cell r="CZ25" t="str">
            <v>CN</v>
          </cell>
          <cell r="DA25">
            <v>0</v>
          </cell>
          <cell r="DD25">
            <v>0</v>
          </cell>
          <cell r="DE25">
            <v>0</v>
          </cell>
          <cell r="DF25">
            <v>0</v>
          </cell>
          <cell r="DJ25">
            <v>0</v>
          </cell>
          <cell r="DL25">
            <v>1362</v>
          </cell>
          <cell r="DM25">
            <v>0</v>
          </cell>
          <cell r="DN25">
            <v>0</v>
          </cell>
        </row>
        <row r="26">
          <cell r="E26" t="str">
            <v>02067</v>
          </cell>
          <cell r="F26" t="str">
            <v>Trương Văn Đạt</v>
          </cell>
          <cell r="G26" t="str">
            <v>Foaming</v>
          </cell>
          <cell r="H26" t="str">
            <v>FOAMING Splitting</v>
          </cell>
          <cell r="I26" t="str">
            <v>Operator</v>
          </cell>
          <cell r="J26">
            <v>43803</v>
          </cell>
          <cell r="BV26">
            <v>0</v>
          </cell>
          <cell r="BW26">
            <v>0</v>
          </cell>
          <cell r="BX26" t="str">
            <v>CN</v>
          </cell>
          <cell r="BY26">
            <v>0</v>
          </cell>
          <cell r="BZ26">
            <v>0</v>
          </cell>
          <cell r="CE26" t="str">
            <v>CN</v>
          </cell>
          <cell r="CL26" t="str">
            <v>CN</v>
          </cell>
          <cell r="CS26" t="str">
            <v>CN</v>
          </cell>
          <cell r="CZ26" t="str">
            <v>CN</v>
          </cell>
          <cell r="DA26">
            <v>0</v>
          </cell>
          <cell r="DD26">
            <v>0</v>
          </cell>
          <cell r="DE26">
            <v>0</v>
          </cell>
          <cell r="DF26">
            <v>0</v>
          </cell>
          <cell r="DJ26">
            <v>0</v>
          </cell>
          <cell r="DL26">
            <v>2067</v>
          </cell>
          <cell r="DM26">
            <v>0</v>
          </cell>
          <cell r="DN26">
            <v>0</v>
          </cell>
        </row>
        <row r="27">
          <cell r="E27" t="str">
            <v>02075</v>
          </cell>
          <cell r="F27" t="str">
            <v>Đinh Chí Linh</v>
          </cell>
          <cell r="G27" t="str">
            <v>Foaming</v>
          </cell>
          <cell r="H27" t="str">
            <v>FOAMING Rectangular</v>
          </cell>
          <cell r="I27" t="str">
            <v>Team Leader</v>
          </cell>
          <cell r="J27">
            <v>43808</v>
          </cell>
          <cell r="BV27">
            <v>0</v>
          </cell>
          <cell r="BW27">
            <v>0</v>
          </cell>
          <cell r="BX27" t="str">
            <v>CN</v>
          </cell>
          <cell r="BY27">
            <v>0</v>
          </cell>
          <cell r="BZ27">
            <v>0</v>
          </cell>
          <cell r="CE27" t="str">
            <v>CN</v>
          </cell>
          <cell r="CL27" t="str">
            <v>CN</v>
          </cell>
          <cell r="CS27" t="str">
            <v>CN</v>
          </cell>
          <cell r="CZ27" t="str">
            <v>CN</v>
          </cell>
          <cell r="DA27">
            <v>0</v>
          </cell>
          <cell r="DD27">
            <v>0</v>
          </cell>
          <cell r="DE27">
            <v>0</v>
          </cell>
          <cell r="DF27">
            <v>0</v>
          </cell>
          <cell r="DJ27">
            <v>0</v>
          </cell>
          <cell r="DL27">
            <v>2075</v>
          </cell>
          <cell r="DM27">
            <v>0</v>
          </cell>
          <cell r="DN27">
            <v>0</v>
          </cell>
        </row>
        <row r="28">
          <cell r="E28" t="str">
            <v>02076</v>
          </cell>
          <cell r="F28" t="str">
            <v>Hoàng Văn Tuấn</v>
          </cell>
          <cell r="G28" t="str">
            <v>Foaming</v>
          </cell>
          <cell r="H28" t="str">
            <v>FOAMING Splitting</v>
          </cell>
          <cell r="I28" t="str">
            <v>Operator</v>
          </cell>
          <cell r="J28">
            <v>43808</v>
          </cell>
          <cell r="BV28">
            <v>0</v>
          </cell>
          <cell r="BW28">
            <v>0</v>
          </cell>
          <cell r="BX28" t="str">
            <v>CN</v>
          </cell>
          <cell r="BY28">
            <v>0</v>
          </cell>
          <cell r="BZ28">
            <v>0</v>
          </cell>
          <cell r="CE28" t="str">
            <v>CN</v>
          </cell>
          <cell r="CL28" t="str">
            <v>CN</v>
          </cell>
          <cell r="CS28" t="str">
            <v>CN</v>
          </cell>
          <cell r="CZ28" t="str">
            <v>CN</v>
          </cell>
          <cell r="DA28">
            <v>0</v>
          </cell>
          <cell r="DD28">
            <v>0</v>
          </cell>
          <cell r="DE28">
            <v>0</v>
          </cell>
          <cell r="DF28">
            <v>0</v>
          </cell>
          <cell r="DJ28">
            <v>0</v>
          </cell>
          <cell r="DL28">
            <v>2076</v>
          </cell>
          <cell r="DM28">
            <v>0</v>
          </cell>
          <cell r="DN28">
            <v>0</v>
          </cell>
        </row>
        <row r="29">
          <cell r="E29" t="str">
            <v>02101</v>
          </cell>
          <cell r="F29" t="str">
            <v>Nguyễn Văn Trọn</v>
          </cell>
          <cell r="G29" t="str">
            <v>Foaming</v>
          </cell>
          <cell r="H29" t="str">
            <v>FOAMING Splitting</v>
          </cell>
          <cell r="I29" t="str">
            <v>Worker</v>
          </cell>
          <cell r="J29">
            <v>43836</v>
          </cell>
          <cell r="BV29">
            <v>0</v>
          </cell>
          <cell r="BW29">
            <v>0</v>
          </cell>
          <cell r="BX29" t="str">
            <v>CN</v>
          </cell>
          <cell r="BY29">
            <v>0</v>
          </cell>
          <cell r="BZ29">
            <v>0</v>
          </cell>
          <cell r="CE29" t="str">
            <v>CN</v>
          </cell>
          <cell r="CL29" t="str">
            <v>CN</v>
          </cell>
          <cell r="CS29" t="str">
            <v>CN</v>
          </cell>
          <cell r="CZ29" t="str">
            <v>CN</v>
          </cell>
          <cell r="DA29">
            <v>0</v>
          </cell>
          <cell r="DD29">
            <v>0</v>
          </cell>
          <cell r="DE29">
            <v>0</v>
          </cell>
          <cell r="DF29">
            <v>0</v>
          </cell>
          <cell r="DJ29">
            <v>0</v>
          </cell>
          <cell r="DL29">
            <v>2101</v>
          </cell>
          <cell r="DM29">
            <v>0</v>
          </cell>
          <cell r="DN29">
            <v>0</v>
          </cell>
        </row>
        <row r="30">
          <cell r="E30" t="str">
            <v>02107</v>
          </cell>
          <cell r="F30" t="str">
            <v xml:space="preserve">Nguyễn Vũ Em </v>
          </cell>
          <cell r="G30" t="str">
            <v>Foaming</v>
          </cell>
          <cell r="H30" t="str">
            <v>FOAMING Rectangular</v>
          </cell>
          <cell r="I30" t="str">
            <v>Worker</v>
          </cell>
          <cell r="J30">
            <v>43844</v>
          </cell>
          <cell r="BV30">
            <v>0</v>
          </cell>
          <cell r="BW30">
            <v>0</v>
          </cell>
          <cell r="BX30" t="str">
            <v>CN</v>
          </cell>
          <cell r="BY30">
            <v>0</v>
          </cell>
          <cell r="BZ30">
            <v>0</v>
          </cell>
          <cell r="CE30" t="str">
            <v>CN</v>
          </cell>
          <cell r="CL30" t="str">
            <v>CN</v>
          </cell>
          <cell r="CS30" t="str">
            <v>CN</v>
          </cell>
          <cell r="CZ30" t="str">
            <v>CN</v>
          </cell>
          <cell r="DA30">
            <v>0</v>
          </cell>
          <cell r="DD30">
            <v>0</v>
          </cell>
          <cell r="DE30">
            <v>0</v>
          </cell>
          <cell r="DF30">
            <v>0</v>
          </cell>
          <cell r="DJ30">
            <v>0</v>
          </cell>
          <cell r="DL30">
            <v>2107</v>
          </cell>
          <cell r="DM30">
            <v>0</v>
          </cell>
          <cell r="DN30">
            <v>0</v>
          </cell>
        </row>
        <row r="31">
          <cell r="E31" t="str">
            <v>02108</v>
          </cell>
          <cell r="F31" t="str">
            <v>Nguyễn Văn Thịnh</v>
          </cell>
          <cell r="G31" t="str">
            <v>Foaming</v>
          </cell>
          <cell r="H31" t="str">
            <v>FOAMING Splitting</v>
          </cell>
          <cell r="I31" t="str">
            <v>Operator</v>
          </cell>
          <cell r="J31">
            <v>43844</v>
          </cell>
          <cell r="BV31">
            <v>0</v>
          </cell>
          <cell r="BW31">
            <v>0</v>
          </cell>
          <cell r="BX31" t="str">
            <v>CN</v>
          </cell>
          <cell r="BY31">
            <v>0</v>
          </cell>
          <cell r="BZ31">
            <v>4</v>
          </cell>
          <cell r="CE31" t="str">
            <v>CN</v>
          </cell>
          <cell r="CL31" t="str">
            <v>CN</v>
          </cell>
          <cell r="CS31" t="str">
            <v>CN</v>
          </cell>
          <cell r="CZ31" t="str">
            <v>CN</v>
          </cell>
          <cell r="DA31">
            <v>0</v>
          </cell>
          <cell r="DD31">
            <v>4</v>
          </cell>
          <cell r="DE31">
            <v>0</v>
          </cell>
          <cell r="DF31">
            <v>0</v>
          </cell>
          <cell r="DJ31">
            <v>4</v>
          </cell>
          <cell r="DL31">
            <v>2108</v>
          </cell>
          <cell r="DM31">
            <v>0</v>
          </cell>
          <cell r="DN31">
            <v>4</v>
          </cell>
        </row>
        <row r="32">
          <cell r="E32" t="str">
            <v>02111</v>
          </cell>
          <cell r="F32" t="str">
            <v>Lâm Hoàng Đặng</v>
          </cell>
          <cell r="G32" t="str">
            <v>Foaming</v>
          </cell>
          <cell r="H32" t="str">
            <v>FOAMING Splitting</v>
          </cell>
          <cell r="I32" t="str">
            <v>Operator</v>
          </cell>
          <cell r="J32">
            <v>43846</v>
          </cell>
          <cell r="BV32">
            <v>0</v>
          </cell>
          <cell r="BW32">
            <v>0</v>
          </cell>
          <cell r="BX32" t="str">
            <v>CN</v>
          </cell>
          <cell r="BY32">
            <v>0</v>
          </cell>
          <cell r="BZ32">
            <v>4</v>
          </cell>
          <cell r="CE32" t="str">
            <v>CN</v>
          </cell>
          <cell r="CL32" t="str">
            <v>CN</v>
          </cell>
          <cell r="CS32" t="str">
            <v>CN</v>
          </cell>
          <cell r="CZ32" t="str">
            <v>CN</v>
          </cell>
          <cell r="DA32">
            <v>0</v>
          </cell>
          <cell r="DD32">
            <v>4</v>
          </cell>
          <cell r="DE32">
            <v>0</v>
          </cell>
          <cell r="DF32">
            <v>0</v>
          </cell>
          <cell r="DJ32">
            <v>4</v>
          </cell>
          <cell r="DL32">
            <v>2111</v>
          </cell>
          <cell r="DM32">
            <v>0</v>
          </cell>
          <cell r="DN32">
            <v>4</v>
          </cell>
        </row>
        <row r="33">
          <cell r="E33" t="str">
            <v>02126</v>
          </cell>
          <cell r="F33" t="str">
            <v>Lê Cao Tài</v>
          </cell>
          <cell r="G33" t="str">
            <v>Foaming</v>
          </cell>
          <cell r="H33" t="str">
            <v>FOAMING Rectangular</v>
          </cell>
          <cell r="I33" t="str">
            <v>Worker</v>
          </cell>
          <cell r="J33">
            <v>43867</v>
          </cell>
          <cell r="BV33">
            <v>0</v>
          </cell>
          <cell r="BW33">
            <v>0</v>
          </cell>
          <cell r="BX33" t="str">
            <v>CN</v>
          </cell>
          <cell r="BY33">
            <v>2</v>
          </cell>
          <cell r="BZ33">
            <v>2</v>
          </cell>
          <cell r="CE33" t="str">
            <v>CN</v>
          </cell>
          <cell r="CL33" t="str">
            <v>CN</v>
          </cell>
          <cell r="CS33" t="str">
            <v>CN</v>
          </cell>
          <cell r="CZ33" t="str">
            <v>CN</v>
          </cell>
          <cell r="DA33">
            <v>0</v>
          </cell>
          <cell r="DD33">
            <v>4</v>
          </cell>
          <cell r="DE33">
            <v>0</v>
          </cell>
          <cell r="DF33">
            <v>0</v>
          </cell>
          <cell r="DJ33">
            <v>4</v>
          </cell>
          <cell r="DL33">
            <v>2126</v>
          </cell>
          <cell r="DM33">
            <v>0</v>
          </cell>
          <cell r="DN33">
            <v>4</v>
          </cell>
        </row>
        <row r="34">
          <cell r="E34" t="str">
            <v>02130</v>
          </cell>
          <cell r="F34" t="str">
            <v>Phạm Tuấn Dũ</v>
          </cell>
          <cell r="G34" t="str">
            <v>Foaming</v>
          </cell>
          <cell r="H34" t="str">
            <v>FOAMING Rectangular</v>
          </cell>
          <cell r="I34" t="str">
            <v>Operator</v>
          </cell>
          <cell r="J34">
            <v>43867</v>
          </cell>
          <cell r="BV34">
            <v>0</v>
          </cell>
          <cell r="BW34">
            <v>0</v>
          </cell>
          <cell r="BX34" t="str">
            <v>CN</v>
          </cell>
          <cell r="BY34">
            <v>0</v>
          </cell>
          <cell r="BZ34">
            <v>0</v>
          </cell>
          <cell r="CE34" t="str">
            <v>CN</v>
          </cell>
          <cell r="CL34" t="str">
            <v>CN</v>
          </cell>
          <cell r="CS34" t="str">
            <v>CN</v>
          </cell>
          <cell r="CZ34" t="str">
            <v>CN</v>
          </cell>
          <cell r="DA34">
            <v>0</v>
          </cell>
          <cell r="DD34">
            <v>0</v>
          </cell>
          <cell r="DE34">
            <v>0</v>
          </cell>
          <cell r="DF34">
            <v>0</v>
          </cell>
          <cell r="DJ34">
            <v>0</v>
          </cell>
          <cell r="DL34">
            <v>2130</v>
          </cell>
          <cell r="DM34">
            <v>0</v>
          </cell>
          <cell r="DN34">
            <v>0</v>
          </cell>
        </row>
        <row r="35">
          <cell r="E35" t="str">
            <v>02132</v>
          </cell>
          <cell r="F35" t="str">
            <v>Cao Thanh Ngọc</v>
          </cell>
          <cell r="G35" t="str">
            <v>Foaming</v>
          </cell>
          <cell r="H35" t="str">
            <v>FOAMING Splitting</v>
          </cell>
          <cell r="I35" t="str">
            <v>Operator</v>
          </cell>
          <cell r="J35">
            <v>43867</v>
          </cell>
          <cell r="BV35">
            <v>0</v>
          </cell>
          <cell r="BW35">
            <v>0</v>
          </cell>
          <cell r="BX35" t="str">
            <v>CN</v>
          </cell>
          <cell r="BY35">
            <v>0</v>
          </cell>
          <cell r="BZ35">
            <v>0</v>
          </cell>
          <cell r="CE35" t="str">
            <v>CN</v>
          </cell>
          <cell r="CL35" t="str">
            <v>CN</v>
          </cell>
          <cell r="CS35" t="str">
            <v>CN</v>
          </cell>
          <cell r="CZ35" t="str">
            <v>CN</v>
          </cell>
          <cell r="DA35">
            <v>0</v>
          </cell>
          <cell r="DD35">
            <v>0</v>
          </cell>
          <cell r="DE35">
            <v>0</v>
          </cell>
          <cell r="DF35">
            <v>0</v>
          </cell>
          <cell r="DJ35">
            <v>0</v>
          </cell>
          <cell r="DL35">
            <v>2132</v>
          </cell>
          <cell r="DM35">
            <v>0</v>
          </cell>
          <cell r="DN35">
            <v>0</v>
          </cell>
        </row>
        <row r="36">
          <cell r="E36" t="str">
            <v>02133</v>
          </cell>
          <cell r="F36" t="str">
            <v>Đặng Minh Dương</v>
          </cell>
          <cell r="G36" t="str">
            <v>Foaming</v>
          </cell>
          <cell r="H36" t="str">
            <v>FOAMING Splitting</v>
          </cell>
          <cell r="I36" t="str">
            <v>Team Leader</v>
          </cell>
          <cell r="J36">
            <v>43867</v>
          </cell>
          <cell r="BV36">
            <v>0</v>
          </cell>
          <cell r="BW36">
            <v>0</v>
          </cell>
          <cell r="BX36" t="str">
            <v>CN</v>
          </cell>
          <cell r="BY36">
            <v>4</v>
          </cell>
          <cell r="BZ36">
            <v>0</v>
          </cell>
          <cell r="CE36" t="str">
            <v>CN</v>
          </cell>
          <cell r="CL36" t="str">
            <v>CN</v>
          </cell>
          <cell r="CS36" t="str">
            <v>CN</v>
          </cell>
          <cell r="CZ36" t="str">
            <v>CN</v>
          </cell>
          <cell r="DA36">
            <v>0</v>
          </cell>
          <cell r="DD36">
            <v>4</v>
          </cell>
          <cell r="DE36">
            <v>0</v>
          </cell>
          <cell r="DF36">
            <v>0</v>
          </cell>
          <cell r="DJ36">
            <v>4</v>
          </cell>
          <cell r="DL36">
            <v>2133</v>
          </cell>
          <cell r="DM36">
            <v>0</v>
          </cell>
          <cell r="DN36">
            <v>4</v>
          </cell>
        </row>
        <row r="37">
          <cell r="E37" t="str">
            <v>02139</v>
          </cell>
          <cell r="F37" t="str">
            <v>Đặng Thị Diễm My</v>
          </cell>
          <cell r="G37" t="str">
            <v>Foaming</v>
          </cell>
          <cell r="H37" t="str">
            <v>FOAMING Production control</v>
          </cell>
          <cell r="I37" t="str">
            <v>Senior Staff</v>
          </cell>
          <cell r="J37">
            <v>43871</v>
          </cell>
          <cell r="BV37">
            <v>0</v>
          </cell>
          <cell r="BW37">
            <v>0</v>
          </cell>
          <cell r="BX37" t="str">
            <v>CN</v>
          </cell>
          <cell r="BY37">
            <v>0</v>
          </cell>
          <cell r="BZ37">
            <v>1.5</v>
          </cell>
          <cell r="CE37" t="str">
            <v>CN</v>
          </cell>
          <cell r="CL37" t="str">
            <v>CN</v>
          </cell>
          <cell r="CS37" t="str">
            <v>CN</v>
          </cell>
          <cell r="CZ37" t="str">
            <v>CN</v>
          </cell>
          <cell r="DA37">
            <v>0</v>
          </cell>
          <cell r="DD37">
            <v>1.5</v>
          </cell>
          <cell r="DE37">
            <v>0</v>
          </cell>
          <cell r="DF37">
            <v>0</v>
          </cell>
          <cell r="DJ37">
            <v>1.5</v>
          </cell>
          <cell r="DL37">
            <v>2139</v>
          </cell>
          <cell r="DM37">
            <v>0</v>
          </cell>
          <cell r="DN37">
            <v>1.5</v>
          </cell>
        </row>
        <row r="38">
          <cell r="E38" t="str">
            <v>02150</v>
          </cell>
          <cell r="F38" t="str">
            <v>Võ Thị Hồng Quy</v>
          </cell>
          <cell r="G38" t="str">
            <v>Foaming</v>
          </cell>
          <cell r="H38" t="str">
            <v>FOAMING Splitting</v>
          </cell>
          <cell r="I38" t="str">
            <v>Team Leader</v>
          </cell>
          <cell r="J38">
            <v>43871</v>
          </cell>
          <cell r="BV38">
            <v>0</v>
          </cell>
          <cell r="BW38">
            <v>0</v>
          </cell>
          <cell r="BX38" t="str">
            <v>CN</v>
          </cell>
          <cell r="BY38">
            <v>0</v>
          </cell>
          <cell r="BZ38">
            <v>0</v>
          </cell>
          <cell r="CE38" t="str">
            <v>CN</v>
          </cell>
          <cell r="CL38" t="str">
            <v>CN</v>
          </cell>
          <cell r="CS38" t="str">
            <v>CN</v>
          </cell>
          <cell r="CZ38" t="str">
            <v>CN</v>
          </cell>
          <cell r="DA38">
            <v>0</v>
          </cell>
          <cell r="DD38">
            <v>0</v>
          </cell>
          <cell r="DE38">
            <v>0</v>
          </cell>
          <cell r="DF38">
            <v>0</v>
          </cell>
          <cell r="DJ38">
            <v>0</v>
          </cell>
          <cell r="DL38">
            <v>2150</v>
          </cell>
          <cell r="DM38">
            <v>0</v>
          </cell>
          <cell r="DN38">
            <v>0</v>
          </cell>
        </row>
        <row r="39">
          <cell r="E39" t="str">
            <v>02165</v>
          </cell>
          <cell r="F39" t="str">
            <v>Trần Kim Giàu</v>
          </cell>
          <cell r="G39" t="str">
            <v>Foaming</v>
          </cell>
          <cell r="H39" t="str">
            <v>FOAMING Rectangular</v>
          </cell>
          <cell r="I39" t="str">
            <v>Worker</v>
          </cell>
          <cell r="J39">
            <v>43875</v>
          </cell>
          <cell r="BV39">
            <v>0</v>
          </cell>
          <cell r="BW39">
            <v>0</v>
          </cell>
          <cell r="BX39" t="str">
            <v>CN</v>
          </cell>
          <cell r="BY39">
            <v>0</v>
          </cell>
          <cell r="BZ39">
            <v>0</v>
          </cell>
          <cell r="CE39" t="str">
            <v>CN</v>
          </cell>
          <cell r="CL39" t="str">
            <v>CN</v>
          </cell>
          <cell r="CS39" t="str">
            <v>CN</v>
          </cell>
          <cell r="CZ39" t="str">
            <v>CN</v>
          </cell>
          <cell r="DA39">
            <v>0</v>
          </cell>
          <cell r="DD39">
            <v>0</v>
          </cell>
          <cell r="DE39">
            <v>0</v>
          </cell>
          <cell r="DF39">
            <v>0</v>
          </cell>
          <cell r="DJ39">
            <v>0</v>
          </cell>
          <cell r="DL39">
            <v>2165</v>
          </cell>
          <cell r="DM39">
            <v>0</v>
          </cell>
          <cell r="DN39">
            <v>0</v>
          </cell>
        </row>
        <row r="40">
          <cell r="E40" t="str">
            <v>02166</v>
          </cell>
          <cell r="F40" t="str">
            <v>Nguyễn Văn Hưởng</v>
          </cell>
          <cell r="G40" t="str">
            <v>Foaming</v>
          </cell>
          <cell r="H40" t="str">
            <v>FOAMING Splitting</v>
          </cell>
          <cell r="I40" t="str">
            <v>Team Leader</v>
          </cell>
          <cell r="J40">
            <v>43875</v>
          </cell>
          <cell r="BV40">
            <v>0</v>
          </cell>
          <cell r="BW40">
            <v>0</v>
          </cell>
          <cell r="BX40" t="str">
            <v>CN</v>
          </cell>
          <cell r="BY40">
            <v>0</v>
          </cell>
          <cell r="BZ40">
            <v>4</v>
          </cell>
          <cell r="CE40" t="str">
            <v>CN</v>
          </cell>
          <cell r="CL40" t="str">
            <v>CN</v>
          </cell>
          <cell r="CS40" t="str">
            <v>CN</v>
          </cell>
          <cell r="CZ40" t="str">
            <v>CN</v>
          </cell>
          <cell r="DA40">
            <v>0</v>
          </cell>
          <cell r="DD40">
            <v>4</v>
          </cell>
          <cell r="DE40">
            <v>0</v>
          </cell>
          <cell r="DF40">
            <v>0</v>
          </cell>
          <cell r="DJ40">
            <v>4</v>
          </cell>
          <cell r="DL40">
            <v>2166</v>
          </cell>
          <cell r="DM40">
            <v>0</v>
          </cell>
          <cell r="DN40">
            <v>4</v>
          </cell>
        </row>
        <row r="41">
          <cell r="E41" t="str">
            <v>02167</v>
          </cell>
          <cell r="F41" t="str">
            <v>Võ Hửu Nghi</v>
          </cell>
          <cell r="G41" t="str">
            <v>Foaming</v>
          </cell>
          <cell r="H41" t="str">
            <v>FOAMING Rectangular</v>
          </cell>
          <cell r="I41" t="str">
            <v>Team Leader</v>
          </cell>
          <cell r="J41">
            <v>43875</v>
          </cell>
          <cell r="BV41">
            <v>0</v>
          </cell>
          <cell r="BW41">
            <v>0</v>
          </cell>
          <cell r="BX41" t="str">
            <v>CN</v>
          </cell>
          <cell r="BY41">
            <v>0</v>
          </cell>
          <cell r="BZ41">
            <v>0</v>
          </cell>
          <cell r="CE41" t="str">
            <v>CN</v>
          </cell>
          <cell r="CL41" t="str">
            <v>CN</v>
          </cell>
          <cell r="CS41" t="str">
            <v>CN</v>
          </cell>
          <cell r="CZ41" t="str">
            <v>CN</v>
          </cell>
          <cell r="DA41">
            <v>0</v>
          </cell>
          <cell r="DD41">
            <v>0</v>
          </cell>
          <cell r="DE41">
            <v>0</v>
          </cell>
          <cell r="DF41">
            <v>0</v>
          </cell>
          <cell r="DJ41">
            <v>0</v>
          </cell>
          <cell r="DL41">
            <v>2167</v>
          </cell>
          <cell r="DM41">
            <v>0</v>
          </cell>
          <cell r="DN41">
            <v>0</v>
          </cell>
        </row>
        <row r="42">
          <cell r="E42" t="str">
            <v>02174</v>
          </cell>
          <cell r="F42" t="str">
            <v>Nguyễn Hữu Diện</v>
          </cell>
          <cell r="G42" t="str">
            <v>Foaming</v>
          </cell>
          <cell r="H42" t="str">
            <v>FOAMING Splitting</v>
          </cell>
          <cell r="I42" t="str">
            <v>Operator</v>
          </cell>
          <cell r="J42">
            <v>43875</v>
          </cell>
          <cell r="BV42">
            <v>0</v>
          </cell>
          <cell r="BW42">
            <v>0</v>
          </cell>
          <cell r="BX42" t="str">
            <v>CN</v>
          </cell>
          <cell r="BY42">
            <v>0</v>
          </cell>
          <cell r="BZ42">
            <v>0</v>
          </cell>
          <cell r="CE42" t="str">
            <v>CN</v>
          </cell>
          <cell r="CL42" t="str">
            <v>CN</v>
          </cell>
          <cell r="CS42" t="str">
            <v>CN</v>
          </cell>
          <cell r="CZ42" t="str">
            <v>CN</v>
          </cell>
          <cell r="DA42">
            <v>0</v>
          </cell>
          <cell r="DD42">
            <v>0</v>
          </cell>
          <cell r="DE42">
            <v>0</v>
          </cell>
          <cell r="DF42">
            <v>0</v>
          </cell>
          <cell r="DJ42">
            <v>0</v>
          </cell>
          <cell r="DL42">
            <v>2174</v>
          </cell>
          <cell r="DM42">
            <v>0</v>
          </cell>
          <cell r="DN42">
            <v>0</v>
          </cell>
        </row>
        <row r="43">
          <cell r="E43" t="str">
            <v>02190</v>
          </cell>
          <cell r="F43" t="str">
            <v>Nguyễn Bảo Lăng</v>
          </cell>
          <cell r="G43" t="str">
            <v>Foaming</v>
          </cell>
          <cell r="H43" t="str">
            <v>FOAMING Splitting</v>
          </cell>
          <cell r="I43" t="str">
            <v>Worker</v>
          </cell>
          <cell r="J43">
            <v>43881</v>
          </cell>
          <cell r="BV43">
            <v>0</v>
          </cell>
          <cell r="BW43">
            <v>0</v>
          </cell>
          <cell r="BX43" t="str">
            <v>CN</v>
          </cell>
          <cell r="BY43">
            <v>0</v>
          </cell>
          <cell r="BZ43">
            <v>4</v>
          </cell>
          <cell r="CE43" t="str">
            <v>CN</v>
          </cell>
          <cell r="CL43" t="str">
            <v>CN</v>
          </cell>
          <cell r="CS43" t="str">
            <v>CN</v>
          </cell>
          <cell r="CZ43" t="str">
            <v>CN</v>
          </cell>
          <cell r="DA43">
            <v>0</v>
          </cell>
          <cell r="DD43">
            <v>4</v>
          </cell>
          <cell r="DE43">
            <v>0</v>
          </cell>
          <cell r="DF43">
            <v>0</v>
          </cell>
          <cell r="DJ43">
            <v>4</v>
          </cell>
          <cell r="DL43">
            <v>2190</v>
          </cell>
          <cell r="DM43">
            <v>0</v>
          </cell>
          <cell r="DN43">
            <v>4</v>
          </cell>
        </row>
        <row r="44">
          <cell r="E44" t="str">
            <v>02239</v>
          </cell>
          <cell r="F44" t="str">
            <v>Lê Phong Nhã</v>
          </cell>
          <cell r="G44" t="str">
            <v>Foaming</v>
          </cell>
          <cell r="H44" t="str">
            <v>FOAMING Production control</v>
          </cell>
          <cell r="I44" t="str">
            <v>Group Leader</v>
          </cell>
          <cell r="J44">
            <v>43903</v>
          </cell>
          <cell r="BV44">
            <v>0</v>
          </cell>
          <cell r="BW44">
            <v>0</v>
          </cell>
          <cell r="BX44" t="str">
            <v>CN</v>
          </cell>
          <cell r="BY44">
            <v>0</v>
          </cell>
          <cell r="BZ44">
            <v>0</v>
          </cell>
          <cell r="CE44" t="str">
            <v>CN</v>
          </cell>
          <cell r="CL44" t="str">
            <v>CN</v>
          </cell>
          <cell r="CS44" t="str">
            <v>CN</v>
          </cell>
          <cell r="CZ44" t="str">
            <v>CN</v>
          </cell>
          <cell r="DA44">
            <v>0</v>
          </cell>
          <cell r="DD44">
            <v>0</v>
          </cell>
          <cell r="DE44">
            <v>0</v>
          </cell>
          <cell r="DF44">
            <v>0</v>
          </cell>
          <cell r="DJ44">
            <v>0</v>
          </cell>
          <cell r="DL44">
            <v>2239</v>
          </cell>
          <cell r="DM44">
            <v>0</v>
          </cell>
          <cell r="DN44">
            <v>0</v>
          </cell>
        </row>
        <row r="45">
          <cell r="E45" t="str">
            <v>02271</v>
          </cell>
          <cell r="F45" t="str">
            <v>Nguyễn Hoài Nam</v>
          </cell>
          <cell r="G45" t="str">
            <v>Foaming</v>
          </cell>
          <cell r="H45" t="str">
            <v>FOAMING Production control</v>
          </cell>
          <cell r="I45" t="str">
            <v>Associate Specialist</v>
          </cell>
          <cell r="J45">
            <v>43964</v>
          </cell>
          <cell r="BV45">
            <v>0</v>
          </cell>
          <cell r="BW45">
            <v>0</v>
          </cell>
          <cell r="BX45" t="str">
            <v>CN</v>
          </cell>
          <cell r="BY45">
            <v>0</v>
          </cell>
          <cell r="BZ45">
            <v>0</v>
          </cell>
          <cell r="CE45" t="str">
            <v>CN</v>
          </cell>
          <cell r="CL45" t="str">
            <v>CN</v>
          </cell>
          <cell r="CS45" t="str">
            <v>CN</v>
          </cell>
          <cell r="CZ45" t="str">
            <v>CN</v>
          </cell>
          <cell r="DA45">
            <v>0</v>
          </cell>
          <cell r="DD45">
            <v>0</v>
          </cell>
          <cell r="DE45">
            <v>0</v>
          </cell>
          <cell r="DF45">
            <v>0</v>
          </cell>
          <cell r="DJ45">
            <v>0</v>
          </cell>
          <cell r="DL45">
            <v>2271</v>
          </cell>
          <cell r="DM45">
            <v>0</v>
          </cell>
          <cell r="DN45">
            <v>0</v>
          </cell>
        </row>
        <row r="46">
          <cell r="E46" t="str">
            <v>02289</v>
          </cell>
          <cell r="F46" t="str">
            <v>Thái Thị Trúc Ly</v>
          </cell>
          <cell r="G46" t="str">
            <v>Foaming</v>
          </cell>
          <cell r="H46" t="str">
            <v>FOAMING Splitting</v>
          </cell>
          <cell r="I46" t="str">
            <v>Worker</v>
          </cell>
          <cell r="J46">
            <v>44019</v>
          </cell>
          <cell r="BV46">
            <v>0</v>
          </cell>
          <cell r="BW46">
            <v>0</v>
          </cell>
          <cell r="BX46" t="str">
            <v>CN</v>
          </cell>
          <cell r="BY46">
            <v>0</v>
          </cell>
          <cell r="BZ46">
            <v>0</v>
          </cell>
          <cell r="CE46" t="str">
            <v>CN</v>
          </cell>
          <cell r="CL46" t="str">
            <v>CN</v>
          </cell>
          <cell r="CS46" t="str">
            <v>CN</v>
          </cell>
          <cell r="CZ46" t="str">
            <v>CN</v>
          </cell>
          <cell r="DA46">
            <v>0</v>
          </cell>
          <cell r="DD46">
            <v>0</v>
          </cell>
          <cell r="DE46">
            <v>0</v>
          </cell>
          <cell r="DF46">
            <v>0</v>
          </cell>
          <cell r="DJ46">
            <v>0</v>
          </cell>
          <cell r="DL46">
            <v>2289</v>
          </cell>
          <cell r="DM46">
            <v>0</v>
          </cell>
          <cell r="DN46">
            <v>0</v>
          </cell>
        </row>
        <row r="47">
          <cell r="E47" t="str">
            <v>02320</v>
          </cell>
          <cell r="F47" t="str">
            <v>Nguyễn Thị Ngọc Lan</v>
          </cell>
          <cell r="G47" t="str">
            <v>Foaming</v>
          </cell>
          <cell r="H47" t="str">
            <v>FOAMING Splitting</v>
          </cell>
          <cell r="I47" t="str">
            <v>Worker</v>
          </cell>
          <cell r="J47">
            <v>44025</v>
          </cell>
          <cell r="BV47">
            <v>0</v>
          </cell>
          <cell r="BW47">
            <v>0</v>
          </cell>
          <cell r="BX47" t="str">
            <v>CN</v>
          </cell>
          <cell r="BY47">
            <v>0</v>
          </cell>
          <cell r="BZ47">
            <v>0</v>
          </cell>
          <cell r="CE47" t="str">
            <v>CN</v>
          </cell>
          <cell r="CL47" t="str">
            <v>CN</v>
          </cell>
          <cell r="CS47" t="str">
            <v>CN</v>
          </cell>
          <cell r="CZ47" t="str">
            <v>CN</v>
          </cell>
          <cell r="DA47">
            <v>0</v>
          </cell>
          <cell r="DD47">
            <v>0</v>
          </cell>
          <cell r="DE47">
            <v>0</v>
          </cell>
          <cell r="DF47">
            <v>0</v>
          </cell>
          <cell r="DJ47">
            <v>0</v>
          </cell>
          <cell r="DL47">
            <v>2320</v>
          </cell>
          <cell r="DM47">
            <v>0</v>
          </cell>
          <cell r="DN47">
            <v>0</v>
          </cell>
        </row>
        <row r="48">
          <cell r="E48" t="str">
            <v>02328</v>
          </cell>
          <cell r="F48" t="str">
            <v>Biện Công Phúc Vy</v>
          </cell>
          <cell r="G48" t="str">
            <v>Foaming</v>
          </cell>
          <cell r="H48" t="str">
            <v>FOAMING Rectangular</v>
          </cell>
          <cell r="I48" t="str">
            <v>Operator</v>
          </cell>
          <cell r="J48">
            <v>44029</v>
          </cell>
          <cell r="BV48">
            <v>0</v>
          </cell>
          <cell r="BW48">
            <v>0</v>
          </cell>
          <cell r="BX48" t="str">
            <v>CN</v>
          </cell>
          <cell r="BY48">
            <v>0</v>
          </cell>
          <cell r="BZ48">
            <v>0</v>
          </cell>
          <cell r="CE48" t="str">
            <v>CN</v>
          </cell>
          <cell r="CL48" t="str">
            <v>CN</v>
          </cell>
          <cell r="CS48" t="str">
            <v>CN</v>
          </cell>
          <cell r="CZ48" t="str">
            <v>CN</v>
          </cell>
          <cell r="DA48">
            <v>0</v>
          </cell>
          <cell r="DD48">
            <v>0</v>
          </cell>
          <cell r="DE48">
            <v>0</v>
          </cell>
          <cell r="DF48">
            <v>0</v>
          </cell>
          <cell r="DJ48">
            <v>0</v>
          </cell>
          <cell r="DL48">
            <v>2328</v>
          </cell>
          <cell r="DM48">
            <v>0</v>
          </cell>
          <cell r="DN48">
            <v>0</v>
          </cell>
        </row>
        <row r="49">
          <cell r="E49" t="str">
            <v>02336</v>
          </cell>
          <cell r="F49" t="str">
            <v xml:space="preserve">Phạm Hoàng Nam </v>
          </cell>
          <cell r="G49" t="str">
            <v>Foaming</v>
          </cell>
          <cell r="H49" t="str">
            <v>FOAMING Splitting</v>
          </cell>
          <cell r="I49" t="str">
            <v>Worker</v>
          </cell>
          <cell r="J49">
            <v>44033</v>
          </cell>
          <cell r="BV49">
            <v>0</v>
          </cell>
          <cell r="BW49">
            <v>0</v>
          </cell>
          <cell r="BX49" t="str">
            <v>CN</v>
          </cell>
          <cell r="BY49">
            <v>0</v>
          </cell>
          <cell r="BZ49">
            <v>4</v>
          </cell>
          <cell r="CE49" t="str">
            <v>CN</v>
          </cell>
          <cell r="CL49" t="str">
            <v>CN</v>
          </cell>
          <cell r="CS49" t="str">
            <v>CN</v>
          </cell>
          <cell r="CZ49" t="str">
            <v>CN</v>
          </cell>
          <cell r="DA49">
            <v>0</v>
          </cell>
          <cell r="DD49">
            <v>4</v>
          </cell>
          <cell r="DE49">
            <v>0</v>
          </cell>
          <cell r="DF49">
            <v>0</v>
          </cell>
          <cell r="DJ49">
            <v>4</v>
          </cell>
          <cell r="DL49">
            <v>2336</v>
          </cell>
          <cell r="DM49">
            <v>0</v>
          </cell>
          <cell r="DN49">
            <v>4</v>
          </cell>
        </row>
        <row r="50">
          <cell r="E50" t="str">
            <v>02352</v>
          </cell>
          <cell r="F50" t="str">
            <v>Nguyễn Văn Khánh</v>
          </cell>
          <cell r="G50" t="str">
            <v>Foaming</v>
          </cell>
          <cell r="H50" t="str">
            <v>FOAMING Rectangular</v>
          </cell>
          <cell r="I50" t="str">
            <v>Skilled worker</v>
          </cell>
          <cell r="J50">
            <v>44043</v>
          </cell>
          <cell r="BV50">
            <v>0</v>
          </cell>
          <cell r="BW50">
            <v>0</v>
          </cell>
          <cell r="BX50" t="str">
            <v>CN</v>
          </cell>
          <cell r="BY50">
            <v>0</v>
          </cell>
          <cell r="BZ50">
            <v>0</v>
          </cell>
          <cell r="CE50" t="str">
            <v>CN</v>
          </cell>
          <cell r="CL50" t="str">
            <v>CN</v>
          </cell>
          <cell r="CS50" t="str">
            <v>CN</v>
          </cell>
          <cell r="CZ50" t="str">
            <v>CN</v>
          </cell>
          <cell r="DA50">
            <v>0</v>
          </cell>
          <cell r="DD50">
            <v>0</v>
          </cell>
          <cell r="DE50">
            <v>0</v>
          </cell>
          <cell r="DF50">
            <v>0</v>
          </cell>
          <cell r="DJ50">
            <v>0</v>
          </cell>
          <cell r="DL50">
            <v>2352</v>
          </cell>
          <cell r="DM50">
            <v>0</v>
          </cell>
          <cell r="DN50">
            <v>0</v>
          </cell>
        </row>
        <row r="51">
          <cell r="E51" t="str">
            <v>02474</v>
          </cell>
          <cell r="F51" t="str">
            <v>Nguyễn  Anh Tú</v>
          </cell>
          <cell r="G51" t="str">
            <v>Foaming</v>
          </cell>
          <cell r="H51" t="str">
            <v>FOAMING Rectangular</v>
          </cell>
          <cell r="I51" t="str">
            <v>Operator</v>
          </cell>
          <cell r="J51">
            <v>44077</v>
          </cell>
          <cell r="BV51">
            <v>0</v>
          </cell>
          <cell r="BW51">
            <v>0</v>
          </cell>
          <cell r="BX51" t="str">
            <v>CN</v>
          </cell>
          <cell r="BY51">
            <v>0</v>
          </cell>
          <cell r="BZ51">
            <v>0</v>
          </cell>
          <cell r="CE51" t="str">
            <v>CN</v>
          </cell>
          <cell r="CL51" t="str">
            <v>CN</v>
          </cell>
          <cell r="CS51" t="str">
            <v>CN</v>
          </cell>
          <cell r="CZ51" t="str">
            <v>CN</v>
          </cell>
          <cell r="DA51">
            <v>0</v>
          </cell>
          <cell r="DD51">
            <v>0</v>
          </cell>
          <cell r="DE51">
            <v>0</v>
          </cell>
          <cell r="DF51">
            <v>0</v>
          </cell>
          <cell r="DJ51">
            <v>0</v>
          </cell>
          <cell r="DL51">
            <v>2474</v>
          </cell>
          <cell r="DM51">
            <v>0</v>
          </cell>
          <cell r="DN51">
            <v>0</v>
          </cell>
        </row>
        <row r="52">
          <cell r="E52" t="str">
            <v>02514</v>
          </cell>
          <cell r="F52" t="str">
            <v>Nguyễn Hà Trang</v>
          </cell>
          <cell r="G52" t="str">
            <v>Foaming</v>
          </cell>
          <cell r="H52" t="str">
            <v>FOAMING Splitting</v>
          </cell>
          <cell r="I52" t="str">
            <v>Worker</v>
          </cell>
          <cell r="J52">
            <v>44085</v>
          </cell>
          <cell r="BV52">
            <v>0</v>
          </cell>
          <cell r="BW52">
            <v>0</v>
          </cell>
          <cell r="BX52" t="str">
            <v>CN</v>
          </cell>
          <cell r="BY52">
            <v>4</v>
          </cell>
          <cell r="BZ52">
            <v>4</v>
          </cell>
          <cell r="CE52" t="str">
            <v>CN</v>
          </cell>
          <cell r="CL52" t="str">
            <v>CN</v>
          </cell>
          <cell r="CS52" t="str">
            <v>CN</v>
          </cell>
          <cell r="CZ52" t="str">
            <v>CN</v>
          </cell>
          <cell r="DA52">
            <v>0</v>
          </cell>
          <cell r="DD52">
            <v>8</v>
          </cell>
          <cell r="DE52">
            <v>0</v>
          </cell>
          <cell r="DF52">
            <v>0</v>
          </cell>
          <cell r="DJ52">
            <v>8</v>
          </cell>
          <cell r="DL52">
            <v>2514</v>
          </cell>
          <cell r="DM52">
            <v>0</v>
          </cell>
          <cell r="DN52">
            <v>8</v>
          </cell>
        </row>
        <row r="53">
          <cell r="E53" t="str">
            <v>02538</v>
          </cell>
          <cell r="F53" t="str">
            <v>Nguyễn Thị Bích Duyên</v>
          </cell>
          <cell r="G53" t="str">
            <v>Foaming</v>
          </cell>
          <cell r="H53" t="str">
            <v>FOAMING Splitting</v>
          </cell>
          <cell r="I53" t="str">
            <v>Worker</v>
          </cell>
          <cell r="J53">
            <v>44090</v>
          </cell>
          <cell r="BV53">
            <v>0</v>
          </cell>
          <cell r="BW53">
            <v>0</v>
          </cell>
          <cell r="BX53" t="str">
            <v>CN</v>
          </cell>
          <cell r="BY53">
            <v>3</v>
          </cell>
          <cell r="BZ53">
            <v>3</v>
          </cell>
          <cell r="CE53" t="str">
            <v>CN</v>
          </cell>
          <cell r="CL53" t="str">
            <v>CN</v>
          </cell>
          <cell r="CS53" t="str">
            <v>CN</v>
          </cell>
          <cell r="CZ53" t="str">
            <v>CN</v>
          </cell>
          <cell r="DA53">
            <v>0</v>
          </cell>
          <cell r="DD53">
            <v>6</v>
          </cell>
          <cell r="DE53">
            <v>0</v>
          </cell>
          <cell r="DF53">
            <v>0</v>
          </cell>
          <cell r="DJ53">
            <v>6</v>
          </cell>
          <cell r="DL53">
            <v>2538</v>
          </cell>
          <cell r="DM53">
            <v>0</v>
          </cell>
          <cell r="DN53">
            <v>6</v>
          </cell>
        </row>
        <row r="54">
          <cell r="E54" t="str">
            <v>02603</v>
          </cell>
          <cell r="F54" t="str">
            <v>Nguyễn Văn Thảo</v>
          </cell>
          <cell r="G54" t="str">
            <v>Foaming</v>
          </cell>
          <cell r="H54" t="str">
            <v>FOAMING Splitting</v>
          </cell>
          <cell r="I54" t="str">
            <v>Team Leader</v>
          </cell>
          <cell r="J54">
            <v>44118</v>
          </cell>
          <cell r="BV54">
            <v>2</v>
          </cell>
          <cell r="BW54">
            <v>2</v>
          </cell>
          <cell r="BX54" t="str">
            <v>CN</v>
          </cell>
          <cell r="BY54">
            <v>2</v>
          </cell>
          <cell r="BZ54">
            <v>2</v>
          </cell>
          <cell r="CE54" t="str">
            <v>CN</v>
          </cell>
          <cell r="CL54" t="str">
            <v>CN</v>
          </cell>
          <cell r="CS54" t="str">
            <v>CN</v>
          </cell>
          <cell r="CZ54" t="str">
            <v>CN</v>
          </cell>
          <cell r="DA54">
            <v>0</v>
          </cell>
          <cell r="DD54">
            <v>8</v>
          </cell>
          <cell r="DE54">
            <v>0</v>
          </cell>
          <cell r="DF54">
            <v>0</v>
          </cell>
          <cell r="DJ54">
            <v>8</v>
          </cell>
          <cell r="DL54">
            <v>2603</v>
          </cell>
          <cell r="DM54">
            <v>4</v>
          </cell>
          <cell r="DN54">
            <v>4</v>
          </cell>
        </row>
        <row r="55">
          <cell r="E55" t="str">
            <v>02604</v>
          </cell>
          <cell r="F55" t="str">
            <v>Nguyễn Xuân Tiến</v>
          </cell>
          <cell r="G55" t="str">
            <v>Foaming</v>
          </cell>
          <cell r="H55" t="str">
            <v>FOAMING Splitting</v>
          </cell>
          <cell r="I55" t="str">
            <v>Operator</v>
          </cell>
          <cell r="J55">
            <v>44118</v>
          </cell>
          <cell r="BV55">
            <v>0</v>
          </cell>
          <cell r="BW55">
            <v>0</v>
          </cell>
          <cell r="BX55" t="str">
            <v>CN</v>
          </cell>
          <cell r="BY55">
            <v>0</v>
          </cell>
          <cell r="BZ55">
            <v>0</v>
          </cell>
          <cell r="CE55" t="str">
            <v>CN</v>
          </cell>
          <cell r="CL55" t="str">
            <v>CN</v>
          </cell>
          <cell r="CS55" t="str">
            <v>CN</v>
          </cell>
          <cell r="CZ55" t="str">
            <v>CN</v>
          </cell>
          <cell r="DA55">
            <v>0</v>
          </cell>
          <cell r="DD55">
            <v>0</v>
          </cell>
          <cell r="DE55">
            <v>0</v>
          </cell>
          <cell r="DF55">
            <v>0</v>
          </cell>
          <cell r="DJ55">
            <v>0</v>
          </cell>
          <cell r="DL55">
            <v>2604</v>
          </cell>
          <cell r="DM55">
            <v>0</v>
          </cell>
          <cell r="DN55">
            <v>0</v>
          </cell>
        </row>
        <row r="56">
          <cell r="E56" t="str">
            <v>02737</v>
          </cell>
          <cell r="F56" t="str">
            <v>Võ Thị Thu Hằng</v>
          </cell>
          <cell r="G56" t="str">
            <v>Foaming</v>
          </cell>
          <cell r="H56" t="str">
            <v>FOAMING Splitting</v>
          </cell>
          <cell r="I56" t="str">
            <v>Worker</v>
          </cell>
          <cell r="J56" t="str">
            <v>22/02/2021</v>
          </cell>
          <cell r="BV56">
            <v>0</v>
          </cell>
          <cell r="BW56">
            <v>0</v>
          </cell>
          <cell r="BX56" t="str">
            <v>CN</v>
          </cell>
          <cell r="BY56">
            <v>0</v>
          </cell>
          <cell r="BZ56">
            <v>0</v>
          </cell>
          <cell r="CE56" t="str">
            <v>CN</v>
          </cell>
          <cell r="CL56" t="str">
            <v>CN</v>
          </cell>
          <cell r="CS56" t="str">
            <v>CN</v>
          </cell>
          <cell r="CZ56" t="str">
            <v>CN</v>
          </cell>
          <cell r="DA56">
            <v>0</v>
          </cell>
          <cell r="DD56">
            <v>0</v>
          </cell>
          <cell r="DE56">
            <v>0</v>
          </cell>
          <cell r="DF56">
            <v>0</v>
          </cell>
          <cell r="DJ56">
            <v>0</v>
          </cell>
          <cell r="DL56">
            <v>2737</v>
          </cell>
          <cell r="DM56">
            <v>0</v>
          </cell>
          <cell r="DN56">
            <v>0</v>
          </cell>
        </row>
        <row r="57">
          <cell r="E57" t="str">
            <v>02786</v>
          </cell>
          <cell r="F57" t="str">
            <v>Lê Huỳnh Hân</v>
          </cell>
          <cell r="G57" t="str">
            <v>Foaming</v>
          </cell>
          <cell r="H57" t="str">
            <v>FOAMING Splitting</v>
          </cell>
          <cell r="I57" t="str">
            <v>Worker</v>
          </cell>
          <cell r="J57">
            <v>44256</v>
          </cell>
          <cell r="BV57">
            <v>0</v>
          </cell>
          <cell r="BW57">
            <v>0</v>
          </cell>
          <cell r="BX57" t="str">
            <v>CN</v>
          </cell>
          <cell r="BY57">
            <v>4</v>
          </cell>
          <cell r="BZ57">
            <v>4</v>
          </cell>
          <cell r="CE57" t="str">
            <v>CN</v>
          </cell>
          <cell r="CL57" t="str">
            <v>CN</v>
          </cell>
          <cell r="CS57" t="str">
            <v>CN</v>
          </cell>
          <cell r="CZ57" t="str">
            <v>CN</v>
          </cell>
          <cell r="DA57">
            <v>0</v>
          </cell>
          <cell r="DD57">
            <v>8</v>
          </cell>
          <cell r="DE57">
            <v>0</v>
          </cell>
          <cell r="DF57">
            <v>0</v>
          </cell>
          <cell r="DJ57">
            <v>8</v>
          </cell>
          <cell r="DL57">
            <v>2786</v>
          </cell>
          <cell r="DM57">
            <v>0</v>
          </cell>
          <cell r="DN57">
            <v>8</v>
          </cell>
        </row>
        <row r="58">
          <cell r="E58" t="str">
            <v>02793</v>
          </cell>
          <cell r="F58" t="str">
            <v>Khưu Thanh Nhã</v>
          </cell>
          <cell r="G58" t="str">
            <v>Foaming</v>
          </cell>
          <cell r="H58" t="str">
            <v>FOAMING Rectangular</v>
          </cell>
          <cell r="I58" t="str">
            <v>Team Leader</v>
          </cell>
          <cell r="J58">
            <v>44256</v>
          </cell>
          <cell r="BV58">
            <v>0</v>
          </cell>
          <cell r="BW58">
            <v>0</v>
          </cell>
          <cell r="BX58" t="str">
            <v>CN</v>
          </cell>
          <cell r="BY58">
            <v>0</v>
          </cell>
          <cell r="BZ58">
            <v>0</v>
          </cell>
          <cell r="CE58" t="str">
            <v>CN</v>
          </cell>
          <cell r="CL58" t="str">
            <v>CN</v>
          </cell>
          <cell r="CS58" t="str">
            <v>CN</v>
          </cell>
          <cell r="CZ58" t="str">
            <v>CN</v>
          </cell>
          <cell r="DA58">
            <v>0</v>
          </cell>
          <cell r="DD58">
            <v>0</v>
          </cell>
          <cell r="DE58">
            <v>0</v>
          </cell>
          <cell r="DF58">
            <v>0</v>
          </cell>
          <cell r="DJ58">
            <v>0</v>
          </cell>
          <cell r="DL58">
            <v>2793</v>
          </cell>
          <cell r="DM58">
            <v>0</v>
          </cell>
          <cell r="DN58">
            <v>0</v>
          </cell>
        </row>
        <row r="59">
          <cell r="E59" t="str">
            <v>02920</v>
          </cell>
          <cell r="F59" t="str">
            <v>Nguyễn Tuấn Kiệt</v>
          </cell>
          <cell r="G59" t="str">
            <v>Foaming</v>
          </cell>
          <cell r="H59" t="str">
            <v>FOAMING Rectangular</v>
          </cell>
          <cell r="I59" t="str">
            <v>Skilled worker</v>
          </cell>
          <cell r="J59" t="str">
            <v>26/04/2021</v>
          </cell>
          <cell r="BV59">
            <v>0</v>
          </cell>
          <cell r="BW59">
            <v>0</v>
          </cell>
          <cell r="BX59" t="str">
            <v>CN</v>
          </cell>
          <cell r="BY59">
            <v>0</v>
          </cell>
          <cell r="BZ59">
            <v>0</v>
          </cell>
          <cell r="CE59" t="str">
            <v>CN</v>
          </cell>
          <cell r="CL59" t="str">
            <v>CN</v>
          </cell>
          <cell r="CS59" t="str">
            <v>CN</v>
          </cell>
          <cell r="CZ59" t="str">
            <v>CN</v>
          </cell>
          <cell r="DA59">
            <v>0</v>
          </cell>
          <cell r="DD59">
            <v>0</v>
          </cell>
          <cell r="DE59">
            <v>0</v>
          </cell>
          <cell r="DF59">
            <v>0</v>
          </cell>
          <cell r="DJ59">
            <v>0</v>
          </cell>
          <cell r="DL59">
            <v>2920</v>
          </cell>
          <cell r="DM59">
            <v>0</v>
          </cell>
          <cell r="DN59">
            <v>0</v>
          </cell>
        </row>
        <row r="60">
          <cell r="E60" t="str">
            <v>03053</v>
          </cell>
          <cell r="F60" t="str">
            <v>Nguyễn Việt Hưng</v>
          </cell>
          <cell r="G60" t="str">
            <v>Foaming</v>
          </cell>
          <cell r="H60" t="str">
            <v>FOAMING Rectangular</v>
          </cell>
          <cell r="I60" t="str">
            <v>Worker</v>
          </cell>
          <cell r="J60">
            <v>44504</v>
          </cell>
          <cell r="BV60">
            <v>0</v>
          </cell>
          <cell r="BW60">
            <v>0</v>
          </cell>
          <cell r="BX60" t="str">
            <v>CN</v>
          </cell>
          <cell r="BY60">
            <v>0</v>
          </cell>
          <cell r="BZ60">
            <v>0</v>
          </cell>
          <cell r="CE60" t="str">
            <v>CN</v>
          </cell>
          <cell r="CL60" t="str">
            <v>CN</v>
          </cell>
          <cell r="CS60" t="str">
            <v>CN</v>
          </cell>
          <cell r="CZ60" t="str">
            <v>CN</v>
          </cell>
          <cell r="DA60">
            <v>0</v>
          </cell>
          <cell r="DD60">
            <v>0</v>
          </cell>
          <cell r="DE60">
            <v>0</v>
          </cell>
          <cell r="DF60">
            <v>0</v>
          </cell>
          <cell r="DJ60">
            <v>0</v>
          </cell>
          <cell r="DL60">
            <v>3053</v>
          </cell>
          <cell r="DM60">
            <v>0</v>
          </cell>
          <cell r="DN60">
            <v>0</v>
          </cell>
        </row>
        <row r="61">
          <cell r="E61" t="str">
            <v>03065</v>
          </cell>
          <cell r="F61" t="str">
            <v>Nguyễn Ngọc Đức</v>
          </cell>
          <cell r="G61" t="str">
            <v>Foaming</v>
          </cell>
          <cell r="H61" t="str">
            <v>FOAMING Splitting</v>
          </cell>
          <cell r="I61" t="str">
            <v>Worker</v>
          </cell>
          <cell r="J61" t="str">
            <v>11/11/2021</v>
          </cell>
          <cell r="BV61">
            <v>0</v>
          </cell>
          <cell r="BW61">
            <v>0</v>
          </cell>
          <cell r="BX61" t="str">
            <v>CN</v>
          </cell>
          <cell r="BY61">
            <v>0</v>
          </cell>
          <cell r="BZ61">
            <v>0</v>
          </cell>
          <cell r="CE61" t="str">
            <v>CN</v>
          </cell>
          <cell r="CL61" t="str">
            <v>CN</v>
          </cell>
          <cell r="CS61" t="str">
            <v>CN</v>
          </cell>
          <cell r="CZ61" t="str">
            <v>CN</v>
          </cell>
          <cell r="DA61">
            <v>0</v>
          </cell>
          <cell r="DD61">
            <v>0</v>
          </cell>
          <cell r="DE61">
            <v>0</v>
          </cell>
          <cell r="DF61">
            <v>0</v>
          </cell>
          <cell r="DJ61">
            <v>0</v>
          </cell>
          <cell r="DL61">
            <v>3065</v>
          </cell>
          <cell r="DM61">
            <v>0</v>
          </cell>
          <cell r="DN61">
            <v>0</v>
          </cell>
        </row>
        <row r="62">
          <cell r="E62" t="str">
            <v>03071</v>
          </cell>
          <cell r="F62" t="str">
            <v>Hồ Phú Hữu</v>
          </cell>
          <cell r="G62" t="str">
            <v>Foaming</v>
          </cell>
          <cell r="H62" t="str">
            <v>FOAMING Rectangular</v>
          </cell>
          <cell r="I62" t="str">
            <v>Operator</v>
          </cell>
          <cell r="J62">
            <v>44516</v>
          </cell>
          <cell r="BV62">
            <v>0</v>
          </cell>
          <cell r="BW62">
            <v>0</v>
          </cell>
          <cell r="BX62" t="str">
            <v>CN</v>
          </cell>
          <cell r="BY62">
            <v>0</v>
          </cell>
          <cell r="BZ62">
            <v>0</v>
          </cell>
          <cell r="CE62" t="str">
            <v>CN</v>
          </cell>
          <cell r="CL62" t="str">
            <v>CN</v>
          </cell>
          <cell r="CS62" t="str">
            <v>CN</v>
          </cell>
          <cell r="CZ62" t="str">
            <v>CN</v>
          </cell>
          <cell r="DA62">
            <v>0</v>
          </cell>
          <cell r="DD62">
            <v>0</v>
          </cell>
          <cell r="DE62">
            <v>0</v>
          </cell>
          <cell r="DF62">
            <v>0</v>
          </cell>
          <cell r="DJ62">
            <v>0</v>
          </cell>
          <cell r="DL62">
            <v>3071</v>
          </cell>
          <cell r="DM62">
            <v>0</v>
          </cell>
          <cell r="DN62">
            <v>0</v>
          </cell>
        </row>
        <row r="63">
          <cell r="E63" t="str">
            <v>03075</v>
          </cell>
          <cell r="F63" t="str">
            <v>Nguyễn Thị Muội</v>
          </cell>
          <cell r="G63" t="str">
            <v>Foaming</v>
          </cell>
          <cell r="H63" t="str">
            <v>FOAMING Splitting</v>
          </cell>
          <cell r="I63" t="str">
            <v>Worker</v>
          </cell>
          <cell r="J63">
            <v>44516</v>
          </cell>
          <cell r="BV63">
            <v>3</v>
          </cell>
          <cell r="BW63">
            <v>0</v>
          </cell>
          <cell r="BX63" t="str">
            <v>CN</v>
          </cell>
          <cell r="BY63">
            <v>3</v>
          </cell>
          <cell r="BZ63">
            <v>3</v>
          </cell>
          <cell r="CE63" t="str">
            <v>CN</v>
          </cell>
          <cell r="CL63" t="str">
            <v>CN</v>
          </cell>
          <cell r="CS63" t="str">
            <v>CN</v>
          </cell>
          <cell r="CZ63" t="str">
            <v>CN</v>
          </cell>
          <cell r="DA63">
            <v>0</v>
          </cell>
          <cell r="DD63">
            <v>9</v>
          </cell>
          <cell r="DE63">
            <v>0</v>
          </cell>
          <cell r="DF63">
            <v>0</v>
          </cell>
          <cell r="DJ63">
            <v>9</v>
          </cell>
          <cell r="DL63">
            <v>3075</v>
          </cell>
          <cell r="DM63">
            <v>3</v>
          </cell>
          <cell r="DN63">
            <v>6</v>
          </cell>
        </row>
        <row r="64">
          <cell r="E64" t="str">
            <v>03107</v>
          </cell>
          <cell r="F64" t="str">
            <v>Nguyễn Thị Thu Thảo</v>
          </cell>
          <cell r="G64" t="str">
            <v>Foaming</v>
          </cell>
          <cell r="H64" t="str">
            <v>FOAMING Splitting</v>
          </cell>
          <cell r="I64" t="str">
            <v>Worker</v>
          </cell>
          <cell r="J64">
            <v>44529</v>
          </cell>
          <cell r="BV64">
            <v>0</v>
          </cell>
          <cell r="BW64">
            <v>0</v>
          </cell>
          <cell r="BX64" t="str">
            <v>CN</v>
          </cell>
          <cell r="BY64">
            <v>0</v>
          </cell>
          <cell r="BZ64">
            <v>0</v>
          </cell>
          <cell r="CE64" t="str">
            <v>CN</v>
          </cell>
          <cell r="CL64" t="str">
            <v>CN</v>
          </cell>
          <cell r="CS64" t="str">
            <v>CN</v>
          </cell>
          <cell r="CZ64" t="str">
            <v>CN</v>
          </cell>
          <cell r="DA64">
            <v>0</v>
          </cell>
          <cell r="DD64">
            <v>0</v>
          </cell>
          <cell r="DE64">
            <v>0</v>
          </cell>
          <cell r="DF64">
            <v>0</v>
          </cell>
          <cell r="DJ64">
            <v>0</v>
          </cell>
          <cell r="DL64">
            <v>3107</v>
          </cell>
          <cell r="DM64">
            <v>0</v>
          </cell>
          <cell r="DN64">
            <v>0</v>
          </cell>
        </row>
        <row r="65">
          <cell r="E65" t="str">
            <v>03108</v>
          </cell>
          <cell r="F65" t="str">
            <v>Nguyễn Thị Cẩm Nguyên</v>
          </cell>
          <cell r="G65" t="str">
            <v>Foaming</v>
          </cell>
          <cell r="H65" t="str">
            <v>FOAMING Splitting</v>
          </cell>
          <cell r="I65" t="str">
            <v>Worker</v>
          </cell>
          <cell r="J65">
            <v>44529</v>
          </cell>
          <cell r="BV65">
            <v>3</v>
          </cell>
          <cell r="BW65">
            <v>2</v>
          </cell>
          <cell r="BX65" t="str">
            <v>CN</v>
          </cell>
          <cell r="BY65">
            <v>2</v>
          </cell>
          <cell r="BZ65">
            <v>2</v>
          </cell>
          <cell r="CE65" t="str">
            <v>CN</v>
          </cell>
          <cell r="CL65" t="str">
            <v>CN</v>
          </cell>
          <cell r="CS65" t="str">
            <v>CN</v>
          </cell>
          <cell r="CZ65" t="str">
            <v>CN</v>
          </cell>
          <cell r="DA65">
            <v>0</v>
          </cell>
          <cell r="DD65">
            <v>9</v>
          </cell>
          <cell r="DE65">
            <v>0</v>
          </cell>
          <cell r="DF65">
            <v>0</v>
          </cell>
          <cell r="DJ65">
            <v>9</v>
          </cell>
          <cell r="DL65">
            <v>3108</v>
          </cell>
          <cell r="DM65">
            <v>5</v>
          </cell>
          <cell r="DN65">
            <v>4</v>
          </cell>
        </row>
        <row r="66">
          <cell r="E66" t="str">
            <v>03227</v>
          </cell>
          <cell r="F66" t="str">
            <v>Nguyễn Văn Kha</v>
          </cell>
          <cell r="G66" t="str">
            <v>Foaming</v>
          </cell>
          <cell r="H66" t="str">
            <v>FOAMING Rectangular</v>
          </cell>
          <cell r="I66" t="str">
            <v>Operator</v>
          </cell>
          <cell r="J66">
            <v>44603</v>
          </cell>
          <cell r="BV66">
            <v>0</v>
          </cell>
          <cell r="BW66">
            <v>0</v>
          </cell>
          <cell r="BX66" t="str">
            <v>CN</v>
          </cell>
          <cell r="BY66">
            <v>0</v>
          </cell>
          <cell r="BZ66">
            <v>0</v>
          </cell>
          <cell r="CE66" t="str">
            <v>CN</v>
          </cell>
          <cell r="CL66" t="str">
            <v>CN</v>
          </cell>
          <cell r="CS66" t="str">
            <v>CN</v>
          </cell>
          <cell r="CZ66" t="str">
            <v>CN</v>
          </cell>
          <cell r="DA66">
            <v>0</v>
          </cell>
          <cell r="DD66">
            <v>0</v>
          </cell>
          <cell r="DE66">
            <v>0</v>
          </cell>
          <cell r="DF66">
            <v>0</v>
          </cell>
          <cell r="DJ66">
            <v>0</v>
          </cell>
          <cell r="DL66">
            <v>2920</v>
          </cell>
          <cell r="DM66">
            <v>0</v>
          </cell>
          <cell r="DN66">
            <v>0</v>
          </cell>
        </row>
        <row r="67">
          <cell r="E67" t="str">
            <v>03267</v>
          </cell>
          <cell r="F67" t="str">
            <v>Lê Duy Khang</v>
          </cell>
          <cell r="G67" t="str">
            <v>Foaming</v>
          </cell>
          <cell r="H67" t="str">
            <v>FOAMING Rectangular</v>
          </cell>
          <cell r="I67" t="str">
            <v>Operator</v>
          </cell>
          <cell r="J67">
            <v>44610</v>
          </cell>
          <cell r="BV67">
            <v>0</v>
          </cell>
          <cell r="BW67">
            <v>0</v>
          </cell>
          <cell r="BX67" t="str">
            <v>CN</v>
          </cell>
          <cell r="BY67">
            <v>0</v>
          </cell>
          <cell r="BZ67">
            <v>0</v>
          </cell>
          <cell r="CE67" t="str">
            <v>CN</v>
          </cell>
          <cell r="CL67" t="str">
            <v>CN</v>
          </cell>
          <cell r="CS67" t="str">
            <v>CN</v>
          </cell>
          <cell r="CZ67" t="str">
            <v>CN</v>
          </cell>
          <cell r="DA67">
            <v>0</v>
          </cell>
          <cell r="DD67">
            <v>0</v>
          </cell>
          <cell r="DE67">
            <v>0</v>
          </cell>
          <cell r="DF67">
            <v>0</v>
          </cell>
          <cell r="DJ67">
            <v>0</v>
          </cell>
          <cell r="DL67">
            <v>3267</v>
          </cell>
          <cell r="DM67">
            <v>0</v>
          </cell>
          <cell r="DN67">
            <v>0</v>
          </cell>
        </row>
        <row r="68">
          <cell r="E68" t="str">
            <v>03363</v>
          </cell>
          <cell r="F68" t="str">
            <v>Nguyễn Văn Sáng</v>
          </cell>
          <cell r="G68" t="str">
            <v>Foaming</v>
          </cell>
          <cell r="H68" t="str">
            <v>FOAMING Splitting</v>
          </cell>
          <cell r="I68" t="str">
            <v>Operator</v>
          </cell>
          <cell r="J68">
            <v>44630</v>
          </cell>
          <cell r="BV68">
            <v>0</v>
          </cell>
          <cell r="BW68">
            <v>0</v>
          </cell>
          <cell r="BX68" t="str">
            <v>CN</v>
          </cell>
          <cell r="BY68">
            <v>0</v>
          </cell>
          <cell r="BZ68">
            <v>0</v>
          </cell>
          <cell r="CE68" t="str">
            <v>CN</v>
          </cell>
          <cell r="CL68" t="str">
            <v>CN</v>
          </cell>
          <cell r="CS68" t="str">
            <v>CN</v>
          </cell>
          <cell r="CZ68" t="str">
            <v>CN</v>
          </cell>
          <cell r="DA68">
            <v>0</v>
          </cell>
          <cell r="DD68">
            <v>0</v>
          </cell>
          <cell r="DE68">
            <v>0</v>
          </cell>
          <cell r="DF68">
            <v>0</v>
          </cell>
          <cell r="DJ68">
            <v>0</v>
          </cell>
          <cell r="DL68">
            <v>3363</v>
          </cell>
          <cell r="DM68">
            <v>0</v>
          </cell>
          <cell r="DN68">
            <v>0</v>
          </cell>
        </row>
        <row r="69">
          <cell r="E69" t="str">
            <v>03366</v>
          </cell>
          <cell r="F69" t="str">
            <v>Lê Chí Hiển</v>
          </cell>
          <cell r="G69" t="str">
            <v>Foaming</v>
          </cell>
          <cell r="H69" t="str">
            <v>FOAMING Rectangular</v>
          </cell>
          <cell r="I69" t="str">
            <v>Skilled worker</v>
          </cell>
          <cell r="J69">
            <v>44630</v>
          </cell>
          <cell r="BV69">
            <v>0</v>
          </cell>
          <cell r="BW69">
            <v>0</v>
          </cell>
          <cell r="BX69" t="str">
            <v>CN</v>
          </cell>
          <cell r="BY69">
            <v>0</v>
          </cell>
          <cell r="BZ69">
            <v>0</v>
          </cell>
          <cell r="CE69" t="str">
            <v>CN</v>
          </cell>
          <cell r="CL69" t="str">
            <v>CN</v>
          </cell>
          <cell r="CS69" t="str">
            <v>CN</v>
          </cell>
          <cell r="CZ69" t="str">
            <v>CN</v>
          </cell>
          <cell r="DA69">
            <v>0</v>
          </cell>
          <cell r="DD69">
            <v>0</v>
          </cell>
          <cell r="DE69">
            <v>0</v>
          </cell>
          <cell r="DF69">
            <v>0</v>
          </cell>
          <cell r="DJ69">
            <v>0</v>
          </cell>
          <cell r="DL69">
            <v>3366</v>
          </cell>
          <cell r="DM69">
            <v>0</v>
          </cell>
          <cell r="DN69">
            <v>0</v>
          </cell>
        </row>
        <row r="70">
          <cell r="E70" t="str">
            <v>03373</v>
          </cell>
          <cell r="F70" t="str">
            <v>Phan Minh Gạch</v>
          </cell>
          <cell r="G70" t="str">
            <v>Foaming</v>
          </cell>
          <cell r="H70" t="str">
            <v>FOAMING Splitting</v>
          </cell>
          <cell r="I70" t="str">
            <v>Operator</v>
          </cell>
          <cell r="J70">
            <v>44634</v>
          </cell>
          <cell r="BV70">
            <v>0</v>
          </cell>
          <cell r="BW70">
            <v>0</v>
          </cell>
          <cell r="BX70" t="str">
            <v>CN</v>
          </cell>
          <cell r="BY70">
            <v>0</v>
          </cell>
          <cell r="BZ70">
            <v>0</v>
          </cell>
          <cell r="CE70" t="str">
            <v>CN</v>
          </cell>
          <cell r="CL70" t="str">
            <v>CN</v>
          </cell>
          <cell r="CS70" t="str">
            <v>CN</v>
          </cell>
          <cell r="CZ70" t="str">
            <v>CN</v>
          </cell>
          <cell r="DA70">
            <v>0</v>
          </cell>
          <cell r="DD70">
            <v>0</v>
          </cell>
          <cell r="DE70">
            <v>0</v>
          </cell>
          <cell r="DF70">
            <v>0</v>
          </cell>
          <cell r="DJ70">
            <v>0</v>
          </cell>
          <cell r="DL70">
            <v>3373</v>
          </cell>
          <cell r="DM70">
            <v>0</v>
          </cell>
          <cell r="DN70">
            <v>0</v>
          </cell>
        </row>
        <row r="71">
          <cell r="E71" t="str">
            <v>03376</v>
          </cell>
          <cell r="F71" t="str">
            <v>Ngô Vũ Luân</v>
          </cell>
          <cell r="G71" t="str">
            <v>Foaming</v>
          </cell>
          <cell r="H71" t="str">
            <v>FOAMING Rectangular</v>
          </cell>
          <cell r="I71" t="str">
            <v>Skilled worker</v>
          </cell>
          <cell r="J71">
            <v>44634</v>
          </cell>
          <cell r="BV71">
            <v>0</v>
          </cell>
          <cell r="BW71">
            <v>0</v>
          </cell>
          <cell r="BX71" t="str">
            <v>CN</v>
          </cell>
          <cell r="BY71">
            <v>0</v>
          </cell>
          <cell r="BZ71">
            <v>0</v>
          </cell>
          <cell r="CE71" t="str">
            <v>CN</v>
          </cell>
          <cell r="CL71" t="str">
            <v>CN</v>
          </cell>
          <cell r="CS71" t="str">
            <v>CN</v>
          </cell>
          <cell r="CZ71" t="str">
            <v>CN</v>
          </cell>
          <cell r="DA71">
            <v>0</v>
          </cell>
          <cell r="DD71">
            <v>0</v>
          </cell>
          <cell r="DE71">
            <v>0</v>
          </cell>
          <cell r="DF71">
            <v>0</v>
          </cell>
          <cell r="DJ71">
            <v>0</v>
          </cell>
          <cell r="DL71">
            <v>3376</v>
          </cell>
          <cell r="DM71">
            <v>0</v>
          </cell>
          <cell r="DN71">
            <v>0</v>
          </cell>
        </row>
        <row r="72">
          <cell r="E72" t="str">
            <v>03514</v>
          </cell>
          <cell r="F72" t="str">
            <v>Giáp Thị Kiều</v>
          </cell>
          <cell r="G72" t="str">
            <v>Foaming</v>
          </cell>
          <cell r="H72" t="str">
            <v>FOAMING Splitting</v>
          </cell>
          <cell r="I72" t="str">
            <v>Worker</v>
          </cell>
          <cell r="J72">
            <v>44704</v>
          </cell>
          <cell r="BV72">
            <v>0</v>
          </cell>
          <cell r="BW72">
            <v>0</v>
          </cell>
          <cell r="BX72" t="str">
            <v>CN</v>
          </cell>
          <cell r="BY72">
            <v>4</v>
          </cell>
          <cell r="BZ72">
            <v>3</v>
          </cell>
          <cell r="CE72" t="str">
            <v>CN</v>
          </cell>
          <cell r="CL72" t="str">
            <v>CN</v>
          </cell>
          <cell r="CS72" t="str">
            <v>CN</v>
          </cell>
          <cell r="CZ72" t="str">
            <v>CN</v>
          </cell>
          <cell r="DA72">
            <v>0</v>
          </cell>
          <cell r="DD72">
            <v>7</v>
          </cell>
          <cell r="DE72">
            <v>0</v>
          </cell>
          <cell r="DF72">
            <v>0</v>
          </cell>
          <cell r="DJ72">
            <v>7</v>
          </cell>
          <cell r="DL72">
            <v>3514</v>
          </cell>
          <cell r="DM72">
            <v>0</v>
          </cell>
          <cell r="DN72">
            <v>7</v>
          </cell>
        </row>
        <row r="73">
          <cell r="E73" t="str">
            <v>03515</v>
          </cell>
          <cell r="F73" t="str">
            <v>Phạm Thị Kim Nhung</v>
          </cell>
          <cell r="G73" t="str">
            <v>Foaming</v>
          </cell>
          <cell r="H73" t="str">
            <v>FOAMING Splitting</v>
          </cell>
          <cell r="I73" t="str">
            <v>Worker</v>
          </cell>
          <cell r="J73">
            <v>44704</v>
          </cell>
          <cell r="BV73">
            <v>3</v>
          </cell>
          <cell r="BW73">
            <v>0</v>
          </cell>
          <cell r="BX73" t="str">
            <v>CN</v>
          </cell>
          <cell r="BY73">
            <v>3</v>
          </cell>
          <cell r="BZ73">
            <v>3</v>
          </cell>
          <cell r="CE73" t="str">
            <v>CN</v>
          </cell>
          <cell r="CL73" t="str">
            <v>CN</v>
          </cell>
          <cell r="CS73" t="str">
            <v>CN</v>
          </cell>
          <cell r="CZ73" t="str">
            <v>CN</v>
          </cell>
          <cell r="DA73">
            <v>0</v>
          </cell>
          <cell r="DD73">
            <v>9</v>
          </cell>
          <cell r="DE73">
            <v>0</v>
          </cell>
          <cell r="DF73">
            <v>0</v>
          </cell>
          <cell r="DJ73">
            <v>9</v>
          </cell>
          <cell r="DL73">
            <v>3515</v>
          </cell>
          <cell r="DM73">
            <v>3</v>
          </cell>
          <cell r="DN73">
            <v>6</v>
          </cell>
        </row>
        <row r="74">
          <cell r="E74" t="str">
            <v>03521</v>
          </cell>
          <cell r="F74" t="str">
            <v>Nguyễn Văn Sành</v>
          </cell>
          <cell r="G74" t="str">
            <v>Foaming</v>
          </cell>
          <cell r="H74" t="str">
            <v>FOAMING Rectangular</v>
          </cell>
          <cell r="I74" t="str">
            <v>Skilled worker</v>
          </cell>
          <cell r="J74">
            <v>44707</v>
          </cell>
          <cell r="BV74">
            <v>0</v>
          </cell>
          <cell r="BW74">
            <v>0</v>
          </cell>
          <cell r="BX74" t="str">
            <v>CN</v>
          </cell>
          <cell r="BY74">
            <v>0</v>
          </cell>
          <cell r="BZ74">
            <v>0</v>
          </cell>
          <cell r="CE74" t="str">
            <v>CN</v>
          </cell>
          <cell r="CL74" t="str">
            <v>CN</v>
          </cell>
          <cell r="CS74" t="str">
            <v>CN</v>
          </cell>
          <cell r="CZ74" t="str">
            <v>CN</v>
          </cell>
          <cell r="DA74">
            <v>0</v>
          </cell>
          <cell r="DD74">
            <v>0</v>
          </cell>
          <cell r="DE74">
            <v>0</v>
          </cell>
          <cell r="DF74">
            <v>0</v>
          </cell>
          <cell r="DJ74">
            <v>0</v>
          </cell>
          <cell r="DL74">
            <v>3521</v>
          </cell>
          <cell r="DM74">
            <v>0</v>
          </cell>
          <cell r="DN74">
            <v>0</v>
          </cell>
        </row>
        <row r="75">
          <cell r="E75" t="str">
            <v>03564</v>
          </cell>
          <cell r="F75" t="str">
            <v>Nguyễn Tuấn Vũ</v>
          </cell>
          <cell r="G75" t="str">
            <v>Foaming</v>
          </cell>
          <cell r="H75" t="str">
            <v>FOAMING Rectangular</v>
          </cell>
          <cell r="I75" t="str">
            <v>Worker</v>
          </cell>
          <cell r="J75">
            <v>44719</v>
          </cell>
          <cell r="BV75">
            <v>0</v>
          </cell>
          <cell r="BW75">
            <v>0</v>
          </cell>
          <cell r="BX75" t="str">
            <v>CN</v>
          </cell>
          <cell r="BY75">
            <v>0</v>
          </cell>
          <cell r="BZ75">
            <v>0</v>
          </cell>
          <cell r="CE75" t="str">
            <v>CN</v>
          </cell>
          <cell r="CL75" t="str">
            <v>CN</v>
          </cell>
          <cell r="CS75" t="str">
            <v>CN</v>
          </cell>
          <cell r="CZ75" t="str">
            <v>CN</v>
          </cell>
          <cell r="DA75">
            <v>0</v>
          </cell>
          <cell r="DD75">
            <v>0</v>
          </cell>
          <cell r="DE75">
            <v>0</v>
          </cell>
          <cell r="DF75">
            <v>0</v>
          </cell>
          <cell r="DJ75">
            <v>0</v>
          </cell>
          <cell r="DL75">
            <v>3564</v>
          </cell>
          <cell r="DM75">
            <v>0</v>
          </cell>
          <cell r="DN75">
            <v>0</v>
          </cell>
        </row>
        <row r="76">
          <cell r="E76" t="str">
            <v>03651</v>
          </cell>
          <cell r="F76" t="str">
            <v>Huỳnh Hữu Trí</v>
          </cell>
          <cell r="G76" t="str">
            <v>Foaming</v>
          </cell>
          <cell r="H76" t="str">
            <v>FOAMING Production control</v>
          </cell>
          <cell r="I76" t="str">
            <v>Associate Engineer</v>
          </cell>
          <cell r="J76">
            <v>44809</v>
          </cell>
          <cell r="BV76">
            <v>0</v>
          </cell>
          <cell r="BW76">
            <v>0</v>
          </cell>
          <cell r="BX76" t="str">
            <v>CN</v>
          </cell>
          <cell r="BY76">
            <v>0</v>
          </cell>
          <cell r="BZ76">
            <v>0</v>
          </cell>
          <cell r="CE76" t="str">
            <v>CN</v>
          </cell>
          <cell r="CL76" t="str">
            <v>CN</v>
          </cell>
          <cell r="CS76" t="str">
            <v>CN</v>
          </cell>
          <cell r="CZ76" t="str">
            <v>CN</v>
          </cell>
          <cell r="DA76">
            <v>0</v>
          </cell>
          <cell r="DD76">
            <v>0</v>
          </cell>
          <cell r="DE76">
            <v>0</v>
          </cell>
          <cell r="DF76">
            <v>0</v>
          </cell>
          <cell r="DJ76">
            <v>0</v>
          </cell>
          <cell r="DL76">
            <v>3651</v>
          </cell>
          <cell r="DM76">
            <v>0</v>
          </cell>
          <cell r="DN76">
            <v>0</v>
          </cell>
        </row>
        <row r="77">
          <cell r="E77" t="str">
            <v>03781</v>
          </cell>
          <cell r="F77" t="str">
            <v>Huỳnh Trọng Kha</v>
          </cell>
          <cell r="G77" t="str">
            <v>Foaming</v>
          </cell>
          <cell r="H77" t="str">
            <v>FOAMING Production control</v>
          </cell>
          <cell r="I77" t="str">
            <v>Associate Engineer</v>
          </cell>
          <cell r="J77">
            <v>44993</v>
          </cell>
          <cell r="BV77">
            <v>0</v>
          </cell>
          <cell r="BW77">
            <v>0</v>
          </cell>
          <cell r="BX77" t="str">
            <v>CN</v>
          </cell>
          <cell r="BY77">
            <v>0</v>
          </cell>
          <cell r="BZ77">
            <v>0</v>
          </cell>
          <cell r="CE77" t="str">
            <v>CN</v>
          </cell>
          <cell r="CL77" t="str">
            <v>CN</v>
          </cell>
          <cell r="CS77" t="str">
            <v>CN</v>
          </cell>
          <cell r="CZ77" t="str">
            <v>CN</v>
          </cell>
          <cell r="DA77">
            <v>0</v>
          </cell>
          <cell r="DD77">
            <v>0</v>
          </cell>
          <cell r="DE77">
            <v>0</v>
          </cell>
          <cell r="DF77">
            <v>0</v>
          </cell>
          <cell r="DJ77">
            <v>0</v>
          </cell>
          <cell r="DL77">
            <v>3781</v>
          </cell>
          <cell r="DM77">
            <v>0</v>
          </cell>
          <cell r="DN77">
            <v>0</v>
          </cell>
        </row>
        <row r="78">
          <cell r="E78" t="str">
            <v>03783</v>
          </cell>
          <cell r="F78" t="str">
            <v>Hồ Văn Tuốt</v>
          </cell>
          <cell r="G78" t="str">
            <v>Foaming</v>
          </cell>
          <cell r="H78" t="str">
            <v>FOAMING Rectangular</v>
          </cell>
          <cell r="I78" t="str">
            <v>Team Leader</v>
          </cell>
          <cell r="J78">
            <v>44993</v>
          </cell>
          <cell r="BV78">
            <v>0</v>
          </cell>
          <cell r="BW78">
            <v>0</v>
          </cell>
          <cell r="BX78" t="str">
            <v>CN</v>
          </cell>
          <cell r="BY78">
            <v>4</v>
          </cell>
          <cell r="BZ78">
            <v>4</v>
          </cell>
          <cell r="CE78" t="str">
            <v>CN</v>
          </cell>
          <cell r="CL78" t="str">
            <v>CN</v>
          </cell>
          <cell r="CS78" t="str">
            <v>CN</v>
          </cell>
          <cell r="CZ78" t="str">
            <v>CN</v>
          </cell>
          <cell r="DA78">
            <v>0</v>
          </cell>
          <cell r="DD78">
            <v>8</v>
          </cell>
          <cell r="DE78">
            <v>0</v>
          </cell>
          <cell r="DF78">
            <v>0</v>
          </cell>
          <cell r="DJ78">
            <v>8</v>
          </cell>
          <cell r="DL78">
            <v>3783</v>
          </cell>
          <cell r="DM78">
            <v>0</v>
          </cell>
          <cell r="DN78">
            <v>8</v>
          </cell>
        </row>
        <row r="79">
          <cell r="E79" t="str">
            <v>03909</v>
          </cell>
          <cell r="F79" t="str">
            <v>Phạm Trương Thanh Hoài</v>
          </cell>
          <cell r="G79" t="str">
            <v>Foaming</v>
          </cell>
          <cell r="H79" t="str">
            <v>FOAMING Production control</v>
          </cell>
          <cell r="I79" t="str">
            <v>Staff</v>
          </cell>
          <cell r="J79">
            <v>45147</v>
          </cell>
          <cell r="BV79">
            <v>0</v>
          </cell>
          <cell r="BW79">
            <v>0</v>
          </cell>
          <cell r="BX79" t="str">
            <v>CN</v>
          </cell>
          <cell r="BY79">
            <v>0</v>
          </cell>
          <cell r="BZ79">
            <v>0</v>
          </cell>
          <cell r="CE79" t="str">
            <v>CN</v>
          </cell>
          <cell r="CL79" t="str">
            <v>CN</v>
          </cell>
          <cell r="CS79" t="str">
            <v>CN</v>
          </cell>
          <cell r="CZ79" t="str">
            <v>CN</v>
          </cell>
          <cell r="DA79">
            <v>0</v>
          </cell>
          <cell r="DD79">
            <v>0</v>
          </cell>
          <cell r="DE79">
            <v>0</v>
          </cell>
          <cell r="DF79">
            <v>0</v>
          </cell>
          <cell r="DJ79">
            <v>0</v>
          </cell>
          <cell r="DL79">
            <v>3909</v>
          </cell>
          <cell r="DM79">
            <v>0</v>
          </cell>
          <cell r="DN79">
            <v>0</v>
          </cell>
        </row>
        <row r="80">
          <cell r="E80" t="str">
            <v>04004</v>
          </cell>
          <cell r="F80" t="str">
            <v>Nguyễn Văn Sự</v>
          </cell>
          <cell r="G80" t="str">
            <v>Foaming</v>
          </cell>
          <cell r="H80" t="str">
            <v>FOAMING Production control</v>
          </cell>
          <cell r="I80" t="str">
            <v>Junior technican</v>
          </cell>
          <cell r="J80">
            <v>45225</v>
          </cell>
          <cell r="BV80">
            <v>0</v>
          </cell>
          <cell r="BW80">
            <v>0</v>
          </cell>
          <cell r="BX80" t="str">
            <v>CN</v>
          </cell>
          <cell r="BY80">
            <v>0</v>
          </cell>
          <cell r="BZ80">
            <v>0</v>
          </cell>
          <cell r="CE80" t="str">
            <v>CN</v>
          </cell>
          <cell r="CL80" t="str">
            <v>CN</v>
          </cell>
          <cell r="CS80" t="str">
            <v>CN</v>
          </cell>
          <cell r="CZ80" t="str">
            <v>CN</v>
          </cell>
          <cell r="DA80">
            <v>0</v>
          </cell>
          <cell r="DD80">
            <v>0</v>
          </cell>
          <cell r="DE80">
            <v>0</v>
          </cell>
          <cell r="DF80">
            <v>0</v>
          </cell>
          <cell r="DJ80">
            <v>0</v>
          </cell>
          <cell r="DL80">
            <v>4004</v>
          </cell>
          <cell r="DM80">
            <v>0</v>
          </cell>
          <cell r="DN80">
            <v>0</v>
          </cell>
        </row>
        <row r="81">
          <cell r="E81" t="str">
            <v>04044</v>
          </cell>
          <cell r="F81" t="str">
            <v>Lý Tuyết Mịnh</v>
          </cell>
          <cell r="G81" t="str">
            <v>Foaming</v>
          </cell>
          <cell r="H81" t="str">
            <v>FOAMING Splitting</v>
          </cell>
          <cell r="I81" t="str">
            <v>Worker</v>
          </cell>
          <cell r="J81">
            <v>45358</v>
          </cell>
          <cell r="BV81">
            <v>0</v>
          </cell>
          <cell r="BW81">
            <v>0</v>
          </cell>
          <cell r="BX81" t="str">
            <v>CN</v>
          </cell>
          <cell r="BY81">
            <v>0</v>
          </cell>
          <cell r="BZ81">
            <v>0</v>
          </cell>
          <cell r="CE81" t="str">
            <v>CN</v>
          </cell>
          <cell r="CL81" t="str">
            <v>CN</v>
          </cell>
          <cell r="CS81" t="str">
            <v>CN</v>
          </cell>
          <cell r="CZ81" t="str">
            <v>CN</v>
          </cell>
          <cell r="DA81">
            <v>0</v>
          </cell>
          <cell r="DD81">
            <v>0</v>
          </cell>
          <cell r="DE81">
            <v>0</v>
          </cell>
          <cell r="DF81">
            <v>0</v>
          </cell>
          <cell r="DJ81">
            <v>0</v>
          </cell>
          <cell r="DL81">
            <v>4044</v>
          </cell>
          <cell r="DM81">
            <v>0</v>
          </cell>
          <cell r="DN81">
            <v>0</v>
          </cell>
        </row>
        <row r="82">
          <cell r="E82" t="str">
            <v>04046</v>
          </cell>
          <cell r="F82" t="str">
            <v>Lê Đoàn Vũ</v>
          </cell>
          <cell r="G82" t="str">
            <v>Foaming</v>
          </cell>
          <cell r="H82" t="str">
            <v>FOAMING Splitting</v>
          </cell>
          <cell r="I82" t="str">
            <v>Worker</v>
          </cell>
          <cell r="J82">
            <v>45358</v>
          </cell>
          <cell r="BV82">
            <v>0</v>
          </cell>
          <cell r="BW82">
            <v>0</v>
          </cell>
          <cell r="BX82" t="str">
            <v>CN</v>
          </cell>
          <cell r="BY82">
            <v>0</v>
          </cell>
          <cell r="BZ82">
            <v>0</v>
          </cell>
          <cell r="CE82" t="str">
            <v>CN</v>
          </cell>
          <cell r="CL82" t="str">
            <v>CN</v>
          </cell>
          <cell r="CS82" t="str">
            <v>CN</v>
          </cell>
          <cell r="CZ82" t="str">
            <v>CN</v>
          </cell>
          <cell r="DD82">
            <v>0</v>
          </cell>
          <cell r="DE82">
            <v>0</v>
          </cell>
          <cell r="DF82">
            <v>0</v>
          </cell>
          <cell r="DJ82">
            <v>0</v>
          </cell>
          <cell r="DL82">
            <v>4046</v>
          </cell>
          <cell r="DM82">
            <v>0</v>
          </cell>
          <cell r="DN82">
            <v>0</v>
          </cell>
        </row>
        <row r="83">
          <cell r="E83" t="str">
            <v>04047</v>
          </cell>
          <cell r="F83" t="str">
            <v>Danh Tấn Đức</v>
          </cell>
          <cell r="G83" t="str">
            <v>Foaming</v>
          </cell>
          <cell r="H83" t="str">
            <v>FOAMING Splitting</v>
          </cell>
          <cell r="I83" t="str">
            <v>Worker</v>
          </cell>
          <cell r="J83">
            <v>45358</v>
          </cell>
          <cell r="BV83">
            <v>0</v>
          </cell>
          <cell r="BW83">
            <v>0</v>
          </cell>
          <cell r="BX83" t="str">
            <v>CN</v>
          </cell>
          <cell r="BY83">
            <v>0</v>
          </cell>
          <cell r="BZ83">
            <v>0</v>
          </cell>
          <cell r="CE83" t="str">
            <v>CN</v>
          </cell>
          <cell r="CL83" t="str">
            <v>CN</v>
          </cell>
          <cell r="CS83" t="str">
            <v>CN</v>
          </cell>
          <cell r="CZ83" t="str">
            <v>CN</v>
          </cell>
          <cell r="DD83">
            <v>0</v>
          </cell>
          <cell r="DE83">
            <v>0</v>
          </cell>
          <cell r="DF83">
            <v>0</v>
          </cell>
          <cell r="DJ83">
            <v>0</v>
          </cell>
          <cell r="DL83">
            <v>4047</v>
          </cell>
          <cell r="DM83">
            <v>0</v>
          </cell>
          <cell r="DN83">
            <v>0</v>
          </cell>
        </row>
        <row r="84">
          <cell r="E84" t="str">
            <v>04064</v>
          </cell>
          <cell r="F84" t="str">
            <v>Huỳnh Minh An</v>
          </cell>
          <cell r="G84" t="str">
            <v>Foaming</v>
          </cell>
          <cell r="H84" t="str">
            <v>FOAMING Rectangular</v>
          </cell>
          <cell r="I84" t="str">
            <v>Operator</v>
          </cell>
          <cell r="J84">
            <v>45372</v>
          </cell>
          <cell r="BV84">
            <v>0</v>
          </cell>
          <cell r="BW84">
            <v>0</v>
          </cell>
          <cell r="BX84" t="str">
            <v>CN</v>
          </cell>
          <cell r="BY84">
            <v>0</v>
          </cell>
          <cell r="BZ84">
            <v>0</v>
          </cell>
          <cell r="CE84" t="str">
            <v>CN</v>
          </cell>
          <cell r="CL84" t="str">
            <v>CN</v>
          </cell>
          <cell r="CS84" t="str">
            <v>CN</v>
          </cell>
          <cell r="CZ84" t="str">
            <v>CN</v>
          </cell>
          <cell r="DD84">
            <v>0</v>
          </cell>
          <cell r="DE84">
            <v>0</v>
          </cell>
          <cell r="DF84">
            <v>0</v>
          </cell>
          <cell r="DJ84">
            <v>0</v>
          </cell>
          <cell r="DL84">
            <v>4064</v>
          </cell>
          <cell r="DM84">
            <v>0</v>
          </cell>
          <cell r="DN84">
            <v>0</v>
          </cell>
        </row>
        <row r="85">
          <cell r="E85" t="str">
            <v>04066</v>
          </cell>
          <cell r="F85" t="str">
            <v>Trần Thanh Hùng Em</v>
          </cell>
          <cell r="G85" t="str">
            <v>Foaming</v>
          </cell>
          <cell r="H85" t="str">
            <v>FOAMING Rectangular</v>
          </cell>
          <cell r="I85" t="str">
            <v>Worker</v>
          </cell>
          <cell r="J85">
            <v>45372</v>
          </cell>
          <cell r="BV85">
            <v>0</v>
          </cell>
          <cell r="BW85">
            <v>0</v>
          </cell>
          <cell r="BX85" t="str">
            <v>CN</v>
          </cell>
          <cell r="BY85">
            <v>0</v>
          </cell>
          <cell r="BZ85">
            <v>0</v>
          </cell>
          <cell r="CE85" t="str">
            <v>CN</v>
          </cell>
          <cell r="CL85" t="str">
            <v>CN</v>
          </cell>
          <cell r="CS85" t="str">
            <v>CN</v>
          </cell>
          <cell r="CZ85" t="str">
            <v>CN</v>
          </cell>
          <cell r="DD85">
            <v>0</v>
          </cell>
          <cell r="DE85">
            <v>0</v>
          </cell>
          <cell r="DF85">
            <v>0</v>
          </cell>
          <cell r="DJ85">
            <v>0</v>
          </cell>
          <cell r="DL85">
            <v>4066</v>
          </cell>
          <cell r="DM85">
            <v>0</v>
          </cell>
          <cell r="DN85">
            <v>0</v>
          </cell>
        </row>
        <row r="86">
          <cell r="E86" t="str">
            <v>04067</v>
          </cell>
          <cell r="F86" t="str">
            <v>Phạm Văn Sang</v>
          </cell>
          <cell r="G86" t="str">
            <v>Foaming</v>
          </cell>
          <cell r="H86" t="str">
            <v>FOAMING Rectangular</v>
          </cell>
          <cell r="I86" t="str">
            <v>Worker</v>
          </cell>
          <cell r="J86">
            <v>45372</v>
          </cell>
          <cell r="BV86">
            <v>0</v>
          </cell>
          <cell r="BW86">
            <v>0</v>
          </cell>
          <cell r="BX86" t="str">
            <v>CN</v>
          </cell>
          <cell r="BY86">
            <v>0</v>
          </cell>
          <cell r="BZ86">
            <v>0</v>
          </cell>
          <cell r="CE86" t="str">
            <v>CN</v>
          </cell>
          <cell r="CL86" t="str">
            <v>CN</v>
          </cell>
          <cell r="CS86" t="str">
            <v>CN</v>
          </cell>
          <cell r="CZ86" t="str">
            <v>CN</v>
          </cell>
          <cell r="DA86">
            <v>0</v>
          </cell>
          <cell r="DD86">
            <v>0</v>
          </cell>
          <cell r="DE86">
            <v>0</v>
          </cell>
          <cell r="DF86">
            <v>0</v>
          </cell>
          <cell r="DJ86">
            <v>0</v>
          </cell>
          <cell r="DL86">
            <v>4067</v>
          </cell>
          <cell r="DM86">
            <v>0</v>
          </cell>
          <cell r="DN86">
            <v>0</v>
          </cell>
        </row>
        <row r="87">
          <cell r="E87" t="str">
            <v>04079</v>
          </cell>
          <cell r="F87" t="str">
            <v>Huỳnh Văn Mãi</v>
          </cell>
          <cell r="G87" t="str">
            <v>Foaming</v>
          </cell>
          <cell r="H87" t="str">
            <v>FOAMING Splitting</v>
          </cell>
          <cell r="I87" t="str">
            <v>Worker</v>
          </cell>
          <cell r="J87">
            <v>45377</v>
          </cell>
          <cell r="BV87">
            <v>0</v>
          </cell>
          <cell r="BW87">
            <v>0</v>
          </cell>
          <cell r="BX87" t="str">
            <v>CN</v>
          </cell>
          <cell r="BY87">
            <v>0</v>
          </cell>
          <cell r="BZ87">
            <v>0</v>
          </cell>
          <cell r="CE87" t="str">
            <v>CN</v>
          </cell>
          <cell r="CL87" t="str">
            <v>CN</v>
          </cell>
          <cell r="CS87" t="str">
            <v>CN</v>
          </cell>
          <cell r="CZ87" t="str">
            <v>CN</v>
          </cell>
          <cell r="DD87">
            <v>0</v>
          </cell>
          <cell r="DE87">
            <v>0</v>
          </cell>
          <cell r="DF87">
            <v>0</v>
          </cell>
          <cell r="DJ87">
            <v>0</v>
          </cell>
          <cell r="DL87">
            <v>4079</v>
          </cell>
          <cell r="DM87">
            <v>0</v>
          </cell>
          <cell r="DN87">
            <v>0</v>
          </cell>
        </row>
        <row r="88">
          <cell r="E88" t="str">
            <v>04080</v>
          </cell>
          <cell r="F88" t="str">
            <v>Nguyễn Văn Thủy</v>
          </cell>
          <cell r="G88" t="str">
            <v>Foaming</v>
          </cell>
          <cell r="H88" t="str">
            <v>FOAMING Splitting</v>
          </cell>
          <cell r="I88" t="str">
            <v>Worker</v>
          </cell>
          <cell r="J88">
            <v>45377</v>
          </cell>
          <cell r="BV88">
            <v>0</v>
          </cell>
          <cell r="BW88">
            <v>0</v>
          </cell>
          <cell r="BX88" t="str">
            <v>CN</v>
          </cell>
          <cell r="BY88">
            <v>0</v>
          </cell>
          <cell r="BZ88">
            <v>4</v>
          </cell>
          <cell r="CE88" t="str">
            <v>CN</v>
          </cell>
          <cell r="CL88" t="str">
            <v>CN</v>
          </cell>
          <cell r="CS88" t="str">
            <v>CN</v>
          </cell>
          <cell r="CZ88" t="str">
            <v>CN</v>
          </cell>
          <cell r="DD88">
            <v>4</v>
          </cell>
          <cell r="DE88">
            <v>0</v>
          </cell>
          <cell r="DF88">
            <v>0</v>
          </cell>
          <cell r="DJ88">
            <v>4</v>
          </cell>
          <cell r="DL88">
            <v>4080</v>
          </cell>
          <cell r="DM88">
            <v>0</v>
          </cell>
          <cell r="DN88">
            <v>4</v>
          </cell>
        </row>
        <row r="89">
          <cell r="E89" t="str">
            <v>50004</v>
          </cell>
          <cell r="F89" t="str">
            <v>Lê Phúc Sang</v>
          </cell>
          <cell r="G89" t="str">
            <v>Foaming</v>
          </cell>
          <cell r="H89" t="str">
            <v>FOAMING Production control</v>
          </cell>
          <cell r="I89" t="str">
            <v>Supervisor</v>
          </cell>
          <cell r="J89">
            <v>43672</v>
          </cell>
          <cell r="BV89">
            <v>0</v>
          </cell>
          <cell r="BW89">
            <v>0</v>
          </cell>
          <cell r="BX89" t="str">
            <v>CN</v>
          </cell>
          <cell r="BY89">
            <v>0</v>
          </cell>
          <cell r="BZ89">
            <v>0</v>
          </cell>
          <cell r="CE89" t="str">
            <v>CN</v>
          </cell>
          <cell r="CL89" t="str">
            <v>CN</v>
          </cell>
          <cell r="CS89" t="str">
            <v>CN</v>
          </cell>
          <cell r="CZ89" t="str">
            <v>CN</v>
          </cell>
          <cell r="DD89">
            <v>0</v>
          </cell>
          <cell r="DE89">
            <v>0</v>
          </cell>
          <cell r="DF89">
            <v>0</v>
          </cell>
          <cell r="DJ89">
            <v>0</v>
          </cell>
          <cell r="DL89">
            <v>50004</v>
          </cell>
          <cell r="DM89">
            <v>0</v>
          </cell>
          <cell r="DN89">
            <v>0</v>
          </cell>
        </row>
        <row r="90">
          <cell r="E90" t="str">
            <v>04112</v>
          </cell>
          <cell r="F90" t="str">
            <v>Trần Thành Đại</v>
          </cell>
          <cell r="G90" t="str">
            <v>Foaming</v>
          </cell>
          <cell r="H90" t="str">
            <v>FOAMING Splitting</v>
          </cell>
          <cell r="I90" t="str">
            <v>Worker</v>
          </cell>
          <cell r="J90">
            <v>45453</v>
          </cell>
          <cell r="BV90">
            <v>0</v>
          </cell>
          <cell r="BW90">
            <v>0</v>
          </cell>
          <cell r="BX90" t="str">
            <v>CN</v>
          </cell>
          <cell r="BY90">
            <v>0</v>
          </cell>
          <cell r="BZ90">
            <v>0</v>
          </cell>
          <cell r="CE90" t="str">
            <v>CN</v>
          </cell>
          <cell r="CL90" t="str">
            <v>CN</v>
          </cell>
          <cell r="CS90" t="str">
            <v>CN</v>
          </cell>
          <cell r="CZ90" t="str">
            <v>CN</v>
          </cell>
          <cell r="DD90">
            <v>0</v>
          </cell>
          <cell r="DE90">
            <v>0</v>
          </cell>
          <cell r="DF90">
            <v>0</v>
          </cell>
          <cell r="DJ90">
            <v>0</v>
          </cell>
          <cell r="DL90">
            <v>4112</v>
          </cell>
          <cell r="DM90">
            <v>0</v>
          </cell>
          <cell r="DN90">
            <v>0</v>
          </cell>
        </row>
        <row r="91">
          <cell r="E91" t="str">
            <v>04127</v>
          </cell>
          <cell r="F91" t="str">
            <v>Dương Vĩnh Lâm</v>
          </cell>
          <cell r="G91" t="str">
            <v>Foaming</v>
          </cell>
          <cell r="H91" t="str">
            <v>FOAMING Splitting</v>
          </cell>
          <cell r="I91" t="str">
            <v>Supervisor</v>
          </cell>
          <cell r="J91">
            <v>45481</v>
          </cell>
          <cell r="BV91">
            <v>0</v>
          </cell>
          <cell r="BW91">
            <v>0</v>
          </cell>
          <cell r="BX91" t="str">
            <v>CN</v>
          </cell>
          <cell r="BY91">
            <v>0</v>
          </cell>
          <cell r="BZ91">
            <v>1</v>
          </cell>
          <cell r="CE91" t="str">
            <v>CN</v>
          </cell>
          <cell r="CL91" t="str">
            <v>CN</v>
          </cell>
          <cell r="CS91" t="str">
            <v>CN</v>
          </cell>
          <cell r="CZ91" t="str">
            <v>CN</v>
          </cell>
          <cell r="DD91">
            <v>1</v>
          </cell>
          <cell r="DE91">
            <v>0</v>
          </cell>
          <cell r="DF91">
            <v>0</v>
          </cell>
          <cell r="DJ91">
            <v>1</v>
          </cell>
          <cell r="DL91">
            <v>4127</v>
          </cell>
          <cell r="DM91">
            <v>0</v>
          </cell>
          <cell r="DN91">
            <v>1</v>
          </cell>
        </row>
        <row r="92">
          <cell r="E92" t="str">
            <v>04151</v>
          </cell>
          <cell r="F92" t="str">
            <v>Đặng Đông Tình</v>
          </cell>
          <cell r="G92" t="str">
            <v>Foaming</v>
          </cell>
          <cell r="H92" t="str">
            <v>FOAMING Splitting</v>
          </cell>
          <cell r="I92" t="str">
            <v>Worker</v>
          </cell>
          <cell r="J92">
            <v>45519</v>
          </cell>
          <cell r="BV92">
            <v>0</v>
          </cell>
          <cell r="BW92">
            <v>0</v>
          </cell>
          <cell r="BX92" t="str">
            <v>CN</v>
          </cell>
          <cell r="BY92">
            <v>0</v>
          </cell>
          <cell r="BZ92">
            <v>0</v>
          </cell>
          <cell r="CE92" t="str">
            <v>CN</v>
          </cell>
          <cell r="CL92" t="str">
            <v>CN</v>
          </cell>
          <cell r="CS92" t="str">
            <v>CN</v>
          </cell>
          <cell r="CZ92" t="str">
            <v>CN</v>
          </cell>
          <cell r="DA92">
            <v>0</v>
          </cell>
          <cell r="DD92">
            <v>0</v>
          </cell>
          <cell r="DE92">
            <v>0</v>
          </cell>
          <cell r="DF92">
            <v>0</v>
          </cell>
          <cell r="DJ92">
            <v>0</v>
          </cell>
          <cell r="DL92">
            <v>4151</v>
          </cell>
          <cell r="DM92">
            <v>0</v>
          </cell>
          <cell r="DN92">
            <v>0</v>
          </cell>
        </row>
        <row r="93">
          <cell r="E93" t="str">
            <v>04152</v>
          </cell>
          <cell r="F93" t="str">
            <v>Nguyễn Hà Sang</v>
          </cell>
          <cell r="G93" t="str">
            <v>Foaming</v>
          </cell>
          <cell r="H93" t="str">
            <v>FOAMING Splitting</v>
          </cell>
          <cell r="I93" t="str">
            <v>Worker</v>
          </cell>
          <cell r="J93">
            <v>45519</v>
          </cell>
          <cell r="BV93">
            <v>0</v>
          </cell>
          <cell r="BW93">
            <v>0</v>
          </cell>
          <cell r="BX93" t="str">
            <v>CN</v>
          </cell>
          <cell r="BY93">
            <v>0</v>
          </cell>
          <cell r="BZ93">
            <v>0</v>
          </cell>
          <cell r="CE93" t="str">
            <v>CN</v>
          </cell>
          <cell r="CL93" t="str">
            <v>CN</v>
          </cell>
          <cell r="CS93" t="str">
            <v>CN</v>
          </cell>
          <cell r="CZ93" t="str">
            <v>CN</v>
          </cell>
          <cell r="DA93">
            <v>0</v>
          </cell>
          <cell r="DD93">
            <v>0</v>
          </cell>
          <cell r="DE93">
            <v>0</v>
          </cell>
          <cell r="DF93">
            <v>0</v>
          </cell>
          <cell r="DJ93">
            <v>0</v>
          </cell>
          <cell r="DL93">
            <v>4152</v>
          </cell>
          <cell r="DM93">
            <v>0</v>
          </cell>
          <cell r="DN93">
            <v>0</v>
          </cell>
        </row>
        <row r="94">
          <cell r="E94" t="str">
            <v>04195</v>
          </cell>
          <cell r="F94" t="str">
            <v>Lê Văn Tươi</v>
          </cell>
          <cell r="G94" t="str">
            <v>Foaming</v>
          </cell>
          <cell r="H94" t="str">
            <v>FOAMING Rectangular</v>
          </cell>
          <cell r="I94" t="str">
            <v>Worker</v>
          </cell>
          <cell r="J94">
            <v>45554</v>
          </cell>
          <cell r="BV94">
            <v>0</v>
          </cell>
          <cell r="BW94">
            <v>0</v>
          </cell>
          <cell r="BX94" t="str">
            <v>CN</v>
          </cell>
          <cell r="BY94">
            <v>0</v>
          </cell>
          <cell r="BZ94">
            <v>0</v>
          </cell>
          <cell r="CE94" t="str">
            <v>CN</v>
          </cell>
          <cell r="CL94" t="str">
            <v>CN</v>
          </cell>
          <cell r="CS94" t="str">
            <v>CN</v>
          </cell>
          <cell r="CZ94" t="str">
            <v>CN</v>
          </cell>
          <cell r="DD94">
            <v>0</v>
          </cell>
          <cell r="DE94">
            <v>0</v>
          </cell>
          <cell r="DF94">
            <v>0</v>
          </cell>
          <cell r="DJ94">
            <v>0</v>
          </cell>
          <cell r="DL94">
            <v>4195</v>
          </cell>
          <cell r="DM94">
            <v>0</v>
          </cell>
          <cell r="DN94">
            <v>0</v>
          </cell>
        </row>
        <row r="95">
          <cell r="E95" t="str">
            <v>04240</v>
          </cell>
          <cell r="F95" t="str">
            <v>Trầm Công Lý</v>
          </cell>
          <cell r="G95" t="str">
            <v>Foaming</v>
          </cell>
          <cell r="H95" t="str">
            <v>FOAMING Production control</v>
          </cell>
          <cell r="I95" t="str">
            <v>Junior Technician</v>
          </cell>
          <cell r="J95">
            <v>45565</v>
          </cell>
          <cell r="BV95">
            <v>0</v>
          </cell>
          <cell r="BW95">
            <v>0</v>
          </cell>
          <cell r="BX95" t="str">
            <v>CN</v>
          </cell>
          <cell r="BY95">
            <v>0</v>
          </cell>
          <cell r="BZ95">
            <v>0</v>
          </cell>
          <cell r="CE95" t="str">
            <v>CN</v>
          </cell>
          <cell r="CL95" t="str">
            <v>CN</v>
          </cell>
          <cell r="CS95" t="str">
            <v>CN</v>
          </cell>
          <cell r="CZ95" t="str">
            <v>CN</v>
          </cell>
          <cell r="DD95">
            <v>0</v>
          </cell>
          <cell r="DE95">
            <v>0</v>
          </cell>
          <cell r="DF95">
            <v>0</v>
          </cell>
          <cell r="DJ95">
            <v>0</v>
          </cell>
          <cell r="DL95">
            <v>4240</v>
          </cell>
          <cell r="DM95">
            <v>0</v>
          </cell>
          <cell r="DN95">
            <v>0</v>
          </cell>
        </row>
        <row r="96">
          <cell r="E96" t="str">
            <v>04283</v>
          </cell>
          <cell r="F96" t="str">
            <v>Lê Trung Lil</v>
          </cell>
          <cell r="G96" t="str">
            <v>Foaming</v>
          </cell>
          <cell r="H96" t="str">
            <v>FOAMING Splitting</v>
          </cell>
          <cell r="I96" t="str">
            <v>Worker</v>
          </cell>
          <cell r="J96">
            <v>45580</v>
          </cell>
          <cell r="BV96">
            <v>0</v>
          </cell>
          <cell r="BW96">
            <v>0</v>
          </cell>
          <cell r="BX96" t="str">
            <v>CN</v>
          </cell>
          <cell r="BY96">
            <v>0</v>
          </cell>
          <cell r="BZ96">
            <v>0</v>
          </cell>
          <cell r="CE96" t="str">
            <v>CN</v>
          </cell>
          <cell r="CL96" t="str">
            <v>CN</v>
          </cell>
          <cell r="CS96" t="str">
            <v>CN</v>
          </cell>
          <cell r="CZ96" t="str">
            <v>CN</v>
          </cell>
          <cell r="DD96">
            <v>0</v>
          </cell>
          <cell r="DE96">
            <v>0</v>
          </cell>
          <cell r="DF96">
            <v>0</v>
          </cell>
          <cell r="DJ96">
            <v>0</v>
          </cell>
          <cell r="DL96">
            <v>4283</v>
          </cell>
          <cell r="DM96">
            <v>0</v>
          </cell>
          <cell r="DN96">
            <v>0</v>
          </cell>
        </row>
        <row r="97">
          <cell r="E97" t="str">
            <v>04313</v>
          </cell>
          <cell r="F97" t="str">
            <v>Nguyễn Hồng Thuận</v>
          </cell>
          <cell r="G97" t="str">
            <v>Foaming</v>
          </cell>
          <cell r="H97" t="str">
            <v>FOAMING Rectangular</v>
          </cell>
          <cell r="I97" t="str">
            <v>Worker</v>
          </cell>
          <cell r="J97">
            <v>45586</v>
          </cell>
          <cell r="BV97">
            <v>0</v>
          </cell>
          <cell r="BW97">
            <v>0</v>
          </cell>
          <cell r="BX97" t="str">
            <v>CN</v>
          </cell>
          <cell r="BY97">
            <v>0</v>
          </cell>
          <cell r="BZ97">
            <v>0</v>
          </cell>
          <cell r="CE97" t="str">
            <v>CN</v>
          </cell>
          <cell r="CL97" t="str">
            <v>CN</v>
          </cell>
          <cell r="CS97" t="str">
            <v>CN</v>
          </cell>
          <cell r="CZ97" t="str">
            <v>CN</v>
          </cell>
          <cell r="DD97">
            <v>0</v>
          </cell>
          <cell r="DE97">
            <v>0</v>
          </cell>
          <cell r="DF97">
            <v>0</v>
          </cell>
          <cell r="DJ97">
            <v>0</v>
          </cell>
          <cell r="DL97">
            <v>4313</v>
          </cell>
          <cell r="DM97">
            <v>0</v>
          </cell>
          <cell r="DN97">
            <v>0</v>
          </cell>
        </row>
        <row r="98">
          <cell r="E98" t="str">
            <v>04392</v>
          </cell>
          <cell r="F98" t="str">
            <v>Lê Phi Công</v>
          </cell>
          <cell r="G98" t="str">
            <v>Foaming</v>
          </cell>
          <cell r="H98" t="str">
            <v>FOAMING Splitting</v>
          </cell>
          <cell r="I98" t="str">
            <v>Worker</v>
          </cell>
          <cell r="J98">
            <v>45659</v>
          </cell>
          <cell r="BV98">
            <v>0</v>
          </cell>
          <cell r="BW98">
            <v>0</v>
          </cell>
          <cell r="BX98" t="str">
            <v>CN</v>
          </cell>
          <cell r="BY98">
            <v>0</v>
          </cell>
          <cell r="BZ98">
            <v>4</v>
          </cell>
          <cell r="CE98" t="str">
            <v>CN</v>
          </cell>
          <cell r="CL98" t="str">
            <v>CN</v>
          </cell>
          <cell r="CS98" t="str">
            <v>CN</v>
          </cell>
          <cell r="CZ98" t="str">
            <v>CN</v>
          </cell>
          <cell r="DA98">
            <v>0</v>
          </cell>
          <cell r="DD98">
            <v>4</v>
          </cell>
          <cell r="DE98">
            <v>0</v>
          </cell>
          <cell r="DF98">
            <v>0</v>
          </cell>
          <cell r="DJ98">
            <v>4</v>
          </cell>
          <cell r="DL98">
            <v>4392</v>
          </cell>
          <cell r="DM98">
            <v>0</v>
          </cell>
          <cell r="DN98">
            <v>4</v>
          </cell>
        </row>
        <row r="99">
          <cell r="E99" t="str">
            <v>04393</v>
          </cell>
          <cell r="F99" t="str">
            <v>Ngô Vũ Phương</v>
          </cell>
          <cell r="G99" t="str">
            <v>Foaming</v>
          </cell>
          <cell r="H99" t="str">
            <v>FOAMING Splitting</v>
          </cell>
          <cell r="I99" t="str">
            <v>Worker</v>
          </cell>
          <cell r="J99">
            <v>45659</v>
          </cell>
          <cell r="BV99">
            <v>0</v>
          </cell>
          <cell r="BW99">
            <v>0</v>
          </cell>
          <cell r="BX99" t="str">
            <v>CN</v>
          </cell>
          <cell r="BY99">
            <v>0</v>
          </cell>
          <cell r="BZ99">
            <v>0</v>
          </cell>
          <cell r="CE99" t="str">
            <v>CN</v>
          </cell>
          <cell r="CL99" t="str">
            <v>CN</v>
          </cell>
          <cell r="CS99" t="str">
            <v>CN</v>
          </cell>
          <cell r="CZ99" t="str">
            <v>CN</v>
          </cell>
          <cell r="DD99">
            <v>0</v>
          </cell>
          <cell r="DE99">
            <v>0</v>
          </cell>
          <cell r="DF99">
            <v>0</v>
          </cell>
          <cell r="DJ99">
            <v>0</v>
          </cell>
          <cell r="DL99">
            <v>4393</v>
          </cell>
          <cell r="DM99">
            <v>0</v>
          </cell>
          <cell r="DN99">
            <v>0</v>
          </cell>
        </row>
        <row r="100">
          <cell r="E100" t="str">
            <v>04420</v>
          </cell>
          <cell r="F100" t="str">
            <v>Nguyễn Quốc Nam</v>
          </cell>
          <cell r="G100" t="str">
            <v>Foaming</v>
          </cell>
          <cell r="H100" t="str">
            <v>FOAMING Splitting</v>
          </cell>
          <cell r="I100" t="str">
            <v>Worker</v>
          </cell>
          <cell r="J100">
            <v>45705</v>
          </cell>
          <cell r="BV100">
            <v>0</v>
          </cell>
          <cell r="BW100">
            <v>0</v>
          </cell>
          <cell r="BX100" t="str">
            <v>CN</v>
          </cell>
          <cell r="BY100">
            <v>0</v>
          </cell>
          <cell r="BZ100">
            <v>0</v>
          </cell>
          <cell r="CE100" t="str">
            <v>CN</v>
          </cell>
          <cell r="CL100" t="str">
            <v>CN</v>
          </cell>
          <cell r="CS100" t="str">
            <v>CN</v>
          </cell>
          <cell r="CZ100" t="str">
            <v>CN</v>
          </cell>
          <cell r="DA100">
            <v>0</v>
          </cell>
          <cell r="DD100">
            <v>0</v>
          </cell>
          <cell r="DE100">
            <v>0</v>
          </cell>
          <cell r="DF100">
            <v>0</v>
          </cell>
          <cell r="DJ100">
            <v>0</v>
          </cell>
          <cell r="DL100">
            <v>4420</v>
          </cell>
          <cell r="DM100">
            <v>0</v>
          </cell>
          <cell r="DN100">
            <v>0</v>
          </cell>
        </row>
        <row r="101">
          <cell r="E101" t="str">
            <v>04421</v>
          </cell>
          <cell r="F101" t="str">
            <v>Lâm Tấn Đạt</v>
          </cell>
          <cell r="G101" t="str">
            <v>Foaming</v>
          </cell>
          <cell r="H101" t="str">
            <v>FOAMING Splitting</v>
          </cell>
          <cell r="I101" t="str">
            <v>Worker</v>
          </cell>
          <cell r="J101">
            <v>45705</v>
          </cell>
          <cell r="BV101">
            <v>0</v>
          </cell>
          <cell r="BW101">
            <v>0</v>
          </cell>
          <cell r="BX101" t="str">
            <v>CN</v>
          </cell>
          <cell r="BY101">
            <v>2</v>
          </cell>
          <cell r="BZ101">
            <v>2</v>
          </cell>
          <cell r="CE101" t="str">
            <v>CN</v>
          </cell>
          <cell r="CL101" t="str">
            <v>CN</v>
          </cell>
          <cell r="CS101" t="str">
            <v>CN</v>
          </cell>
          <cell r="CZ101" t="str">
            <v>CN</v>
          </cell>
          <cell r="DD101">
            <v>4</v>
          </cell>
          <cell r="DE101">
            <v>0</v>
          </cell>
          <cell r="DF101">
            <v>0</v>
          </cell>
          <cell r="DJ101">
            <v>4</v>
          </cell>
          <cell r="DL101">
            <v>4421</v>
          </cell>
          <cell r="DM101">
            <v>0</v>
          </cell>
          <cell r="DN101">
            <v>4</v>
          </cell>
        </row>
        <row r="102">
          <cell r="E102" t="str">
            <v>04424</v>
          </cell>
          <cell r="F102" t="str">
            <v>Huỳnh Tài Chánh</v>
          </cell>
          <cell r="G102" t="str">
            <v>Foaming</v>
          </cell>
          <cell r="H102" t="str">
            <v>FOAMING Rectangular</v>
          </cell>
          <cell r="I102" t="str">
            <v>Worker</v>
          </cell>
          <cell r="J102">
            <v>45705</v>
          </cell>
          <cell r="BV102">
            <v>0</v>
          </cell>
          <cell r="BW102">
            <v>0</v>
          </cell>
          <cell r="BX102" t="str">
            <v>CN</v>
          </cell>
          <cell r="BY102">
            <v>0</v>
          </cell>
          <cell r="BZ102">
            <v>0</v>
          </cell>
          <cell r="CE102" t="str">
            <v>CN</v>
          </cell>
          <cell r="CL102" t="str">
            <v>CN</v>
          </cell>
          <cell r="CS102" t="str">
            <v>CN</v>
          </cell>
          <cell r="CZ102" t="str">
            <v>CN</v>
          </cell>
          <cell r="DD102">
            <v>0</v>
          </cell>
          <cell r="DE102">
            <v>0</v>
          </cell>
          <cell r="DF102">
            <v>0</v>
          </cell>
          <cell r="DJ102">
            <v>0</v>
          </cell>
          <cell r="DL102">
            <v>4424</v>
          </cell>
          <cell r="DM102">
            <v>0</v>
          </cell>
          <cell r="DN102">
            <v>0</v>
          </cell>
        </row>
        <row r="103">
          <cell r="E103" t="str">
            <v>04425</v>
          </cell>
          <cell r="F103" t="str">
            <v>Trương Văn Trong</v>
          </cell>
          <cell r="G103" t="str">
            <v>Foaming</v>
          </cell>
          <cell r="H103" t="str">
            <v>FOAMING Splitting</v>
          </cell>
          <cell r="I103" t="str">
            <v>Forklift Driver</v>
          </cell>
          <cell r="J103">
            <v>45705</v>
          </cell>
          <cell r="BV103">
            <v>0</v>
          </cell>
          <cell r="BW103">
            <v>0</v>
          </cell>
          <cell r="BX103" t="str">
            <v>CN</v>
          </cell>
          <cell r="BY103">
            <v>2</v>
          </cell>
          <cell r="BZ103">
            <v>0</v>
          </cell>
          <cell r="CE103" t="str">
            <v>CN</v>
          </cell>
          <cell r="CL103" t="str">
            <v>CN</v>
          </cell>
          <cell r="CS103" t="str">
            <v>CN</v>
          </cell>
          <cell r="CZ103" t="str">
            <v>CN</v>
          </cell>
          <cell r="DD103">
            <v>2</v>
          </cell>
          <cell r="DE103">
            <v>0</v>
          </cell>
          <cell r="DF103">
            <v>0</v>
          </cell>
          <cell r="DJ103">
            <v>2</v>
          </cell>
          <cell r="DL103">
            <v>4425</v>
          </cell>
          <cell r="DM103">
            <v>0</v>
          </cell>
          <cell r="DN103">
            <v>2</v>
          </cell>
        </row>
        <row r="104">
          <cell r="E104" t="str">
            <v>03575</v>
          </cell>
          <cell r="F104" t="str">
            <v>Phạm Thị Ngọt</v>
          </cell>
          <cell r="G104" t="str">
            <v>Foaming</v>
          </cell>
          <cell r="H104" t="str">
            <v>FOAMING Splitting</v>
          </cell>
          <cell r="I104" t="str">
            <v>Worker</v>
          </cell>
          <cell r="J104">
            <v>44728</v>
          </cell>
          <cell r="BV104">
            <v>3</v>
          </cell>
          <cell r="BW104">
            <v>0</v>
          </cell>
          <cell r="BX104" t="str">
            <v>CN</v>
          </cell>
          <cell r="BY104">
            <v>0</v>
          </cell>
          <cell r="BZ104">
            <v>0</v>
          </cell>
          <cell r="CE104" t="str">
            <v>CN</v>
          </cell>
          <cell r="CL104" t="str">
            <v>CN</v>
          </cell>
          <cell r="CS104" t="str">
            <v>CN</v>
          </cell>
          <cell r="CZ104" t="str">
            <v>CN</v>
          </cell>
          <cell r="DD104">
            <v>3</v>
          </cell>
          <cell r="DE104">
            <v>0</v>
          </cell>
          <cell r="DF104">
            <v>0</v>
          </cell>
          <cell r="DJ104">
            <v>3</v>
          </cell>
          <cell r="DL104">
            <v>3575</v>
          </cell>
          <cell r="DM104">
            <v>3</v>
          </cell>
          <cell r="DN104">
            <v>0</v>
          </cell>
        </row>
        <row r="105">
          <cell r="E105" t="str">
            <v>04462</v>
          </cell>
          <cell r="F105" t="str">
            <v>Danh Tiền</v>
          </cell>
          <cell r="G105" t="str">
            <v>Foaming</v>
          </cell>
          <cell r="H105" t="str">
            <v>FOAMING Splitting</v>
          </cell>
          <cell r="I105" t="str">
            <v>Worker</v>
          </cell>
          <cell r="J105">
            <v>45714</v>
          </cell>
          <cell r="BV105">
            <v>0</v>
          </cell>
          <cell r="BW105">
            <v>0</v>
          </cell>
          <cell r="BX105" t="str">
            <v>CN</v>
          </cell>
          <cell r="BY105">
            <v>0</v>
          </cell>
          <cell r="BZ105">
            <v>2</v>
          </cell>
          <cell r="CE105" t="str">
            <v>CN</v>
          </cell>
          <cell r="CL105" t="str">
            <v>CN</v>
          </cell>
          <cell r="CS105" t="str">
            <v>CN</v>
          </cell>
          <cell r="CZ105" t="str">
            <v>CN</v>
          </cell>
          <cell r="DD105">
            <v>2</v>
          </cell>
          <cell r="DE105">
            <v>0</v>
          </cell>
          <cell r="DF105">
            <v>0</v>
          </cell>
          <cell r="DJ105">
            <v>2</v>
          </cell>
          <cell r="DL105">
            <v>4462</v>
          </cell>
          <cell r="DM105">
            <v>0</v>
          </cell>
          <cell r="DN105">
            <v>2</v>
          </cell>
        </row>
        <row r="106">
          <cell r="E106" t="str">
            <v>04464</v>
          </cell>
          <cell r="F106" t="str">
            <v>Hà Thành Đạt</v>
          </cell>
          <cell r="G106" t="str">
            <v>Foaming</v>
          </cell>
          <cell r="H106" t="str">
            <v>FOAMING Rectangular</v>
          </cell>
          <cell r="I106" t="str">
            <v>Worker</v>
          </cell>
          <cell r="J106">
            <v>45714</v>
          </cell>
          <cell r="BV106">
            <v>4</v>
          </cell>
          <cell r="BW106">
            <v>0</v>
          </cell>
          <cell r="BX106" t="str">
            <v>CN</v>
          </cell>
          <cell r="BY106">
            <v>0</v>
          </cell>
          <cell r="BZ106">
            <v>0</v>
          </cell>
          <cell r="CE106" t="str">
            <v>CN</v>
          </cell>
          <cell r="CL106" t="str">
            <v>CN</v>
          </cell>
          <cell r="CS106" t="str">
            <v>CN</v>
          </cell>
          <cell r="CZ106" t="str">
            <v>CN</v>
          </cell>
          <cell r="DD106">
            <v>4</v>
          </cell>
          <cell r="DE106">
            <v>0</v>
          </cell>
          <cell r="DF106">
            <v>0</v>
          </cell>
          <cell r="DJ106">
            <v>4</v>
          </cell>
          <cell r="DL106">
            <v>4464</v>
          </cell>
          <cell r="DM106">
            <v>4</v>
          </cell>
          <cell r="DN106">
            <v>0</v>
          </cell>
        </row>
        <row r="107">
          <cell r="E107" t="str">
            <v>04465</v>
          </cell>
          <cell r="F107" t="str">
            <v>Trần Văn Linh</v>
          </cell>
          <cell r="G107" t="str">
            <v>Foaming</v>
          </cell>
          <cell r="H107" t="str">
            <v>FOAMING Rectangular</v>
          </cell>
          <cell r="I107" t="str">
            <v>Worker</v>
          </cell>
          <cell r="J107">
            <v>45714</v>
          </cell>
          <cell r="BV107">
            <v>0</v>
          </cell>
          <cell r="BW107">
            <v>0</v>
          </cell>
          <cell r="BX107" t="str">
            <v>CN</v>
          </cell>
          <cell r="BY107">
            <v>0</v>
          </cell>
          <cell r="BZ107">
            <v>0</v>
          </cell>
          <cell r="CE107" t="str">
            <v>CN</v>
          </cell>
          <cell r="CL107" t="str">
            <v>CN</v>
          </cell>
          <cell r="CS107" t="str">
            <v>CN</v>
          </cell>
          <cell r="CZ107" t="str">
            <v>CN</v>
          </cell>
          <cell r="DD107">
            <v>0</v>
          </cell>
          <cell r="DE107">
            <v>0</v>
          </cell>
          <cell r="DF107">
            <v>0</v>
          </cell>
          <cell r="DJ107">
            <v>0</v>
          </cell>
          <cell r="DL107">
            <v>4465</v>
          </cell>
          <cell r="DM107">
            <v>0</v>
          </cell>
          <cell r="DN107">
            <v>0</v>
          </cell>
        </row>
        <row r="108">
          <cell r="E108" t="str">
            <v>04517</v>
          </cell>
          <cell r="F108" t="str">
            <v>Hoàng Văn Anh</v>
          </cell>
          <cell r="G108" t="str">
            <v>Foaming</v>
          </cell>
          <cell r="H108" t="str">
            <v>FOAMING Rectangular</v>
          </cell>
          <cell r="I108" t="str">
            <v>Worker</v>
          </cell>
          <cell r="J108">
            <v>45721</v>
          </cell>
          <cell r="BV108">
            <v>0</v>
          </cell>
          <cell r="BW108">
            <v>0</v>
          </cell>
          <cell r="BX108" t="str">
            <v>CN</v>
          </cell>
          <cell r="BY108">
            <v>0</v>
          </cell>
          <cell r="BZ108">
            <v>0</v>
          </cell>
          <cell r="CE108" t="str">
            <v>CN</v>
          </cell>
          <cell r="CL108" t="str">
            <v>CN</v>
          </cell>
          <cell r="CS108" t="str">
            <v>CN</v>
          </cell>
          <cell r="CZ108" t="str">
            <v>CN</v>
          </cell>
          <cell r="DD108">
            <v>0</v>
          </cell>
          <cell r="DE108">
            <v>0</v>
          </cell>
          <cell r="DF108">
            <v>0</v>
          </cell>
          <cell r="DJ108">
            <v>0</v>
          </cell>
          <cell r="DL108">
            <v>4517</v>
          </cell>
          <cell r="DM108">
            <v>0</v>
          </cell>
          <cell r="DN108">
            <v>0</v>
          </cell>
        </row>
        <row r="109">
          <cell r="E109" t="str">
            <v>04546</v>
          </cell>
          <cell r="F109" t="str">
            <v>Nguyễn Thái Hoàng</v>
          </cell>
          <cell r="G109" t="str">
            <v>Foaming</v>
          </cell>
          <cell r="H109" t="str">
            <v>FOAMING Rectangular</v>
          </cell>
          <cell r="I109" t="str">
            <v>Worker</v>
          </cell>
          <cell r="J109">
            <v>45730</v>
          </cell>
          <cell r="BV109">
            <v>0</v>
          </cell>
          <cell r="BW109">
            <v>0</v>
          </cell>
          <cell r="BX109" t="str">
            <v>CN</v>
          </cell>
          <cell r="BY109">
            <v>0</v>
          </cell>
          <cell r="BZ109">
            <v>0</v>
          </cell>
          <cell r="CE109" t="str">
            <v>CN</v>
          </cell>
          <cell r="CL109" t="str">
            <v>CN</v>
          </cell>
          <cell r="CS109" t="str">
            <v>CN</v>
          </cell>
          <cell r="CZ109" t="str">
            <v>CN</v>
          </cell>
          <cell r="DD109">
            <v>0</v>
          </cell>
          <cell r="DE109">
            <v>0</v>
          </cell>
          <cell r="DF109">
            <v>0</v>
          </cell>
          <cell r="DJ109">
            <v>0</v>
          </cell>
          <cell r="DL109">
            <v>4546</v>
          </cell>
          <cell r="DM109">
            <v>0</v>
          </cell>
          <cell r="DN109">
            <v>0</v>
          </cell>
        </row>
        <row r="110">
          <cell r="E110" t="str">
            <v>04667</v>
          </cell>
          <cell r="F110" t="str">
            <v>Hoàng Minh Thuỳ</v>
          </cell>
          <cell r="G110" t="str">
            <v>Foaming</v>
          </cell>
          <cell r="H110" t="str">
            <v>FOAMING Production control</v>
          </cell>
          <cell r="I110" t="str">
            <v xml:space="preserve">Chemical Associate Engineer </v>
          </cell>
          <cell r="J110">
            <v>45834</v>
          </cell>
          <cell r="BV110">
            <v>0</v>
          </cell>
          <cell r="BW110">
            <v>0</v>
          </cell>
          <cell r="BX110" t="str">
            <v>CN</v>
          </cell>
          <cell r="BY110">
            <v>0</v>
          </cell>
          <cell r="BZ110">
            <v>0</v>
          </cell>
          <cell r="CE110" t="str">
            <v>CN</v>
          </cell>
          <cell r="CL110" t="str">
            <v>CN</v>
          </cell>
          <cell r="CS110" t="str">
            <v>CN</v>
          </cell>
          <cell r="CZ110" t="str">
            <v>CN</v>
          </cell>
          <cell r="DD110">
            <v>0</v>
          </cell>
          <cell r="DE110">
            <v>0</v>
          </cell>
          <cell r="DF110">
            <v>0</v>
          </cell>
          <cell r="DJ110">
            <v>0</v>
          </cell>
          <cell r="DL110">
            <v>4667</v>
          </cell>
          <cell r="DM110">
            <v>0</v>
          </cell>
          <cell r="DN110">
            <v>0</v>
          </cell>
        </row>
        <row r="111">
          <cell r="E111" t="str">
            <v>04820</v>
          </cell>
          <cell r="F111" t="str">
            <v>Trần Tuấn Anh</v>
          </cell>
          <cell r="G111" t="str">
            <v>Foaming</v>
          </cell>
          <cell r="H111" t="str">
            <v>FOAMING Rectangular</v>
          </cell>
          <cell r="I111" t="str">
            <v>Supervisor</v>
          </cell>
          <cell r="J111">
            <v>45929</v>
          </cell>
          <cell r="BV111">
            <v>0</v>
          </cell>
          <cell r="BW111">
            <v>0</v>
          </cell>
          <cell r="BX111" t="str">
            <v>CN</v>
          </cell>
          <cell r="BY111">
            <v>0</v>
          </cell>
          <cell r="BZ111">
            <v>0</v>
          </cell>
          <cell r="CE111" t="str">
            <v>CN</v>
          </cell>
          <cell r="CL111" t="str">
            <v>CN</v>
          </cell>
          <cell r="CS111" t="str">
            <v>CN</v>
          </cell>
          <cell r="CZ111" t="str">
            <v>CN</v>
          </cell>
          <cell r="DD111">
            <v>0</v>
          </cell>
          <cell r="DE111">
            <v>0</v>
          </cell>
          <cell r="DF111">
            <v>0</v>
          </cell>
          <cell r="DJ111">
            <v>0</v>
          </cell>
          <cell r="DL111">
            <v>4820</v>
          </cell>
          <cell r="DM111">
            <v>0</v>
          </cell>
          <cell r="DN111">
            <v>0</v>
          </cell>
        </row>
        <row r="112">
          <cell r="E112" t="str">
            <v>02396</v>
          </cell>
          <cell r="F112" t="str">
            <v>Trương Hồng Gấm</v>
          </cell>
          <cell r="G112" t="str">
            <v>Foaming</v>
          </cell>
          <cell r="H112" t="str">
            <v>FOAMING Splitting</v>
          </cell>
          <cell r="I112" t="str">
            <v>Worker</v>
          </cell>
          <cell r="J112">
            <v>44048</v>
          </cell>
          <cell r="BV112">
            <v>0</v>
          </cell>
          <cell r="BW112">
            <v>0</v>
          </cell>
          <cell r="BX112" t="str">
            <v>CN</v>
          </cell>
          <cell r="BY112">
            <v>4</v>
          </cell>
          <cell r="BZ112">
            <v>3</v>
          </cell>
          <cell r="CE112" t="str">
            <v>CN</v>
          </cell>
          <cell r="CL112" t="str">
            <v>CN</v>
          </cell>
          <cell r="CS112" t="str">
            <v>CN</v>
          </cell>
          <cell r="CZ112" t="str">
            <v>CN</v>
          </cell>
          <cell r="DD112">
            <v>7</v>
          </cell>
          <cell r="DE112">
            <v>0</v>
          </cell>
          <cell r="DF112">
            <v>0</v>
          </cell>
          <cell r="DJ112">
            <v>7</v>
          </cell>
          <cell r="DL112">
            <v>2396</v>
          </cell>
          <cell r="DM112">
            <v>0</v>
          </cell>
          <cell r="DN112">
            <v>7</v>
          </cell>
        </row>
        <row r="113">
          <cell r="E113" t="str">
            <v>04926</v>
          </cell>
          <cell r="F113" t="str">
            <v>Phan Hải Giang</v>
          </cell>
          <cell r="G113" t="str">
            <v>Foaming</v>
          </cell>
          <cell r="H113" t="str">
            <v>FOAMING Production control</v>
          </cell>
          <cell r="I113" t="str">
            <v>Staff</v>
          </cell>
          <cell r="J113">
            <v>46027</v>
          </cell>
          <cell r="BV113">
            <v>0</v>
          </cell>
          <cell r="BW113">
            <v>0</v>
          </cell>
          <cell r="BX113" t="str">
            <v>CN</v>
          </cell>
          <cell r="BY113">
            <v>1</v>
          </cell>
          <cell r="BZ113">
            <v>0.5</v>
          </cell>
          <cell r="CE113" t="str">
            <v>CN</v>
          </cell>
          <cell r="CL113" t="str">
            <v>CN</v>
          </cell>
          <cell r="CS113" t="str">
            <v>CN</v>
          </cell>
          <cell r="CZ113" t="str">
            <v>CN</v>
          </cell>
          <cell r="DD113">
            <v>1.5</v>
          </cell>
          <cell r="DE113">
            <v>0</v>
          </cell>
          <cell r="DF113">
            <v>0</v>
          </cell>
          <cell r="DJ113">
            <v>1.5</v>
          </cell>
          <cell r="DL113">
            <v>4926</v>
          </cell>
          <cell r="DM113">
            <v>0</v>
          </cell>
          <cell r="DN113">
            <v>1.5</v>
          </cell>
        </row>
        <row r="114">
          <cell r="E114" t="str">
            <v>04974</v>
          </cell>
          <cell r="F114" t="str">
            <v>Lê Đắc Đức</v>
          </cell>
          <cell r="G114" t="str">
            <v>Foaming</v>
          </cell>
          <cell r="H114" t="str">
            <v>FOAMING Splitting</v>
          </cell>
          <cell r="I114" t="str">
            <v>Worker</v>
          </cell>
          <cell r="J114">
            <v>46083</v>
          </cell>
          <cell r="BV114">
            <v>0</v>
          </cell>
          <cell r="BW114">
            <v>0</v>
          </cell>
          <cell r="BX114" t="str">
            <v>CN</v>
          </cell>
          <cell r="BY114">
            <v>4</v>
          </cell>
          <cell r="BZ114">
            <v>4</v>
          </cell>
          <cell r="CE114" t="str">
            <v>CN</v>
          </cell>
          <cell r="CL114" t="str">
            <v>CN</v>
          </cell>
          <cell r="CS114" t="str">
            <v>CN</v>
          </cell>
          <cell r="CZ114" t="str">
            <v>CN</v>
          </cell>
          <cell r="DD114">
            <v>8</v>
          </cell>
          <cell r="DE114">
            <v>0</v>
          </cell>
          <cell r="DF114">
            <v>0</v>
          </cell>
          <cell r="DJ114">
            <v>8</v>
          </cell>
          <cell r="DL114">
            <v>4974</v>
          </cell>
          <cell r="DM114">
            <v>0</v>
          </cell>
          <cell r="DN114">
            <v>8</v>
          </cell>
        </row>
        <row r="115">
          <cell r="E115" t="str">
            <v>04975</v>
          </cell>
          <cell r="F115" t="str">
            <v>Lê Bá Thế Anh</v>
          </cell>
          <cell r="G115" t="str">
            <v>Foaming</v>
          </cell>
          <cell r="H115" t="str">
            <v>FOAMING Rectangular</v>
          </cell>
          <cell r="I115" t="str">
            <v>Worker</v>
          </cell>
          <cell r="J115">
            <v>46083</v>
          </cell>
          <cell r="BV115">
            <v>0</v>
          </cell>
          <cell r="BW115">
            <v>0</v>
          </cell>
          <cell r="BX115" t="str">
            <v>CN</v>
          </cell>
          <cell r="BY115">
            <v>4</v>
          </cell>
          <cell r="BZ115">
            <v>4</v>
          </cell>
          <cell r="CE115" t="str">
            <v>CN</v>
          </cell>
          <cell r="CL115" t="str">
            <v>CN</v>
          </cell>
          <cell r="CS115" t="str">
            <v>CN</v>
          </cell>
          <cell r="CZ115" t="str">
            <v>CN</v>
          </cell>
          <cell r="DD115">
            <v>8</v>
          </cell>
          <cell r="DE115">
            <v>0</v>
          </cell>
          <cell r="DF115">
            <v>0</v>
          </cell>
          <cell r="DJ115">
            <v>8</v>
          </cell>
          <cell r="DL115">
            <v>4975</v>
          </cell>
          <cell r="DM115">
            <v>0</v>
          </cell>
          <cell r="DN115">
            <v>8</v>
          </cell>
        </row>
        <row r="116">
          <cell r="E116" t="str">
            <v>04976</v>
          </cell>
          <cell r="F116" t="str">
            <v>Huỳnh Đức Trung</v>
          </cell>
          <cell r="G116" t="str">
            <v>Foaming</v>
          </cell>
          <cell r="H116" t="str">
            <v>FOAMING Rectangular</v>
          </cell>
          <cell r="I116" t="str">
            <v>Worker</v>
          </cell>
          <cell r="J116">
            <v>46083</v>
          </cell>
          <cell r="BV116">
            <v>0</v>
          </cell>
          <cell r="BW116">
            <v>0</v>
          </cell>
          <cell r="BX116" t="str">
            <v>CN</v>
          </cell>
          <cell r="BY116">
            <v>0</v>
          </cell>
          <cell r="BZ116">
            <v>4</v>
          </cell>
          <cell r="CE116" t="str">
            <v>CN</v>
          </cell>
          <cell r="CL116" t="str">
            <v>CN</v>
          </cell>
          <cell r="CS116" t="str">
            <v>CN</v>
          </cell>
          <cell r="CZ116" t="str">
            <v>CN</v>
          </cell>
          <cell r="DD116">
            <v>4</v>
          </cell>
          <cell r="DE116">
            <v>0</v>
          </cell>
          <cell r="DF116">
            <v>0</v>
          </cell>
          <cell r="DJ116">
            <v>4</v>
          </cell>
          <cell r="DL116">
            <v>4976</v>
          </cell>
          <cell r="DM116">
            <v>0</v>
          </cell>
          <cell r="DN116">
            <v>4</v>
          </cell>
        </row>
        <row r="117">
          <cell r="E117" t="str">
            <v>04981</v>
          </cell>
          <cell r="F117" t="str">
            <v>Trần Thanh Phúc</v>
          </cell>
          <cell r="G117" t="str">
            <v>Foaming</v>
          </cell>
          <cell r="H117" t="str">
            <v>FOAMING Splitting</v>
          </cell>
          <cell r="I117" t="str">
            <v>Worker</v>
          </cell>
          <cell r="J117">
            <v>46083</v>
          </cell>
          <cell r="BV117">
            <v>0</v>
          </cell>
          <cell r="BW117">
            <v>0</v>
          </cell>
          <cell r="BX117" t="str">
            <v>CN</v>
          </cell>
          <cell r="BY117">
            <v>4</v>
          </cell>
          <cell r="BZ117">
            <v>4</v>
          </cell>
          <cell r="CE117" t="str">
            <v>CN</v>
          </cell>
          <cell r="CL117" t="str">
            <v>CN</v>
          </cell>
          <cell r="CS117" t="str">
            <v>CN</v>
          </cell>
          <cell r="CZ117" t="str">
            <v>CN</v>
          </cell>
          <cell r="DD117">
            <v>8</v>
          </cell>
          <cell r="DE117">
            <v>0</v>
          </cell>
          <cell r="DF117">
            <v>0</v>
          </cell>
          <cell r="DJ117">
            <v>8</v>
          </cell>
          <cell r="DL117">
            <v>4981</v>
          </cell>
          <cell r="DM117">
            <v>0</v>
          </cell>
          <cell r="DN117">
            <v>8</v>
          </cell>
        </row>
        <row r="118">
          <cell r="E118" t="str">
            <v>04983</v>
          </cell>
          <cell r="F118" t="str">
            <v>Lê Hà Gia Phát</v>
          </cell>
          <cell r="G118" t="str">
            <v>Foaming</v>
          </cell>
          <cell r="H118" t="str">
            <v>FOAMING Rectangular</v>
          </cell>
          <cell r="I118" t="str">
            <v>Worker</v>
          </cell>
          <cell r="J118">
            <v>46083</v>
          </cell>
          <cell r="BV118">
            <v>0</v>
          </cell>
          <cell r="BW118">
            <v>0</v>
          </cell>
          <cell r="BX118" t="str">
            <v>CN</v>
          </cell>
          <cell r="BY118">
            <v>0</v>
          </cell>
          <cell r="BZ118">
            <v>4</v>
          </cell>
          <cell r="CE118" t="str">
            <v>CN</v>
          </cell>
          <cell r="CL118" t="str">
            <v>CN</v>
          </cell>
          <cell r="CS118" t="str">
            <v>CN</v>
          </cell>
          <cell r="CZ118" t="str">
            <v>CN</v>
          </cell>
          <cell r="DD118">
            <v>4</v>
          </cell>
          <cell r="DE118">
            <v>0</v>
          </cell>
          <cell r="DF118">
            <v>0</v>
          </cell>
          <cell r="DJ118">
            <v>4</v>
          </cell>
          <cell r="DL118">
            <v>4983</v>
          </cell>
          <cell r="DM118">
            <v>0</v>
          </cell>
          <cell r="DN118">
            <v>4</v>
          </cell>
        </row>
        <row r="119">
          <cell r="E119" t="str">
            <v>04993</v>
          </cell>
          <cell r="F119" t="str">
            <v>Võ Văn Long</v>
          </cell>
          <cell r="G119" t="str">
            <v>Foaming</v>
          </cell>
          <cell r="H119" t="str">
            <v>FOAMING Splitting</v>
          </cell>
          <cell r="I119" t="str">
            <v>Worker</v>
          </cell>
          <cell r="J119">
            <v>46086</v>
          </cell>
          <cell r="BV119">
            <v>0</v>
          </cell>
          <cell r="BW119">
            <v>0</v>
          </cell>
          <cell r="BX119" t="str">
            <v>CN</v>
          </cell>
          <cell r="BY119">
            <v>4</v>
          </cell>
          <cell r="BZ119">
            <v>0</v>
          </cell>
          <cell r="CE119" t="str">
            <v>CN</v>
          </cell>
          <cell r="CL119" t="str">
            <v>CN</v>
          </cell>
          <cell r="CS119" t="str">
            <v>CN</v>
          </cell>
          <cell r="CZ119" t="str">
            <v>CN</v>
          </cell>
          <cell r="DD119">
            <v>4</v>
          </cell>
          <cell r="DE119">
            <v>0</v>
          </cell>
          <cell r="DF119">
            <v>0</v>
          </cell>
          <cell r="DJ119">
            <v>4</v>
          </cell>
          <cell r="DL119">
            <v>4993</v>
          </cell>
          <cell r="DM119">
            <v>0</v>
          </cell>
          <cell r="DN119">
            <v>4</v>
          </cell>
        </row>
        <row r="120">
          <cell r="E120" t="str">
            <v>05001</v>
          </cell>
          <cell r="F120" t="str">
            <v>Thạch Som</v>
          </cell>
          <cell r="G120" t="str">
            <v>Foaming</v>
          </cell>
          <cell r="H120" t="str">
            <v>FOAMING Splitting</v>
          </cell>
          <cell r="I120" t="str">
            <v>Worker</v>
          </cell>
          <cell r="J120">
            <v>46086</v>
          </cell>
          <cell r="BV120">
            <v>0</v>
          </cell>
          <cell r="BW120">
            <v>0</v>
          </cell>
          <cell r="BX120" t="str">
            <v>CN</v>
          </cell>
          <cell r="BY120">
            <v>4</v>
          </cell>
          <cell r="BZ120">
            <v>4</v>
          </cell>
          <cell r="CE120" t="str">
            <v>CN</v>
          </cell>
          <cell r="CL120" t="str">
            <v>CN</v>
          </cell>
          <cell r="CS120" t="str">
            <v>CN</v>
          </cell>
          <cell r="CZ120" t="str">
            <v>CN</v>
          </cell>
          <cell r="DD120">
            <v>8</v>
          </cell>
          <cell r="DE120">
            <v>0</v>
          </cell>
          <cell r="DF120">
            <v>0</v>
          </cell>
          <cell r="DJ120">
            <v>8</v>
          </cell>
          <cell r="DL120">
            <v>5001</v>
          </cell>
          <cell r="DM120">
            <v>0</v>
          </cell>
          <cell r="DN120">
            <v>8</v>
          </cell>
        </row>
        <row r="121">
          <cell r="E121" t="str">
            <v>05066</v>
          </cell>
          <cell r="F121" t="str">
            <v>Phạm Văn Trường</v>
          </cell>
          <cell r="G121" t="str">
            <v>Foaming</v>
          </cell>
          <cell r="H121" t="str">
            <v>FOAMING Rectangular</v>
          </cell>
          <cell r="I121" t="str">
            <v>Worker</v>
          </cell>
          <cell r="J121">
            <v>46100</v>
          </cell>
          <cell r="BV121">
            <v>0</v>
          </cell>
          <cell r="BW121">
            <v>0</v>
          </cell>
          <cell r="BX121" t="str">
            <v>CN</v>
          </cell>
          <cell r="BY121">
            <v>0</v>
          </cell>
          <cell r="BZ121">
            <v>0</v>
          </cell>
          <cell r="CE121" t="str">
            <v>CN</v>
          </cell>
          <cell r="CL121" t="str">
            <v>CN</v>
          </cell>
          <cell r="CS121" t="str">
            <v>CN</v>
          </cell>
          <cell r="CZ121" t="str">
            <v>CN</v>
          </cell>
          <cell r="DD121">
            <v>0</v>
          </cell>
          <cell r="DE121">
            <v>0</v>
          </cell>
          <cell r="DF121">
            <v>0</v>
          </cell>
          <cell r="DJ121">
            <v>0</v>
          </cell>
          <cell r="DL121">
            <v>5066</v>
          </cell>
          <cell r="DM121">
            <v>0</v>
          </cell>
          <cell r="DN121">
            <v>0</v>
          </cell>
        </row>
        <row r="122">
          <cell r="E122" t="str">
            <v>05094</v>
          </cell>
          <cell r="F122" t="str">
            <v>Nguyễn Văn Đầy</v>
          </cell>
          <cell r="G122" t="str">
            <v>Foaming</v>
          </cell>
          <cell r="H122" t="str">
            <v>FOAMING Rectangular</v>
          </cell>
          <cell r="I122" t="str">
            <v>Worker</v>
          </cell>
          <cell r="J122">
            <v>46114</v>
          </cell>
          <cell r="BV122">
            <v>0</v>
          </cell>
          <cell r="BW122">
            <v>0</v>
          </cell>
          <cell r="BX122" t="str">
            <v>CN</v>
          </cell>
          <cell r="BY122">
            <v>4</v>
          </cell>
          <cell r="BZ122">
            <v>4</v>
          </cell>
          <cell r="CE122" t="str">
            <v>CN</v>
          </cell>
          <cell r="CL122" t="str">
            <v>CN</v>
          </cell>
          <cell r="CS122" t="str">
            <v>CN</v>
          </cell>
          <cell r="CZ122" t="str">
            <v>CN</v>
          </cell>
          <cell r="DD122">
            <v>8</v>
          </cell>
          <cell r="DE122">
            <v>0</v>
          </cell>
          <cell r="DF122">
            <v>0</v>
          </cell>
          <cell r="DJ122">
            <v>8</v>
          </cell>
          <cell r="DL122">
            <v>5094</v>
          </cell>
          <cell r="DM122">
            <v>0</v>
          </cell>
          <cell r="DN122">
            <v>8</v>
          </cell>
        </row>
        <row r="123">
          <cell r="E123" t="str">
            <v>05110</v>
          </cell>
          <cell r="F123" t="str">
            <v>Trịnh Văn Túc</v>
          </cell>
          <cell r="G123" t="str">
            <v>Foaming</v>
          </cell>
          <cell r="H123" t="str">
            <v>FOAMING Splitting</v>
          </cell>
          <cell r="I123" t="str">
            <v>Worker</v>
          </cell>
          <cell r="J123">
            <v>46114</v>
          </cell>
          <cell r="BV123">
            <v>2</v>
          </cell>
          <cell r="BW123">
            <v>2</v>
          </cell>
          <cell r="BX123" t="str">
            <v>CN</v>
          </cell>
          <cell r="BY123">
            <v>2</v>
          </cell>
          <cell r="BZ123">
            <v>2</v>
          </cell>
          <cell r="CE123" t="str">
            <v>CN</v>
          </cell>
          <cell r="CL123" t="str">
            <v>CN</v>
          </cell>
          <cell r="CS123" t="str">
            <v>CN</v>
          </cell>
          <cell r="CZ123" t="str">
            <v>CN</v>
          </cell>
          <cell r="DD123">
            <v>8</v>
          </cell>
          <cell r="DE123">
            <v>0</v>
          </cell>
          <cell r="DF123">
            <v>0</v>
          </cell>
          <cell r="DJ123">
            <v>8</v>
          </cell>
          <cell r="DL123">
            <v>5110</v>
          </cell>
          <cell r="DM123">
            <v>4</v>
          </cell>
          <cell r="DN123">
            <v>4</v>
          </cell>
        </row>
        <row r="124">
          <cell r="E124" t="str">
            <v>05111</v>
          </cell>
          <cell r="F124" t="str">
            <v>Châu Hoàng Giang</v>
          </cell>
          <cell r="G124" t="str">
            <v>Foaming</v>
          </cell>
          <cell r="H124" t="str">
            <v>FOAMING Rectangular</v>
          </cell>
          <cell r="I124" t="str">
            <v>Worker</v>
          </cell>
          <cell r="J124">
            <v>46114</v>
          </cell>
          <cell r="BV124">
            <v>0</v>
          </cell>
          <cell r="BW124">
            <v>0</v>
          </cell>
          <cell r="BX124" t="str">
            <v>CN</v>
          </cell>
          <cell r="BY124">
            <v>0</v>
          </cell>
          <cell r="BZ124">
            <v>4</v>
          </cell>
          <cell r="CE124" t="str">
            <v>CN</v>
          </cell>
          <cell r="CL124" t="str">
            <v>CN</v>
          </cell>
          <cell r="CS124" t="str">
            <v>CN</v>
          </cell>
          <cell r="CZ124" t="str">
            <v>CN</v>
          </cell>
          <cell r="DD124">
            <v>4</v>
          </cell>
          <cell r="DE124">
            <v>0</v>
          </cell>
          <cell r="DF124">
            <v>0</v>
          </cell>
          <cell r="DJ124">
            <v>4</v>
          </cell>
          <cell r="DL124">
            <v>5111</v>
          </cell>
          <cell r="DM124">
            <v>0</v>
          </cell>
          <cell r="DN124">
            <v>4</v>
          </cell>
        </row>
        <row r="125">
          <cell r="E125" t="str">
            <v>05112</v>
          </cell>
          <cell r="F125" t="str">
            <v>Phạm Trọng Nghĩa</v>
          </cell>
          <cell r="G125" t="str">
            <v>Foaming</v>
          </cell>
          <cell r="H125" t="str">
            <v>FOAMING Splitting</v>
          </cell>
          <cell r="I125" t="str">
            <v>Worker</v>
          </cell>
          <cell r="J125">
            <v>46114</v>
          </cell>
          <cell r="BV125">
            <v>0</v>
          </cell>
          <cell r="BW125">
            <v>0</v>
          </cell>
          <cell r="BX125" t="str">
            <v>CN</v>
          </cell>
          <cell r="BY125">
            <v>4</v>
          </cell>
          <cell r="BZ125">
            <v>0</v>
          </cell>
          <cell r="CE125" t="str">
            <v>CN</v>
          </cell>
          <cell r="CL125" t="str">
            <v>CN</v>
          </cell>
          <cell r="CS125" t="str">
            <v>CN</v>
          </cell>
          <cell r="CZ125" t="str">
            <v>CN</v>
          </cell>
          <cell r="DD125">
            <v>4</v>
          </cell>
          <cell r="DE125">
            <v>0</v>
          </cell>
          <cell r="DF125">
            <v>0</v>
          </cell>
          <cell r="DJ125">
            <v>4</v>
          </cell>
          <cell r="DL125">
            <v>5112</v>
          </cell>
          <cell r="DM125">
            <v>0</v>
          </cell>
          <cell r="DN125">
            <v>4</v>
          </cell>
        </row>
        <row r="126">
          <cell r="E126" t="str">
            <v>05164</v>
          </cell>
          <cell r="F126" t="str">
            <v>Trịnh Linh Nghi</v>
          </cell>
          <cell r="G126" t="str">
            <v>Foaming</v>
          </cell>
          <cell r="H126" t="str">
            <v>FOAMING Splitting</v>
          </cell>
          <cell r="I126" t="str">
            <v>Worker</v>
          </cell>
          <cell r="J126">
            <v>46146</v>
          </cell>
          <cell r="BV126">
            <v>0</v>
          </cell>
          <cell r="BW126">
            <v>0</v>
          </cell>
          <cell r="BX126" t="str">
            <v>CN</v>
          </cell>
          <cell r="BY126">
            <v>4</v>
          </cell>
          <cell r="BZ126">
            <v>0</v>
          </cell>
          <cell r="CE126" t="str">
            <v>CN</v>
          </cell>
          <cell r="CL126" t="str">
            <v>CN</v>
          </cell>
          <cell r="CS126" t="str">
            <v>CN</v>
          </cell>
          <cell r="CZ126" t="str">
            <v>CN</v>
          </cell>
          <cell r="DD126">
            <v>4</v>
          </cell>
          <cell r="DE126">
            <v>0</v>
          </cell>
          <cell r="DF126">
            <v>0</v>
          </cell>
          <cell r="DJ126">
            <v>4</v>
          </cell>
          <cell r="DL126">
            <v>5164</v>
          </cell>
          <cell r="DM126">
            <v>0</v>
          </cell>
          <cell r="DN126">
            <v>4</v>
          </cell>
        </row>
        <row r="127">
          <cell r="E127" t="str">
            <v>05182</v>
          </cell>
          <cell r="F127" t="str">
            <v>Huỳnh Hữu Phước</v>
          </cell>
          <cell r="G127" t="str">
            <v>Foaming</v>
          </cell>
          <cell r="H127" t="str">
            <v>FOAMING Rectangular</v>
          </cell>
          <cell r="I127" t="str">
            <v>Worker</v>
          </cell>
          <cell r="J127">
            <v>46150</v>
          </cell>
          <cell r="BV127">
            <v>0</v>
          </cell>
          <cell r="BW127">
            <v>0</v>
          </cell>
          <cell r="BX127" t="str">
            <v>CN</v>
          </cell>
          <cell r="BY127">
            <v>0</v>
          </cell>
          <cell r="BZ127">
            <v>4</v>
          </cell>
          <cell r="CE127" t="str">
            <v>CN</v>
          </cell>
          <cell r="CL127" t="str">
            <v>CN</v>
          </cell>
          <cell r="CS127" t="str">
            <v>CN</v>
          </cell>
          <cell r="CZ127" t="str">
            <v>CN</v>
          </cell>
          <cell r="DD127">
            <v>4</v>
          </cell>
          <cell r="DE127">
            <v>0</v>
          </cell>
          <cell r="DF127">
            <v>0</v>
          </cell>
          <cell r="DJ127">
            <v>4</v>
          </cell>
          <cell r="DL127">
            <v>5182</v>
          </cell>
          <cell r="DM127">
            <v>0</v>
          </cell>
          <cell r="DN127">
            <v>4</v>
          </cell>
        </row>
        <row r="128">
          <cell r="E128" t="str">
            <v>05091</v>
          </cell>
          <cell r="F128" t="str">
            <v>Phan Nguyễn Trọng Đức</v>
          </cell>
          <cell r="G128" t="str">
            <v>Foaming</v>
          </cell>
          <cell r="H128" t="str">
            <v>FOAMING Production control</v>
          </cell>
          <cell r="I128" t="str">
            <v>Foaming Manager</v>
          </cell>
          <cell r="J128">
            <v>46112</v>
          </cell>
          <cell r="BV128">
            <v>0</v>
          </cell>
          <cell r="BW128">
            <v>0</v>
          </cell>
          <cell r="BX128" t="str">
            <v>CN</v>
          </cell>
          <cell r="BY128">
            <v>0</v>
          </cell>
          <cell r="BZ128">
            <v>0</v>
          </cell>
          <cell r="CE128" t="str">
            <v>CN</v>
          </cell>
          <cell r="CL128" t="str">
            <v>CN</v>
          </cell>
          <cell r="CS128" t="str">
            <v>CN</v>
          </cell>
          <cell r="CZ128" t="str">
            <v>CN</v>
          </cell>
          <cell r="DD128">
            <v>0</v>
          </cell>
          <cell r="DE128">
            <v>0</v>
          </cell>
          <cell r="DF128">
            <v>0</v>
          </cell>
          <cell r="DJ128">
            <v>0</v>
          </cell>
          <cell r="DL128">
            <v>5091</v>
          </cell>
          <cell r="DM128">
            <v>0</v>
          </cell>
          <cell r="DN128">
            <v>0</v>
          </cell>
        </row>
        <row r="129">
          <cell r="E129" t="str">
            <v>00012</v>
          </cell>
          <cell r="F129" t="str">
            <v>Lê Hữu Dũng</v>
          </cell>
          <cell r="G129" t="str">
            <v>Foaming</v>
          </cell>
          <cell r="H129" t="str">
            <v>FOAMING Production control</v>
          </cell>
          <cell r="I129" t="str">
            <v>Deputy Foaming Manager</v>
          </cell>
          <cell r="J129">
            <v>41246</v>
          </cell>
          <cell r="BV129">
            <v>0</v>
          </cell>
          <cell r="BW129">
            <v>0</v>
          </cell>
          <cell r="BX129" t="str">
            <v>CN</v>
          </cell>
          <cell r="BY129">
            <v>0</v>
          </cell>
          <cell r="BZ129">
            <v>0</v>
          </cell>
          <cell r="CE129" t="str">
            <v>CN</v>
          </cell>
          <cell r="CL129" t="str">
            <v>CN</v>
          </cell>
          <cell r="CS129" t="str">
            <v>CN</v>
          </cell>
          <cell r="CZ129" t="str">
            <v>CN</v>
          </cell>
          <cell r="DD129">
            <v>0</v>
          </cell>
          <cell r="DE129">
            <v>0</v>
          </cell>
          <cell r="DF129">
            <v>0</v>
          </cell>
          <cell r="DJ129">
            <v>0</v>
          </cell>
          <cell r="DL129">
            <v>12</v>
          </cell>
          <cell r="DM129">
            <v>0</v>
          </cell>
          <cell r="DN129">
            <v>0</v>
          </cell>
        </row>
        <row r="130">
          <cell r="E130" t="str">
            <v>04043</v>
          </cell>
          <cell r="F130" t="str">
            <v>Phạm Việt Hà</v>
          </cell>
          <cell r="G130" t="str">
            <v>Foaming</v>
          </cell>
          <cell r="H130" t="str">
            <v>FOAMING Production control</v>
          </cell>
          <cell r="I130" t="str">
            <v>Foaming Operation Director</v>
          </cell>
          <cell r="J130">
            <v>45355</v>
          </cell>
          <cell r="BV130">
            <v>0</v>
          </cell>
          <cell r="BW130">
            <v>0</v>
          </cell>
          <cell r="BX130" t="str">
            <v>CN</v>
          </cell>
          <cell r="BY130">
            <v>0</v>
          </cell>
          <cell r="BZ130">
            <v>0</v>
          </cell>
          <cell r="CE130" t="str">
            <v>CN</v>
          </cell>
          <cell r="CL130" t="str">
            <v>CN</v>
          </cell>
          <cell r="CS130" t="str">
            <v>CN</v>
          </cell>
          <cell r="CZ130" t="str">
            <v>CN</v>
          </cell>
          <cell r="DD130">
            <v>0</v>
          </cell>
          <cell r="DE130">
            <v>0</v>
          </cell>
          <cell r="DF130">
            <v>0</v>
          </cell>
          <cell r="DJ130">
            <v>0</v>
          </cell>
          <cell r="DL130">
            <v>4043</v>
          </cell>
          <cell r="DM130">
            <v>0</v>
          </cell>
          <cell r="DN130">
            <v>0</v>
          </cell>
        </row>
        <row r="131">
          <cell r="E131" t="str">
            <v>05196</v>
          </cell>
          <cell r="F131" t="str">
            <v>Đỗ Hoàng Chí Tâm</v>
          </cell>
          <cell r="G131" t="str">
            <v>Foaming</v>
          </cell>
          <cell r="H131" t="str">
            <v>FOAMING Rectangular</v>
          </cell>
          <cell r="I131" t="str">
            <v>Worker</v>
          </cell>
          <cell r="J131">
            <v>46157</v>
          </cell>
          <cell r="BV131">
            <v>0</v>
          </cell>
          <cell r="BW131">
            <v>0</v>
          </cell>
          <cell r="BX131" t="str">
            <v>CN</v>
          </cell>
          <cell r="BY131">
            <v>0</v>
          </cell>
          <cell r="BZ131">
            <v>4</v>
          </cell>
          <cell r="CE131" t="str">
            <v>CN</v>
          </cell>
          <cell r="CL131" t="str">
            <v>CN</v>
          </cell>
          <cell r="CS131" t="str">
            <v>CN</v>
          </cell>
          <cell r="CZ131" t="str">
            <v>CN</v>
          </cell>
          <cell r="DD131">
            <v>4</v>
          </cell>
          <cell r="DE131">
            <v>0</v>
          </cell>
          <cell r="DF131">
            <v>0</v>
          </cell>
          <cell r="DJ131">
            <v>4</v>
          </cell>
          <cell r="DL131">
            <v>5196</v>
          </cell>
          <cell r="DM131">
            <v>0</v>
          </cell>
          <cell r="DN131">
            <v>4</v>
          </cell>
        </row>
        <row r="132">
          <cell r="E132" t="str">
            <v>05209</v>
          </cell>
          <cell r="F132" t="str">
            <v>Trần Thị Hồng Lam</v>
          </cell>
          <cell r="G132" t="str">
            <v>Foaming</v>
          </cell>
          <cell r="H132" t="str">
            <v>FOAMING Production control</v>
          </cell>
          <cell r="I132" t="str">
            <v>Staff</v>
          </cell>
          <cell r="J132">
            <v>46162</v>
          </cell>
          <cell r="BV132">
            <v>0</v>
          </cell>
          <cell r="BW132">
            <v>0</v>
          </cell>
          <cell r="BX132" t="str">
            <v>CN</v>
          </cell>
          <cell r="BY132">
            <v>1</v>
          </cell>
          <cell r="BZ132">
            <v>0.5</v>
          </cell>
          <cell r="CE132" t="str">
            <v>CN</v>
          </cell>
          <cell r="CL132" t="str">
            <v>CN</v>
          </cell>
          <cell r="CS132" t="str">
            <v>CN</v>
          </cell>
          <cell r="CZ132" t="str">
            <v>CN</v>
          </cell>
          <cell r="DD132">
            <v>1.5</v>
          </cell>
          <cell r="DE132">
            <v>0</v>
          </cell>
          <cell r="DF132">
            <v>0</v>
          </cell>
          <cell r="DJ132">
            <v>1.5</v>
          </cell>
          <cell r="DL132">
            <v>5209</v>
          </cell>
          <cell r="DM132">
            <v>0</v>
          </cell>
          <cell r="DN132">
            <v>1.5</v>
          </cell>
        </row>
        <row r="133">
          <cell r="E133" t="str">
            <v>05210</v>
          </cell>
          <cell r="F133" t="str">
            <v>Huỳnh Hồng Phúc</v>
          </cell>
          <cell r="G133" t="str">
            <v>Foaming</v>
          </cell>
          <cell r="H133" t="str">
            <v>FOAMING Rectangular</v>
          </cell>
          <cell r="I133" t="str">
            <v>Worker</v>
          </cell>
          <cell r="J133">
            <v>46162</v>
          </cell>
          <cell r="BV133">
            <v>0</v>
          </cell>
          <cell r="BW133">
            <v>0</v>
          </cell>
          <cell r="BX133" t="str">
            <v>CN</v>
          </cell>
          <cell r="BY133">
            <v>4</v>
          </cell>
          <cell r="BZ133">
            <v>4</v>
          </cell>
          <cell r="CE133" t="str">
            <v>CN</v>
          </cell>
          <cell r="CL133" t="str">
            <v>CN</v>
          </cell>
          <cell r="CS133" t="str">
            <v>CN</v>
          </cell>
          <cell r="CZ133" t="str">
            <v>CN</v>
          </cell>
          <cell r="DD133">
            <v>8</v>
          </cell>
          <cell r="DE133">
            <v>0</v>
          </cell>
          <cell r="DF133">
            <v>0</v>
          </cell>
          <cell r="DJ133">
            <v>8</v>
          </cell>
          <cell r="DL133">
            <v>5210</v>
          </cell>
          <cell r="DM133">
            <v>0</v>
          </cell>
          <cell r="DN133">
            <v>8</v>
          </cell>
        </row>
        <row r="134">
          <cell r="E134" t="str">
            <v>05228</v>
          </cell>
          <cell r="F134" t="str">
            <v>Đặng Thị Minh Thư</v>
          </cell>
          <cell r="G134" t="str">
            <v>Foaming</v>
          </cell>
          <cell r="H134" t="str">
            <v>FOAMING Production control</v>
          </cell>
          <cell r="I134" t="str">
            <v>Staff</v>
          </cell>
          <cell r="J134">
            <v>46171</v>
          </cell>
          <cell r="BV134">
            <v>0</v>
          </cell>
          <cell r="BW134">
            <v>0</v>
          </cell>
          <cell r="BX134" t="str">
            <v>CN</v>
          </cell>
          <cell r="BY134">
            <v>1</v>
          </cell>
          <cell r="BZ134">
            <v>1.5</v>
          </cell>
          <cell r="CE134" t="str">
            <v>CN</v>
          </cell>
          <cell r="CL134" t="str">
            <v>CN</v>
          </cell>
          <cell r="CS134" t="str">
            <v>CN</v>
          </cell>
          <cell r="CZ134" t="str">
            <v>CN</v>
          </cell>
          <cell r="DD134">
            <v>2.5</v>
          </cell>
          <cell r="DE134">
            <v>0</v>
          </cell>
          <cell r="DF134">
            <v>0</v>
          </cell>
          <cell r="DJ134">
            <v>2.5</v>
          </cell>
          <cell r="DL134">
            <v>5228</v>
          </cell>
          <cell r="DM134">
            <v>0</v>
          </cell>
          <cell r="DN134">
            <v>2.5</v>
          </cell>
        </row>
        <row r="135">
          <cell r="E135" t="str">
            <v>05229</v>
          </cell>
          <cell r="F135" t="str">
            <v>Phạm Vĩnh An</v>
          </cell>
          <cell r="G135" t="str">
            <v>Foaming</v>
          </cell>
          <cell r="H135" t="str">
            <v>FOAMING Splitting</v>
          </cell>
          <cell r="I135" t="str">
            <v>Worker</v>
          </cell>
          <cell r="J135">
            <v>46171</v>
          </cell>
          <cell r="L135" t="str">
            <v>X</v>
          </cell>
          <cell r="M135" t="str">
            <v>X</v>
          </cell>
          <cell r="N135" t="str">
            <v>X</v>
          </cell>
          <cell r="AT135">
            <v>0</v>
          </cell>
          <cell r="AU135">
            <v>0</v>
          </cell>
          <cell r="AV135">
            <v>0</v>
          </cell>
          <cell r="AW135">
            <v>0</v>
          </cell>
          <cell r="AX135">
            <v>0</v>
          </cell>
          <cell r="AY135">
            <v>0</v>
          </cell>
          <cell r="AZ135">
            <v>0</v>
          </cell>
          <cell r="BA135">
            <v>0</v>
          </cell>
          <cell r="BB135">
            <v>0</v>
          </cell>
          <cell r="BC135">
            <v>0</v>
          </cell>
          <cell r="BD135">
            <v>0</v>
          </cell>
          <cell r="BE135">
            <v>0</v>
          </cell>
          <cell r="BF135">
            <v>0</v>
          </cell>
          <cell r="BG135">
            <v>0</v>
          </cell>
          <cell r="BH135">
            <v>0</v>
          </cell>
          <cell r="BI135">
            <v>0</v>
          </cell>
          <cell r="BJ135">
            <v>0</v>
          </cell>
          <cell r="BK135">
            <v>0</v>
          </cell>
          <cell r="BL135">
            <v>0</v>
          </cell>
          <cell r="BM135">
            <v>0</v>
          </cell>
          <cell r="BN135">
            <v>0</v>
          </cell>
          <cell r="BO135">
            <v>0</v>
          </cell>
          <cell r="BP135">
            <v>0</v>
          </cell>
          <cell r="BQ135">
            <v>0</v>
          </cell>
          <cell r="BR135">
            <v>0</v>
          </cell>
          <cell r="BV135">
            <v>0</v>
          </cell>
          <cell r="BW135">
            <v>0</v>
          </cell>
          <cell r="BX135" t="str">
            <v>CN</v>
          </cell>
          <cell r="BY135">
            <v>4</v>
          </cell>
          <cell r="BZ135">
            <v>0</v>
          </cell>
          <cell r="CE135" t="str">
            <v>CN</v>
          </cell>
          <cell r="CL135" t="str">
            <v>CN</v>
          </cell>
          <cell r="CS135" t="str">
            <v>CN</v>
          </cell>
          <cell r="CZ135" t="str">
            <v>CN</v>
          </cell>
          <cell r="DD135">
            <v>4</v>
          </cell>
          <cell r="DE135">
            <v>0</v>
          </cell>
          <cell r="DF135">
            <v>0</v>
          </cell>
          <cell r="DJ135">
            <v>4</v>
          </cell>
          <cell r="DL135">
            <v>5229</v>
          </cell>
          <cell r="DM135">
            <v>0</v>
          </cell>
          <cell r="DN135">
            <v>4</v>
          </cell>
        </row>
        <row r="136">
          <cell r="E136" t="str">
            <v>05259</v>
          </cell>
          <cell r="F136" t="str">
            <v>Trần Văn Trọng</v>
          </cell>
          <cell r="G136" t="str">
            <v>Foaming</v>
          </cell>
          <cell r="H136" t="str">
            <v>FOAMING Splitting</v>
          </cell>
          <cell r="I136" t="str">
            <v>Worker</v>
          </cell>
          <cell r="J136">
            <v>46185</v>
          </cell>
          <cell r="L136" t="str">
            <v>X</v>
          </cell>
          <cell r="M136" t="str">
            <v>X</v>
          </cell>
          <cell r="N136" t="str">
            <v>X</v>
          </cell>
          <cell r="AT136">
            <v>0</v>
          </cell>
          <cell r="AU136">
            <v>0</v>
          </cell>
          <cell r="AV136">
            <v>0</v>
          </cell>
          <cell r="AW136">
            <v>0</v>
          </cell>
          <cell r="AX136">
            <v>0</v>
          </cell>
          <cell r="AY136">
            <v>0</v>
          </cell>
          <cell r="AZ136">
            <v>0</v>
          </cell>
          <cell r="BA136">
            <v>0</v>
          </cell>
          <cell r="BB136">
            <v>0</v>
          </cell>
          <cell r="BC136">
            <v>0</v>
          </cell>
          <cell r="BD136">
            <v>0</v>
          </cell>
          <cell r="BE136">
            <v>0</v>
          </cell>
          <cell r="BF136">
            <v>0</v>
          </cell>
          <cell r="BG136">
            <v>0</v>
          </cell>
          <cell r="BH136">
            <v>0</v>
          </cell>
          <cell r="BI136">
            <v>0</v>
          </cell>
          <cell r="BJ136">
            <v>0</v>
          </cell>
          <cell r="BK136">
            <v>0</v>
          </cell>
          <cell r="BL136">
            <v>0</v>
          </cell>
          <cell r="BM136">
            <v>0</v>
          </cell>
          <cell r="BN136">
            <v>0</v>
          </cell>
          <cell r="BO136">
            <v>0</v>
          </cell>
          <cell r="BP136">
            <v>0</v>
          </cell>
          <cell r="BQ136">
            <v>0</v>
          </cell>
          <cell r="BR136">
            <v>0</v>
          </cell>
          <cell r="BV136">
            <v>4</v>
          </cell>
          <cell r="BW136">
            <v>0</v>
          </cell>
          <cell r="BX136" t="str">
            <v>CN</v>
          </cell>
          <cell r="BY136">
            <v>0</v>
          </cell>
          <cell r="BZ136">
            <v>4</v>
          </cell>
          <cell r="CE136" t="str">
            <v>CN</v>
          </cell>
          <cell r="CL136" t="str">
            <v>CN</v>
          </cell>
          <cell r="CS136" t="str">
            <v>CN</v>
          </cell>
          <cell r="CZ136" t="str">
            <v>CN</v>
          </cell>
          <cell r="DD136">
            <v>8</v>
          </cell>
          <cell r="DE136">
            <v>0</v>
          </cell>
          <cell r="DF136">
            <v>0</v>
          </cell>
          <cell r="DJ136">
            <v>8</v>
          </cell>
          <cell r="DL136">
            <v>5259</v>
          </cell>
          <cell r="DM136">
            <v>4</v>
          </cell>
          <cell r="DN136">
            <v>4</v>
          </cell>
        </row>
        <row r="137">
          <cell r="E137" t="str">
            <v>05280</v>
          </cell>
          <cell r="F137" t="str">
            <v>Nguyễn Đình Dương Khang</v>
          </cell>
          <cell r="G137" t="str">
            <v>Foaming</v>
          </cell>
          <cell r="H137" t="str">
            <v>FOAMING Splitting</v>
          </cell>
          <cell r="I137" t="str">
            <v>Worker</v>
          </cell>
          <cell r="J137">
            <v>46192</v>
          </cell>
          <cell r="BV137">
            <v>2</v>
          </cell>
          <cell r="BW137">
            <v>2</v>
          </cell>
          <cell r="BX137" t="str">
            <v>CN</v>
          </cell>
          <cell r="BY137">
            <v>2</v>
          </cell>
          <cell r="BZ137">
            <v>2</v>
          </cell>
          <cell r="CE137" t="str">
            <v>CN</v>
          </cell>
          <cell r="CL137" t="str">
            <v>CN</v>
          </cell>
          <cell r="CS137" t="str">
            <v>CN</v>
          </cell>
          <cell r="CZ137" t="str">
            <v>CN</v>
          </cell>
          <cell r="DD137">
            <v>8</v>
          </cell>
          <cell r="DE137">
            <v>0</v>
          </cell>
          <cell r="DF137">
            <v>0</v>
          </cell>
          <cell r="DJ137">
            <v>8</v>
          </cell>
          <cell r="DL137">
            <v>5280</v>
          </cell>
          <cell r="DM137">
            <v>4</v>
          </cell>
          <cell r="DN137">
            <v>4</v>
          </cell>
        </row>
        <row r="138">
          <cell r="E138" t="str">
            <v>05281</v>
          </cell>
          <cell r="F138" t="str">
            <v>Nguyễn Văn Gấm</v>
          </cell>
          <cell r="G138" t="str">
            <v>Foaming</v>
          </cell>
          <cell r="H138" t="str">
            <v>FOAMING Splitting</v>
          </cell>
          <cell r="I138" t="str">
            <v>Forklift Driver</v>
          </cell>
          <cell r="J138">
            <v>46192</v>
          </cell>
          <cell r="BV138">
            <v>0</v>
          </cell>
          <cell r="BW138">
            <v>0</v>
          </cell>
          <cell r="BX138" t="str">
            <v>CN</v>
          </cell>
          <cell r="BY138">
            <v>2</v>
          </cell>
          <cell r="BZ138">
            <v>2</v>
          </cell>
          <cell r="CE138" t="str">
            <v>CN</v>
          </cell>
          <cell r="CL138" t="str">
            <v>CN</v>
          </cell>
          <cell r="CS138" t="str">
            <v>CN</v>
          </cell>
          <cell r="CZ138" t="str">
            <v>CN</v>
          </cell>
          <cell r="DD138">
            <v>4</v>
          </cell>
          <cell r="DE138">
            <v>0</v>
          </cell>
          <cell r="DF138">
            <v>0</v>
          </cell>
          <cell r="DJ138">
            <v>4</v>
          </cell>
          <cell r="DL138">
            <v>5281</v>
          </cell>
          <cell r="DM138">
            <v>0</v>
          </cell>
          <cell r="DN138">
            <v>4</v>
          </cell>
        </row>
        <row r="139">
          <cell r="E139" t="str">
            <v>05291</v>
          </cell>
          <cell r="F139" t="str">
            <v>Huỳnh Thị Trà My</v>
          </cell>
          <cell r="G139" t="str">
            <v>Foaming</v>
          </cell>
          <cell r="H139" t="str">
            <v>FOAMING Splitting</v>
          </cell>
          <cell r="I139" t="str">
            <v>Worker</v>
          </cell>
          <cell r="J139">
            <v>46199</v>
          </cell>
          <cell r="BV139">
            <v>0</v>
          </cell>
          <cell r="BW139">
            <v>0</v>
          </cell>
          <cell r="BX139" t="str">
            <v>CN</v>
          </cell>
          <cell r="BY139">
            <v>2</v>
          </cell>
          <cell r="BZ139">
            <v>3</v>
          </cell>
          <cell r="CE139" t="str">
            <v>CN</v>
          </cell>
          <cell r="CL139" t="str">
            <v>CN</v>
          </cell>
          <cell r="CS139" t="str">
            <v>CN</v>
          </cell>
          <cell r="CZ139" t="str">
            <v>CN</v>
          </cell>
          <cell r="DD139">
            <v>5</v>
          </cell>
          <cell r="DE139">
            <v>0</v>
          </cell>
          <cell r="DF139">
            <v>0</v>
          </cell>
          <cell r="DJ139">
            <v>5</v>
          </cell>
          <cell r="DL139">
            <v>5291</v>
          </cell>
          <cell r="DM139">
            <v>0</v>
          </cell>
          <cell r="DN139">
            <v>5</v>
          </cell>
        </row>
        <row r="140">
          <cell r="E140" t="str">
            <v>05292</v>
          </cell>
          <cell r="F140" t="str">
            <v>Đặng Thu Duyên</v>
          </cell>
          <cell r="G140" t="str">
            <v>Foaming</v>
          </cell>
          <cell r="H140" t="str">
            <v>FOAMING Splitting</v>
          </cell>
          <cell r="I140" t="str">
            <v>Worker</v>
          </cell>
          <cell r="J140">
            <v>46199</v>
          </cell>
          <cell r="BV140">
            <v>0</v>
          </cell>
          <cell r="BW140">
            <v>0</v>
          </cell>
          <cell r="BX140" t="str">
            <v>CN</v>
          </cell>
          <cell r="BY140">
            <v>2</v>
          </cell>
          <cell r="BZ140">
            <v>2</v>
          </cell>
          <cell r="CE140" t="str">
            <v>CN</v>
          </cell>
          <cell r="CL140" t="str">
            <v>CN</v>
          </cell>
          <cell r="CS140" t="str">
            <v>CN</v>
          </cell>
          <cell r="CZ140" t="str">
            <v>CN</v>
          </cell>
          <cell r="DD140">
            <v>4</v>
          </cell>
          <cell r="DE140">
            <v>0</v>
          </cell>
          <cell r="DF140">
            <v>0</v>
          </cell>
          <cell r="DJ140">
            <v>4</v>
          </cell>
          <cell r="DL140">
            <v>5292</v>
          </cell>
          <cell r="DM140">
            <v>0</v>
          </cell>
          <cell r="DN140">
            <v>4</v>
          </cell>
        </row>
        <row r="141">
          <cell r="E141" t="str">
            <v>05293</v>
          </cell>
          <cell r="F141" t="str">
            <v>Nguyễn Văn Trường</v>
          </cell>
          <cell r="G141" t="str">
            <v>Foaming</v>
          </cell>
          <cell r="H141" t="str">
            <v>FOAMING Rectangular</v>
          </cell>
          <cell r="I141" t="str">
            <v>Worker</v>
          </cell>
          <cell r="J141">
            <v>46199</v>
          </cell>
          <cell r="BV141">
            <v>0</v>
          </cell>
          <cell r="BW141">
            <v>0</v>
          </cell>
          <cell r="BX141" t="str">
            <v>CN</v>
          </cell>
          <cell r="BY141">
            <v>3</v>
          </cell>
          <cell r="BZ141">
            <v>2</v>
          </cell>
          <cell r="CE141" t="str">
            <v>CN</v>
          </cell>
          <cell r="CL141" t="str">
            <v>CN</v>
          </cell>
          <cell r="CS141" t="str">
            <v>CN</v>
          </cell>
          <cell r="CZ141" t="str">
            <v>CN</v>
          </cell>
          <cell r="DD141">
            <v>5</v>
          </cell>
          <cell r="DE141">
            <v>0</v>
          </cell>
          <cell r="DF141">
            <v>0</v>
          </cell>
          <cell r="DJ141">
            <v>5</v>
          </cell>
          <cell r="DL141">
            <v>5293</v>
          </cell>
          <cell r="DM141">
            <v>0</v>
          </cell>
          <cell r="DN141">
            <v>5</v>
          </cell>
        </row>
        <row r="142">
          <cell r="E142" t="str">
            <v>05295</v>
          </cell>
          <cell r="F142" t="str">
            <v>Lương Văn Thắng</v>
          </cell>
          <cell r="G142" t="str">
            <v>Foaming</v>
          </cell>
          <cell r="H142" t="str">
            <v>FOAMING Rectangular</v>
          </cell>
          <cell r="I142" t="str">
            <v>Worker</v>
          </cell>
          <cell r="J142">
            <v>46200</v>
          </cell>
          <cell r="BV142" t="str">
            <v>X</v>
          </cell>
          <cell r="BW142">
            <v>0</v>
          </cell>
          <cell r="BX142" t="str">
            <v>CN</v>
          </cell>
          <cell r="BY142">
            <v>0</v>
          </cell>
          <cell r="BZ142">
            <v>0</v>
          </cell>
          <cell r="CE142" t="str">
            <v>CN</v>
          </cell>
          <cell r="CL142" t="str">
            <v>CN</v>
          </cell>
          <cell r="CS142" t="str">
            <v>CN</v>
          </cell>
          <cell r="CZ142" t="str">
            <v>CN</v>
          </cell>
          <cell r="DD142">
            <v>0</v>
          </cell>
          <cell r="DE142">
            <v>0</v>
          </cell>
          <cell r="DF142">
            <v>0</v>
          </cell>
          <cell r="DJ142">
            <v>0</v>
          </cell>
          <cell r="DL142">
            <v>5295</v>
          </cell>
          <cell r="DM142">
            <v>0</v>
          </cell>
          <cell r="DN142">
            <v>0</v>
          </cell>
        </row>
        <row r="143">
          <cell r="E143" t="str">
            <v>05296</v>
          </cell>
          <cell r="F143" t="str">
            <v>Nguyễn Văn Khải</v>
          </cell>
          <cell r="G143" t="str">
            <v>Foaming</v>
          </cell>
          <cell r="H143" t="str">
            <v>FOAMING Rectangular</v>
          </cell>
          <cell r="I143" t="str">
            <v>Worker</v>
          </cell>
          <cell r="J143">
            <v>46200</v>
          </cell>
          <cell r="BV143" t="str">
            <v>X</v>
          </cell>
          <cell r="BW143">
            <v>0</v>
          </cell>
          <cell r="BX143" t="str">
            <v>CN</v>
          </cell>
          <cell r="BY143">
            <v>4</v>
          </cell>
          <cell r="BZ143">
            <v>4</v>
          </cell>
          <cell r="CE143" t="str">
            <v>CN</v>
          </cell>
          <cell r="CL143" t="str">
            <v>CN</v>
          </cell>
          <cell r="CS143" t="str">
            <v>CN</v>
          </cell>
          <cell r="CZ143" t="str">
            <v>CN</v>
          </cell>
          <cell r="DD143">
            <v>8</v>
          </cell>
          <cell r="DE143">
            <v>0</v>
          </cell>
          <cell r="DF143">
            <v>0</v>
          </cell>
          <cell r="DJ143">
            <v>8</v>
          </cell>
          <cell r="DL143">
            <v>5296</v>
          </cell>
          <cell r="DM143">
            <v>0</v>
          </cell>
          <cell r="DN143">
            <v>8</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tail"/>
    </sheetNames>
    <sheetDataSet>
      <sheetData sheetId="0">
        <row r="1">
          <cell r="H1" t="str">
            <v>JAN</v>
          </cell>
          <cell r="K1" t="str">
            <v>FEB</v>
          </cell>
          <cell r="N1" t="str">
            <v>MARCH</v>
          </cell>
          <cell r="Q1" t="str">
            <v>APR</v>
          </cell>
          <cell r="T1" t="str">
            <v>MAY</v>
          </cell>
          <cell r="W1" t="str">
            <v>JUNE</v>
          </cell>
          <cell r="Z1" t="str">
            <v>JULY</v>
          </cell>
          <cell r="AC1" t="str">
            <v>AUGUST</v>
          </cell>
          <cell r="AF1" t="str">
            <v>SEP</v>
          </cell>
          <cell r="AI1" t="str">
            <v>OCT</v>
          </cell>
          <cell r="AL1" t="str">
            <v>NOV</v>
          </cell>
          <cell r="AO1" t="str">
            <v>DEC</v>
          </cell>
          <cell r="AR1" t="str">
            <v>OT in the year</v>
          </cell>
        </row>
        <row r="2">
          <cell r="B2" t="str">
            <v>Code</v>
          </cell>
          <cell r="C2" t="str">
            <v>Full name</v>
          </cell>
          <cell r="D2" t="str">
            <v>Department</v>
          </cell>
          <cell r="E2" t="str">
            <v>Section</v>
          </cell>
          <cell r="F2" t="str">
            <v>Position</v>
          </cell>
          <cell r="G2" t="str">
            <v>Start working day</v>
          </cell>
          <cell r="H2" t="str">
            <v>Thời gian làm việc</v>
          </cell>
          <cell r="I2" t="str">
            <v>Số giờ tăng ca</v>
          </cell>
          <cell r="J2" t="str">
            <v>Số người vượt &gt;40h/tháng</v>
          </cell>
          <cell r="K2" t="str">
            <v>Thời gian làm việc</v>
          </cell>
          <cell r="L2" t="str">
            <v>Số giờ tăng ca</v>
          </cell>
          <cell r="M2" t="str">
            <v>Số người vượt &gt;40h/tháng</v>
          </cell>
          <cell r="N2" t="str">
            <v>Thời gian làm việc</v>
          </cell>
          <cell r="O2" t="str">
            <v>Số giờ tăng ca</v>
          </cell>
          <cell r="P2" t="str">
            <v>Số người vượt &gt;40h/tháng</v>
          </cell>
          <cell r="Q2" t="str">
            <v>Thời gian làm việc</v>
          </cell>
          <cell r="R2" t="str">
            <v>Số giờ tăng ca</v>
          </cell>
          <cell r="S2" t="str">
            <v>Số người vượt &gt;40h/tháng</v>
          </cell>
          <cell r="T2" t="str">
            <v>Thời gian làm việc</v>
          </cell>
          <cell r="U2" t="str">
            <v>Số giờ tăng ca</v>
          </cell>
          <cell r="V2" t="str">
            <v>Số người vượt &gt;40h/tháng</v>
          </cell>
          <cell r="W2" t="str">
            <v>Thời gian làm việc</v>
          </cell>
          <cell r="X2" t="str">
            <v>Số giờ tăng ca</v>
          </cell>
          <cell r="Y2" t="str">
            <v>Số người vượt &gt;40h/tháng</v>
          </cell>
          <cell r="Z2" t="str">
            <v>Thời gian làm việc</v>
          </cell>
          <cell r="AA2" t="str">
            <v>Số giờ tăng ca</v>
          </cell>
          <cell r="AB2" t="str">
            <v>Số người vượt &gt;40h/tháng</v>
          </cell>
          <cell r="AC2" t="str">
            <v>Thời gian làm việc</v>
          </cell>
          <cell r="AD2" t="str">
            <v>Số giờ tăng ca</v>
          </cell>
          <cell r="AE2" t="str">
            <v>Số người vượt &gt;40h/tháng</v>
          </cell>
          <cell r="AF2" t="str">
            <v>Thời gian làm việc</v>
          </cell>
          <cell r="AG2" t="str">
            <v>Số giờ tăng ca</v>
          </cell>
          <cell r="AH2" t="str">
            <v>Số người vượt &gt;40h/tháng</v>
          </cell>
          <cell r="AI2" t="str">
            <v>Thời gian làm việc</v>
          </cell>
          <cell r="AJ2" t="str">
            <v>Số giờ tăng ca</v>
          </cell>
          <cell r="AK2" t="str">
            <v>Số người vượt &gt;40h/tháng</v>
          </cell>
          <cell r="AL2" t="str">
            <v>Thời gian làm việc</v>
          </cell>
          <cell r="AM2" t="str">
            <v>Số giờ tăng ca</v>
          </cell>
          <cell r="AN2" t="str">
            <v>Số người vượt &gt;40h/tháng</v>
          </cell>
          <cell r="AO2" t="str">
            <v>Thời gian làm việc</v>
          </cell>
          <cell r="AP2" t="str">
            <v>Số giờ tăng ca</v>
          </cell>
          <cell r="AQ2" t="str">
            <v>Số người vượt &gt;40h/tháng</v>
          </cell>
        </row>
        <row r="3">
          <cell r="H3">
            <v>0</v>
          </cell>
          <cell r="I3">
            <v>0</v>
          </cell>
          <cell r="J3">
            <v>0</v>
          </cell>
          <cell r="K3">
            <v>0</v>
          </cell>
          <cell r="L3">
            <v>0</v>
          </cell>
          <cell r="M3">
            <v>0</v>
          </cell>
          <cell r="N3">
            <v>0</v>
          </cell>
          <cell r="O3">
            <v>2</v>
          </cell>
          <cell r="P3">
            <v>0</v>
          </cell>
          <cell r="Q3">
            <v>216</v>
          </cell>
          <cell r="R3">
            <v>1.75</v>
          </cell>
          <cell r="S3">
            <v>0</v>
          </cell>
          <cell r="T3">
            <v>200</v>
          </cell>
          <cell r="U3">
            <v>5.5</v>
          </cell>
          <cell r="V3">
            <v>0</v>
          </cell>
          <cell r="W3">
            <v>216</v>
          </cell>
          <cell r="X3">
            <v>6.5</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row>
        <row r="4">
          <cell r="B4" t="str">
            <v>00295</v>
          </cell>
          <cell r="C4" t="str">
            <v>Nguyễn Thị Diễm Trang</v>
          </cell>
          <cell r="D4" t="str">
            <v>Foaming</v>
          </cell>
          <cell r="E4" t="str">
            <v>FOAMING Splitting</v>
          </cell>
          <cell r="F4" t="str">
            <v>Worker</v>
          </cell>
          <cell r="G4">
            <v>41690</v>
          </cell>
          <cell r="H4">
            <v>208</v>
          </cell>
          <cell r="I4">
            <v>82</v>
          </cell>
          <cell r="J4">
            <v>1</v>
          </cell>
          <cell r="K4">
            <v>216</v>
          </cell>
          <cell r="L4">
            <v>52</v>
          </cell>
          <cell r="M4">
            <v>1</v>
          </cell>
          <cell r="N4">
            <v>192</v>
          </cell>
          <cell r="O4">
            <v>122</v>
          </cell>
          <cell r="P4">
            <v>1</v>
          </cell>
          <cell r="Q4">
            <v>216</v>
          </cell>
          <cell r="R4">
            <v>36</v>
          </cell>
          <cell r="S4">
            <v>0</v>
          </cell>
          <cell r="T4">
            <v>208</v>
          </cell>
          <cell r="U4">
            <v>0</v>
          </cell>
          <cell r="V4">
            <v>0</v>
          </cell>
          <cell r="W4">
            <v>216</v>
          </cell>
          <cell r="X4">
            <v>0</v>
          </cell>
          <cell r="Y4">
            <v>0</v>
          </cell>
          <cell r="Z4">
            <v>32</v>
          </cell>
          <cell r="AA4">
            <v>6</v>
          </cell>
          <cell r="AR4">
            <v>298</v>
          </cell>
        </row>
        <row r="5">
          <cell r="B5" t="str">
            <v>01079</v>
          </cell>
          <cell r="C5" t="str">
            <v>Phan Hoàng Linh</v>
          </cell>
          <cell r="D5" t="str">
            <v>Foaming</v>
          </cell>
          <cell r="E5" t="str">
            <v>FOAMING Splitting</v>
          </cell>
          <cell r="F5" t="str">
            <v>Operator</v>
          </cell>
          <cell r="G5">
            <v>43040</v>
          </cell>
          <cell r="H5">
            <v>208</v>
          </cell>
          <cell r="I5">
            <v>86</v>
          </cell>
          <cell r="J5">
            <v>1</v>
          </cell>
          <cell r="K5">
            <v>216</v>
          </cell>
          <cell r="L5">
            <v>54</v>
          </cell>
          <cell r="M5">
            <v>1</v>
          </cell>
          <cell r="N5">
            <v>192</v>
          </cell>
          <cell r="O5">
            <v>137</v>
          </cell>
          <cell r="P5">
            <v>1</v>
          </cell>
          <cell r="Q5">
            <v>216</v>
          </cell>
          <cell r="R5">
            <v>36</v>
          </cell>
          <cell r="S5">
            <v>0</v>
          </cell>
          <cell r="T5">
            <v>208</v>
          </cell>
          <cell r="U5">
            <v>0</v>
          </cell>
          <cell r="V5">
            <v>0</v>
          </cell>
          <cell r="W5">
            <v>196</v>
          </cell>
          <cell r="X5">
            <v>0</v>
          </cell>
          <cell r="Y5">
            <v>0</v>
          </cell>
          <cell r="Z5">
            <v>32</v>
          </cell>
          <cell r="AA5">
            <v>0</v>
          </cell>
          <cell r="AR5">
            <v>313</v>
          </cell>
        </row>
        <row r="6">
          <cell r="B6" t="str">
            <v>01221</v>
          </cell>
          <cell r="C6" t="str">
            <v>Nguyễn Văn Vạn</v>
          </cell>
          <cell r="D6" t="str">
            <v>Foaming</v>
          </cell>
          <cell r="E6" t="str">
            <v>FOAMING Splitting</v>
          </cell>
          <cell r="F6" t="str">
            <v>Worker</v>
          </cell>
          <cell r="G6">
            <v>43195</v>
          </cell>
          <cell r="H6">
            <v>208</v>
          </cell>
          <cell r="I6">
            <v>85</v>
          </cell>
          <cell r="J6">
            <v>1</v>
          </cell>
          <cell r="K6">
            <v>216</v>
          </cell>
          <cell r="L6">
            <v>58</v>
          </cell>
          <cell r="M6">
            <v>1</v>
          </cell>
          <cell r="N6">
            <v>192</v>
          </cell>
          <cell r="O6">
            <v>128</v>
          </cell>
          <cell r="P6">
            <v>1</v>
          </cell>
          <cell r="Q6">
            <v>216</v>
          </cell>
          <cell r="R6">
            <v>36</v>
          </cell>
          <cell r="S6">
            <v>0</v>
          </cell>
          <cell r="T6">
            <v>208</v>
          </cell>
          <cell r="U6">
            <v>0</v>
          </cell>
          <cell r="V6">
            <v>0</v>
          </cell>
          <cell r="W6">
            <v>192</v>
          </cell>
          <cell r="X6">
            <v>0</v>
          </cell>
          <cell r="Y6">
            <v>0</v>
          </cell>
          <cell r="Z6">
            <v>32</v>
          </cell>
          <cell r="AA6">
            <v>0</v>
          </cell>
          <cell r="AR6">
            <v>307</v>
          </cell>
        </row>
        <row r="7">
          <cell r="B7" t="str">
            <v>01362</v>
          </cell>
          <cell r="C7" t="str">
            <v>Huỳnh Văn Trường</v>
          </cell>
          <cell r="D7" t="str">
            <v>Foaming</v>
          </cell>
          <cell r="E7" t="str">
            <v>FOAMING Splitting</v>
          </cell>
          <cell r="F7" t="str">
            <v>Operator</v>
          </cell>
          <cell r="G7">
            <v>43356</v>
          </cell>
          <cell r="H7">
            <v>208</v>
          </cell>
          <cell r="I7">
            <v>85</v>
          </cell>
          <cell r="J7">
            <v>1</v>
          </cell>
          <cell r="K7">
            <v>216</v>
          </cell>
          <cell r="L7">
            <v>56</v>
          </cell>
          <cell r="M7">
            <v>1</v>
          </cell>
          <cell r="N7">
            <v>192</v>
          </cell>
          <cell r="O7">
            <v>131</v>
          </cell>
          <cell r="P7">
            <v>1</v>
          </cell>
          <cell r="Q7">
            <v>216</v>
          </cell>
          <cell r="R7">
            <v>31</v>
          </cell>
          <cell r="S7">
            <v>0</v>
          </cell>
          <cell r="T7">
            <v>208</v>
          </cell>
          <cell r="U7">
            <v>0</v>
          </cell>
          <cell r="V7">
            <v>0</v>
          </cell>
          <cell r="W7">
            <v>216</v>
          </cell>
          <cell r="X7">
            <v>0.5</v>
          </cell>
          <cell r="Y7">
            <v>0</v>
          </cell>
          <cell r="Z7">
            <v>32</v>
          </cell>
          <cell r="AA7">
            <v>0</v>
          </cell>
          <cell r="AR7">
            <v>303.5</v>
          </cell>
        </row>
        <row r="8">
          <cell r="B8" t="str">
            <v>02067</v>
          </cell>
          <cell r="C8" t="str">
            <v>Trương Văn Đạt</v>
          </cell>
          <cell r="D8" t="str">
            <v>Foaming</v>
          </cell>
          <cell r="E8" t="str">
            <v>FOAMING Splitting</v>
          </cell>
          <cell r="F8" t="str">
            <v>Operator</v>
          </cell>
          <cell r="G8">
            <v>43803</v>
          </cell>
          <cell r="H8">
            <v>200</v>
          </cell>
          <cell r="I8">
            <v>82</v>
          </cell>
          <cell r="J8">
            <v>1</v>
          </cell>
          <cell r="K8">
            <v>216</v>
          </cell>
          <cell r="L8">
            <v>48</v>
          </cell>
          <cell r="M8">
            <v>1</v>
          </cell>
          <cell r="N8">
            <v>192</v>
          </cell>
          <cell r="O8">
            <v>116</v>
          </cell>
          <cell r="P8">
            <v>1</v>
          </cell>
          <cell r="Q8">
            <v>208</v>
          </cell>
          <cell r="R8">
            <v>36</v>
          </cell>
          <cell r="S8">
            <v>0</v>
          </cell>
          <cell r="T8">
            <v>200</v>
          </cell>
          <cell r="U8">
            <v>0</v>
          </cell>
          <cell r="V8">
            <v>0</v>
          </cell>
          <cell r="W8">
            <v>216</v>
          </cell>
          <cell r="X8">
            <v>8</v>
          </cell>
          <cell r="Y8">
            <v>0</v>
          </cell>
          <cell r="Z8">
            <v>32</v>
          </cell>
          <cell r="AA8">
            <v>0</v>
          </cell>
          <cell r="AR8">
            <v>290</v>
          </cell>
        </row>
        <row r="9">
          <cell r="B9" t="str">
            <v>02075</v>
          </cell>
          <cell r="C9" t="str">
            <v>Đinh Chí Linh</v>
          </cell>
          <cell r="D9" t="str">
            <v>Foaming</v>
          </cell>
          <cell r="E9" t="str">
            <v>FOAMING Rectangular</v>
          </cell>
          <cell r="F9" t="str">
            <v>Team Leader</v>
          </cell>
          <cell r="G9">
            <v>43808</v>
          </cell>
          <cell r="H9">
            <v>208</v>
          </cell>
          <cell r="I9">
            <v>38.5</v>
          </cell>
          <cell r="J9">
            <v>0</v>
          </cell>
          <cell r="K9">
            <v>212</v>
          </cell>
          <cell r="L9">
            <v>20</v>
          </cell>
          <cell r="M9">
            <v>0</v>
          </cell>
          <cell r="N9">
            <v>192</v>
          </cell>
          <cell r="O9">
            <v>118</v>
          </cell>
          <cell r="P9">
            <v>1</v>
          </cell>
          <cell r="Q9">
            <v>216</v>
          </cell>
          <cell r="R9">
            <v>19</v>
          </cell>
          <cell r="S9">
            <v>0</v>
          </cell>
          <cell r="T9">
            <v>200</v>
          </cell>
          <cell r="U9">
            <v>0</v>
          </cell>
          <cell r="V9">
            <v>0</v>
          </cell>
          <cell r="W9">
            <v>200</v>
          </cell>
          <cell r="X9">
            <v>3</v>
          </cell>
          <cell r="Y9">
            <v>0</v>
          </cell>
          <cell r="Z9">
            <v>32</v>
          </cell>
          <cell r="AA9">
            <v>0</v>
          </cell>
          <cell r="AR9">
            <v>198.5</v>
          </cell>
        </row>
        <row r="10">
          <cell r="B10" t="str">
            <v>02076</v>
          </cell>
          <cell r="C10" t="str">
            <v>Hoàng Văn Tuấn</v>
          </cell>
          <cell r="D10" t="str">
            <v>Foaming</v>
          </cell>
          <cell r="E10" t="str">
            <v>FOAMING Splitting</v>
          </cell>
          <cell r="F10" t="str">
            <v>Operator</v>
          </cell>
          <cell r="G10">
            <v>43808</v>
          </cell>
          <cell r="H10">
            <v>208</v>
          </cell>
          <cell r="I10">
            <v>80</v>
          </cell>
          <cell r="J10">
            <v>1</v>
          </cell>
          <cell r="K10">
            <v>216</v>
          </cell>
          <cell r="L10">
            <v>50</v>
          </cell>
          <cell r="M10">
            <v>1</v>
          </cell>
          <cell r="N10">
            <v>192</v>
          </cell>
          <cell r="O10">
            <v>136</v>
          </cell>
          <cell r="P10">
            <v>1</v>
          </cell>
          <cell r="Q10">
            <v>216</v>
          </cell>
          <cell r="R10">
            <v>33</v>
          </cell>
          <cell r="S10">
            <v>0</v>
          </cell>
          <cell r="T10">
            <v>208</v>
          </cell>
          <cell r="U10">
            <v>0</v>
          </cell>
          <cell r="V10">
            <v>0</v>
          </cell>
          <cell r="W10">
            <v>216</v>
          </cell>
          <cell r="X10">
            <v>0</v>
          </cell>
          <cell r="Y10">
            <v>0</v>
          </cell>
          <cell r="Z10">
            <v>32</v>
          </cell>
          <cell r="AA10">
            <v>0</v>
          </cell>
          <cell r="AR10">
            <v>299</v>
          </cell>
        </row>
        <row r="11">
          <cell r="B11" t="str">
            <v>02101</v>
          </cell>
          <cell r="C11" t="str">
            <v>Nguyễn Văn Trọn</v>
          </cell>
          <cell r="D11" t="str">
            <v>Foaming</v>
          </cell>
          <cell r="E11" t="str">
            <v>FOAMING Splitting</v>
          </cell>
          <cell r="F11" t="str">
            <v>Worker</v>
          </cell>
          <cell r="G11">
            <v>43836</v>
          </cell>
          <cell r="H11">
            <v>208</v>
          </cell>
          <cell r="I11">
            <v>81</v>
          </cell>
          <cell r="J11">
            <v>1</v>
          </cell>
          <cell r="K11">
            <v>216</v>
          </cell>
          <cell r="L11">
            <v>50</v>
          </cell>
          <cell r="M11">
            <v>1</v>
          </cell>
          <cell r="N11">
            <v>192</v>
          </cell>
          <cell r="O11">
            <v>120</v>
          </cell>
          <cell r="P11">
            <v>1</v>
          </cell>
          <cell r="Q11">
            <v>212</v>
          </cell>
          <cell r="R11">
            <v>36</v>
          </cell>
          <cell r="S11">
            <v>0</v>
          </cell>
          <cell r="T11">
            <v>196</v>
          </cell>
          <cell r="U11">
            <v>2</v>
          </cell>
          <cell r="V11">
            <v>0</v>
          </cell>
          <cell r="W11">
            <v>176</v>
          </cell>
          <cell r="X11">
            <v>0</v>
          </cell>
          <cell r="Y11">
            <v>0</v>
          </cell>
          <cell r="Z11">
            <v>32</v>
          </cell>
          <cell r="AA11">
            <v>0</v>
          </cell>
          <cell r="AR11">
            <v>289</v>
          </cell>
        </row>
        <row r="12">
          <cell r="B12" t="str">
            <v>02107</v>
          </cell>
          <cell r="C12" t="str">
            <v xml:space="preserve">Nguyễn Vũ Em </v>
          </cell>
          <cell r="D12" t="str">
            <v>Foaming</v>
          </cell>
          <cell r="E12" t="str">
            <v>FOAMING Rectangular</v>
          </cell>
          <cell r="F12" t="str">
            <v>Worker</v>
          </cell>
          <cell r="G12">
            <v>43844</v>
          </cell>
          <cell r="H12">
            <v>208</v>
          </cell>
          <cell r="I12">
            <v>84</v>
          </cell>
          <cell r="J12">
            <v>1</v>
          </cell>
          <cell r="K12">
            <v>216</v>
          </cell>
          <cell r="L12">
            <v>60</v>
          </cell>
          <cell r="M12">
            <v>1</v>
          </cell>
          <cell r="N12">
            <v>192</v>
          </cell>
          <cell r="O12">
            <v>122</v>
          </cell>
          <cell r="P12">
            <v>1</v>
          </cell>
          <cell r="Q12">
            <v>216</v>
          </cell>
          <cell r="R12">
            <v>32</v>
          </cell>
          <cell r="S12">
            <v>0</v>
          </cell>
          <cell r="T12">
            <v>208</v>
          </cell>
          <cell r="U12">
            <v>0</v>
          </cell>
          <cell r="V12">
            <v>0</v>
          </cell>
          <cell r="W12">
            <v>216</v>
          </cell>
          <cell r="X12">
            <v>1.5</v>
          </cell>
          <cell r="Y12">
            <v>0</v>
          </cell>
          <cell r="Z12">
            <v>32</v>
          </cell>
          <cell r="AA12">
            <v>0</v>
          </cell>
          <cell r="AR12">
            <v>299.5</v>
          </cell>
        </row>
        <row r="13">
          <cell r="B13" t="str">
            <v>02108</v>
          </cell>
          <cell r="C13" t="str">
            <v>Nguyễn Văn Thịnh</v>
          </cell>
          <cell r="D13" t="str">
            <v>Foaming</v>
          </cell>
          <cell r="E13" t="str">
            <v>FOAMING Splitting</v>
          </cell>
          <cell r="F13" t="str">
            <v>Operator</v>
          </cell>
          <cell r="G13">
            <v>43844</v>
          </cell>
          <cell r="H13">
            <v>208</v>
          </cell>
          <cell r="I13">
            <v>82</v>
          </cell>
          <cell r="J13">
            <v>1</v>
          </cell>
          <cell r="K13">
            <v>216</v>
          </cell>
          <cell r="L13">
            <v>52</v>
          </cell>
          <cell r="M13">
            <v>1</v>
          </cell>
          <cell r="N13">
            <v>192</v>
          </cell>
          <cell r="O13">
            <v>126</v>
          </cell>
          <cell r="P13">
            <v>1</v>
          </cell>
          <cell r="Q13">
            <v>216</v>
          </cell>
          <cell r="R13">
            <v>24</v>
          </cell>
          <cell r="S13">
            <v>0</v>
          </cell>
          <cell r="T13">
            <v>208</v>
          </cell>
          <cell r="U13">
            <v>0</v>
          </cell>
          <cell r="V13">
            <v>0</v>
          </cell>
          <cell r="W13">
            <v>216</v>
          </cell>
          <cell r="X13">
            <v>1</v>
          </cell>
          <cell r="Y13">
            <v>0</v>
          </cell>
          <cell r="Z13">
            <v>32</v>
          </cell>
          <cell r="AA13">
            <v>4</v>
          </cell>
          <cell r="AR13">
            <v>289</v>
          </cell>
        </row>
        <row r="14">
          <cell r="B14" t="str">
            <v>02111</v>
          </cell>
          <cell r="C14" t="str">
            <v>Lâm Hoàng Đặng</v>
          </cell>
          <cell r="D14" t="str">
            <v>Foaming</v>
          </cell>
          <cell r="E14" t="str">
            <v>FOAMING Splitting</v>
          </cell>
          <cell r="F14" t="str">
            <v>Operator</v>
          </cell>
          <cell r="G14">
            <v>43846</v>
          </cell>
          <cell r="H14">
            <v>208</v>
          </cell>
          <cell r="I14">
            <v>76</v>
          </cell>
          <cell r="J14">
            <v>1</v>
          </cell>
          <cell r="K14">
            <v>216</v>
          </cell>
          <cell r="L14">
            <v>50</v>
          </cell>
          <cell r="M14">
            <v>1</v>
          </cell>
          <cell r="N14">
            <v>192</v>
          </cell>
          <cell r="O14">
            <v>124</v>
          </cell>
          <cell r="P14">
            <v>1</v>
          </cell>
          <cell r="Q14">
            <v>208</v>
          </cell>
          <cell r="R14">
            <v>36</v>
          </cell>
          <cell r="S14">
            <v>0</v>
          </cell>
          <cell r="T14">
            <v>208</v>
          </cell>
          <cell r="U14">
            <v>0</v>
          </cell>
          <cell r="V14">
            <v>0</v>
          </cell>
          <cell r="W14">
            <v>212</v>
          </cell>
          <cell r="X14">
            <v>4</v>
          </cell>
          <cell r="Y14">
            <v>0</v>
          </cell>
          <cell r="Z14">
            <v>32</v>
          </cell>
          <cell r="AA14">
            <v>4</v>
          </cell>
          <cell r="AR14">
            <v>294</v>
          </cell>
        </row>
        <row r="15">
          <cell r="B15" t="str">
            <v>02126</v>
          </cell>
          <cell r="C15" t="str">
            <v>Lê Cao Tài</v>
          </cell>
          <cell r="D15" t="str">
            <v>Foaming</v>
          </cell>
          <cell r="E15" t="str">
            <v>FOAMING Rectangular</v>
          </cell>
          <cell r="F15" t="str">
            <v>Worker</v>
          </cell>
          <cell r="G15">
            <v>43867</v>
          </cell>
          <cell r="H15">
            <v>208</v>
          </cell>
          <cell r="I15">
            <v>91</v>
          </cell>
          <cell r="J15">
            <v>1</v>
          </cell>
          <cell r="K15">
            <v>216</v>
          </cell>
          <cell r="L15">
            <v>57</v>
          </cell>
          <cell r="M15">
            <v>1</v>
          </cell>
          <cell r="N15">
            <v>192</v>
          </cell>
          <cell r="O15">
            <v>87</v>
          </cell>
          <cell r="P15">
            <v>1</v>
          </cell>
          <cell r="Q15">
            <v>216</v>
          </cell>
          <cell r="R15">
            <v>31</v>
          </cell>
          <cell r="S15">
            <v>0</v>
          </cell>
          <cell r="T15">
            <v>208</v>
          </cell>
          <cell r="U15">
            <v>0</v>
          </cell>
          <cell r="V15">
            <v>0</v>
          </cell>
          <cell r="W15">
            <v>216</v>
          </cell>
          <cell r="X15">
            <v>6</v>
          </cell>
          <cell r="Y15">
            <v>0</v>
          </cell>
          <cell r="Z15">
            <v>32</v>
          </cell>
          <cell r="AA15">
            <v>4</v>
          </cell>
          <cell r="AR15">
            <v>276</v>
          </cell>
        </row>
        <row r="16">
          <cell r="B16" t="str">
            <v>02130</v>
          </cell>
          <cell r="C16" t="str">
            <v>Phạm Tuấn Dũ</v>
          </cell>
          <cell r="D16" t="str">
            <v>Foaming</v>
          </cell>
          <cell r="E16" t="str">
            <v>FOAMING Rectangular</v>
          </cell>
          <cell r="F16" t="str">
            <v>Operator</v>
          </cell>
          <cell r="G16">
            <v>43867</v>
          </cell>
          <cell r="H16">
            <v>208</v>
          </cell>
          <cell r="I16">
            <v>88</v>
          </cell>
          <cell r="J16">
            <v>1</v>
          </cell>
          <cell r="K16">
            <v>216</v>
          </cell>
          <cell r="L16">
            <v>64</v>
          </cell>
          <cell r="M16">
            <v>1</v>
          </cell>
          <cell r="N16">
            <v>192</v>
          </cell>
          <cell r="O16">
            <v>127</v>
          </cell>
          <cell r="P16">
            <v>1</v>
          </cell>
          <cell r="Q16">
            <v>216</v>
          </cell>
          <cell r="R16">
            <v>24</v>
          </cell>
          <cell r="S16">
            <v>0</v>
          </cell>
          <cell r="T16">
            <v>208</v>
          </cell>
          <cell r="U16">
            <v>0</v>
          </cell>
          <cell r="V16">
            <v>0</v>
          </cell>
          <cell r="W16">
            <v>188</v>
          </cell>
          <cell r="X16">
            <v>0</v>
          </cell>
          <cell r="Y16">
            <v>0</v>
          </cell>
          <cell r="Z16">
            <v>32</v>
          </cell>
          <cell r="AA16">
            <v>0</v>
          </cell>
          <cell r="AR16">
            <v>303</v>
          </cell>
        </row>
        <row r="17">
          <cell r="B17" t="str">
            <v>02132</v>
          </cell>
          <cell r="C17" t="str">
            <v>Cao Thanh Ngọc</v>
          </cell>
          <cell r="D17" t="str">
            <v>Foaming</v>
          </cell>
          <cell r="E17" t="str">
            <v>FOAMING Splitting</v>
          </cell>
          <cell r="F17" t="str">
            <v>Operator</v>
          </cell>
          <cell r="G17">
            <v>43867</v>
          </cell>
          <cell r="H17">
            <v>208</v>
          </cell>
          <cell r="I17">
            <v>80</v>
          </cell>
          <cell r="J17">
            <v>1</v>
          </cell>
          <cell r="K17">
            <v>216</v>
          </cell>
          <cell r="L17">
            <v>50</v>
          </cell>
          <cell r="M17">
            <v>1</v>
          </cell>
          <cell r="N17">
            <v>192</v>
          </cell>
          <cell r="O17">
            <v>132</v>
          </cell>
          <cell r="P17">
            <v>1</v>
          </cell>
          <cell r="Q17">
            <v>208</v>
          </cell>
          <cell r="R17">
            <v>36</v>
          </cell>
          <cell r="S17">
            <v>0</v>
          </cell>
          <cell r="T17">
            <v>208</v>
          </cell>
          <cell r="U17">
            <v>0</v>
          </cell>
          <cell r="V17">
            <v>0</v>
          </cell>
          <cell r="W17">
            <v>200</v>
          </cell>
          <cell r="X17">
            <v>0</v>
          </cell>
          <cell r="Y17">
            <v>0</v>
          </cell>
          <cell r="Z17">
            <v>32</v>
          </cell>
          <cell r="AA17">
            <v>0</v>
          </cell>
          <cell r="AR17">
            <v>298</v>
          </cell>
        </row>
        <row r="18">
          <cell r="B18" t="str">
            <v>02133</v>
          </cell>
          <cell r="C18" t="str">
            <v>Đặng Minh Dương</v>
          </cell>
          <cell r="D18" t="str">
            <v>Foaming</v>
          </cell>
          <cell r="E18" t="str">
            <v>FOAMING Splitting</v>
          </cell>
          <cell r="F18" t="str">
            <v>Team Leader</v>
          </cell>
          <cell r="G18">
            <v>43867</v>
          </cell>
          <cell r="H18">
            <v>208</v>
          </cell>
          <cell r="I18">
            <v>82</v>
          </cell>
          <cell r="J18">
            <v>1</v>
          </cell>
          <cell r="K18">
            <v>216</v>
          </cell>
          <cell r="L18">
            <v>53</v>
          </cell>
          <cell r="M18">
            <v>1</v>
          </cell>
          <cell r="N18">
            <v>192</v>
          </cell>
          <cell r="O18">
            <v>124</v>
          </cell>
          <cell r="P18">
            <v>1</v>
          </cell>
          <cell r="Q18">
            <v>204</v>
          </cell>
          <cell r="R18">
            <v>34</v>
          </cell>
          <cell r="S18">
            <v>0</v>
          </cell>
          <cell r="T18">
            <v>200</v>
          </cell>
          <cell r="U18">
            <v>0</v>
          </cell>
          <cell r="V18">
            <v>0</v>
          </cell>
          <cell r="W18">
            <v>212</v>
          </cell>
          <cell r="X18">
            <v>0</v>
          </cell>
          <cell r="Y18">
            <v>0</v>
          </cell>
          <cell r="Z18">
            <v>32</v>
          </cell>
          <cell r="AA18">
            <v>4</v>
          </cell>
          <cell r="AR18">
            <v>297</v>
          </cell>
        </row>
        <row r="19">
          <cell r="B19" t="str">
            <v>02139</v>
          </cell>
          <cell r="C19" t="str">
            <v>Đặng Thị Diễm My</v>
          </cell>
          <cell r="D19" t="str">
            <v>Foaming</v>
          </cell>
          <cell r="E19" t="str">
            <v>FOAMING Production control</v>
          </cell>
          <cell r="F19" t="str">
            <v>Senior Staff</v>
          </cell>
          <cell r="G19">
            <v>43871</v>
          </cell>
          <cell r="H19">
            <v>208</v>
          </cell>
          <cell r="I19">
            <v>6</v>
          </cell>
          <cell r="J19">
            <v>0</v>
          </cell>
          <cell r="K19">
            <v>216</v>
          </cell>
          <cell r="L19">
            <v>2.75</v>
          </cell>
          <cell r="M19">
            <v>0</v>
          </cell>
          <cell r="N19">
            <v>192</v>
          </cell>
          <cell r="O19">
            <v>5</v>
          </cell>
          <cell r="P19">
            <v>0</v>
          </cell>
          <cell r="Q19">
            <v>216</v>
          </cell>
          <cell r="R19">
            <v>4.5</v>
          </cell>
          <cell r="S19">
            <v>0</v>
          </cell>
          <cell r="T19">
            <v>200</v>
          </cell>
          <cell r="U19">
            <v>4.5</v>
          </cell>
          <cell r="V19">
            <v>0</v>
          </cell>
          <cell r="W19">
            <v>212</v>
          </cell>
          <cell r="X19">
            <v>3.5</v>
          </cell>
          <cell r="Y19">
            <v>0</v>
          </cell>
          <cell r="Z19">
            <v>32</v>
          </cell>
          <cell r="AA19">
            <v>1.5</v>
          </cell>
          <cell r="AR19">
            <v>27.75</v>
          </cell>
        </row>
        <row r="20">
          <cell r="B20" t="str">
            <v>02150</v>
          </cell>
          <cell r="C20" t="str">
            <v>Võ Thị Hồng Quy</v>
          </cell>
          <cell r="D20" t="str">
            <v>Foaming</v>
          </cell>
          <cell r="E20" t="str">
            <v>FOAMING Splitting</v>
          </cell>
          <cell r="F20" t="str">
            <v>Team Leader</v>
          </cell>
          <cell r="G20">
            <v>43871</v>
          </cell>
          <cell r="H20">
            <v>208</v>
          </cell>
          <cell r="I20">
            <v>85</v>
          </cell>
          <cell r="J20">
            <v>1</v>
          </cell>
          <cell r="K20">
            <v>216</v>
          </cell>
          <cell r="L20">
            <v>47</v>
          </cell>
          <cell r="M20">
            <v>1</v>
          </cell>
          <cell r="N20">
            <v>192</v>
          </cell>
          <cell r="O20">
            <v>111.5</v>
          </cell>
          <cell r="P20">
            <v>1</v>
          </cell>
          <cell r="Q20">
            <v>216</v>
          </cell>
          <cell r="R20">
            <v>36</v>
          </cell>
          <cell r="S20">
            <v>0</v>
          </cell>
          <cell r="T20">
            <v>208</v>
          </cell>
          <cell r="U20">
            <v>12</v>
          </cell>
          <cell r="V20">
            <v>0</v>
          </cell>
          <cell r="W20">
            <v>180</v>
          </cell>
          <cell r="X20">
            <v>0</v>
          </cell>
          <cell r="Y20">
            <v>0</v>
          </cell>
          <cell r="Z20">
            <v>32</v>
          </cell>
          <cell r="AA20">
            <v>0</v>
          </cell>
          <cell r="AR20">
            <v>291.5</v>
          </cell>
        </row>
        <row r="21">
          <cell r="B21" t="str">
            <v>02165</v>
          </cell>
          <cell r="C21" t="str">
            <v>Trần Kim Giàu</v>
          </cell>
          <cell r="D21" t="str">
            <v>Foaming</v>
          </cell>
          <cell r="E21" t="str">
            <v>FOAMING Rectangular</v>
          </cell>
          <cell r="F21" t="str">
            <v>Worker</v>
          </cell>
          <cell r="G21">
            <v>43875</v>
          </cell>
          <cell r="H21">
            <v>208</v>
          </cell>
          <cell r="I21">
            <v>91</v>
          </cell>
          <cell r="J21">
            <v>1</v>
          </cell>
          <cell r="K21">
            <v>216</v>
          </cell>
          <cell r="L21">
            <v>56</v>
          </cell>
          <cell r="M21">
            <v>1</v>
          </cell>
          <cell r="N21">
            <v>186</v>
          </cell>
          <cell r="O21">
            <v>114</v>
          </cell>
          <cell r="P21">
            <v>1</v>
          </cell>
          <cell r="Q21">
            <v>200</v>
          </cell>
          <cell r="R21">
            <v>13</v>
          </cell>
          <cell r="S21">
            <v>0</v>
          </cell>
          <cell r="T21">
            <v>144</v>
          </cell>
          <cell r="U21">
            <v>0</v>
          </cell>
          <cell r="V21">
            <v>0</v>
          </cell>
          <cell r="W21">
            <v>196</v>
          </cell>
          <cell r="X21">
            <v>13.5</v>
          </cell>
          <cell r="Y21">
            <v>0</v>
          </cell>
          <cell r="Z21">
            <v>32</v>
          </cell>
          <cell r="AA21">
            <v>0</v>
          </cell>
          <cell r="AR21">
            <v>287.5</v>
          </cell>
        </row>
        <row r="22">
          <cell r="B22" t="str">
            <v>02166</v>
          </cell>
          <cell r="C22" t="str">
            <v>Nguyễn Văn Hưởng</v>
          </cell>
          <cell r="D22" t="str">
            <v>Foaming</v>
          </cell>
          <cell r="E22" t="str">
            <v>FOAMING Splitting</v>
          </cell>
          <cell r="F22" t="str">
            <v>Team Leader</v>
          </cell>
          <cell r="G22">
            <v>43875</v>
          </cell>
          <cell r="H22">
            <v>208</v>
          </cell>
          <cell r="I22">
            <v>74</v>
          </cell>
          <cell r="J22">
            <v>1</v>
          </cell>
          <cell r="K22">
            <v>216</v>
          </cell>
          <cell r="L22">
            <v>48</v>
          </cell>
          <cell r="M22">
            <v>1</v>
          </cell>
          <cell r="N22">
            <v>192</v>
          </cell>
          <cell r="O22">
            <v>112</v>
          </cell>
          <cell r="P22">
            <v>1</v>
          </cell>
          <cell r="Q22">
            <v>208</v>
          </cell>
          <cell r="R22">
            <v>38</v>
          </cell>
          <cell r="S22">
            <v>0</v>
          </cell>
          <cell r="T22">
            <v>208</v>
          </cell>
          <cell r="U22">
            <v>0</v>
          </cell>
          <cell r="V22">
            <v>0</v>
          </cell>
          <cell r="W22">
            <v>216</v>
          </cell>
          <cell r="X22">
            <v>11</v>
          </cell>
          <cell r="Y22">
            <v>0</v>
          </cell>
          <cell r="Z22">
            <v>32</v>
          </cell>
          <cell r="AA22">
            <v>4</v>
          </cell>
          <cell r="AR22">
            <v>287</v>
          </cell>
        </row>
        <row r="23">
          <cell r="B23" t="str">
            <v>02167</v>
          </cell>
          <cell r="C23" t="str">
            <v>Võ Hửu Nghi</v>
          </cell>
          <cell r="D23" t="str">
            <v>Foaming</v>
          </cell>
          <cell r="E23" t="str">
            <v>FOAMING Rectangular</v>
          </cell>
          <cell r="F23" t="str">
            <v>Team Leader</v>
          </cell>
          <cell r="G23">
            <v>43875</v>
          </cell>
          <cell r="H23">
            <v>208</v>
          </cell>
          <cell r="I23">
            <v>70</v>
          </cell>
          <cell r="J23">
            <v>1</v>
          </cell>
          <cell r="K23">
            <v>216</v>
          </cell>
          <cell r="L23">
            <v>50</v>
          </cell>
          <cell r="M23">
            <v>1</v>
          </cell>
          <cell r="N23">
            <v>192</v>
          </cell>
          <cell r="O23">
            <v>101</v>
          </cell>
          <cell r="P23">
            <v>1</v>
          </cell>
          <cell r="Q23">
            <v>216</v>
          </cell>
          <cell r="R23">
            <v>34</v>
          </cell>
          <cell r="S23">
            <v>0</v>
          </cell>
          <cell r="T23">
            <v>196</v>
          </cell>
          <cell r="U23">
            <v>20</v>
          </cell>
          <cell r="V23">
            <v>0</v>
          </cell>
          <cell r="W23">
            <v>200</v>
          </cell>
          <cell r="X23">
            <v>6</v>
          </cell>
          <cell r="Y23">
            <v>0</v>
          </cell>
          <cell r="Z23">
            <v>32</v>
          </cell>
          <cell r="AA23">
            <v>0</v>
          </cell>
          <cell r="AR23">
            <v>281</v>
          </cell>
        </row>
        <row r="24">
          <cell r="B24" t="str">
            <v>02174</v>
          </cell>
          <cell r="C24" t="str">
            <v>Nguyễn Hữu Diện</v>
          </cell>
          <cell r="D24" t="str">
            <v>Foaming</v>
          </cell>
          <cell r="E24" t="str">
            <v>FOAMING Splitting</v>
          </cell>
          <cell r="F24" t="str">
            <v>Operator</v>
          </cell>
          <cell r="G24">
            <v>43875</v>
          </cell>
          <cell r="H24">
            <v>204</v>
          </cell>
          <cell r="I24">
            <v>82</v>
          </cell>
          <cell r="J24">
            <v>1</v>
          </cell>
          <cell r="K24">
            <v>216</v>
          </cell>
          <cell r="L24">
            <v>51</v>
          </cell>
          <cell r="M24">
            <v>1</v>
          </cell>
          <cell r="N24">
            <v>192</v>
          </cell>
          <cell r="O24">
            <v>122</v>
          </cell>
          <cell r="P24">
            <v>1</v>
          </cell>
          <cell r="Q24">
            <v>216</v>
          </cell>
          <cell r="R24">
            <v>35</v>
          </cell>
          <cell r="S24">
            <v>0</v>
          </cell>
          <cell r="T24">
            <v>208</v>
          </cell>
          <cell r="U24">
            <v>0</v>
          </cell>
          <cell r="V24">
            <v>0</v>
          </cell>
          <cell r="W24">
            <v>216</v>
          </cell>
          <cell r="X24">
            <v>10</v>
          </cell>
          <cell r="Y24">
            <v>0</v>
          </cell>
          <cell r="Z24">
            <v>32</v>
          </cell>
          <cell r="AA24">
            <v>0</v>
          </cell>
          <cell r="AR24">
            <v>300</v>
          </cell>
        </row>
        <row r="25">
          <cell r="B25" t="str">
            <v>02190</v>
          </cell>
          <cell r="C25" t="str">
            <v>Nguyễn Bảo Lăng</v>
          </cell>
          <cell r="D25" t="str">
            <v>Foaming</v>
          </cell>
          <cell r="E25" t="str">
            <v>FOAMING Splitting</v>
          </cell>
          <cell r="F25" t="str">
            <v>Worker</v>
          </cell>
          <cell r="G25">
            <v>43881</v>
          </cell>
          <cell r="H25">
            <v>208</v>
          </cell>
          <cell r="I25">
            <v>82</v>
          </cell>
          <cell r="J25">
            <v>1</v>
          </cell>
          <cell r="K25">
            <v>216</v>
          </cell>
          <cell r="L25">
            <v>52</v>
          </cell>
          <cell r="M25">
            <v>1</v>
          </cell>
          <cell r="N25">
            <v>192</v>
          </cell>
          <cell r="O25">
            <v>122</v>
          </cell>
          <cell r="P25">
            <v>1</v>
          </cell>
          <cell r="Q25">
            <v>216</v>
          </cell>
          <cell r="R25">
            <v>31</v>
          </cell>
          <cell r="S25">
            <v>0</v>
          </cell>
          <cell r="T25">
            <v>208</v>
          </cell>
          <cell r="U25">
            <v>0</v>
          </cell>
          <cell r="V25">
            <v>0</v>
          </cell>
          <cell r="W25">
            <v>211.65</v>
          </cell>
          <cell r="X25">
            <v>0</v>
          </cell>
          <cell r="Y25">
            <v>0</v>
          </cell>
          <cell r="Z25">
            <v>32</v>
          </cell>
          <cell r="AA25">
            <v>4</v>
          </cell>
          <cell r="AR25">
            <v>291</v>
          </cell>
        </row>
        <row r="26">
          <cell r="B26" t="str">
            <v>02239</v>
          </cell>
          <cell r="C26" t="str">
            <v>Lê Phong Nhã</v>
          </cell>
          <cell r="D26" t="str">
            <v>Foaming</v>
          </cell>
          <cell r="E26" t="str">
            <v>FOAMING Production control</v>
          </cell>
          <cell r="F26" t="str">
            <v>Group Leader</v>
          </cell>
          <cell r="G26">
            <v>43903</v>
          </cell>
          <cell r="H26">
            <v>208</v>
          </cell>
          <cell r="I26">
            <v>3.25</v>
          </cell>
          <cell r="J26">
            <v>0</v>
          </cell>
          <cell r="K26">
            <v>216</v>
          </cell>
          <cell r="L26">
            <v>0.5</v>
          </cell>
          <cell r="M26">
            <v>0</v>
          </cell>
          <cell r="N26">
            <v>192</v>
          </cell>
          <cell r="O26">
            <v>1</v>
          </cell>
          <cell r="P26">
            <v>0</v>
          </cell>
          <cell r="Q26">
            <v>216</v>
          </cell>
          <cell r="R26">
            <v>0.5</v>
          </cell>
          <cell r="S26">
            <v>0</v>
          </cell>
          <cell r="T26">
            <v>200</v>
          </cell>
          <cell r="U26">
            <v>4.5</v>
          </cell>
          <cell r="V26">
            <v>0</v>
          </cell>
          <cell r="W26">
            <v>144</v>
          </cell>
          <cell r="X26">
            <v>5.5</v>
          </cell>
          <cell r="Y26">
            <v>0</v>
          </cell>
          <cell r="Z26">
            <v>32</v>
          </cell>
          <cell r="AA26">
            <v>0</v>
          </cell>
          <cell r="AR26">
            <v>15.25</v>
          </cell>
        </row>
        <row r="27">
          <cell r="B27" t="str">
            <v>02271</v>
          </cell>
          <cell r="C27" t="str">
            <v>Nguyễn Hoài Nam</v>
          </cell>
          <cell r="D27" t="str">
            <v>Foaming</v>
          </cell>
          <cell r="E27" t="str">
            <v>FOAMING Production control</v>
          </cell>
          <cell r="F27" t="str">
            <v>Associate Specialist</v>
          </cell>
          <cell r="G27">
            <v>43964</v>
          </cell>
          <cell r="H27">
            <v>208</v>
          </cell>
          <cell r="I27">
            <v>1.5</v>
          </cell>
          <cell r="J27">
            <v>0</v>
          </cell>
          <cell r="K27">
            <v>216</v>
          </cell>
          <cell r="L27">
            <v>2.25</v>
          </cell>
          <cell r="M27">
            <v>0</v>
          </cell>
          <cell r="N27">
            <v>192</v>
          </cell>
          <cell r="O27">
            <v>7.25</v>
          </cell>
          <cell r="P27">
            <v>0</v>
          </cell>
          <cell r="Q27">
            <v>216</v>
          </cell>
          <cell r="R27">
            <v>4.25</v>
          </cell>
          <cell r="S27">
            <v>0</v>
          </cell>
          <cell r="T27">
            <v>200</v>
          </cell>
          <cell r="U27">
            <v>0</v>
          </cell>
          <cell r="V27">
            <v>0</v>
          </cell>
          <cell r="W27">
            <v>200</v>
          </cell>
          <cell r="X27">
            <v>0</v>
          </cell>
          <cell r="Y27">
            <v>0</v>
          </cell>
          <cell r="Z27">
            <v>32</v>
          </cell>
          <cell r="AA27">
            <v>0</v>
          </cell>
          <cell r="AR27">
            <v>15.25</v>
          </cell>
        </row>
        <row r="28">
          <cell r="B28" t="str">
            <v>02289</v>
          </cell>
          <cell r="C28" t="str">
            <v>Thái Thị Trúc Ly</v>
          </cell>
          <cell r="D28" t="str">
            <v>Foaming</v>
          </cell>
          <cell r="E28" t="str">
            <v>FOAMING Splitting</v>
          </cell>
          <cell r="F28" t="str">
            <v>Worker</v>
          </cell>
          <cell r="G28">
            <v>44019</v>
          </cell>
          <cell r="H28">
            <v>208</v>
          </cell>
          <cell r="I28">
            <v>82</v>
          </cell>
          <cell r="J28">
            <v>1</v>
          </cell>
          <cell r="K28">
            <v>216</v>
          </cell>
          <cell r="L28">
            <v>52</v>
          </cell>
          <cell r="M28">
            <v>1</v>
          </cell>
          <cell r="N28">
            <v>192</v>
          </cell>
          <cell r="O28">
            <v>122</v>
          </cell>
          <cell r="P28">
            <v>1</v>
          </cell>
          <cell r="Q28">
            <v>216</v>
          </cell>
          <cell r="R28">
            <v>35</v>
          </cell>
          <cell r="S28">
            <v>0</v>
          </cell>
          <cell r="T28">
            <v>208</v>
          </cell>
          <cell r="U28">
            <v>0</v>
          </cell>
          <cell r="V28">
            <v>0</v>
          </cell>
          <cell r="W28">
            <v>216</v>
          </cell>
          <cell r="X28">
            <v>6</v>
          </cell>
          <cell r="Y28">
            <v>0</v>
          </cell>
          <cell r="Z28">
            <v>32</v>
          </cell>
          <cell r="AA28">
            <v>0</v>
          </cell>
          <cell r="AR28">
            <v>297</v>
          </cell>
        </row>
        <row r="29">
          <cell r="B29" t="str">
            <v>02320</v>
          </cell>
          <cell r="C29" t="str">
            <v>Nguyễn Thị Ngọc Lan</v>
          </cell>
          <cell r="D29" t="str">
            <v>Foaming</v>
          </cell>
          <cell r="E29" t="str">
            <v>FOAMING Splitting</v>
          </cell>
          <cell r="F29" t="str">
            <v>Worker</v>
          </cell>
          <cell r="G29">
            <v>44025</v>
          </cell>
          <cell r="H29">
            <v>208</v>
          </cell>
          <cell r="I29">
            <v>78</v>
          </cell>
          <cell r="J29">
            <v>1</v>
          </cell>
          <cell r="K29">
            <v>216</v>
          </cell>
          <cell r="L29">
            <v>47</v>
          </cell>
          <cell r="M29">
            <v>1</v>
          </cell>
          <cell r="N29">
            <v>192</v>
          </cell>
          <cell r="O29">
            <v>128</v>
          </cell>
          <cell r="P29">
            <v>1</v>
          </cell>
          <cell r="Q29">
            <v>216</v>
          </cell>
          <cell r="R29">
            <v>30</v>
          </cell>
          <cell r="S29">
            <v>0</v>
          </cell>
          <cell r="T29">
            <v>208</v>
          </cell>
          <cell r="U29">
            <v>4</v>
          </cell>
          <cell r="V29">
            <v>0</v>
          </cell>
          <cell r="W29">
            <v>207.95</v>
          </cell>
          <cell r="X29">
            <v>2.5</v>
          </cell>
          <cell r="Y29">
            <v>0</v>
          </cell>
          <cell r="Z29">
            <v>8</v>
          </cell>
          <cell r="AA29">
            <v>0</v>
          </cell>
          <cell r="AR29">
            <v>289.5</v>
          </cell>
        </row>
        <row r="30">
          <cell r="B30" t="str">
            <v>02322</v>
          </cell>
          <cell r="C30" t="str">
            <v>Lâm Thị Tú Phương</v>
          </cell>
          <cell r="D30" t="str">
            <v>Foaming</v>
          </cell>
          <cell r="E30" t="str">
            <v>FOAMING Splitting</v>
          </cell>
          <cell r="F30" t="str">
            <v>Worker</v>
          </cell>
          <cell r="G30">
            <v>44025</v>
          </cell>
          <cell r="H30">
            <v>208</v>
          </cell>
          <cell r="I30">
            <v>82</v>
          </cell>
          <cell r="J30">
            <v>1</v>
          </cell>
          <cell r="K30">
            <v>216</v>
          </cell>
          <cell r="L30">
            <v>52</v>
          </cell>
          <cell r="M30">
            <v>1</v>
          </cell>
          <cell r="N30">
            <v>192</v>
          </cell>
          <cell r="O30">
            <v>122</v>
          </cell>
          <cell r="P30">
            <v>1</v>
          </cell>
          <cell r="Q30">
            <v>216</v>
          </cell>
          <cell r="R30">
            <v>35</v>
          </cell>
          <cell r="S30">
            <v>0</v>
          </cell>
          <cell r="T30">
            <v>208</v>
          </cell>
          <cell r="U30">
            <v>0</v>
          </cell>
          <cell r="V30">
            <v>0</v>
          </cell>
          <cell r="W30">
            <v>120</v>
          </cell>
          <cell r="X30">
            <v>0</v>
          </cell>
          <cell r="Y30">
            <v>0</v>
          </cell>
          <cell r="AR30">
            <v>291</v>
          </cell>
        </row>
        <row r="31">
          <cell r="B31" t="str">
            <v>02328</v>
          </cell>
          <cell r="C31" t="str">
            <v>Biện Công Phúc Vy</v>
          </cell>
          <cell r="D31" t="str">
            <v>Foaming</v>
          </cell>
          <cell r="E31" t="str">
            <v>FOAMING Rectangular</v>
          </cell>
          <cell r="F31" t="str">
            <v>Operator</v>
          </cell>
          <cell r="G31">
            <v>44029</v>
          </cell>
          <cell r="H31">
            <v>200</v>
          </cell>
          <cell r="I31">
            <v>98</v>
          </cell>
          <cell r="J31">
            <v>1</v>
          </cell>
          <cell r="K31">
            <v>216</v>
          </cell>
          <cell r="L31">
            <v>60</v>
          </cell>
          <cell r="M31">
            <v>1</v>
          </cell>
          <cell r="N31">
            <v>192</v>
          </cell>
          <cell r="O31">
            <v>120</v>
          </cell>
          <cell r="P31">
            <v>1</v>
          </cell>
          <cell r="Q31">
            <v>192</v>
          </cell>
          <cell r="R31">
            <v>27</v>
          </cell>
          <cell r="S31">
            <v>0</v>
          </cell>
          <cell r="T31">
            <v>192</v>
          </cell>
          <cell r="U31">
            <v>0</v>
          </cell>
          <cell r="V31">
            <v>0</v>
          </cell>
          <cell r="W31">
            <v>196</v>
          </cell>
          <cell r="X31">
            <v>0</v>
          </cell>
          <cell r="Y31">
            <v>0</v>
          </cell>
          <cell r="Z31">
            <v>32</v>
          </cell>
          <cell r="AA31">
            <v>0</v>
          </cell>
          <cell r="AR31">
            <v>305</v>
          </cell>
        </row>
        <row r="32">
          <cell r="B32" t="str">
            <v>02336</v>
          </cell>
          <cell r="C32" t="str">
            <v xml:space="preserve">Phạm Hoàng Nam </v>
          </cell>
          <cell r="D32" t="str">
            <v>Foaming</v>
          </cell>
          <cell r="E32" t="str">
            <v>FOAMING Splitting</v>
          </cell>
          <cell r="F32" t="str">
            <v>Worker</v>
          </cell>
          <cell r="G32">
            <v>44033</v>
          </cell>
          <cell r="H32">
            <v>208</v>
          </cell>
          <cell r="I32">
            <v>82</v>
          </cell>
          <cell r="J32">
            <v>1</v>
          </cell>
          <cell r="K32">
            <v>216</v>
          </cell>
          <cell r="L32">
            <v>52</v>
          </cell>
          <cell r="M32">
            <v>1</v>
          </cell>
          <cell r="N32">
            <v>192</v>
          </cell>
          <cell r="O32">
            <v>122</v>
          </cell>
          <cell r="P32">
            <v>1</v>
          </cell>
          <cell r="Q32">
            <v>208</v>
          </cell>
          <cell r="R32">
            <v>36</v>
          </cell>
          <cell r="S32">
            <v>0</v>
          </cell>
          <cell r="T32">
            <v>208</v>
          </cell>
          <cell r="U32">
            <v>0</v>
          </cell>
          <cell r="V32">
            <v>0</v>
          </cell>
          <cell r="W32">
            <v>200</v>
          </cell>
          <cell r="X32">
            <v>0</v>
          </cell>
          <cell r="Y32">
            <v>0</v>
          </cell>
          <cell r="Z32">
            <v>32</v>
          </cell>
          <cell r="AA32">
            <v>4</v>
          </cell>
          <cell r="AR32">
            <v>296</v>
          </cell>
        </row>
        <row r="33">
          <cell r="B33" t="str">
            <v>02352</v>
          </cell>
          <cell r="C33" t="str">
            <v>Nguyễn Văn Khánh</v>
          </cell>
          <cell r="D33" t="str">
            <v>Foaming</v>
          </cell>
          <cell r="E33" t="str">
            <v>FOAMING Rectangular</v>
          </cell>
          <cell r="F33" t="str">
            <v>Skilled worker</v>
          </cell>
          <cell r="G33">
            <v>44043</v>
          </cell>
          <cell r="H33">
            <v>176</v>
          </cell>
          <cell r="I33">
            <v>100</v>
          </cell>
          <cell r="J33">
            <v>1</v>
          </cell>
          <cell r="K33">
            <v>216</v>
          </cell>
          <cell r="L33">
            <v>60</v>
          </cell>
          <cell r="M33">
            <v>1</v>
          </cell>
          <cell r="N33">
            <v>192</v>
          </cell>
          <cell r="O33">
            <v>117</v>
          </cell>
          <cell r="P33">
            <v>1</v>
          </cell>
          <cell r="Q33">
            <v>216</v>
          </cell>
          <cell r="R33">
            <v>32</v>
          </cell>
          <cell r="S33">
            <v>0</v>
          </cell>
          <cell r="T33">
            <v>200</v>
          </cell>
          <cell r="U33">
            <v>0</v>
          </cell>
          <cell r="V33">
            <v>0</v>
          </cell>
          <cell r="W33">
            <v>208</v>
          </cell>
          <cell r="X33">
            <v>0</v>
          </cell>
          <cell r="Y33">
            <v>0</v>
          </cell>
          <cell r="Z33">
            <v>32</v>
          </cell>
          <cell r="AA33">
            <v>0</v>
          </cell>
          <cell r="AR33">
            <v>309</v>
          </cell>
        </row>
        <row r="34">
          <cell r="B34" t="str">
            <v>02474</v>
          </cell>
          <cell r="C34" t="str">
            <v>Nguyễn  Anh Tú</v>
          </cell>
          <cell r="D34" t="str">
            <v>Foaming</v>
          </cell>
          <cell r="E34" t="str">
            <v>FOAMING Rectangular</v>
          </cell>
          <cell r="F34" t="str">
            <v>Operator</v>
          </cell>
          <cell r="G34">
            <v>44077</v>
          </cell>
          <cell r="H34">
            <v>208</v>
          </cell>
          <cell r="I34">
            <v>91</v>
          </cell>
          <cell r="J34">
            <v>1</v>
          </cell>
          <cell r="K34">
            <v>216</v>
          </cell>
          <cell r="L34">
            <v>49</v>
          </cell>
          <cell r="M34">
            <v>1</v>
          </cell>
          <cell r="N34">
            <v>192</v>
          </cell>
          <cell r="O34">
            <v>106</v>
          </cell>
          <cell r="P34">
            <v>1</v>
          </cell>
          <cell r="Q34">
            <v>216</v>
          </cell>
          <cell r="R34">
            <v>32</v>
          </cell>
          <cell r="S34">
            <v>0</v>
          </cell>
          <cell r="T34">
            <v>184</v>
          </cell>
          <cell r="U34">
            <v>12</v>
          </cell>
          <cell r="V34">
            <v>0</v>
          </cell>
          <cell r="W34">
            <v>216</v>
          </cell>
          <cell r="X34">
            <v>8</v>
          </cell>
          <cell r="Y34">
            <v>0</v>
          </cell>
          <cell r="Z34">
            <v>28</v>
          </cell>
          <cell r="AA34">
            <v>0</v>
          </cell>
          <cell r="AR34">
            <v>298</v>
          </cell>
        </row>
        <row r="35">
          <cell r="B35" t="str">
            <v>02514</v>
          </cell>
          <cell r="C35" t="str">
            <v>Nguyễn Hà Trang</v>
          </cell>
          <cell r="D35" t="str">
            <v>Foaming</v>
          </cell>
          <cell r="E35" t="str">
            <v>FOAMING Splitting</v>
          </cell>
          <cell r="F35" t="str">
            <v>Worker</v>
          </cell>
          <cell r="G35">
            <v>44085</v>
          </cell>
          <cell r="H35">
            <v>208</v>
          </cell>
          <cell r="I35">
            <v>80</v>
          </cell>
          <cell r="J35">
            <v>1</v>
          </cell>
          <cell r="K35">
            <v>216</v>
          </cell>
          <cell r="L35">
            <v>48</v>
          </cell>
          <cell r="M35">
            <v>1</v>
          </cell>
          <cell r="N35">
            <v>192</v>
          </cell>
          <cell r="O35">
            <v>122</v>
          </cell>
          <cell r="P35">
            <v>1</v>
          </cell>
          <cell r="Q35">
            <v>204</v>
          </cell>
          <cell r="R35">
            <v>33</v>
          </cell>
          <cell r="S35">
            <v>0</v>
          </cell>
          <cell r="T35">
            <v>208</v>
          </cell>
          <cell r="U35">
            <v>0</v>
          </cell>
          <cell r="V35">
            <v>0</v>
          </cell>
          <cell r="W35">
            <v>216</v>
          </cell>
          <cell r="X35">
            <v>2.5</v>
          </cell>
          <cell r="Y35">
            <v>0</v>
          </cell>
          <cell r="Z35">
            <v>32</v>
          </cell>
          <cell r="AA35">
            <v>8</v>
          </cell>
          <cell r="AR35">
            <v>293.5</v>
          </cell>
        </row>
        <row r="36">
          <cell r="B36" t="str">
            <v>02538</v>
          </cell>
          <cell r="C36" t="str">
            <v>Nguyễn Thị Bích Duyên</v>
          </cell>
          <cell r="D36" t="str">
            <v>Foaming</v>
          </cell>
          <cell r="E36" t="str">
            <v>FOAMING Splitting</v>
          </cell>
          <cell r="F36" t="str">
            <v>Worker</v>
          </cell>
          <cell r="G36">
            <v>44090</v>
          </cell>
          <cell r="H36">
            <v>208</v>
          </cell>
          <cell r="I36">
            <v>74</v>
          </cell>
          <cell r="J36">
            <v>1</v>
          </cell>
          <cell r="K36">
            <v>216</v>
          </cell>
          <cell r="L36">
            <v>25</v>
          </cell>
          <cell r="M36">
            <v>0</v>
          </cell>
          <cell r="N36">
            <v>192</v>
          </cell>
          <cell r="O36">
            <v>81</v>
          </cell>
          <cell r="P36">
            <v>1</v>
          </cell>
          <cell r="Q36">
            <v>216</v>
          </cell>
          <cell r="R36">
            <v>35</v>
          </cell>
          <cell r="S36">
            <v>0</v>
          </cell>
          <cell r="T36">
            <v>208</v>
          </cell>
          <cell r="U36">
            <v>0</v>
          </cell>
          <cell r="V36">
            <v>0</v>
          </cell>
          <cell r="W36">
            <v>212</v>
          </cell>
          <cell r="X36">
            <v>0</v>
          </cell>
          <cell r="Y36">
            <v>0</v>
          </cell>
          <cell r="Z36">
            <v>32</v>
          </cell>
          <cell r="AA36">
            <v>6</v>
          </cell>
          <cell r="AR36">
            <v>221</v>
          </cell>
        </row>
        <row r="37">
          <cell r="B37" t="str">
            <v>02603</v>
          </cell>
          <cell r="C37" t="str">
            <v>Nguyễn Văn Thảo</v>
          </cell>
          <cell r="D37" t="str">
            <v>Foaming</v>
          </cell>
          <cell r="E37" t="str">
            <v>FOAMING Splitting</v>
          </cell>
          <cell r="F37" t="str">
            <v>Team Leader</v>
          </cell>
          <cell r="G37">
            <v>44118</v>
          </cell>
          <cell r="H37">
            <v>208</v>
          </cell>
          <cell r="I37">
            <v>66</v>
          </cell>
          <cell r="J37">
            <v>1</v>
          </cell>
          <cell r="K37">
            <v>216</v>
          </cell>
          <cell r="L37">
            <v>43</v>
          </cell>
          <cell r="M37">
            <v>1</v>
          </cell>
          <cell r="N37">
            <v>188</v>
          </cell>
          <cell r="O37">
            <v>108</v>
          </cell>
          <cell r="P37">
            <v>1</v>
          </cell>
          <cell r="Q37">
            <v>212</v>
          </cell>
          <cell r="R37">
            <v>36</v>
          </cell>
          <cell r="S37">
            <v>0</v>
          </cell>
          <cell r="T37">
            <v>168</v>
          </cell>
          <cell r="U37">
            <v>6</v>
          </cell>
          <cell r="V37">
            <v>0</v>
          </cell>
          <cell r="W37">
            <v>208</v>
          </cell>
          <cell r="X37">
            <v>4.5</v>
          </cell>
          <cell r="Y37">
            <v>0</v>
          </cell>
          <cell r="Z37">
            <v>32</v>
          </cell>
          <cell r="AA37">
            <v>8</v>
          </cell>
          <cell r="AR37">
            <v>271.5</v>
          </cell>
        </row>
        <row r="38">
          <cell r="B38" t="str">
            <v>02604</v>
          </cell>
          <cell r="C38" t="str">
            <v>Nguyễn Xuân Tiến</v>
          </cell>
          <cell r="D38" t="str">
            <v>Foaming</v>
          </cell>
          <cell r="E38" t="str">
            <v>FOAMING Splitting</v>
          </cell>
          <cell r="F38" t="str">
            <v>Operator</v>
          </cell>
          <cell r="G38">
            <v>44118</v>
          </cell>
          <cell r="H38">
            <v>208</v>
          </cell>
          <cell r="I38">
            <v>82</v>
          </cell>
          <cell r="J38">
            <v>1</v>
          </cell>
          <cell r="K38">
            <v>216</v>
          </cell>
          <cell r="L38">
            <v>47</v>
          </cell>
          <cell r="M38">
            <v>1</v>
          </cell>
          <cell r="N38">
            <v>192</v>
          </cell>
          <cell r="O38">
            <v>121</v>
          </cell>
          <cell r="P38">
            <v>1</v>
          </cell>
          <cell r="Q38">
            <v>216</v>
          </cell>
          <cell r="R38">
            <v>35</v>
          </cell>
          <cell r="S38">
            <v>0</v>
          </cell>
          <cell r="T38">
            <v>208</v>
          </cell>
          <cell r="U38">
            <v>0</v>
          </cell>
          <cell r="V38">
            <v>0</v>
          </cell>
          <cell r="W38">
            <v>208</v>
          </cell>
          <cell r="X38">
            <v>1</v>
          </cell>
          <cell r="Y38">
            <v>0</v>
          </cell>
          <cell r="Z38">
            <v>28</v>
          </cell>
          <cell r="AA38">
            <v>0</v>
          </cell>
          <cell r="AR38">
            <v>286</v>
          </cell>
        </row>
        <row r="39">
          <cell r="B39" t="str">
            <v>02737</v>
          </cell>
          <cell r="C39" t="str">
            <v>Võ Thị Thu Hằng</v>
          </cell>
          <cell r="D39" t="str">
            <v>Foaming</v>
          </cell>
          <cell r="E39" t="str">
            <v>FOAMING Splitting</v>
          </cell>
          <cell r="F39" t="str">
            <v>Worker</v>
          </cell>
          <cell r="G39" t="str">
            <v>22/02/2021</v>
          </cell>
          <cell r="H39">
            <v>208</v>
          </cell>
          <cell r="I39">
            <v>84</v>
          </cell>
          <cell r="J39">
            <v>1</v>
          </cell>
          <cell r="K39">
            <v>216</v>
          </cell>
          <cell r="L39">
            <v>58</v>
          </cell>
          <cell r="M39">
            <v>1</v>
          </cell>
          <cell r="N39">
            <v>192</v>
          </cell>
          <cell r="O39">
            <v>128</v>
          </cell>
          <cell r="P39">
            <v>1</v>
          </cell>
          <cell r="Q39">
            <v>216</v>
          </cell>
          <cell r="R39">
            <v>38</v>
          </cell>
          <cell r="S39">
            <v>0</v>
          </cell>
          <cell r="T39">
            <v>208</v>
          </cell>
          <cell r="U39">
            <v>0</v>
          </cell>
          <cell r="V39">
            <v>0</v>
          </cell>
          <cell r="W39">
            <v>216</v>
          </cell>
          <cell r="X39">
            <v>0</v>
          </cell>
          <cell r="Y39">
            <v>0</v>
          </cell>
          <cell r="Z39">
            <v>32</v>
          </cell>
          <cell r="AA39">
            <v>0</v>
          </cell>
          <cell r="AR39">
            <v>308</v>
          </cell>
        </row>
        <row r="40">
          <cell r="B40" t="str">
            <v>02786</v>
          </cell>
          <cell r="C40" t="str">
            <v>Lê Huỳnh Hân</v>
          </cell>
          <cell r="D40" t="str">
            <v>Foaming</v>
          </cell>
          <cell r="E40" t="str">
            <v>FOAMING Splitting</v>
          </cell>
          <cell r="F40" t="str">
            <v>Worker</v>
          </cell>
          <cell r="G40">
            <v>44256</v>
          </cell>
          <cell r="H40">
            <v>208</v>
          </cell>
          <cell r="I40">
            <v>78</v>
          </cell>
          <cell r="J40">
            <v>1</v>
          </cell>
          <cell r="K40">
            <v>216</v>
          </cell>
          <cell r="L40">
            <v>54</v>
          </cell>
          <cell r="M40">
            <v>1</v>
          </cell>
          <cell r="N40">
            <v>192</v>
          </cell>
          <cell r="O40">
            <v>106</v>
          </cell>
          <cell r="P40">
            <v>1</v>
          </cell>
          <cell r="Q40">
            <v>216</v>
          </cell>
          <cell r="R40">
            <v>35</v>
          </cell>
          <cell r="S40">
            <v>0</v>
          </cell>
          <cell r="T40">
            <v>208</v>
          </cell>
          <cell r="U40">
            <v>4</v>
          </cell>
          <cell r="V40">
            <v>0</v>
          </cell>
          <cell r="W40">
            <v>216</v>
          </cell>
          <cell r="X40">
            <v>0</v>
          </cell>
          <cell r="Y40">
            <v>0</v>
          </cell>
          <cell r="Z40">
            <v>32</v>
          </cell>
          <cell r="AA40">
            <v>8</v>
          </cell>
          <cell r="AR40">
            <v>285</v>
          </cell>
        </row>
        <row r="41">
          <cell r="B41" t="str">
            <v>02793</v>
          </cell>
          <cell r="C41" t="str">
            <v>Khưu Thanh Nhã</v>
          </cell>
          <cell r="D41" t="str">
            <v>Foaming</v>
          </cell>
          <cell r="E41" t="str">
            <v>FOAMING Rectangular</v>
          </cell>
          <cell r="F41" t="str">
            <v>Team Leader</v>
          </cell>
          <cell r="G41">
            <v>44256</v>
          </cell>
          <cell r="H41">
            <v>208</v>
          </cell>
          <cell r="I41">
            <v>73</v>
          </cell>
          <cell r="J41">
            <v>1</v>
          </cell>
          <cell r="K41">
            <v>216</v>
          </cell>
          <cell r="L41">
            <v>60</v>
          </cell>
          <cell r="M41">
            <v>1</v>
          </cell>
          <cell r="N41">
            <v>192</v>
          </cell>
          <cell r="O41">
            <v>136</v>
          </cell>
          <cell r="P41">
            <v>1</v>
          </cell>
          <cell r="Q41">
            <v>216</v>
          </cell>
          <cell r="R41">
            <v>26</v>
          </cell>
          <cell r="S41">
            <v>0</v>
          </cell>
          <cell r="T41">
            <v>208</v>
          </cell>
          <cell r="U41">
            <v>0</v>
          </cell>
          <cell r="V41">
            <v>0</v>
          </cell>
          <cell r="W41">
            <v>216</v>
          </cell>
          <cell r="X41">
            <v>0</v>
          </cell>
          <cell r="Y41">
            <v>0</v>
          </cell>
          <cell r="Z41">
            <v>32</v>
          </cell>
          <cell r="AA41">
            <v>0</v>
          </cell>
          <cell r="AR41">
            <v>295</v>
          </cell>
        </row>
        <row r="42">
          <cell r="B42" t="str">
            <v>02920</v>
          </cell>
          <cell r="C42" t="str">
            <v>Nguyễn Tuấn Kiệt</v>
          </cell>
          <cell r="D42" t="str">
            <v>Foaming</v>
          </cell>
          <cell r="E42" t="str">
            <v>FOAMING Rectangular</v>
          </cell>
          <cell r="F42" t="str">
            <v>Skilled worker</v>
          </cell>
          <cell r="G42" t="str">
            <v>26/04/2021</v>
          </cell>
          <cell r="H42">
            <v>208</v>
          </cell>
          <cell r="I42">
            <v>89</v>
          </cell>
          <cell r="J42">
            <v>1</v>
          </cell>
          <cell r="K42">
            <v>216</v>
          </cell>
          <cell r="L42">
            <v>46</v>
          </cell>
          <cell r="M42">
            <v>1</v>
          </cell>
          <cell r="N42">
            <v>192</v>
          </cell>
          <cell r="O42">
            <v>120</v>
          </cell>
          <cell r="P42">
            <v>1</v>
          </cell>
          <cell r="Q42">
            <v>208</v>
          </cell>
          <cell r="R42">
            <v>22</v>
          </cell>
          <cell r="S42">
            <v>0</v>
          </cell>
          <cell r="T42">
            <v>188.01666666699998</v>
          </cell>
          <cell r="U42">
            <v>12</v>
          </cell>
          <cell r="V42">
            <v>0</v>
          </cell>
          <cell r="W42">
            <v>200</v>
          </cell>
          <cell r="X42">
            <v>11</v>
          </cell>
          <cell r="Y42">
            <v>0</v>
          </cell>
          <cell r="Z42">
            <v>32</v>
          </cell>
          <cell r="AA42">
            <v>0</v>
          </cell>
          <cell r="AR42">
            <v>300</v>
          </cell>
        </row>
        <row r="43">
          <cell r="B43" t="str">
            <v>03053</v>
          </cell>
          <cell r="C43" t="str">
            <v>Nguyễn Việt Hưng</v>
          </cell>
          <cell r="D43" t="str">
            <v>Foaming</v>
          </cell>
          <cell r="E43" t="str">
            <v>FOAMING Rectangular</v>
          </cell>
          <cell r="F43" t="str">
            <v>Worker</v>
          </cell>
          <cell r="G43">
            <v>44504</v>
          </cell>
          <cell r="H43">
            <v>208</v>
          </cell>
          <cell r="I43">
            <v>91</v>
          </cell>
          <cell r="J43">
            <v>1</v>
          </cell>
          <cell r="K43">
            <v>216</v>
          </cell>
          <cell r="L43">
            <v>60</v>
          </cell>
          <cell r="M43">
            <v>1</v>
          </cell>
          <cell r="N43">
            <v>192</v>
          </cell>
          <cell r="O43">
            <v>132</v>
          </cell>
          <cell r="P43">
            <v>1</v>
          </cell>
          <cell r="Q43">
            <v>216</v>
          </cell>
          <cell r="R43">
            <v>36</v>
          </cell>
          <cell r="S43">
            <v>0</v>
          </cell>
          <cell r="T43">
            <v>208</v>
          </cell>
          <cell r="U43">
            <v>0</v>
          </cell>
          <cell r="V43">
            <v>0</v>
          </cell>
          <cell r="W43">
            <v>200</v>
          </cell>
          <cell r="X43">
            <v>0</v>
          </cell>
          <cell r="Y43">
            <v>0</v>
          </cell>
          <cell r="Z43">
            <v>32</v>
          </cell>
          <cell r="AA43">
            <v>0</v>
          </cell>
          <cell r="AR43">
            <v>319</v>
          </cell>
        </row>
        <row r="44">
          <cell r="B44" t="str">
            <v>03065</v>
          </cell>
          <cell r="C44" t="str">
            <v>Nguyễn Ngọc Đức</v>
          </cell>
          <cell r="D44" t="str">
            <v>Foaming</v>
          </cell>
          <cell r="E44" t="str">
            <v>FOAMING Splitting</v>
          </cell>
          <cell r="F44" t="str">
            <v>Worker</v>
          </cell>
          <cell r="G44" t="str">
            <v>11/11/2021</v>
          </cell>
          <cell r="H44">
            <v>208</v>
          </cell>
          <cell r="I44">
            <v>80</v>
          </cell>
          <cell r="J44">
            <v>1</v>
          </cell>
          <cell r="K44">
            <v>216</v>
          </cell>
          <cell r="L44">
            <v>54</v>
          </cell>
          <cell r="M44">
            <v>1</v>
          </cell>
          <cell r="N44">
            <v>192</v>
          </cell>
          <cell r="O44">
            <v>125</v>
          </cell>
          <cell r="P44">
            <v>1</v>
          </cell>
          <cell r="Q44">
            <v>216</v>
          </cell>
          <cell r="R44">
            <v>32</v>
          </cell>
          <cell r="S44">
            <v>0</v>
          </cell>
          <cell r="T44">
            <v>208</v>
          </cell>
          <cell r="U44">
            <v>0</v>
          </cell>
          <cell r="V44">
            <v>0</v>
          </cell>
          <cell r="W44">
            <v>208</v>
          </cell>
          <cell r="X44">
            <v>7.5</v>
          </cell>
          <cell r="Y44">
            <v>0</v>
          </cell>
          <cell r="Z44">
            <v>24</v>
          </cell>
          <cell r="AA44">
            <v>0</v>
          </cell>
          <cell r="AR44">
            <v>298.5</v>
          </cell>
        </row>
        <row r="45">
          <cell r="B45" t="str">
            <v>03071</v>
          </cell>
          <cell r="C45" t="str">
            <v>Hồ Phú Hữu</v>
          </cell>
          <cell r="D45" t="str">
            <v>Foaming</v>
          </cell>
          <cell r="E45" t="str">
            <v>FOAMING Rectangular</v>
          </cell>
          <cell r="F45" t="str">
            <v>Operator</v>
          </cell>
          <cell r="G45">
            <v>44516</v>
          </cell>
          <cell r="H45">
            <v>208</v>
          </cell>
          <cell r="I45">
            <v>90</v>
          </cell>
          <cell r="J45">
            <v>1</v>
          </cell>
          <cell r="K45">
            <v>216</v>
          </cell>
          <cell r="L45">
            <v>58</v>
          </cell>
          <cell r="M45">
            <v>1</v>
          </cell>
          <cell r="N45">
            <v>136</v>
          </cell>
          <cell r="O45">
            <v>92</v>
          </cell>
          <cell r="P45">
            <v>1</v>
          </cell>
          <cell r="Q45">
            <v>208</v>
          </cell>
          <cell r="R45">
            <v>30</v>
          </cell>
          <cell r="S45">
            <v>0</v>
          </cell>
          <cell r="T45">
            <v>192</v>
          </cell>
          <cell r="U45">
            <v>16</v>
          </cell>
          <cell r="V45">
            <v>0</v>
          </cell>
          <cell r="W45">
            <v>208</v>
          </cell>
          <cell r="X45">
            <v>13</v>
          </cell>
          <cell r="Y45">
            <v>0</v>
          </cell>
          <cell r="Z45">
            <v>32</v>
          </cell>
          <cell r="AA45">
            <v>0</v>
          </cell>
          <cell r="AR45">
            <v>299</v>
          </cell>
        </row>
        <row r="46">
          <cell r="B46" t="str">
            <v>03075</v>
          </cell>
          <cell r="C46" t="str">
            <v>Nguyễn Thị Muội</v>
          </cell>
          <cell r="D46" t="str">
            <v>Foaming</v>
          </cell>
          <cell r="E46" t="str">
            <v>FOAMING Splitting</v>
          </cell>
          <cell r="F46" t="str">
            <v>Worker</v>
          </cell>
          <cell r="G46">
            <v>44516</v>
          </cell>
          <cell r="H46">
            <v>208</v>
          </cell>
          <cell r="I46">
            <v>84</v>
          </cell>
          <cell r="J46">
            <v>1</v>
          </cell>
          <cell r="K46">
            <v>216</v>
          </cell>
          <cell r="L46">
            <v>51</v>
          </cell>
          <cell r="M46">
            <v>1</v>
          </cell>
          <cell r="N46">
            <v>192</v>
          </cell>
          <cell r="O46">
            <v>106</v>
          </cell>
          <cell r="P46">
            <v>1</v>
          </cell>
          <cell r="Q46">
            <v>216</v>
          </cell>
          <cell r="R46">
            <v>36</v>
          </cell>
          <cell r="S46">
            <v>0</v>
          </cell>
          <cell r="T46">
            <v>208</v>
          </cell>
          <cell r="U46">
            <v>0</v>
          </cell>
          <cell r="V46">
            <v>0</v>
          </cell>
          <cell r="W46">
            <v>216</v>
          </cell>
          <cell r="X46">
            <v>0</v>
          </cell>
          <cell r="Y46">
            <v>0</v>
          </cell>
          <cell r="Z46">
            <v>32</v>
          </cell>
          <cell r="AA46">
            <v>9</v>
          </cell>
          <cell r="AR46">
            <v>286</v>
          </cell>
        </row>
        <row r="47">
          <cell r="B47" t="str">
            <v>03107</v>
          </cell>
          <cell r="C47" t="str">
            <v>Nguyễn Thị Thu Thảo</v>
          </cell>
          <cell r="D47" t="str">
            <v>Foaming</v>
          </cell>
          <cell r="E47" t="str">
            <v>FOAMING Splitting</v>
          </cell>
          <cell r="F47" t="str">
            <v>Worker</v>
          </cell>
          <cell r="G47">
            <v>44529</v>
          </cell>
          <cell r="H47">
            <v>184</v>
          </cell>
          <cell r="I47">
            <v>67.75</v>
          </cell>
          <cell r="J47">
            <v>1</v>
          </cell>
          <cell r="K47">
            <v>216</v>
          </cell>
          <cell r="L47">
            <v>43</v>
          </cell>
          <cell r="M47">
            <v>1</v>
          </cell>
          <cell r="N47">
            <v>192</v>
          </cell>
          <cell r="O47">
            <v>124</v>
          </cell>
          <cell r="P47">
            <v>1</v>
          </cell>
          <cell r="Q47">
            <v>216</v>
          </cell>
          <cell r="R47">
            <v>26</v>
          </cell>
          <cell r="S47">
            <v>0</v>
          </cell>
          <cell r="T47">
            <v>208</v>
          </cell>
          <cell r="U47">
            <v>0</v>
          </cell>
          <cell r="V47">
            <v>0</v>
          </cell>
          <cell r="W47">
            <v>216</v>
          </cell>
          <cell r="X47">
            <v>8</v>
          </cell>
          <cell r="Y47">
            <v>0</v>
          </cell>
          <cell r="Z47">
            <v>32</v>
          </cell>
          <cell r="AA47">
            <v>0</v>
          </cell>
          <cell r="AR47">
            <v>268.75</v>
          </cell>
        </row>
        <row r="48">
          <cell r="B48" t="str">
            <v>03108</v>
          </cell>
          <cell r="C48" t="str">
            <v>Nguyễn Thị Cẩm Nguyên</v>
          </cell>
          <cell r="D48" t="str">
            <v>Foaming</v>
          </cell>
          <cell r="E48" t="str">
            <v>FOAMING Splitting</v>
          </cell>
          <cell r="F48" t="str">
            <v>Worker</v>
          </cell>
          <cell r="G48">
            <v>44529</v>
          </cell>
          <cell r="H48">
            <v>208</v>
          </cell>
          <cell r="I48">
            <v>19</v>
          </cell>
          <cell r="J48">
            <v>0</v>
          </cell>
          <cell r="K48">
            <v>216</v>
          </cell>
          <cell r="L48">
            <v>0</v>
          </cell>
          <cell r="M48">
            <v>0</v>
          </cell>
          <cell r="N48">
            <v>192</v>
          </cell>
          <cell r="O48">
            <v>78</v>
          </cell>
          <cell r="P48">
            <v>1</v>
          </cell>
          <cell r="Q48">
            <v>216</v>
          </cell>
          <cell r="R48">
            <v>20</v>
          </cell>
          <cell r="S48">
            <v>0</v>
          </cell>
          <cell r="T48">
            <v>208</v>
          </cell>
          <cell r="U48">
            <v>5</v>
          </cell>
          <cell r="V48">
            <v>0</v>
          </cell>
          <cell r="W48">
            <v>212</v>
          </cell>
          <cell r="X48">
            <v>37</v>
          </cell>
          <cell r="Y48">
            <v>0</v>
          </cell>
          <cell r="Z48">
            <v>32</v>
          </cell>
          <cell r="AA48">
            <v>9</v>
          </cell>
          <cell r="AR48">
            <v>168</v>
          </cell>
        </row>
        <row r="49">
          <cell r="B49" t="str">
            <v>03227</v>
          </cell>
          <cell r="C49" t="str">
            <v>Nguyễn Văn Kha</v>
          </cell>
          <cell r="D49" t="str">
            <v>Foaming</v>
          </cell>
          <cell r="E49" t="str">
            <v>FOAMING Rectangular</v>
          </cell>
          <cell r="F49" t="str">
            <v>Operator</v>
          </cell>
          <cell r="G49">
            <v>44603</v>
          </cell>
          <cell r="H49">
            <v>208</v>
          </cell>
          <cell r="I49">
            <v>94</v>
          </cell>
          <cell r="J49">
            <v>1</v>
          </cell>
          <cell r="K49">
            <v>216</v>
          </cell>
          <cell r="L49">
            <v>64</v>
          </cell>
          <cell r="M49">
            <v>1</v>
          </cell>
          <cell r="N49">
            <v>192</v>
          </cell>
          <cell r="O49">
            <v>113</v>
          </cell>
          <cell r="P49">
            <v>1</v>
          </cell>
          <cell r="Q49">
            <v>216</v>
          </cell>
          <cell r="R49">
            <v>36</v>
          </cell>
          <cell r="S49">
            <v>0</v>
          </cell>
          <cell r="T49">
            <v>200</v>
          </cell>
          <cell r="U49">
            <v>0</v>
          </cell>
          <cell r="V49">
            <v>0</v>
          </cell>
          <cell r="W49">
            <v>200</v>
          </cell>
          <cell r="X49">
            <v>0</v>
          </cell>
          <cell r="Y49">
            <v>0</v>
          </cell>
          <cell r="Z49">
            <v>32</v>
          </cell>
          <cell r="AA49">
            <v>0</v>
          </cell>
          <cell r="AR49">
            <v>307</v>
          </cell>
        </row>
        <row r="50">
          <cell r="B50" t="str">
            <v>03267</v>
          </cell>
          <cell r="C50" t="str">
            <v>Lê Duy Khang</v>
          </cell>
          <cell r="D50" t="str">
            <v>Foaming</v>
          </cell>
          <cell r="E50" t="str">
            <v>FOAMING Rectangular</v>
          </cell>
          <cell r="F50" t="str">
            <v>Operator</v>
          </cell>
          <cell r="G50">
            <v>44610</v>
          </cell>
          <cell r="H50">
            <v>208</v>
          </cell>
          <cell r="I50">
            <v>87</v>
          </cell>
          <cell r="J50">
            <v>1</v>
          </cell>
          <cell r="K50">
            <v>212</v>
          </cell>
          <cell r="L50">
            <v>58</v>
          </cell>
          <cell r="M50">
            <v>1</v>
          </cell>
          <cell r="N50">
            <v>192</v>
          </cell>
          <cell r="O50">
            <v>136</v>
          </cell>
          <cell r="P50">
            <v>1</v>
          </cell>
          <cell r="Q50">
            <v>208</v>
          </cell>
          <cell r="R50">
            <v>32</v>
          </cell>
          <cell r="S50">
            <v>0</v>
          </cell>
          <cell r="T50">
            <v>200</v>
          </cell>
          <cell r="U50">
            <v>0</v>
          </cell>
          <cell r="V50">
            <v>0</v>
          </cell>
          <cell r="W50">
            <v>216</v>
          </cell>
          <cell r="X50">
            <v>2.5</v>
          </cell>
          <cell r="Y50">
            <v>0</v>
          </cell>
          <cell r="Z50">
            <v>32</v>
          </cell>
          <cell r="AA50">
            <v>0</v>
          </cell>
          <cell r="AR50">
            <v>315.5</v>
          </cell>
        </row>
        <row r="51">
          <cell r="B51" t="str">
            <v>03363</v>
          </cell>
          <cell r="C51" t="str">
            <v>Nguyễn Văn Sáng</v>
          </cell>
          <cell r="D51" t="str">
            <v>Foaming</v>
          </cell>
          <cell r="E51" t="str">
            <v>FOAMING Splitting</v>
          </cell>
          <cell r="F51" t="str">
            <v>Operator</v>
          </cell>
          <cell r="G51">
            <v>44630</v>
          </cell>
          <cell r="H51">
            <v>208</v>
          </cell>
          <cell r="I51">
            <v>82</v>
          </cell>
          <cell r="J51">
            <v>1</v>
          </cell>
          <cell r="K51">
            <v>216</v>
          </cell>
          <cell r="L51">
            <v>39</v>
          </cell>
          <cell r="M51">
            <v>0</v>
          </cell>
          <cell r="N51">
            <v>184</v>
          </cell>
          <cell r="O51">
            <v>118</v>
          </cell>
          <cell r="P51">
            <v>1</v>
          </cell>
          <cell r="Q51">
            <v>192</v>
          </cell>
          <cell r="R51">
            <v>28</v>
          </cell>
          <cell r="S51">
            <v>0</v>
          </cell>
          <cell r="T51">
            <v>200</v>
          </cell>
          <cell r="U51">
            <v>0</v>
          </cell>
          <cell r="V51">
            <v>0</v>
          </cell>
          <cell r="W51">
            <v>207.95</v>
          </cell>
          <cell r="X51">
            <v>1.5</v>
          </cell>
          <cell r="Y51">
            <v>0</v>
          </cell>
          <cell r="Z51">
            <v>16</v>
          </cell>
          <cell r="AA51">
            <v>0</v>
          </cell>
          <cell r="AR51">
            <v>268.5</v>
          </cell>
        </row>
        <row r="52">
          <cell r="B52" t="str">
            <v>03366</v>
          </cell>
          <cell r="C52" t="str">
            <v>Lê Chí Hiển</v>
          </cell>
          <cell r="D52" t="str">
            <v>Foaming</v>
          </cell>
          <cell r="E52" t="str">
            <v>FOAMING Rectangular</v>
          </cell>
          <cell r="F52" t="str">
            <v>Skilled worker</v>
          </cell>
          <cell r="G52">
            <v>44630</v>
          </cell>
          <cell r="H52">
            <v>180</v>
          </cell>
          <cell r="I52">
            <v>68</v>
          </cell>
          <cell r="J52">
            <v>1</v>
          </cell>
          <cell r="K52">
            <v>216</v>
          </cell>
          <cell r="L52">
            <v>54</v>
          </cell>
          <cell r="M52">
            <v>1</v>
          </cell>
          <cell r="N52">
            <v>188</v>
          </cell>
          <cell r="O52">
            <v>120</v>
          </cell>
          <cell r="P52">
            <v>1</v>
          </cell>
          <cell r="Q52">
            <v>216</v>
          </cell>
          <cell r="R52">
            <v>14</v>
          </cell>
          <cell r="S52">
            <v>0</v>
          </cell>
          <cell r="T52">
            <v>196</v>
          </cell>
          <cell r="U52">
            <v>0</v>
          </cell>
          <cell r="V52">
            <v>0</v>
          </cell>
          <cell r="W52">
            <v>196</v>
          </cell>
          <cell r="X52">
            <v>16</v>
          </cell>
          <cell r="Y52">
            <v>0</v>
          </cell>
          <cell r="Z52">
            <v>32</v>
          </cell>
          <cell r="AA52">
            <v>0</v>
          </cell>
          <cell r="AR52">
            <v>272</v>
          </cell>
        </row>
        <row r="53">
          <cell r="B53" t="str">
            <v>03373</v>
          </cell>
          <cell r="C53" t="str">
            <v>Phan Minh Gạch</v>
          </cell>
          <cell r="D53" t="str">
            <v>Foaming</v>
          </cell>
          <cell r="E53" t="str">
            <v>FOAMING Splitting</v>
          </cell>
          <cell r="F53" t="str">
            <v>Operator</v>
          </cell>
          <cell r="G53">
            <v>44634</v>
          </cell>
          <cell r="H53">
            <v>208</v>
          </cell>
          <cell r="I53">
            <v>80</v>
          </cell>
          <cell r="J53">
            <v>1</v>
          </cell>
          <cell r="K53">
            <v>216</v>
          </cell>
          <cell r="L53">
            <v>52</v>
          </cell>
          <cell r="M53">
            <v>1</v>
          </cell>
          <cell r="N53">
            <v>192</v>
          </cell>
          <cell r="O53">
            <v>131</v>
          </cell>
          <cell r="P53">
            <v>1</v>
          </cell>
          <cell r="Q53">
            <v>216</v>
          </cell>
          <cell r="R53">
            <v>36</v>
          </cell>
          <cell r="S53">
            <v>0</v>
          </cell>
          <cell r="T53">
            <v>208</v>
          </cell>
          <cell r="U53">
            <v>0</v>
          </cell>
          <cell r="V53">
            <v>0</v>
          </cell>
          <cell r="W53">
            <v>200</v>
          </cell>
          <cell r="X53">
            <v>1</v>
          </cell>
          <cell r="Y53">
            <v>0</v>
          </cell>
          <cell r="Z53">
            <v>32</v>
          </cell>
          <cell r="AA53">
            <v>0</v>
          </cell>
          <cell r="AR53">
            <v>300</v>
          </cell>
        </row>
        <row r="54">
          <cell r="B54" t="str">
            <v>03376</v>
          </cell>
          <cell r="C54" t="str">
            <v>Ngô Vũ Luân</v>
          </cell>
          <cell r="D54" t="str">
            <v>Foaming</v>
          </cell>
          <cell r="E54" t="str">
            <v>FOAMING Rectangular</v>
          </cell>
          <cell r="F54" t="str">
            <v>Skilled worker</v>
          </cell>
          <cell r="G54">
            <v>44634</v>
          </cell>
          <cell r="H54">
            <v>208</v>
          </cell>
          <cell r="I54">
            <v>74</v>
          </cell>
          <cell r="J54">
            <v>1</v>
          </cell>
          <cell r="K54">
            <v>216</v>
          </cell>
          <cell r="L54">
            <v>60</v>
          </cell>
          <cell r="M54">
            <v>1</v>
          </cell>
          <cell r="N54">
            <v>192</v>
          </cell>
          <cell r="O54">
            <v>122</v>
          </cell>
          <cell r="P54">
            <v>1</v>
          </cell>
          <cell r="Q54">
            <v>216</v>
          </cell>
          <cell r="R54">
            <v>31</v>
          </cell>
          <cell r="S54">
            <v>0</v>
          </cell>
          <cell r="T54">
            <v>208</v>
          </cell>
          <cell r="U54">
            <v>11</v>
          </cell>
          <cell r="V54">
            <v>0</v>
          </cell>
          <cell r="W54">
            <v>216</v>
          </cell>
          <cell r="X54">
            <v>0</v>
          </cell>
          <cell r="Y54">
            <v>0</v>
          </cell>
          <cell r="Z54">
            <v>8</v>
          </cell>
          <cell r="AA54">
            <v>0</v>
          </cell>
          <cell r="AR54">
            <v>298</v>
          </cell>
        </row>
        <row r="55">
          <cell r="B55" t="str">
            <v>03514</v>
          </cell>
          <cell r="C55" t="str">
            <v>Giáp Thị Kiều</v>
          </cell>
          <cell r="D55" t="str">
            <v>Foaming</v>
          </cell>
          <cell r="E55" t="str">
            <v>FOAMING Splitting</v>
          </cell>
          <cell r="F55" t="str">
            <v>Worker</v>
          </cell>
          <cell r="G55">
            <v>44704</v>
          </cell>
          <cell r="H55">
            <v>208</v>
          </cell>
          <cell r="I55">
            <v>80</v>
          </cell>
          <cell r="J55">
            <v>1</v>
          </cell>
          <cell r="K55">
            <v>216</v>
          </cell>
          <cell r="L55">
            <v>54</v>
          </cell>
          <cell r="M55">
            <v>1</v>
          </cell>
          <cell r="N55">
            <v>192</v>
          </cell>
          <cell r="O55">
            <v>116</v>
          </cell>
          <cell r="P55">
            <v>1</v>
          </cell>
          <cell r="Q55">
            <v>216</v>
          </cell>
          <cell r="R55">
            <v>30</v>
          </cell>
          <cell r="S55">
            <v>0</v>
          </cell>
          <cell r="T55">
            <v>208</v>
          </cell>
          <cell r="U55">
            <v>12</v>
          </cell>
          <cell r="V55">
            <v>0</v>
          </cell>
          <cell r="W55">
            <v>216</v>
          </cell>
          <cell r="X55">
            <v>0</v>
          </cell>
          <cell r="Y55">
            <v>0</v>
          </cell>
          <cell r="Z55">
            <v>32</v>
          </cell>
          <cell r="AA55">
            <v>7</v>
          </cell>
          <cell r="AR55">
            <v>299</v>
          </cell>
        </row>
        <row r="56">
          <cell r="B56" t="str">
            <v>03515</v>
          </cell>
          <cell r="C56" t="str">
            <v>Phạm Thị Kim Nhung</v>
          </cell>
          <cell r="D56" t="str">
            <v>Foaming</v>
          </cell>
          <cell r="E56" t="str">
            <v>FOAMING Splitting</v>
          </cell>
          <cell r="F56" t="str">
            <v>Worker</v>
          </cell>
          <cell r="G56">
            <v>44704</v>
          </cell>
          <cell r="H56">
            <v>208</v>
          </cell>
          <cell r="I56">
            <v>79</v>
          </cell>
          <cell r="J56">
            <v>1</v>
          </cell>
          <cell r="K56">
            <v>212</v>
          </cell>
          <cell r="L56">
            <v>44</v>
          </cell>
          <cell r="M56">
            <v>1</v>
          </cell>
          <cell r="N56">
            <v>192</v>
          </cell>
          <cell r="O56">
            <v>120</v>
          </cell>
          <cell r="P56">
            <v>1</v>
          </cell>
          <cell r="Q56">
            <v>216</v>
          </cell>
          <cell r="R56">
            <v>36</v>
          </cell>
          <cell r="S56">
            <v>0</v>
          </cell>
          <cell r="T56">
            <v>200</v>
          </cell>
          <cell r="U56">
            <v>0</v>
          </cell>
          <cell r="V56">
            <v>0</v>
          </cell>
          <cell r="W56">
            <v>200</v>
          </cell>
          <cell r="X56">
            <v>0</v>
          </cell>
          <cell r="Y56">
            <v>0</v>
          </cell>
          <cell r="Z56">
            <v>32</v>
          </cell>
          <cell r="AA56">
            <v>9</v>
          </cell>
          <cell r="AR56">
            <v>288</v>
          </cell>
        </row>
        <row r="57">
          <cell r="B57" t="str">
            <v>03521</v>
          </cell>
          <cell r="C57" t="str">
            <v>Nguyễn Văn Sành</v>
          </cell>
          <cell r="D57" t="str">
            <v>Foaming</v>
          </cell>
          <cell r="E57" t="str">
            <v>FOAMING Rectangular</v>
          </cell>
          <cell r="F57" t="str">
            <v>Skilled worker</v>
          </cell>
          <cell r="G57">
            <v>44707</v>
          </cell>
          <cell r="H57">
            <v>208</v>
          </cell>
          <cell r="I57">
            <v>88</v>
          </cell>
          <cell r="J57">
            <v>1</v>
          </cell>
          <cell r="K57">
            <v>216</v>
          </cell>
          <cell r="L57">
            <v>64</v>
          </cell>
          <cell r="M57">
            <v>1</v>
          </cell>
          <cell r="N57">
            <v>192</v>
          </cell>
          <cell r="O57">
            <v>128</v>
          </cell>
          <cell r="P57">
            <v>1</v>
          </cell>
          <cell r="Q57">
            <v>216</v>
          </cell>
          <cell r="R57">
            <v>36</v>
          </cell>
          <cell r="S57">
            <v>0</v>
          </cell>
          <cell r="T57">
            <v>208</v>
          </cell>
          <cell r="U57">
            <v>0</v>
          </cell>
          <cell r="V57">
            <v>0</v>
          </cell>
          <cell r="W57">
            <v>216</v>
          </cell>
          <cell r="X57">
            <v>0</v>
          </cell>
          <cell r="Y57">
            <v>0</v>
          </cell>
          <cell r="Z57">
            <v>32</v>
          </cell>
          <cell r="AA57">
            <v>0</v>
          </cell>
          <cell r="AR57">
            <v>316</v>
          </cell>
        </row>
        <row r="58">
          <cell r="B58" t="str">
            <v>03564</v>
          </cell>
          <cell r="C58" t="str">
            <v>Nguyễn Tuấn Vũ</v>
          </cell>
          <cell r="D58" t="str">
            <v>Foaming</v>
          </cell>
          <cell r="E58" t="str">
            <v>FOAMING Rectangular</v>
          </cell>
          <cell r="F58" t="str">
            <v>Worker</v>
          </cell>
          <cell r="G58">
            <v>44719</v>
          </cell>
          <cell r="H58">
            <v>184</v>
          </cell>
          <cell r="I58">
            <v>84</v>
          </cell>
          <cell r="J58">
            <v>1</v>
          </cell>
          <cell r="K58">
            <v>216</v>
          </cell>
          <cell r="L58">
            <v>68</v>
          </cell>
          <cell r="M58">
            <v>1</v>
          </cell>
          <cell r="N58">
            <v>192</v>
          </cell>
          <cell r="O58">
            <v>140</v>
          </cell>
          <cell r="P58">
            <v>1</v>
          </cell>
          <cell r="Q58">
            <v>216</v>
          </cell>
          <cell r="R58">
            <v>36</v>
          </cell>
          <cell r="S58">
            <v>0</v>
          </cell>
          <cell r="T58">
            <v>200</v>
          </cell>
          <cell r="U58">
            <v>0</v>
          </cell>
          <cell r="V58">
            <v>0</v>
          </cell>
          <cell r="W58">
            <v>216</v>
          </cell>
          <cell r="X58">
            <v>2.5</v>
          </cell>
          <cell r="Y58">
            <v>0</v>
          </cell>
          <cell r="Z58">
            <v>16</v>
          </cell>
          <cell r="AA58">
            <v>0</v>
          </cell>
          <cell r="AR58">
            <v>330.5</v>
          </cell>
        </row>
        <row r="59">
          <cell r="B59" t="str">
            <v>03651</v>
          </cell>
          <cell r="C59" t="str">
            <v>Huỳnh Hữu Trí</v>
          </cell>
          <cell r="D59" t="str">
            <v>Foaming</v>
          </cell>
          <cell r="E59" t="str">
            <v>FOAMING Production control</v>
          </cell>
          <cell r="F59" t="str">
            <v>Associate Engineer</v>
          </cell>
          <cell r="G59">
            <v>44809</v>
          </cell>
          <cell r="H59">
            <v>208</v>
          </cell>
          <cell r="I59">
            <v>2.75</v>
          </cell>
          <cell r="J59">
            <v>0</v>
          </cell>
          <cell r="K59">
            <v>216</v>
          </cell>
          <cell r="L59">
            <v>3.5</v>
          </cell>
          <cell r="M59">
            <v>0</v>
          </cell>
          <cell r="N59">
            <v>192</v>
          </cell>
          <cell r="O59">
            <v>0</v>
          </cell>
          <cell r="P59">
            <v>0</v>
          </cell>
          <cell r="Q59">
            <v>216</v>
          </cell>
          <cell r="R59">
            <v>1</v>
          </cell>
          <cell r="S59">
            <v>0</v>
          </cell>
          <cell r="T59">
            <v>200</v>
          </cell>
          <cell r="U59">
            <v>3</v>
          </cell>
          <cell r="V59">
            <v>0</v>
          </cell>
          <cell r="W59">
            <v>200</v>
          </cell>
          <cell r="X59">
            <v>0.5</v>
          </cell>
          <cell r="Y59">
            <v>0</v>
          </cell>
          <cell r="Z59">
            <v>32</v>
          </cell>
          <cell r="AA59">
            <v>0</v>
          </cell>
          <cell r="AR59">
            <v>10.75</v>
          </cell>
        </row>
        <row r="60">
          <cell r="B60" t="str">
            <v>03781</v>
          </cell>
          <cell r="C60" t="str">
            <v>Huỳnh Trọng Kha</v>
          </cell>
          <cell r="D60" t="str">
            <v>Foaming</v>
          </cell>
          <cell r="E60" t="str">
            <v>FOAMING Production control</v>
          </cell>
          <cell r="F60" t="str">
            <v>Associate Engineer</v>
          </cell>
          <cell r="G60">
            <v>44993</v>
          </cell>
          <cell r="H60">
            <v>208</v>
          </cell>
          <cell r="I60">
            <v>0</v>
          </cell>
          <cell r="J60">
            <v>0</v>
          </cell>
          <cell r="K60">
            <v>216</v>
          </cell>
          <cell r="L60">
            <v>0</v>
          </cell>
          <cell r="M60">
            <v>0</v>
          </cell>
          <cell r="N60">
            <v>192</v>
          </cell>
          <cell r="O60">
            <v>0</v>
          </cell>
          <cell r="P60">
            <v>0</v>
          </cell>
          <cell r="Q60">
            <v>216</v>
          </cell>
          <cell r="R60">
            <v>0</v>
          </cell>
          <cell r="S60">
            <v>0</v>
          </cell>
          <cell r="T60">
            <v>200</v>
          </cell>
          <cell r="U60">
            <v>0</v>
          </cell>
          <cell r="V60">
            <v>0</v>
          </cell>
          <cell r="W60">
            <v>208</v>
          </cell>
          <cell r="X60">
            <v>0</v>
          </cell>
          <cell r="Y60">
            <v>0</v>
          </cell>
          <cell r="Z60">
            <v>32</v>
          </cell>
          <cell r="AA60">
            <v>0</v>
          </cell>
          <cell r="AR60">
            <v>0</v>
          </cell>
        </row>
        <row r="61">
          <cell r="B61" t="str">
            <v>03783</v>
          </cell>
          <cell r="C61" t="str">
            <v>Hồ Văn Tuốt</v>
          </cell>
          <cell r="D61" t="str">
            <v>Foaming</v>
          </cell>
          <cell r="E61" t="str">
            <v>FOAMING Rectangular</v>
          </cell>
          <cell r="F61" t="str">
            <v>Team Leader</v>
          </cell>
          <cell r="G61">
            <v>44993</v>
          </cell>
          <cell r="H61">
            <v>208</v>
          </cell>
          <cell r="I61">
            <v>56</v>
          </cell>
          <cell r="J61">
            <v>1</v>
          </cell>
          <cell r="K61">
            <v>200</v>
          </cell>
          <cell r="L61">
            <v>44</v>
          </cell>
          <cell r="M61">
            <v>1</v>
          </cell>
          <cell r="N61">
            <v>192</v>
          </cell>
          <cell r="O61">
            <v>115</v>
          </cell>
          <cell r="P61">
            <v>1</v>
          </cell>
          <cell r="Q61">
            <v>208</v>
          </cell>
          <cell r="R61">
            <v>14</v>
          </cell>
          <cell r="S61">
            <v>0</v>
          </cell>
          <cell r="T61">
            <v>208</v>
          </cell>
          <cell r="U61">
            <v>4</v>
          </cell>
          <cell r="V61">
            <v>0</v>
          </cell>
          <cell r="W61">
            <v>208</v>
          </cell>
          <cell r="X61">
            <v>2.5</v>
          </cell>
          <cell r="Y61">
            <v>0</v>
          </cell>
          <cell r="Z61">
            <v>32</v>
          </cell>
          <cell r="AA61">
            <v>8</v>
          </cell>
          <cell r="AR61">
            <v>243.5</v>
          </cell>
        </row>
        <row r="62">
          <cell r="B62" t="str">
            <v>03907</v>
          </cell>
          <cell r="C62" t="str">
            <v>Nguyễn Thị Thanh Tâm</v>
          </cell>
          <cell r="D62" t="str">
            <v>Foaming</v>
          </cell>
          <cell r="E62" t="str">
            <v>FOAMING Production control</v>
          </cell>
          <cell r="F62" t="str">
            <v>Staff</v>
          </cell>
          <cell r="G62">
            <v>45138</v>
          </cell>
          <cell r="H62">
            <v>208</v>
          </cell>
          <cell r="I62">
            <v>2.5</v>
          </cell>
          <cell r="J62">
            <v>0</v>
          </cell>
          <cell r="K62">
            <v>216</v>
          </cell>
          <cell r="L62">
            <v>1</v>
          </cell>
          <cell r="M62">
            <v>0</v>
          </cell>
          <cell r="N62">
            <v>192</v>
          </cell>
          <cell r="O62">
            <v>0</v>
          </cell>
          <cell r="P62">
            <v>0</v>
          </cell>
          <cell r="Q62">
            <v>200</v>
          </cell>
          <cell r="R62">
            <v>0</v>
          </cell>
          <cell r="S62">
            <v>0</v>
          </cell>
          <cell r="T62">
            <v>152</v>
          </cell>
          <cell r="U62">
            <v>0</v>
          </cell>
          <cell r="V62">
            <v>0</v>
          </cell>
          <cell r="W62">
            <v>0</v>
          </cell>
          <cell r="X62">
            <v>0</v>
          </cell>
          <cell r="Y62">
            <v>0</v>
          </cell>
          <cell r="AR62">
            <v>3.5</v>
          </cell>
        </row>
        <row r="63">
          <cell r="B63" t="str">
            <v>04004</v>
          </cell>
          <cell r="C63" t="str">
            <v>Nguyễn Văn Sự</v>
          </cell>
          <cell r="D63" t="str">
            <v>Foaming</v>
          </cell>
          <cell r="E63" t="str">
            <v>FOAMING Rectangular</v>
          </cell>
          <cell r="F63" t="str">
            <v>Worker</v>
          </cell>
          <cell r="G63">
            <v>45225</v>
          </cell>
          <cell r="H63">
            <v>208</v>
          </cell>
          <cell r="I63">
            <v>91</v>
          </cell>
          <cell r="J63">
            <v>1</v>
          </cell>
          <cell r="K63">
            <v>216</v>
          </cell>
          <cell r="L63">
            <v>53</v>
          </cell>
          <cell r="M63">
            <v>1</v>
          </cell>
          <cell r="N63">
            <v>192</v>
          </cell>
          <cell r="O63">
            <v>112</v>
          </cell>
          <cell r="P63">
            <v>1</v>
          </cell>
          <cell r="Q63">
            <v>216</v>
          </cell>
          <cell r="R63">
            <v>38</v>
          </cell>
          <cell r="S63">
            <v>0</v>
          </cell>
          <cell r="T63">
            <v>200</v>
          </cell>
          <cell r="U63">
            <v>0</v>
          </cell>
          <cell r="V63">
            <v>0</v>
          </cell>
          <cell r="W63">
            <v>196</v>
          </cell>
          <cell r="X63">
            <v>0</v>
          </cell>
          <cell r="Y63">
            <v>0</v>
          </cell>
          <cell r="Z63">
            <v>32</v>
          </cell>
          <cell r="AA63">
            <v>0</v>
          </cell>
          <cell r="AR63">
            <v>294</v>
          </cell>
        </row>
        <row r="64">
          <cell r="B64" t="str">
            <v>04044</v>
          </cell>
          <cell r="C64" t="str">
            <v>Lý Tuyết Mịnh</v>
          </cell>
          <cell r="D64" t="str">
            <v>Foaming</v>
          </cell>
          <cell r="E64" t="str">
            <v>FOAMING Splitting</v>
          </cell>
          <cell r="F64" t="str">
            <v>Worker</v>
          </cell>
          <cell r="G64">
            <v>45358</v>
          </cell>
          <cell r="H64">
            <v>208</v>
          </cell>
          <cell r="I64">
            <v>80</v>
          </cell>
          <cell r="J64">
            <v>1</v>
          </cell>
          <cell r="K64">
            <v>216</v>
          </cell>
          <cell r="L64">
            <v>54</v>
          </cell>
          <cell r="M64">
            <v>1</v>
          </cell>
          <cell r="N64">
            <v>192</v>
          </cell>
          <cell r="O64">
            <v>126</v>
          </cell>
          <cell r="P64">
            <v>1</v>
          </cell>
          <cell r="Q64">
            <v>216</v>
          </cell>
          <cell r="R64">
            <v>31</v>
          </cell>
          <cell r="S64">
            <v>0</v>
          </cell>
          <cell r="T64">
            <v>200</v>
          </cell>
          <cell r="U64">
            <v>0</v>
          </cell>
          <cell r="V64">
            <v>0</v>
          </cell>
          <cell r="W64">
            <v>180</v>
          </cell>
          <cell r="X64">
            <v>0</v>
          </cell>
          <cell r="Y64">
            <v>0</v>
          </cell>
          <cell r="Z64">
            <v>32</v>
          </cell>
          <cell r="AA64">
            <v>0</v>
          </cell>
          <cell r="AR64">
            <v>291</v>
          </cell>
        </row>
        <row r="65">
          <cell r="B65" t="str">
            <v>04046</v>
          </cell>
          <cell r="C65" t="str">
            <v>Lê Đoàn Vũ</v>
          </cell>
          <cell r="D65" t="str">
            <v>Foaming</v>
          </cell>
          <cell r="E65" t="str">
            <v>FOAMING Splitting</v>
          </cell>
          <cell r="F65" t="str">
            <v>Worker</v>
          </cell>
          <cell r="G65">
            <v>45358</v>
          </cell>
          <cell r="H65">
            <v>208</v>
          </cell>
          <cell r="I65">
            <v>85</v>
          </cell>
          <cell r="J65">
            <v>1</v>
          </cell>
          <cell r="K65">
            <v>216</v>
          </cell>
          <cell r="L65">
            <v>52</v>
          </cell>
          <cell r="M65">
            <v>1</v>
          </cell>
          <cell r="N65">
            <v>192</v>
          </cell>
          <cell r="O65">
            <v>127</v>
          </cell>
          <cell r="P65">
            <v>1</v>
          </cell>
          <cell r="Q65">
            <v>208</v>
          </cell>
          <cell r="R65">
            <v>36</v>
          </cell>
          <cell r="S65">
            <v>0</v>
          </cell>
          <cell r="T65">
            <v>208</v>
          </cell>
          <cell r="U65">
            <v>0</v>
          </cell>
          <cell r="V65">
            <v>0</v>
          </cell>
          <cell r="W65">
            <v>216</v>
          </cell>
          <cell r="X65">
            <v>0.5</v>
          </cell>
          <cell r="Y65">
            <v>0</v>
          </cell>
          <cell r="Z65">
            <v>32</v>
          </cell>
          <cell r="AA65">
            <v>0</v>
          </cell>
          <cell r="AR65">
            <v>300.5</v>
          </cell>
        </row>
        <row r="66">
          <cell r="B66" t="str">
            <v>04047</v>
          </cell>
          <cell r="C66" t="str">
            <v>Danh Tấn Đức</v>
          </cell>
          <cell r="D66" t="str">
            <v>Foaming</v>
          </cell>
          <cell r="E66" t="str">
            <v>FOAMING Splitting</v>
          </cell>
          <cell r="F66" t="str">
            <v>Worker</v>
          </cell>
          <cell r="G66">
            <v>45358</v>
          </cell>
          <cell r="H66">
            <v>208</v>
          </cell>
          <cell r="I66">
            <v>80</v>
          </cell>
          <cell r="J66">
            <v>1</v>
          </cell>
          <cell r="K66">
            <v>216</v>
          </cell>
          <cell r="L66">
            <v>54</v>
          </cell>
          <cell r="M66">
            <v>1</v>
          </cell>
          <cell r="N66">
            <v>192</v>
          </cell>
          <cell r="O66">
            <v>132</v>
          </cell>
          <cell r="P66">
            <v>1</v>
          </cell>
          <cell r="Q66">
            <v>216</v>
          </cell>
          <cell r="R66">
            <v>34</v>
          </cell>
          <cell r="S66">
            <v>0</v>
          </cell>
          <cell r="T66">
            <v>208</v>
          </cell>
          <cell r="U66">
            <v>0</v>
          </cell>
          <cell r="V66">
            <v>0</v>
          </cell>
          <cell r="W66">
            <v>208</v>
          </cell>
          <cell r="Y66">
            <v>0</v>
          </cell>
          <cell r="Z66">
            <v>32</v>
          </cell>
          <cell r="AA66">
            <v>0</v>
          </cell>
          <cell r="AR66">
            <v>300</v>
          </cell>
        </row>
        <row r="67">
          <cell r="B67" t="str">
            <v>04064</v>
          </cell>
          <cell r="C67" t="str">
            <v>Huỳnh Minh An</v>
          </cell>
          <cell r="D67" t="str">
            <v>Foaming</v>
          </cell>
          <cell r="E67" t="str">
            <v>FOAMING Rectangular</v>
          </cell>
          <cell r="F67" t="str">
            <v>Operator</v>
          </cell>
          <cell r="G67">
            <v>45372</v>
          </cell>
          <cell r="H67">
            <v>192</v>
          </cell>
          <cell r="I67">
            <v>88</v>
          </cell>
          <cell r="J67">
            <v>1</v>
          </cell>
          <cell r="K67">
            <v>200</v>
          </cell>
          <cell r="L67">
            <v>50</v>
          </cell>
          <cell r="M67">
            <v>1</v>
          </cell>
          <cell r="N67">
            <v>168</v>
          </cell>
          <cell r="O67">
            <v>104</v>
          </cell>
          <cell r="P67">
            <v>1</v>
          </cell>
          <cell r="Q67">
            <v>208</v>
          </cell>
          <cell r="R67">
            <v>24</v>
          </cell>
          <cell r="S67">
            <v>0</v>
          </cell>
          <cell r="T67">
            <v>184</v>
          </cell>
          <cell r="U67">
            <v>20</v>
          </cell>
          <cell r="V67">
            <v>0</v>
          </cell>
          <cell r="W67">
            <v>208</v>
          </cell>
          <cell r="X67">
            <v>13.5</v>
          </cell>
          <cell r="Y67">
            <v>0</v>
          </cell>
          <cell r="Z67">
            <v>24</v>
          </cell>
          <cell r="AA67">
            <v>0</v>
          </cell>
          <cell r="AR67">
            <v>299.5</v>
          </cell>
        </row>
        <row r="68">
          <cell r="B68" t="str">
            <v>04066</v>
          </cell>
          <cell r="C68" t="str">
            <v>Trần Thanh Hùng Em</v>
          </cell>
          <cell r="D68" t="str">
            <v>Foaming</v>
          </cell>
          <cell r="E68" t="str">
            <v>FOAMING Rectangular</v>
          </cell>
          <cell r="F68" t="str">
            <v>Worker</v>
          </cell>
          <cell r="G68">
            <v>45372</v>
          </cell>
          <cell r="H68">
            <v>208</v>
          </cell>
          <cell r="I68">
            <v>82</v>
          </cell>
          <cell r="J68">
            <v>1</v>
          </cell>
          <cell r="K68">
            <v>216</v>
          </cell>
          <cell r="L68">
            <v>50</v>
          </cell>
          <cell r="M68">
            <v>1</v>
          </cell>
          <cell r="N68">
            <v>192</v>
          </cell>
          <cell r="O68">
            <v>120</v>
          </cell>
          <cell r="P68">
            <v>1</v>
          </cell>
          <cell r="Q68">
            <v>216</v>
          </cell>
          <cell r="R68">
            <v>23</v>
          </cell>
          <cell r="S68">
            <v>0</v>
          </cell>
          <cell r="T68">
            <v>208</v>
          </cell>
          <cell r="U68">
            <v>4</v>
          </cell>
          <cell r="V68">
            <v>0</v>
          </cell>
          <cell r="W68">
            <v>208</v>
          </cell>
          <cell r="X68">
            <v>0</v>
          </cell>
          <cell r="Y68">
            <v>0</v>
          </cell>
          <cell r="Z68">
            <v>24</v>
          </cell>
          <cell r="AA68">
            <v>0</v>
          </cell>
          <cell r="AR68">
            <v>279</v>
          </cell>
        </row>
        <row r="69">
          <cell r="B69" t="str">
            <v>04067</v>
          </cell>
          <cell r="C69" t="str">
            <v>Phạm Văn Sang</v>
          </cell>
          <cell r="D69" t="str">
            <v>Foaming</v>
          </cell>
          <cell r="E69" t="str">
            <v>FOAMING Rectangular</v>
          </cell>
          <cell r="F69" t="str">
            <v>Worker</v>
          </cell>
          <cell r="G69">
            <v>45372</v>
          </cell>
          <cell r="H69">
            <v>208</v>
          </cell>
          <cell r="I69">
            <v>95</v>
          </cell>
          <cell r="J69">
            <v>1</v>
          </cell>
          <cell r="K69">
            <v>216</v>
          </cell>
          <cell r="L69">
            <v>60</v>
          </cell>
          <cell r="M69">
            <v>1</v>
          </cell>
          <cell r="N69">
            <v>192</v>
          </cell>
          <cell r="O69">
            <v>124</v>
          </cell>
          <cell r="P69">
            <v>1</v>
          </cell>
          <cell r="Q69">
            <v>216</v>
          </cell>
          <cell r="R69">
            <v>32</v>
          </cell>
          <cell r="S69">
            <v>0</v>
          </cell>
          <cell r="T69">
            <v>192</v>
          </cell>
          <cell r="U69">
            <v>0</v>
          </cell>
          <cell r="V69">
            <v>0</v>
          </cell>
          <cell r="W69">
            <v>200</v>
          </cell>
          <cell r="X69">
            <v>1</v>
          </cell>
          <cell r="Y69">
            <v>0</v>
          </cell>
          <cell r="Z69">
            <v>32</v>
          </cell>
          <cell r="AA69">
            <v>0</v>
          </cell>
          <cell r="AR69">
            <v>312</v>
          </cell>
        </row>
        <row r="70">
          <cell r="B70" t="str">
            <v>04079</v>
          </cell>
          <cell r="C70" t="str">
            <v>Huỳnh Văn Mãi</v>
          </cell>
          <cell r="D70" t="str">
            <v>Foaming</v>
          </cell>
          <cell r="E70" t="str">
            <v>FOAMING Splitting</v>
          </cell>
          <cell r="F70" t="str">
            <v>Worker</v>
          </cell>
          <cell r="G70">
            <v>45377</v>
          </cell>
          <cell r="H70">
            <v>208</v>
          </cell>
          <cell r="I70">
            <v>82</v>
          </cell>
          <cell r="J70">
            <v>1</v>
          </cell>
          <cell r="K70">
            <v>216</v>
          </cell>
          <cell r="L70">
            <v>52</v>
          </cell>
          <cell r="M70">
            <v>1</v>
          </cell>
          <cell r="N70">
            <v>192</v>
          </cell>
          <cell r="O70">
            <v>118</v>
          </cell>
          <cell r="P70">
            <v>1</v>
          </cell>
          <cell r="Q70">
            <v>216</v>
          </cell>
          <cell r="R70">
            <v>29</v>
          </cell>
          <cell r="S70">
            <v>0</v>
          </cell>
          <cell r="T70">
            <v>196</v>
          </cell>
          <cell r="U70">
            <v>8</v>
          </cell>
          <cell r="V70">
            <v>0</v>
          </cell>
          <cell r="W70">
            <v>200</v>
          </cell>
          <cell r="X70">
            <v>10</v>
          </cell>
          <cell r="Y70">
            <v>0</v>
          </cell>
          <cell r="Z70">
            <v>8</v>
          </cell>
          <cell r="AA70">
            <v>0</v>
          </cell>
          <cell r="AR70">
            <v>299</v>
          </cell>
        </row>
        <row r="71">
          <cell r="B71" t="str">
            <v>04080</v>
          </cell>
          <cell r="C71" t="str">
            <v>Nguyễn Văn Thủy</v>
          </cell>
          <cell r="D71" t="str">
            <v>Foaming</v>
          </cell>
          <cell r="E71" t="str">
            <v>FOAMING Splitting</v>
          </cell>
          <cell r="F71" t="str">
            <v>Worker</v>
          </cell>
          <cell r="G71">
            <v>45377</v>
          </cell>
          <cell r="H71">
            <v>208</v>
          </cell>
          <cell r="I71">
            <v>84</v>
          </cell>
          <cell r="J71">
            <v>1</v>
          </cell>
          <cell r="K71">
            <v>208</v>
          </cell>
          <cell r="L71">
            <v>46</v>
          </cell>
          <cell r="M71">
            <v>1</v>
          </cell>
          <cell r="N71">
            <v>188</v>
          </cell>
          <cell r="O71">
            <v>119</v>
          </cell>
          <cell r="P71">
            <v>1</v>
          </cell>
          <cell r="Q71">
            <v>208</v>
          </cell>
          <cell r="R71">
            <v>36</v>
          </cell>
          <cell r="S71">
            <v>0</v>
          </cell>
          <cell r="T71">
            <v>200</v>
          </cell>
          <cell r="U71">
            <v>0</v>
          </cell>
          <cell r="V71">
            <v>0</v>
          </cell>
          <cell r="W71">
            <v>208</v>
          </cell>
          <cell r="X71">
            <v>7</v>
          </cell>
          <cell r="Y71">
            <v>0</v>
          </cell>
          <cell r="Z71">
            <v>32</v>
          </cell>
          <cell r="AA71">
            <v>4</v>
          </cell>
          <cell r="AR71">
            <v>296</v>
          </cell>
        </row>
        <row r="72">
          <cell r="B72" t="str">
            <v>50004</v>
          </cell>
          <cell r="C72" t="str">
            <v>Lê Phúc Sang</v>
          </cell>
          <cell r="D72" t="str">
            <v>Foaming</v>
          </cell>
          <cell r="E72" t="str">
            <v>FOAMING Production control</v>
          </cell>
          <cell r="F72" t="str">
            <v>Supervisor</v>
          </cell>
          <cell r="G72">
            <v>43672</v>
          </cell>
          <cell r="H72">
            <v>208</v>
          </cell>
          <cell r="I72">
            <v>0</v>
          </cell>
          <cell r="J72">
            <v>0</v>
          </cell>
          <cell r="K72">
            <v>216</v>
          </cell>
          <cell r="L72">
            <v>0</v>
          </cell>
          <cell r="M72">
            <v>0</v>
          </cell>
          <cell r="N72">
            <v>192</v>
          </cell>
          <cell r="O72">
            <v>0</v>
          </cell>
          <cell r="P72">
            <v>0</v>
          </cell>
          <cell r="Q72">
            <v>176</v>
          </cell>
          <cell r="R72">
            <v>0</v>
          </cell>
          <cell r="S72">
            <v>0</v>
          </cell>
          <cell r="T72">
            <v>200</v>
          </cell>
          <cell r="U72">
            <v>0</v>
          </cell>
          <cell r="V72">
            <v>0</v>
          </cell>
          <cell r="W72">
            <v>216</v>
          </cell>
          <cell r="X72">
            <v>0</v>
          </cell>
          <cell r="Y72">
            <v>0</v>
          </cell>
          <cell r="Z72">
            <v>32</v>
          </cell>
          <cell r="AA72">
            <v>0</v>
          </cell>
          <cell r="AR72">
            <v>0</v>
          </cell>
        </row>
        <row r="73">
          <cell r="B73" t="str">
            <v>04112</v>
          </cell>
          <cell r="C73" t="str">
            <v>Trần Thành Đại</v>
          </cell>
          <cell r="D73" t="str">
            <v>Foaming</v>
          </cell>
          <cell r="E73" t="str">
            <v>FOAMING Splitting</v>
          </cell>
          <cell r="F73" t="str">
            <v>Worker</v>
          </cell>
          <cell r="G73">
            <v>45453</v>
          </cell>
          <cell r="H73">
            <v>208</v>
          </cell>
          <cell r="I73">
            <v>82</v>
          </cell>
          <cell r="J73">
            <v>1</v>
          </cell>
          <cell r="K73">
            <v>216</v>
          </cell>
          <cell r="L73">
            <v>50</v>
          </cell>
          <cell r="M73">
            <v>1</v>
          </cell>
          <cell r="N73">
            <v>192</v>
          </cell>
          <cell r="O73">
            <v>126</v>
          </cell>
          <cell r="P73">
            <v>1</v>
          </cell>
          <cell r="Q73">
            <v>208</v>
          </cell>
          <cell r="R73">
            <v>36</v>
          </cell>
          <cell r="S73">
            <v>0</v>
          </cell>
          <cell r="T73">
            <v>208</v>
          </cell>
          <cell r="U73">
            <v>0</v>
          </cell>
          <cell r="V73">
            <v>0</v>
          </cell>
          <cell r="W73">
            <v>216</v>
          </cell>
          <cell r="X73">
            <v>4</v>
          </cell>
          <cell r="Y73">
            <v>0</v>
          </cell>
          <cell r="Z73">
            <v>32</v>
          </cell>
          <cell r="AA73">
            <v>0</v>
          </cell>
          <cell r="AR73">
            <v>298</v>
          </cell>
        </row>
        <row r="74">
          <cell r="B74" t="str">
            <v>04127</v>
          </cell>
          <cell r="C74" t="str">
            <v>Dương Vĩnh Lâm</v>
          </cell>
          <cell r="D74" t="str">
            <v>Foaming</v>
          </cell>
          <cell r="E74" t="str">
            <v>FOAMING Splitting</v>
          </cell>
          <cell r="F74" t="str">
            <v>Supervisor</v>
          </cell>
          <cell r="G74">
            <v>45481</v>
          </cell>
          <cell r="H74">
            <v>208</v>
          </cell>
          <cell r="I74">
            <v>29.75</v>
          </cell>
          <cell r="J74">
            <v>0</v>
          </cell>
          <cell r="K74">
            <v>216</v>
          </cell>
          <cell r="L74">
            <v>23.25</v>
          </cell>
          <cell r="M74">
            <v>0</v>
          </cell>
          <cell r="N74">
            <v>192</v>
          </cell>
          <cell r="O74">
            <v>71.5</v>
          </cell>
          <cell r="P74">
            <v>1</v>
          </cell>
          <cell r="Q74">
            <v>216</v>
          </cell>
          <cell r="R74">
            <v>7.5</v>
          </cell>
          <cell r="S74">
            <v>0</v>
          </cell>
          <cell r="T74">
            <v>208</v>
          </cell>
          <cell r="U74">
            <v>0</v>
          </cell>
          <cell r="V74">
            <v>0</v>
          </cell>
          <cell r="W74">
            <v>207.9</v>
          </cell>
          <cell r="X74">
            <v>8</v>
          </cell>
          <cell r="Y74">
            <v>0</v>
          </cell>
          <cell r="Z74">
            <v>24</v>
          </cell>
          <cell r="AA74">
            <v>1</v>
          </cell>
          <cell r="AR74">
            <v>141</v>
          </cell>
        </row>
        <row r="75">
          <cell r="B75" t="str">
            <v>04151</v>
          </cell>
          <cell r="C75" t="str">
            <v>Đặng Đông Tình</v>
          </cell>
          <cell r="D75" t="str">
            <v>Foaming</v>
          </cell>
          <cell r="E75" t="str">
            <v>FOAMING Splitting</v>
          </cell>
          <cell r="F75" t="str">
            <v>Worker</v>
          </cell>
          <cell r="G75">
            <v>45519</v>
          </cell>
          <cell r="H75">
            <v>208</v>
          </cell>
          <cell r="I75">
            <v>80</v>
          </cell>
          <cell r="J75">
            <v>1</v>
          </cell>
          <cell r="K75">
            <v>216</v>
          </cell>
          <cell r="L75">
            <v>54</v>
          </cell>
          <cell r="M75">
            <v>1</v>
          </cell>
          <cell r="N75">
            <v>192</v>
          </cell>
          <cell r="O75">
            <v>128</v>
          </cell>
          <cell r="P75">
            <v>1</v>
          </cell>
          <cell r="Q75">
            <v>216</v>
          </cell>
          <cell r="R75">
            <v>36</v>
          </cell>
          <cell r="S75">
            <v>0</v>
          </cell>
          <cell r="T75">
            <v>208</v>
          </cell>
          <cell r="U75">
            <v>0</v>
          </cell>
          <cell r="V75">
            <v>0</v>
          </cell>
          <cell r="W75">
            <v>216</v>
          </cell>
          <cell r="X75">
            <v>0</v>
          </cell>
          <cell r="Y75">
            <v>0</v>
          </cell>
          <cell r="Z75">
            <v>32</v>
          </cell>
          <cell r="AA75">
            <v>0</v>
          </cell>
          <cell r="AR75">
            <v>298</v>
          </cell>
        </row>
        <row r="76">
          <cell r="B76" t="str">
            <v>04152</v>
          </cell>
          <cell r="C76" t="str">
            <v>Nguyễn Hà Sang</v>
          </cell>
          <cell r="D76" t="str">
            <v>Foaming</v>
          </cell>
          <cell r="E76" t="str">
            <v>FOAMING Splitting</v>
          </cell>
          <cell r="F76" t="str">
            <v>Worker</v>
          </cell>
          <cell r="G76">
            <v>45519</v>
          </cell>
          <cell r="H76">
            <v>208</v>
          </cell>
          <cell r="I76">
            <v>80</v>
          </cell>
          <cell r="J76">
            <v>1</v>
          </cell>
          <cell r="K76">
            <v>216</v>
          </cell>
          <cell r="L76">
            <v>52</v>
          </cell>
          <cell r="M76">
            <v>1</v>
          </cell>
          <cell r="N76">
            <v>192</v>
          </cell>
          <cell r="O76">
            <v>128</v>
          </cell>
          <cell r="P76">
            <v>1</v>
          </cell>
          <cell r="Q76">
            <v>216</v>
          </cell>
          <cell r="R76">
            <v>36</v>
          </cell>
          <cell r="S76">
            <v>0</v>
          </cell>
          <cell r="T76">
            <v>208</v>
          </cell>
          <cell r="U76">
            <v>0</v>
          </cell>
          <cell r="V76">
            <v>0</v>
          </cell>
          <cell r="W76">
            <v>188</v>
          </cell>
          <cell r="X76">
            <v>1.5</v>
          </cell>
          <cell r="Y76">
            <v>0</v>
          </cell>
          <cell r="Z76">
            <v>32</v>
          </cell>
          <cell r="AA76">
            <v>0</v>
          </cell>
          <cell r="AR76">
            <v>297.5</v>
          </cell>
        </row>
        <row r="77">
          <cell r="B77" t="str">
            <v>04195</v>
          </cell>
          <cell r="C77" t="str">
            <v>Lê Văn Tươi</v>
          </cell>
          <cell r="D77" t="str">
            <v>Foaming</v>
          </cell>
          <cell r="E77" t="str">
            <v>FOAMING Rectangular</v>
          </cell>
          <cell r="F77" t="str">
            <v>Worker</v>
          </cell>
          <cell r="G77">
            <v>45554</v>
          </cell>
          <cell r="H77">
            <v>208</v>
          </cell>
          <cell r="I77">
            <v>100</v>
          </cell>
          <cell r="J77">
            <v>1</v>
          </cell>
          <cell r="K77">
            <v>208</v>
          </cell>
          <cell r="L77">
            <v>48</v>
          </cell>
          <cell r="M77">
            <v>1</v>
          </cell>
          <cell r="N77">
            <v>192</v>
          </cell>
          <cell r="O77">
            <v>110</v>
          </cell>
          <cell r="P77">
            <v>1</v>
          </cell>
          <cell r="Q77">
            <v>179.05</v>
          </cell>
          <cell r="R77">
            <v>12</v>
          </cell>
          <cell r="S77">
            <v>0</v>
          </cell>
          <cell r="T77">
            <v>192</v>
          </cell>
          <cell r="U77">
            <v>0</v>
          </cell>
          <cell r="V77">
            <v>0</v>
          </cell>
          <cell r="W77">
            <v>188</v>
          </cell>
          <cell r="X77">
            <v>20</v>
          </cell>
          <cell r="Y77">
            <v>0</v>
          </cell>
          <cell r="Z77">
            <v>24</v>
          </cell>
          <cell r="AA77">
            <v>0</v>
          </cell>
          <cell r="AR77">
            <v>290</v>
          </cell>
        </row>
        <row r="78">
          <cell r="B78" t="str">
            <v>04237</v>
          </cell>
          <cell r="C78" t="str">
            <v xml:space="preserve">Phan Kiều Diễm </v>
          </cell>
          <cell r="D78" t="str">
            <v>Foaming</v>
          </cell>
          <cell r="E78" t="str">
            <v>FOAMING Production control</v>
          </cell>
          <cell r="F78" t="str">
            <v>Staff</v>
          </cell>
          <cell r="G78">
            <v>45561</v>
          </cell>
          <cell r="H78">
            <v>208</v>
          </cell>
          <cell r="I78">
            <v>7</v>
          </cell>
          <cell r="J78">
            <v>0</v>
          </cell>
          <cell r="K78">
            <v>216</v>
          </cell>
          <cell r="L78">
            <v>0.5</v>
          </cell>
          <cell r="M78">
            <v>0</v>
          </cell>
          <cell r="N78">
            <v>192</v>
          </cell>
          <cell r="O78">
            <v>6.25</v>
          </cell>
          <cell r="P78">
            <v>0</v>
          </cell>
          <cell r="Q78">
            <v>216</v>
          </cell>
          <cell r="R78">
            <v>3</v>
          </cell>
          <cell r="S78">
            <v>0</v>
          </cell>
          <cell r="T78">
            <v>200</v>
          </cell>
          <cell r="U78">
            <v>2.5</v>
          </cell>
          <cell r="V78">
            <v>0</v>
          </cell>
          <cell r="W78">
            <v>192</v>
          </cell>
          <cell r="X78">
            <v>5</v>
          </cell>
          <cell r="Y78">
            <v>0</v>
          </cell>
          <cell r="AR78">
            <v>24.25</v>
          </cell>
        </row>
        <row r="79">
          <cell r="B79" t="str">
            <v>04240</v>
          </cell>
          <cell r="C79" t="str">
            <v>Trầm Công Lý</v>
          </cell>
          <cell r="D79" t="str">
            <v>Foaming</v>
          </cell>
          <cell r="E79" t="str">
            <v>FOAMING Production control</v>
          </cell>
          <cell r="F79" t="str">
            <v>Junior Technician</v>
          </cell>
          <cell r="G79">
            <v>45565</v>
          </cell>
          <cell r="H79">
            <v>208</v>
          </cell>
          <cell r="I79">
            <v>8</v>
          </cell>
          <cell r="J79">
            <v>0</v>
          </cell>
          <cell r="K79">
            <v>216</v>
          </cell>
          <cell r="L79">
            <v>4</v>
          </cell>
          <cell r="M79">
            <v>0</v>
          </cell>
          <cell r="N79">
            <v>192</v>
          </cell>
          <cell r="O79">
            <v>5</v>
          </cell>
          <cell r="P79">
            <v>0</v>
          </cell>
          <cell r="Q79">
            <v>212</v>
          </cell>
          <cell r="R79">
            <v>0</v>
          </cell>
          <cell r="S79">
            <v>0</v>
          </cell>
          <cell r="T79">
            <v>180</v>
          </cell>
          <cell r="U79">
            <v>1</v>
          </cell>
          <cell r="V79">
            <v>0</v>
          </cell>
          <cell r="W79">
            <v>216</v>
          </cell>
          <cell r="X79">
            <v>0</v>
          </cell>
          <cell r="Y79">
            <v>0</v>
          </cell>
          <cell r="Z79">
            <v>32</v>
          </cell>
          <cell r="AA79">
            <v>0</v>
          </cell>
          <cell r="AR79">
            <v>18</v>
          </cell>
        </row>
        <row r="80">
          <cell r="B80" t="str">
            <v>04283</v>
          </cell>
          <cell r="C80" t="str">
            <v>Lê Trung Lil</v>
          </cell>
          <cell r="D80" t="str">
            <v>Foaming</v>
          </cell>
          <cell r="E80" t="str">
            <v>FOAMING Splitting</v>
          </cell>
          <cell r="F80" t="str">
            <v>Worker</v>
          </cell>
          <cell r="G80">
            <v>45580</v>
          </cell>
          <cell r="H80">
            <v>208</v>
          </cell>
          <cell r="I80">
            <v>82</v>
          </cell>
          <cell r="J80">
            <v>1</v>
          </cell>
          <cell r="K80">
            <v>200</v>
          </cell>
          <cell r="L80">
            <v>43</v>
          </cell>
          <cell r="M80">
            <v>1</v>
          </cell>
          <cell r="N80">
            <v>192</v>
          </cell>
          <cell r="O80">
            <v>117</v>
          </cell>
          <cell r="P80">
            <v>1</v>
          </cell>
          <cell r="Q80">
            <v>208</v>
          </cell>
          <cell r="R80">
            <v>36</v>
          </cell>
          <cell r="S80">
            <v>0</v>
          </cell>
          <cell r="T80">
            <v>184</v>
          </cell>
          <cell r="U80">
            <v>0</v>
          </cell>
          <cell r="V80">
            <v>0</v>
          </cell>
          <cell r="W80">
            <v>216</v>
          </cell>
          <cell r="X80">
            <v>0</v>
          </cell>
          <cell r="Y80">
            <v>0</v>
          </cell>
          <cell r="Z80">
            <v>32</v>
          </cell>
          <cell r="AA80">
            <v>0</v>
          </cell>
          <cell r="AR80">
            <v>278</v>
          </cell>
        </row>
        <row r="81">
          <cell r="B81" t="str">
            <v>04313</v>
          </cell>
          <cell r="C81" t="str">
            <v>Nguyễn Hồng Thuận</v>
          </cell>
          <cell r="D81" t="str">
            <v>Foaming</v>
          </cell>
          <cell r="E81" t="str">
            <v>FOAMING Rectangular</v>
          </cell>
          <cell r="F81" t="str">
            <v>Worker</v>
          </cell>
          <cell r="G81">
            <v>45586</v>
          </cell>
          <cell r="H81">
            <v>204</v>
          </cell>
          <cell r="I81">
            <v>80</v>
          </cell>
          <cell r="J81">
            <v>1</v>
          </cell>
          <cell r="K81">
            <v>216</v>
          </cell>
          <cell r="L81">
            <v>64</v>
          </cell>
          <cell r="M81">
            <v>1</v>
          </cell>
          <cell r="N81">
            <v>192</v>
          </cell>
          <cell r="O81">
            <v>100</v>
          </cell>
          <cell r="P81">
            <v>1</v>
          </cell>
          <cell r="Q81">
            <v>200</v>
          </cell>
          <cell r="R81">
            <v>20</v>
          </cell>
          <cell r="S81">
            <v>0</v>
          </cell>
          <cell r="T81">
            <v>200</v>
          </cell>
          <cell r="U81">
            <v>16</v>
          </cell>
          <cell r="V81">
            <v>0</v>
          </cell>
          <cell r="W81">
            <v>176</v>
          </cell>
          <cell r="X81">
            <v>12</v>
          </cell>
          <cell r="Y81">
            <v>0</v>
          </cell>
          <cell r="Z81">
            <v>32</v>
          </cell>
          <cell r="AA81">
            <v>0</v>
          </cell>
          <cell r="AR81">
            <v>292</v>
          </cell>
        </row>
        <row r="82">
          <cell r="B82" t="str">
            <v>04314</v>
          </cell>
          <cell r="C82" t="str">
            <v>Nguyễn Trọng Sơn</v>
          </cell>
          <cell r="D82" t="str">
            <v>Foaming</v>
          </cell>
          <cell r="E82" t="str">
            <v>FOAMING Rectangular</v>
          </cell>
          <cell r="F82" t="str">
            <v>Worker</v>
          </cell>
          <cell r="G82">
            <v>45586</v>
          </cell>
          <cell r="H82">
            <v>208</v>
          </cell>
          <cell r="I82">
            <v>90</v>
          </cell>
          <cell r="J82">
            <v>1</v>
          </cell>
          <cell r="K82">
            <v>216</v>
          </cell>
          <cell r="L82">
            <v>66</v>
          </cell>
          <cell r="M82">
            <v>1</v>
          </cell>
          <cell r="N82">
            <v>192</v>
          </cell>
          <cell r="O82">
            <v>128</v>
          </cell>
          <cell r="P82">
            <v>1</v>
          </cell>
          <cell r="Q82">
            <v>216</v>
          </cell>
          <cell r="R82">
            <v>32</v>
          </cell>
          <cell r="S82">
            <v>0</v>
          </cell>
          <cell r="T82">
            <v>208</v>
          </cell>
          <cell r="U82">
            <v>0</v>
          </cell>
          <cell r="V82">
            <v>0</v>
          </cell>
          <cell r="Y82">
            <v>0</v>
          </cell>
          <cell r="AR82">
            <v>316</v>
          </cell>
        </row>
        <row r="83">
          <cell r="B83" t="str">
            <v>04392</v>
          </cell>
          <cell r="C83" t="str">
            <v>Lê Phi Công</v>
          </cell>
          <cell r="D83" t="str">
            <v>Foaming</v>
          </cell>
          <cell r="E83" t="str">
            <v>FOAMING Splitting</v>
          </cell>
          <cell r="F83" t="str">
            <v>Worker</v>
          </cell>
          <cell r="G83">
            <v>45659</v>
          </cell>
          <cell r="H83">
            <v>208</v>
          </cell>
          <cell r="I83">
            <v>80</v>
          </cell>
          <cell r="J83">
            <v>1</v>
          </cell>
          <cell r="K83">
            <v>216</v>
          </cell>
          <cell r="L83">
            <v>46</v>
          </cell>
          <cell r="M83">
            <v>1</v>
          </cell>
          <cell r="N83">
            <v>191.73333333300002</v>
          </cell>
          <cell r="O83">
            <v>131</v>
          </cell>
          <cell r="P83">
            <v>1</v>
          </cell>
          <cell r="Q83">
            <v>200</v>
          </cell>
          <cell r="R83">
            <v>32</v>
          </cell>
          <cell r="S83">
            <v>0</v>
          </cell>
          <cell r="T83">
            <v>200</v>
          </cell>
          <cell r="U83">
            <v>0</v>
          </cell>
          <cell r="V83">
            <v>0</v>
          </cell>
          <cell r="W83">
            <v>208</v>
          </cell>
          <cell r="X83">
            <v>3</v>
          </cell>
          <cell r="Y83">
            <v>0</v>
          </cell>
          <cell r="Z83">
            <v>32</v>
          </cell>
          <cell r="AA83">
            <v>4</v>
          </cell>
          <cell r="AR83">
            <v>296</v>
          </cell>
        </row>
        <row r="84">
          <cell r="B84" t="str">
            <v>04393</v>
          </cell>
          <cell r="C84" t="str">
            <v>Ngô Vũ Phương</v>
          </cell>
          <cell r="D84" t="str">
            <v>Foaming</v>
          </cell>
          <cell r="E84" t="str">
            <v>FOAMING Splitting</v>
          </cell>
          <cell r="F84" t="str">
            <v>Worker</v>
          </cell>
          <cell r="G84">
            <v>45659</v>
          </cell>
          <cell r="H84">
            <v>208</v>
          </cell>
          <cell r="I84">
            <v>80</v>
          </cell>
          <cell r="J84">
            <v>1</v>
          </cell>
          <cell r="K84">
            <v>216</v>
          </cell>
          <cell r="L84">
            <v>54</v>
          </cell>
          <cell r="M84">
            <v>1</v>
          </cell>
          <cell r="N84">
            <v>192</v>
          </cell>
          <cell r="O84">
            <v>104</v>
          </cell>
          <cell r="P84">
            <v>1</v>
          </cell>
          <cell r="Q84">
            <v>216</v>
          </cell>
          <cell r="R84">
            <v>35</v>
          </cell>
          <cell r="S84">
            <v>0</v>
          </cell>
          <cell r="T84">
            <v>208</v>
          </cell>
          <cell r="U84">
            <v>0</v>
          </cell>
          <cell r="V84">
            <v>0</v>
          </cell>
          <cell r="W84">
            <v>216</v>
          </cell>
          <cell r="X84">
            <v>12</v>
          </cell>
          <cell r="Y84">
            <v>0</v>
          </cell>
          <cell r="Z84">
            <v>32</v>
          </cell>
          <cell r="AA84">
            <v>0</v>
          </cell>
          <cell r="AR84">
            <v>285</v>
          </cell>
        </row>
        <row r="85">
          <cell r="B85" t="str">
            <v>04420</v>
          </cell>
          <cell r="C85" t="str">
            <v>Nguyễn Quốc Nam</v>
          </cell>
          <cell r="D85" t="str">
            <v>Foaming</v>
          </cell>
          <cell r="E85" t="str">
            <v>FOAMING Splitting</v>
          </cell>
          <cell r="F85" t="str">
            <v>Worker</v>
          </cell>
          <cell r="G85">
            <v>45705</v>
          </cell>
          <cell r="H85">
            <v>208</v>
          </cell>
          <cell r="I85">
            <v>80</v>
          </cell>
          <cell r="J85">
            <v>1</v>
          </cell>
          <cell r="K85">
            <v>216</v>
          </cell>
          <cell r="L85">
            <v>59</v>
          </cell>
          <cell r="M85">
            <v>1</v>
          </cell>
          <cell r="N85">
            <v>192</v>
          </cell>
          <cell r="O85">
            <v>117</v>
          </cell>
          <cell r="P85">
            <v>1</v>
          </cell>
          <cell r="Q85">
            <v>216</v>
          </cell>
          <cell r="R85">
            <v>34</v>
          </cell>
          <cell r="S85">
            <v>0</v>
          </cell>
          <cell r="T85">
            <v>208</v>
          </cell>
          <cell r="U85">
            <v>2</v>
          </cell>
          <cell r="V85">
            <v>0</v>
          </cell>
          <cell r="W85">
            <v>216</v>
          </cell>
          <cell r="X85">
            <v>4</v>
          </cell>
          <cell r="Y85">
            <v>0</v>
          </cell>
          <cell r="Z85">
            <v>32</v>
          </cell>
          <cell r="AA85">
            <v>0</v>
          </cell>
          <cell r="AR85">
            <v>296</v>
          </cell>
        </row>
        <row r="86">
          <cell r="B86" t="str">
            <v>04421</v>
          </cell>
          <cell r="C86" t="str">
            <v>Lâm Tấn Đạt</v>
          </cell>
          <cell r="D86" t="str">
            <v>Foaming</v>
          </cell>
          <cell r="E86" t="str">
            <v>FOAMING Splitting</v>
          </cell>
          <cell r="F86" t="str">
            <v>Worker</v>
          </cell>
          <cell r="G86">
            <v>45705</v>
          </cell>
          <cell r="H86">
            <v>208</v>
          </cell>
          <cell r="I86">
            <v>67</v>
          </cell>
          <cell r="J86">
            <v>1</v>
          </cell>
          <cell r="K86">
            <v>216</v>
          </cell>
          <cell r="L86">
            <v>26</v>
          </cell>
          <cell r="M86">
            <v>0</v>
          </cell>
          <cell r="N86">
            <v>192</v>
          </cell>
          <cell r="O86">
            <v>99</v>
          </cell>
          <cell r="P86">
            <v>1</v>
          </cell>
          <cell r="Q86">
            <v>216</v>
          </cell>
          <cell r="R86">
            <v>30</v>
          </cell>
          <cell r="S86">
            <v>0</v>
          </cell>
          <cell r="T86">
            <v>208</v>
          </cell>
          <cell r="U86">
            <v>0</v>
          </cell>
          <cell r="V86">
            <v>0</v>
          </cell>
          <cell r="W86">
            <v>204</v>
          </cell>
          <cell r="X86">
            <v>12</v>
          </cell>
          <cell r="Y86">
            <v>0</v>
          </cell>
          <cell r="Z86">
            <v>32</v>
          </cell>
          <cell r="AA86">
            <v>4</v>
          </cell>
          <cell r="AR86">
            <v>238</v>
          </cell>
        </row>
        <row r="87">
          <cell r="B87" t="str">
            <v>04424</v>
          </cell>
          <cell r="C87" t="str">
            <v>Huỳnh Tài Chánh</v>
          </cell>
          <cell r="D87" t="str">
            <v>Foaming</v>
          </cell>
          <cell r="E87" t="str">
            <v>FOAMING Rectangular</v>
          </cell>
          <cell r="F87" t="str">
            <v>Worker</v>
          </cell>
          <cell r="G87">
            <v>45705</v>
          </cell>
          <cell r="H87">
            <v>208</v>
          </cell>
          <cell r="I87">
            <v>98</v>
          </cell>
          <cell r="J87">
            <v>1</v>
          </cell>
          <cell r="K87">
            <v>216</v>
          </cell>
          <cell r="L87">
            <v>64</v>
          </cell>
          <cell r="M87">
            <v>1</v>
          </cell>
          <cell r="N87">
            <v>192</v>
          </cell>
          <cell r="O87">
            <v>130</v>
          </cell>
          <cell r="P87">
            <v>1</v>
          </cell>
          <cell r="Q87">
            <v>208</v>
          </cell>
          <cell r="R87">
            <v>35</v>
          </cell>
          <cell r="S87">
            <v>0</v>
          </cell>
          <cell r="T87">
            <v>144</v>
          </cell>
          <cell r="U87">
            <v>0</v>
          </cell>
          <cell r="V87">
            <v>0</v>
          </cell>
          <cell r="W87">
            <v>188</v>
          </cell>
          <cell r="X87">
            <v>0</v>
          </cell>
          <cell r="Y87">
            <v>0</v>
          </cell>
          <cell r="Z87">
            <v>0</v>
          </cell>
          <cell r="AA87">
            <v>0</v>
          </cell>
          <cell r="AR87">
            <v>327</v>
          </cell>
        </row>
        <row r="88">
          <cell r="B88" t="str">
            <v>04425</v>
          </cell>
          <cell r="C88" t="str">
            <v>Trương Văn Trong</v>
          </cell>
          <cell r="D88" t="str">
            <v>Foaming</v>
          </cell>
          <cell r="E88" t="str">
            <v>FOAMING Splitting</v>
          </cell>
          <cell r="F88" t="str">
            <v>Worker</v>
          </cell>
          <cell r="G88">
            <v>45705</v>
          </cell>
          <cell r="H88">
            <v>176</v>
          </cell>
          <cell r="I88">
            <v>81</v>
          </cell>
          <cell r="J88">
            <v>1</v>
          </cell>
          <cell r="K88">
            <v>216</v>
          </cell>
          <cell r="L88">
            <v>60</v>
          </cell>
          <cell r="M88">
            <v>1</v>
          </cell>
          <cell r="N88">
            <v>192</v>
          </cell>
          <cell r="O88">
            <v>116</v>
          </cell>
          <cell r="P88">
            <v>1</v>
          </cell>
          <cell r="Q88">
            <v>216</v>
          </cell>
          <cell r="R88">
            <v>8</v>
          </cell>
          <cell r="S88">
            <v>0</v>
          </cell>
          <cell r="T88">
            <v>200</v>
          </cell>
          <cell r="U88">
            <v>16</v>
          </cell>
          <cell r="V88">
            <v>0</v>
          </cell>
          <cell r="W88">
            <v>200</v>
          </cell>
          <cell r="X88">
            <v>0</v>
          </cell>
          <cell r="Y88">
            <v>0</v>
          </cell>
          <cell r="Z88">
            <v>32</v>
          </cell>
          <cell r="AA88">
            <v>2</v>
          </cell>
          <cell r="AR88">
            <v>283</v>
          </cell>
        </row>
        <row r="89">
          <cell r="B89" t="str">
            <v>03575</v>
          </cell>
          <cell r="C89" t="str">
            <v>Phạm Thị Ngọt</v>
          </cell>
          <cell r="D89" t="str">
            <v>Foaming</v>
          </cell>
          <cell r="E89" t="str">
            <v>FOAMING Splitting</v>
          </cell>
          <cell r="F89" t="str">
            <v>Worker</v>
          </cell>
          <cell r="G89">
            <v>44728</v>
          </cell>
          <cell r="H89">
            <v>208</v>
          </cell>
          <cell r="I89">
            <v>85</v>
          </cell>
          <cell r="J89">
            <v>1</v>
          </cell>
          <cell r="K89">
            <v>216</v>
          </cell>
          <cell r="L89">
            <v>51</v>
          </cell>
          <cell r="M89">
            <v>1</v>
          </cell>
          <cell r="N89">
            <v>192</v>
          </cell>
          <cell r="O89">
            <v>121</v>
          </cell>
          <cell r="P89">
            <v>1</v>
          </cell>
          <cell r="Q89">
            <v>216</v>
          </cell>
          <cell r="R89">
            <v>36</v>
          </cell>
          <cell r="S89">
            <v>0</v>
          </cell>
          <cell r="T89">
            <v>208</v>
          </cell>
          <cell r="U89">
            <v>0</v>
          </cell>
          <cell r="V89">
            <v>0</v>
          </cell>
          <cell r="W89">
            <v>192</v>
          </cell>
          <cell r="X89">
            <v>0</v>
          </cell>
          <cell r="Y89">
            <v>0</v>
          </cell>
          <cell r="Z89">
            <v>32</v>
          </cell>
          <cell r="AA89">
            <v>3</v>
          </cell>
          <cell r="AR89">
            <v>296</v>
          </cell>
        </row>
        <row r="90">
          <cell r="B90" t="str">
            <v>04462</v>
          </cell>
          <cell r="C90" t="str">
            <v>Danh Tiền</v>
          </cell>
          <cell r="D90" t="str">
            <v>Foaming</v>
          </cell>
          <cell r="E90" t="str">
            <v>FOAMING Splitting</v>
          </cell>
          <cell r="F90" t="str">
            <v>Worker</v>
          </cell>
          <cell r="G90">
            <v>45714</v>
          </cell>
          <cell r="H90">
            <v>208</v>
          </cell>
          <cell r="I90">
            <v>67</v>
          </cell>
          <cell r="J90">
            <v>1</v>
          </cell>
          <cell r="K90">
            <v>216</v>
          </cell>
          <cell r="L90">
            <v>28</v>
          </cell>
          <cell r="M90">
            <v>0</v>
          </cell>
          <cell r="N90">
            <v>192</v>
          </cell>
          <cell r="O90">
            <v>100</v>
          </cell>
          <cell r="P90">
            <v>1</v>
          </cell>
          <cell r="Q90">
            <v>216</v>
          </cell>
          <cell r="R90">
            <v>32</v>
          </cell>
          <cell r="S90">
            <v>0</v>
          </cell>
          <cell r="T90">
            <v>208</v>
          </cell>
          <cell r="U90">
            <v>0</v>
          </cell>
          <cell r="V90">
            <v>0</v>
          </cell>
          <cell r="W90">
            <v>208</v>
          </cell>
          <cell r="X90">
            <v>24</v>
          </cell>
          <cell r="Y90">
            <v>0</v>
          </cell>
          <cell r="Z90">
            <v>32</v>
          </cell>
          <cell r="AA90">
            <v>2</v>
          </cell>
          <cell r="AR90">
            <v>253</v>
          </cell>
        </row>
        <row r="91">
          <cell r="B91" t="str">
            <v>04464</v>
          </cell>
          <cell r="C91" t="str">
            <v>Hà Thành Đạt</v>
          </cell>
          <cell r="D91" t="str">
            <v>Foaming</v>
          </cell>
          <cell r="E91" t="str">
            <v>FOAMING Rectangular</v>
          </cell>
          <cell r="F91" t="str">
            <v>Worker</v>
          </cell>
          <cell r="G91">
            <v>45714</v>
          </cell>
          <cell r="H91">
            <v>208</v>
          </cell>
          <cell r="I91">
            <v>87</v>
          </cell>
          <cell r="J91">
            <v>1</v>
          </cell>
          <cell r="K91">
            <v>216</v>
          </cell>
          <cell r="L91">
            <v>54</v>
          </cell>
          <cell r="M91">
            <v>1</v>
          </cell>
          <cell r="N91">
            <v>192</v>
          </cell>
          <cell r="O91">
            <v>123</v>
          </cell>
          <cell r="P91">
            <v>1</v>
          </cell>
          <cell r="Q91">
            <v>192</v>
          </cell>
          <cell r="R91">
            <v>32</v>
          </cell>
          <cell r="S91">
            <v>0</v>
          </cell>
          <cell r="T91">
            <v>187.06666666699999</v>
          </cell>
          <cell r="U91">
            <v>0</v>
          </cell>
          <cell r="V91">
            <v>0</v>
          </cell>
          <cell r="W91">
            <v>203.06666666699999</v>
          </cell>
          <cell r="X91">
            <v>0</v>
          </cell>
          <cell r="Y91">
            <v>0</v>
          </cell>
          <cell r="Z91">
            <v>32</v>
          </cell>
          <cell r="AA91">
            <v>4</v>
          </cell>
          <cell r="AR91">
            <v>300</v>
          </cell>
        </row>
        <row r="92">
          <cell r="B92" t="str">
            <v>04465</v>
          </cell>
          <cell r="C92" t="str">
            <v>Trần Văn Linh</v>
          </cell>
          <cell r="D92" t="str">
            <v>Foaming</v>
          </cell>
          <cell r="E92" t="str">
            <v>FOAMING Rectangular</v>
          </cell>
          <cell r="F92" t="str">
            <v>Worker</v>
          </cell>
          <cell r="G92">
            <v>45714</v>
          </cell>
          <cell r="H92">
            <v>208</v>
          </cell>
          <cell r="I92">
            <v>93</v>
          </cell>
          <cell r="J92">
            <v>1</v>
          </cell>
          <cell r="K92">
            <v>216</v>
          </cell>
          <cell r="L92">
            <v>66</v>
          </cell>
          <cell r="M92">
            <v>1</v>
          </cell>
          <cell r="N92">
            <v>184</v>
          </cell>
          <cell r="O92">
            <v>104</v>
          </cell>
          <cell r="P92">
            <v>1</v>
          </cell>
          <cell r="Q92">
            <v>216</v>
          </cell>
          <cell r="R92">
            <v>36</v>
          </cell>
          <cell r="S92">
            <v>0</v>
          </cell>
          <cell r="T92">
            <v>208</v>
          </cell>
          <cell r="U92">
            <v>0</v>
          </cell>
          <cell r="V92">
            <v>0</v>
          </cell>
          <cell r="W92">
            <v>204</v>
          </cell>
          <cell r="X92">
            <v>0</v>
          </cell>
          <cell r="Y92">
            <v>0</v>
          </cell>
          <cell r="Z92">
            <v>32</v>
          </cell>
          <cell r="AA92">
            <v>0</v>
          </cell>
          <cell r="AR92">
            <v>299</v>
          </cell>
        </row>
        <row r="93">
          <cell r="B93" t="str">
            <v>04517</v>
          </cell>
          <cell r="C93" t="str">
            <v>Hoàng Văn Anh</v>
          </cell>
          <cell r="D93" t="str">
            <v>Foaming</v>
          </cell>
          <cell r="E93" t="str">
            <v>FOAMING Rectangular</v>
          </cell>
          <cell r="F93" t="str">
            <v>Worker</v>
          </cell>
          <cell r="G93">
            <v>45721</v>
          </cell>
          <cell r="H93">
            <v>208</v>
          </cell>
          <cell r="I93">
            <v>98</v>
          </cell>
          <cell r="J93">
            <v>1</v>
          </cell>
          <cell r="K93">
            <v>216</v>
          </cell>
          <cell r="L93">
            <v>64</v>
          </cell>
          <cell r="M93">
            <v>1</v>
          </cell>
          <cell r="N93">
            <v>192</v>
          </cell>
          <cell r="O93">
            <v>132</v>
          </cell>
          <cell r="P93">
            <v>1</v>
          </cell>
          <cell r="Q93">
            <v>216</v>
          </cell>
          <cell r="R93">
            <v>22</v>
          </cell>
          <cell r="S93">
            <v>0</v>
          </cell>
          <cell r="T93">
            <v>208</v>
          </cell>
          <cell r="U93">
            <v>0</v>
          </cell>
          <cell r="V93">
            <v>0</v>
          </cell>
          <cell r="W93">
            <v>216</v>
          </cell>
          <cell r="X93">
            <v>0</v>
          </cell>
          <cell r="Y93">
            <v>0</v>
          </cell>
          <cell r="Z93">
            <v>32</v>
          </cell>
          <cell r="AA93">
            <v>0</v>
          </cell>
          <cell r="AR93">
            <v>316</v>
          </cell>
        </row>
        <row r="94">
          <cell r="B94" t="str">
            <v>04546</v>
          </cell>
          <cell r="C94" t="str">
            <v>Nguyễn Thái Hoàng</v>
          </cell>
          <cell r="D94" t="str">
            <v>Foaming</v>
          </cell>
          <cell r="E94" t="str">
            <v>FOAMING Rectangular</v>
          </cell>
          <cell r="F94" t="str">
            <v>Worker</v>
          </cell>
          <cell r="G94">
            <v>45730</v>
          </cell>
          <cell r="H94">
            <v>208</v>
          </cell>
          <cell r="I94">
            <v>100</v>
          </cell>
          <cell r="J94">
            <v>1</v>
          </cell>
          <cell r="K94">
            <v>214</v>
          </cell>
          <cell r="L94">
            <v>68</v>
          </cell>
          <cell r="M94">
            <v>1</v>
          </cell>
          <cell r="N94">
            <v>192</v>
          </cell>
          <cell r="O94">
            <v>136</v>
          </cell>
          <cell r="P94">
            <v>1</v>
          </cell>
          <cell r="Q94">
            <v>216</v>
          </cell>
          <cell r="R94">
            <v>36</v>
          </cell>
          <cell r="S94">
            <v>0</v>
          </cell>
          <cell r="T94">
            <v>208</v>
          </cell>
          <cell r="U94">
            <v>0</v>
          </cell>
          <cell r="V94">
            <v>0</v>
          </cell>
          <cell r="W94">
            <v>216</v>
          </cell>
          <cell r="X94">
            <v>0</v>
          </cell>
          <cell r="Y94">
            <v>0</v>
          </cell>
          <cell r="Z94">
            <v>32</v>
          </cell>
          <cell r="AA94">
            <v>0</v>
          </cell>
          <cell r="AR94">
            <v>340</v>
          </cell>
        </row>
        <row r="95">
          <cell r="B95" t="str">
            <v>04667</v>
          </cell>
          <cell r="C95" t="str">
            <v>Hoàng Minh Thuỳ</v>
          </cell>
          <cell r="D95" t="str">
            <v>Foaming</v>
          </cell>
          <cell r="E95" t="str">
            <v>FOAMING Production control</v>
          </cell>
          <cell r="F95" t="str">
            <v xml:space="preserve">Chemical Associate Engineer </v>
          </cell>
          <cell r="G95">
            <v>45834</v>
          </cell>
          <cell r="H95">
            <v>208</v>
          </cell>
          <cell r="I95">
            <v>11.5</v>
          </cell>
          <cell r="J95">
            <v>0</v>
          </cell>
          <cell r="K95">
            <v>216</v>
          </cell>
          <cell r="L95">
            <v>6.5</v>
          </cell>
          <cell r="M95">
            <v>0</v>
          </cell>
          <cell r="N95">
            <v>192</v>
          </cell>
          <cell r="O95">
            <v>2.5</v>
          </cell>
          <cell r="P95">
            <v>0</v>
          </cell>
          <cell r="Q95">
            <v>216</v>
          </cell>
          <cell r="R95">
            <v>0</v>
          </cell>
          <cell r="S95">
            <v>0</v>
          </cell>
          <cell r="T95">
            <v>200</v>
          </cell>
          <cell r="U95">
            <v>0</v>
          </cell>
          <cell r="V95">
            <v>0</v>
          </cell>
          <cell r="W95">
            <v>216</v>
          </cell>
          <cell r="X95">
            <v>0</v>
          </cell>
          <cell r="Y95">
            <v>0</v>
          </cell>
          <cell r="Z95">
            <v>32</v>
          </cell>
          <cell r="AA95">
            <v>0</v>
          </cell>
          <cell r="AR95">
            <v>20.5</v>
          </cell>
        </row>
        <row r="96">
          <cell r="B96" t="str">
            <v>04681</v>
          </cell>
          <cell r="C96" t="str">
            <v>Đoàn Minh Trí</v>
          </cell>
          <cell r="D96" t="str">
            <v>Foaming</v>
          </cell>
          <cell r="E96" t="str">
            <v>FOAMING Splitting</v>
          </cell>
          <cell r="F96" t="str">
            <v>Forklift Driver</v>
          </cell>
          <cell r="G96">
            <v>45859</v>
          </cell>
          <cell r="H96">
            <v>208</v>
          </cell>
          <cell r="I96">
            <v>68</v>
          </cell>
          <cell r="J96">
            <v>1</v>
          </cell>
          <cell r="K96">
            <v>216</v>
          </cell>
          <cell r="L96">
            <v>49</v>
          </cell>
          <cell r="M96">
            <v>1</v>
          </cell>
          <cell r="N96">
            <v>192</v>
          </cell>
          <cell r="O96">
            <v>118</v>
          </cell>
          <cell r="P96">
            <v>1</v>
          </cell>
          <cell r="Q96">
            <v>216</v>
          </cell>
          <cell r="R96">
            <v>39</v>
          </cell>
          <cell r="S96">
            <v>0</v>
          </cell>
          <cell r="T96">
            <v>200</v>
          </cell>
          <cell r="U96">
            <v>0</v>
          </cell>
          <cell r="V96">
            <v>0</v>
          </cell>
          <cell r="W96">
            <v>32</v>
          </cell>
          <cell r="X96">
            <v>0</v>
          </cell>
          <cell r="Y96">
            <v>0</v>
          </cell>
          <cell r="AR96">
            <v>274</v>
          </cell>
        </row>
        <row r="97">
          <cell r="B97" t="str">
            <v>04820</v>
          </cell>
          <cell r="C97" t="str">
            <v>Trần Tuấn Anh</v>
          </cell>
          <cell r="D97" t="str">
            <v>Foaming</v>
          </cell>
          <cell r="E97" t="str">
            <v>FOAMING Rectangular</v>
          </cell>
          <cell r="F97" t="str">
            <v>Supervisor</v>
          </cell>
          <cell r="G97">
            <v>45929</v>
          </cell>
          <cell r="H97">
            <v>208</v>
          </cell>
          <cell r="I97">
            <v>52</v>
          </cell>
          <cell r="J97">
            <v>1</v>
          </cell>
          <cell r="K97">
            <v>216</v>
          </cell>
          <cell r="L97">
            <v>34</v>
          </cell>
          <cell r="M97">
            <v>0</v>
          </cell>
          <cell r="N97">
            <v>184</v>
          </cell>
          <cell r="O97">
            <v>106</v>
          </cell>
          <cell r="P97">
            <v>1</v>
          </cell>
          <cell r="Q97">
            <v>216</v>
          </cell>
          <cell r="R97">
            <v>22</v>
          </cell>
          <cell r="S97">
            <v>0</v>
          </cell>
          <cell r="T97">
            <v>200</v>
          </cell>
          <cell r="U97">
            <v>2</v>
          </cell>
          <cell r="V97">
            <v>0</v>
          </cell>
          <cell r="W97">
            <v>200</v>
          </cell>
          <cell r="X97">
            <v>3</v>
          </cell>
          <cell r="Y97">
            <v>0</v>
          </cell>
          <cell r="Z97">
            <v>24</v>
          </cell>
          <cell r="AA97">
            <v>0</v>
          </cell>
          <cell r="AR97">
            <v>219</v>
          </cell>
        </row>
        <row r="98">
          <cell r="B98" t="str">
            <v>02396</v>
          </cell>
          <cell r="C98" t="str">
            <v>Trương Hồng Gấm</v>
          </cell>
          <cell r="D98" t="str">
            <v>Foaming</v>
          </cell>
          <cell r="E98" t="str">
            <v>FOAMING Splitting</v>
          </cell>
          <cell r="F98" t="str">
            <v>Worker</v>
          </cell>
          <cell r="G98">
            <v>44048</v>
          </cell>
          <cell r="H98">
            <v>208</v>
          </cell>
          <cell r="I98">
            <v>85</v>
          </cell>
          <cell r="J98">
            <v>1</v>
          </cell>
          <cell r="K98">
            <v>216</v>
          </cell>
          <cell r="L98">
            <v>51</v>
          </cell>
          <cell r="M98">
            <v>1</v>
          </cell>
          <cell r="N98">
            <v>192</v>
          </cell>
          <cell r="O98">
            <v>120</v>
          </cell>
          <cell r="P98">
            <v>1</v>
          </cell>
          <cell r="Q98">
            <v>216</v>
          </cell>
          <cell r="R98">
            <v>36</v>
          </cell>
          <cell r="S98">
            <v>0</v>
          </cell>
          <cell r="T98">
            <v>208</v>
          </cell>
          <cell r="U98">
            <v>0</v>
          </cell>
          <cell r="V98">
            <v>0</v>
          </cell>
          <cell r="W98">
            <v>216</v>
          </cell>
          <cell r="X98">
            <v>0</v>
          </cell>
          <cell r="Y98">
            <v>0</v>
          </cell>
          <cell r="Z98">
            <v>28</v>
          </cell>
          <cell r="AA98">
            <v>7</v>
          </cell>
          <cell r="AR98">
            <v>299</v>
          </cell>
        </row>
        <row r="99">
          <cell r="B99" t="str">
            <v>04926</v>
          </cell>
          <cell r="C99" t="str">
            <v>Phan Hải Giang</v>
          </cell>
          <cell r="D99" t="str">
            <v>Foaming</v>
          </cell>
          <cell r="E99" t="str">
            <v>FOAMING Production control</v>
          </cell>
          <cell r="F99" t="str">
            <v>Staff</v>
          </cell>
          <cell r="G99">
            <v>46027</v>
          </cell>
          <cell r="H99">
            <v>144</v>
          </cell>
          <cell r="I99">
            <v>4.5</v>
          </cell>
          <cell r="J99">
            <v>0</v>
          </cell>
          <cell r="K99">
            <v>208</v>
          </cell>
          <cell r="L99">
            <v>0.5</v>
          </cell>
          <cell r="M99">
            <v>0</v>
          </cell>
          <cell r="N99">
            <v>192</v>
          </cell>
          <cell r="O99">
            <v>2</v>
          </cell>
          <cell r="P99">
            <v>0</v>
          </cell>
          <cell r="Q99">
            <v>216</v>
          </cell>
          <cell r="R99">
            <v>1.75</v>
          </cell>
          <cell r="S99">
            <v>0</v>
          </cell>
          <cell r="T99">
            <v>200</v>
          </cell>
          <cell r="U99">
            <v>5.5</v>
          </cell>
          <cell r="V99">
            <v>0</v>
          </cell>
          <cell r="W99">
            <v>216</v>
          </cell>
          <cell r="X99">
            <v>6.5</v>
          </cell>
          <cell r="Y99">
            <v>0</v>
          </cell>
          <cell r="Z99">
            <v>32</v>
          </cell>
          <cell r="AA99">
            <v>1.5</v>
          </cell>
          <cell r="AR99">
            <v>22.25</v>
          </cell>
        </row>
        <row r="100">
          <cell r="B100" t="str">
            <v>00012</v>
          </cell>
          <cell r="C100" t="str">
            <v>Lê Hữu Dũng</v>
          </cell>
          <cell r="D100" t="str">
            <v>Foaming</v>
          </cell>
          <cell r="E100" t="str">
            <v>FOAMING Production control</v>
          </cell>
          <cell r="F100" t="str">
            <v>Deputy Foaming Manager</v>
          </cell>
          <cell r="G100">
            <v>41246</v>
          </cell>
          <cell r="H100">
            <v>208</v>
          </cell>
          <cell r="I100">
            <v>0</v>
          </cell>
          <cell r="J100">
            <v>0</v>
          </cell>
          <cell r="K100">
            <v>216</v>
          </cell>
          <cell r="L100">
            <v>0</v>
          </cell>
          <cell r="M100">
            <v>0</v>
          </cell>
          <cell r="N100">
            <v>192</v>
          </cell>
          <cell r="O100" t="str">
            <v>-</v>
          </cell>
          <cell r="P100" t="str">
            <v>-</v>
          </cell>
          <cell r="Q100">
            <v>216</v>
          </cell>
          <cell r="R100">
            <v>0</v>
          </cell>
          <cell r="S100">
            <v>0</v>
          </cell>
          <cell r="T100">
            <v>200</v>
          </cell>
          <cell r="U100">
            <v>0</v>
          </cell>
          <cell r="V100">
            <v>0</v>
          </cell>
          <cell r="W100">
            <v>216</v>
          </cell>
          <cell r="X100">
            <v>0</v>
          </cell>
          <cell r="Y100">
            <v>0</v>
          </cell>
          <cell r="Z100">
            <v>32</v>
          </cell>
          <cell r="AA100">
            <v>0</v>
          </cell>
          <cell r="AR100">
            <v>0</v>
          </cell>
        </row>
        <row r="101">
          <cell r="B101" t="str">
            <v>04043</v>
          </cell>
          <cell r="C101" t="str">
            <v>Phạm Việt Hà</v>
          </cell>
          <cell r="D101" t="str">
            <v>Foaming</v>
          </cell>
          <cell r="E101" t="str">
            <v>FOAMING Production control</v>
          </cell>
          <cell r="F101" t="str">
            <v>Foaming Operation Director</v>
          </cell>
          <cell r="G101">
            <v>45355</v>
          </cell>
          <cell r="H101">
            <v>208</v>
          </cell>
          <cell r="I101">
            <v>0</v>
          </cell>
          <cell r="J101">
            <v>0</v>
          </cell>
          <cell r="K101">
            <v>216</v>
          </cell>
          <cell r="L101">
            <v>0</v>
          </cell>
          <cell r="M101">
            <v>0</v>
          </cell>
          <cell r="N101">
            <v>192</v>
          </cell>
          <cell r="O101" t="str">
            <v>-</v>
          </cell>
          <cell r="P101" t="str">
            <v>-</v>
          </cell>
          <cell r="Q101">
            <v>216</v>
          </cell>
          <cell r="R101">
            <v>0</v>
          </cell>
          <cell r="S101">
            <v>0</v>
          </cell>
          <cell r="T101">
            <v>200</v>
          </cell>
          <cell r="U101">
            <v>0</v>
          </cell>
          <cell r="V101">
            <v>0</v>
          </cell>
          <cell r="W101">
            <v>216</v>
          </cell>
          <cell r="X101">
            <v>0</v>
          </cell>
          <cell r="Y101">
            <v>0</v>
          </cell>
          <cell r="Z101">
            <v>32</v>
          </cell>
          <cell r="AA101">
            <v>0</v>
          </cell>
          <cell r="AR101">
            <v>0</v>
          </cell>
        </row>
        <row r="102">
          <cell r="B102" t="str">
            <v>04974</v>
          </cell>
          <cell r="C102" t="str">
            <v>Lê Đắc Đức</v>
          </cell>
          <cell r="D102" t="str">
            <v>Foaming</v>
          </cell>
          <cell r="E102" t="str">
            <v>FOAMING Splitting</v>
          </cell>
          <cell r="F102" t="str">
            <v>Worker</v>
          </cell>
          <cell r="G102">
            <v>46083</v>
          </cell>
          <cell r="N102">
            <v>168</v>
          </cell>
          <cell r="O102">
            <v>64</v>
          </cell>
          <cell r="P102">
            <v>1</v>
          </cell>
          <cell r="Q102">
            <v>216</v>
          </cell>
          <cell r="R102">
            <v>29</v>
          </cell>
          <cell r="S102">
            <v>0</v>
          </cell>
          <cell r="T102">
            <v>208</v>
          </cell>
          <cell r="U102">
            <v>27</v>
          </cell>
          <cell r="V102">
            <v>0</v>
          </cell>
          <cell r="W102">
            <v>208</v>
          </cell>
          <cell r="X102">
            <v>14</v>
          </cell>
          <cell r="Y102">
            <v>0</v>
          </cell>
          <cell r="Z102">
            <v>32</v>
          </cell>
          <cell r="AA102">
            <v>8</v>
          </cell>
          <cell r="AR102">
            <v>142</v>
          </cell>
        </row>
        <row r="103">
          <cell r="B103" t="str">
            <v>04975</v>
          </cell>
          <cell r="C103" t="str">
            <v>Lê Bá Thế Anh</v>
          </cell>
          <cell r="D103" t="str">
            <v>Foaming</v>
          </cell>
          <cell r="E103" t="str">
            <v>FOAMING Rectangular</v>
          </cell>
          <cell r="F103" t="str">
            <v>Worker</v>
          </cell>
          <cell r="G103">
            <v>46083</v>
          </cell>
          <cell r="N103">
            <v>168</v>
          </cell>
          <cell r="O103">
            <v>96</v>
          </cell>
          <cell r="P103">
            <v>1</v>
          </cell>
          <cell r="Q103">
            <v>216</v>
          </cell>
          <cell r="R103">
            <v>36</v>
          </cell>
          <cell r="S103">
            <v>0</v>
          </cell>
          <cell r="T103">
            <v>208</v>
          </cell>
          <cell r="U103">
            <v>28</v>
          </cell>
          <cell r="V103">
            <v>0</v>
          </cell>
          <cell r="W103">
            <v>168</v>
          </cell>
          <cell r="X103">
            <v>25.5</v>
          </cell>
          <cell r="Y103">
            <v>0</v>
          </cell>
          <cell r="Z103">
            <v>32</v>
          </cell>
          <cell r="AA103">
            <v>8</v>
          </cell>
          <cell r="AR103">
            <v>193.5</v>
          </cell>
        </row>
        <row r="104">
          <cell r="B104" t="str">
            <v>04976</v>
          </cell>
          <cell r="C104" t="str">
            <v>Huỳnh Đức Trung</v>
          </cell>
          <cell r="D104" t="str">
            <v>Foaming</v>
          </cell>
          <cell r="E104" t="str">
            <v>FOAMING Rectangular</v>
          </cell>
          <cell r="F104" t="str">
            <v>Worker</v>
          </cell>
          <cell r="G104">
            <v>46083</v>
          </cell>
          <cell r="N104">
            <v>168</v>
          </cell>
          <cell r="O104">
            <v>86</v>
          </cell>
          <cell r="P104">
            <v>1</v>
          </cell>
          <cell r="Q104">
            <v>216</v>
          </cell>
          <cell r="R104">
            <v>36</v>
          </cell>
          <cell r="S104">
            <v>0</v>
          </cell>
          <cell r="T104">
            <v>208</v>
          </cell>
          <cell r="U104">
            <v>8</v>
          </cell>
          <cell r="V104">
            <v>0</v>
          </cell>
          <cell r="W104">
            <v>208</v>
          </cell>
          <cell r="X104">
            <v>36</v>
          </cell>
          <cell r="Y104">
            <v>0</v>
          </cell>
          <cell r="Z104">
            <v>24</v>
          </cell>
          <cell r="AA104">
            <v>4</v>
          </cell>
          <cell r="AR104">
            <v>170</v>
          </cell>
        </row>
        <row r="105">
          <cell r="B105" t="str">
            <v>04981</v>
          </cell>
          <cell r="C105" t="str">
            <v>Trần Thanh Phúc</v>
          </cell>
          <cell r="D105" t="str">
            <v>Foaming</v>
          </cell>
          <cell r="E105" t="str">
            <v>FOAMING Splitting</v>
          </cell>
          <cell r="F105" t="str">
            <v>Worker</v>
          </cell>
          <cell r="G105">
            <v>46083</v>
          </cell>
          <cell r="N105">
            <v>168</v>
          </cell>
          <cell r="O105">
            <v>92</v>
          </cell>
          <cell r="P105">
            <v>1</v>
          </cell>
          <cell r="Q105">
            <v>176</v>
          </cell>
          <cell r="R105">
            <v>33</v>
          </cell>
          <cell r="S105">
            <v>0</v>
          </cell>
          <cell r="T105">
            <v>200</v>
          </cell>
          <cell r="U105">
            <v>30</v>
          </cell>
          <cell r="V105">
            <v>0</v>
          </cell>
          <cell r="W105">
            <v>208</v>
          </cell>
          <cell r="X105">
            <v>23.5</v>
          </cell>
          <cell r="Y105">
            <v>0</v>
          </cell>
          <cell r="Z105">
            <v>32</v>
          </cell>
          <cell r="AA105">
            <v>8</v>
          </cell>
          <cell r="AR105">
            <v>186.5</v>
          </cell>
        </row>
        <row r="106">
          <cell r="B106" t="str">
            <v>04983</v>
          </cell>
          <cell r="C106" t="str">
            <v>Lê Hà Gia Phát</v>
          </cell>
          <cell r="D106" t="str">
            <v>Foaming</v>
          </cell>
          <cell r="E106" t="str">
            <v>FOAMING Rectangular</v>
          </cell>
          <cell r="F106" t="str">
            <v>Worker</v>
          </cell>
          <cell r="G106">
            <v>46083</v>
          </cell>
          <cell r="N106">
            <v>168</v>
          </cell>
          <cell r="O106">
            <v>103.5</v>
          </cell>
          <cell r="P106">
            <v>1</v>
          </cell>
          <cell r="Q106">
            <v>216</v>
          </cell>
          <cell r="R106">
            <v>34</v>
          </cell>
          <cell r="S106">
            <v>0</v>
          </cell>
          <cell r="T106">
            <v>208</v>
          </cell>
          <cell r="U106">
            <v>20</v>
          </cell>
          <cell r="V106">
            <v>0</v>
          </cell>
          <cell r="W106">
            <v>208</v>
          </cell>
          <cell r="X106">
            <v>32</v>
          </cell>
          <cell r="Y106">
            <v>0</v>
          </cell>
          <cell r="Z106">
            <v>32</v>
          </cell>
          <cell r="AA106">
            <v>4</v>
          </cell>
          <cell r="AR106">
            <v>193.5</v>
          </cell>
        </row>
        <row r="107">
          <cell r="B107" t="str">
            <v>04993</v>
          </cell>
          <cell r="C107" t="str">
            <v>Võ Văn Long</v>
          </cell>
          <cell r="D107" t="str">
            <v>Foaming</v>
          </cell>
          <cell r="E107" t="str">
            <v>FOAMING Splitting</v>
          </cell>
          <cell r="F107" t="str">
            <v>Worker</v>
          </cell>
          <cell r="G107">
            <v>46086</v>
          </cell>
          <cell r="N107">
            <v>140</v>
          </cell>
          <cell r="O107">
            <v>60</v>
          </cell>
          <cell r="P107">
            <v>1</v>
          </cell>
          <cell r="Q107">
            <v>216</v>
          </cell>
          <cell r="R107">
            <v>36</v>
          </cell>
          <cell r="S107">
            <v>0</v>
          </cell>
          <cell r="T107">
            <v>208</v>
          </cell>
          <cell r="U107">
            <v>34</v>
          </cell>
          <cell r="V107">
            <v>0</v>
          </cell>
          <cell r="W107">
            <v>212</v>
          </cell>
          <cell r="X107">
            <v>40</v>
          </cell>
          <cell r="Y107">
            <v>0</v>
          </cell>
          <cell r="Z107">
            <v>32</v>
          </cell>
          <cell r="AA107">
            <v>4</v>
          </cell>
          <cell r="AR107">
            <v>174</v>
          </cell>
        </row>
        <row r="108">
          <cell r="B108" t="str">
            <v>05001</v>
          </cell>
          <cell r="C108" t="str">
            <v>Thạch Som</v>
          </cell>
          <cell r="D108" t="str">
            <v>Foaming</v>
          </cell>
          <cell r="E108" t="str">
            <v>FOAMING Splitting</v>
          </cell>
          <cell r="F108" t="str">
            <v>Worker</v>
          </cell>
          <cell r="G108">
            <v>46086</v>
          </cell>
          <cell r="N108">
            <v>144</v>
          </cell>
          <cell r="O108">
            <v>92</v>
          </cell>
          <cell r="P108">
            <v>1</v>
          </cell>
          <cell r="Q108">
            <v>216</v>
          </cell>
          <cell r="R108">
            <v>32.5</v>
          </cell>
          <cell r="S108">
            <v>0</v>
          </cell>
          <cell r="T108">
            <v>208</v>
          </cell>
          <cell r="U108">
            <v>30</v>
          </cell>
          <cell r="V108">
            <v>0</v>
          </cell>
          <cell r="W108">
            <v>216</v>
          </cell>
          <cell r="X108">
            <v>28.5</v>
          </cell>
          <cell r="Y108">
            <v>0</v>
          </cell>
          <cell r="Z108">
            <v>32</v>
          </cell>
          <cell r="AA108">
            <v>8</v>
          </cell>
          <cell r="AR108">
            <v>191</v>
          </cell>
        </row>
        <row r="109">
          <cell r="B109" t="str">
            <v>05066</v>
          </cell>
          <cell r="C109" t="str">
            <v>Phạm Văn Trường</v>
          </cell>
          <cell r="D109" t="str">
            <v>Foaming</v>
          </cell>
          <cell r="E109" t="str">
            <v>FOAMING Rectangular</v>
          </cell>
          <cell r="F109" t="str">
            <v>Worker</v>
          </cell>
          <cell r="G109">
            <v>46100</v>
          </cell>
          <cell r="N109">
            <v>48</v>
          </cell>
          <cell r="O109">
            <v>4</v>
          </cell>
          <cell r="P109">
            <v>0</v>
          </cell>
          <cell r="Q109">
            <v>168</v>
          </cell>
          <cell r="R109">
            <v>20</v>
          </cell>
          <cell r="S109">
            <v>0</v>
          </cell>
          <cell r="T109">
            <v>192</v>
          </cell>
          <cell r="U109">
            <v>0</v>
          </cell>
          <cell r="V109">
            <v>0</v>
          </cell>
          <cell r="W109">
            <v>144</v>
          </cell>
          <cell r="X109">
            <v>8</v>
          </cell>
          <cell r="Y109">
            <v>0</v>
          </cell>
          <cell r="Z109">
            <v>3</v>
          </cell>
          <cell r="AA109">
            <v>0</v>
          </cell>
          <cell r="AR109">
            <v>32</v>
          </cell>
        </row>
        <row r="110">
          <cell r="B110" t="str">
            <v>05067</v>
          </cell>
          <cell r="C110" t="str">
            <v>Dương Văn Bảo</v>
          </cell>
          <cell r="D110" t="str">
            <v>Foaming</v>
          </cell>
          <cell r="E110" t="str">
            <v>FOAMING Splitting</v>
          </cell>
          <cell r="F110" t="str">
            <v>Worker</v>
          </cell>
          <cell r="G110">
            <v>46100</v>
          </cell>
          <cell r="N110">
            <v>48</v>
          </cell>
          <cell r="O110">
            <v>20</v>
          </cell>
          <cell r="P110">
            <v>0</v>
          </cell>
          <cell r="Q110">
            <v>216</v>
          </cell>
          <cell r="R110">
            <v>30</v>
          </cell>
          <cell r="S110">
            <v>0</v>
          </cell>
          <cell r="T110">
            <v>152</v>
          </cell>
          <cell r="U110">
            <v>16</v>
          </cell>
          <cell r="V110">
            <v>0</v>
          </cell>
          <cell r="Y110">
            <v>0</v>
          </cell>
          <cell r="AR110">
            <v>66</v>
          </cell>
        </row>
        <row r="111">
          <cell r="B111" t="str">
            <v>05094</v>
          </cell>
          <cell r="C111" t="str">
            <v>Nguyễn Văn Đầy</v>
          </cell>
          <cell r="D111" t="str">
            <v>Foaming</v>
          </cell>
          <cell r="E111" t="str">
            <v>FOAMING Rectangular</v>
          </cell>
          <cell r="F111" t="str">
            <v>Worker</v>
          </cell>
          <cell r="G111">
            <v>46114</v>
          </cell>
          <cell r="Q111">
            <v>160</v>
          </cell>
          <cell r="R111">
            <v>34</v>
          </cell>
          <cell r="S111">
            <v>0</v>
          </cell>
          <cell r="T111">
            <v>208</v>
          </cell>
          <cell r="U111">
            <v>8</v>
          </cell>
          <cell r="V111">
            <v>0</v>
          </cell>
          <cell r="W111">
            <v>212</v>
          </cell>
          <cell r="X111">
            <v>27</v>
          </cell>
          <cell r="Y111">
            <v>0</v>
          </cell>
          <cell r="Z111">
            <v>32</v>
          </cell>
          <cell r="AA111">
            <v>8</v>
          </cell>
          <cell r="AR111">
            <v>77</v>
          </cell>
        </row>
        <row r="112">
          <cell r="B112" t="str">
            <v>05110</v>
          </cell>
          <cell r="C112" t="str">
            <v>Trịnh Văn Túc</v>
          </cell>
          <cell r="D112" t="str">
            <v>Foaming</v>
          </cell>
          <cell r="E112" t="str">
            <v>FOAMING Splitting</v>
          </cell>
          <cell r="F112" t="str">
            <v>Worker</v>
          </cell>
          <cell r="G112">
            <v>46114</v>
          </cell>
          <cell r="Q112">
            <v>160</v>
          </cell>
          <cell r="R112">
            <v>34</v>
          </cell>
          <cell r="S112">
            <v>0</v>
          </cell>
          <cell r="T112">
            <v>208</v>
          </cell>
          <cell r="U112">
            <v>12</v>
          </cell>
          <cell r="V112">
            <v>0</v>
          </cell>
          <cell r="W112">
            <v>200</v>
          </cell>
          <cell r="X112">
            <v>20</v>
          </cell>
          <cell r="Y112">
            <v>0</v>
          </cell>
          <cell r="Z112">
            <v>32</v>
          </cell>
          <cell r="AA112">
            <v>8</v>
          </cell>
          <cell r="AR112">
            <v>74</v>
          </cell>
        </row>
        <row r="113">
          <cell r="B113" t="str">
            <v>05111</v>
          </cell>
          <cell r="C113" t="str">
            <v>Châu Hoàng Giang</v>
          </cell>
          <cell r="D113" t="str">
            <v>Foaming</v>
          </cell>
          <cell r="E113" t="str">
            <v>FOAMING Rectangular</v>
          </cell>
          <cell r="F113" t="str">
            <v>Worker</v>
          </cell>
          <cell r="G113">
            <v>46114</v>
          </cell>
          <cell r="Q113">
            <v>160</v>
          </cell>
          <cell r="R113">
            <v>38</v>
          </cell>
          <cell r="S113">
            <v>0</v>
          </cell>
          <cell r="T113">
            <v>208</v>
          </cell>
          <cell r="U113">
            <v>22</v>
          </cell>
          <cell r="V113">
            <v>0</v>
          </cell>
          <cell r="W113">
            <v>196</v>
          </cell>
          <cell r="X113">
            <v>31</v>
          </cell>
          <cell r="Y113">
            <v>0</v>
          </cell>
          <cell r="Z113">
            <v>32</v>
          </cell>
          <cell r="AA113">
            <v>4</v>
          </cell>
          <cell r="AR113">
            <v>95</v>
          </cell>
        </row>
        <row r="114">
          <cell r="B114" t="str">
            <v>05112</v>
          </cell>
          <cell r="C114" t="str">
            <v>Phạm Trọng Nghĩa</v>
          </cell>
          <cell r="D114" t="str">
            <v>Foaming</v>
          </cell>
          <cell r="E114" t="str">
            <v>FOAMING Splitting</v>
          </cell>
          <cell r="F114" t="str">
            <v>Worker</v>
          </cell>
          <cell r="G114">
            <v>46114</v>
          </cell>
          <cell r="Q114">
            <v>160</v>
          </cell>
          <cell r="R114">
            <v>34</v>
          </cell>
          <cell r="S114">
            <v>0</v>
          </cell>
          <cell r="T114">
            <v>208</v>
          </cell>
          <cell r="U114">
            <v>20</v>
          </cell>
          <cell r="V114">
            <v>0</v>
          </cell>
          <cell r="W114">
            <v>216</v>
          </cell>
          <cell r="X114">
            <v>40</v>
          </cell>
          <cell r="Y114">
            <v>0</v>
          </cell>
          <cell r="Z114">
            <v>32</v>
          </cell>
          <cell r="AA114">
            <v>4</v>
          </cell>
          <cell r="AR114">
            <v>98</v>
          </cell>
        </row>
        <row r="115">
          <cell r="B115" t="str">
            <v>05164</v>
          </cell>
          <cell r="C115" t="str">
            <v>Trịnh Linh Nghi</v>
          </cell>
          <cell r="D115" t="str">
            <v>Foaming</v>
          </cell>
          <cell r="E115" t="str">
            <v>FOAMING Splitting</v>
          </cell>
          <cell r="F115" t="str">
            <v>Worker</v>
          </cell>
          <cell r="G115">
            <v>46146</v>
          </cell>
          <cell r="Q115" t="str">
            <v/>
          </cell>
          <cell r="S115">
            <v>0</v>
          </cell>
          <cell r="T115">
            <v>184</v>
          </cell>
          <cell r="U115">
            <v>12</v>
          </cell>
          <cell r="V115">
            <v>0</v>
          </cell>
          <cell r="W115">
            <v>216</v>
          </cell>
          <cell r="X115">
            <v>40</v>
          </cell>
          <cell r="Y115">
            <v>0</v>
          </cell>
          <cell r="Z115">
            <v>32</v>
          </cell>
          <cell r="AA115">
            <v>4</v>
          </cell>
          <cell r="AR115">
            <v>56</v>
          </cell>
        </row>
        <row r="116">
          <cell r="B116" t="str">
            <v>05182</v>
          </cell>
          <cell r="C116" t="str">
            <v>Huỳnh Hữu Phước</v>
          </cell>
          <cell r="D116" t="str">
            <v>Foaming</v>
          </cell>
          <cell r="E116" t="str">
            <v>FOAMING Rectangular</v>
          </cell>
          <cell r="F116" t="str">
            <v>Worker</v>
          </cell>
          <cell r="G116">
            <v>46150</v>
          </cell>
          <cell r="Q116" t="str">
            <v/>
          </cell>
          <cell r="S116">
            <v>0</v>
          </cell>
          <cell r="T116">
            <v>160</v>
          </cell>
          <cell r="U116">
            <v>12</v>
          </cell>
          <cell r="V116">
            <v>0</v>
          </cell>
          <cell r="W116">
            <v>212</v>
          </cell>
          <cell r="X116">
            <v>40</v>
          </cell>
          <cell r="Y116">
            <v>0</v>
          </cell>
          <cell r="Z116">
            <v>32</v>
          </cell>
          <cell r="AA116">
            <v>4</v>
          </cell>
          <cell r="AR116">
            <v>56</v>
          </cell>
        </row>
        <row r="117">
          <cell r="B117" t="str">
            <v>05196</v>
          </cell>
          <cell r="C117" t="str">
            <v>Đỗ Hoàng Chí Tâm</v>
          </cell>
          <cell r="D117" t="str">
            <v>Foaming</v>
          </cell>
          <cell r="E117" t="str">
            <v>FOAMING Rectangular</v>
          </cell>
          <cell r="F117" t="str">
            <v>Worker</v>
          </cell>
          <cell r="G117">
            <v>46157</v>
          </cell>
          <cell r="Q117" t="str">
            <v/>
          </cell>
          <cell r="S117">
            <v>0</v>
          </cell>
          <cell r="T117">
            <v>112</v>
          </cell>
          <cell r="U117">
            <v>16</v>
          </cell>
          <cell r="V117">
            <v>0</v>
          </cell>
          <cell r="W117">
            <v>173.216666667</v>
          </cell>
          <cell r="X117">
            <v>30</v>
          </cell>
          <cell r="Y117">
            <v>0</v>
          </cell>
          <cell r="Z117">
            <v>24</v>
          </cell>
          <cell r="AA117">
            <v>4</v>
          </cell>
          <cell r="AR117">
            <v>50</v>
          </cell>
        </row>
        <row r="118">
          <cell r="B118" t="str">
            <v>05209</v>
          </cell>
          <cell r="C118" t="str">
            <v>Trần Thị Hồng Lam</v>
          </cell>
          <cell r="D118" t="str">
            <v>Foaming</v>
          </cell>
          <cell r="E118" t="str">
            <v>FOAMING Production control</v>
          </cell>
          <cell r="F118" t="str">
            <v>Staff</v>
          </cell>
          <cell r="G118">
            <v>46162</v>
          </cell>
          <cell r="Q118" t="str">
            <v/>
          </cell>
          <cell r="S118">
            <v>0</v>
          </cell>
          <cell r="T118">
            <v>40</v>
          </cell>
          <cell r="U118">
            <v>1.5</v>
          </cell>
          <cell r="V118">
            <v>0</v>
          </cell>
          <cell r="W118">
            <v>216</v>
          </cell>
          <cell r="X118">
            <v>9</v>
          </cell>
          <cell r="Y118">
            <v>0</v>
          </cell>
          <cell r="Z118">
            <v>32</v>
          </cell>
          <cell r="AA118">
            <v>1.5</v>
          </cell>
          <cell r="AR118">
            <v>12</v>
          </cell>
        </row>
        <row r="119">
          <cell r="B119" t="str">
            <v>05210</v>
          </cell>
          <cell r="C119" t="str">
            <v>Huỳnh Hồng Phúc</v>
          </cell>
          <cell r="D119" t="str">
            <v>Foaming</v>
          </cell>
          <cell r="E119" t="str">
            <v>FOAMING Rectangular</v>
          </cell>
          <cell r="F119" t="str">
            <v>Worker</v>
          </cell>
          <cell r="G119">
            <v>46162</v>
          </cell>
          <cell r="Q119" t="str">
            <v/>
          </cell>
          <cell r="S119">
            <v>0</v>
          </cell>
          <cell r="T119">
            <v>80</v>
          </cell>
          <cell r="U119">
            <v>0</v>
          </cell>
          <cell r="V119">
            <v>0</v>
          </cell>
          <cell r="W119">
            <v>216</v>
          </cell>
          <cell r="X119">
            <v>18</v>
          </cell>
          <cell r="Y119">
            <v>0</v>
          </cell>
          <cell r="Z119">
            <v>32</v>
          </cell>
          <cell r="AA119">
            <v>8</v>
          </cell>
          <cell r="AR119">
            <v>26</v>
          </cell>
        </row>
        <row r="120">
          <cell r="B120" t="str">
            <v>05229</v>
          </cell>
          <cell r="C120" t="str">
            <v>Phạm Vĩnh An</v>
          </cell>
          <cell r="D120" t="str">
            <v>Foaming</v>
          </cell>
          <cell r="E120" t="str">
            <v>FOAMING Splitting</v>
          </cell>
          <cell r="F120" t="str">
            <v>Worker</v>
          </cell>
          <cell r="G120" t="str">
            <v>29/05/2026</v>
          </cell>
          <cell r="Q120" t="str">
            <v/>
          </cell>
          <cell r="S120">
            <v>0</v>
          </cell>
          <cell r="T120">
            <v>16</v>
          </cell>
          <cell r="V120">
            <v>0</v>
          </cell>
          <cell r="W120">
            <v>192</v>
          </cell>
          <cell r="X120">
            <v>36</v>
          </cell>
          <cell r="Y120">
            <v>0</v>
          </cell>
          <cell r="Z120">
            <v>32</v>
          </cell>
          <cell r="AA120">
            <v>4</v>
          </cell>
          <cell r="AR120">
            <v>40</v>
          </cell>
        </row>
        <row r="121">
          <cell r="B121" t="str">
            <v>05228</v>
          </cell>
          <cell r="C121" t="str">
            <v>Đặng Thị Minh Thư</v>
          </cell>
          <cell r="D121" t="str">
            <v>Foaming</v>
          </cell>
          <cell r="E121" t="str">
            <v>FOAMING Production control</v>
          </cell>
          <cell r="F121" t="str">
            <v>Staff</v>
          </cell>
          <cell r="G121" t="str">
            <v>29/05/2026</v>
          </cell>
          <cell r="Q121" t="str">
            <v/>
          </cell>
          <cell r="V121">
            <v>0</v>
          </cell>
          <cell r="W121">
            <v>192</v>
          </cell>
          <cell r="X121">
            <v>2</v>
          </cell>
          <cell r="Y121">
            <v>0</v>
          </cell>
          <cell r="Z121">
            <v>32</v>
          </cell>
          <cell r="AA121">
            <v>2.5</v>
          </cell>
          <cell r="AR121">
            <v>4.5</v>
          </cell>
        </row>
        <row r="122">
          <cell r="B122" t="str">
            <v>03909</v>
          </cell>
          <cell r="C122" t="str">
            <v>Phạm Trương Thanh Hoài</v>
          </cell>
          <cell r="D122" t="str">
            <v>Foaming</v>
          </cell>
          <cell r="E122" t="str">
            <v>FOAMING Production control</v>
          </cell>
          <cell r="F122" t="str">
            <v>Staff</v>
          </cell>
          <cell r="Q122" t="str">
            <v/>
          </cell>
          <cell r="S122">
            <v>0</v>
          </cell>
          <cell r="T122">
            <v>0</v>
          </cell>
          <cell r="V122">
            <v>0</v>
          </cell>
          <cell r="W122">
            <v>128</v>
          </cell>
          <cell r="X122">
            <v>4</v>
          </cell>
          <cell r="Y122">
            <v>0</v>
          </cell>
          <cell r="Z122">
            <v>32</v>
          </cell>
          <cell r="AA122">
            <v>0</v>
          </cell>
          <cell r="AR122">
            <v>4</v>
          </cell>
        </row>
        <row r="123">
          <cell r="B123" t="str">
            <v>05258</v>
          </cell>
          <cell r="C123" t="str">
            <v>Lưu Thị Huỳnh Như</v>
          </cell>
          <cell r="D123" t="str">
            <v>Foaming</v>
          </cell>
          <cell r="E123" t="str">
            <v>FOAMING Splitting</v>
          </cell>
          <cell r="F123" t="str">
            <v>Worker</v>
          </cell>
          <cell r="G123">
            <v>46185</v>
          </cell>
          <cell r="Q123" t="str">
            <v/>
          </cell>
          <cell r="V123">
            <v>0</v>
          </cell>
          <cell r="W123">
            <v>56</v>
          </cell>
          <cell r="X123">
            <v>0</v>
          </cell>
          <cell r="Y123">
            <v>0</v>
          </cell>
          <cell r="AR123">
            <v>0</v>
          </cell>
        </row>
        <row r="124">
          <cell r="B124" t="str">
            <v>05259</v>
          </cell>
          <cell r="C124" t="str">
            <v>Trần Văn Trọng</v>
          </cell>
          <cell r="D124" t="str">
            <v>Foaming</v>
          </cell>
          <cell r="E124" t="str">
            <v>FOAMING Splitting</v>
          </cell>
          <cell r="F124" t="str">
            <v>Worker</v>
          </cell>
          <cell r="G124">
            <v>46185</v>
          </cell>
          <cell r="Q124" t="str">
            <v/>
          </cell>
          <cell r="V124">
            <v>0</v>
          </cell>
          <cell r="W124">
            <v>96</v>
          </cell>
          <cell r="X124">
            <v>8</v>
          </cell>
          <cell r="Y124">
            <v>0</v>
          </cell>
          <cell r="Z124">
            <v>32</v>
          </cell>
          <cell r="AA124">
            <v>8</v>
          </cell>
          <cell r="AR124">
            <v>16</v>
          </cell>
        </row>
        <row r="125">
          <cell r="B125" t="str">
            <v>05280</v>
          </cell>
          <cell r="C125" t="str">
            <v>Nguyễn Đình Dương Khang</v>
          </cell>
          <cell r="D125" t="str">
            <v>Foaming</v>
          </cell>
          <cell r="Q125" t="str">
            <v/>
          </cell>
          <cell r="V125">
            <v>0</v>
          </cell>
          <cell r="W125">
            <v>48</v>
          </cell>
          <cell r="X125">
            <v>8</v>
          </cell>
          <cell r="Y125">
            <v>0</v>
          </cell>
          <cell r="Z125">
            <v>32</v>
          </cell>
          <cell r="AA125">
            <v>8</v>
          </cell>
          <cell r="AR125">
            <v>16</v>
          </cell>
        </row>
        <row r="126">
          <cell r="B126" t="str">
            <v>05281</v>
          </cell>
          <cell r="C126" t="str">
            <v>Nguyễn Văn Gấm</v>
          </cell>
          <cell r="D126" t="str">
            <v>Foaming</v>
          </cell>
          <cell r="Q126" t="str">
            <v/>
          </cell>
          <cell r="V126">
            <v>0</v>
          </cell>
          <cell r="W126">
            <v>48</v>
          </cell>
          <cell r="X126">
            <v>0</v>
          </cell>
          <cell r="Y126">
            <v>0</v>
          </cell>
          <cell r="Z126">
            <v>32</v>
          </cell>
          <cell r="AA126">
            <v>4</v>
          </cell>
          <cell r="AR126">
            <v>4</v>
          </cell>
        </row>
        <row r="127">
          <cell r="B127" t="str">
            <v>05291</v>
          </cell>
          <cell r="C127" t="str">
            <v>Huỳnh Thị Trà My</v>
          </cell>
          <cell r="D127" t="str">
            <v>Foaming</v>
          </cell>
          <cell r="Q127" t="str">
            <v/>
          </cell>
          <cell r="V127">
            <v>0</v>
          </cell>
          <cell r="Z127">
            <v>0</v>
          </cell>
          <cell r="AA127">
            <v>5</v>
          </cell>
          <cell r="AR127">
            <v>5</v>
          </cell>
        </row>
        <row r="128">
          <cell r="B128" t="str">
            <v>05292</v>
          </cell>
          <cell r="C128" t="str">
            <v>Đặng Thu Duyên</v>
          </cell>
          <cell r="D128" t="str">
            <v>Foaming</v>
          </cell>
          <cell r="Q128" t="str">
            <v/>
          </cell>
          <cell r="V128">
            <v>0</v>
          </cell>
          <cell r="Z128">
            <v>0</v>
          </cell>
          <cell r="AA128">
            <v>4</v>
          </cell>
          <cell r="AR128">
            <v>4</v>
          </cell>
        </row>
        <row r="129">
          <cell r="B129" t="str">
            <v>05293</v>
          </cell>
          <cell r="C129" t="str">
            <v>Nguyễn Văn Trường</v>
          </cell>
          <cell r="D129" t="str">
            <v>Foaming</v>
          </cell>
          <cell r="Q129" t="str">
            <v/>
          </cell>
          <cell r="V129">
            <v>0</v>
          </cell>
          <cell r="Z129">
            <v>0</v>
          </cell>
          <cell r="AA129">
            <v>5</v>
          </cell>
          <cell r="AR129">
            <v>5</v>
          </cell>
        </row>
        <row r="130">
          <cell r="B130" t="str">
            <v>05295</v>
          </cell>
          <cell r="C130" t="str">
            <v>Lương Văn Thắng</v>
          </cell>
          <cell r="D130" t="str">
            <v>Foaming</v>
          </cell>
          <cell r="Q130" t="str">
            <v/>
          </cell>
          <cell r="V130">
            <v>0</v>
          </cell>
          <cell r="Z130">
            <v>0</v>
          </cell>
          <cell r="AA130">
            <v>0</v>
          </cell>
          <cell r="AR130">
            <v>0</v>
          </cell>
        </row>
        <row r="131">
          <cell r="B131" t="str">
            <v>05296</v>
          </cell>
          <cell r="C131" t="str">
            <v>Nguyễn Văn Khải</v>
          </cell>
          <cell r="D131" t="str">
            <v>Foaming</v>
          </cell>
          <cell r="Q131" t="str">
            <v/>
          </cell>
          <cell r="V131">
            <v>0</v>
          </cell>
          <cell r="Z131">
            <v>0</v>
          </cell>
          <cell r="AA131">
            <v>8</v>
          </cell>
          <cell r="AR131">
            <v>8</v>
          </cell>
        </row>
        <row r="132">
          <cell r="Q132" t="str">
            <v/>
          </cell>
          <cell r="V132">
            <v>0</v>
          </cell>
          <cell r="AR132">
            <v>0</v>
          </cell>
        </row>
        <row r="133">
          <cell r="Q133" t="str">
            <v/>
          </cell>
          <cell r="V133">
            <v>0</v>
          </cell>
          <cell r="AR133">
            <v>0</v>
          </cell>
        </row>
        <row r="134">
          <cell r="Q134" t="str">
            <v/>
          </cell>
          <cell r="V134">
            <v>0</v>
          </cell>
          <cell r="AR134">
            <v>0</v>
          </cell>
        </row>
        <row r="135">
          <cell r="Q135" t="str">
            <v/>
          </cell>
          <cell r="V135">
            <v>0</v>
          </cell>
          <cell r="AR135">
            <v>0</v>
          </cell>
        </row>
        <row r="136">
          <cell r="Q136" t="str">
            <v/>
          </cell>
          <cell r="V136">
            <v>0</v>
          </cell>
          <cell r="AR136">
            <v>0</v>
          </cell>
        </row>
        <row r="137">
          <cell r="Q137" t="str">
            <v/>
          </cell>
          <cell r="V137">
            <v>0</v>
          </cell>
          <cell r="AR137">
            <v>0</v>
          </cell>
        </row>
        <row r="138">
          <cell r="Q138" t="str">
            <v/>
          </cell>
          <cell r="V138">
            <v>0</v>
          </cell>
          <cell r="AR138">
            <v>0</v>
          </cell>
        </row>
        <row r="139">
          <cell r="Q139" t="str">
            <v/>
          </cell>
          <cell r="V139">
            <v>0</v>
          </cell>
          <cell r="AR139">
            <v>0</v>
          </cell>
        </row>
        <row r="140">
          <cell r="Q140" t="str">
            <v/>
          </cell>
          <cell r="V140">
            <v>0</v>
          </cell>
          <cell r="AR140">
            <v>0</v>
          </cell>
        </row>
        <row r="141">
          <cell r="Q141" t="str">
            <v/>
          </cell>
          <cell r="V141">
            <v>0</v>
          </cell>
          <cell r="AR141">
            <v>0</v>
          </cell>
        </row>
        <row r="142">
          <cell r="Q142" t="str">
            <v/>
          </cell>
          <cell r="V142">
            <v>0</v>
          </cell>
          <cell r="AR142">
            <v>0</v>
          </cell>
        </row>
        <row r="143">
          <cell r="Q143" t="str">
            <v/>
          </cell>
          <cell r="V143">
            <v>0</v>
          </cell>
          <cell r="AR143">
            <v>0</v>
          </cell>
        </row>
        <row r="144">
          <cell r="Q144" t="str">
            <v/>
          </cell>
          <cell r="V144">
            <v>0</v>
          </cell>
          <cell r="AR144">
            <v>0</v>
          </cell>
        </row>
        <row r="145">
          <cell r="Q145" t="str">
            <v/>
          </cell>
          <cell r="V145">
            <v>0</v>
          </cell>
          <cell r="AR145">
            <v>0</v>
          </cell>
        </row>
        <row r="146">
          <cell r="Q146" t="str">
            <v/>
          </cell>
          <cell r="V146">
            <v>0</v>
          </cell>
          <cell r="AR146">
            <v>0</v>
          </cell>
        </row>
        <row r="147">
          <cell r="Q147" t="str">
            <v/>
          </cell>
          <cell r="V147">
            <v>0</v>
          </cell>
          <cell r="AR147">
            <v>0</v>
          </cell>
        </row>
        <row r="148">
          <cell r="Q148" t="str">
            <v/>
          </cell>
          <cell r="V148">
            <v>0</v>
          </cell>
          <cell r="AR148">
            <v>0</v>
          </cell>
        </row>
        <row r="149">
          <cell r="Q149" t="str">
            <v/>
          </cell>
          <cell r="V149">
            <v>0</v>
          </cell>
          <cell r="AR149">
            <v>0</v>
          </cell>
        </row>
        <row r="150">
          <cell r="Q150" t="str">
            <v/>
          </cell>
          <cell r="V150">
            <v>0</v>
          </cell>
          <cell r="AR150">
            <v>0</v>
          </cell>
        </row>
        <row r="151">
          <cell r="Q151" t="str">
            <v/>
          </cell>
          <cell r="V151">
            <v>0</v>
          </cell>
          <cell r="AR151">
            <v>0</v>
          </cell>
        </row>
        <row r="152">
          <cell r="Q152" t="str">
            <v/>
          </cell>
          <cell r="V152">
            <v>0</v>
          </cell>
          <cell r="AR152">
            <v>0</v>
          </cell>
        </row>
        <row r="153">
          <cell r="Q153" t="str">
            <v/>
          </cell>
          <cell r="V153">
            <v>0</v>
          </cell>
          <cell r="AR153">
            <v>0</v>
          </cell>
        </row>
        <row r="154">
          <cell r="Q154" t="str">
            <v/>
          </cell>
          <cell r="V154">
            <v>0</v>
          </cell>
          <cell r="AR154">
            <v>0</v>
          </cell>
        </row>
        <row r="155">
          <cell r="Q155" t="str">
            <v/>
          </cell>
          <cell r="V155">
            <v>0</v>
          </cell>
          <cell r="AR155">
            <v>0</v>
          </cell>
        </row>
        <row r="156">
          <cell r="Q156" t="str">
            <v/>
          </cell>
          <cell r="V156">
            <v>0</v>
          </cell>
          <cell r="AR156">
            <v>0</v>
          </cell>
        </row>
        <row r="157">
          <cell r="Q157" t="str">
            <v/>
          </cell>
          <cell r="V157">
            <v>0</v>
          </cell>
          <cell r="AR157">
            <v>0</v>
          </cell>
        </row>
        <row r="158">
          <cell r="Q158" t="str">
            <v/>
          </cell>
          <cell r="V158">
            <v>0</v>
          </cell>
          <cell r="AR158">
            <v>0</v>
          </cell>
        </row>
        <row r="159">
          <cell r="Q159" t="str">
            <v/>
          </cell>
          <cell r="V159">
            <v>0</v>
          </cell>
          <cell r="AR159">
            <v>0</v>
          </cell>
        </row>
        <row r="160">
          <cell r="Q160" t="str">
            <v/>
          </cell>
          <cell r="V160">
            <v>0</v>
          </cell>
          <cell r="AR160">
            <v>0</v>
          </cell>
        </row>
        <row r="161">
          <cell r="Q161" t="str">
            <v/>
          </cell>
          <cell r="V161">
            <v>0</v>
          </cell>
          <cell r="AR161">
            <v>0</v>
          </cell>
        </row>
        <row r="162">
          <cell r="Q162" t="str">
            <v/>
          </cell>
          <cell r="V162">
            <v>0</v>
          </cell>
          <cell r="AR162">
            <v>0</v>
          </cell>
        </row>
        <row r="163">
          <cell r="Q163" t="str">
            <v/>
          </cell>
          <cell r="V163">
            <v>0</v>
          </cell>
          <cell r="AR163">
            <v>0</v>
          </cell>
        </row>
        <row r="164">
          <cell r="Q164" t="str">
            <v/>
          </cell>
          <cell r="V164">
            <v>0</v>
          </cell>
          <cell r="AR164">
            <v>0</v>
          </cell>
        </row>
        <row r="165">
          <cell r="Q165" t="str">
            <v/>
          </cell>
          <cell r="V165">
            <v>0</v>
          </cell>
          <cell r="AR165">
            <v>0</v>
          </cell>
        </row>
        <row r="166">
          <cell r="Q166" t="str">
            <v/>
          </cell>
          <cell r="V166">
            <v>0</v>
          </cell>
          <cell r="AR166">
            <v>0</v>
          </cell>
        </row>
        <row r="167">
          <cell r="Q167" t="str">
            <v/>
          </cell>
          <cell r="V167">
            <v>0</v>
          </cell>
          <cell r="AR167">
            <v>0</v>
          </cell>
        </row>
        <row r="168">
          <cell r="Q168" t="str">
            <v/>
          </cell>
          <cell r="V168">
            <v>0</v>
          </cell>
          <cell r="AR168">
            <v>0</v>
          </cell>
        </row>
        <row r="169">
          <cell r="Q169" t="str">
            <v/>
          </cell>
          <cell r="V169">
            <v>0</v>
          </cell>
          <cell r="AR169">
            <v>0</v>
          </cell>
        </row>
        <row r="170">
          <cell r="Q170" t="str">
            <v/>
          </cell>
          <cell r="V170">
            <v>0</v>
          </cell>
          <cell r="AR170">
            <v>0</v>
          </cell>
        </row>
        <row r="171">
          <cell r="Q171" t="str">
            <v/>
          </cell>
          <cell r="V171">
            <v>0</v>
          </cell>
          <cell r="AR171">
            <v>0</v>
          </cell>
        </row>
        <row r="172">
          <cell r="Q172" t="str">
            <v/>
          </cell>
          <cell r="V172">
            <v>0</v>
          </cell>
          <cell r="AR172">
            <v>0</v>
          </cell>
        </row>
        <row r="173">
          <cell r="Q173" t="str">
            <v/>
          </cell>
          <cell r="V173">
            <v>0</v>
          </cell>
          <cell r="AR173">
            <v>0</v>
          </cell>
        </row>
        <row r="174">
          <cell r="Q174" t="str">
            <v/>
          </cell>
          <cell r="V174">
            <v>0</v>
          </cell>
          <cell r="AR174">
            <v>0</v>
          </cell>
        </row>
        <row r="175">
          <cell r="Q175" t="str">
            <v/>
          </cell>
          <cell r="V175">
            <v>0</v>
          </cell>
          <cell r="AR175">
            <v>0</v>
          </cell>
        </row>
        <row r="176">
          <cell r="Q176" t="str">
            <v/>
          </cell>
          <cell r="V176">
            <v>0</v>
          </cell>
          <cell r="AR176">
            <v>0</v>
          </cell>
        </row>
        <row r="177">
          <cell r="Q177" t="str">
            <v/>
          </cell>
          <cell r="V177">
            <v>0</v>
          </cell>
          <cell r="AR177">
            <v>0</v>
          </cell>
        </row>
        <row r="178">
          <cell r="Q178" t="str">
            <v/>
          </cell>
          <cell r="V178">
            <v>0</v>
          </cell>
          <cell r="AR178">
            <v>0</v>
          </cell>
        </row>
        <row r="179">
          <cell r="Q179" t="str">
            <v/>
          </cell>
          <cell r="V179">
            <v>0</v>
          </cell>
          <cell r="AR179">
            <v>0</v>
          </cell>
        </row>
        <row r="180">
          <cell r="Q180" t="str">
            <v/>
          </cell>
          <cell r="V180">
            <v>0</v>
          </cell>
          <cell r="AR180">
            <v>0</v>
          </cell>
        </row>
        <row r="181">
          <cell r="Q181" t="str">
            <v/>
          </cell>
          <cell r="V181">
            <v>0</v>
          </cell>
          <cell r="AR181">
            <v>0</v>
          </cell>
        </row>
        <row r="182">
          <cell r="Q182" t="str">
            <v/>
          </cell>
          <cell r="V182">
            <v>0</v>
          </cell>
          <cell r="AR182">
            <v>0</v>
          </cell>
        </row>
        <row r="183">
          <cell r="Q183" t="str">
            <v/>
          </cell>
          <cell r="V183">
            <v>0</v>
          </cell>
          <cell r="AR183">
            <v>0</v>
          </cell>
        </row>
        <row r="184">
          <cell r="Q184" t="str">
            <v/>
          </cell>
          <cell r="V184">
            <v>0</v>
          </cell>
          <cell r="AR184">
            <v>0</v>
          </cell>
        </row>
        <row r="185">
          <cell r="Q185" t="str">
            <v/>
          </cell>
          <cell r="V185">
            <v>0</v>
          </cell>
          <cell r="AR185">
            <v>0</v>
          </cell>
        </row>
        <row r="186">
          <cell r="Q186" t="str">
            <v/>
          </cell>
          <cell r="V186">
            <v>0</v>
          </cell>
          <cell r="AR186">
            <v>0</v>
          </cell>
        </row>
        <row r="187">
          <cell r="Q187" t="str">
            <v/>
          </cell>
          <cell r="V187">
            <v>0</v>
          </cell>
          <cell r="AR187">
            <v>0</v>
          </cell>
        </row>
        <row r="188">
          <cell r="Q188" t="str">
            <v/>
          </cell>
          <cell r="V188">
            <v>0</v>
          </cell>
          <cell r="AR188">
            <v>0</v>
          </cell>
        </row>
        <row r="189">
          <cell r="Q189" t="str">
            <v/>
          </cell>
          <cell r="V189">
            <v>0</v>
          </cell>
          <cell r="AR189">
            <v>0</v>
          </cell>
        </row>
        <row r="190">
          <cell r="Q190" t="str">
            <v/>
          </cell>
          <cell r="V190">
            <v>0</v>
          </cell>
          <cell r="AR190">
            <v>0</v>
          </cell>
        </row>
        <row r="191">
          <cell r="Q191" t="str">
            <v/>
          </cell>
          <cell r="V191">
            <v>0</v>
          </cell>
          <cell r="AR191">
            <v>0</v>
          </cell>
        </row>
        <row r="192">
          <cell r="Q192" t="str">
            <v/>
          </cell>
          <cell r="V192">
            <v>0</v>
          </cell>
          <cell r="AR192">
            <v>0</v>
          </cell>
        </row>
        <row r="193">
          <cell r="Q193" t="str">
            <v/>
          </cell>
          <cell r="V193">
            <v>0</v>
          </cell>
          <cell r="AR193">
            <v>0</v>
          </cell>
        </row>
        <row r="194">
          <cell r="Q194" t="str">
            <v/>
          </cell>
          <cell r="V194">
            <v>0</v>
          </cell>
          <cell r="AR194">
            <v>0</v>
          </cell>
        </row>
        <row r="195">
          <cell r="Q195" t="str">
            <v/>
          </cell>
          <cell r="V195">
            <v>0</v>
          </cell>
          <cell r="AR195">
            <v>0</v>
          </cell>
        </row>
        <row r="196">
          <cell r="Q196" t="str">
            <v/>
          </cell>
          <cell r="V196">
            <v>0</v>
          </cell>
          <cell r="AR196">
            <v>0</v>
          </cell>
        </row>
        <row r="197">
          <cell r="Q197" t="str">
            <v/>
          </cell>
          <cell r="V197">
            <v>0</v>
          </cell>
          <cell r="AR197">
            <v>0</v>
          </cell>
        </row>
        <row r="198">
          <cell r="Q198" t="str">
            <v/>
          </cell>
          <cell r="V198">
            <v>0</v>
          </cell>
          <cell r="AR198">
            <v>0</v>
          </cell>
        </row>
        <row r="199">
          <cell r="Q199" t="str">
            <v/>
          </cell>
          <cell r="V199">
            <v>0</v>
          </cell>
          <cell r="AR199">
            <v>0</v>
          </cell>
        </row>
        <row r="200">
          <cell r="Q200" t="str">
            <v/>
          </cell>
          <cell r="V200">
            <v>0</v>
          </cell>
          <cell r="AR200">
            <v>0</v>
          </cell>
        </row>
        <row r="201">
          <cell r="Q201" t="str">
            <v/>
          </cell>
          <cell r="V201">
            <v>0</v>
          </cell>
          <cell r="AR201">
            <v>0</v>
          </cell>
        </row>
        <row r="202">
          <cell r="Q202" t="str">
            <v/>
          </cell>
          <cell r="V202">
            <v>0</v>
          </cell>
          <cell r="AR202">
            <v>0</v>
          </cell>
        </row>
        <row r="203">
          <cell r="Q203" t="str">
            <v/>
          </cell>
          <cell r="V203">
            <v>0</v>
          </cell>
          <cell r="AR203">
            <v>0</v>
          </cell>
        </row>
        <row r="204">
          <cell r="Q204" t="str">
            <v/>
          </cell>
          <cell r="V204">
            <v>0</v>
          </cell>
          <cell r="AR204">
            <v>0</v>
          </cell>
        </row>
        <row r="205">
          <cell r="Q205" t="str">
            <v/>
          </cell>
          <cell r="V205">
            <v>0</v>
          </cell>
          <cell r="AR205">
            <v>0</v>
          </cell>
        </row>
        <row r="206">
          <cell r="Q206" t="str">
            <v/>
          </cell>
          <cell r="V206">
            <v>0</v>
          </cell>
          <cell r="AR206">
            <v>0</v>
          </cell>
        </row>
        <row r="207">
          <cell r="Q207" t="str">
            <v/>
          </cell>
          <cell r="V207">
            <v>0</v>
          </cell>
          <cell r="AR207">
            <v>0</v>
          </cell>
        </row>
        <row r="208">
          <cell r="Q208" t="str">
            <v/>
          </cell>
          <cell r="V208">
            <v>0</v>
          </cell>
          <cell r="AR208">
            <v>0</v>
          </cell>
        </row>
        <row r="209">
          <cell r="Q209" t="str">
            <v/>
          </cell>
          <cell r="V209">
            <v>0</v>
          </cell>
          <cell r="AR209">
            <v>0</v>
          </cell>
        </row>
        <row r="210">
          <cell r="Q210" t="str">
            <v/>
          </cell>
          <cell r="V210">
            <v>0</v>
          </cell>
          <cell r="AR210">
            <v>0</v>
          </cell>
        </row>
        <row r="211">
          <cell r="Q211" t="str">
            <v/>
          </cell>
          <cell r="V211">
            <v>0</v>
          </cell>
          <cell r="AR211">
            <v>0</v>
          </cell>
        </row>
        <row r="212">
          <cell r="Q212" t="str">
            <v/>
          </cell>
          <cell r="V212">
            <v>0</v>
          </cell>
          <cell r="AR212">
            <v>0</v>
          </cell>
        </row>
        <row r="213">
          <cell r="Q213" t="str">
            <v/>
          </cell>
          <cell r="V213">
            <v>0</v>
          </cell>
          <cell r="AR213">
            <v>0</v>
          </cell>
        </row>
        <row r="214">
          <cell r="Q214" t="str">
            <v/>
          </cell>
          <cell r="V214">
            <v>0</v>
          </cell>
          <cell r="AR214">
            <v>0</v>
          </cell>
        </row>
        <row r="215">
          <cell r="Q215" t="str">
            <v/>
          </cell>
          <cell r="V215">
            <v>0</v>
          </cell>
          <cell r="AR215">
            <v>0</v>
          </cell>
        </row>
        <row r="216">
          <cell r="Q216" t="str">
            <v/>
          </cell>
          <cell r="V216">
            <v>0</v>
          </cell>
          <cell r="AR216">
            <v>0</v>
          </cell>
        </row>
        <row r="217">
          <cell r="Q217" t="str">
            <v/>
          </cell>
          <cell r="V217">
            <v>0</v>
          </cell>
          <cell r="AR217">
            <v>0</v>
          </cell>
        </row>
        <row r="218">
          <cell r="Q218" t="str">
            <v/>
          </cell>
          <cell r="V218">
            <v>0</v>
          </cell>
          <cell r="AR218">
            <v>0</v>
          </cell>
        </row>
        <row r="219">
          <cell r="Q219" t="str">
            <v/>
          </cell>
          <cell r="V219">
            <v>0</v>
          </cell>
          <cell r="AR219">
            <v>0</v>
          </cell>
        </row>
        <row r="220">
          <cell r="Q220" t="str">
            <v/>
          </cell>
          <cell r="V220">
            <v>0</v>
          </cell>
          <cell r="AR220">
            <v>0</v>
          </cell>
        </row>
        <row r="221">
          <cell r="Q221" t="str">
            <v/>
          </cell>
          <cell r="V221">
            <v>0</v>
          </cell>
          <cell r="AR221">
            <v>0</v>
          </cell>
        </row>
        <row r="222">
          <cell r="Q222" t="str">
            <v/>
          </cell>
          <cell r="V222">
            <v>0</v>
          </cell>
          <cell r="AR222">
            <v>0</v>
          </cell>
        </row>
        <row r="223">
          <cell r="Q223" t="str">
            <v/>
          </cell>
          <cell r="V223">
            <v>0</v>
          </cell>
          <cell r="AR223">
            <v>0</v>
          </cell>
        </row>
        <row r="224">
          <cell r="Q224" t="str">
            <v/>
          </cell>
          <cell r="V224">
            <v>0</v>
          </cell>
          <cell r="AR224">
            <v>0</v>
          </cell>
        </row>
        <row r="225">
          <cell r="Q225" t="str">
            <v/>
          </cell>
          <cell r="V225">
            <v>0</v>
          </cell>
          <cell r="AR225">
            <v>0</v>
          </cell>
        </row>
        <row r="226">
          <cell r="Q226" t="str">
            <v/>
          </cell>
          <cell r="V226">
            <v>0</v>
          </cell>
          <cell r="AR226">
            <v>0</v>
          </cell>
        </row>
        <row r="227">
          <cell r="Q227" t="str">
            <v/>
          </cell>
          <cell r="V227">
            <v>0</v>
          </cell>
          <cell r="AR227">
            <v>0</v>
          </cell>
        </row>
        <row r="228">
          <cell r="Q228" t="str">
            <v/>
          </cell>
          <cell r="V228">
            <v>0</v>
          </cell>
          <cell r="AR228">
            <v>0</v>
          </cell>
        </row>
        <row r="229">
          <cell r="Q229" t="str">
            <v/>
          </cell>
          <cell r="V229">
            <v>0</v>
          </cell>
          <cell r="AR229">
            <v>0</v>
          </cell>
        </row>
        <row r="230">
          <cell r="Q230" t="str">
            <v/>
          </cell>
          <cell r="V230">
            <v>0</v>
          </cell>
          <cell r="AR230">
            <v>0</v>
          </cell>
        </row>
        <row r="231">
          <cell r="Q231" t="str">
            <v/>
          </cell>
          <cell r="V231">
            <v>0</v>
          </cell>
          <cell r="AR231">
            <v>0</v>
          </cell>
        </row>
        <row r="232">
          <cell r="Q232" t="str">
            <v/>
          </cell>
          <cell r="V232">
            <v>0</v>
          </cell>
          <cell r="AR232">
            <v>0</v>
          </cell>
        </row>
        <row r="233">
          <cell r="Q233" t="str">
            <v/>
          </cell>
          <cell r="V233">
            <v>0</v>
          </cell>
          <cell r="AR233">
            <v>0</v>
          </cell>
        </row>
        <row r="234">
          <cell r="Q234" t="str">
            <v/>
          </cell>
          <cell r="V234">
            <v>0</v>
          </cell>
          <cell r="AR234">
            <v>0</v>
          </cell>
        </row>
        <row r="235">
          <cell r="Q235" t="str">
            <v/>
          </cell>
          <cell r="V235">
            <v>0</v>
          </cell>
          <cell r="AR235">
            <v>0</v>
          </cell>
        </row>
        <row r="236">
          <cell r="Q236" t="str">
            <v/>
          </cell>
          <cell r="V236">
            <v>0</v>
          </cell>
          <cell r="AR236">
            <v>0</v>
          </cell>
        </row>
        <row r="237">
          <cell r="Q237" t="str">
            <v/>
          </cell>
          <cell r="V237">
            <v>0</v>
          </cell>
          <cell r="AR237">
            <v>0</v>
          </cell>
        </row>
        <row r="238">
          <cell r="Q238" t="str">
            <v/>
          </cell>
          <cell r="V238">
            <v>0</v>
          </cell>
          <cell r="AR238">
            <v>0</v>
          </cell>
        </row>
        <row r="239">
          <cell r="Q239" t="str">
            <v/>
          </cell>
          <cell r="V239">
            <v>0</v>
          </cell>
          <cell r="AR239">
            <v>0</v>
          </cell>
        </row>
        <row r="240">
          <cell r="Q240" t="str">
            <v/>
          </cell>
          <cell r="V240">
            <v>0</v>
          </cell>
          <cell r="AR240">
            <v>0</v>
          </cell>
        </row>
        <row r="241">
          <cell r="Q241" t="str">
            <v/>
          </cell>
          <cell r="V241">
            <v>0</v>
          </cell>
          <cell r="AR241">
            <v>0</v>
          </cell>
        </row>
        <row r="242">
          <cell r="Q242" t="str">
            <v/>
          </cell>
          <cell r="V242">
            <v>0</v>
          </cell>
          <cell r="AR242">
            <v>0</v>
          </cell>
        </row>
        <row r="243">
          <cell r="Q243" t="str">
            <v/>
          </cell>
          <cell r="V243">
            <v>0</v>
          </cell>
          <cell r="AR243">
            <v>0</v>
          </cell>
        </row>
        <row r="244">
          <cell r="Q244" t="str">
            <v/>
          </cell>
          <cell r="V244">
            <v>0</v>
          </cell>
          <cell r="AR244">
            <v>0</v>
          </cell>
        </row>
        <row r="245">
          <cell r="Q245" t="str">
            <v/>
          </cell>
          <cell r="V245">
            <v>0</v>
          </cell>
          <cell r="AR245">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13.18"/>
      <sheetName val="20.25"/>
      <sheetName val="28.29"/>
      <sheetName val="04.09"/>
      <sheetName val="11.16"/>
      <sheetName val="24.7 T4"/>
      <sheetName val="4.09"/>
    </sheetNames>
    <sheetDataSet>
      <sheetData sheetId="0"/>
      <sheetData sheetId="1">
        <row r="1">
          <cell r="B1"/>
          <cell r="C1"/>
          <cell r="D1"/>
        </row>
        <row r="2">
          <cell r="B2"/>
          <cell r="C2"/>
          <cell r="D2"/>
        </row>
        <row r="3">
          <cell r="B3"/>
          <cell r="C3"/>
          <cell r="D3"/>
        </row>
        <row r="4">
          <cell r="B4" t="str">
            <v>EID
Mã NV</v>
          </cell>
          <cell r="C4" t="str">
            <v>Full name 
Họ và Tên</v>
          </cell>
          <cell r="D4" t="str">
            <v>Bộ phận</v>
          </cell>
        </row>
        <row r="5">
          <cell r="B5" t="str">
            <v>02165</v>
          </cell>
          <cell r="C5" t="str">
            <v>Trần Kim Giàu</v>
          </cell>
          <cell r="D5" t="str">
            <v>Đổ</v>
          </cell>
        </row>
        <row r="6">
          <cell r="B6" t="str">
            <v>02126</v>
          </cell>
          <cell r="C6" t="str">
            <v>Lê Cao Tài</v>
          </cell>
          <cell r="D6" t="str">
            <v>Linh</v>
          </cell>
        </row>
        <row r="7">
          <cell r="B7" t="str">
            <v>02328</v>
          </cell>
          <cell r="C7" t="str">
            <v>Biện Công Phúc Vy</v>
          </cell>
          <cell r="D7" t="str">
            <v>Đổ</v>
          </cell>
        </row>
        <row r="8">
          <cell r="B8" t="str">
            <v>02474</v>
          </cell>
          <cell r="C8" t="str">
            <v>Nguyễn Anh Tú</v>
          </cell>
          <cell r="D8" t="str">
            <v>Đổ</v>
          </cell>
        </row>
        <row r="9">
          <cell r="B9" t="str">
            <v>02793</v>
          </cell>
          <cell r="C9" t="str">
            <v>Khưu Thanh Nhã</v>
          </cell>
          <cell r="D9" t="str">
            <v>Đổ</v>
          </cell>
        </row>
        <row r="10">
          <cell r="B10" t="str">
            <v>02920</v>
          </cell>
          <cell r="C10" t="str">
            <v>Nguyễn Tuấn Kiệt</v>
          </cell>
          <cell r="D10" t="str">
            <v>Đổ</v>
          </cell>
        </row>
        <row r="11">
          <cell r="B11" t="str">
            <v>03071</v>
          </cell>
          <cell r="C11" t="str">
            <v>Hồ Phú Hữu</v>
          </cell>
          <cell r="D11" t="str">
            <v>Đổ</v>
          </cell>
        </row>
        <row r="12">
          <cell r="B12" t="str">
            <v>03366</v>
          </cell>
          <cell r="C12" t="str">
            <v>Lê Chí Hiển</v>
          </cell>
          <cell r="D12" t="str">
            <v>Đổ</v>
          </cell>
        </row>
        <row r="13">
          <cell r="B13" t="str">
            <v>03521</v>
          </cell>
          <cell r="C13" t="str">
            <v>Nguyễn Văn Sành</v>
          </cell>
          <cell r="D13" t="str">
            <v>Đổ</v>
          </cell>
        </row>
        <row r="14">
          <cell r="B14" t="str">
            <v>04004</v>
          </cell>
          <cell r="C14" t="str">
            <v>Nguyễn Văn Sự</v>
          </cell>
          <cell r="D14" t="str">
            <v>Linh</v>
          </cell>
        </row>
        <row r="15">
          <cell r="B15" t="str">
            <v>04064</v>
          </cell>
          <cell r="C15" t="str">
            <v>Huỳnh Minh An</v>
          </cell>
          <cell r="D15" t="str">
            <v>Đổ</v>
          </cell>
        </row>
        <row r="16">
          <cell r="B16" t="str">
            <v>04067</v>
          </cell>
          <cell r="C16" t="str">
            <v>Phạm Văn Sang</v>
          </cell>
          <cell r="D16" t="str">
            <v>Đổ</v>
          </cell>
        </row>
        <row r="17">
          <cell r="B17" t="str">
            <v>02130</v>
          </cell>
          <cell r="C17" t="str">
            <v>Phạm Tuấn Dũ</v>
          </cell>
          <cell r="D17" t="str">
            <v>Đổ</v>
          </cell>
        </row>
        <row r="18">
          <cell r="B18" t="str">
            <v>02107</v>
          </cell>
          <cell r="C18" t="str">
            <v>Nguyễn Vũ Em</v>
          </cell>
          <cell r="D18" t="str">
            <v>Đổ</v>
          </cell>
        </row>
        <row r="19">
          <cell r="B19" t="str">
            <v>02352</v>
          </cell>
          <cell r="C19" t="str">
            <v>Nguyễn Văn Khánh</v>
          </cell>
          <cell r="D19" t="str">
            <v>Đổ</v>
          </cell>
        </row>
        <row r="20">
          <cell r="B20" t="str">
            <v>03227</v>
          </cell>
          <cell r="C20" t="str">
            <v>Nguyễn Văn Kha</v>
          </cell>
          <cell r="D20" t="str">
            <v>Đổ</v>
          </cell>
        </row>
        <row r="21">
          <cell r="B21" t="str">
            <v>03267</v>
          </cell>
          <cell r="C21" t="str">
            <v>Lê Duy Khang</v>
          </cell>
          <cell r="D21" t="str">
            <v>Đổ</v>
          </cell>
        </row>
        <row r="22">
          <cell r="B22" t="str">
            <v>03376</v>
          </cell>
          <cell r="C22" t="str">
            <v>Ngô Vũ Luân</v>
          </cell>
          <cell r="D22" t="str">
            <v>Đổ</v>
          </cell>
        </row>
        <row r="23">
          <cell r="B23" t="str">
            <v>03783</v>
          </cell>
          <cell r="C23" t="str">
            <v>Hồ Văn Tuốt</v>
          </cell>
          <cell r="D23" t="str">
            <v>Đổ</v>
          </cell>
        </row>
        <row r="24">
          <cell r="B24" t="str">
            <v>04066</v>
          </cell>
          <cell r="C24" t="str">
            <v>Trần Thanh Hùng Em</v>
          </cell>
          <cell r="D24" t="str">
            <v>Đổ</v>
          </cell>
        </row>
        <row r="25">
          <cell r="B25" t="str">
            <v>04195</v>
          </cell>
          <cell r="C25" t="str">
            <v>Lê Văn Tươi</v>
          </cell>
          <cell r="D25" t="str">
            <v>Đổ</v>
          </cell>
        </row>
        <row r="26">
          <cell r="B26" t="str">
            <v>02075</v>
          </cell>
          <cell r="C26" t="str">
            <v>Đinh Chí Linh</v>
          </cell>
          <cell r="D26" t="str">
            <v>Linh</v>
          </cell>
        </row>
        <row r="27">
          <cell r="B27" t="str">
            <v>02167</v>
          </cell>
          <cell r="C27" t="str">
            <v>Võ Hữu Nghi</v>
          </cell>
          <cell r="D27" t="str">
            <v>Đổ</v>
          </cell>
        </row>
        <row r="28">
          <cell r="B28" t="str">
            <v>03053</v>
          </cell>
          <cell r="C28" t="str">
            <v>Nguyễn Việt Hưng</v>
          </cell>
          <cell r="D28" t="str">
            <v>Sang</v>
          </cell>
        </row>
        <row r="29">
          <cell r="B29" t="str">
            <v>03564</v>
          </cell>
          <cell r="C29" t="str">
            <v>Nguyễn Tuấn Vũ</v>
          </cell>
          <cell r="D29" t="str">
            <v>Sang</v>
          </cell>
        </row>
        <row r="30">
          <cell r="B30" t="str">
            <v>00295</v>
          </cell>
          <cell r="C30" t="str">
            <v>Nguyễn Thị Diễm Trang</v>
          </cell>
          <cell r="D30" t="str">
            <v>Đóng gói</v>
          </cell>
        </row>
        <row r="31">
          <cell r="B31" t="str">
            <v>02067</v>
          </cell>
          <cell r="C31" t="str">
            <v>Trương Văn Đạt</v>
          </cell>
          <cell r="D31" t="str">
            <v>AUTO Dương</v>
          </cell>
        </row>
        <row r="32">
          <cell r="B32" t="str">
            <v>02163</v>
          </cell>
          <cell r="C32" t="str">
            <v>Trần Văn Nhựt</v>
          </cell>
          <cell r="D32" t="str">
            <v>TÁCH CƠ</v>
          </cell>
        </row>
        <row r="33">
          <cell r="B33" t="str">
            <v>02174</v>
          </cell>
          <cell r="C33" t="str">
            <v>Nguyễn Hữu Diện</v>
          </cell>
          <cell r="D33" t="str">
            <v>TÁCH CƠ</v>
          </cell>
        </row>
        <row r="34">
          <cell r="B34" t="str">
            <v>02190</v>
          </cell>
          <cell r="C34" t="str">
            <v>Nguyễn Bảo Lăng</v>
          </cell>
          <cell r="D34" t="str">
            <v>TÁCH CƠ</v>
          </cell>
        </row>
        <row r="35">
          <cell r="B35" t="str">
            <v>02108</v>
          </cell>
          <cell r="C35" t="str">
            <v>Nguyễn Văn Thịnh</v>
          </cell>
          <cell r="D35" t="str">
            <v>TÁCH CƠ</v>
          </cell>
        </row>
        <row r="36">
          <cell r="B36" t="str">
            <v>02289</v>
          </cell>
          <cell r="C36" t="str">
            <v>Thái Thị Trúc Ly</v>
          </cell>
          <cell r="D36" t="str">
            <v>TÁCH CƠ</v>
          </cell>
        </row>
        <row r="37">
          <cell r="B37" t="str">
            <v>02322</v>
          </cell>
          <cell r="C37" t="str">
            <v>Lâm Thị Tú Phương</v>
          </cell>
          <cell r="D37" t="str">
            <v>TÁCH CƠ</v>
          </cell>
        </row>
        <row r="38">
          <cell r="B38" t="str">
            <v>02336</v>
          </cell>
          <cell r="C38" t="str">
            <v>Phạm Hoàng Nam</v>
          </cell>
          <cell r="D38" t="str">
            <v>AUTO Hưởng</v>
          </cell>
        </row>
        <row r="39">
          <cell r="B39" t="str">
            <v>02604</v>
          </cell>
          <cell r="C39" t="str">
            <v>Nguyễn Xuân Tiến</v>
          </cell>
          <cell r="D39" t="str">
            <v>TÁCH CƠ</v>
          </cell>
        </row>
        <row r="40">
          <cell r="B40" t="str">
            <v>03107</v>
          </cell>
          <cell r="C40" t="str">
            <v>Nguyễn Thị Thu Thảo</v>
          </cell>
          <cell r="D40" t="str">
            <v>TÁCH CƠ</v>
          </cell>
        </row>
        <row r="41">
          <cell r="B41" t="str">
            <v>04044</v>
          </cell>
          <cell r="C41" t="str">
            <v>Lý Tuyết Mịnh</v>
          </cell>
          <cell r="D41" t="str">
            <v>Đóng gói</v>
          </cell>
        </row>
        <row r="42">
          <cell r="B42" t="str">
            <v>04112</v>
          </cell>
          <cell r="C42" t="str">
            <v>Trần Thanh Đại</v>
          </cell>
          <cell r="D42" t="str">
            <v>AUTO Dương</v>
          </cell>
        </row>
        <row r="43">
          <cell r="B43" t="str">
            <v>02111</v>
          </cell>
          <cell r="C43" t="str">
            <v>Lâm Hoàng Đặng</v>
          </cell>
          <cell r="D43" t="str">
            <v>TÁCH CƠ</v>
          </cell>
        </row>
        <row r="44">
          <cell r="B44" t="str">
            <v>02133</v>
          </cell>
          <cell r="C44" t="str">
            <v>Đặng Minh Dương</v>
          </cell>
          <cell r="D44" t="str">
            <v>AUTO Dương</v>
          </cell>
        </row>
        <row r="45">
          <cell r="B45" t="str">
            <v>01079</v>
          </cell>
          <cell r="C45" t="str">
            <v>Phan Hoàng Linh</v>
          </cell>
          <cell r="D45" t="str">
            <v>AUTO Linh</v>
          </cell>
        </row>
        <row r="46">
          <cell r="B46" t="str">
            <v>01362</v>
          </cell>
          <cell r="C46" t="str">
            <v>Huỳnh Văn Trường</v>
          </cell>
          <cell r="D46" t="str">
            <v>TÁCH CƠ</v>
          </cell>
        </row>
        <row r="47">
          <cell r="B47" t="str">
            <v>02076</v>
          </cell>
          <cell r="C47" t="str">
            <v>Hoàng Văn Tuấn</v>
          </cell>
          <cell r="D47" t="str">
            <v>TÁCH CƠ</v>
          </cell>
        </row>
        <row r="48">
          <cell r="B48" t="str">
            <v>02132</v>
          </cell>
          <cell r="C48" t="str">
            <v>Cao Thanh Ngọc</v>
          </cell>
          <cell r="D48" t="str">
            <v>AUTO Linh</v>
          </cell>
        </row>
        <row r="49">
          <cell r="B49" t="str">
            <v>02320</v>
          </cell>
          <cell r="C49" t="str">
            <v>Nguyễn Thị Ngọc Lan</v>
          </cell>
          <cell r="D49" t="str">
            <v>QT ĐỔ</v>
          </cell>
        </row>
        <row r="50">
          <cell r="B50" t="str">
            <v>02786</v>
          </cell>
          <cell r="C50" t="str">
            <v>Lê Huỳnh Hân</v>
          </cell>
          <cell r="D50" t="str">
            <v>QT ĐỔ</v>
          </cell>
        </row>
        <row r="51">
          <cell r="B51" t="str">
            <v>03065</v>
          </cell>
          <cell r="C51" t="str">
            <v>Nguyễn Ngọc Đức</v>
          </cell>
          <cell r="D51" t="str">
            <v>TÁCH CƠ</v>
          </cell>
        </row>
        <row r="52">
          <cell r="B52" t="str">
            <v>03363</v>
          </cell>
          <cell r="C52" t="str">
            <v>Nguyễn Văn Sáng</v>
          </cell>
          <cell r="D52" t="str">
            <v>AUTO Hưởng</v>
          </cell>
        </row>
        <row r="53">
          <cell r="B53" t="str">
            <v>03373</v>
          </cell>
          <cell r="C53" t="str">
            <v>Phan Minh Gạch</v>
          </cell>
          <cell r="D53" t="str">
            <v>AUTO Linh</v>
          </cell>
        </row>
        <row r="54">
          <cell r="B54" t="str">
            <v>03514</v>
          </cell>
          <cell r="C54" t="str">
            <v>Giáp Thị Kiều</v>
          </cell>
          <cell r="D54" t="str">
            <v>QT ĐỔ</v>
          </cell>
        </row>
        <row r="55">
          <cell r="B55" t="str">
            <v>02538</v>
          </cell>
          <cell r="C55" t="str">
            <v>Nguyễn Thị Bích Duyên</v>
          </cell>
          <cell r="D55" t="str">
            <v>Đóng gói</v>
          </cell>
        </row>
        <row r="56">
          <cell r="B56" t="str">
            <v>04047</v>
          </cell>
          <cell r="C56" t="str">
            <v>Danh Tấn Đức</v>
          </cell>
          <cell r="D56" t="str">
            <v>AUTO Linh</v>
          </cell>
        </row>
        <row r="57">
          <cell r="B57" t="str">
            <v>04079</v>
          </cell>
          <cell r="C57" t="str">
            <v>Huỳnh Văn Mãi</v>
          </cell>
          <cell r="D57" t="str">
            <v>Đổ</v>
          </cell>
        </row>
        <row r="58">
          <cell r="B58" t="str">
            <v>04080</v>
          </cell>
          <cell r="C58" t="str">
            <v>Nguyễn Văn Thủy</v>
          </cell>
          <cell r="D58" t="str">
            <v>AUTO Hưởng</v>
          </cell>
        </row>
        <row r="59">
          <cell r="B59" t="str">
            <v>04151</v>
          </cell>
          <cell r="C59" t="str">
            <v>Đặng Đông Tình</v>
          </cell>
          <cell r="D59" t="str">
            <v>Đóng gói</v>
          </cell>
        </row>
        <row r="60">
          <cell r="B60" t="str">
            <v>04152</v>
          </cell>
          <cell r="C60" t="str">
            <v>Nguyễn Hà Sang</v>
          </cell>
          <cell r="D60" t="str">
            <v>AUTO Linh</v>
          </cell>
        </row>
        <row r="61">
          <cell r="B61" t="str">
            <v>01221</v>
          </cell>
          <cell r="C61" t="str">
            <v>Nguyễn Văn Vạn</v>
          </cell>
          <cell r="D61" t="str">
            <v>Đóng gói</v>
          </cell>
        </row>
        <row r="62">
          <cell r="B62" t="str">
            <v>02101</v>
          </cell>
          <cell r="C62" t="str">
            <v>Nguyễn Văn Trọn</v>
          </cell>
          <cell r="D62" t="str">
            <v>Đóng gói</v>
          </cell>
        </row>
        <row r="63">
          <cell r="B63" t="str">
            <v>04046</v>
          </cell>
          <cell r="C63" t="str">
            <v>Lê Đoàn Vũ</v>
          </cell>
          <cell r="D63" t="str">
            <v>AUTO Dương</v>
          </cell>
        </row>
        <row r="64">
          <cell r="B64" t="str">
            <v>02514</v>
          </cell>
          <cell r="C64" t="str">
            <v>Nguyễn Hà Trang</v>
          </cell>
          <cell r="D64" t="str">
            <v>TÁCH CƠ</v>
          </cell>
        </row>
        <row r="65">
          <cell r="B65" t="str">
            <v>03515</v>
          </cell>
          <cell r="C65" t="str">
            <v>Phạm Thị Kim Nhung</v>
          </cell>
          <cell r="D65" t="str">
            <v>Đóng gói</v>
          </cell>
        </row>
        <row r="66">
          <cell r="B66" t="str">
            <v>04283</v>
          </cell>
          <cell r="C66" t="str">
            <v>Lê Trung Lil</v>
          </cell>
          <cell r="D66" t="str">
            <v>AUTO Dương</v>
          </cell>
        </row>
        <row r="67">
          <cell r="B67" t="str">
            <v>02166</v>
          </cell>
          <cell r="C67" t="str">
            <v>Nguyễn Văn Hưởng</v>
          </cell>
          <cell r="D67" t="str">
            <v>AUTO Hưởng</v>
          </cell>
        </row>
        <row r="68">
          <cell r="B68" t="str">
            <v>02737</v>
          </cell>
          <cell r="C68" t="str">
            <v>Võ Thị Thu Hằng</v>
          </cell>
          <cell r="D68" t="str">
            <v>Đóng gói</v>
          </cell>
        </row>
        <row r="69">
          <cell r="B69" t="str">
            <v>03075</v>
          </cell>
          <cell r="C69" t="str">
            <v>Nguyễn Thị Muội</v>
          </cell>
          <cell r="D69" t="str">
            <v>Đóng gói</v>
          </cell>
        </row>
        <row r="70">
          <cell r="B70" t="str">
            <v>02150</v>
          </cell>
          <cell r="C70" t="str">
            <v>Võ Thị Hồng Quy</v>
          </cell>
          <cell r="D70" t="str">
            <v>Đóng gói</v>
          </cell>
        </row>
        <row r="71">
          <cell r="B71" t="str">
            <v>02603</v>
          </cell>
          <cell r="C71" t="str">
            <v>Nguyễn Văn Thảo</v>
          </cell>
          <cell r="D71" t="str">
            <v>Leader</v>
          </cell>
        </row>
        <row r="72">
          <cell r="B72" t="str">
            <v>02139</v>
          </cell>
          <cell r="C72" t="str">
            <v>Đặng Thị Diễm My</v>
          </cell>
          <cell r="D72" t="str">
            <v>VP</v>
          </cell>
        </row>
        <row r="73">
          <cell r="B73" t="str">
            <v>02239</v>
          </cell>
          <cell r="C73" t="str">
            <v>Lê Phong Nhã</v>
          </cell>
          <cell r="D73" t="str">
            <v>VP</v>
          </cell>
        </row>
        <row r="74">
          <cell r="B74" t="str">
            <v>02271</v>
          </cell>
          <cell r="C74" t="str">
            <v>Nguyễn Hoài Nam</v>
          </cell>
          <cell r="D74" t="str">
            <v>VP</v>
          </cell>
        </row>
        <row r="75">
          <cell r="B75" t="str">
            <v>50004</v>
          </cell>
          <cell r="C75" t="str">
            <v>Lê Phúc Sang</v>
          </cell>
          <cell r="D75" t="str">
            <v>VP</v>
          </cell>
        </row>
        <row r="76">
          <cell r="B76" t="str">
            <v>02929</v>
          </cell>
          <cell r="C76" t="str">
            <v>Nguyễn Thị Hoàng Ngọc Phượng</v>
          </cell>
          <cell r="D76" t="str">
            <v>VP</v>
          </cell>
        </row>
        <row r="77">
          <cell r="B77" t="str">
            <v>00012</v>
          </cell>
          <cell r="C77" t="str">
            <v>Lê Hữu Dũng</v>
          </cell>
          <cell r="D77" t="str">
            <v>VP</v>
          </cell>
        </row>
        <row r="78">
          <cell r="B78" t="str">
            <v>03108</v>
          </cell>
          <cell r="C78" t="str">
            <v>Nguyễn Thị Cẩm Nguyên</v>
          </cell>
          <cell r="D78" t="str">
            <v>Linh</v>
          </cell>
        </row>
        <row r="79">
          <cell r="B79" t="str">
            <v>03651</v>
          </cell>
          <cell r="C79" t="str">
            <v>Huỳnh Hữu Trí</v>
          </cell>
          <cell r="D79" t="str">
            <v>VP</v>
          </cell>
        </row>
        <row r="80">
          <cell r="B80" t="str">
            <v>03781</v>
          </cell>
          <cell r="C80" t="str">
            <v>Huỳnh Trọng Kha</v>
          </cell>
          <cell r="D80" t="str">
            <v>VP</v>
          </cell>
        </row>
        <row r="81">
          <cell r="B81" t="str">
            <v>03907</v>
          </cell>
          <cell r="C81" t="str">
            <v>Nguyễn Thị Thanh Tâm</v>
          </cell>
          <cell r="D81" t="str">
            <v>VP</v>
          </cell>
        </row>
        <row r="82">
          <cell r="B82" t="str">
            <v>04043</v>
          </cell>
          <cell r="C82" t="str">
            <v>Phạm Việt Hà</v>
          </cell>
          <cell r="D82" t="str">
            <v>VP</v>
          </cell>
        </row>
        <row r="83">
          <cell r="B83" t="str">
            <v>04237</v>
          </cell>
          <cell r="C83" t="str">
            <v>Phan Kiều Diễm</v>
          </cell>
          <cell r="D83" t="str">
            <v>VP</v>
          </cell>
        </row>
        <row r="84">
          <cell r="B84" t="str">
            <v>04240</v>
          </cell>
          <cell r="C84" t="str">
            <v>Trầm Công Lý</v>
          </cell>
          <cell r="D84" t="str">
            <v>VP</v>
          </cell>
        </row>
        <row r="85">
          <cell r="B85" t="str">
            <v>04313</v>
          </cell>
          <cell r="C85" t="str">
            <v>Nguyễn Hồng Thuận</v>
          </cell>
          <cell r="D85" t="str">
            <v>Đổ</v>
          </cell>
        </row>
        <row r="86">
          <cell r="B86" t="str">
            <v>04314</v>
          </cell>
          <cell r="C86" t="str">
            <v>Nguyễn Trọng Sơn</v>
          </cell>
          <cell r="D86" t="str">
            <v>Sang</v>
          </cell>
        </row>
        <row r="87">
          <cell r="B87" t="str">
            <v>04392</v>
          </cell>
          <cell r="C87" t="str">
            <v>Lê Phi Công</v>
          </cell>
          <cell r="D87" t="str">
            <v>AUTO Hưởng</v>
          </cell>
        </row>
        <row r="88">
          <cell r="B88" t="str">
            <v>04393</v>
          </cell>
          <cell r="C88" t="str">
            <v>Ngô Vũ Phương</v>
          </cell>
          <cell r="D88" t="str">
            <v>TÁCH CƠ</v>
          </cell>
        </row>
        <row r="89">
          <cell r="B89" t="str">
            <v>04420</v>
          </cell>
          <cell r="C89" t="str">
            <v>Nguyễn Quốc Nam</v>
          </cell>
          <cell r="D89" t="str">
            <v>Mẫu</v>
          </cell>
        </row>
        <row r="90">
          <cell r="B90" t="str">
            <v>04421</v>
          </cell>
          <cell r="C90" t="str">
            <v>Lâm Tấn Đạt</v>
          </cell>
          <cell r="D90" t="str">
            <v>TÁCH CƠ</v>
          </cell>
        </row>
        <row r="91">
          <cell r="B91" t="str">
            <v>04424</v>
          </cell>
          <cell r="C91" t="str">
            <v>Huỳnh Tài Chánh</v>
          </cell>
          <cell r="D91" t="str">
            <v>Đổ</v>
          </cell>
        </row>
        <row r="92">
          <cell r="B92" t="str">
            <v>04425</v>
          </cell>
          <cell r="C92" t="str">
            <v>Trương Văn Trong</v>
          </cell>
          <cell r="D92" t="str">
            <v>Đổ</v>
          </cell>
        </row>
        <row r="93">
          <cell r="B93" t="str">
            <v>04462</v>
          </cell>
          <cell r="C93" t="str">
            <v>Danh Tiền</v>
          </cell>
          <cell r="D93" t="str">
            <v>Đổ</v>
          </cell>
        </row>
        <row r="94">
          <cell r="B94" t="str">
            <v>04464</v>
          </cell>
          <cell r="C94" t="str">
            <v>Hà Thành Đạt</v>
          </cell>
          <cell r="D94" t="str">
            <v>Đổ</v>
          </cell>
        </row>
        <row r="95">
          <cell r="B95" t="str">
            <v>04465</v>
          </cell>
          <cell r="C95" t="str">
            <v>Trần Văn Linh</v>
          </cell>
          <cell r="D95" t="str">
            <v>Đổ</v>
          </cell>
        </row>
        <row r="96">
          <cell r="B96" t="str">
            <v>04517</v>
          </cell>
          <cell r="C96" t="str">
            <v>Hoàng Văn Anh</v>
          </cell>
          <cell r="D96" t="str">
            <v>Đổ</v>
          </cell>
        </row>
        <row r="97">
          <cell r="B97" t="str">
            <v>04546</v>
          </cell>
          <cell r="C97" t="str">
            <v>Nguyễn Thái Hoàng</v>
          </cell>
          <cell r="D97" t="str">
            <v>Sang</v>
          </cell>
        </row>
        <row r="98">
          <cell r="B98" t="str">
            <v>03575</v>
          </cell>
          <cell r="C98" t="str">
            <v>Phạm Thị Ngọt</v>
          </cell>
          <cell r="D98" t="str">
            <v>Đóng gói</v>
          </cell>
        </row>
        <row r="99">
          <cell r="B99" t="str">
            <v>04667</v>
          </cell>
          <cell r="C99" t="str">
            <v>Hoàng Minh Thuỳ</v>
          </cell>
          <cell r="D99" t="str">
            <v>VP</v>
          </cell>
        </row>
        <row r="100">
          <cell r="B100" t="str">
            <v>04681</v>
          </cell>
          <cell r="C100" t="str">
            <v>Đoàn Minh Trí</v>
          </cell>
          <cell r="D100" t="str">
            <v>Linh</v>
          </cell>
        </row>
        <row r="101">
          <cell r="B101" t="str">
            <v>04820</v>
          </cell>
          <cell r="C101" t="str">
            <v>Trần Tuấn Anh</v>
          </cell>
          <cell r="D101" t="str">
            <v>VP</v>
          </cell>
        </row>
        <row r="102">
          <cell r="B102" t="str">
            <v>02396</v>
          </cell>
          <cell r="C102" t="str">
            <v>Trương Hồng Gấm</v>
          </cell>
          <cell r="D102" t="str">
            <v>Đóng gói</v>
          </cell>
        </row>
        <row r="103">
          <cell r="B103" t="str">
            <v>04926</v>
          </cell>
          <cell r="C103" t="str">
            <v>Phan Hải Giang</v>
          </cell>
          <cell r="D103" t="str">
            <v>VP</v>
          </cell>
        </row>
        <row r="104">
          <cell r="B104" t="str">
            <v>04974</v>
          </cell>
          <cell r="C104" t="str">
            <v>Lê Đắc Đức</v>
          </cell>
          <cell r="D104" t="str">
            <v>TÁCH CƠ</v>
          </cell>
        </row>
        <row r="105">
          <cell r="B105" t="str">
            <v>04975</v>
          </cell>
          <cell r="C105" t="str">
            <v>Lê Bá Thế Anh</v>
          </cell>
          <cell r="D105" t="str">
            <v>Đổ</v>
          </cell>
        </row>
        <row r="106">
          <cell r="B106" t="str">
            <v>04976</v>
          </cell>
          <cell r="C106" t="str">
            <v>Huỳnh Đức Trung</v>
          </cell>
          <cell r="D106" t="str">
            <v>Đổ</v>
          </cell>
        </row>
        <row r="107">
          <cell r="B107" t="str">
            <v>04981</v>
          </cell>
          <cell r="C107" t="str">
            <v>Trần Thanh Phúc</v>
          </cell>
          <cell r="D107" t="str">
            <v>TÁCH CƠ</v>
          </cell>
        </row>
        <row r="108">
          <cell r="B108" t="str">
            <v>04982</v>
          </cell>
          <cell r="C108" t="str">
            <v>Đoàn Quốc Lập</v>
          </cell>
          <cell r="D108" t="str">
            <v>Đổ</v>
          </cell>
        </row>
        <row r="109">
          <cell r="B109" t="str">
            <v>04983</v>
          </cell>
          <cell r="C109" t="str">
            <v>Lê Hà Gia Phát</v>
          </cell>
          <cell r="D109" t="str">
            <v>Đổ</v>
          </cell>
        </row>
        <row r="110">
          <cell r="B110" t="str">
            <v>04993</v>
          </cell>
          <cell r="C110" t="str">
            <v>Võ Văn Long</v>
          </cell>
          <cell r="D110" t="str">
            <v>Đóng gói</v>
          </cell>
        </row>
        <row r="111">
          <cell r="B111" t="str">
            <v>05001</v>
          </cell>
          <cell r="C111" t="str">
            <v>Thạch Som</v>
          </cell>
          <cell r="D111" t="str">
            <v>TÁCH CƠ</v>
          </cell>
        </row>
        <row r="112">
          <cell r="B112" t="str">
            <v>05064</v>
          </cell>
          <cell r="C112" t="str">
            <v>Dương Trùng Vương</v>
          </cell>
          <cell r="D112" t="str">
            <v>Đổ</v>
          </cell>
        </row>
        <row r="113">
          <cell r="B113" t="str">
            <v>05065</v>
          </cell>
          <cell r="C113" t="str">
            <v>Nguyễn Bá Kiên</v>
          </cell>
          <cell r="D113" t="str">
            <v>Đóng gói</v>
          </cell>
        </row>
        <row r="114">
          <cell r="B114" t="str">
            <v>05066</v>
          </cell>
          <cell r="C114" t="str">
            <v>Phạm Văn Trường</v>
          </cell>
          <cell r="D114" t="str">
            <v>Đổ</v>
          </cell>
        </row>
        <row r="115">
          <cell r="B115" t="str">
            <v>05067</v>
          </cell>
          <cell r="C115" t="str">
            <v>Dương Văn Bảo</v>
          </cell>
          <cell r="D115" t="str">
            <v>Đổ</v>
          </cell>
        </row>
        <row r="116">
          <cell r="B116" t="str">
            <v>05091</v>
          </cell>
          <cell r="C116" t="str">
            <v>Phan Nguyễn Trọng Đức</v>
          </cell>
          <cell r="D116" t="str">
            <v>VP</v>
          </cell>
        </row>
        <row r="117">
          <cell r="B117" t="str">
            <v>05094</v>
          </cell>
          <cell r="C117" t="str">
            <v>Nguyễn Văn Đầy</v>
          </cell>
          <cell r="D117" t="str">
            <v>Đóng gói</v>
          </cell>
        </row>
        <row r="118">
          <cell r="B118" t="str">
            <v>05110</v>
          </cell>
          <cell r="C118" t="str">
            <v>Trịnh Văn Túc</v>
          </cell>
          <cell r="D118" t="str">
            <v>TÁCH CƠ</v>
          </cell>
        </row>
        <row r="119">
          <cell r="B119" t="str">
            <v>05111</v>
          </cell>
          <cell r="C119" t="str">
            <v>Châu Hoàng Giang</v>
          </cell>
          <cell r="D119" t="str">
            <v>TÁCH CƠ</v>
          </cell>
        </row>
        <row r="120">
          <cell r="B120" t="str">
            <v>05112</v>
          </cell>
          <cell r="C120" t="str">
            <v>Phạm Trọng Nghĩa</v>
          </cell>
          <cell r="D120" t="str">
            <v>TÁCH CƠ</v>
          </cell>
        </row>
        <row r="121">
          <cell r="B121"/>
          <cell r="C121"/>
          <cell r="D121"/>
        </row>
        <row r="122">
          <cell r="B122"/>
          <cell r="C122"/>
          <cell r="D122"/>
        </row>
        <row r="123">
          <cell r="B123"/>
          <cell r="C123"/>
          <cell r="D123"/>
        </row>
        <row r="124">
          <cell r="B124"/>
          <cell r="C124"/>
          <cell r="D124"/>
        </row>
        <row r="125">
          <cell r="B125"/>
          <cell r="C125"/>
          <cell r="D125"/>
        </row>
        <row r="126">
          <cell r="B126"/>
          <cell r="C126"/>
          <cell r="D126"/>
        </row>
      </sheetData>
      <sheetData sheetId="2"/>
      <sheetData sheetId="3"/>
      <sheetData sheetId="4"/>
      <sheetData sheetId="5"/>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L"/>
      <sheetName val="BCC Tổng 03.2026"/>
      <sheetName val="PHÉP NĂM TỔNG"/>
      <sheetName val="BCC Tổng TTS"/>
      <sheetName val="KO TRỪ CC"/>
      <sheetName val="KO TRỪ SL"/>
      <sheetName val="XNC"/>
      <sheetName val="ĐI TRỄ"/>
      <sheetName val="Vi phạm trừ sản lượng"/>
      <sheetName val="bù lương "/>
      <sheetName val="Điều chỉnh ngày nghỉ việc"/>
      <sheetName val="ds đi làm chủ nhật"/>
      <sheetName val="CACH TINH DI TRE VE SOM"/>
    </sheetNames>
    <sheetDataSet>
      <sheetData sheetId="0"/>
      <sheetData sheetId="1">
        <row r="37">
          <cell r="C37" t="str">
            <v>00014</v>
          </cell>
          <cell r="D37" t="str">
            <v>Nguyễn Thị Bích</v>
          </cell>
          <cell r="E37" t="str">
            <v>Production</v>
          </cell>
          <cell r="F37" t="str">
            <v>Lamination</v>
          </cell>
          <cell r="G37" t="str">
            <v>Worker</v>
          </cell>
          <cell r="H37">
            <v>41233</v>
          </cell>
          <cell r="I37">
            <v>8</v>
          </cell>
          <cell r="J37">
            <v>8</v>
          </cell>
          <cell r="K37">
            <v>8</v>
          </cell>
          <cell r="L37" t="str">
            <v>CN</v>
          </cell>
          <cell r="M37">
            <v>8</v>
          </cell>
          <cell r="N37">
            <v>8</v>
          </cell>
          <cell r="O37">
            <v>8</v>
          </cell>
          <cell r="P37">
            <v>8</v>
          </cell>
          <cell r="Q37">
            <v>8</v>
          </cell>
          <cell r="R37" t="str">
            <v>AL8</v>
          </cell>
          <cell r="S37" t="str">
            <v>CN</v>
          </cell>
          <cell r="T37" t="str">
            <v>AL8</v>
          </cell>
          <cell r="U37" t="str">
            <v>UP8</v>
          </cell>
          <cell r="V37" t="str">
            <v>UP8</v>
          </cell>
          <cell r="W37" t="str">
            <v>NP</v>
          </cell>
          <cell r="X37" t="str">
            <v>NP</v>
          </cell>
          <cell r="Y37" t="str">
            <v>NP</v>
          </cell>
          <cell r="Z37" t="str">
            <v>CN</v>
          </cell>
          <cell r="AA37" t="str">
            <v>NP</v>
          </cell>
          <cell r="AB37" t="str">
            <v>NP</v>
          </cell>
          <cell r="AC37" t="str">
            <v>TV</v>
          </cell>
          <cell r="AD37" t="str">
            <v>TV</v>
          </cell>
          <cell r="AE37" t="str">
            <v>TV</v>
          </cell>
          <cell r="AF37" t="str">
            <v>TV</v>
          </cell>
          <cell r="AG37" t="str">
            <v>TV</v>
          </cell>
          <cell r="AH37" t="str">
            <v>TV</v>
          </cell>
          <cell r="AI37" t="str">
            <v>TV</v>
          </cell>
          <cell r="AJ37" t="str">
            <v>TV</v>
          </cell>
          <cell r="AN37">
            <v>0</v>
          </cell>
          <cell r="AO37">
            <v>64</v>
          </cell>
          <cell r="AP37">
            <v>0</v>
          </cell>
          <cell r="AQ37">
            <v>0</v>
          </cell>
          <cell r="AR37">
            <v>0</v>
          </cell>
          <cell r="AS37">
            <v>16</v>
          </cell>
          <cell r="AT37">
            <v>5</v>
          </cell>
          <cell r="AU37">
            <v>0</v>
          </cell>
          <cell r="AV37">
            <v>0</v>
          </cell>
          <cell r="AW37">
            <v>0</v>
          </cell>
          <cell r="AX37">
            <v>0</v>
          </cell>
          <cell r="AY37">
            <v>0</v>
          </cell>
          <cell r="AZ37">
            <v>0</v>
          </cell>
          <cell r="BA37">
            <v>16</v>
          </cell>
          <cell r="BB37">
            <v>0</v>
          </cell>
          <cell r="BC37">
            <v>0</v>
          </cell>
          <cell r="BD37">
            <v>0</v>
          </cell>
          <cell r="BE37">
            <v>0</v>
          </cell>
          <cell r="BF37">
            <v>0</v>
          </cell>
          <cell r="BG37">
            <v>80</v>
          </cell>
          <cell r="BH37">
            <v>2</v>
          </cell>
          <cell r="BI37">
            <v>2</v>
          </cell>
          <cell r="BJ37">
            <v>0.5</v>
          </cell>
          <cell r="BL37">
            <v>2.5</v>
          </cell>
          <cell r="BM37">
            <v>3</v>
          </cell>
          <cell r="BN37">
            <v>1</v>
          </cell>
          <cell r="BO37">
            <v>0</v>
          </cell>
          <cell r="BP37">
            <v>0</v>
          </cell>
          <cell r="BQ37">
            <v>2</v>
          </cell>
          <cell r="BR37">
            <v>2</v>
          </cell>
          <cell r="BS37">
            <v>0</v>
          </cell>
          <cell r="BT37">
            <v>3</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R37">
            <v>0</v>
          </cell>
          <cell r="CS37">
            <v>0</v>
          </cell>
          <cell r="CT37">
            <v>13.5</v>
          </cell>
          <cell r="CU37">
            <v>0</v>
          </cell>
          <cell r="CV37">
            <v>0</v>
          </cell>
          <cell r="CZ37">
            <v>13.5</v>
          </cell>
        </row>
        <row r="38">
          <cell r="C38" t="str">
            <v>00015</v>
          </cell>
          <cell r="D38" t="str">
            <v>Phan Thị Bé Chín</v>
          </cell>
          <cell r="E38" t="str">
            <v>Production</v>
          </cell>
          <cell r="F38" t="str">
            <v>Molding</v>
          </cell>
          <cell r="G38" t="str">
            <v>Worker</v>
          </cell>
          <cell r="H38">
            <v>41233</v>
          </cell>
          <cell r="I38" t="str">
            <v>Đ</v>
          </cell>
          <cell r="J38" t="str">
            <v>Đ</v>
          </cell>
          <cell r="K38" t="str">
            <v>CN</v>
          </cell>
          <cell r="L38">
            <v>8</v>
          </cell>
          <cell r="M38">
            <v>8</v>
          </cell>
          <cell r="N38" t="str">
            <v>AL8</v>
          </cell>
          <cell r="O38">
            <v>8</v>
          </cell>
          <cell r="P38">
            <v>8</v>
          </cell>
          <cell r="Q38">
            <v>8</v>
          </cell>
          <cell r="R38" t="str">
            <v>CN</v>
          </cell>
          <cell r="S38" t="str">
            <v>Đ</v>
          </cell>
          <cell r="T38" t="str">
            <v>Đ</v>
          </cell>
          <cell r="U38" t="str">
            <v>Đ</v>
          </cell>
          <cell r="V38" t="str">
            <v>Đ</v>
          </cell>
          <cell r="W38" t="str">
            <v>Đ</v>
          </cell>
          <cell r="X38" t="str">
            <v>Đ</v>
          </cell>
          <cell r="Y38" t="str">
            <v>CN</v>
          </cell>
          <cell r="Z38">
            <v>8</v>
          </cell>
          <cell r="AA38">
            <v>8</v>
          </cell>
          <cell r="AB38">
            <v>8</v>
          </cell>
          <cell r="AC38">
            <v>8</v>
          </cell>
          <cell r="AD38">
            <v>8</v>
          </cell>
          <cell r="AE38">
            <v>8</v>
          </cell>
          <cell r="AF38" t="str">
            <v>CN</v>
          </cell>
          <cell r="AG38" t="str">
            <v>Đ</v>
          </cell>
          <cell r="AH38" t="str">
            <v>Đ</v>
          </cell>
          <cell r="AI38" t="str">
            <v>Đ</v>
          </cell>
          <cell r="AJ38" t="str">
            <v>Đ</v>
          </cell>
          <cell r="AN38">
            <v>96</v>
          </cell>
          <cell r="AO38">
            <v>88</v>
          </cell>
          <cell r="AP38">
            <v>0</v>
          </cell>
          <cell r="AQ38">
            <v>0</v>
          </cell>
          <cell r="AR38">
            <v>0</v>
          </cell>
          <cell r="AS38">
            <v>0</v>
          </cell>
          <cell r="AT38">
            <v>0</v>
          </cell>
          <cell r="AU38">
            <v>0</v>
          </cell>
          <cell r="AV38">
            <v>0</v>
          </cell>
          <cell r="AW38">
            <v>0</v>
          </cell>
          <cell r="AX38">
            <v>0</v>
          </cell>
          <cell r="AY38">
            <v>0</v>
          </cell>
          <cell r="AZ38">
            <v>0</v>
          </cell>
          <cell r="BA38">
            <v>8</v>
          </cell>
          <cell r="BB38">
            <v>0</v>
          </cell>
          <cell r="BC38">
            <v>0</v>
          </cell>
          <cell r="BD38">
            <v>0</v>
          </cell>
          <cell r="BE38">
            <v>0</v>
          </cell>
          <cell r="BF38">
            <v>0</v>
          </cell>
          <cell r="BG38">
            <v>192</v>
          </cell>
          <cell r="BH38">
            <v>1</v>
          </cell>
          <cell r="BI38">
            <v>1</v>
          </cell>
          <cell r="BJ38">
            <v>1.5</v>
          </cell>
          <cell r="BL38">
            <v>0</v>
          </cell>
          <cell r="BM38">
            <v>0</v>
          </cell>
          <cell r="BN38">
            <v>0</v>
          </cell>
          <cell r="BO38">
            <v>4</v>
          </cell>
          <cell r="BP38">
            <v>0</v>
          </cell>
          <cell r="BQ38">
            <v>0</v>
          </cell>
          <cell r="BR38">
            <v>4</v>
          </cell>
          <cell r="BS38">
            <v>0</v>
          </cell>
          <cell r="BT38">
            <v>4</v>
          </cell>
          <cell r="BU38">
            <v>0</v>
          </cell>
          <cell r="BV38">
            <v>4</v>
          </cell>
          <cell r="BW38">
            <v>4</v>
          </cell>
          <cell r="BX38">
            <v>0</v>
          </cell>
          <cell r="BY38">
            <v>0</v>
          </cell>
          <cell r="BZ38">
            <v>0</v>
          </cell>
          <cell r="CA38">
            <v>4</v>
          </cell>
          <cell r="CB38">
            <v>0</v>
          </cell>
          <cell r="CC38">
            <v>4</v>
          </cell>
          <cell r="CD38">
            <v>0</v>
          </cell>
          <cell r="CE38">
            <v>0</v>
          </cell>
          <cell r="CF38">
            <v>4</v>
          </cell>
          <cell r="CG38">
            <v>0</v>
          </cell>
          <cell r="CH38">
            <v>4</v>
          </cell>
          <cell r="CI38">
            <v>0</v>
          </cell>
          <cell r="CJ38">
            <v>4</v>
          </cell>
          <cell r="CK38">
            <v>0</v>
          </cell>
          <cell r="CL38">
            <v>0</v>
          </cell>
          <cell r="CM38">
            <v>4</v>
          </cell>
          <cell r="CR38">
            <v>0</v>
          </cell>
          <cell r="CS38">
            <v>0</v>
          </cell>
          <cell r="CT38">
            <v>44</v>
          </cell>
          <cell r="CU38">
            <v>0</v>
          </cell>
          <cell r="CV38">
            <v>0</v>
          </cell>
          <cell r="CZ38">
            <v>44</v>
          </cell>
        </row>
        <row r="39">
          <cell r="C39" t="str">
            <v>00025</v>
          </cell>
          <cell r="D39" t="str">
            <v>Phạm Thị Tám</v>
          </cell>
          <cell r="E39" t="str">
            <v>Production</v>
          </cell>
          <cell r="F39" t="str">
            <v>Die Cut</v>
          </cell>
          <cell r="G39" t="str">
            <v>Worker</v>
          </cell>
          <cell r="H39">
            <v>41233</v>
          </cell>
          <cell r="I39" t="str">
            <v>Đ</v>
          </cell>
          <cell r="J39" t="str">
            <v>Đ</v>
          </cell>
          <cell r="K39" t="str">
            <v>AL8</v>
          </cell>
          <cell r="L39" t="str">
            <v>CN</v>
          </cell>
          <cell r="M39">
            <v>8</v>
          </cell>
          <cell r="N39">
            <v>8</v>
          </cell>
          <cell r="O39">
            <v>8</v>
          </cell>
          <cell r="P39">
            <v>8</v>
          </cell>
          <cell r="Q39">
            <v>8</v>
          </cell>
          <cell r="R39">
            <v>8</v>
          </cell>
          <cell r="S39" t="str">
            <v>CN</v>
          </cell>
          <cell r="T39" t="str">
            <v>Đ</v>
          </cell>
          <cell r="U39" t="str">
            <v>Đ</v>
          </cell>
          <cell r="V39" t="str">
            <v>Đ</v>
          </cell>
          <cell r="W39" t="str">
            <v>Đ</v>
          </cell>
          <cell r="X39" t="str">
            <v>Đ</v>
          </cell>
          <cell r="Y39" t="str">
            <v>Đ</v>
          </cell>
          <cell r="Z39" t="str">
            <v>CN</v>
          </cell>
          <cell r="AA39">
            <v>8</v>
          </cell>
          <cell r="AB39">
            <v>8</v>
          </cell>
          <cell r="AC39">
            <v>8</v>
          </cell>
          <cell r="AD39">
            <v>8</v>
          </cell>
          <cell r="AE39">
            <v>8</v>
          </cell>
          <cell r="AF39">
            <v>8</v>
          </cell>
          <cell r="AG39" t="str">
            <v>CN</v>
          </cell>
          <cell r="AH39" t="str">
            <v>Đ</v>
          </cell>
          <cell r="AI39" t="str">
            <v>Đ</v>
          </cell>
          <cell r="AJ39" t="str">
            <v>Đ</v>
          </cell>
          <cell r="AN39">
            <v>88</v>
          </cell>
          <cell r="AO39">
            <v>96</v>
          </cell>
          <cell r="AP39">
            <v>0</v>
          </cell>
          <cell r="AQ39">
            <v>0</v>
          </cell>
          <cell r="AR39">
            <v>0</v>
          </cell>
          <cell r="AS39">
            <v>0</v>
          </cell>
          <cell r="AT39">
            <v>0</v>
          </cell>
          <cell r="AU39">
            <v>0</v>
          </cell>
          <cell r="AV39">
            <v>0</v>
          </cell>
          <cell r="AW39">
            <v>0</v>
          </cell>
          <cell r="AX39">
            <v>0</v>
          </cell>
          <cell r="AY39">
            <v>0</v>
          </cell>
          <cell r="AZ39">
            <v>0</v>
          </cell>
          <cell r="BA39">
            <v>8</v>
          </cell>
          <cell r="BB39">
            <v>0</v>
          </cell>
          <cell r="BC39">
            <v>0</v>
          </cell>
          <cell r="BD39">
            <v>0</v>
          </cell>
          <cell r="BE39">
            <v>0</v>
          </cell>
          <cell r="BF39">
            <v>0</v>
          </cell>
          <cell r="BG39">
            <v>192</v>
          </cell>
          <cell r="BH39">
            <v>1</v>
          </cell>
          <cell r="BI39">
            <v>1</v>
          </cell>
          <cell r="BJ39">
            <v>4.5</v>
          </cell>
          <cell r="BL39">
            <v>1.5</v>
          </cell>
          <cell r="BM39">
            <v>1.5</v>
          </cell>
          <cell r="BN39">
            <v>0</v>
          </cell>
          <cell r="BO39">
            <v>0</v>
          </cell>
          <cell r="BP39">
            <v>1.5</v>
          </cell>
          <cell r="BQ39">
            <v>0</v>
          </cell>
          <cell r="BR39">
            <v>0</v>
          </cell>
          <cell r="BS39">
            <v>3</v>
          </cell>
          <cell r="BT39">
            <v>3</v>
          </cell>
          <cell r="BU39">
            <v>3</v>
          </cell>
          <cell r="BV39">
            <v>0</v>
          </cell>
          <cell r="BW39">
            <v>4</v>
          </cell>
          <cell r="BX39">
            <v>4</v>
          </cell>
          <cell r="BY39">
            <v>4</v>
          </cell>
          <cell r="BZ39">
            <v>4</v>
          </cell>
          <cell r="CA39">
            <v>4</v>
          </cell>
          <cell r="CB39">
            <v>4</v>
          </cell>
          <cell r="CC39">
            <v>0</v>
          </cell>
          <cell r="CD39">
            <v>3</v>
          </cell>
          <cell r="CE39">
            <v>3</v>
          </cell>
          <cell r="CF39">
            <v>3</v>
          </cell>
          <cell r="CG39">
            <v>3</v>
          </cell>
          <cell r="CH39">
            <v>3</v>
          </cell>
          <cell r="CI39">
            <v>3</v>
          </cell>
          <cell r="CJ39">
            <v>8</v>
          </cell>
          <cell r="CK39">
            <v>4</v>
          </cell>
          <cell r="CL39">
            <v>4</v>
          </cell>
          <cell r="CM39">
            <v>4</v>
          </cell>
          <cell r="CR39">
            <v>0</v>
          </cell>
          <cell r="CS39">
            <v>0</v>
          </cell>
          <cell r="CT39">
            <v>67.5</v>
          </cell>
          <cell r="CU39">
            <v>8</v>
          </cell>
          <cell r="CV39">
            <v>0</v>
          </cell>
          <cell r="CZ39">
            <v>75.5</v>
          </cell>
        </row>
        <row r="40">
          <cell r="C40" t="str">
            <v>00041</v>
          </cell>
          <cell r="D40" t="str">
            <v>Nguyễn Thị Kim Vàng</v>
          </cell>
          <cell r="E40" t="str">
            <v>QC</v>
          </cell>
          <cell r="F40" t="str">
            <v>QC</v>
          </cell>
          <cell r="G40" t="str">
            <v>Skilled worker</v>
          </cell>
          <cell r="H40">
            <v>41246</v>
          </cell>
          <cell r="I40" t="str">
            <v>SL</v>
          </cell>
          <cell r="J40" t="str">
            <v>SL</v>
          </cell>
          <cell r="K40" t="str">
            <v>SL</v>
          </cell>
          <cell r="L40" t="str">
            <v>CN</v>
          </cell>
          <cell r="M40" t="str">
            <v>SL</v>
          </cell>
          <cell r="N40" t="str">
            <v>SL</v>
          </cell>
          <cell r="O40" t="str">
            <v>SL</v>
          </cell>
          <cell r="P40" t="str">
            <v>SL</v>
          </cell>
          <cell r="Q40" t="str">
            <v>SL</v>
          </cell>
          <cell r="R40" t="str">
            <v>SL</v>
          </cell>
          <cell r="S40" t="str">
            <v>CN</v>
          </cell>
          <cell r="T40" t="str">
            <v>SL</v>
          </cell>
          <cell r="U40" t="str">
            <v>SL</v>
          </cell>
          <cell r="V40" t="str">
            <v>SL</v>
          </cell>
          <cell r="W40" t="str">
            <v>SL</v>
          </cell>
          <cell r="X40" t="str">
            <v>SL</v>
          </cell>
          <cell r="Y40" t="str">
            <v>SL</v>
          </cell>
          <cell r="Z40" t="str">
            <v>CN</v>
          </cell>
          <cell r="AA40" t="str">
            <v>SL</v>
          </cell>
          <cell r="AB40" t="str">
            <v>SL</v>
          </cell>
          <cell r="AC40" t="str">
            <v>SL</v>
          </cell>
          <cell r="AD40" t="str">
            <v>SL</v>
          </cell>
          <cell r="AE40" t="str">
            <v>SL</v>
          </cell>
          <cell r="AF40" t="str">
            <v>SL</v>
          </cell>
          <cell r="AG40" t="str">
            <v>CN</v>
          </cell>
          <cell r="AH40" t="str">
            <v>SL</v>
          </cell>
          <cell r="AI40" t="str">
            <v>SL</v>
          </cell>
          <cell r="AJ40" t="str">
            <v>SL</v>
          </cell>
          <cell r="AN40">
            <v>0</v>
          </cell>
          <cell r="AO40">
            <v>0</v>
          </cell>
          <cell r="AP40">
            <v>0</v>
          </cell>
          <cell r="AQ40">
            <v>24</v>
          </cell>
          <cell r="AR40">
            <v>0</v>
          </cell>
          <cell r="AS40">
            <v>0</v>
          </cell>
          <cell r="AT40">
            <v>0</v>
          </cell>
          <cell r="AU40">
            <v>0</v>
          </cell>
          <cell r="AV40">
            <v>0</v>
          </cell>
          <cell r="AW40">
            <v>0</v>
          </cell>
          <cell r="AX40">
            <v>0</v>
          </cell>
          <cell r="AY40">
            <v>0</v>
          </cell>
          <cell r="AZ40">
            <v>0</v>
          </cell>
          <cell r="BA40">
            <v>0</v>
          </cell>
          <cell r="BB40">
            <v>0</v>
          </cell>
          <cell r="BC40">
            <v>0</v>
          </cell>
          <cell r="BD40">
            <v>0</v>
          </cell>
          <cell r="BE40">
            <v>0</v>
          </cell>
          <cell r="BF40">
            <v>0</v>
          </cell>
          <cell r="BG40">
            <v>0</v>
          </cell>
          <cell r="BH40">
            <v>0</v>
          </cell>
          <cell r="BI40">
            <v>0</v>
          </cell>
          <cell r="BJ40">
            <v>5.5</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cell r="CD40">
            <v>0</v>
          </cell>
          <cell r="CE40">
            <v>0</v>
          </cell>
          <cell r="CF40">
            <v>0</v>
          </cell>
          <cell r="CG40">
            <v>0</v>
          </cell>
          <cell r="CH40">
            <v>0</v>
          </cell>
          <cell r="CI40">
            <v>0</v>
          </cell>
          <cell r="CJ40">
            <v>0</v>
          </cell>
          <cell r="CK40">
            <v>0</v>
          </cell>
          <cell r="CL40">
            <v>0</v>
          </cell>
          <cell r="CM40">
            <v>0</v>
          </cell>
          <cell r="CR40">
            <v>0</v>
          </cell>
          <cell r="CS40">
            <v>0</v>
          </cell>
          <cell r="CT40">
            <v>0</v>
          </cell>
          <cell r="CU40">
            <v>0</v>
          </cell>
          <cell r="CV40">
            <v>0</v>
          </cell>
          <cell r="CZ40">
            <v>0</v>
          </cell>
        </row>
        <row r="41">
          <cell r="C41" t="str">
            <v>00050</v>
          </cell>
          <cell r="D41" t="str">
            <v>Tôn Đức Thông</v>
          </cell>
          <cell r="E41" t="str">
            <v>Production</v>
          </cell>
          <cell r="F41" t="str">
            <v>Lamination</v>
          </cell>
          <cell r="G41" t="str">
            <v>Worker</v>
          </cell>
          <cell r="H41">
            <v>41246</v>
          </cell>
          <cell r="I41">
            <v>8</v>
          </cell>
          <cell r="J41">
            <v>8</v>
          </cell>
          <cell r="K41" t="str">
            <v>Đ</v>
          </cell>
          <cell r="L41" t="str">
            <v>CN</v>
          </cell>
          <cell r="M41">
            <v>8</v>
          </cell>
          <cell r="N41">
            <v>8</v>
          </cell>
          <cell r="O41">
            <v>8</v>
          </cell>
          <cell r="P41">
            <v>8</v>
          </cell>
          <cell r="Q41" t="str">
            <v>Đ</v>
          </cell>
          <cell r="R41" t="str">
            <v>Đ</v>
          </cell>
          <cell r="S41" t="str">
            <v>CN</v>
          </cell>
          <cell r="T41" t="str">
            <v>AL8</v>
          </cell>
          <cell r="U41" t="str">
            <v>UP8</v>
          </cell>
          <cell r="V41">
            <v>8</v>
          </cell>
          <cell r="W41">
            <v>8</v>
          </cell>
          <cell r="X41">
            <v>8</v>
          </cell>
          <cell r="Y41" t="str">
            <v>Đ</v>
          </cell>
          <cell r="Z41" t="str">
            <v>CN</v>
          </cell>
          <cell r="AA41">
            <v>8</v>
          </cell>
          <cell r="AB41">
            <v>8</v>
          </cell>
          <cell r="AC41">
            <v>8</v>
          </cell>
          <cell r="AD41">
            <v>8</v>
          </cell>
          <cell r="AE41" t="str">
            <v>Đ</v>
          </cell>
          <cell r="AF41" t="str">
            <v>Đ</v>
          </cell>
          <cell r="AG41" t="str">
            <v>CN</v>
          </cell>
          <cell r="AH41">
            <v>8</v>
          </cell>
          <cell r="AI41">
            <v>8</v>
          </cell>
          <cell r="AJ41">
            <v>8</v>
          </cell>
          <cell r="AN41">
            <v>48</v>
          </cell>
          <cell r="AO41">
            <v>128</v>
          </cell>
          <cell r="AP41">
            <v>0</v>
          </cell>
          <cell r="AQ41">
            <v>0</v>
          </cell>
          <cell r="AR41">
            <v>0</v>
          </cell>
          <cell r="AS41">
            <v>8</v>
          </cell>
          <cell r="AT41">
            <v>0</v>
          </cell>
          <cell r="AU41">
            <v>0</v>
          </cell>
          <cell r="AV41">
            <v>0</v>
          </cell>
          <cell r="AW41">
            <v>0</v>
          </cell>
          <cell r="AX41">
            <v>0</v>
          </cell>
          <cell r="AY41">
            <v>0</v>
          </cell>
          <cell r="AZ41">
            <v>0</v>
          </cell>
          <cell r="BA41">
            <v>8</v>
          </cell>
          <cell r="BB41">
            <v>0</v>
          </cell>
          <cell r="BC41">
            <v>0</v>
          </cell>
          <cell r="BD41">
            <v>0</v>
          </cell>
          <cell r="BE41">
            <v>0</v>
          </cell>
          <cell r="BF41">
            <v>0</v>
          </cell>
          <cell r="BG41">
            <v>184</v>
          </cell>
          <cell r="BH41">
            <v>1</v>
          </cell>
          <cell r="BI41">
            <v>1</v>
          </cell>
          <cell r="BJ41">
            <v>-0.5</v>
          </cell>
          <cell r="BL41">
            <v>0</v>
          </cell>
          <cell r="BM41">
            <v>0</v>
          </cell>
          <cell r="BN41">
            <v>0</v>
          </cell>
          <cell r="BO41">
            <v>0</v>
          </cell>
          <cell r="BP41">
            <v>0</v>
          </cell>
          <cell r="BQ41">
            <v>0</v>
          </cell>
          <cell r="BR41">
            <v>0</v>
          </cell>
          <cell r="BS41">
            <v>0</v>
          </cell>
          <cell r="BT41">
            <v>2</v>
          </cell>
          <cell r="BU41">
            <v>4</v>
          </cell>
          <cell r="BV41">
            <v>0</v>
          </cell>
          <cell r="BW41">
            <v>0</v>
          </cell>
          <cell r="BX41">
            <v>0</v>
          </cell>
          <cell r="BY41">
            <v>0</v>
          </cell>
          <cell r="BZ41">
            <v>0</v>
          </cell>
          <cell r="CA41">
            <v>4</v>
          </cell>
          <cell r="CB41">
            <v>4</v>
          </cell>
          <cell r="CC41">
            <v>0</v>
          </cell>
          <cell r="CD41">
            <v>0</v>
          </cell>
          <cell r="CE41">
            <v>0</v>
          </cell>
          <cell r="CF41">
            <v>0</v>
          </cell>
          <cell r="CG41">
            <v>0</v>
          </cell>
          <cell r="CH41">
            <v>4</v>
          </cell>
          <cell r="CI41">
            <v>4</v>
          </cell>
          <cell r="CJ41">
            <v>0</v>
          </cell>
          <cell r="CK41">
            <v>0</v>
          </cell>
          <cell r="CL41">
            <v>0</v>
          </cell>
          <cell r="CM41">
            <v>0</v>
          </cell>
          <cell r="CR41">
            <v>0</v>
          </cell>
          <cell r="CS41">
            <v>0</v>
          </cell>
          <cell r="CT41">
            <v>22</v>
          </cell>
          <cell r="CU41">
            <v>0</v>
          </cell>
          <cell r="CV41">
            <v>0</v>
          </cell>
          <cell r="CZ41">
            <v>22</v>
          </cell>
        </row>
        <row r="42">
          <cell r="C42" t="str">
            <v>00052</v>
          </cell>
          <cell r="D42" t="str">
            <v xml:space="preserve">Trần Thị Dúng </v>
          </cell>
          <cell r="E42" t="str">
            <v>HR &amp; Admin</v>
          </cell>
          <cell r="F42" t="str">
            <v>Admin</v>
          </cell>
          <cell r="G42" t="str">
            <v>Cleaner</v>
          </cell>
          <cell r="H42">
            <v>41233</v>
          </cell>
          <cell r="I42">
            <v>8</v>
          </cell>
          <cell r="J42">
            <v>8</v>
          </cell>
          <cell r="K42">
            <v>8</v>
          </cell>
          <cell r="L42" t="str">
            <v>CN</v>
          </cell>
          <cell r="M42">
            <v>8</v>
          </cell>
          <cell r="N42">
            <v>8</v>
          </cell>
          <cell r="O42">
            <v>8</v>
          </cell>
          <cell r="P42">
            <v>8</v>
          </cell>
          <cell r="Q42">
            <v>8</v>
          </cell>
          <cell r="R42">
            <v>8</v>
          </cell>
          <cell r="S42" t="str">
            <v>CN</v>
          </cell>
          <cell r="T42">
            <v>8</v>
          </cell>
          <cell r="U42">
            <v>8</v>
          </cell>
          <cell r="V42">
            <v>8</v>
          </cell>
          <cell r="W42">
            <v>8</v>
          </cell>
          <cell r="X42">
            <v>8</v>
          </cell>
          <cell r="Y42">
            <v>8</v>
          </cell>
          <cell r="Z42" t="str">
            <v>CN</v>
          </cell>
          <cell r="AA42">
            <v>8</v>
          </cell>
          <cell r="AB42">
            <v>8</v>
          </cell>
          <cell r="AC42">
            <v>8</v>
          </cell>
          <cell r="AD42">
            <v>8</v>
          </cell>
          <cell r="AE42" t="str">
            <v>AL8</v>
          </cell>
          <cell r="AF42" t="str">
            <v>AL8</v>
          </cell>
          <cell r="AG42" t="str">
            <v>CN</v>
          </cell>
          <cell r="AH42">
            <v>8</v>
          </cell>
          <cell r="AI42">
            <v>8</v>
          </cell>
          <cell r="AJ42">
            <v>8</v>
          </cell>
          <cell r="AN42">
            <v>0</v>
          </cell>
          <cell r="AO42">
            <v>176</v>
          </cell>
          <cell r="AP42">
            <v>0</v>
          </cell>
          <cell r="AQ42">
            <v>0</v>
          </cell>
          <cell r="AR42">
            <v>0</v>
          </cell>
          <cell r="AS42">
            <v>0</v>
          </cell>
          <cell r="AT42">
            <v>0</v>
          </cell>
          <cell r="AU42">
            <v>0</v>
          </cell>
          <cell r="AV42">
            <v>0</v>
          </cell>
          <cell r="AW42">
            <v>0</v>
          </cell>
          <cell r="AX42">
            <v>0</v>
          </cell>
          <cell r="AY42">
            <v>0</v>
          </cell>
          <cell r="AZ42">
            <v>0</v>
          </cell>
          <cell r="BA42">
            <v>16</v>
          </cell>
          <cell r="BB42">
            <v>0</v>
          </cell>
          <cell r="BC42">
            <v>0</v>
          </cell>
          <cell r="BD42">
            <v>0</v>
          </cell>
          <cell r="BE42">
            <v>0</v>
          </cell>
          <cell r="BF42">
            <v>0</v>
          </cell>
          <cell r="BG42">
            <v>192</v>
          </cell>
          <cell r="BH42">
            <v>2</v>
          </cell>
          <cell r="BI42">
            <v>2</v>
          </cell>
          <cell r="BJ42">
            <v>0</v>
          </cell>
          <cell r="BL42">
            <v>1</v>
          </cell>
          <cell r="BM42">
            <v>1</v>
          </cell>
          <cell r="BN42">
            <v>0</v>
          </cell>
          <cell r="BO42">
            <v>0</v>
          </cell>
          <cell r="BP42">
            <v>1</v>
          </cell>
          <cell r="BQ42">
            <v>1</v>
          </cell>
          <cell r="BR42">
            <v>1</v>
          </cell>
          <cell r="BS42">
            <v>1</v>
          </cell>
          <cell r="BT42">
            <v>1</v>
          </cell>
          <cell r="BU42">
            <v>0</v>
          </cell>
          <cell r="BV42">
            <v>0</v>
          </cell>
          <cell r="BW42">
            <v>1</v>
          </cell>
          <cell r="BX42">
            <v>0.5</v>
          </cell>
          <cell r="BY42">
            <v>0.5</v>
          </cell>
          <cell r="BZ42">
            <v>0.5</v>
          </cell>
          <cell r="CA42">
            <v>0.5</v>
          </cell>
          <cell r="CB42">
            <v>0</v>
          </cell>
          <cell r="CC42">
            <v>0</v>
          </cell>
          <cell r="CD42">
            <v>0.5</v>
          </cell>
          <cell r="CE42">
            <v>0.5</v>
          </cell>
          <cell r="CF42">
            <v>0.5</v>
          </cell>
          <cell r="CG42">
            <v>0.5</v>
          </cell>
          <cell r="CH42">
            <v>0</v>
          </cell>
          <cell r="CI42">
            <v>0</v>
          </cell>
          <cell r="CJ42">
            <v>0</v>
          </cell>
          <cell r="CK42">
            <v>0.5</v>
          </cell>
          <cell r="CL42">
            <v>0.5</v>
          </cell>
          <cell r="CM42">
            <v>0.5</v>
          </cell>
          <cell r="CR42">
            <v>0</v>
          </cell>
          <cell r="CS42">
            <v>0</v>
          </cell>
          <cell r="CT42">
            <v>13.5</v>
          </cell>
          <cell r="CU42">
            <v>0</v>
          </cell>
          <cell r="CV42">
            <v>0</v>
          </cell>
          <cell r="CZ42">
            <v>13.5</v>
          </cell>
        </row>
        <row r="43">
          <cell r="C43" t="str">
            <v>00064</v>
          </cell>
          <cell r="D43" t="str">
            <v>Phạm Khánh Nhật</v>
          </cell>
          <cell r="E43" t="str">
            <v>Warehouse</v>
          </cell>
          <cell r="F43" t="str">
            <v>RM Warehouse</v>
          </cell>
          <cell r="G43" t="str">
            <v>Staff</v>
          </cell>
          <cell r="H43">
            <v>41491</v>
          </cell>
          <cell r="I43">
            <v>8</v>
          </cell>
          <cell r="J43" t="str">
            <v>WH</v>
          </cell>
          <cell r="K43" t="str">
            <v>PO</v>
          </cell>
          <cell r="L43" t="str">
            <v>CN</v>
          </cell>
          <cell r="M43">
            <v>8</v>
          </cell>
          <cell r="N43">
            <v>8</v>
          </cell>
          <cell r="O43">
            <v>8</v>
          </cell>
          <cell r="P43" t="str">
            <v>AL8</v>
          </cell>
          <cell r="Q43">
            <v>8</v>
          </cell>
          <cell r="R43" t="str">
            <v>PO</v>
          </cell>
          <cell r="S43" t="str">
            <v>CN</v>
          </cell>
          <cell r="T43">
            <v>8</v>
          </cell>
          <cell r="U43">
            <v>8</v>
          </cell>
          <cell r="V43" t="str">
            <v>WH</v>
          </cell>
          <cell r="W43">
            <v>8</v>
          </cell>
          <cell r="X43">
            <v>8</v>
          </cell>
          <cell r="Y43" t="str">
            <v>PO</v>
          </cell>
          <cell r="Z43" t="str">
            <v>CN</v>
          </cell>
          <cell r="AA43" t="str">
            <v>WH</v>
          </cell>
          <cell r="AB43">
            <v>8</v>
          </cell>
          <cell r="AC43">
            <v>8</v>
          </cell>
          <cell r="AD43">
            <v>8</v>
          </cell>
          <cell r="AE43">
            <v>8</v>
          </cell>
          <cell r="AF43" t="str">
            <v>PO</v>
          </cell>
          <cell r="AG43" t="str">
            <v>CN</v>
          </cell>
          <cell r="AH43">
            <v>8</v>
          </cell>
          <cell r="AI43">
            <v>8</v>
          </cell>
          <cell r="AJ43">
            <v>8</v>
          </cell>
          <cell r="AN43">
            <v>0</v>
          </cell>
          <cell r="AO43">
            <v>128</v>
          </cell>
          <cell r="AP43">
            <v>0</v>
          </cell>
          <cell r="AQ43">
            <v>0</v>
          </cell>
          <cell r="AR43">
            <v>0</v>
          </cell>
          <cell r="AS43">
            <v>0</v>
          </cell>
          <cell r="AT43">
            <v>0</v>
          </cell>
          <cell r="AU43">
            <v>0</v>
          </cell>
          <cell r="AV43">
            <v>32</v>
          </cell>
          <cell r="AW43">
            <v>0</v>
          </cell>
          <cell r="AX43">
            <v>0</v>
          </cell>
          <cell r="AY43">
            <v>0</v>
          </cell>
          <cell r="AZ43">
            <v>0</v>
          </cell>
          <cell r="BA43">
            <v>8</v>
          </cell>
          <cell r="BB43">
            <v>0</v>
          </cell>
          <cell r="BC43">
            <v>0</v>
          </cell>
          <cell r="BD43">
            <v>24</v>
          </cell>
          <cell r="BE43">
            <v>0</v>
          </cell>
          <cell r="BF43">
            <v>0</v>
          </cell>
          <cell r="BG43">
            <v>192</v>
          </cell>
          <cell r="BH43">
            <v>1</v>
          </cell>
          <cell r="BI43">
            <v>1</v>
          </cell>
          <cell r="BJ43">
            <v>2.5</v>
          </cell>
          <cell r="BL43">
            <v>0</v>
          </cell>
          <cell r="BM43">
            <v>0</v>
          </cell>
          <cell r="BN43">
            <v>0</v>
          </cell>
          <cell r="BO43">
            <v>0</v>
          </cell>
          <cell r="BP43">
            <v>0</v>
          </cell>
          <cell r="BQ43">
            <v>0</v>
          </cell>
          <cell r="BR43">
            <v>0</v>
          </cell>
          <cell r="BS43">
            <v>0</v>
          </cell>
          <cell r="BT43">
            <v>0</v>
          </cell>
          <cell r="BU43">
            <v>0</v>
          </cell>
          <cell r="BV43">
            <v>0</v>
          </cell>
          <cell r="BW43">
            <v>1</v>
          </cell>
          <cell r="BX43">
            <v>0</v>
          </cell>
          <cell r="BY43">
            <v>0</v>
          </cell>
          <cell r="BZ43">
            <v>0</v>
          </cell>
          <cell r="CA43">
            <v>0</v>
          </cell>
          <cell r="CB43">
            <v>0</v>
          </cell>
          <cell r="CC43">
            <v>0</v>
          </cell>
          <cell r="CD43">
            <v>0</v>
          </cell>
          <cell r="CE43">
            <v>0</v>
          </cell>
          <cell r="CF43">
            <v>0</v>
          </cell>
          <cell r="CG43">
            <v>0</v>
          </cell>
          <cell r="CH43">
            <v>0</v>
          </cell>
          <cell r="CI43">
            <v>0</v>
          </cell>
          <cell r="CJ43">
            <v>0</v>
          </cell>
          <cell r="CK43">
            <v>0</v>
          </cell>
          <cell r="CL43">
            <v>0</v>
          </cell>
          <cell r="CM43">
            <v>0</v>
          </cell>
          <cell r="CR43">
            <v>0</v>
          </cell>
          <cell r="CS43">
            <v>0</v>
          </cell>
          <cell r="CT43">
            <v>1</v>
          </cell>
          <cell r="CU43">
            <v>0</v>
          </cell>
          <cell r="CV43">
            <v>0</v>
          </cell>
          <cell r="CZ43">
            <v>1</v>
          </cell>
        </row>
        <row r="44">
          <cell r="C44" t="str">
            <v>00100</v>
          </cell>
          <cell r="D44" t="str">
            <v>Đào Thị Huệ</v>
          </cell>
          <cell r="E44" t="str">
            <v>Production</v>
          </cell>
          <cell r="F44" t="str">
            <v>Lamination</v>
          </cell>
          <cell r="G44" t="str">
            <v>Worker</v>
          </cell>
          <cell r="H44">
            <v>41330</v>
          </cell>
          <cell r="I44">
            <v>8</v>
          </cell>
          <cell r="J44">
            <v>8</v>
          </cell>
          <cell r="K44">
            <v>8</v>
          </cell>
          <cell r="L44" t="str">
            <v>CN</v>
          </cell>
          <cell r="M44" t="str">
            <v>Đ</v>
          </cell>
          <cell r="N44" t="str">
            <v>Đ</v>
          </cell>
          <cell r="O44" t="str">
            <v>Đ</v>
          </cell>
          <cell r="P44" t="str">
            <v>Đ</v>
          </cell>
          <cell r="Q44" t="str">
            <v>Đ</v>
          </cell>
          <cell r="R44" t="str">
            <v>AL8</v>
          </cell>
          <cell r="S44" t="str">
            <v>CN</v>
          </cell>
          <cell r="T44" t="str">
            <v>AL8</v>
          </cell>
          <cell r="U44">
            <v>8</v>
          </cell>
          <cell r="V44">
            <v>8</v>
          </cell>
          <cell r="W44">
            <v>8</v>
          </cell>
          <cell r="X44">
            <v>8</v>
          </cell>
          <cell r="Y44">
            <v>8</v>
          </cell>
          <cell r="Z44" t="str">
            <v>CN</v>
          </cell>
          <cell r="AA44">
            <v>8</v>
          </cell>
          <cell r="AB44">
            <v>8</v>
          </cell>
          <cell r="AC44">
            <v>8</v>
          </cell>
          <cell r="AD44">
            <v>8</v>
          </cell>
          <cell r="AE44" t="str">
            <v>Đ</v>
          </cell>
          <cell r="AF44" t="str">
            <v>Đ</v>
          </cell>
          <cell r="AG44" t="str">
            <v>CN</v>
          </cell>
          <cell r="AH44">
            <v>8</v>
          </cell>
          <cell r="AI44">
            <v>8</v>
          </cell>
          <cell r="AJ44">
            <v>8</v>
          </cell>
          <cell r="AN44">
            <v>56</v>
          </cell>
          <cell r="AO44">
            <v>120</v>
          </cell>
          <cell r="AP44">
            <v>0</v>
          </cell>
          <cell r="AQ44">
            <v>0</v>
          </cell>
          <cell r="AR44">
            <v>0</v>
          </cell>
          <cell r="AS44">
            <v>0</v>
          </cell>
          <cell r="AT44">
            <v>0</v>
          </cell>
          <cell r="AU44">
            <v>0</v>
          </cell>
          <cell r="AV44">
            <v>0</v>
          </cell>
          <cell r="AW44">
            <v>0</v>
          </cell>
          <cell r="AX44">
            <v>0</v>
          </cell>
          <cell r="AY44">
            <v>0</v>
          </cell>
          <cell r="AZ44">
            <v>0</v>
          </cell>
          <cell r="BA44">
            <v>16</v>
          </cell>
          <cell r="BB44">
            <v>0</v>
          </cell>
          <cell r="BC44">
            <v>0</v>
          </cell>
          <cell r="BD44">
            <v>0</v>
          </cell>
          <cell r="BE44">
            <v>0</v>
          </cell>
          <cell r="BF44">
            <v>0</v>
          </cell>
          <cell r="BG44">
            <v>192</v>
          </cell>
          <cell r="BH44">
            <v>2</v>
          </cell>
          <cell r="BI44">
            <v>2</v>
          </cell>
          <cell r="BJ44">
            <v>7</v>
          </cell>
          <cell r="BL44">
            <v>0</v>
          </cell>
          <cell r="BM44">
            <v>0</v>
          </cell>
          <cell r="BN44">
            <v>4</v>
          </cell>
          <cell r="BO44">
            <v>0</v>
          </cell>
          <cell r="BP44">
            <v>0</v>
          </cell>
          <cell r="BQ44">
            <v>4</v>
          </cell>
          <cell r="BR44">
            <v>0</v>
          </cell>
          <cell r="BS44">
            <v>0</v>
          </cell>
          <cell r="BT44">
            <v>0</v>
          </cell>
          <cell r="BU44">
            <v>0</v>
          </cell>
          <cell r="BV44">
            <v>0</v>
          </cell>
          <cell r="BW44">
            <v>0</v>
          </cell>
          <cell r="BX44">
            <v>0</v>
          </cell>
          <cell r="BY44">
            <v>4</v>
          </cell>
          <cell r="BZ44">
            <v>4</v>
          </cell>
          <cell r="CA44">
            <v>0</v>
          </cell>
          <cell r="CB44">
            <v>4</v>
          </cell>
          <cell r="CC44">
            <v>0</v>
          </cell>
          <cell r="CD44">
            <v>0</v>
          </cell>
          <cell r="CE44">
            <v>4</v>
          </cell>
          <cell r="CF44">
            <v>0</v>
          </cell>
          <cell r="CG44">
            <v>0</v>
          </cell>
          <cell r="CH44">
            <v>4</v>
          </cell>
          <cell r="CI44">
            <v>4</v>
          </cell>
          <cell r="CJ44">
            <v>0</v>
          </cell>
          <cell r="CK44">
            <v>0</v>
          </cell>
          <cell r="CL44">
            <v>4</v>
          </cell>
          <cell r="CM44">
            <v>0</v>
          </cell>
          <cell r="CR44">
            <v>0</v>
          </cell>
          <cell r="CS44">
            <v>0</v>
          </cell>
          <cell r="CT44">
            <v>36</v>
          </cell>
          <cell r="CU44">
            <v>0</v>
          </cell>
          <cell r="CV44">
            <v>0</v>
          </cell>
          <cell r="CZ44">
            <v>36</v>
          </cell>
        </row>
        <row r="45">
          <cell r="C45" t="str">
            <v>00113</v>
          </cell>
          <cell r="D45" t="str">
            <v>Hà Văn Tiện</v>
          </cell>
          <cell r="E45" t="str">
            <v>QC</v>
          </cell>
          <cell r="F45" t="str">
            <v>QC</v>
          </cell>
          <cell r="G45" t="str">
            <v>Worker</v>
          </cell>
          <cell r="H45">
            <v>41610</v>
          </cell>
          <cell r="I45" t="str">
            <v>AL8</v>
          </cell>
          <cell r="J45" t="str">
            <v>BS</v>
          </cell>
          <cell r="K45" t="str">
            <v>BS</v>
          </cell>
          <cell r="L45" t="str">
            <v>CN</v>
          </cell>
          <cell r="M45" t="str">
            <v>BS</v>
          </cell>
          <cell r="N45">
            <v>8</v>
          </cell>
          <cell r="O45" t="str">
            <v>BS</v>
          </cell>
          <cell r="P45" t="str">
            <v>BS</v>
          </cell>
          <cell r="Q45">
            <v>8</v>
          </cell>
          <cell r="R45" t="str">
            <v>BS</v>
          </cell>
          <cell r="S45" t="str">
            <v>CN</v>
          </cell>
          <cell r="T45" t="str">
            <v>BS</v>
          </cell>
          <cell r="U45" t="str">
            <v>BS</v>
          </cell>
          <cell r="V45">
            <v>8</v>
          </cell>
          <cell r="W45">
            <v>8</v>
          </cell>
          <cell r="X45">
            <v>8</v>
          </cell>
          <cell r="Y45">
            <v>8</v>
          </cell>
          <cell r="Z45" t="str">
            <v>CN</v>
          </cell>
          <cell r="AA45">
            <v>8</v>
          </cell>
          <cell r="AB45">
            <v>8</v>
          </cell>
          <cell r="AC45" t="str">
            <v>BS</v>
          </cell>
          <cell r="AD45" t="str">
            <v>BS</v>
          </cell>
          <cell r="AE45">
            <v>8</v>
          </cell>
          <cell r="AF45">
            <v>8</v>
          </cell>
          <cell r="AG45" t="str">
            <v>CN</v>
          </cell>
          <cell r="AH45" t="str">
            <v>BS</v>
          </cell>
          <cell r="AI45">
            <v>8</v>
          </cell>
          <cell r="AJ45" t="str">
            <v>BS</v>
          </cell>
          <cell r="AN45">
            <v>0</v>
          </cell>
          <cell r="AO45">
            <v>88</v>
          </cell>
          <cell r="AP45">
            <v>0</v>
          </cell>
          <cell r="AQ45">
            <v>0</v>
          </cell>
          <cell r="AR45">
            <v>0</v>
          </cell>
          <cell r="AS45">
            <v>0</v>
          </cell>
          <cell r="AT45">
            <v>0</v>
          </cell>
          <cell r="AU45">
            <v>96</v>
          </cell>
          <cell r="AV45">
            <v>0</v>
          </cell>
          <cell r="AW45">
            <v>0</v>
          </cell>
          <cell r="AX45">
            <v>0</v>
          </cell>
          <cell r="AY45">
            <v>0</v>
          </cell>
          <cell r="AZ45">
            <v>0</v>
          </cell>
          <cell r="BA45">
            <v>8</v>
          </cell>
          <cell r="BB45">
            <v>0</v>
          </cell>
          <cell r="BC45">
            <v>0</v>
          </cell>
          <cell r="BD45">
            <v>0</v>
          </cell>
          <cell r="BE45">
            <v>0</v>
          </cell>
          <cell r="BF45">
            <v>0</v>
          </cell>
          <cell r="BG45">
            <v>192</v>
          </cell>
          <cell r="BH45">
            <v>1</v>
          </cell>
          <cell r="BI45">
            <v>1</v>
          </cell>
          <cell r="BJ45">
            <v>1</v>
          </cell>
          <cell r="BL45">
            <v>0</v>
          </cell>
          <cell r="BM45">
            <v>0</v>
          </cell>
          <cell r="BN45">
            <v>0</v>
          </cell>
          <cell r="BO45">
            <v>0</v>
          </cell>
          <cell r="BP45">
            <v>2</v>
          </cell>
          <cell r="BQ45">
            <v>2</v>
          </cell>
          <cell r="BR45">
            <v>2</v>
          </cell>
          <cell r="BS45">
            <v>2</v>
          </cell>
          <cell r="BT45">
            <v>2</v>
          </cell>
          <cell r="BU45">
            <v>0</v>
          </cell>
          <cell r="BV45">
            <v>0</v>
          </cell>
          <cell r="BW45">
            <v>2</v>
          </cell>
          <cell r="BX45">
            <v>2</v>
          </cell>
          <cell r="BY45">
            <v>2</v>
          </cell>
          <cell r="BZ45">
            <v>2</v>
          </cell>
          <cell r="CA45">
            <v>2</v>
          </cell>
          <cell r="CB45">
            <v>0</v>
          </cell>
          <cell r="CC45">
            <v>8</v>
          </cell>
          <cell r="CD45">
            <v>2</v>
          </cell>
          <cell r="CE45">
            <v>2</v>
          </cell>
          <cell r="CF45">
            <v>2</v>
          </cell>
          <cell r="CG45">
            <v>2</v>
          </cell>
          <cell r="CH45">
            <v>2</v>
          </cell>
          <cell r="CI45">
            <v>2</v>
          </cell>
          <cell r="CJ45">
            <v>8</v>
          </cell>
          <cell r="CK45">
            <v>2</v>
          </cell>
          <cell r="CL45">
            <v>2</v>
          </cell>
          <cell r="CM45">
            <v>2</v>
          </cell>
          <cell r="CR45">
            <v>0</v>
          </cell>
          <cell r="CS45">
            <v>0</v>
          </cell>
          <cell r="CT45">
            <v>38</v>
          </cell>
          <cell r="CU45">
            <v>16</v>
          </cell>
          <cell r="CV45">
            <v>0</v>
          </cell>
          <cell r="CZ45">
            <v>54</v>
          </cell>
        </row>
        <row r="46">
          <cell r="C46" t="str">
            <v>00133</v>
          </cell>
          <cell r="D46" t="str">
            <v>Vi Thị Thiệu</v>
          </cell>
          <cell r="E46" t="str">
            <v>Production</v>
          </cell>
          <cell r="F46" t="str">
            <v>Logo</v>
          </cell>
          <cell r="G46" t="str">
            <v>Worker</v>
          </cell>
          <cell r="H46">
            <v>41339</v>
          </cell>
          <cell r="I46" t="str">
            <v>SL</v>
          </cell>
          <cell r="J46" t="str">
            <v>SL</v>
          </cell>
          <cell r="K46" t="str">
            <v>SL</v>
          </cell>
          <cell r="L46" t="str">
            <v>CN</v>
          </cell>
          <cell r="M46" t="str">
            <v>Đ</v>
          </cell>
          <cell r="N46" t="str">
            <v>Đ</v>
          </cell>
          <cell r="O46" t="str">
            <v>Đ</v>
          </cell>
          <cell r="P46" t="str">
            <v>Đ</v>
          </cell>
          <cell r="Q46" t="str">
            <v>UP8</v>
          </cell>
          <cell r="R46" t="str">
            <v>UP8</v>
          </cell>
          <cell r="S46" t="str">
            <v>CN</v>
          </cell>
          <cell r="T46">
            <v>8</v>
          </cell>
          <cell r="U46">
            <v>8</v>
          </cell>
          <cell r="V46">
            <v>8</v>
          </cell>
          <cell r="W46">
            <v>8</v>
          </cell>
          <cell r="X46">
            <v>8</v>
          </cell>
          <cell r="Y46">
            <v>8</v>
          </cell>
          <cell r="Z46" t="str">
            <v>CN</v>
          </cell>
          <cell r="AA46" t="str">
            <v>Đ</v>
          </cell>
          <cell r="AB46" t="str">
            <v>Đ</v>
          </cell>
          <cell r="AC46" t="str">
            <v>Đ</v>
          </cell>
          <cell r="AD46" t="str">
            <v>Đ</v>
          </cell>
          <cell r="AE46" t="str">
            <v>Đ</v>
          </cell>
          <cell r="AF46" t="str">
            <v>Đ</v>
          </cell>
          <cell r="AG46" t="str">
            <v>CN</v>
          </cell>
          <cell r="AH46">
            <v>8</v>
          </cell>
          <cell r="AI46">
            <v>8</v>
          </cell>
          <cell r="AJ46">
            <v>8</v>
          </cell>
          <cell r="AN46">
            <v>80</v>
          </cell>
          <cell r="AO46">
            <v>72</v>
          </cell>
          <cell r="AP46">
            <v>0</v>
          </cell>
          <cell r="AQ46">
            <v>3</v>
          </cell>
          <cell r="AR46">
            <v>0</v>
          </cell>
          <cell r="AS46">
            <v>16</v>
          </cell>
          <cell r="AT46">
            <v>0</v>
          </cell>
          <cell r="AU46">
            <v>0</v>
          </cell>
          <cell r="AV46">
            <v>0</v>
          </cell>
          <cell r="AW46">
            <v>0</v>
          </cell>
          <cell r="AX46">
            <v>0</v>
          </cell>
          <cell r="AY46">
            <v>0</v>
          </cell>
          <cell r="AZ46">
            <v>0</v>
          </cell>
          <cell r="BA46">
            <v>0</v>
          </cell>
          <cell r="BB46">
            <v>0</v>
          </cell>
          <cell r="BC46">
            <v>0</v>
          </cell>
          <cell r="BD46">
            <v>0</v>
          </cell>
          <cell r="BE46">
            <v>0</v>
          </cell>
          <cell r="BF46">
            <v>0</v>
          </cell>
          <cell r="BG46">
            <v>152</v>
          </cell>
          <cell r="BH46">
            <v>0</v>
          </cell>
          <cell r="BI46">
            <v>0</v>
          </cell>
          <cell r="BJ46">
            <v>2.5</v>
          </cell>
          <cell r="BL46">
            <v>0</v>
          </cell>
          <cell r="BM46">
            <v>0</v>
          </cell>
          <cell r="BN46">
            <v>0</v>
          </cell>
          <cell r="BO46">
            <v>0</v>
          </cell>
          <cell r="BP46">
            <v>1.5</v>
          </cell>
          <cell r="BQ46">
            <v>0</v>
          </cell>
          <cell r="BR46">
            <v>0</v>
          </cell>
          <cell r="BS46">
            <v>4</v>
          </cell>
          <cell r="BT46">
            <v>0</v>
          </cell>
          <cell r="BU46">
            <v>0</v>
          </cell>
          <cell r="BV46">
            <v>0</v>
          </cell>
          <cell r="BW46">
            <v>0</v>
          </cell>
          <cell r="BX46">
            <v>3</v>
          </cell>
          <cell r="BY46">
            <v>3</v>
          </cell>
          <cell r="BZ46">
            <v>0</v>
          </cell>
          <cell r="CA46">
            <v>3</v>
          </cell>
          <cell r="CB46">
            <v>3</v>
          </cell>
          <cell r="CC46">
            <v>0</v>
          </cell>
          <cell r="CD46">
            <v>4</v>
          </cell>
          <cell r="CE46">
            <v>4</v>
          </cell>
          <cell r="CF46">
            <v>4</v>
          </cell>
          <cell r="CG46">
            <v>4</v>
          </cell>
          <cell r="CH46">
            <v>4</v>
          </cell>
          <cell r="CI46">
            <v>4</v>
          </cell>
          <cell r="CJ46">
            <v>0</v>
          </cell>
          <cell r="CK46">
            <v>3</v>
          </cell>
          <cell r="CL46">
            <v>3</v>
          </cell>
          <cell r="CM46">
            <v>3</v>
          </cell>
          <cell r="CR46">
            <v>0</v>
          </cell>
          <cell r="CS46">
            <v>0</v>
          </cell>
          <cell r="CT46">
            <v>50.5</v>
          </cell>
          <cell r="CU46">
            <v>0</v>
          </cell>
          <cell r="CV46">
            <v>0</v>
          </cell>
          <cell r="CZ46">
            <v>50.5</v>
          </cell>
        </row>
        <row r="47">
          <cell r="C47" t="str">
            <v>00141</v>
          </cell>
          <cell r="D47" t="str">
            <v>Đào Xuân Cừ</v>
          </cell>
          <cell r="E47" t="str">
            <v>Production</v>
          </cell>
          <cell r="F47" t="str">
            <v>Lamination</v>
          </cell>
          <cell r="G47" t="str">
            <v>Team Leader</v>
          </cell>
          <cell r="H47">
            <v>41648</v>
          </cell>
          <cell r="I47">
            <v>8</v>
          </cell>
          <cell r="J47">
            <v>8</v>
          </cell>
          <cell r="K47">
            <v>8</v>
          </cell>
          <cell r="L47" t="str">
            <v>CN</v>
          </cell>
          <cell r="M47">
            <v>8</v>
          </cell>
          <cell r="N47">
            <v>8</v>
          </cell>
          <cell r="O47">
            <v>8</v>
          </cell>
          <cell r="P47">
            <v>8</v>
          </cell>
          <cell r="Q47" t="str">
            <v>PO</v>
          </cell>
          <cell r="R47">
            <v>8</v>
          </cell>
          <cell r="S47" t="str">
            <v>CN</v>
          </cell>
          <cell r="T47">
            <v>8</v>
          </cell>
          <cell r="U47">
            <v>8</v>
          </cell>
          <cell r="V47">
            <v>8</v>
          </cell>
          <cell r="W47">
            <v>8</v>
          </cell>
          <cell r="X47">
            <v>8</v>
          </cell>
          <cell r="Y47">
            <v>8</v>
          </cell>
          <cell r="Z47" t="str">
            <v>CN</v>
          </cell>
          <cell r="AA47">
            <v>8</v>
          </cell>
          <cell r="AB47">
            <v>8</v>
          </cell>
          <cell r="AC47">
            <v>8</v>
          </cell>
          <cell r="AD47">
            <v>8</v>
          </cell>
          <cell r="AE47">
            <v>8</v>
          </cell>
          <cell r="AF47">
            <v>8</v>
          </cell>
          <cell r="AG47" t="str">
            <v>CN</v>
          </cell>
          <cell r="AH47">
            <v>8</v>
          </cell>
          <cell r="AI47">
            <v>8</v>
          </cell>
          <cell r="AJ47">
            <v>8</v>
          </cell>
          <cell r="AN47">
            <v>0</v>
          </cell>
          <cell r="AO47">
            <v>184</v>
          </cell>
          <cell r="AP47">
            <v>0</v>
          </cell>
          <cell r="AQ47">
            <v>0</v>
          </cell>
          <cell r="AR47">
            <v>0</v>
          </cell>
          <cell r="AS47">
            <v>0</v>
          </cell>
          <cell r="AT47">
            <v>0</v>
          </cell>
          <cell r="AU47">
            <v>0</v>
          </cell>
          <cell r="AV47">
            <v>8</v>
          </cell>
          <cell r="AW47">
            <v>0</v>
          </cell>
          <cell r="AX47">
            <v>0</v>
          </cell>
          <cell r="AY47">
            <v>0</v>
          </cell>
          <cell r="AZ47">
            <v>0</v>
          </cell>
          <cell r="BA47">
            <v>0</v>
          </cell>
          <cell r="BB47">
            <v>0</v>
          </cell>
          <cell r="BC47">
            <v>0</v>
          </cell>
          <cell r="BD47">
            <v>0</v>
          </cell>
          <cell r="BE47">
            <v>0</v>
          </cell>
          <cell r="BF47">
            <v>0</v>
          </cell>
          <cell r="BG47">
            <v>192</v>
          </cell>
          <cell r="BH47">
            <v>0</v>
          </cell>
          <cell r="BI47">
            <v>0</v>
          </cell>
          <cell r="BJ47">
            <v>7</v>
          </cell>
          <cell r="BL47">
            <v>0</v>
          </cell>
          <cell r="BM47">
            <v>0</v>
          </cell>
          <cell r="BN47">
            <v>0</v>
          </cell>
          <cell r="BO47">
            <v>0</v>
          </cell>
          <cell r="BP47">
            <v>0</v>
          </cell>
          <cell r="BQ47">
            <v>0</v>
          </cell>
          <cell r="BR47">
            <v>0</v>
          </cell>
          <cell r="BS47">
            <v>0</v>
          </cell>
          <cell r="BT47">
            <v>0</v>
          </cell>
          <cell r="BU47">
            <v>0</v>
          </cell>
          <cell r="BV47">
            <v>0</v>
          </cell>
          <cell r="BW47">
            <v>1</v>
          </cell>
          <cell r="BX47">
            <v>0</v>
          </cell>
          <cell r="BY47">
            <v>0</v>
          </cell>
          <cell r="BZ47">
            <v>0</v>
          </cell>
          <cell r="CA47">
            <v>0</v>
          </cell>
          <cell r="CB47">
            <v>0</v>
          </cell>
          <cell r="CC47">
            <v>8</v>
          </cell>
          <cell r="CD47">
            <v>0</v>
          </cell>
          <cell r="CE47">
            <v>0</v>
          </cell>
          <cell r="CF47">
            <v>0</v>
          </cell>
          <cell r="CG47">
            <v>0</v>
          </cell>
          <cell r="CH47">
            <v>0</v>
          </cell>
          <cell r="CI47">
            <v>0</v>
          </cell>
          <cell r="CJ47">
            <v>8</v>
          </cell>
          <cell r="CK47">
            <v>0</v>
          </cell>
          <cell r="CL47">
            <v>0</v>
          </cell>
          <cell r="CM47">
            <v>0</v>
          </cell>
          <cell r="CR47">
            <v>0</v>
          </cell>
          <cell r="CS47">
            <v>0</v>
          </cell>
          <cell r="CT47">
            <v>1</v>
          </cell>
          <cell r="CU47">
            <v>16</v>
          </cell>
          <cell r="CV47">
            <v>0</v>
          </cell>
          <cell r="CZ47">
            <v>17</v>
          </cell>
        </row>
        <row r="48">
          <cell r="C48" t="str">
            <v>00146</v>
          </cell>
          <cell r="D48" t="str">
            <v>Hà Thị Tài</v>
          </cell>
          <cell r="E48" t="str">
            <v>Production</v>
          </cell>
          <cell r="F48" t="str">
            <v>Packing</v>
          </cell>
          <cell r="G48" t="str">
            <v>Worker</v>
          </cell>
          <cell r="H48">
            <v>41346</v>
          </cell>
          <cell r="I48" t="str">
            <v>Đ</v>
          </cell>
          <cell r="J48" t="str">
            <v>Đ</v>
          </cell>
          <cell r="K48" t="str">
            <v>Đ</v>
          </cell>
          <cell r="L48" t="str">
            <v>CN</v>
          </cell>
          <cell r="M48">
            <v>8</v>
          </cell>
          <cell r="N48">
            <v>8</v>
          </cell>
          <cell r="O48">
            <v>8</v>
          </cell>
          <cell r="P48">
            <v>8</v>
          </cell>
          <cell r="Q48">
            <v>8</v>
          </cell>
          <cell r="R48">
            <v>8</v>
          </cell>
          <cell r="S48" t="str">
            <v>CN</v>
          </cell>
          <cell r="T48" t="str">
            <v>Đ</v>
          </cell>
          <cell r="U48" t="str">
            <v>Đ</v>
          </cell>
          <cell r="V48" t="str">
            <v>Đ</v>
          </cell>
          <cell r="W48" t="str">
            <v>Đ</v>
          </cell>
          <cell r="X48" t="str">
            <v>Đ</v>
          </cell>
          <cell r="Y48" t="str">
            <v>Đ</v>
          </cell>
          <cell r="Z48" t="str">
            <v>CN</v>
          </cell>
          <cell r="AA48">
            <v>8</v>
          </cell>
          <cell r="AB48">
            <v>8</v>
          </cell>
          <cell r="AC48">
            <v>8</v>
          </cell>
          <cell r="AD48">
            <v>8</v>
          </cell>
          <cell r="AE48">
            <v>8</v>
          </cell>
          <cell r="AF48">
            <v>8</v>
          </cell>
          <cell r="AG48" t="str">
            <v>CN</v>
          </cell>
          <cell r="AH48" t="str">
            <v>Đ</v>
          </cell>
          <cell r="AI48" t="str">
            <v>Đ</v>
          </cell>
          <cell r="AJ48" t="str">
            <v>Đ</v>
          </cell>
          <cell r="AN48">
            <v>96</v>
          </cell>
          <cell r="AO48">
            <v>96</v>
          </cell>
          <cell r="AP48">
            <v>0</v>
          </cell>
          <cell r="AQ48">
            <v>0</v>
          </cell>
          <cell r="AR48">
            <v>0</v>
          </cell>
          <cell r="AS48">
            <v>0</v>
          </cell>
          <cell r="AT48">
            <v>0</v>
          </cell>
          <cell r="AU48">
            <v>0</v>
          </cell>
          <cell r="AV48">
            <v>0</v>
          </cell>
          <cell r="AW48">
            <v>0</v>
          </cell>
          <cell r="AX48">
            <v>0</v>
          </cell>
          <cell r="AY48">
            <v>0</v>
          </cell>
          <cell r="AZ48">
            <v>0</v>
          </cell>
          <cell r="BA48">
            <v>0</v>
          </cell>
          <cell r="BB48">
            <v>0</v>
          </cell>
          <cell r="BC48">
            <v>0</v>
          </cell>
          <cell r="BD48">
            <v>0</v>
          </cell>
          <cell r="BE48">
            <v>0</v>
          </cell>
          <cell r="BF48">
            <v>0</v>
          </cell>
          <cell r="BG48">
            <v>192</v>
          </cell>
          <cell r="BH48">
            <v>0</v>
          </cell>
          <cell r="BI48">
            <v>0</v>
          </cell>
          <cell r="BJ48">
            <v>1</v>
          </cell>
          <cell r="BL48">
            <v>0</v>
          </cell>
          <cell r="BM48">
            <v>1.5</v>
          </cell>
          <cell r="BN48">
            <v>1.5</v>
          </cell>
          <cell r="BO48">
            <v>0</v>
          </cell>
          <cell r="BP48">
            <v>1.5</v>
          </cell>
          <cell r="BQ48">
            <v>3</v>
          </cell>
          <cell r="BR48">
            <v>0</v>
          </cell>
          <cell r="BS48">
            <v>3</v>
          </cell>
          <cell r="BT48">
            <v>3</v>
          </cell>
          <cell r="BU48">
            <v>0</v>
          </cell>
          <cell r="BV48">
            <v>0</v>
          </cell>
          <cell r="BW48">
            <v>3</v>
          </cell>
          <cell r="BX48">
            <v>3</v>
          </cell>
          <cell r="BY48">
            <v>4</v>
          </cell>
          <cell r="BZ48">
            <v>4</v>
          </cell>
          <cell r="CA48">
            <v>3</v>
          </cell>
          <cell r="CB48">
            <v>4</v>
          </cell>
          <cell r="CC48">
            <v>0</v>
          </cell>
          <cell r="CD48">
            <v>3</v>
          </cell>
          <cell r="CE48">
            <v>3</v>
          </cell>
          <cell r="CF48">
            <v>3</v>
          </cell>
          <cell r="CG48">
            <v>3</v>
          </cell>
          <cell r="CH48">
            <v>3</v>
          </cell>
          <cell r="CI48">
            <v>3</v>
          </cell>
          <cell r="CJ48">
            <v>8</v>
          </cell>
          <cell r="CK48">
            <v>4</v>
          </cell>
          <cell r="CL48">
            <v>4</v>
          </cell>
          <cell r="CM48">
            <v>4</v>
          </cell>
          <cell r="CR48">
            <v>0</v>
          </cell>
          <cell r="CS48">
            <v>0</v>
          </cell>
          <cell r="CT48">
            <v>64.5</v>
          </cell>
          <cell r="CU48">
            <v>8</v>
          </cell>
          <cell r="CV48">
            <v>0</v>
          </cell>
          <cell r="CZ48">
            <v>72.5</v>
          </cell>
        </row>
        <row r="49">
          <cell r="C49" t="str">
            <v>00150</v>
          </cell>
          <cell r="D49" t="str">
            <v>Bùi Hoàng Dương</v>
          </cell>
          <cell r="E49" t="str">
            <v>Production</v>
          </cell>
          <cell r="F49" t="str">
            <v>Prefitting</v>
          </cell>
          <cell r="G49" t="str">
            <v>Operator</v>
          </cell>
          <cell r="H49">
            <v>41653</v>
          </cell>
          <cell r="I49" t="str">
            <v>UP8</v>
          </cell>
          <cell r="J49" t="str">
            <v>SL</v>
          </cell>
          <cell r="K49" t="str">
            <v>SL</v>
          </cell>
          <cell r="L49" t="str">
            <v>CN</v>
          </cell>
          <cell r="M49">
            <v>8</v>
          </cell>
          <cell r="N49">
            <v>8</v>
          </cell>
          <cell r="O49" t="str">
            <v>UP8</v>
          </cell>
          <cell r="P49" t="str">
            <v>AL4</v>
          </cell>
          <cell r="Q49" t="str">
            <v>UP8</v>
          </cell>
          <cell r="R49" t="str">
            <v>UP8</v>
          </cell>
          <cell r="S49" t="str">
            <v>CN</v>
          </cell>
          <cell r="T49" t="str">
            <v>UP0.5</v>
          </cell>
          <cell r="U49" t="str">
            <v>UP1.5</v>
          </cell>
          <cell r="V49" t="str">
            <v>UP8</v>
          </cell>
          <cell r="W49" t="str">
            <v>UP8</v>
          </cell>
          <cell r="X49" t="str">
            <v>UP8</v>
          </cell>
          <cell r="Y49" t="str">
            <v>UP8</v>
          </cell>
          <cell r="Z49" t="str">
            <v>CN</v>
          </cell>
          <cell r="AA49" t="str">
            <v>AL8</v>
          </cell>
          <cell r="AB49" t="str">
            <v>UP8</v>
          </cell>
          <cell r="AC49" t="str">
            <v>UP8</v>
          </cell>
          <cell r="AD49" t="str">
            <v>UP8</v>
          </cell>
          <cell r="AE49" t="str">
            <v>UP8</v>
          </cell>
          <cell r="AF49" t="str">
            <v>UP8</v>
          </cell>
          <cell r="AG49" t="str">
            <v>CN</v>
          </cell>
          <cell r="AH49" t="str">
            <v>UP8</v>
          </cell>
          <cell r="AI49" t="str">
            <v>UP8</v>
          </cell>
          <cell r="AJ49" t="str">
            <v>UP8</v>
          </cell>
          <cell r="AN49">
            <v>0</v>
          </cell>
          <cell r="AO49">
            <v>22.083333332999999</v>
          </cell>
          <cell r="AP49">
            <v>4</v>
          </cell>
          <cell r="AQ49">
            <v>2</v>
          </cell>
          <cell r="AR49">
            <v>0</v>
          </cell>
          <cell r="AS49">
            <v>128</v>
          </cell>
          <cell r="AT49">
            <v>0</v>
          </cell>
          <cell r="AU49">
            <v>0</v>
          </cell>
          <cell r="AV49">
            <v>0</v>
          </cell>
          <cell r="AW49">
            <v>0</v>
          </cell>
          <cell r="AX49">
            <v>0</v>
          </cell>
          <cell r="AY49">
            <v>0</v>
          </cell>
          <cell r="AZ49">
            <v>0</v>
          </cell>
          <cell r="BA49">
            <v>12</v>
          </cell>
          <cell r="BB49">
            <v>0</v>
          </cell>
          <cell r="BC49">
            <v>0</v>
          </cell>
          <cell r="BD49">
            <v>0</v>
          </cell>
          <cell r="BE49">
            <v>0</v>
          </cell>
          <cell r="BF49">
            <v>0</v>
          </cell>
          <cell r="BG49">
            <v>34.083333332999999</v>
          </cell>
          <cell r="BH49">
            <v>1.5</v>
          </cell>
          <cell r="BI49">
            <v>1.5</v>
          </cell>
          <cell r="BJ49">
            <v>-2</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BZ49">
            <v>0</v>
          </cell>
          <cell r="CA49">
            <v>0</v>
          </cell>
          <cell r="CB49">
            <v>0</v>
          </cell>
          <cell r="CC49">
            <v>0</v>
          </cell>
          <cell r="CD49">
            <v>0</v>
          </cell>
          <cell r="CE49">
            <v>0</v>
          </cell>
          <cell r="CF49">
            <v>0</v>
          </cell>
          <cell r="CG49">
            <v>0</v>
          </cell>
          <cell r="CH49">
            <v>0</v>
          </cell>
          <cell r="CI49">
            <v>0</v>
          </cell>
          <cell r="CJ49">
            <v>0</v>
          </cell>
          <cell r="CK49">
            <v>0</v>
          </cell>
          <cell r="CL49">
            <v>0</v>
          </cell>
          <cell r="CM49">
            <v>0</v>
          </cell>
          <cell r="CR49">
            <v>0</v>
          </cell>
          <cell r="CS49">
            <v>0</v>
          </cell>
          <cell r="CT49">
            <v>0</v>
          </cell>
          <cell r="CU49">
            <v>0</v>
          </cell>
          <cell r="CV49">
            <v>0</v>
          </cell>
          <cell r="CZ49">
            <v>0</v>
          </cell>
        </row>
        <row r="50">
          <cell r="C50" t="str">
            <v>00154</v>
          </cell>
          <cell r="D50" t="str">
            <v>Đặng Thị Thu</v>
          </cell>
          <cell r="E50" t="str">
            <v>Technical Development</v>
          </cell>
          <cell r="F50" t="str">
            <v>PD Sample</v>
          </cell>
          <cell r="G50" t="str">
            <v>Team Leader</v>
          </cell>
          <cell r="H50">
            <v>41351</v>
          </cell>
          <cell r="I50">
            <v>8</v>
          </cell>
          <cell r="J50">
            <v>8</v>
          </cell>
          <cell r="K50">
            <v>8</v>
          </cell>
          <cell r="L50" t="str">
            <v>CN</v>
          </cell>
          <cell r="M50">
            <v>8</v>
          </cell>
          <cell r="N50">
            <v>8</v>
          </cell>
          <cell r="O50">
            <v>8</v>
          </cell>
          <cell r="P50">
            <v>8</v>
          </cell>
          <cell r="Q50">
            <v>8</v>
          </cell>
          <cell r="R50">
            <v>8</v>
          </cell>
          <cell r="S50" t="str">
            <v>CN</v>
          </cell>
          <cell r="T50">
            <v>8</v>
          </cell>
          <cell r="U50">
            <v>8</v>
          </cell>
          <cell r="V50">
            <v>8</v>
          </cell>
          <cell r="W50">
            <v>8</v>
          </cell>
          <cell r="X50">
            <v>8</v>
          </cell>
          <cell r="Y50">
            <v>8</v>
          </cell>
          <cell r="Z50" t="str">
            <v>CN</v>
          </cell>
          <cell r="AA50">
            <v>8</v>
          </cell>
          <cell r="AB50">
            <v>8</v>
          </cell>
          <cell r="AC50">
            <v>8</v>
          </cell>
          <cell r="AD50">
            <v>8</v>
          </cell>
          <cell r="AE50">
            <v>8</v>
          </cell>
          <cell r="AF50">
            <v>8</v>
          </cell>
          <cell r="AG50" t="str">
            <v>CN</v>
          </cell>
          <cell r="AH50">
            <v>8</v>
          </cell>
          <cell r="AI50">
            <v>8</v>
          </cell>
          <cell r="AJ50">
            <v>8</v>
          </cell>
          <cell r="AN50">
            <v>0</v>
          </cell>
          <cell r="AO50">
            <v>192</v>
          </cell>
          <cell r="AP50">
            <v>0</v>
          </cell>
          <cell r="AQ50">
            <v>0</v>
          </cell>
          <cell r="AR50">
            <v>0</v>
          </cell>
          <cell r="AS50">
            <v>0</v>
          </cell>
          <cell r="AT50">
            <v>0</v>
          </cell>
          <cell r="AU50">
            <v>0</v>
          </cell>
          <cell r="AV50">
            <v>0</v>
          </cell>
          <cell r="AW50">
            <v>0</v>
          </cell>
          <cell r="AX50">
            <v>0</v>
          </cell>
          <cell r="AY50">
            <v>0</v>
          </cell>
          <cell r="AZ50">
            <v>0</v>
          </cell>
          <cell r="BA50">
            <v>0</v>
          </cell>
          <cell r="BB50">
            <v>0</v>
          </cell>
          <cell r="BC50">
            <v>0</v>
          </cell>
          <cell r="BD50">
            <v>0</v>
          </cell>
          <cell r="BE50">
            <v>0</v>
          </cell>
          <cell r="BF50">
            <v>0</v>
          </cell>
          <cell r="BG50">
            <v>192</v>
          </cell>
          <cell r="BH50">
            <v>0</v>
          </cell>
          <cell r="BI50">
            <v>0</v>
          </cell>
          <cell r="BJ50">
            <v>1</v>
          </cell>
          <cell r="BL50">
            <v>0</v>
          </cell>
          <cell r="BM50">
            <v>0</v>
          </cell>
          <cell r="BN50">
            <v>0</v>
          </cell>
          <cell r="BO50">
            <v>0</v>
          </cell>
          <cell r="BP50">
            <v>0</v>
          </cell>
          <cell r="BQ50">
            <v>0</v>
          </cell>
          <cell r="BR50">
            <v>0</v>
          </cell>
          <cell r="BS50">
            <v>0</v>
          </cell>
          <cell r="BT50">
            <v>0</v>
          </cell>
          <cell r="BU50">
            <v>0</v>
          </cell>
          <cell r="BV50">
            <v>0</v>
          </cell>
          <cell r="BW50">
            <v>1</v>
          </cell>
          <cell r="BX50">
            <v>0</v>
          </cell>
          <cell r="BY50">
            <v>0</v>
          </cell>
          <cell r="BZ50">
            <v>0</v>
          </cell>
          <cell r="CA50">
            <v>0</v>
          </cell>
          <cell r="CB50">
            <v>0</v>
          </cell>
          <cell r="CC50">
            <v>0</v>
          </cell>
          <cell r="CD50">
            <v>0</v>
          </cell>
          <cell r="CE50">
            <v>0</v>
          </cell>
          <cell r="CF50">
            <v>0</v>
          </cell>
          <cell r="CG50">
            <v>0</v>
          </cell>
          <cell r="CH50">
            <v>0</v>
          </cell>
          <cell r="CI50">
            <v>0</v>
          </cell>
          <cell r="CJ50">
            <v>0</v>
          </cell>
          <cell r="CK50">
            <v>0</v>
          </cell>
          <cell r="CL50">
            <v>0</v>
          </cell>
          <cell r="CM50">
            <v>0</v>
          </cell>
          <cell r="CR50">
            <v>0</v>
          </cell>
          <cell r="CS50">
            <v>0</v>
          </cell>
          <cell r="CT50">
            <v>1</v>
          </cell>
          <cell r="CU50">
            <v>0</v>
          </cell>
          <cell r="CV50">
            <v>0</v>
          </cell>
          <cell r="CZ50">
            <v>1</v>
          </cell>
        </row>
        <row r="51">
          <cell r="C51" t="str">
            <v>00184</v>
          </cell>
          <cell r="D51" t="str">
            <v>Đào Văn An</v>
          </cell>
          <cell r="E51" t="str">
            <v>Production</v>
          </cell>
          <cell r="F51" t="str">
            <v>Die Cut</v>
          </cell>
          <cell r="G51" t="str">
            <v>Group Leader</v>
          </cell>
          <cell r="H51">
            <v>41368</v>
          </cell>
          <cell r="I51" t="str">
            <v>Đ</v>
          </cell>
          <cell r="J51" t="str">
            <v>Đ</v>
          </cell>
          <cell r="K51" t="str">
            <v>Đ</v>
          </cell>
          <cell r="L51" t="str">
            <v>CN</v>
          </cell>
          <cell r="M51">
            <v>8</v>
          </cell>
          <cell r="N51">
            <v>8</v>
          </cell>
          <cell r="O51">
            <v>8</v>
          </cell>
          <cell r="P51">
            <v>8</v>
          </cell>
          <cell r="Q51" t="str">
            <v>PO</v>
          </cell>
          <cell r="R51">
            <v>8</v>
          </cell>
          <cell r="S51" t="str">
            <v>CN</v>
          </cell>
          <cell r="T51" t="str">
            <v>Đ</v>
          </cell>
          <cell r="U51" t="str">
            <v>Đ</v>
          </cell>
          <cell r="V51" t="str">
            <v>Đ</v>
          </cell>
          <cell r="W51" t="str">
            <v>Đ</v>
          </cell>
          <cell r="X51" t="str">
            <v>Đ</v>
          </cell>
          <cell r="Y51" t="str">
            <v>Đ</v>
          </cell>
          <cell r="Z51" t="str">
            <v>CN</v>
          </cell>
          <cell r="AA51" t="str">
            <v>Đ</v>
          </cell>
          <cell r="AB51" t="str">
            <v>Đ</v>
          </cell>
          <cell r="AC51" t="str">
            <v>Đ</v>
          </cell>
          <cell r="AD51" t="str">
            <v>Đ</v>
          </cell>
          <cell r="AE51" t="str">
            <v>Đ</v>
          </cell>
          <cell r="AF51" t="str">
            <v>Đ</v>
          </cell>
          <cell r="AG51" t="str">
            <v>CN</v>
          </cell>
          <cell r="AH51">
            <v>8</v>
          </cell>
          <cell r="AI51">
            <v>8</v>
          </cell>
          <cell r="AJ51">
            <v>8</v>
          </cell>
          <cell r="AN51">
            <v>120</v>
          </cell>
          <cell r="AO51">
            <v>64</v>
          </cell>
          <cell r="AP51">
            <v>0</v>
          </cell>
          <cell r="AQ51">
            <v>0</v>
          </cell>
          <cell r="AR51">
            <v>0</v>
          </cell>
          <cell r="AS51">
            <v>0</v>
          </cell>
          <cell r="AT51">
            <v>0</v>
          </cell>
          <cell r="AU51">
            <v>0</v>
          </cell>
          <cell r="AV51">
            <v>8</v>
          </cell>
          <cell r="AW51">
            <v>0</v>
          </cell>
          <cell r="AX51">
            <v>0</v>
          </cell>
          <cell r="AY51">
            <v>0</v>
          </cell>
          <cell r="AZ51">
            <v>0</v>
          </cell>
          <cell r="BA51">
            <v>0</v>
          </cell>
          <cell r="BB51">
            <v>0</v>
          </cell>
          <cell r="BC51">
            <v>0</v>
          </cell>
          <cell r="BD51">
            <v>0</v>
          </cell>
          <cell r="BE51">
            <v>0</v>
          </cell>
          <cell r="BF51">
            <v>0</v>
          </cell>
          <cell r="BG51">
            <v>192</v>
          </cell>
          <cell r="BH51">
            <v>0</v>
          </cell>
          <cell r="BI51">
            <v>0</v>
          </cell>
          <cell r="BJ51">
            <v>5.5</v>
          </cell>
          <cell r="BL51">
            <v>0</v>
          </cell>
          <cell r="BM51">
            <v>0</v>
          </cell>
          <cell r="BN51">
            <v>0</v>
          </cell>
          <cell r="BO51">
            <v>0</v>
          </cell>
          <cell r="BP51">
            <v>1.5</v>
          </cell>
          <cell r="BQ51">
            <v>3</v>
          </cell>
          <cell r="BR51">
            <v>0</v>
          </cell>
          <cell r="BS51">
            <v>4</v>
          </cell>
          <cell r="BT51">
            <v>2</v>
          </cell>
          <cell r="BU51">
            <v>0</v>
          </cell>
          <cell r="BV51">
            <v>0</v>
          </cell>
          <cell r="BW51">
            <v>3</v>
          </cell>
          <cell r="BX51">
            <v>4</v>
          </cell>
          <cell r="BY51">
            <v>4</v>
          </cell>
          <cell r="BZ51">
            <v>4</v>
          </cell>
          <cell r="CA51">
            <v>4</v>
          </cell>
          <cell r="CB51">
            <v>4</v>
          </cell>
          <cell r="CC51">
            <v>0</v>
          </cell>
          <cell r="CD51">
            <v>4</v>
          </cell>
          <cell r="CE51">
            <v>4</v>
          </cell>
          <cell r="CF51">
            <v>4</v>
          </cell>
          <cell r="CG51">
            <v>4</v>
          </cell>
          <cell r="CH51">
            <v>1.5</v>
          </cell>
          <cell r="CI51">
            <v>4</v>
          </cell>
          <cell r="CJ51">
            <v>0</v>
          </cell>
          <cell r="CK51">
            <v>1.5</v>
          </cell>
          <cell r="CL51">
            <v>3</v>
          </cell>
          <cell r="CM51">
            <v>1.5</v>
          </cell>
          <cell r="CR51">
            <v>0</v>
          </cell>
          <cell r="CS51">
            <v>0</v>
          </cell>
          <cell r="CT51">
            <v>61</v>
          </cell>
          <cell r="CU51">
            <v>0</v>
          </cell>
          <cell r="CV51">
            <v>0</v>
          </cell>
          <cell r="CZ51">
            <v>61</v>
          </cell>
        </row>
        <row r="52">
          <cell r="C52" t="str">
            <v>00188</v>
          </cell>
          <cell r="D52" t="str">
            <v>Trần Thị Thúy Huỳnh</v>
          </cell>
          <cell r="E52" t="str">
            <v>Foaming</v>
          </cell>
          <cell r="F52" t="str">
            <v>FOAMING Splitting</v>
          </cell>
          <cell r="G52" t="str">
            <v>Worker</v>
          </cell>
          <cell r="H52">
            <v>41683</v>
          </cell>
          <cell r="I52">
            <v>8</v>
          </cell>
          <cell r="J52">
            <v>8</v>
          </cell>
          <cell r="K52">
            <v>8</v>
          </cell>
          <cell r="L52" t="str">
            <v>CN</v>
          </cell>
          <cell r="M52">
            <v>8</v>
          </cell>
          <cell r="N52">
            <v>8</v>
          </cell>
          <cell r="O52">
            <v>8</v>
          </cell>
          <cell r="P52">
            <v>8</v>
          </cell>
          <cell r="Q52">
            <v>8</v>
          </cell>
          <cell r="R52">
            <v>8</v>
          </cell>
          <cell r="S52" t="str">
            <v>CN</v>
          </cell>
          <cell r="T52">
            <v>8</v>
          </cell>
          <cell r="U52">
            <v>8</v>
          </cell>
          <cell r="V52" t="str">
            <v>BS</v>
          </cell>
          <cell r="W52">
            <v>8</v>
          </cell>
          <cell r="X52">
            <v>8</v>
          </cell>
          <cell r="Y52" t="str">
            <v>AL8</v>
          </cell>
          <cell r="Z52" t="str">
            <v>CN</v>
          </cell>
          <cell r="AA52">
            <v>8</v>
          </cell>
          <cell r="AB52">
            <v>8</v>
          </cell>
          <cell r="AC52">
            <v>8</v>
          </cell>
          <cell r="AD52">
            <v>8</v>
          </cell>
          <cell r="AE52">
            <v>8</v>
          </cell>
          <cell r="AF52">
            <v>8</v>
          </cell>
          <cell r="AG52" t="str">
            <v>CN</v>
          </cell>
          <cell r="AH52">
            <v>8</v>
          </cell>
          <cell r="AI52">
            <v>8</v>
          </cell>
          <cell r="AJ52" t="str">
            <v>AL4/UP4</v>
          </cell>
          <cell r="AN52">
            <v>0</v>
          </cell>
          <cell r="AO52">
            <v>168</v>
          </cell>
          <cell r="AP52">
            <v>0</v>
          </cell>
          <cell r="AQ52">
            <v>0</v>
          </cell>
          <cell r="AR52">
            <v>0</v>
          </cell>
          <cell r="AS52">
            <v>4</v>
          </cell>
          <cell r="AT52">
            <v>0</v>
          </cell>
          <cell r="AU52">
            <v>8</v>
          </cell>
          <cell r="AV52">
            <v>0</v>
          </cell>
          <cell r="AW52">
            <v>0</v>
          </cell>
          <cell r="AX52">
            <v>0</v>
          </cell>
          <cell r="AY52">
            <v>0</v>
          </cell>
          <cell r="AZ52">
            <v>0</v>
          </cell>
          <cell r="BA52">
            <v>12</v>
          </cell>
          <cell r="BB52">
            <v>0</v>
          </cell>
          <cell r="BC52">
            <v>0</v>
          </cell>
          <cell r="BD52">
            <v>0</v>
          </cell>
          <cell r="BE52">
            <v>0</v>
          </cell>
          <cell r="BF52">
            <v>0</v>
          </cell>
          <cell r="BG52">
            <v>188</v>
          </cell>
          <cell r="BH52">
            <v>1.5</v>
          </cell>
          <cell r="BI52">
            <v>1.5</v>
          </cell>
          <cell r="BJ52">
            <v>-4</v>
          </cell>
          <cell r="BL52">
            <v>3</v>
          </cell>
          <cell r="BM52">
            <v>4</v>
          </cell>
          <cell r="BN52">
            <v>4</v>
          </cell>
          <cell r="BO52">
            <v>12</v>
          </cell>
          <cell r="BP52">
            <v>0</v>
          </cell>
          <cell r="BQ52">
            <v>4</v>
          </cell>
          <cell r="BR52">
            <v>4</v>
          </cell>
          <cell r="BS52">
            <v>4</v>
          </cell>
          <cell r="BT52">
            <v>0</v>
          </cell>
          <cell r="BU52">
            <v>4</v>
          </cell>
          <cell r="BV52">
            <v>8</v>
          </cell>
          <cell r="BW52">
            <v>4</v>
          </cell>
          <cell r="BX52">
            <v>4</v>
          </cell>
          <cell r="BY52">
            <v>4</v>
          </cell>
          <cell r="BZ52">
            <v>4</v>
          </cell>
          <cell r="CA52">
            <v>0</v>
          </cell>
          <cell r="CB52">
            <v>0</v>
          </cell>
          <cell r="CC52">
            <v>0</v>
          </cell>
          <cell r="CD52">
            <v>4</v>
          </cell>
          <cell r="CE52">
            <v>4</v>
          </cell>
          <cell r="CF52">
            <v>4</v>
          </cell>
          <cell r="CG52">
            <v>4</v>
          </cell>
          <cell r="CH52">
            <v>0</v>
          </cell>
          <cell r="CI52">
            <v>0</v>
          </cell>
          <cell r="CJ52">
            <v>0</v>
          </cell>
          <cell r="CK52">
            <v>0</v>
          </cell>
          <cell r="CL52">
            <v>0</v>
          </cell>
          <cell r="CM52">
            <v>0</v>
          </cell>
          <cell r="CR52">
            <v>0</v>
          </cell>
          <cell r="CS52">
            <v>0</v>
          </cell>
          <cell r="CT52">
            <v>59</v>
          </cell>
          <cell r="CU52">
            <v>20</v>
          </cell>
          <cell r="CV52">
            <v>0</v>
          </cell>
          <cell r="CZ52">
            <v>79</v>
          </cell>
        </row>
        <row r="53">
          <cell r="C53" t="str">
            <v>00212</v>
          </cell>
          <cell r="D53" t="str">
            <v>Nguyễn Thị Vân An</v>
          </cell>
          <cell r="E53" t="str">
            <v>QC</v>
          </cell>
          <cell r="F53" t="str">
            <v>QC</v>
          </cell>
          <cell r="G53" t="str">
            <v>Team Leader</v>
          </cell>
          <cell r="H53">
            <v>41400</v>
          </cell>
          <cell r="I53">
            <v>8</v>
          </cell>
          <cell r="J53" t="str">
            <v>AL4</v>
          </cell>
          <cell r="K53" t="str">
            <v>PO</v>
          </cell>
          <cell r="L53" t="str">
            <v>CN</v>
          </cell>
          <cell r="M53">
            <v>8</v>
          </cell>
          <cell r="N53">
            <v>8</v>
          </cell>
          <cell r="O53">
            <v>8</v>
          </cell>
          <cell r="P53">
            <v>8</v>
          </cell>
          <cell r="Q53" t="str">
            <v>PO</v>
          </cell>
          <cell r="R53" t="str">
            <v>PO</v>
          </cell>
          <cell r="S53" t="str">
            <v>CN</v>
          </cell>
          <cell r="T53">
            <v>8</v>
          </cell>
          <cell r="U53">
            <v>8</v>
          </cell>
          <cell r="V53">
            <v>8</v>
          </cell>
          <cell r="W53">
            <v>8</v>
          </cell>
          <cell r="X53">
            <v>8</v>
          </cell>
          <cell r="Y53" t="str">
            <v>PO</v>
          </cell>
          <cell r="Z53" t="str">
            <v>CN</v>
          </cell>
          <cell r="AA53">
            <v>8</v>
          </cell>
          <cell r="AB53">
            <v>8</v>
          </cell>
          <cell r="AC53">
            <v>8</v>
          </cell>
          <cell r="AD53">
            <v>8</v>
          </cell>
          <cell r="AE53">
            <v>8</v>
          </cell>
          <cell r="AF53" t="str">
            <v>PO</v>
          </cell>
          <cell r="AG53" t="str">
            <v>CN</v>
          </cell>
          <cell r="AH53">
            <v>8</v>
          </cell>
          <cell r="AI53">
            <v>8</v>
          </cell>
          <cell r="AJ53">
            <v>8</v>
          </cell>
          <cell r="AN53">
            <v>0</v>
          </cell>
          <cell r="AO53">
            <v>148</v>
          </cell>
          <cell r="AP53">
            <v>4</v>
          </cell>
          <cell r="AQ53">
            <v>0</v>
          </cell>
          <cell r="AR53">
            <v>0</v>
          </cell>
          <cell r="AS53">
            <v>0</v>
          </cell>
          <cell r="AT53">
            <v>0</v>
          </cell>
          <cell r="AU53">
            <v>0</v>
          </cell>
          <cell r="AV53">
            <v>40</v>
          </cell>
          <cell r="AW53">
            <v>0</v>
          </cell>
          <cell r="AX53">
            <v>0</v>
          </cell>
          <cell r="AY53">
            <v>0</v>
          </cell>
          <cell r="AZ53">
            <v>0</v>
          </cell>
          <cell r="BA53">
            <v>4</v>
          </cell>
          <cell r="BB53">
            <v>0</v>
          </cell>
          <cell r="BC53">
            <v>0</v>
          </cell>
          <cell r="BD53">
            <v>0</v>
          </cell>
          <cell r="BE53">
            <v>0</v>
          </cell>
          <cell r="BF53">
            <v>0</v>
          </cell>
          <cell r="BG53">
            <v>192</v>
          </cell>
          <cell r="BH53">
            <v>0.5</v>
          </cell>
          <cell r="BI53">
            <v>0.5</v>
          </cell>
          <cell r="BJ53">
            <v>4.5</v>
          </cell>
          <cell r="BL53">
            <v>2</v>
          </cell>
          <cell r="BM53">
            <v>1.5</v>
          </cell>
          <cell r="BN53">
            <v>0</v>
          </cell>
          <cell r="BO53">
            <v>0</v>
          </cell>
          <cell r="BP53">
            <v>2.5</v>
          </cell>
          <cell r="BQ53">
            <v>2</v>
          </cell>
          <cell r="BR53">
            <v>2</v>
          </cell>
          <cell r="BS53">
            <v>3.5</v>
          </cell>
          <cell r="BT53">
            <v>0</v>
          </cell>
          <cell r="BU53">
            <v>0</v>
          </cell>
          <cell r="BV53">
            <v>0</v>
          </cell>
          <cell r="BW53">
            <v>4</v>
          </cell>
          <cell r="BX53">
            <v>2.5</v>
          </cell>
          <cell r="BY53">
            <v>2.5</v>
          </cell>
          <cell r="BZ53">
            <v>0</v>
          </cell>
          <cell r="CA53">
            <v>2.5</v>
          </cell>
          <cell r="CB53">
            <v>0</v>
          </cell>
          <cell r="CC53">
            <v>8.5</v>
          </cell>
          <cell r="CD53">
            <v>3</v>
          </cell>
          <cell r="CE53">
            <v>4</v>
          </cell>
          <cell r="CF53">
            <v>4</v>
          </cell>
          <cell r="CG53">
            <v>4</v>
          </cell>
          <cell r="CH53">
            <v>2.5</v>
          </cell>
          <cell r="CI53">
            <v>0</v>
          </cell>
          <cell r="CJ53">
            <v>8.5</v>
          </cell>
          <cell r="CK53">
            <v>4</v>
          </cell>
          <cell r="CL53">
            <v>4</v>
          </cell>
          <cell r="CM53">
            <v>2</v>
          </cell>
          <cell r="CR53">
            <v>0</v>
          </cell>
          <cell r="CS53">
            <v>0</v>
          </cell>
          <cell r="CT53">
            <v>52.5</v>
          </cell>
          <cell r="CU53">
            <v>17</v>
          </cell>
          <cell r="CV53">
            <v>0</v>
          </cell>
          <cell r="CZ53">
            <v>69.5</v>
          </cell>
        </row>
        <row r="54">
          <cell r="C54" t="str">
            <v>00229</v>
          </cell>
          <cell r="D54" t="str">
            <v>Trần Thị Mỹ Linh</v>
          </cell>
          <cell r="E54" t="str">
            <v>Production</v>
          </cell>
          <cell r="F54" t="str">
            <v>Packing</v>
          </cell>
          <cell r="G54" t="str">
            <v>Worker</v>
          </cell>
          <cell r="H54">
            <v>41405</v>
          </cell>
          <cell r="I54">
            <v>8</v>
          </cell>
          <cell r="J54">
            <v>8</v>
          </cell>
          <cell r="K54">
            <v>8</v>
          </cell>
          <cell r="L54" t="str">
            <v>CN</v>
          </cell>
          <cell r="M54" t="str">
            <v>Đ</v>
          </cell>
          <cell r="N54" t="str">
            <v>Đ</v>
          </cell>
          <cell r="O54" t="str">
            <v>Đ</v>
          </cell>
          <cell r="P54" t="str">
            <v>Đ</v>
          </cell>
          <cell r="Q54" t="str">
            <v>Đ</v>
          </cell>
          <cell r="R54" t="str">
            <v>Đ</v>
          </cell>
          <cell r="S54" t="str">
            <v>CN</v>
          </cell>
          <cell r="T54">
            <v>8</v>
          </cell>
          <cell r="U54">
            <v>8</v>
          </cell>
          <cell r="V54">
            <v>8</v>
          </cell>
          <cell r="W54">
            <v>8</v>
          </cell>
          <cell r="X54">
            <v>8</v>
          </cell>
          <cell r="Y54">
            <v>8</v>
          </cell>
          <cell r="Z54" t="str">
            <v>CN</v>
          </cell>
          <cell r="AA54" t="str">
            <v>Đ</v>
          </cell>
          <cell r="AB54" t="str">
            <v>Đ</v>
          </cell>
          <cell r="AC54" t="str">
            <v>Đ</v>
          </cell>
          <cell r="AD54" t="str">
            <v>Đ</v>
          </cell>
          <cell r="AE54" t="str">
            <v>Đ</v>
          </cell>
          <cell r="AF54" t="str">
            <v>Đ</v>
          </cell>
          <cell r="AG54" t="str">
            <v>CN</v>
          </cell>
          <cell r="AH54">
            <v>8</v>
          </cell>
          <cell r="AI54">
            <v>8</v>
          </cell>
          <cell r="AJ54">
            <v>8</v>
          </cell>
          <cell r="AN54">
            <v>96</v>
          </cell>
          <cell r="AO54">
            <v>96</v>
          </cell>
          <cell r="AP54">
            <v>0</v>
          </cell>
          <cell r="AQ54">
            <v>0</v>
          </cell>
          <cell r="AR54">
            <v>0</v>
          </cell>
          <cell r="AS54">
            <v>0</v>
          </cell>
          <cell r="AT54">
            <v>0</v>
          </cell>
          <cell r="AU54">
            <v>0</v>
          </cell>
          <cell r="AV54">
            <v>0</v>
          </cell>
          <cell r="AW54">
            <v>0</v>
          </cell>
          <cell r="AX54">
            <v>0</v>
          </cell>
          <cell r="AY54">
            <v>0</v>
          </cell>
          <cell r="AZ54">
            <v>0</v>
          </cell>
          <cell r="BA54">
            <v>0</v>
          </cell>
          <cell r="BB54">
            <v>0</v>
          </cell>
          <cell r="BC54">
            <v>0</v>
          </cell>
          <cell r="BD54">
            <v>0</v>
          </cell>
          <cell r="BE54">
            <v>0</v>
          </cell>
          <cell r="BF54">
            <v>0</v>
          </cell>
          <cell r="BG54">
            <v>192</v>
          </cell>
          <cell r="BH54">
            <v>0</v>
          </cell>
          <cell r="BI54">
            <v>0</v>
          </cell>
          <cell r="BJ54">
            <v>1</v>
          </cell>
          <cell r="BL54">
            <v>0</v>
          </cell>
          <cell r="BM54">
            <v>1.5</v>
          </cell>
          <cell r="BN54">
            <v>1.5</v>
          </cell>
          <cell r="BO54">
            <v>0</v>
          </cell>
          <cell r="BP54">
            <v>1.5</v>
          </cell>
          <cell r="BQ54">
            <v>0</v>
          </cell>
          <cell r="BR54">
            <v>0</v>
          </cell>
          <cell r="BS54">
            <v>4</v>
          </cell>
          <cell r="BT54">
            <v>4</v>
          </cell>
          <cell r="BU54">
            <v>4</v>
          </cell>
          <cell r="BV54">
            <v>0</v>
          </cell>
          <cell r="BW54">
            <v>3</v>
          </cell>
          <cell r="BX54">
            <v>3</v>
          </cell>
          <cell r="BY54">
            <v>3</v>
          </cell>
          <cell r="BZ54">
            <v>3</v>
          </cell>
          <cell r="CA54">
            <v>3</v>
          </cell>
          <cell r="CB54">
            <v>3</v>
          </cell>
          <cell r="CC54">
            <v>8</v>
          </cell>
          <cell r="CD54">
            <v>4</v>
          </cell>
          <cell r="CE54">
            <v>4</v>
          </cell>
          <cell r="CF54">
            <v>4</v>
          </cell>
          <cell r="CG54">
            <v>4</v>
          </cell>
          <cell r="CH54">
            <v>4</v>
          </cell>
          <cell r="CI54">
            <v>4</v>
          </cell>
          <cell r="CJ54">
            <v>0</v>
          </cell>
          <cell r="CK54">
            <v>3</v>
          </cell>
          <cell r="CL54">
            <v>3</v>
          </cell>
          <cell r="CM54">
            <v>3</v>
          </cell>
          <cell r="CR54">
            <v>0</v>
          </cell>
          <cell r="CS54">
            <v>0</v>
          </cell>
          <cell r="CT54">
            <v>67.5</v>
          </cell>
          <cell r="CU54">
            <v>8</v>
          </cell>
          <cell r="CV54">
            <v>0</v>
          </cell>
          <cell r="CZ54">
            <v>75.5</v>
          </cell>
        </row>
        <row r="55">
          <cell r="C55" t="str">
            <v>00233</v>
          </cell>
          <cell r="D55" t="str">
            <v>Bùi Thúy Muội</v>
          </cell>
          <cell r="E55" t="str">
            <v>Production</v>
          </cell>
          <cell r="F55" t="str">
            <v>Prefitting</v>
          </cell>
          <cell r="G55" t="str">
            <v>Worker</v>
          </cell>
          <cell r="H55">
            <v>41687</v>
          </cell>
          <cell r="I55" t="str">
            <v>Đ</v>
          </cell>
          <cell r="J55" t="str">
            <v>Đ</v>
          </cell>
          <cell r="K55" t="str">
            <v>Đ</v>
          </cell>
          <cell r="L55" t="str">
            <v>CN</v>
          </cell>
          <cell r="M55" t="str">
            <v>AL4</v>
          </cell>
          <cell r="N55">
            <v>8</v>
          </cell>
          <cell r="O55">
            <v>8</v>
          </cell>
          <cell r="P55">
            <v>8</v>
          </cell>
          <cell r="Q55">
            <v>8</v>
          </cell>
          <cell r="R55">
            <v>8</v>
          </cell>
          <cell r="S55" t="str">
            <v>CN</v>
          </cell>
          <cell r="T55" t="str">
            <v>Đ</v>
          </cell>
          <cell r="U55" t="str">
            <v>Đ</v>
          </cell>
          <cell r="V55" t="str">
            <v>Đ</v>
          </cell>
          <cell r="W55" t="str">
            <v>Đ</v>
          </cell>
          <cell r="X55" t="str">
            <v>CN</v>
          </cell>
          <cell r="Y55">
            <v>8</v>
          </cell>
          <cell r="Z55">
            <v>8</v>
          </cell>
          <cell r="AA55">
            <v>8</v>
          </cell>
          <cell r="AB55">
            <v>8</v>
          </cell>
          <cell r="AC55" t="str">
            <v>AL8</v>
          </cell>
          <cell r="AD55" t="str">
            <v>AL8</v>
          </cell>
          <cell r="AE55" t="str">
            <v>CN</v>
          </cell>
          <cell r="AF55" t="str">
            <v>AL8</v>
          </cell>
          <cell r="AG55" t="str">
            <v>Đ</v>
          </cell>
          <cell r="AH55" t="str">
            <v>Đ</v>
          </cell>
          <cell r="AI55" t="str">
            <v>UP8</v>
          </cell>
          <cell r="AJ55" t="str">
            <v>Đ</v>
          </cell>
          <cell r="AN55">
            <v>80</v>
          </cell>
          <cell r="AO55">
            <v>76</v>
          </cell>
          <cell r="AP55">
            <v>4</v>
          </cell>
          <cell r="AQ55">
            <v>0</v>
          </cell>
          <cell r="AR55">
            <v>0</v>
          </cell>
          <cell r="AS55">
            <v>8</v>
          </cell>
          <cell r="AT55">
            <v>0</v>
          </cell>
          <cell r="AU55">
            <v>0</v>
          </cell>
          <cell r="AV55">
            <v>0</v>
          </cell>
          <cell r="AW55">
            <v>0</v>
          </cell>
          <cell r="AX55">
            <v>0</v>
          </cell>
          <cell r="AY55">
            <v>0</v>
          </cell>
          <cell r="AZ55">
            <v>0</v>
          </cell>
          <cell r="BA55">
            <v>28</v>
          </cell>
          <cell r="BB55">
            <v>0</v>
          </cell>
          <cell r="BC55">
            <v>0</v>
          </cell>
          <cell r="BD55">
            <v>0</v>
          </cell>
          <cell r="BE55">
            <v>0</v>
          </cell>
          <cell r="BF55">
            <v>0</v>
          </cell>
          <cell r="BG55">
            <v>184</v>
          </cell>
          <cell r="BH55">
            <v>3.5</v>
          </cell>
          <cell r="BI55">
            <v>3.5</v>
          </cell>
          <cell r="BJ55">
            <v>-1</v>
          </cell>
          <cell r="BL55">
            <v>0</v>
          </cell>
          <cell r="BM55">
            <v>0</v>
          </cell>
          <cell r="BN55">
            <v>0</v>
          </cell>
          <cell r="BO55">
            <v>0</v>
          </cell>
          <cell r="BP55">
            <v>0</v>
          </cell>
          <cell r="BQ55">
            <v>0</v>
          </cell>
          <cell r="BR55">
            <v>0</v>
          </cell>
          <cell r="BS55">
            <v>0</v>
          </cell>
          <cell r="BT55">
            <v>0</v>
          </cell>
          <cell r="BU55">
            <v>0</v>
          </cell>
          <cell r="BV55">
            <v>0</v>
          </cell>
          <cell r="BW55">
            <v>0</v>
          </cell>
          <cell r="BX55">
            <v>4</v>
          </cell>
          <cell r="BY55">
            <v>0</v>
          </cell>
          <cell r="BZ55">
            <v>0</v>
          </cell>
          <cell r="CA55">
            <v>0</v>
          </cell>
          <cell r="CB55">
            <v>4</v>
          </cell>
          <cell r="CC55">
            <v>4</v>
          </cell>
          <cell r="CD55">
            <v>0</v>
          </cell>
          <cell r="CE55">
            <v>0</v>
          </cell>
          <cell r="CF55">
            <v>0</v>
          </cell>
          <cell r="CG55">
            <v>0</v>
          </cell>
          <cell r="CH55">
            <v>0</v>
          </cell>
          <cell r="CI55">
            <v>0</v>
          </cell>
          <cell r="CJ55">
            <v>4</v>
          </cell>
          <cell r="CK55">
            <v>4</v>
          </cell>
          <cell r="CL55">
            <v>0</v>
          </cell>
          <cell r="CM55">
            <v>0</v>
          </cell>
          <cell r="CR55">
            <v>0</v>
          </cell>
          <cell r="CS55">
            <v>0</v>
          </cell>
          <cell r="CT55">
            <v>20</v>
          </cell>
          <cell r="CU55">
            <v>0</v>
          </cell>
          <cell r="CV55">
            <v>0</v>
          </cell>
          <cell r="CZ55">
            <v>20</v>
          </cell>
        </row>
        <row r="56">
          <cell r="C56" t="str">
            <v>00234</v>
          </cell>
          <cell r="D56" t="str">
            <v>Bùi Thị Thu</v>
          </cell>
          <cell r="E56" t="str">
            <v>QC</v>
          </cell>
          <cell r="F56" t="str">
            <v>QC</v>
          </cell>
          <cell r="G56" t="str">
            <v>Worker</v>
          </cell>
          <cell r="H56">
            <v>41687</v>
          </cell>
          <cell r="I56" t="str">
            <v>Đ</v>
          </cell>
          <cell r="J56" t="str">
            <v>Đ</v>
          </cell>
          <cell r="K56" t="str">
            <v>CN</v>
          </cell>
          <cell r="L56">
            <v>8</v>
          </cell>
          <cell r="M56">
            <v>8</v>
          </cell>
          <cell r="N56">
            <v>8</v>
          </cell>
          <cell r="O56">
            <v>8</v>
          </cell>
          <cell r="P56">
            <v>8</v>
          </cell>
          <cell r="Q56">
            <v>8</v>
          </cell>
          <cell r="R56" t="str">
            <v>CN</v>
          </cell>
          <cell r="S56" t="str">
            <v>Đ</v>
          </cell>
          <cell r="T56" t="str">
            <v>Đ</v>
          </cell>
          <cell r="U56" t="str">
            <v>Đ</v>
          </cell>
          <cell r="V56" t="str">
            <v>Đ</v>
          </cell>
          <cell r="W56" t="str">
            <v>Đ</v>
          </cell>
          <cell r="X56" t="str">
            <v>Đ</v>
          </cell>
          <cell r="Y56" t="str">
            <v>CN</v>
          </cell>
          <cell r="Z56">
            <v>8</v>
          </cell>
          <cell r="AA56">
            <v>8</v>
          </cell>
          <cell r="AB56">
            <v>8</v>
          </cell>
          <cell r="AC56">
            <v>8</v>
          </cell>
          <cell r="AD56">
            <v>8</v>
          </cell>
          <cell r="AE56">
            <v>8</v>
          </cell>
          <cell r="AF56" t="str">
            <v>CN</v>
          </cell>
          <cell r="AG56" t="str">
            <v>Đ</v>
          </cell>
          <cell r="AH56" t="str">
            <v>Đ</v>
          </cell>
          <cell r="AI56" t="str">
            <v>Đ</v>
          </cell>
          <cell r="AJ56" t="str">
            <v>Đ</v>
          </cell>
          <cell r="AN56">
            <v>96</v>
          </cell>
          <cell r="AO56">
            <v>96</v>
          </cell>
          <cell r="AP56">
            <v>0</v>
          </cell>
          <cell r="AQ56">
            <v>0</v>
          </cell>
          <cell r="AR56">
            <v>0</v>
          </cell>
          <cell r="AS56">
            <v>0</v>
          </cell>
          <cell r="AT56">
            <v>0</v>
          </cell>
          <cell r="AU56">
            <v>0</v>
          </cell>
          <cell r="AV56">
            <v>0</v>
          </cell>
          <cell r="AW56">
            <v>0</v>
          </cell>
          <cell r="AX56">
            <v>0</v>
          </cell>
          <cell r="AY56">
            <v>0</v>
          </cell>
          <cell r="AZ56">
            <v>0</v>
          </cell>
          <cell r="BA56">
            <v>0</v>
          </cell>
          <cell r="BB56">
            <v>0</v>
          </cell>
          <cell r="BC56">
            <v>0</v>
          </cell>
          <cell r="BD56">
            <v>0</v>
          </cell>
          <cell r="BE56">
            <v>0</v>
          </cell>
          <cell r="BF56">
            <v>0</v>
          </cell>
          <cell r="BG56">
            <v>192</v>
          </cell>
          <cell r="BH56">
            <v>0</v>
          </cell>
          <cell r="BI56">
            <v>0</v>
          </cell>
          <cell r="BJ56">
            <v>-0.5</v>
          </cell>
          <cell r="BL56">
            <v>0</v>
          </cell>
          <cell r="BM56">
            <v>4</v>
          </cell>
          <cell r="BN56">
            <v>0</v>
          </cell>
          <cell r="BO56">
            <v>4</v>
          </cell>
          <cell r="BP56">
            <v>0</v>
          </cell>
          <cell r="BQ56">
            <v>0</v>
          </cell>
          <cell r="BR56">
            <v>0</v>
          </cell>
          <cell r="BS56">
            <v>4</v>
          </cell>
          <cell r="BT56">
            <v>4</v>
          </cell>
          <cell r="BU56">
            <v>0</v>
          </cell>
          <cell r="BV56">
            <v>4</v>
          </cell>
          <cell r="BW56">
            <v>0</v>
          </cell>
          <cell r="BX56">
            <v>0</v>
          </cell>
          <cell r="BY56">
            <v>0</v>
          </cell>
          <cell r="BZ56">
            <v>0</v>
          </cell>
          <cell r="CA56">
            <v>4</v>
          </cell>
          <cell r="CB56">
            <v>0</v>
          </cell>
          <cell r="CC56">
            <v>4</v>
          </cell>
          <cell r="CD56">
            <v>1</v>
          </cell>
          <cell r="CE56">
            <v>0</v>
          </cell>
          <cell r="CF56">
            <v>0</v>
          </cell>
          <cell r="CG56">
            <v>0</v>
          </cell>
          <cell r="CH56">
            <v>4</v>
          </cell>
          <cell r="CI56">
            <v>0</v>
          </cell>
          <cell r="CJ56">
            <v>4</v>
          </cell>
          <cell r="CK56">
            <v>0</v>
          </cell>
          <cell r="CL56">
            <v>0</v>
          </cell>
          <cell r="CM56">
            <v>4</v>
          </cell>
          <cell r="CR56">
            <v>0</v>
          </cell>
          <cell r="CS56">
            <v>0</v>
          </cell>
          <cell r="CT56">
            <v>41</v>
          </cell>
          <cell r="CU56">
            <v>0</v>
          </cell>
          <cell r="CV56">
            <v>0</v>
          </cell>
          <cell r="CZ56">
            <v>41</v>
          </cell>
        </row>
        <row r="57">
          <cell r="C57" t="str">
            <v>00286</v>
          </cell>
          <cell r="D57" t="str">
            <v>Nguyễn Thị Liên</v>
          </cell>
          <cell r="E57" t="str">
            <v>QC</v>
          </cell>
          <cell r="F57" t="str">
            <v>QC</v>
          </cell>
          <cell r="G57" t="str">
            <v>Skilled worker</v>
          </cell>
          <cell r="H57">
            <v>41456</v>
          </cell>
          <cell r="I57">
            <v>8</v>
          </cell>
          <cell r="J57">
            <v>8</v>
          </cell>
          <cell r="K57">
            <v>8</v>
          </cell>
          <cell r="L57" t="str">
            <v>CN</v>
          </cell>
          <cell r="M57">
            <v>8</v>
          </cell>
          <cell r="N57">
            <v>8</v>
          </cell>
          <cell r="O57">
            <v>8</v>
          </cell>
          <cell r="P57">
            <v>8</v>
          </cell>
          <cell r="Q57">
            <v>8</v>
          </cell>
          <cell r="R57">
            <v>8</v>
          </cell>
          <cell r="S57" t="str">
            <v>CN</v>
          </cell>
          <cell r="T57">
            <v>8</v>
          </cell>
          <cell r="U57">
            <v>8</v>
          </cell>
          <cell r="V57">
            <v>8</v>
          </cell>
          <cell r="W57">
            <v>8</v>
          </cell>
          <cell r="X57">
            <v>8</v>
          </cell>
          <cell r="Y57">
            <v>8</v>
          </cell>
          <cell r="Z57" t="str">
            <v>CN</v>
          </cell>
          <cell r="AA57">
            <v>8</v>
          </cell>
          <cell r="AB57">
            <v>8</v>
          </cell>
          <cell r="AC57">
            <v>8</v>
          </cell>
          <cell r="AD57">
            <v>8</v>
          </cell>
          <cell r="AE57">
            <v>8</v>
          </cell>
          <cell r="AF57">
            <v>8</v>
          </cell>
          <cell r="AG57" t="str">
            <v>CN</v>
          </cell>
          <cell r="AH57">
            <v>8</v>
          </cell>
          <cell r="AI57">
            <v>8</v>
          </cell>
          <cell r="AJ57">
            <v>8</v>
          </cell>
          <cell r="AN57">
            <v>0</v>
          </cell>
          <cell r="AO57">
            <v>192</v>
          </cell>
          <cell r="AP57">
            <v>0</v>
          </cell>
          <cell r="AQ57">
            <v>0</v>
          </cell>
          <cell r="AR57">
            <v>0</v>
          </cell>
          <cell r="AS57">
            <v>0</v>
          </cell>
          <cell r="AT57">
            <v>0</v>
          </cell>
          <cell r="AU57">
            <v>0</v>
          </cell>
          <cell r="AV57">
            <v>0</v>
          </cell>
          <cell r="AW57">
            <v>0</v>
          </cell>
          <cell r="AX57">
            <v>0</v>
          </cell>
          <cell r="AY57">
            <v>0</v>
          </cell>
          <cell r="AZ57">
            <v>0</v>
          </cell>
          <cell r="BA57">
            <v>0</v>
          </cell>
          <cell r="BB57">
            <v>0</v>
          </cell>
          <cell r="BC57">
            <v>0</v>
          </cell>
          <cell r="BD57">
            <v>0</v>
          </cell>
          <cell r="BE57">
            <v>0</v>
          </cell>
          <cell r="BF57">
            <v>0</v>
          </cell>
          <cell r="BG57">
            <v>192</v>
          </cell>
          <cell r="BH57">
            <v>0</v>
          </cell>
          <cell r="BI57">
            <v>0</v>
          </cell>
          <cell r="BJ57">
            <v>0.5</v>
          </cell>
          <cell r="BL57">
            <v>2</v>
          </cell>
          <cell r="BM57">
            <v>2</v>
          </cell>
          <cell r="BN57">
            <v>2</v>
          </cell>
          <cell r="BO57">
            <v>0</v>
          </cell>
          <cell r="BP57">
            <v>2</v>
          </cell>
          <cell r="BQ57">
            <v>2</v>
          </cell>
          <cell r="BR57">
            <v>2</v>
          </cell>
          <cell r="BS57">
            <v>2</v>
          </cell>
          <cell r="BT57">
            <v>2</v>
          </cell>
          <cell r="BU57">
            <v>2</v>
          </cell>
          <cell r="BV57">
            <v>0</v>
          </cell>
          <cell r="BW57">
            <v>2</v>
          </cell>
          <cell r="BX57">
            <v>2</v>
          </cell>
          <cell r="BY57">
            <v>2</v>
          </cell>
          <cell r="BZ57">
            <v>2</v>
          </cell>
          <cell r="CA57">
            <v>2</v>
          </cell>
          <cell r="CB57">
            <v>2</v>
          </cell>
          <cell r="CC57">
            <v>8</v>
          </cell>
          <cell r="CD57">
            <v>2</v>
          </cell>
          <cell r="CE57">
            <v>3</v>
          </cell>
          <cell r="CF57">
            <v>2</v>
          </cell>
          <cell r="CG57">
            <v>2</v>
          </cell>
          <cell r="CH57">
            <v>2</v>
          </cell>
          <cell r="CI57">
            <v>2</v>
          </cell>
          <cell r="CJ57">
            <v>8</v>
          </cell>
          <cell r="CK57">
            <v>2</v>
          </cell>
          <cell r="CL57">
            <v>2</v>
          </cell>
          <cell r="CM57">
            <v>2</v>
          </cell>
          <cell r="CR57">
            <v>0</v>
          </cell>
          <cell r="CS57">
            <v>0</v>
          </cell>
          <cell r="CT57">
            <v>49</v>
          </cell>
          <cell r="CU57">
            <v>16</v>
          </cell>
          <cell r="CV57">
            <v>0</v>
          </cell>
          <cell r="CZ57">
            <v>65</v>
          </cell>
        </row>
        <row r="58">
          <cell r="C58" t="str">
            <v>00288</v>
          </cell>
          <cell r="D58" t="str">
            <v>Nguyễn Thị Ánh Tuyết</v>
          </cell>
          <cell r="E58" t="str">
            <v>Lab</v>
          </cell>
          <cell r="F58" t="str">
            <v>Lab</v>
          </cell>
          <cell r="G58" t="str">
            <v>Technician</v>
          </cell>
          <cell r="H58">
            <v>41459</v>
          </cell>
          <cell r="I58">
            <v>8</v>
          </cell>
          <cell r="J58">
            <v>8</v>
          </cell>
          <cell r="K58" t="str">
            <v>PO</v>
          </cell>
          <cell r="L58" t="str">
            <v>CN</v>
          </cell>
          <cell r="M58">
            <v>8</v>
          </cell>
          <cell r="N58">
            <v>8</v>
          </cell>
          <cell r="O58">
            <v>8</v>
          </cell>
          <cell r="P58">
            <v>8</v>
          </cell>
          <cell r="Q58">
            <v>8</v>
          </cell>
          <cell r="R58" t="str">
            <v>PO</v>
          </cell>
          <cell r="S58" t="str">
            <v>CN</v>
          </cell>
          <cell r="T58">
            <v>8</v>
          </cell>
          <cell r="U58">
            <v>8</v>
          </cell>
          <cell r="V58" t="str">
            <v>AL4</v>
          </cell>
          <cell r="W58">
            <v>8</v>
          </cell>
          <cell r="X58">
            <v>8</v>
          </cell>
          <cell r="Y58" t="str">
            <v>PO</v>
          </cell>
          <cell r="Z58" t="str">
            <v>CN</v>
          </cell>
          <cell r="AA58">
            <v>8</v>
          </cell>
          <cell r="AB58">
            <v>8</v>
          </cell>
          <cell r="AC58">
            <v>8</v>
          </cell>
          <cell r="AD58">
            <v>8</v>
          </cell>
          <cell r="AE58">
            <v>8</v>
          </cell>
          <cell r="AF58" t="str">
            <v>PO</v>
          </cell>
          <cell r="AG58" t="str">
            <v>CN</v>
          </cell>
          <cell r="AH58">
            <v>8</v>
          </cell>
          <cell r="AI58">
            <v>8</v>
          </cell>
          <cell r="AJ58">
            <v>8</v>
          </cell>
          <cell r="AN58">
            <v>0</v>
          </cell>
          <cell r="AO58">
            <v>156</v>
          </cell>
          <cell r="AP58">
            <v>4</v>
          </cell>
          <cell r="AQ58">
            <v>0</v>
          </cell>
          <cell r="AR58">
            <v>0</v>
          </cell>
          <cell r="AS58">
            <v>0</v>
          </cell>
          <cell r="AT58">
            <v>0</v>
          </cell>
          <cell r="AU58">
            <v>0</v>
          </cell>
          <cell r="AV58">
            <v>32</v>
          </cell>
          <cell r="AW58">
            <v>0</v>
          </cell>
          <cell r="AX58">
            <v>0</v>
          </cell>
          <cell r="AY58">
            <v>0</v>
          </cell>
          <cell r="AZ58">
            <v>0</v>
          </cell>
          <cell r="BA58">
            <v>4</v>
          </cell>
          <cell r="BB58">
            <v>0</v>
          </cell>
          <cell r="BC58">
            <v>0</v>
          </cell>
          <cell r="BD58">
            <v>0</v>
          </cell>
          <cell r="BE58">
            <v>0</v>
          </cell>
          <cell r="BF58">
            <v>0</v>
          </cell>
          <cell r="BG58">
            <v>192</v>
          </cell>
          <cell r="BH58">
            <v>0.5</v>
          </cell>
          <cell r="BI58">
            <v>0.5</v>
          </cell>
          <cell r="BJ58">
            <v>3</v>
          </cell>
          <cell r="BL58">
            <v>0</v>
          </cell>
          <cell r="BM58">
            <v>0</v>
          </cell>
          <cell r="BN58">
            <v>0</v>
          </cell>
          <cell r="BO58">
            <v>0</v>
          </cell>
          <cell r="BP58">
            <v>0</v>
          </cell>
          <cell r="BQ58">
            <v>0</v>
          </cell>
          <cell r="BR58">
            <v>0</v>
          </cell>
          <cell r="BS58">
            <v>0</v>
          </cell>
          <cell r="BT58">
            <v>0</v>
          </cell>
          <cell r="BU58">
            <v>0</v>
          </cell>
          <cell r="BV58">
            <v>0</v>
          </cell>
          <cell r="BW58">
            <v>0</v>
          </cell>
          <cell r="BX58">
            <v>0</v>
          </cell>
          <cell r="BY58">
            <v>0</v>
          </cell>
          <cell r="BZ58">
            <v>0</v>
          </cell>
          <cell r="CA58">
            <v>0</v>
          </cell>
          <cell r="CB58">
            <v>0</v>
          </cell>
          <cell r="CC58">
            <v>0</v>
          </cell>
          <cell r="CD58">
            <v>0</v>
          </cell>
          <cell r="CE58">
            <v>0</v>
          </cell>
          <cell r="CF58">
            <v>0</v>
          </cell>
          <cell r="CG58">
            <v>0</v>
          </cell>
          <cell r="CH58">
            <v>0</v>
          </cell>
          <cell r="CI58">
            <v>0</v>
          </cell>
          <cell r="CJ58">
            <v>0</v>
          </cell>
          <cell r="CK58">
            <v>0</v>
          </cell>
          <cell r="CL58">
            <v>0</v>
          </cell>
          <cell r="CM58">
            <v>0</v>
          </cell>
          <cell r="CR58">
            <v>0</v>
          </cell>
          <cell r="CS58">
            <v>0</v>
          </cell>
          <cell r="CT58">
            <v>0</v>
          </cell>
          <cell r="CU58">
            <v>0</v>
          </cell>
          <cell r="CV58">
            <v>0</v>
          </cell>
          <cell r="CZ58">
            <v>0</v>
          </cell>
        </row>
        <row r="59">
          <cell r="C59" t="str">
            <v>00295</v>
          </cell>
          <cell r="D59" t="str">
            <v>Nguyễn Thị Diễm Trang</v>
          </cell>
          <cell r="E59" t="str">
            <v>Foaming</v>
          </cell>
          <cell r="F59" t="str">
            <v>FOAMING Splitting</v>
          </cell>
          <cell r="G59" t="str">
            <v>Worker</v>
          </cell>
          <cell r="H59">
            <v>41690</v>
          </cell>
          <cell r="I59" t="str">
            <v>Đ</v>
          </cell>
          <cell r="J59" t="str">
            <v>Đ</v>
          </cell>
          <cell r="K59" t="str">
            <v>Đ</v>
          </cell>
          <cell r="L59" t="str">
            <v>CN</v>
          </cell>
          <cell r="M59" t="str">
            <v>Đ</v>
          </cell>
          <cell r="N59" t="str">
            <v>Đ</v>
          </cell>
          <cell r="O59" t="str">
            <v>Đ</v>
          </cell>
          <cell r="P59" t="str">
            <v>Đ</v>
          </cell>
          <cell r="Q59" t="str">
            <v>Đ</v>
          </cell>
          <cell r="R59" t="str">
            <v>Đ</v>
          </cell>
          <cell r="S59" t="str">
            <v>CN</v>
          </cell>
          <cell r="T59" t="str">
            <v>Đ</v>
          </cell>
          <cell r="U59" t="str">
            <v>Đ</v>
          </cell>
          <cell r="V59" t="str">
            <v>Đ</v>
          </cell>
          <cell r="W59" t="str">
            <v>Đ</v>
          </cell>
          <cell r="X59" t="str">
            <v>Đ</v>
          </cell>
          <cell r="Y59" t="str">
            <v>Đ</v>
          </cell>
          <cell r="Z59" t="str">
            <v>CN</v>
          </cell>
          <cell r="AA59">
            <v>8</v>
          </cell>
          <cell r="AB59">
            <v>8</v>
          </cell>
          <cell r="AC59">
            <v>8</v>
          </cell>
          <cell r="AD59">
            <v>8</v>
          </cell>
          <cell r="AE59">
            <v>8</v>
          </cell>
          <cell r="AF59">
            <v>8</v>
          </cell>
          <cell r="AG59" t="str">
            <v>CN</v>
          </cell>
          <cell r="AH59">
            <v>8</v>
          </cell>
          <cell r="AI59">
            <v>8</v>
          </cell>
          <cell r="AJ59">
            <v>8</v>
          </cell>
          <cell r="AN59">
            <v>120</v>
          </cell>
          <cell r="AO59">
            <v>72</v>
          </cell>
          <cell r="AP59">
            <v>0</v>
          </cell>
          <cell r="AQ59">
            <v>0</v>
          </cell>
          <cell r="AR59">
            <v>0</v>
          </cell>
          <cell r="AS59">
            <v>0</v>
          </cell>
          <cell r="AT59">
            <v>0</v>
          </cell>
          <cell r="AU59">
            <v>0</v>
          </cell>
          <cell r="AV59">
            <v>0</v>
          </cell>
          <cell r="AW59">
            <v>0</v>
          </cell>
          <cell r="AX59">
            <v>0</v>
          </cell>
          <cell r="AY59">
            <v>0</v>
          </cell>
          <cell r="AZ59">
            <v>0</v>
          </cell>
          <cell r="BA59">
            <v>0</v>
          </cell>
          <cell r="BB59">
            <v>0</v>
          </cell>
          <cell r="BC59">
            <v>0</v>
          </cell>
          <cell r="BD59">
            <v>0</v>
          </cell>
          <cell r="BE59">
            <v>0</v>
          </cell>
          <cell r="BF59">
            <v>0</v>
          </cell>
          <cell r="BG59">
            <v>192</v>
          </cell>
          <cell r="BH59">
            <v>0</v>
          </cell>
          <cell r="BI59">
            <v>0</v>
          </cell>
          <cell r="BJ59">
            <v>1.5</v>
          </cell>
          <cell r="BL59">
            <v>4</v>
          </cell>
          <cell r="BM59">
            <v>4</v>
          </cell>
          <cell r="BN59">
            <v>4</v>
          </cell>
          <cell r="BO59" t="str">
            <v>12Đ</v>
          </cell>
          <cell r="BP59">
            <v>2</v>
          </cell>
          <cell r="BQ59">
            <v>4</v>
          </cell>
          <cell r="BR59">
            <v>4</v>
          </cell>
          <cell r="BS59">
            <v>4</v>
          </cell>
          <cell r="BT59">
            <v>4</v>
          </cell>
          <cell r="BU59">
            <v>4</v>
          </cell>
          <cell r="BV59" t="str">
            <v>12Đ</v>
          </cell>
          <cell r="BW59">
            <v>4</v>
          </cell>
          <cell r="BX59">
            <v>4</v>
          </cell>
          <cell r="BY59">
            <v>4</v>
          </cell>
          <cell r="BZ59">
            <v>4</v>
          </cell>
          <cell r="CA59">
            <v>4</v>
          </cell>
          <cell r="CB59">
            <v>4</v>
          </cell>
          <cell r="CC59">
            <v>0</v>
          </cell>
          <cell r="CD59">
            <v>4</v>
          </cell>
          <cell r="CE59">
            <v>4</v>
          </cell>
          <cell r="CF59">
            <v>4</v>
          </cell>
          <cell r="CG59">
            <v>2</v>
          </cell>
          <cell r="CH59">
            <v>4</v>
          </cell>
          <cell r="CI59">
            <v>2</v>
          </cell>
          <cell r="CJ59">
            <v>12</v>
          </cell>
          <cell r="CK59">
            <v>4</v>
          </cell>
          <cell r="CL59">
            <v>0</v>
          </cell>
          <cell r="CM59">
            <v>4</v>
          </cell>
          <cell r="CR59">
            <v>0</v>
          </cell>
          <cell r="CS59">
            <v>0</v>
          </cell>
          <cell r="CT59">
            <v>86</v>
          </cell>
          <cell r="CU59">
            <v>20</v>
          </cell>
          <cell r="CV59">
            <v>16</v>
          </cell>
          <cell r="CZ59">
            <v>122</v>
          </cell>
        </row>
        <row r="60">
          <cell r="C60" t="str">
            <v>00320</v>
          </cell>
          <cell r="D60" t="str">
            <v>Trương Thị Kim Loan</v>
          </cell>
          <cell r="E60" t="str">
            <v>Production</v>
          </cell>
          <cell r="F60" t="str">
            <v>Die Cut</v>
          </cell>
          <cell r="G60" t="str">
            <v>Worker</v>
          </cell>
          <cell r="H60">
            <v>41799</v>
          </cell>
          <cell r="I60" t="str">
            <v>Đ</v>
          </cell>
          <cell r="J60" t="str">
            <v>Đ</v>
          </cell>
          <cell r="K60" t="str">
            <v>Đ</v>
          </cell>
          <cell r="L60" t="str">
            <v>CN</v>
          </cell>
          <cell r="M60">
            <v>8</v>
          </cell>
          <cell r="N60">
            <v>8</v>
          </cell>
          <cell r="O60">
            <v>8</v>
          </cell>
          <cell r="P60">
            <v>8</v>
          </cell>
          <cell r="Q60">
            <v>8</v>
          </cell>
          <cell r="R60">
            <v>8</v>
          </cell>
          <cell r="S60" t="str">
            <v>CN</v>
          </cell>
          <cell r="T60" t="str">
            <v>Đ</v>
          </cell>
          <cell r="U60" t="str">
            <v>Đ</v>
          </cell>
          <cell r="V60" t="str">
            <v>Đ</v>
          </cell>
          <cell r="W60" t="str">
            <v>Đ</v>
          </cell>
          <cell r="X60" t="str">
            <v>Đ</v>
          </cell>
          <cell r="Y60" t="str">
            <v>Đ</v>
          </cell>
          <cell r="Z60" t="str">
            <v>CN</v>
          </cell>
          <cell r="AA60">
            <v>8</v>
          </cell>
          <cell r="AB60">
            <v>8</v>
          </cell>
          <cell r="AC60">
            <v>8</v>
          </cell>
          <cell r="AD60">
            <v>8</v>
          </cell>
          <cell r="AE60" t="str">
            <v>AL8</v>
          </cell>
          <cell r="AF60">
            <v>8</v>
          </cell>
          <cell r="AG60" t="str">
            <v>CN</v>
          </cell>
          <cell r="AH60" t="str">
            <v>Đ</v>
          </cell>
          <cell r="AI60" t="str">
            <v>Đ</v>
          </cell>
          <cell r="AJ60" t="str">
            <v>Đ</v>
          </cell>
          <cell r="AN60">
            <v>96</v>
          </cell>
          <cell r="AO60">
            <v>88</v>
          </cell>
          <cell r="AP60">
            <v>0</v>
          </cell>
          <cell r="AQ60">
            <v>0</v>
          </cell>
          <cell r="AR60">
            <v>0</v>
          </cell>
          <cell r="AS60">
            <v>0</v>
          </cell>
          <cell r="AT60">
            <v>0</v>
          </cell>
          <cell r="AU60">
            <v>0</v>
          </cell>
          <cell r="AV60">
            <v>0</v>
          </cell>
          <cell r="AW60">
            <v>0</v>
          </cell>
          <cell r="AX60">
            <v>0</v>
          </cell>
          <cell r="AY60">
            <v>0</v>
          </cell>
          <cell r="AZ60">
            <v>0</v>
          </cell>
          <cell r="BA60">
            <v>8</v>
          </cell>
          <cell r="BB60">
            <v>0</v>
          </cell>
          <cell r="BC60">
            <v>0</v>
          </cell>
          <cell r="BD60">
            <v>0</v>
          </cell>
          <cell r="BE60">
            <v>0</v>
          </cell>
          <cell r="BF60">
            <v>0</v>
          </cell>
          <cell r="BG60">
            <v>192</v>
          </cell>
          <cell r="BH60">
            <v>1</v>
          </cell>
          <cell r="BI60">
            <v>1</v>
          </cell>
          <cell r="BJ60">
            <v>4.5</v>
          </cell>
          <cell r="BL60">
            <v>1.5</v>
          </cell>
          <cell r="BM60">
            <v>1.5</v>
          </cell>
          <cell r="BN60">
            <v>1.5</v>
          </cell>
          <cell r="BO60">
            <v>0</v>
          </cell>
          <cell r="BP60">
            <v>1.5</v>
          </cell>
          <cell r="BQ60">
            <v>0</v>
          </cell>
          <cell r="BR60">
            <v>0</v>
          </cell>
          <cell r="BS60">
            <v>3</v>
          </cell>
          <cell r="BT60">
            <v>3</v>
          </cell>
          <cell r="BU60">
            <v>3</v>
          </cell>
          <cell r="BV60">
            <v>0</v>
          </cell>
          <cell r="BW60">
            <v>4</v>
          </cell>
          <cell r="BX60">
            <v>4</v>
          </cell>
          <cell r="BY60">
            <v>4</v>
          </cell>
          <cell r="BZ60">
            <v>4</v>
          </cell>
          <cell r="CA60">
            <v>4</v>
          </cell>
          <cell r="CB60">
            <v>4</v>
          </cell>
          <cell r="CC60">
            <v>0</v>
          </cell>
          <cell r="CD60">
            <v>3</v>
          </cell>
          <cell r="CE60">
            <v>3</v>
          </cell>
          <cell r="CF60">
            <v>3</v>
          </cell>
          <cell r="CG60">
            <v>3</v>
          </cell>
          <cell r="CH60">
            <v>0</v>
          </cell>
          <cell r="CI60">
            <v>3</v>
          </cell>
          <cell r="CJ60">
            <v>8</v>
          </cell>
          <cell r="CK60">
            <v>4</v>
          </cell>
          <cell r="CL60">
            <v>4</v>
          </cell>
          <cell r="CM60">
            <v>4</v>
          </cell>
          <cell r="CR60">
            <v>0</v>
          </cell>
          <cell r="CS60">
            <v>0</v>
          </cell>
          <cell r="CT60">
            <v>66</v>
          </cell>
          <cell r="CU60">
            <v>8</v>
          </cell>
          <cell r="CV60">
            <v>0</v>
          </cell>
          <cell r="CZ60">
            <v>74</v>
          </cell>
        </row>
        <row r="61">
          <cell r="C61" t="str">
            <v>00339</v>
          </cell>
          <cell r="D61" t="str">
            <v>Công Nữ Thục Nhi</v>
          </cell>
          <cell r="E61" t="str">
            <v>Production</v>
          </cell>
          <cell r="F61" t="str">
            <v>Logo</v>
          </cell>
          <cell r="G61" t="str">
            <v>Group Leader</v>
          </cell>
          <cell r="H61">
            <v>41701</v>
          </cell>
          <cell r="I61">
            <v>8</v>
          </cell>
          <cell r="J61">
            <v>8</v>
          </cell>
          <cell r="K61">
            <v>8</v>
          </cell>
          <cell r="L61" t="str">
            <v>CN</v>
          </cell>
          <cell r="M61">
            <v>8</v>
          </cell>
          <cell r="N61">
            <v>8</v>
          </cell>
          <cell r="O61">
            <v>8</v>
          </cell>
          <cell r="P61" t="str">
            <v>Đ</v>
          </cell>
          <cell r="Q61" t="str">
            <v>Đ</v>
          </cell>
          <cell r="R61" t="str">
            <v>Đ</v>
          </cell>
          <cell r="S61" t="str">
            <v>CN</v>
          </cell>
          <cell r="T61" t="str">
            <v>AL4</v>
          </cell>
          <cell r="U61">
            <v>8</v>
          </cell>
          <cell r="V61">
            <v>8</v>
          </cell>
          <cell r="W61">
            <v>8</v>
          </cell>
          <cell r="X61">
            <v>8</v>
          </cell>
          <cell r="Y61">
            <v>8</v>
          </cell>
          <cell r="Z61" t="str">
            <v>CN</v>
          </cell>
          <cell r="AA61" t="str">
            <v>Đ</v>
          </cell>
          <cell r="AB61" t="str">
            <v>Đ</v>
          </cell>
          <cell r="AC61" t="str">
            <v>Đ</v>
          </cell>
          <cell r="AD61" t="str">
            <v>Đ</v>
          </cell>
          <cell r="AE61" t="str">
            <v>Đ</v>
          </cell>
          <cell r="AF61" t="str">
            <v>Đ</v>
          </cell>
          <cell r="AG61" t="str">
            <v>CN</v>
          </cell>
          <cell r="AH61">
            <v>8</v>
          </cell>
          <cell r="AI61">
            <v>8</v>
          </cell>
          <cell r="AJ61">
            <v>8</v>
          </cell>
          <cell r="AN61">
            <v>72</v>
          </cell>
          <cell r="AO61">
            <v>116</v>
          </cell>
          <cell r="AP61">
            <v>4</v>
          </cell>
          <cell r="AQ61">
            <v>0</v>
          </cell>
          <cell r="AR61">
            <v>0</v>
          </cell>
          <cell r="AS61">
            <v>0</v>
          </cell>
          <cell r="AT61">
            <v>0</v>
          </cell>
          <cell r="AU61">
            <v>0</v>
          </cell>
          <cell r="AV61">
            <v>0</v>
          </cell>
          <cell r="AW61">
            <v>0</v>
          </cell>
          <cell r="AX61">
            <v>0</v>
          </cell>
          <cell r="AY61">
            <v>0</v>
          </cell>
          <cell r="AZ61">
            <v>0</v>
          </cell>
          <cell r="BA61">
            <v>4</v>
          </cell>
          <cell r="BB61">
            <v>0</v>
          </cell>
          <cell r="BC61">
            <v>0</v>
          </cell>
          <cell r="BD61">
            <v>0</v>
          </cell>
          <cell r="BE61">
            <v>0</v>
          </cell>
          <cell r="BF61">
            <v>0</v>
          </cell>
          <cell r="BG61">
            <v>192</v>
          </cell>
          <cell r="BH61">
            <v>0.5</v>
          </cell>
          <cell r="BI61">
            <v>0.5</v>
          </cell>
          <cell r="BJ61">
            <v>5.5</v>
          </cell>
          <cell r="BL61">
            <v>1.5</v>
          </cell>
          <cell r="BM61">
            <v>1.5</v>
          </cell>
          <cell r="BN61">
            <v>2</v>
          </cell>
          <cell r="BO61">
            <v>0</v>
          </cell>
          <cell r="BP61">
            <v>4</v>
          </cell>
          <cell r="BQ61">
            <v>1.5</v>
          </cell>
          <cell r="BR61">
            <v>4</v>
          </cell>
          <cell r="BS61">
            <v>4</v>
          </cell>
          <cell r="BT61">
            <v>4</v>
          </cell>
          <cell r="BU61">
            <v>4</v>
          </cell>
          <cell r="BV61">
            <v>0</v>
          </cell>
          <cell r="BW61">
            <v>2.5</v>
          </cell>
          <cell r="BX61">
            <v>3.5</v>
          </cell>
          <cell r="BY61">
            <v>4</v>
          </cell>
          <cell r="BZ61">
            <v>3.5</v>
          </cell>
          <cell r="CA61">
            <v>3</v>
          </cell>
          <cell r="CB61">
            <v>3</v>
          </cell>
          <cell r="CC61">
            <v>8</v>
          </cell>
          <cell r="CD61">
            <v>3.5</v>
          </cell>
          <cell r="CE61">
            <v>4</v>
          </cell>
          <cell r="CF61">
            <v>4</v>
          </cell>
          <cell r="CG61">
            <v>4</v>
          </cell>
          <cell r="CH61">
            <v>4</v>
          </cell>
          <cell r="CI61">
            <v>4</v>
          </cell>
          <cell r="CJ61">
            <v>0</v>
          </cell>
          <cell r="CK61">
            <v>4</v>
          </cell>
          <cell r="CL61">
            <v>3.5</v>
          </cell>
          <cell r="CM61">
            <v>0</v>
          </cell>
          <cell r="CR61">
            <v>0</v>
          </cell>
          <cell r="CS61">
            <v>0</v>
          </cell>
          <cell r="CT61">
            <v>77</v>
          </cell>
          <cell r="CU61">
            <v>8</v>
          </cell>
          <cell r="CV61">
            <v>0</v>
          </cell>
          <cell r="CZ61">
            <v>85</v>
          </cell>
        </row>
        <row r="62">
          <cell r="C62" t="str">
            <v>00340</v>
          </cell>
          <cell r="D62" t="str">
            <v>Nguyễn Thị Thu Hương</v>
          </cell>
          <cell r="E62" t="str">
            <v>Production</v>
          </cell>
          <cell r="F62" t="str">
            <v>Packing</v>
          </cell>
          <cell r="G62" t="str">
            <v>Team Leader</v>
          </cell>
          <cell r="H62">
            <v>41704</v>
          </cell>
          <cell r="I62">
            <v>8</v>
          </cell>
          <cell r="J62">
            <v>8</v>
          </cell>
          <cell r="K62">
            <v>8</v>
          </cell>
          <cell r="L62" t="str">
            <v>CN</v>
          </cell>
          <cell r="M62">
            <v>8</v>
          </cell>
          <cell r="N62">
            <v>8</v>
          </cell>
          <cell r="O62">
            <v>8</v>
          </cell>
          <cell r="P62">
            <v>8</v>
          </cell>
          <cell r="Q62" t="str">
            <v>PO</v>
          </cell>
          <cell r="R62">
            <v>8</v>
          </cell>
          <cell r="S62" t="str">
            <v>CN</v>
          </cell>
          <cell r="T62">
            <v>8</v>
          </cell>
          <cell r="U62">
            <v>8</v>
          </cell>
          <cell r="V62">
            <v>8</v>
          </cell>
          <cell r="W62">
            <v>8</v>
          </cell>
          <cell r="X62">
            <v>8</v>
          </cell>
          <cell r="Y62">
            <v>8</v>
          </cell>
          <cell r="Z62" t="str">
            <v>CN</v>
          </cell>
          <cell r="AA62">
            <v>8</v>
          </cell>
          <cell r="AB62">
            <v>8</v>
          </cell>
          <cell r="AC62">
            <v>8</v>
          </cell>
          <cell r="AD62">
            <v>8</v>
          </cell>
          <cell r="AE62">
            <v>8</v>
          </cell>
          <cell r="AF62">
            <v>8</v>
          </cell>
          <cell r="AG62" t="str">
            <v>CN</v>
          </cell>
          <cell r="AH62" t="str">
            <v>AL8</v>
          </cell>
          <cell r="AI62">
            <v>8</v>
          </cell>
          <cell r="AJ62">
            <v>8</v>
          </cell>
          <cell r="AN62">
            <v>0</v>
          </cell>
          <cell r="AO62">
            <v>176</v>
          </cell>
          <cell r="AP62">
            <v>0</v>
          </cell>
          <cell r="AQ62">
            <v>0</v>
          </cell>
          <cell r="AR62">
            <v>0</v>
          </cell>
          <cell r="AS62">
            <v>0</v>
          </cell>
          <cell r="AT62">
            <v>0</v>
          </cell>
          <cell r="AU62">
            <v>0</v>
          </cell>
          <cell r="AV62">
            <v>8</v>
          </cell>
          <cell r="AW62">
            <v>0</v>
          </cell>
          <cell r="AX62">
            <v>0</v>
          </cell>
          <cell r="AY62">
            <v>0</v>
          </cell>
          <cell r="AZ62">
            <v>0</v>
          </cell>
          <cell r="BA62">
            <v>8</v>
          </cell>
          <cell r="BB62">
            <v>0</v>
          </cell>
          <cell r="BC62">
            <v>0</v>
          </cell>
          <cell r="BD62">
            <v>0</v>
          </cell>
          <cell r="BE62">
            <v>0</v>
          </cell>
          <cell r="BF62">
            <v>0</v>
          </cell>
          <cell r="BG62">
            <v>192</v>
          </cell>
          <cell r="BH62">
            <v>1</v>
          </cell>
          <cell r="BI62">
            <v>1</v>
          </cell>
          <cell r="BJ62">
            <v>2.5</v>
          </cell>
          <cell r="BL62">
            <v>2.5</v>
          </cell>
          <cell r="BM62">
            <v>2</v>
          </cell>
          <cell r="BN62">
            <v>0</v>
          </cell>
          <cell r="BO62">
            <v>0</v>
          </cell>
          <cell r="BP62">
            <v>0</v>
          </cell>
          <cell r="BQ62">
            <v>2</v>
          </cell>
          <cell r="BR62">
            <v>0</v>
          </cell>
          <cell r="BS62">
            <v>0</v>
          </cell>
          <cell r="BT62">
            <v>0</v>
          </cell>
          <cell r="BU62">
            <v>3</v>
          </cell>
          <cell r="BV62">
            <v>0</v>
          </cell>
          <cell r="BW62">
            <v>3.5</v>
          </cell>
          <cell r="BX62">
            <v>3.5</v>
          </cell>
          <cell r="BY62">
            <v>3</v>
          </cell>
          <cell r="BZ62">
            <v>3.5</v>
          </cell>
          <cell r="CA62">
            <v>3.5</v>
          </cell>
          <cell r="CB62">
            <v>3</v>
          </cell>
          <cell r="CC62">
            <v>8</v>
          </cell>
          <cell r="CD62">
            <v>0</v>
          </cell>
          <cell r="CE62">
            <v>4</v>
          </cell>
          <cell r="CF62">
            <v>4</v>
          </cell>
          <cell r="CG62">
            <v>3</v>
          </cell>
          <cell r="CH62">
            <v>3</v>
          </cell>
          <cell r="CI62">
            <v>3</v>
          </cell>
          <cell r="CJ62">
            <v>11</v>
          </cell>
          <cell r="CK62">
            <v>0</v>
          </cell>
          <cell r="CL62">
            <v>4</v>
          </cell>
          <cell r="CM62">
            <v>2</v>
          </cell>
          <cell r="CR62">
            <v>0</v>
          </cell>
          <cell r="CS62">
            <v>0</v>
          </cell>
          <cell r="CT62">
            <v>52.5</v>
          </cell>
          <cell r="CU62">
            <v>19</v>
          </cell>
          <cell r="CV62">
            <v>0</v>
          </cell>
          <cell r="CZ62">
            <v>71.5</v>
          </cell>
        </row>
        <row r="63">
          <cell r="C63" t="str">
            <v>00368</v>
          </cell>
          <cell r="D63" t="str">
            <v>Đinh Thị Thu Hồng</v>
          </cell>
          <cell r="E63" t="str">
            <v>HR &amp; Admin</v>
          </cell>
          <cell r="F63" t="str">
            <v>Admin</v>
          </cell>
          <cell r="G63" t="str">
            <v>Cleaner</v>
          </cell>
          <cell r="H63">
            <v>41711</v>
          </cell>
          <cell r="I63">
            <v>8</v>
          </cell>
          <cell r="J63">
            <v>8</v>
          </cell>
          <cell r="K63">
            <v>8</v>
          </cell>
          <cell r="L63" t="str">
            <v>CN</v>
          </cell>
          <cell r="M63">
            <v>8</v>
          </cell>
          <cell r="N63">
            <v>8</v>
          </cell>
          <cell r="O63">
            <v>8</v>
          </cell>
          <cell r="P63">
            <v>8</v>
          </cell>
          <cell r="Q63">
            <v>8</v>
          </cell>
          <cell r="R63">
            <v>8</v>
          </cell>
          <cell r="S63" t="str">
            <v>CN</v>
          </cell>
          <cell r="T63">
            <v>8</v>
          </cell>
          <cell r="U63">
            <v>8</v>
          </cell>
          <cell r="V63">
            <v>8</v>
          </cell>
          <cell r="W63">
            <v>8</v>
          </cell>
          <cell r="X63">
            <v>8</v>
          </cell>
          <cell r="Y63">
            <v>8</v>
          </cell>
          <cell r="Z63" t="str">
            <v>CN</v>
          </cell>
          <cell r="AA63">
            <v>8</v>
          </cell>
          <cell r="AB63">
            <v>8</v>
          </cell>
          <cell r="AC63">
            <v>8</v>
          </cell>
          <cell r="AD63">
            <v>8</v>
          </cell>
          <cell r="AE63">
            <v>8</v>
          </cell>
          <cell r="AF63">
            <v>8</v>
          </cell>
          <cell r="AG63" t="str">
            <v>CN</v>
          </cell>
          <cell r="AH63">
            <v>8</v>
          </cell>
          <cell r="AI63">
            <v>8</v>
          </cell>
          <cell r="AJ63">
            <v>8</v>
          </cell>
          <cell r="AN63">
            <v>0</v>
          </cell>
          <cell r="AO63">
            <v>192</v>
          </cell>
          <cell r="AP63">
            <v>0</v>
          </cell>
          <cell r="AQ63">
            <v>0</v>
          </cell>
          <cell r="AR63">
            <v>0</v>
          </cell>
          <cell r="AS63">
            <v>0</v>
          </cell>
          <cell r="AT63">
            <v>0</v>
          </cell>
          <cell r="AU63">
            <v>0</v>
          </cell>
          <cell r="AV63">
            <v>0</v>
          </cell>
          <cell r="AW63">
            <v>0</v>
          </cell>
          <cell r="AX63">
            <v>0</v>
          </cell>
          <cell r="AY63">
            <v>0</v>
          </cell>
          <cell r="AZ63">
            <v>0</v>
          </cell>
          <cell r="BA63">
            <v>0</v>
          </cell>
          <cell r="BB63">
            <v>0</v>
          </cell>
          <cell r="BC63">
            <v>0</v>
          </cell>
          <cell r="BD63">
            <v>0</v>
          </cell>
          <cell r="BE63">
            <v>0</v>
          </cell>
          <cell r="BF63">
            <v>0</v>
          </cell>
          <cell r="BG63">
            <v>192</v>
          </cell>
          <cell r="BH63">
            <v>0</v>
          </cell>
          <cell r="BI63">
            <v>0</v>
          </cell>
          <cell r="BJ63">
            <v>5.5</v>
          </cell>
          <cell r="BL63">
            <v>1</v>
          </cell>
          <cell r="BM63">
            <v>1</v>
          </cell>
          <cell r="BN63">
            <v>0</v>
          </cell>
          <cell r="BO63">
            <v>0</v>
          </cell>
          <cell r="BP63">
            <v>1</v>
          </cell>
          <cell r="BQ63">
            <v>1</v>
          </cell>
          <cell r="BR63">
            <v>1</v>
          </cell>
          <cell r="BS63">
            <v>1</v>
          </cell>
          <cell r="BT63">
            <v>1</v>
          </cell>
          <cell r="BU63">
            <v>0</v>
          </cell>
          <cell r="BV63">
            <v>0</v>
          </cell>
          <cell r="BW63">
            <v>1</v>
          </cell>
          <cell r="BX63">
            <v>1</v>
          </cell>
          <cell r="BY63">
            <v>1</v>
          </cell>
          <cell r="BZ63">
            <v>1</v>
          </cell>
          <cell r="CA63">
            <v>1</v>
          </cell>
          <cell r="CB63">
            <v>0</v>
          </cell>
          <cell r="CC63">
            <v>0</v>
          </cell>
          <cell r="CD63">
            <v>1</v>
          </cell>
          <cell r="CE63">
            <v>1</v>
          </cell>
          <cell r="CF63">
            <v>1</v>
          </cell>
          <cell r="CG63">
            <v>1</v>
          </cell>
          <cell r="CH63">
            <v>1</v>
          </cell>
          <cell r="CI63">
            <v>0</v>
          </cell>
          <cell r="CJ63">
            <v>0</v>
          </cell>
          <cell r="CK63">
            <v>1</v>
          </cell>
          <cell r="CL63">
            <v>1</v>
          </cell>
          <cell r="CM63">
            <v>1</v>
          </cell>
          <cell r="CR63">
            <v>0</v>
          </cell>
          <cell r="CS63">
            <v>0</v>
          </cell>
          <cell r="CT63">
            <v>20</v>
          </cell>
          <cell r="CU63">
            <v>0</v>
          </cell>
          <cell r="CV63">
            <v>0</v>
          </cell>
          <cell r="CZ63">
            <v>20</v>
          </cell>
        </row>
        <row r="64">
          <cell r="C64" t="str">
            <v>00369</v>
          </cell>
          <cell r="D64" t="str">
            <v>Nguyễn Thị Lan</v>
          </cell>
          <cell r="E64" t="str">
            <v>HR &amp; Admin</v>
          </cell>
          <cell r="F64" t="str">
            <v>Admin</v>
          </cell>
          <cell r="G64" t="str">
            <v>Cleaner</v>
          </cell>
          <cell r="H64">
            <v>41711</v>
          </cell>
          <cell r="I64">
            <v>8</v>
          </cell>
          <cell r="J64">
            <v>8</v>
          </cell>
          <cell r="K64">
            <v>8</v>
          </cell>
          <cell r="L64" t="str">
            <v>CN</v>
          </cell>
          <cell r="M64">
            <v>8</v>
          </cell>
          <cell r="N64">
            <v>8</v>
          </cell>
          <cell r="O64">
            <v>8</v>
          </cell>
          <cell r="P64">
            <v>8</v>
          </cell>
          <cell r="Q64">
            <v>8</v>
          </cell>
          <cell r="R64">
            <v>8</v>
          </cell>
          <cell r="S64" t="str">
            <v>CN</v>
          </cell>
          <cell r="T64">
            <v>8</v>
          </cell>
          <cell r="U64">
            <v>8</v>
          </cell>
          <cell r="V64">
            <v>8</v>
          </cell>
          <cell r="W64">
            <v>8</v>
          </cell>
          <cell r="X64">
            <v>8</v>
          </cell>
          <cell r="Y64">
            <v>8</v>
          </cell>
          <cell r="Z64" t="str">
            <v>CN</v>
          </cell>
          <cell r="AA64">
            <v>8</v>
          </cell>
          <cell r="AB64">
            <v>8</v>
          </cell>
          <cell r="AC64">
            <v>8</v>
          </cell>
          <cell r="AD64">
            <v>8</v>
          </cell>
          <cell r="AE64">
            <v>8</v>
          </cell>
          <cell r="AF64">
            <v>8</v>
          </cell>
          <cell r="AG64" t="str">
            <v>CN</v>
          </cell>
          <cell r="AH64">
            <v>8</v>
          </cell>
          <cell r="AI64">
            <v>8</v>
          </cell>
          <cell r="AJ64" t="str">
            <v>AL4</v>
          </cell>
          <cell r="AN64">
            <v>0</v>
          </cell>
          <cell r="AO64">
            <v>188</v>
          </cell>
          <cell r="AP64">
            <v>4</v>
          </cell>
          <cell r="AQ64">
            <v>0</v>
          </cell>
          <cell r="AR64">
            <v>0</v>
          </cell>
          <cell r="AS64">
            <v>0</v>
          </cell>
          <cell r="AT64">
            <v>0</v>
          </cell>
          <cell r="AU64">
            <v>0</v>
          </cell>
          <cell r="AV64">
            <v>0</v>
          </cell>
          <cell r="AW64">
            <v>0</v>
          </cell>
          <cell r="AX64">
            <v>0</v>
          </cell>
          <cell r="AY64">
            <v>0</v>
          </cell>
          <cell r="AZ64">
            <v>0</v>
          </cell>
          <cell r="BA64">
            <v>4</v>
          </cell>
          <cell r="BB64">
            <v>0</v>
          </cell>
          <cell r="BC64">
            <v>0</v>
          </cell>
          <cell r="BD64">
            <v>0</v>
          </cell>
          <cell r="BE64">
            <v>0</v>
          </cell>
          <cell r="BF64">
            <v>0</v>
          </cell>
          <cell r="BG64">
            <v>192</v>
          </cell>
          <cell r="BH64">
            <v>0.5</v>
          </cell>
          <cell r="BI64">
            <v>0.5</v>
          </cell>
          <cell r="BJ64">
            <v>5</v>
          </cell>
          <cell r="BL64">
            <v>1</v>
          </cell>
          <cell r="BM64">
            <v>1</v>
          </cell>
          <cell r="BN64">
            <v>0</v>
          </cell>
          <cell r="BO64">
            <v>0</v>
          </cell>
          <cell r="BP64">
            <v>1</v>
          </cell>
          <cell r="BQ64">
            <v>1</v>
          </cell>
          <cell r="BR64">
            <v>1</v>
          </cell>
          <cell r="BS64">
            <v>1</v>
          </cell>
          <cell r="BT64">
            <v>1</v>
          </cell>
          <cell r="BU64">
            <v>0</v>
          </cell>
          <cell r="BV64">
            <v>0</v>
          </cell>
          <cell r="BW64">
            <v>1</v>
          </cell>
          <cell r="BX64">
            <v>0.75</v>
          </cell>
          <cell r="BY64">
            <v>0.5</v>
          </cell>
          <cell r="BZ64">
            <v>0.5</v>
          </cell>
          <cell r="CA64">
            <v>0.5</v>
          </cell>
          <cell r="CB64">
            <v>0</v>
          </cell>
          <cell r="CC64">
            <v>0</v>
          </cell>
          <cell r="CD64">
            <v>0.5</v>
          </cell>
          <cell r="CE64">
            <v>0.5</v>
          </cell>
          <cell r="CF64">
            <v>0.5</v>
          </cell>
          <cell r="CG64">
            <v>0.5</v>
          </cell>
          <cell r="CH64">
            <v>0.5</v>
          </cell>
          <cell r="CI64">
            <v>0</v>
          </cell>
          <cell r="CJ64">
            <v>8</v>
          </cell>
          <cell r="CK64">
            <v>0.5</v>
          </cell>
          <cell r="CL64">
            <v>0.5</v>
          </cell>
          <cell r="CM64">
            <v>0.5</v>
          </cell>
          <cell r="CR64">
            <v>0</v>
          </cell>
          <cell r="CS64">
            <v>0</v>
          </cell>
          <cell r="CT64">
            <v>14.25</v>
          </cell>
          <cell r="CU64">
            <v>8</v>
          </cell>
          <cell r="CV64">
            <v>0</v>
          </cell>
          <cell r="CZ64">
            <v>22.25</v>
          </cell>
        </row>
        <row r="65">
          <cell r="C65" t="str">
            <v>00372</v>
          </cell>
          <cell r="D65" t="str">
            <v>Đỗ Thị Thanh Hiền</v>
          </cell>
          <cell r="E65" t="str">
            <v>Production office</v>
          </cell>
          <cell r="F65" t="str">
            <v>Production office</v>
          </cell>
          <cell r="G65" t="str">
            <v>Senior Staff</v>
          </cell>
          <cell r="H65">
            <v>41711</v>
          </cell>
          <cell r="I65" t="str">
            <v>WH</v>
          </cell>
          <cell r="J65">
            <v>8</v>
          </cell>
          <cell r="K65" t="str">
            <v>PO</v>
          </cell>
          <cell r="L65" t="str">
            <v>CN</v>
          </cell>
          <cell r="M65">
            <v>8</v>
          </cell>
          <cell r="N65">
            <v>8</v>
          </cell>
          <cell r="O65">
            <v>8</v>
          </cell>
          <cell r="P65">
            <v>8</v>
          </cell>
          <cell r="Q65" t="str">
            <v>WH4/PO4</v>
          </cell>
          <cell r="R65" t="str">
            <v>PO</v>
          </cell>
          <cell r="S65" t="str">
            <v>CN</v>
          </cell>
          <cell r="T65">
            <v>8</v>
          </cell>
          <cell r="U65">
            <v>8</v>
          </cell>
          <cell r="V65">
            <v>8</v>
          </cell>
          <cell r="W65">
            <v>8</v>
          </cell>
          <cell r="X65">
            <v>8</v>
          </cell>
          <cell r="Y65" t="str">
            <v>PO</v>
          </cell>
          <cell r="Z65" t="str">
            <v>CN</v>
          </cell>
          <cell r="AA65">
            <v>8</v>
          </cell>
          <cell r="AB65">
            <v>8</v>
          </cell>
          <cell r="AC65">
            <v>8</v>
          </cell>
          <cell r="AD65">
            <v>8</v>
          </cell>
          <cell r="AE65">
            <v>8</v>
          </cell>
          <cell r="AF65" t="str">
            <v>PO</v>
          </cell>
          <cell r="AG65" t="str">
            <v>CN</v>
          </cell>
          <cell r="AH65">
            <v>8</v>
          </cell>
          <cell r="AI65">
            <v>8</v>
          </cell>
          <cell r="AJ65">
            <v>8</v>
          </cell>
          <cell r="AN65">
            <v>0</v>
          </cell>
          <cell r="AO65">
            <v>144</v>
          </cell>
          <cell r="AP65">
            <v>0</v>
          </cell>
          <cell r="AQ65">
            <v>0</v>
          </cell>
          <cell r="AR65">
            <v>0</v>
          </cell>
          <cell r="AS65">
            <v>0</v>
          </cell>
          <cell r="AT65">
            <v>0</v>
          </cell>
          <cell r="AU65">
            <v>0</v>
          </cell>
          <cell r="AV65">
            <v>36</v>
          </cell>
          <cell r="AW65">
            <v>0</v>
          </cell>
          <cell r="AX65">
            <v>0</v>
          </cell>
          <cell r="AY65">
            <v>0</v>
          </cell>
          <cell r="AZ65">
            <v>0</v>
          </cell>
          <cell r="BA65">
            <v>0</v>
          </cell>
          <cell r="BB65">
            <v>0</v>
          </cell>
          <cell r="BC65">
            <v>0</v>
          </cell>
          <cell r="BD65">
            <v>12</v>
          </cell>
          <cell r="BE65">
            <v>0</v>
          </cell>
          <cell r="BF65">
            <v>0</v>
          </cell>
          <cell r="BG65">
            <v>192</v>
          </cell>
          <cell r="BH65">
            <v>0</v>
          </cell>
          <cell r="BI65">
            <v>0</v>
          </cell>
          <cell r="BJ65">
            <v>5</v>
          </cell>
          <cell r="BL65">
            <v>0</v>
          </cell>
          <cell r="BM65">
            <v>0</v>
          </cell>
          <cell r="BN65">
            <v>0</v>
          </cell>
          <cell r="BO65">
            <v>0</v>
          </cell>
          <cell r="BP65">
            <v>0</v>
          </cell>
          <cell r="BQ65">
            <v>0</v>
          </cell>
          <cell r="BR65">
            <v>1.5</v>
          </cell>
          <cell r="BS65">
            <v>0</v>
          </cell>
          <cell r="BT65">
            <v>0</v>
          </cell>
          <cell r="BU65">
            <v>0</v>
          </cell>
          <cell r="BV65">
            <v>0</v>
          </cell>
          <cell r="BW65">
            <v>0</v>
          </cell>
          <cell r="BX65">
            <v>0</v>
          </cell>
          <cell r="BY65">
            <v>0</v>
          </cell>
          <cell r="BZ65">
            <v>0</v>
          </cell>
          <cell r="CA65">
            <v>0</v>
          </cell>
          <cell r="CB65">
            <v>0</v>
          </cell>
          <cell r="CC65">
            <v>0</v>
          </cell>
          <cell r="CD65">
            <v>0</v>
          </cell>
          <cell r="CE65">
            <v>0</v>
          </cell>
          <cell r="CF65">
            <v>0</v>
          </cell>
          <cell r="CG65">
            <v>0</v>
          </cell>
          <cell r="CH65">
            <v>0</v>
          </cell>
          <cell r="CI65">
            <v>0</v>
          </cell>
          <cell r="CJ65">
            <v>0</v>
          </cell>
          <cell r="CK65">
            <v>0</v>
          </cell>
          <cell r="CL65">
            <v>0</v>
          </cell>
          <cell r="CM65">
            <v>0</v>
          </cell>
          <cell r="CR65">
            <v>0</v>
          </cell>
          <cell r="CS65">
            <v>0</v>
          </cell>
          <cell r="CT65">
            <v>1.5</v>
          </cell>
          <cell r="CU65">
            <v>0</v>
          </cell>
          <cell r="CV65">
            <v>0</v>
          </cell>
          <cell r="CZ65">
            <v>1.5</v>
          </cell>
        </row>
        <row r="66">
          <cell r="C66" t="str">
            <v>00375</v>
          </cell>
          <cell r="D66" t="str">
            <v>Đỗ Ngọc Điệp</v>
          </cell>
          <cell r="E66" t="str">
            <v>Production</v>
          </cell>
          <cell r="F66" t="str">
            <v>Logo</v>
          </cell>
          <cell r="G66" t="str">
            <v>Worker</v>
          </cell>
          <cell r="H66">
            <v>41708</v>
          </cell>
          <cell r="I66" t="str">
            <v>Đ</v>
          </cell>
          <cell r="J66" t="str">
            <v>Đ</v>
          </cell>
          <cell r="K66" t="str">
            <v>Đ</v>
          </cell>
          <cell r="L66" t="str">
            <v>CN</v>
          </cell>
          <cell r="M66">
            <v>8</v>
          </cell>
          <cell r="N66">
            <v>8</v>
          </cell>
          <cell r="O66">
            <v>8</v>
          </cell>
          <cell r="P66">
            <v>8</v>
          </cell>
          <cell r="Q66">
            <v>8</v>
          </cell>
          <cell r="R66">
            <v>8</v>
          </cell>
          <cell r="S66" t="str">
            <v>CN</v>
          </cell>
          <cell r="T66" t="str">
            <v>Đ</v>
          </cell>
          <cell r="U66" t="str">
            <v>Đ</v>
          </cell>
          <cell r="V66" t="str">
            <v>Đ</v>
          </cell>
          <cell r="W66" t="str">
            <v>Đ</v>
          </cell>
          <cell r="X66" t="str">
            <v>Đ</v>
          </cell>
          <cell r="Y66" t="str">
            <v>Đ</v>
          </cell>
          <cell r="Z66" t="str">
            <v>CN</v>
          </cell>
          <cell r="AA66">
            <v>8</v>
          </cell>
          <cell r="AB66">
            <v>8</v>
          </cell>
          <cell r="AC66">
            <v>8</v>
          </cell>
          <cell r="AD66">
            <v>8</v>
          </cell>
          <cell r="AE66">
            <v>8</v>
          </cell>
          <cell r="AF66">
            <v>8</v>
          </cell>
          <cell r="AG66" t="str">
            <v>CN</v>
          </cell>
          <cell r="AH66" t="str">
            <v>Đ</v>
          </cell>
          <cell r="AI66" t="str">
            <v>Đ</v>
          </cell>
          <cell r="AJ66" t="str">
            <v>Đ</v>
          </cell>
          <cell r="AN66">
            <v>96</v>
          </cell>
          <cell r="AO66">
            <v>96</v>
          </cell>
          <cell r="AP66">
            <v>0</v>
          </cell>
          <cell r="AQ66">
            <v>0</v>
          </cell>
          <cell r="AR66">
            <v>0</v>
          </cell>
          <cell r="AS66">
            <v>0</v>
          </cell>
          <cell r="AT66">
            <v>0</v>
          </cell>
          <cell r="AU66">
            <v>0</v>
          </cell>
          <cell r="AV66">
            <v>0</v>
          </cell>
          <cell r="AW66">
            <v>0</v>
          </cell>
          <cell r="AX66">
            <v>0</v>
          </cell>
          <cell r="AY66">
            <v>0</v>
          </cell>
          <cell r="AZ66">
            <v>0</v>
          </cell>
          <cell r="BA66">
            <v>0</v>
          </cell>
          <cell r="BB66">
            <v>0</v>
          </cell>
          <cell r="BC66">
            <v>0</v>
          </cell>
          <cell r="BD66">
            <v>0</v>
          </cell>
          <cell r="BE66">
            <v>0</v>
          </cell>
          <cell r="BF66">
            <v>0</v>
          </cell>
          <cell r="BG66">
            <v>192</v>
          </cell>
          <cell r="BH66">
            <v>0</v>
          </cell>
          <cell r="BI66">
            <v>0</v>
          </cell>
          <cell r="BJ66">
            <v>5.5</v>
          </cell>
          <cell r="BL66">
            <v>1.5</v>
          </cell>
          <cell r="BM66">
            <v>1.5</v>
          </cell>
          <cell r="BN66">
            <v>1.5</v>
          </cell>
          <cell r="BO66">
            <v>0</v>
          </cell>
          <cell r="BP66">
            <v>1.5</v>
          </cell>
          <cell r="BQ66">
            <v>0</v>
          </cell>
          <cell r="BR66">
            <v>0</v>
          </cell>
          <cell r="BS66">
            <v>2.5</v>
          </cell>
          <cell r="BT66">
            <v>2.5</v>
          </cell>
          <cell r="BU66">
            <v>2.5</v>
          </cell>
          <cell r="BV66">
            <v>0</v>
          </cell>
          <cell r="BW66">
            <v>4</v>
          </cell>
          <cell r="BX66">
            <v>4</v>
          </cell>
          <cell r="BY66">
            <v>4</v>
          </cell>
          <cell r="BZ66">
            <v>4</v>
          </cell>
          <cell r="CA66">
            <v>4</v>
          </cell>
          <cell r="CB66">
            <v>4</v>
          </cell>
          <cell r="CC66">
            <v>0</v>
          </cell>
          <cell r="CD66">
            <v>2.5</v>
          </cell>
          <cell r="CE66">
            <v>3</v>
          </cell>
          <cell r="CF66">
            <v>3</v>
          </cell>
          <cell r="CG66">
            <v>3</v>
          </cell>
          <cell r="CH66">
            <v>3</v>
          </cell>
          <cell r="CI66">
            <v>2</v>
          </cell>
          <cell r="CJ66">
            <v>8</v>
          </cell>
          <cell r="CK66">
            <v>4</v>
          </cell>
          <cell r="CL66">
            <v>4</v>
          </cell>
          <cell r="CM66">
            <v>4</v>
          </cell>
          <cell r="CR66">
            <v>0</v>
          </cell>
          <cell r="CS66">
            <v>0</v>
          </cell>
          <cell r="CT66">
            <v>66</v>
          </cell>
          <cell r="CU66">
            <v>8</v>
          </cell>
          <cell r="CV66">
            <v>0</v>
          </cell>
          <cell r="CZ66">
            <v>74</v>
          </cell>
        </row>
        <row r="67">
          <cell r="C67" t="str">
            <v>00388</v>
          </cell>
          <cell r="D67" t="str">
            <v>Lầm Nhộc Pẩu</v>
          </cell>
          <cell r="E67" t="str">
            <v>Technical Development</v>
          </cell>
          <cell r="F67" t="str">
            <v>PD Sample</v>
          </cell>
          <cell r="G67" t="str">
            <v>Worker</v>
          </cell>
          <cell r="H67">
            <v>41722</v>
          </cell>
          <cell r="I67" t="str">
            <v>TV</v>
          </cell>
          <cell r="J67" t="str">
            <v>TV</v>
          </cell>
          <cell r="K67" t="str">
            <v>TV</v>
          </cell>
          <cell r="L67" t="str">
            <v>TV</v>
          </cell>
          <cell r="M67" t="str">
            <v>TV</v>
          </cell>
          <cell r="N67" t="str">
            <v>TV</v>
          </cell>
          <cell r="O67" t="str">
            <v>TV</v>
          </cell>
          <cell r="P67" t="str">
            <v>TV</v>
          </cell>
          <cell r="Q67" t="str">
            <v>TV</v>
          </cell>
          <cell r="R67" t="str">
            <v>TV</v>
          </cell>
          <cell r="S67" t="str">
            <v>TV</v>
          </cell>
          <cell r="T67" t="str">
            <v>TV</v>
          </cell>
          <cell r="U67" t="str">
            <v>TV</v>
          </cell>
          <cell r="V67" t="str">
            <v>TV</v>
          </cell>
          <cell r="W67" t="str">
            <v>TV</v>
          </cell>
          <cell r="X67" t="str">
            <v>TV</v>
          </cell>
          <cell r="Y67" t="str">
            <v>TV</v>
          </cell>
          <cell r="Z67" t="str">
            <v>TV</v>
          </cell>
          <cell r="AA67" t="str">
            <v>TV</v>
          </cell>
          <cell r="AB67" t="str">
            <v>TV</v>
          </cell>
          <cell r="AC67" t="str">
            <v>TV</v>
          </cell>
          <cell r="AD67" t="str">
            <v>TV</v>
          </cell>
          <cell r="AE67" t="str">
            <v>TV</v>
          </cell>
          <cell r="AF67" t="str">
            <v>TV</v>
          </cell>
          <cell r="AG67" t="str">
            <v>TV</v>
          </cell>
          <cell r="AH67" t="str">
            <v>TV</v>
          </cell>
          <cell r="AI67" t="str">
            <v>TV</v>
          </cell>
          <cell r="AJ67" t="str">
            <v>TV</v>
          </cell>
          <cell r="AN67">
            <v>0</v>
          </cell>
          <cell r="AO67">
            <v>0</v>
          </cell>
          <cell r="AP67">
            <v>0</v>
          </cell>
          <cell r="AQ67">
            <v>0</v>
          </cell>
          <cell r="AR67">
            <v>0</v>
          </cell>
          <cell r="AS67">
            <v>0</v>
          </cell>
          <cell r="AT67">
            <v>0</v>
          </cell>
          <cell r="AU67">
            <v>0</v>
          </cell>
          <cell r="AV67">
            <v>0</v>
          </cell>
          <cell r="AW67">
            <v>0</v>
          </cell>
          <cell r="AX67">
            <v>0</v>
          </cell>
          <cell r="AY67">
            <v>0</v>
          </cell>
          <cell r="AZ67">
            <v>0</v>
          </cell>
          <cell r="BA67">
            <v>0</v>
          </cell>
          <cell r="BB67">
            <v>0</v>
          </cell>
          <cell r="BC67">
            <v>0</v>
          </cell>
          <cell r="BD67">
            <v>0</v>
          </cell>
          <cell r="BE67">
            <v>0</v>
          </cell>
          <cell r="BF67">
            <v>0</v>
          </cell>
          <cell r="BG67">
            <v>0</v>
          </cell>
          <cell r="BH67">
            <v>0</v>
          </cell>
          <cell r="BI67">
            <v>0</v>
          </cell>
          <cell r="BJ67">
            <v>1.5</v>
          </cell>
          <cell r="BL67">
            <v>0</v>
          </cell>
          <cell r="BM67">
            <v>0</v>
          </cell>
          <cell r="BN67">
            <v>0</v>
          </cell>
          <cell r="BO67">
            <v>0</v>
          </cell>
          <cell r="BP67">
            <v>0</v>
          </cell>
          <cell r="BQ67">
            <v>0</v>
          </cell>
          <cell r="BR67">
            <v>0</v>
          </cell>
          <cell r="BS67">
            <v>0</v>
          </cell>
          <cell r="BT67">
            <v>0</v>
          </cell>
          <cell r="BU67">
            <v>0</v>
          </cell>
          <cell r="BV67">
            <v>0</v>
          </cell>
          <cell r="BW67">
            <v>0</v>
          </cell>
          <cell r="BX67">
            <v>0</v>
          </cell>
          <cell r="BY67">
            <v>0</v>
          </cell>
          <cell r="BZ67">
            <v>0</v>
          </cell>
          <cell r="CA67">
            <v>0</v>
          </cell>
          <cell r="CB67">
            <v>0</v>
          </cell>
          <cell r="CC67">
            <v>0</v>
          </cell>
          <cell r="CD67">
            <v>0</v>
          </cell>
          <cell r="CE67">
            <v>0</v>
          </cell>
          <cell r="CF67">
            <v>0</v>
          </cell>
          <cell r="CG67">
            <v>0</v>
          </cell>
          <cell r="CH67">
            <v>0</v>
          </cell>
          <cell r="CI67">
            <v>0</v>
          </cell>
          <cell r="CJ67">
            <v>0</v>
          </cell>
          <cell r="CK67">
            <v>0</v>
          </cell>
          <cell r="CL67">
            <v>0</v>
          </cell>
          <cell r="CM67">
            <v>0</v>
          </cell>
          <cell r="CR67">
            <v>0</v>
          </cell>
          <cell r="CS67">
            <v>0</v>
          </cell>
          <cell r="CT67">
            <v>0</v>
          </cell>
          <cell r="CU67">
            <v>0</v>
          </cell>
          <cell r="CV67">
            <v>0</v>
          </cell>
          <cell r="CZ67">
            <v>0</v>
          </cell>
        </row>
        <row r="68">
          <cell r="C68" t="str">
            <v>00417</v>
          </cell>
          <cell r="D68" t="str">
            <v>Biện Thị Trinh</v>
          </cell>
          <cell r="E68" t="str">
            <v>Production</v>
          </cell>
          <cell r="F68" t="str">
            <v>Packing</v>
          </cell>
          <cell r="G68" t="str">
            <v>Vice Leader</v>
          </cell>
          <cell r="H68">
            <v>41747</v>
          </cell>
          <cell r="I68">
            <v>8</v>
          </cell>
          <cell r="J68">
            <v>8</v>
          </cell>
          <cell r="K68">
            <v>8</v>
          </cell>
          <cell r="L68" t="str">
            <v>CN</v>
          </cell>
          <cell r="M68">
            <v>8</v>
          </cell>
          <cell r="N68" t="str">
            <v>AL8</v>
          </cell>
          <cell r="O68">
            <v>8</v>
          </cell>
          <cell r="P68">
            <v>8</v>
          </cell>
          <cell r="Q68" t="str">
            <v>PO</v>
          </cell>
          <cell r="R68">
            <v>8</v>
          </cell>
          <cell r="S68" t="str">
            <v>CN</v>
          </cell>
          <cell r="T68">
            <v>8</v>
          </cell>
          <cell r="U68">
            <v>8</v>
          </cell>
          <cell r="V68">
            <v>8</v>
          </cell>
          <cell r="W68">
            <v>8</v>
          </cell>
          <cell r="X68">
            <v>8</v>
          </cell>
          <cell r="Y68">
            <v>8</v>
          </cell>
          <cell r="Z68" t="str">
            <v>CN</v>
          </cell>
          <cell r="AA68">
            <v>8</v>
          </cell>
          <cell r="AB68">
            <v>8</v>
          </cell>
          <cell r="AC68">
            <v>8</v>
          </cell>
          <cell r="AD68">
            <v>8</v>
          </cell>
          <cell r="AE68">
            <v>8</v>
          </cell>
          <cell r="AF68">
            <v>8</v>
          </cell>
          <cell r="AG68" t="str">
            <v>CN</v>
          </cell>
          <cell r="AH68" t="str">
            <v>AL4</v>
          </cell>
          <cell r="AI68">
            <v>8</v>
          </cell>
          <cell r="AJ68">
            <v>8</v>
          </cell>
          <cell r="AN68">
            <v>0</v>
          </cell>
          <cell r="AO68">
            <v>172</v>
          </cell>
          <cell r="AP68">
            <v>4</v>
          </cell>
          <cell r="AQ68">
            <v>0</v>
          </cell>
          <cell r="AR68">
            <v>0</v>
          </cell>
          <cell r="AS68">
            <v>0</v>
          </cell>
          <cell r="AT68">
            <v>0</v>
          </cell>
          <cell r="AU68">
            <v>0</v>
          </cell>
          <cell r="AV68">
            <v>8</v>
          </cell>
          <cell r="AW68">
            <v>0</v>
          </cell>
          <cell r="AX68">
            <v>0</v>
          </cell>
          <cell r="AY68">
            <v>0</v>
          </cell>
          <cell r="AZ68">
            <v>0</v>
          </cell>
          <cell r="BA68">
            <v>12</v>
          </cell>
          <cell r="BB68">
            <v>0</v>
          </cell>
          <cell r="BC68">
            <v>0</v>
          </cell>
          <cell r="BD68">
            <v>0</v>
          </cell>
          <cell r="BE68">
            <v>0</v>
          </cell>
          <cell r="BF68">
            <v>0</v>
          </cell>
          <cell r="BG68">
            <v>192</v>
          </cell>
          <cell r="BH68">
            <v>1.5</v>
          </cell>
          <cell r="BI68">
            <v>1.5</v>
          </cell>
          <cell r="BJ68">
            <v>1</v>
          </cell>
          <cell r="BL68">
            <v>0</v>
          </cell>
          <cell r="BM68">
            <v>1.5</v>
          </cell>
          <cell r="BN68">
            <v>0</v>
          </cell>
          <cell r="BO68">
            <v>0</v>
          </cell>
          <cell r="BP68">
            <v>1.5</v>
          </cell>
          <cell r="BQ68">
            <v>0</v>
          </cell>
          <cell r="BR68">
            <v>0</v>
          </cell>
          <cell r="BS68">
            <v>3</v>
          </cell>
          <cell r="BT68">
            <v>2</v>
          </cell>
          <cell r="BU68">
            <v>0</v>
          </cell>
          <cell r="BV68">
            <v>0</v>
          </cell>
          <cell r="BW68">
            <v>3</v>
          </cell>
          <cell r="BX68">
            <v>3</v>
          </cell>
          <cell r="BY68">
            <v>3</v>
          </cell>
          <cell r="BZ68">
            <v>1.5</v>
          </cell>
          <cell r="CA68">
            <v>3</v>
          </cell>
          <cell r="CB68">
            <v>3</v>
          </cell>
          <cell r="CC68">
            <v>8</v>
          </cell>
          <cell r="CD68">
            <v>3</v>
          </cell>
          <cell r="CE68">
            <v>1.5</v>
          </cell>
          <cell r="CF68">
            <v>3</v>
          </cell>
          <cell r="CG68">
            <v>3</v>
          </cell>
          <cell r="CH68">
            <v>3</v>
          </cell>
          <cell r="CI68">
            <v>1.5</v>
          </cell>
          <cell r="CJ68">
            <v>8</v>
          </cell>
          <cell r="CK68">
            <v>0</v>
          </cell>
          <cell r="CL68">
            <v>1.5</v>
          </cell>
          <cell r="CM68">
            <v>1.5</v>
          </cell>
          <cell r="CR68">
            <v>0</v>
          </cell>
          <cell r="CS68">
            <v>0</v>
          </cell>
          <cell r="CT68">
            <v>42.5</v>
          </cell>
          <cell r="CU68">
            <v>16</v>
          </cell>
          <cell r="CV68">
            <v>0</v>
          </cell>
          <cell r="CZ68">
            <v>58.5</v>
          </cell>
        </row>
        <row r="69">
          <cell r="C69" t="str">
            <v>00429</v>
          </cell>
          <cell r="D69" t="str">
            <v>Trương Kim Vân</v>
          </cell>
          <cell r="E69" t="str">
            <v>Account - Financial</v>
          </cell>
          <cell r="F69" t="str">
            <v>Logistics (OVN)</v>
          </cell>
          <cell r="G69" t="str">
            <v>Associate Specialist</v>
          </cell>
          <cell r="H69">
            <v>41821</v>
          </cell>
          <cell r="I69">
            <v>8</v>
          </cell>
          <cell r="J69">
            <v>8</v>
          </cell>
          <cell r="K69" t="str">
            <v>PO</v>
          </cell>
          <cell r="L69" t="str">
            <v>CN</v>
          </cell>
          <cell r="M69">
            <v>8</v>
          </cell>
          <cell r="N69">
            <v>8</v>
          </cell>
          <cell r="O69">
            <v>8</v>
          </cell>
          <cell r="P69">
            <v>8</v>
          </cell>
          <cell r="Q69">
            <v>8</v>
          </cell>
          <cell r="R69" t="str">
            <v>PO</v>
          </cell>
          <cell r="S69" t="str">
            <v>CN</v>
          </cell>
          <cell r="T69">
            <v>8</v>
          </cell>
          <cell r="U69">
            <v>8</v>
          </cell>
          <cell r="V69">
            <v>8</v>
          </cell>
          <cell r="W69">
            <v>8</v>
          </cell>
          <cell r="X69" t="str">
            <v>AL8</v>
          </cell>
          <cell r="Y69" t="str">
            <v>PO</v>
          </cell>
          <cell r="Z69" t="str">
            <v>CN</v>
          </cell>
          <cell r="AA69">
            <v>8</v>
          </cell>
          <cell r="AB69">
            <v>8</v>
          </cell>
          <cell r="AC69">
            <v>8</v>
          </cell>
          <cell r="AD69">
            <v>8</v>
          </cell>
          <cell r="AE69">
            <v>8</v>
          </cell>
          <cell r="AF69" t="str">
            <v>PO</v>
          </cell>
          <cell r="AG69" t="str">
            <v>CN</v>
          </cell>
          <cell r="AH69">
            <v>8</v>
          </cell>
          <cell r="AI69" t="str">
            <v>AL8</v>
          </cell>
          <cell r="AJ69">
            <v>8</v>
          </cell>
          <cell r="AN69">
            <v>0</v>
          </cell>
          <cell r="AO69">
            <v>144</v>
          </cell>
          <cell r="AP69">
            <v>0</v>
          </cell>
          <cell r="AQ69">
            <v>0</v>
          </cell>
          <cell r="AR69">
            <v>0</v>
          </cell>
          <cell r="AS69">
            <v>0</v>
          </cell>
          <cell r="AT69">
            <v>0</v>
          </cell>
          <cell r="AU69">
            <v>0</v>
          </cell>
          <cell r="AV69">
            <v>32</v>
          </cell>
          <cell r="AW69">
            <v>0</v>
          </cell>
          <cell r="AX69">
            <v>0</v>
          </cell>
          <cell r="AY69">
            <v>0</v>
          </cell>
          <cell r="AZ69">
            <v>0</v>
          </cell>
          <cell r="BA69">
            <v>16</v>
          </cell>
          <cell r="BB69">
            <v>0</v>
          </cell>
          <cell r="BC69">
            <v>0</v>
          </cell>
          <cell r="BD69">
            <v>0</v>
          </cell>
          <cell r="BE69">
            <v>0</v>
          </cell>
          <cell r="BF69">
            <v>0</v>
          </cell>
          <cell r="BG69">
            <v>192</v>
          </cell>
          <cell r="BH69">
            <v>2</v>
          </cell>
          <cell r="BI69">
            <v>2</v>
          </cell>
          <cell r="BJ69">
            <v>7</v>
          </cell>
          <cell r="BL69">
            <v>0</v>
          </cell>
          <cell r="BM69">
            <v>0</v>
          </cell>
          <cell r="BN69">
            <v>0</v>
          </cell>
          <cell r="BO69">
            <v>0</v>
          </cell>
          <cell r="BP69">
            <v>2</v>
          </cell>
          <cell r="BQ69">
            <v>2</v>
          </cell>
          <cell r="BR69">
            <v>1.5</v>
          </cell>
          <cell r="BS69">
            <v>0</v>
          </cell>
          <cell r="BT69">
            <v>0</v>
          </cell>
          <cell r="BU69">
            <v>0</v>
          </cell>
          <cell r="BV69">
            <v>0</v>
          </cell>
          <cell r="BW69">
            <v>0</v>
          </cell>
          <cell r="BX69">
            <v>2</v>
          </cell>
          <cell r="BY69">
            <v>0</v>
          </cell>
          <cell r="BZ69">
            <v>0</v>
          </cell>
          <cell r="CA69">
            <v>0</v>
          </cell>
          <cell r="CB69">
            <v>0</v>
          </cell>
          <cell r="CC69">
            <v>0</v>
          </cell>
          <cell r="CD69">
            <v>2</v>
          </cell>
          <cell r="CE69">
            <v>0</v>
          </cell>
          <cell r="CF69">
            <v>0</v>
          </cell>
          <cell r="CG69">
            <v>0</v>
          </cell>
          <cell r="CH69">
            <v>0</v>
          </cell>
          <cell r="CI69">
            <v>0</v>
          </cell>
          <cell r="CJ69">
            <v>0</v>
          </cell>
          <cell r="CK69">
            <v>0</v>
          </cell>
          <cell r="CL69">
            <v>0</v>
          </cell>
          <cell r="CM69">
            <v>0</v>
          </cell>
          <cell r="CR69">
            <v>0</v>
          </cell>
          <cell r="CS69">
            <v>0</v>
          </cell>
          <cell r="CT69">
            <v>9.5</v>
          </cell>
          <cell r="CU69">
            <v>0</v>
          </cell>
          <cell r="CV69">
            <v>0</v>
          </cell>
          <cell r="CZ69">
            <v>9.5</v>
          </cell>
        </row>
        <row r="70">
          <cell r="C70" t="str">
            <v>00471</v>
          </cell>
          <cell r="D70" t="str">
            <v>Võ Thị Kim Oanh</v>
          </cell>
          <cell r="E70" t="str">
            <v>QC</v>
          </cell>
          <cell r="F70" t="str">
            <v>QC</v>
          </cell>
          <cell r="G70" t="str">
            <v>Worker</v>
          </cell>
          <cell r="H70">
            <v>41844</v>
          </cell>
          <cell r="I70" t="str">
            <v>TV</v>
          </cell>
          <cell r="J70" t="str">
            <v>TV</v>
          </cell>
          <cell r="K70" t="str">
            <v>TV</v>
          </cell>
          <cell r="L70" t="str">
            <v>TV</v>
          </cell>
          <cell r="M70" t="str">
            <v>TV</v>
          </cell>
          <cell r="N70" t="str">
            <v>TV</v>
          </cell>
          <cell r="O70" t="str">
            <v>TV</v>
          </cell>
          <cell r="P70" t="str">
            <v>TV</v>
          </cell>
          <cell r="Q70" t="str">
            <v>TV</v>
          </cell>
          <cell r="R70" t="str">
            <v>TV</v>
          </cell>
          <cell r="S70" t="str">
            <v>TV</v>
          </cell>
          <cell r="T70" t="str">
            <v>TV</v>
          </cell>
          <cell r="U70" t="str">
            <v>TV</v>
          </cell>
          <cell r="V70" t="str">
            <v>TV</v>
          </cell>
          <cell r="W70" t="str">
            <v>TV</v>
          </cell>
          <cell r="X70" t="str">
            <v>TV</v>
          </cell>
          <cell r="Y70" t="str">
            <v>TV</v>
          </cell>
          <cell r="Z70" t="str">
            <v>TV</v>
          </cell>
          <cell r="AA70" t="str">
            <v>TV</v>
          </cell>
          <cell r="AB70" t="str">
            <v>TV</v>
          </cell>
          <cell r="AC70" t="str">
            <v>TV</v>
          </cell>
          <cell r="AD70" t="str">
            <v>TV</v>
          </cell>
          <cell r="AE70" t="str">
            <v>TV</v>
          </cell>
          <cell r="AF70" t="str">
            <v>TV</v>
          </cell>
          <cell r="AG70" t="str">
            <v>TV</v>
          </cell>
          <cell r="AH70" t="str">
            <v>TV</v>
          </cell>
          <cell r="AI70" t="str">
            <v>TV</v>
          </cell>
          <cell r="AJ70" t="str">
            <v>TV</v>
          </cell>
          <cell r="AN70">
            <v>0</v>
          </cell>
          <cell r="AO70">
            <v>0</v>
          </cell>
          <cell r="AP70">
            <v>0</v>
          </cell>
          <cell r="AQ70">
            <v>0</v>
          </cell>
          <cell r="AR70">
            <v>0</v>
          </cell>
          <cell r="AS70">
            <v>0</v>
          </cell>
          <cell r="AT70">
            <v>0</v>
          </cell>
          <cell r="AU70">
            <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4</v>
          </cell>
          <cell r="BL70">
            <v>0</v>
          </cell>
          <cell r="BM70">
            <v>0</v>
          </cell>
          <cell r="BN70">
            <v>0</v>
          </cell>
          <cell r="BO70">
            <v>0</v>
          </cell>
          <cell r="BP70">
            <v>0</v>
          </cell>
          <cell r="BQ70">
            <v>0</v>
          </cell>
          <cell r="BR70">
            <v>0</v>
          </cell>
          <cell r="BS70">
            <v>0</v>
          </cell>
          <cell r="BT70">
            <v>0</v>
          </cell>
          <cell r="BU70">
            <v>0</v>
          </cell>
          <cell r="BV70">
            <v>0</v>
          </cell>
          <cell r="BW70">
            <v>0</v>
          </cell>
          <cell r="BX70">
            <v>0</v>
          </cell>
          <cell r="BY70">
            <v>0</v>
          </cell>
          <cell r="BZ70">
            <v>0</v>
          </cell>
          <cell r="CA70">
            <v>0</v>
          </cell>
          <cell r="CB70">
            <v>0</v>
          </cell>
          <cell r="CC70">
            <v>0</v>
          </cell>
          <cell r="CD70">
            <v>0</v>
          </cell>
          <cell r="CE70">
            <v>0</v>
          </cell>
          <cell r="CF70">
            <v>0</v>
          </cell>
          <cell r="CG70">
            <v>0</v>
          </cell>
          <cell r="CH70">
            <v>0</v>
          </cell>
          <cell r="CI70">
            <v>0</v>
          </cell>
          <cell r="CJ70">
            <v>0</v>
          </cell>
          <cell r="CK70">
            <v>0</v>
          </cell>
          <cell r="CL70">
            <v>0</v>
          </cell>
          <cell r="CM70">
            <v>0</v>
          </cell>
          <cell r="CR70">
            <v>0</v>
          </cell>
          <cell r="CS70">
            <v>0</v>
          </cell>
          <cell r="CT70">
            <v>0</v>
          </cell>
          <cell r="CU70">
            <v>0</v>
          </cell>
          <cell r="CV70">
            <v>0</v>
          </cell>
          <cell r="CZ70">
            <v>0</v>
          </cell>
        </row>
        <row r="71">
          <cell r="C71" t="str">
            <v>00509</v>
          </cell>
          <cell r="D71" t="str">
            <v>Trương Thanh Bình</v>
          </cell>
          <cell r="E71" t="str">
            <v>Production</v>
          </cell>
          <cell r="F71" t="str">
            <v>Prefitting</v>
          </cell>
          <cell r="G71" t="str">
            <v>Worker</v>
          </cell>
          <cell r="H71">
            <v>42039</v>
          </cell>
          <cell r="I71">
            <v>8</v>
          </cell>
          <cell r="J71">
            <v>8</v>
          </cell>
          <cell r="K71">
            <v>8</v>
          </cell>
          <cell r="L71" t="str">
            <v>CN</v>
          </cell>
          <cell r="M71" t="str">
            <v>Đ</v>
          </cell>
          <cell r="N71" t="str">
            <v>Đ</v>
          </cell>
          <cell r="O71" t="str">
            <v>Đ</v>
          </cell>
          <cell r="P71" t="str">
            <v>Đ</v>
          </cell>
          <cell r="Q71" t="str">
            <v>Đ</v>
          </cell>
          <cell r="R71" t="str">
            <v>Đ</v>
          </cell>
          <cell r="S71" t="str">
            <v>CN</v>
          </cell>
          <cell r="T71">
            <v>8</v>
          </cell>
          <cell r="U71">
            <v>8</v>
          </cell>
          <cell r="V71">
            <v>8</v>
          </cell>
          <cell r="W71">
            <v>8</v>
          </cell>
          <cell r="X71">
            <v>8</v>
          </cell>
          <cell r="Y71">
            <v>8</v>
          </cell>
          <cell r="Z71" t="str">
            <v>CN</v>
          </cell>
          <cell r="AA71" t="str">
            <v>Đ</v>
          </cell>
          <cell r="AB71" t="str">
            <v>Đ</v>
          </cell>
          <cell r="AC71" t="str">
            <v>Đ</v>
          </cell>
          <cell r="AD71" t="str">
            <v>CN</v>
          </cell>
          <cell r="AE71">
            <v>8</v>
          </cell>
          <cell r="AF71">
            <v>8</v>
          </cell>
          <cell r="AG71">
            <v>8</v>
          </cell>
          <cell r="AH71">
            <v>8</v>
          </cell>
          <cell r="AI71">
            <v>8</v>
          </cell>
          <cell r="AJ71">
            <v>8</v>
          </cell>
          <cell r="AN71">
            <v>72</v>
          </cell>
          <cell r="AO71">
            <v>120</v>
          </cell>
          <cell r="AP71">
            <v>0</v>
          </cell>
          <cell r="AQ71">
            <v>0</v>
          </cell>
          <cell r="AR71">
            <v>0</v>
          </cell>
          <cell r="AS71">
            <v>0</v>
          </cell>
          <cell r="AT71">
            <v>0</v>
          </cell>
          <cell r="AU71">
            <v>0</v>
          </cell>
          <cell r="AV71">
            <v>0</v>
          </cell>
          <cell r="AW71">
            <v>0</v>
          </cell>
          <cell r="AX71">
            <v>0</v>
          </cell>
          <cell r="AY71">
            <v>0</v>
          </cell>
          <cell r="AZ71">
            <v>0</v>
          </cell>
          <cell r="BA71">
            <v>0</v>
          </cell>
          <cell r="BB71">
            <v>0</v>
          </cell>
          <cell r="BC71">
            <v>0</v>
          </cell>
          <cell r="BD71">
            <v>0</v>
          </cell>
          <cell r="BE71">
            <v>0</v>
          </cell>
          <cell r="BF71">
            <v>0</v>
          </cell>
          <cell r="BG71">
            <v>192</v>
          </cell>
          <cell r="BH71">
            <v>0</v>
          </cell>
          <cell r="BI71">
            <v>0</v>
          </cell>
          <cell r="BJ71">
            <v>9.5</v>
          </cell>
          <cell r="BL71">
            <v>0</v>
          </cell>
          <cell r="BM71">
            <v>4</v>
          </cell>
          <cell r="BN71">
            <v>4</v>
          </cell>
          <cell r="BO71">
            <v>0</v>
          </cell>
          <cell r="BP71">
            <v>0</v>
          </cell>
          <cell r="BQ71">
            <v>0</v>
          </cell>
          <cell r="BR71">
            <v>0</v>
          </cell>
          <cell r="BS71">
            <v>0</v>
          </cell>
          <cell r="BT71">
            <v>4</v>
          </cell>
          <cell r="BU71">
            <v>0</v>
          </cell>
          <cell r="BV71">
            <v>0</v>
          </cell>
          <cell r="BW71">
            <v>0</v>
          </cell>
          <cell r="BX71">
            <v>0</v>
          </cell>
          <cell r="BY71">
            <v>0</v>
          </cell>
          <cell r="BZ71">
            <v>0</v>
          </cell>
          <cell r="CA71">
            <v>0</v>
          </cell>
          <cell r="CB71">
            <v>0</v>
          </cell>
          <cell r="CC71">
            <v>0</v>
          </cell>
          <cell r="CD71">
            <v>4</v>
          </cell>
          <cell r="CE71">
            <v>4</v>
          </cell>
          <cell r="CF71">
            <v>0</v>
          </cell>
          <cell r="CG71">
            <v>0</v>
          </cell>
          <cell r="CH71">
            <v>4</v>
          </cell>
          <cell r="CI71">
            <v>4</v>
          </cell>
          <cell r="CJ71">
            <v>4</v>
          </cell>
          <cell r="CK71">
            <v>0</v>
          </cell>
          <cell r="CL71">
            <v>0</v>
          </cell>
          <cell r="CM71">
            <v>0</v>
          </cell>
          <cell r="CR71">
            <v>0</v>
          </cell>
          <cell r="CS71">
            <v>0</v>
          </cell>
          <cell r="CT71">
            <v>32</v>
          </cell>
          <cell r="CU71">
            <v>0</v>
          </cell>
          <cell r="CV71">
            <v>0</v>
          </cell>
          <cell r="CZ71">
            <v>32</v>
          </cell>
        </row>
        <row r="72">
          <cell r="C72" t="str">
            <v>00514</v>
          </cell>
          <cell r="D72" t="str">
            <v>Dương Thị Trúc Giang</v>
          </cell>
          <cell r="E72" t="str">
            <v>Technical Development</v>
          </cell>
          <cell r="F72" t="str">
            <v>PD Sample</v>
          </cell>
          <cell r="G72" t="str">
            <v>Worker</v>
          </cell>
          <cell r="H72">
            <v>42069</v>
          </cell>
          <cell r="I72">
            <v>8</v>
          </cell>
          <cell r="J72">
            <v>8</v>
          </cell>
          <cell r="K72">
            <v>8</v>
          </cell>
          <cell r="L72" t="str">
            <v>CN</v>
          </cell>
          <cell r="M72">
            <v>8</v>
          </cell>
          <cell r="N72">
            <v>8</v>
          </cell>
          <cell r="O72">
            <v>8</v>
          </cell>
          <cell r="P72">
            <v>8</v>
          </cell>
          <cell r="Q72">
            <v>8</v>
          </cell>
          <cell r="R72">
            <v>8</v>
          </cell>
          <cell r="S72" t="str">
            <v>CN</v>
          </cell>
          <cell r="T72">
            <v>8</v>
          </cell>
          <cell r="U72">
            <v>8</v>
          </cell>
          <cell r="V72">
            <v>8</v>
          </cell>
          <cell r="W72">
            <v>8</v>
          </cell>
          <cell r="X72">
            <v>8</v>
          </cell>
          <cell r="Y72">
            <v>8</v>
          </cell>
          <cell r="Z72" t="str">
            <v>CN</v>
          </cell>
          <cell r="AA72">
            <v>8</v>
          </cell>
          <cell r="AB72">
            <v>8</v>
          </cell>
          <cell r="AC72">
            <v>8</v>
          </cell>
          <cell r="AD72">
            <v>8</v>
          </cell>
          <cell r="AE72">
            <v>8</v>
          </cell>
          <cell r="AF72" t="str">
            <v>AL8</v>
          </cell>
          <cell r="AG72" t="str">
            <v>CN</v>
          </cell>
          <cell r="AH72">
            <v>8</v>
          </cell>
          <cell r="AI72" t="str">
            <v>AL4/UP4</v>
          </cell>
          <cell r="AJ72">
            <v>8</v>
          </cell>
          <cell r="AN72">
            <v>0</v>
          </cell>
          <cell r="AO72">
            <v>176</v>
          </cell>
          <cell r="AP72">
            <v>0</v>
          </cell>
          <cell r="AQ72">
            <v>0</v>
          </cell>
          <cell r="AR72">
            <v>0</v>
          </cell>
          <cell r="AS72">
            <v>4</v>
          </cell>
          <cell r="AT72">
            <v>0</v>
          </cell>
          <cell r="AU72">
            <v>0</v>
          </cell>
          <cell r="AV72">
            <v>0</v>
          </cell>
          <cell r="AW72">
            <v>0</v>
          </cell>
          <cell r="AX72">
            <v>0</v>
          </cell>
          <cell r="AY72">
            <v>0</v>
          </cell>
          <cell r="AZ72">
            <v>0</v>
          </cell>
          <cell r="BA72">
            <v>12</v>
          </cell>
          <cell r="BB72">
            <v>0</v>
          </cell>
          <cell r="BC72">
            <v>0</v>
          </cell>
          <cell r="BD72">
            <v>0</v>
          </cell>
          <cell r="BE72">
            <v>0</v>
          </cell>
          <cell r="BF72">
            <v>0</v>
          </cell>
          <cell r="BG72">
            <v>188</v>
          </cell>
          <cell r="BH72">
            <v>1.5</v>
          </cell>
          <cell r="BI72">
            <v>1.5</v>
          </cell>
          <cell r="BJ72">
            <v>0</v>
          </cell>
          <cell r="BL72">
            <v>0</v>
          </cell>
          <cell r="BM72">
            <v>3</v>
          </cell>
          <cell r="BN72">
            <v>0</v>
          </cell>
          <cell r="BO72">
            <v>0</v>
          </cell>
          <cell r="BP72">
            <v>3</v>
          </cell>
          <cell r="BQ72">
            <v>3</v>
          </cell>
          <cell r="BR72">
            <v>3</v>
          </cell>
          <cell r="BS72">
            <v>3</v>
          </cell>
          <cell r="BT72">
            <v>0</v>
          </cell>
          <cell r="BU72">
            <v>0</v>
          </cell>
          <cell r="BV72">
            <v>0</v>
          </cell>
          <cell r="BW72">
            <v>3</v>
          </cell>
          <cell r="BX72">
            <v>3</v>
          </cell>
          <cell r="BY72">
            <v>3</v>
          </cell>
          <cell r="BZ72">
            <v>3</v>
          </cell>
          <cell r="CA72">
            <v>0</v>
          </cell>
          <cell r="CB72">
            <v>0</v>
          </cell>
          <cell r="CC72">
            <v>0</v>
          </cell>
          <cell r="CD72">
            <v>3</v>
          </cell>
          <cell r="CE72">
            <v>3</v>
          </cell>
          <cell r="CF72">
            <v>0</v>
          </cell>
          <cell r="CG72">
            <v>3</v>
          </cell>
          <cell r="CH72">
            <v>3</v>
          </cell>
          <cell r="CI72">
            <v>0</v>
          </cell>
          <cell r="CJ72">
            <v>0</v>
          </cell>
          <cell r="CK72">
            <v>0</v>
          </cell>
          <cell r="CL72">
            <v>0</v>
          </cell>
          <cell r="CM72">
            <v>0</v>
          </cell>
          <cell r="CR72">
            <v>0</v>
          </cell>
          <cell r="CS72">
            <v>0</v>
          </cell>
          <cell r="CT72">
            <v>39</v>
          </cell>
          <cell r="CU72">
            <v>0</v>
          </cell>
          <cell r="CV72">
            <v>0</v>
          </cell>
          <cell r="CZ72">
            <v>39</v>
          </cell>
        </row>
        <row r="73">
          <cell r="C73" t="str">
            <v>00537</v>
          </cell>
          <cell r="D73" t="str">
            <v>Phạm Thị Kim Hưởng</v>
          </cell>
          <cell r="E73" t="str">
            <v>CS</v>
          </cell>
          <cell r="F73" t="str">
            <v>CS</v>
          </cell>
          <cell r="G73" t="str">
            <v>Supervisor</v>
          </cell>
          <cell r="H73">
            <v>42087</v>
          </cell>
          <cell r="I73">
            <v>8</v>
          </cell>
          <cell r="J73">
            <v>8</v>
          </cell>
          <cell r="K73" t="str">
            <v>PO</v>
          </cell>
          <cell r="L73" t="str">
            <v>CN</v>
          </cell>
          <cell r="M73">
            <v>8</v>
          </cell>
          <cell r="N73">
            <v>8</v>
          </cell>
          <cell r="O73">
            <v>8</v>
          </cell>
          <cell r="P73">
            <v>8</v>
          </cell>
          <cell r="Q73" t="str">
            <v>BS4/PO4</v>
          </cell>
          <cell r="R73" t="str">
            <v>PO</v>
          </cell>
          <cell r="S73" t="str">
            <v>CN</v>
          </cell>
          <cell r="T73">
            <v>8</v>
          </cell>
          <cell r="U73">
            <v>8</v>
          </cell>
          <cell r="V73">
            <v>8</v>
          </cell>
          <cell r="W73">
            <v>8</v>
          </cell>
          <cell r="X73">
            <v>8</v>
          </cell>
          <cell r="Y73" t="str">
            <v>PO</v>
          </cell>
          <cell r="Z73" t="str">
            <v>CN</v>
          </cell>
          <cell r="AA73">
            <v>8</v>
          </cell>
          <cell r="AB73" t="str">
            <v>BS</v>
          </cell>
          <cell r="AC73">
            <v>8</v>
          </cell>
          <cell r="AD73" t="str">
            <v>BS</v>
          </cell>
          <cell r="AE73" t="str">
            <v>BS</v>
          </cell>
          <cell r="AF73" t="str">
            <v>PO</v>
          </cell>
          <cell r="AG73" t="str">
            <v>CN</v>
          </cell>
          <cell r="AH73">
            <v>8</v>
          </cell>
          <cell r="AI73">
            <v>8</v>
          </cell>
          <cell r="AJ73">
            <v>8</v>
          </cell>
          <cell r="AN73">
            <v>0</v>
          </cell>
          <cell r="AO73">
            <v>128</v>
          </cell>
          <cell r="AP73">
            <v>0</v>
          </cell>
          <cell r="AQ73">
            <v>0</v>
          </cell>
          <cell r="AR73">
            <v>0</v>
          </cell>
          <cell r="AS73">
            <v>0</v>
          </cell>
          <cell r="AT73">
            <v>0</v>
          </cell>
          <cell r="AU73">
            <v>28</v>
          </cell>
          <cell r="AV73">
            <v>36</v>
          </cell>
          <cell r="AW73">
            <v>0</v>
          </cell>
          <cell r="AX73">
            <v>0</v>
          </cell>
          <cell r="AY73">
            <v>0</v>
          </cell>
          <cell r="AZ73">
            <v>0</v>
          </cell>
          <cell r="BA73">
            <v>0</v>
          </cell>
          <cell r="BB73">
            <v>0</v>
          </cell>
          <cell r="BC73">
            <v>0</v>
          </cell>
          <cell r="BD73">
            <v>0</v>
          </cell>
          <cell r="BE73">
            <v>0</v>
          </cell>
          <cell r="BF73">
            <v>0</v>
          </cell>
          <cell r="BG73">
            <v>192</v>
          </cell>
          <cell r="BH73">
            <v>0</v>
          </cell>
          <cell r="BI73">
            <v>0</v>
          </cell>
          <cell r="BJ73">
            <v>4.5</v>
          </cell>
          <cell r="BL73">
            <v>2</v>
          </cell>
          <cell r="BM73">
            <v>2</v>
          </cell>
          <cell r="BN73">
            <v>0</v>
          </cell>
          <cell r="BO73">
            <v>0</v>
          </cell>
          <cell r="BP73">
            <v>0</v>
          </cell>
          <cell r="BQ73">
            <v>0</v>
          </cell>
          <cell r="BR73">
            <v>1</v>
          </cell>
          <cell r="BS73">
            <v>0</v>
          </cell>
          <cell r="BT73">
            <v>0</v>
          </cell>
          <cell r="BU73">
            <v>0</v>
          </cell>
          <cell r="BV73">
            <v>0</v>
          </cell>
          <cell r="BW73">
            <v>1</v>
          </cell>
          <cell r="BX73">
            <v>0</v>
          </cell>
          <cell r="BY73">
            <v>1.5</v>
          </cell>
          <cell r="BZ73">
            <v>1.5</v>
          </cell>
          <cell r="CA73">
            <v>0</v>
          </cell>
          <cell r="CB73">
            <v>0</v>
          </cell>
          <cell r="CC73">
            <v>0</v>
          </cell>
          <cell r="CD73">
            <v>1.5</v>
          </cell>
          <cell r="CE73">
            <v>1.5</v>
          </cell>
          <cell r="CF73">
            <v>0</v>
          </cell>
          <cell r="CG73">
            <v>1</v>
          </cell>
          <cell r="CH73">
            <v>0</v>
          </cell>
          <cell r="CI73">
            <v>0</v>
          </cell>
          <cell r="CJ73">
            <v>0</v>
          </cell>
          <cell r="CK73">
            <v>2</v>
          </cell>
          <cell r="CL73">
            <v>2</v>
          </cell>
          <cell r="CM73">
            <v>2</v>
          </cell>
          <cell r="CR73">
            <v>0</v>
          </cell>
          <cell r="CS73">
            <v>0</v>
          </cell>
          <cell r="CT73">
            <v>19</v>
          </cell>
          <cell r="CU73">
            <v>0</v>
          </cell>
          <cell r="CV73">
            <v>0</v>
          </cell>
          <cell r="CZ73">
            <v>19</v>
          </cell>
        </row>
        <row r="74">
          <cell r="C74" t="str">
            <v>00543</v>
          </cell>
          <cell r="D74" t="str">
            <v>Phạm Chí Nguyện</v>
          </cell>
          <cell r="E74" t="str">
            <v>Warehouse</v>
          </cell>
          <cell r="F74" t="str">
            <v>FGS Warehouse</v>
          </cell>
          <cell r="G74" t="str">
            <v>Team Leader</v>
          </cell>
          <cell r="H74">
            <v>42095</v>
          </cell>
          <cell r="I74">
            <v>8</v>
          </cell>
          <cell r="J74">
            <v>8</v>
          </cell>
          <cell r="K74" t="str">
            <v>AL8</v>
          </cell>
          <cell r="L74" t="str">
            <v>CN</v>
          </cell>
          <cell r="M74">
            <v>8</v>
          </cell>
          <cell r="N74">
            <v>8</v>
          </cell>
          <cell r="O74">
            <v>8</v>
          </cell>
          <cell r="P74">
            <v>8</v>
          </cell>
          <cell r="Q74">
            <v>8</v>
          </cell>
          <cell r="R74">
            <v>8</v>
          </cell>
          <cell r="S74" t="str">
            <v>CN</v>
          </cell>
          <cell r="T74">
            <v>8</v>
          </cell>
          <cell r="U74">
            <v>8</v>
          </cell>
          <cell r="V74" t="str">
            <v>AL4</v>
          </cell>
          <cell r="W74">
            <v>8</v>
          </cell>
          <cell r="X74">
            <v>8</v>
          </cell>
          <cell r="Y74">
            <v>8</v>
          </cell>
          <cell r="Z74" t="str">
            <v>CN</v>
          </cell>
          <cell r="AA74">
            <v>8</v>
          </cell>
          <cell r="AB74">
            <v>8</v>
          </cell>
          <cell r="AC74">
            <v>8</v>
          </cell>
          <cell r="AD74">
            <v>8</v>
          </cell>
          <cell r="AE74">
            <v>8</v>
          </cell>
          <cell r="AF74">
            <v>8</v>
          </cell>
          <cell r="AG74" t="str">
            <v>CN</v>
          </cell>
          <cell r="AH74">
            <v>8</v>
          </cell>
          <cell r="AI74">
            <v>8</v>
          </cell>
          <cell r="AJ74">
            <v>8</v>
          </cell>
          <cell r="AN74">
            <v>0</v>
          </cell>
          <cell r="AO74">
            <v>180</v>
          </cell>
          <cell r="AP74">
            <v>4</v>
          </cell>
          <cell r="AQ74">
            <v>0</v>
          </cell>
          <cell r="AR74">
            <v>0</v>
          </cell>
          <cell r="AS74">
            <v>0</v>
          </cell>
          <cell r="AT74">
            <v>0</v>
          </cell>
          <cell r="AU74">
            <v>0</v>
          </cell>
          <cell r="AV74">
            <v>0</v>
          </cell>
          <cell r="AW74">
            <v>0</v>
          </cell>
          <cell r="AX74">
            <v>0</v>
          </cell>
          <cell r="AY74">
            <v>0</v>
          </cell>
          <cell r="AZ74">
            <v>0</v>
          </cell>
          <cell r="BA74">
            <v>12</v>
          </cell>
          <cell r="BB74">
            <v>0</v>
          </cell>
          <cell r="BC74">
            <v>0</v>
          </cell>
          <cell r="BD74">
            <v>0</v>
          </cell>
          <cell r="BE74">
            <v>0</v>
          </cell>
          <cell r="BF74">
            <v>0</v>
          </cell>
          <cell r="BG74">
            <v>192</v>
          </cell>
          <cell r="BH74">
            <v>1.5</v>
          </cell>
          <cell r="BI74">
            <v>1.5</v>
          </cell>
          <cell r="BJ74">
            <v>6</v>
          </cell>
          <cell r="BL74">
            <v>0</v>
          </cell>
          <cell r="BM74">
            <v>0</v>
          </cell>
          <cell r="BN74">
            <v>0</v>
          </cell>
          <cell r="BO74">
            <v>0</v>
          </cell>
          <cell r="BP74">
            <v>0</v>
          </cell>
          <cell r="BQ74">
            <v>0</v>
          </cell>
          <cell r="BR74">
            <v>0</v>
          </cell>
          <cell r="BS74">
            <v>0</v>
          </cell>
          <cell r="BT74">
            <v>0</v>
          </cell>
          <cell r="BU74">
            <v>0</v>
          </cell>
          <cell r="BV74">
            <v>0</v>
          </cell>
          <cell r="BW74">
            <v>0</v>
          </cell>
          <cell r="BX74">
            <v>0</v>
          </cell>
          <cell r="BY74">
            <v>0</v>
          </cell>
          <cell r="BZ74">
            <v>0</v>
          </cell>
          <cell r="CA74">
            <v>0</v>
          </cell>
          <cell r="CB74">
            <v>0</v>
          </cell>
          <cell r="CC74">
            <v>0</v>
          </cell>
          <cell r="CD74">
            <v>0</v>
          </cell>
          <cell r="CE74">
            <v>0</v>
          </cell>
          <cell r="CF74">
            <v>0</v>
          </cell>
          <cell r="CG74">
            <v>0</v>
          </cell>
          <cell r="CH74">
            <v>0</v>
          </cell>
          <cell r="CI74">
            <v>0</v>
          </cell>
          <cell r="CJ74">
            <v>0</v>
          </cell>
          <cell r="CK74">
            <v>0</v>
          </cell>
          <cell r="CL74">
            <v>0</v>
          </cell>
          <cell r="CM74">
            <v>0</v>
          </cell>
          <cell r="CR74">
            <v>0</v>
          </cell>
          <cell r="CS74">
            <v>0</v>
          </cell>
          <cell r="CT74">
            <v>0</v>
          </cell>
          <cell r="CU74">
            <v>0</v>
          </cell>
          <cell r="CV74">
            <v>0</v>
          </cell>
          <cell r="CZ74">
            <v>0</v>
          </cell>
        </row>
        <row r="75">
          <cell r="C75" t="str">
            <v>00590</v>
          </cell>
          <cell r="D75" t="str">
            <v>Lô Thị Ngần</v>
          </cell>
          <cell r="E75" t="str">
            <v>QC</v>
          </cell>
          <cell r="F75" t="str">
            <v>QC</v>
          </cell>
          <cell r="G75" t="str">
            <v>Skilled worker</v>
          </cell>
          <cell r="H75">
            <v>42132</v>
          </cell>
          <cell r="I75">
            <v>8</v>
          </cell>
          <cell r="J75">
            <v>8</v>
          </cell>
          <cell r="K75">
            <v>8</v>
          </cell>
          <cell r="L75" t="str">
            <v>CN</v>
          </cell>
          <cell r="M75">
            <v>8</v>
          </cell>
          <cell r="N75">
            <v>8</v>
          </cell>
          <cell r="O75">
            <v>8</v>
          </cell>
          <cell r="P75">
            <v>8</v>
          </cell>
          <cell r="Q75">
            <v>8</v>
          </cell>
          <cell r="R75">
            <v>8</v>
          </cell>
          <cell r="S75" t="str">
            <v>CN</v>
          </cell>
          <cell r="T75">
            <v>8</v>
          </cell>
          <cell r="U75">
            <v>8</v>
          </cell>
          <cell r="V75">
            <v>8</v>
          </cell>
          <cell r="W75">
            <v>8</v>
          </cell>
          <cell r="X75">
            <v>8</v>
          </cell>
          <cell r="Y75">
            <v>8</v>
          </cell>
          <cell r="Z75" t="str">
            <v>CN</v>
          </cell>
          <cell r="AA75">
            <v>8</v>
          </cell>
          <cell r="AB75">
            <v>8</v>
          </cell>
          <cell r="AC75">
            <v>8</v>
          </cell>
          <cell r="AD75">
            <v>8</v>
          </cell>
          <cell r="AE75">
            <v>8</v>
          </cell>
          <cell r="AF75" t="str">
            <v>AL8</v>
          </cell>
          <cell r="AG75" t="str">
            <v>CN</v>
          </cell>
          <cell r="AH75">
            <v>8</v>
          </cell>
          <cell r="AI75">
            <v>8</v>
          </cell>
          <cell r="AJ75">
            <v>8</v>
          </cell>
          <cell r="AN75">
            <v>0</v>
          </cell>
          <cell r="AO75">
            <v>184</v>
          </cell>
          <cell r="AP75">
            <v>0</v>
          </cell>
          <cell r="AQ75">
            <v>0</v>
          </cell>
          <cell r="AR75">
            <v>0</v>
          </cell>
          <cell r="AS75">
            <v>0</v>
          </cell>
          <cell r="AT75">
            <v>0</v>
          </cell>
          <cell r="AU75">
            <v>0</v>
          </cell>
          <cell r="AV75">
            <v>0</v>
          </cell>
          <cell r="AW75">
            <v>0</v>
          </cell>
          <cell r="AX75">
            <v>0</v>
          </cell>
          <cell r="AY75">
            <v>0</v>
          </cell>
          <cell r="AZ75">
            <v>0</v>
          </cell>
          <cell r="BA75">
            <v>8</v>
          </cell>
          <cell r="BB75">
            <v>0</v>
          </cell>
          <cell r="BC75">
            <v>0</v>
          </cell>
          <cell r="BD75">
            <v>0</v>
          </cell>
          <cell r="BE75">
            <v>0</v>
          </cell>
          <cell r="BF75">
            <v>0</v>
          </cell>
          <cell r="BG75">
            <v>192</v>
          </cell>
          <cell r="BH75">
            <v>1</v>
          </cell>
          <cell r="BI75">
            <v>1</v>
          </cell>
          <cell r="BJ75">
            <v>8.5</v>
          </cell>
          <cell r="BL75">
            <v>3</v>
          </cell>
          <cell r="BM75">
            <v>2</v>
          </cell>
          <cell r="BN75">
            <v>1</v>
          </cell>
          <cell r="BO75">
            <v>0</v>
          </cell>
          <cell r="BP75">
            <v>3</v>
          </cell>
          <cell r="BQ75">
            <v>3</v>
          </cell>
          <cell r="BR75">
            <v>3</v>
          </cell>
          <cell r="BS75">
            <v>3</v>
          </cell>
          <cell r="BT75">
            <v>2</v>
          </cell>
          <cell r="BU75">
            <v>1</v>
          </cell>
          <cell r="BV75">
            <v>0</v>
          </cell>
          <cell r="BW75">
            <v>2</v>
          </cell>
          <cell r="BX75">
            <v>2</v>
          </cell>
          <cell r="BY75">
            <v>1</v>
          </cell>
          <cell r="BZ75">
            <v>2</v>
          </cell>
          <cell r="CA75">
            <v>1</v>
          </cell>
          <cell r="CB75">
            <v>2</v>
          </cell>
          <cell r="CC75">
            <v>0</v>
          </cell>
          <cell r="CD75">
            <v>1</v>
          </cell>
          <cell r="CE75">
            <v>2</v>
          </cell>
          <cell r="CF75">
            <v>1</v>
          </cell>
          <cell r="CG75">
            <v>1</v>
          </cell>
          <cell r="CH75">
            <v>1</v>
          </cell>
          <cell r="CI75">
            <v>0</v>
          </cell>
          <cell r="CJ75">
            <v>0</v>
          </cell>
          <cell r="CK75">
            <v>1</v>
          </cell>
          <cell r="CL75">
            <v>1</v>
          </cell>
          <cell r="CM75">
            <v>1</v>
          </cell>
          <cell r="CR75">
            <v>0</v>
          </cell>
          <cell r="CS75">
            <v>0</v>
          </cell>
          <cell r="CT75">
            <v>40</v>
          </cell>
          <cell r="CU75">
            <v>0</v>
          </cell>
          <cell r="CV75">
            <v>0</v>
          </cell>
          <cell r="CZ75">
            <v>40</v>
          </cell>
        </row>
        <row r="76">
          <cell r="C76" t="str">
            <v>00634</v>
          </cell>
          <cell r="D76" t="str">
            <v>Nguyễn Văn Lên</v>
          </cell>
          <cell r="E76" t="str">
            <v>Warehouse</v>
          </cell>
          <cell r="F76" t="str">
            <v>RM Warehouse</v>
          </cell>
          <cell r="G76" t="str">
            <v>Team Leader</v>
          </cell>
          <cell r="H76">
            <v>42285</v>
          </cell>
          <cell r="I76">
            <v>8</v>
          </cell>
          <cell r="J76">
            <v>8</v>
          </cell>
          <cell r="K76">
            <v>8</v>
          </cell>
          <cell r="L76" t="str">
            <v>CN</v>
          </cell>
          <cell r="M76">
            <v>8</v>
          </cell>
          <cell r="N76">
            <v>8</v>
          </cell>
          <cell r="O76">
            <v>8</v>
          </cell>
          <cell r="P76">
            <v>8</v>
          </cell>
          <cell r="Q76">
            <v>8</v>
          </cell>
          <cell r="R76">
            <v>8</v>
          </cell>
          <cell r="S76" t="str">
            <v>CN</v>
          </cell>
          <cell r="T76">
            <v>8</v>
          </cell>
          <cell r="U76">
            <v>8</v>
          </cell>
          <cell r="V76">
            <v>8</v>
          </cell>
          <cell r="W76">
            <v>8</v>
          </cell>
          <cell r="X76" t="str">
            <v>AL4</v>
          </cell>
          <cell r="Y76">
            <v>8</v>
          </cell>
          <cell r="Z76" t="str">
            <v>CN</v>
          </cell>
          <cell r="AA76">
            <v>8</v>
          </cell>
          <cell r="AB76">
            <v>8</v>
          </cell>
          <cell r="AC76">
            <v>8</v>
          </cell>
          <cell r="AD76">
            <v>8</v>
          </cell>
          <cell r="AE76">
            <v>8</v>
          </cell>
          <cell r="AF76">
            <v>8</v>
          </cell>
          <cell r="AG76" t="str">
            <v>CN</v>
          </cell>
          <cell r="AH76">
            <v>8</v>
          </cell>
          <cell r="AI76">
            <v>8</v>
          </cell>
          <cell r="AJ76">
            <v>8</v>
          </cell>
          <cell r="AN76">
            <v>0</v>
          </cell>
          <cell r="AO76">
            <v>188</v>
          </cell>
          <cell r="AP76">
            <v>4</v>
          </cell>
          <cell r="AQ76">
            <v>0</v>
          </cell>
          <cell r="AR76">
            <v>0</v>
          </cell>
          <cell r="AS76">
            <v>0</v>
          </cell>
          <cell r="AT76">
            <v>0</v>
          </cell>
          <cell r="AU76">
            <v>0</v>
          </cell>
          <cell r="AV76">
            <v>0</v>
          </cell>
          <cell r="AW76">
            <v>0</v>
          </cell>
          <cell r="AX76">
            <v>0</v>
          </cell>
          <cell r="AY76">
            <v>0</v>
          </cell>
          <cell r="AZ76">
            <v>0</v>
          </cell>
          <cell r="BA76">
            <v>4</v>
          </cell>
          <cell r="BB76">
            <v>0</v>
          </cell>
          <cell r="BC76">
            <v>0</v>
          </cell>
          <cell r="BD76">
            <v>0</v>
          </cell>
          <cell r="BE76">
            <v>0</v>
          </cell>
          <cell r="BF76">
            <v>0</v>
          </cell>
          <cell r="BG76">
            <v>192</v>
          </cell>
          <cell r="BH76">
            <v>0.5</v>
          </cell>
          <cell r="BI76">
            <v>0.5</v>
          </cell>
          <cell r="BJ76">
            <v>11</v>
          </cell>
          <cell r="BL76">
            <v>3</v>
          </cell>
          <cell r="BM76">
            <v>0</v>
          </cell>
          <cell r="BN76">
            <v>0</v>
          </cell>
          <cell r="BO76">
            <v>0</v>
          </cell>
          <cell r="BP76">
            <v>3</v>
          </cell>
          <cell r="BQ76">
            <v>0</v>
          </cell>
          <cell r="BR76">
            <v>3</v>
          </cell>
          <cell r="BS76">
            <v>0</v>
          </cell>
          <cell r="BT76">
            <v>3</v>
          </cell>
          <cell r="BU76">
            <v>3</v>
          </cell>
          <cell r="BV76">
            <v>0</v>
          </cell>
          <cell r="BW76">
            <v>0</v>
          </cell>
          <cell r="BX76">
            <v>0</v>
          </cell>
          <cell r="BY76">
            <v>3</v>
          </cell>
          <cell r="BZ76">
            <v>0</v>
          </cell>
          <cell r="CA76">
            <v>3</v>
          </cell>
          <cell r="CB76">
            <v>3</v>
          </cell>
          <cell r="CC76">
            <v>0</v>
          </cell>
          <cell r="CD76">
            <v>0</v>
          </cell>
          <cell r="CE76">
            <v>0</v>
          </cell>
          <cell r="CF76">
            <v>3</v>
          </cell>
          <cell r="CG76">
            <v>3</v>
          </cell>
          <cell r="CH76">
            <v>3</v>
          </cell>
          <cell r="CI76">
            <v>0</v>
          </cell>
          <cell r="CJ76">
            <v>8</v>
          </cell>
          <cell r="CK76">
            <v>3</v>
          </cell>
          <cell r="CL76">
            <v>3</v>
          </cell>
          <cell r="CM76">
            <v>0</v>
          </cell>
          <cell r="CR76">
            <v>0</v>
          </cell>
          <cell r="CS76">
            <v>0</v>
          </cell>
          <cell r="CT76">
            <v>39</v>
          </cell>
          <cell r="CU76">
            <v>8</v>
          </cell>
          <cell r="CV76">
            <v>0</v>
          </cell>
          <cell r="CZ76">
            <v>47</v>
          </cell>
        </row>
        <row r="77">
          <cell r="C77" t="str">
            <v>00638</v>
          </cell>
          <cell r="D77" t="str">
            <v>Đỗ Thanh Phúc</v>
          </cell>
          <cell r="E77" t="str">
            <v>Production</v>
          </cell>
          <cell r="F77" t="str">
            <v>Prefitting</v>
          </cell>
          <cell r="G77" t="str">
            <v>Vice Leader</v>
          </cell>
          <cell r="H77">
            <v>42290</v>
          </cell>
          <cell r="I77" t="str">
            <v>Đ</v>
          </cell>
          <cell r="J77" t="str">
            <v>CN</v>
          </cell>
          <cell r="K77">
            <v>8</v>
          </cell>
          <cell r="L77">
            <v>8</v>
          </cell>
          <cell r="M77">
            <v>8</v>
          </cell>
          <cell r="N77">
            <v>8</v>
          </cell>
          <cell r="O77">
            <v>8</v>
          </cell>
          <cell r="P77">
            <v>8</v>
          </cell>
          <cell r="Q77" t="str">
            <v>CN</v>
          </cell>
          <cell r="R77" t="str">
            <v>Đ</v>
          </cell>
          <cell r="S77" t="str">
            <v>Đ</v>
          </cell>
          <cell r="T77" t="str">
            <v>Đ</v>
          </cell>
          <cell r="U77" t="str">
            <v>Đ</v>
          </cell>
          <cell r="V77" t="str">
            <v>Đ</v>
          </cell>
          <cell r="W77" t="str">
            <v>Đ</v>
          </cell>
          <cell r="X77" t="str">
            <v>CN</v>
          </cell>
          <cell r="Y77">
            <v>8</v>
          </cell>
          <cell r="Z77">
            <v>8</v>
          </cell>
          <cell r="AA77">
            <v>8</v>
          </cell>
          <cell r="AB77">
            <v>8</v>
          </cell>
          <cell r="AC77">
            <v>8</v>
          </cell>
          <cell r="AD77">
            <v>8</v>
          </cell>
          <cell r="AE77" t="str">
            <v>CN</v>
          </cell>
          <cell r="AF77" t="str">
            <v>Đ</v>
          </cell>
          <cell r="AG77" t="str">
            <v>Đ</v>
          </cell>
          <cell r="AH77" t="str">
            <v>Đ</v>
          </cell>
          <cell r="AI77" t="str">
            <v>Đ</v>
          </cell>
          <cell r="AJ77" t="str">
            <v>Đ</v>
          </cell>
          <cell r="AN77">
            <v>96</v>
          </cell>
          <cell r="AO77">
            <v>96</v>
          </cell>
          <cell r="AP77">
            <v>0</v>
          </cell>
          <cell r="AQ77">
            <v>0</v>
          </cell>
          <cell r="AR77">
            <v>0</v>
          </cell>
          <cell r="AS77">
            <v>0</v>
          </cell>
          <cell r="AT77">
            <v>0</v>
          </cell>
          <cell r="AU77">
            <v>0</v>
          </cell>
          <cell r="AV77">
            <v>0</v>
          </cell>
          <cell r="AW77">
            <v>0</v>
          </cell>
          <cell r="AX77">
            <v>0</v>
          </cell>
          <cell r="AY77">
            <v>0</v>
          </cell>
          <cell r="AZ77">
            <v>0</v>
          </cell>
          <cell r="BA77">
            <v>0</v>
          </cell>
          <cell r="BB77">
            <v>0</v>
          </cell>
          <cell r="BC77">
            <v>0</v>
          </cell>
          <cell r="BD77">
            <v>0</v>
          </cell>
          <cell r="BE77">
            <v>0</v>
          </cell>
          <cell r="BF77">
            <v>0</v>
          </cell>
          <cell r="BG77">
            <v>192</v>
          </cell>
          <cell r="BH77">
            <v>0</v>
          </cell>
          <cell r="BI77">
            <v>0</v>
          </cell>
          <cell r="BJ77">
            <v>4.5</v>
          </cell>
          <cell r="BL77">
            <v>0</v>
          </cell>
          <cell r="BM77">
            <v>0</v>
          </cell>
          <cell r="BN77">
            <v>0</v>
          </cell>
          <cell r="BO77">
            <v>4</v>
          </cell>
          <cell r="BP77">
            <v>0</v>
          </cell>
          <cell r="BQ77">
            <v>0</v>
          </cell>
          <cell r="BR77">
            <v>0</v>
          </cell>
          <cell r="BS77">
            <v>0</v>
          </cell>
          <cell r="BT77">
            <v>0</v>
          </cell>
          <cell r="BU77">
            <v>4</v>
          </cell>
          <cell r="BV77">
            <v>4</v>
          </cell>
          <cell r="BW77">
            <v>0</v>
          </cell>
          <cell r="BX77">
            <v>0</v>
          </cell>
          <cell r="BY77">
            <v>0</v>
          </cell>
          <cell r="BZ77">
            <v>0</v>
          </cell>
          <cell r="CA77">
            <v>0</v>
          </cell>
          <cell r="CB77">
            <v>0</v>
          </cell>
          <cell r="CC77">
            <v>4</v>
          </cell>
          <cell r="CD77">
            <v>0</v>
          </cell>
          <cell r="CE77">
            <v>0</v>
          </cell>
          <cell r="CF77">
            <v>0</v>
          </cell>
          <cell r="CG77">
            <v>0</v>
          </cell>
          <cell r="CH77">
            <v>0</v>
          </cell>
          <cell r="CI77">
            <v>4</v>
          </cell>
          <cell r="CJ77">
            <v>4</v>
          </cell>
          <cell r="CK77">
            <v>0</v>
          </cell>
          <cell r="CL77">
            <v>0</v>
          </cell>
          <cell r="CM77">
            <v>4</v>
          </cell>
          <cell r="CR77">
            <v>0</v>
          </cell>
          <cell r="CS77">
            <v>0</v>
          </cell>
          <cell r="CT77">
            <v>28</v>
          </cell>
          <cell r="CU77">
            <v>0</v>
          </cell>
          <cell r="CV77">
            <v>0</v>
          </cell>
          <cell r="CZ77">
            <v>28</v>
          </cell>
        </row>
        <row r="78">
          <cell r="C78" t="str">
            <v>00679</v>
          </cell>
          <cell r="D78" t="str">
            <v>Nguyễn Thị Hường</v>
          </cell>
          <cell r="E78" t="str">
            <v>Production</v>
          </cell>
          <cell r="F78" t="str">
            <v>Logo</v>
          </cell>
          <cell r="G78" t="str">
            <v>Worker</v>
          </cell>
          <cell r="H78">
            <v>42419</v>
          </cell>
          <cell r="I78" t="str">
            <v>Đ</v>
          </cell>
          <cell r="J78" t="str">
            <v>Đ</v>
          </cell>
          <cell r="K78" t="str">
            <v>Đ</v>
          </cell>
          <cell r="L78" t="str">
            <v>CN</v>
          </cell>
          <cell r="M78">
            <v>8</v>
          </cell>
          <cell r="N78">
            <v>8</v>
          </cell>
          <cell r="O78">
            <v>8</v>
          </cell>
          <cell r="P78">
            <v>8</v>
          </cell>
          <cell r="Q78">
            <v>8</v>
          </cell>
          <cell r="R78">
            <v>8</v>
          </cell>
          <cell r="S78" t="str">
            <v>CN</v>
          </cell>
          <cell r="T78" t="str">
            <v>Đ</v>
          </cell>
          <cell r="U78" t="str">
            <v>Đ</v>
          </cell>
          <cell r="V78" t="str">
            <v>Đ</v>
          </cell>
          <cell r="W78" t="str">
            <v>Đ</v>
          </cell>
          <cell r="X78" t="str">
            <v>Đ</v>
          </cell>
          <cell r="Y78" t="str">
            <v>Đ</v>
          </cell>
          <cell r="Z78" t="str">
            <v>CN</v>
          </cell>
          <cell r="AA78">
            <v>8</v>
          </cell>
          <cell r="AB78">
            <v>8</v>
          </cell>
          <cell r="AC78">
            <v>8</v>
          </cell>
          <cell r="AD78">
            <v>8</v>
          </cell>
          <cell r="AE78">
            <v>8</v>
          </cell>
          <cell r="AF78">
            <v>8</v>
          </cell>
          <cell r="AG78" t="str">
            <v>CN</v>
          </cell>
          <cell r="AH78" t="str">
            <v>Đ</v>
          </cell>
          <cell r="AI78" t="str">
            <v>Đ</v>
          </cell>
          <cell r="AJ78" t="str">
            <v>Đ</v>
          </cell>
          <cell r="AN78">
            <v>96</v>
          </cell>
          <cell r="AO78">
            <v>96</v>
          </cell>
          <cell r="AP78">
            <v>0</v>
          </cell>
          <cell r="AQ78">
            <v>0</v>
          </cell>
          <cell r="AR78">
            <v>0</v>
          </cell>
          <cell r="AS78">
            <v>0</v>
          </cell>
          <cell r="AT78">
            <v>0</v>
          </cell>
          <cell r="AU78">
            <v>0</v>
          </cell>
          <cell r="AV78">
            <v>0</v>
          </cell>
          <cell r="AW78">
            <v>0</v>
          </cell>
          <cell r="AX78">
            <v>0</v>
          </cell>
          <cell r="AY78">
            <v>0</v>
          </cell>
          <cell r="AZ78">
            <v>0</v>
          </cell>
          <cell r="BA78">
            <v>0</v>
          </cell>
          <cell r="BB78">
            <v>0</v>
          </cell>
          <cell r="BC78">
            <v>0</v>
          </cell>
          <cell r="BD78">
            <v>0</v>
          </cell>
          <cell r="BE78">
            <v>0</v>
          </cell>
          <cell r="BF78">
            <v>0</v>
          </cell>
          <cell r="BG78">
            <v>192</v>
          </cell>
          <cell r="BH78">
            <v>0</v>
          </cell>
          <cell r="BI78">
            <v>0</v>
          </cell>
          <cell r="BJ78">
            <v>1.5</v>
          </cell>
          <cell r="BL78">
            <v>1.5</v>
          </cell>
          <cell r="BM78">
            <v>1.5</v>
          </cell>
          <cell r="BN78">
            <v>1.5</v>
          </cell>
          <cell r="BO78">
            <v>0</v>
          </cell>
          <cell r="BP78">
            <v>1.5</v>
          </cell>
          <cell r="BQ78">
            <v>0</v>
          </cell>
          <cell r="BR78">
            <v>0</v>
          </cell>
          <cell r="BS78">
            <v>3</v>
          </cell>
          <cell r="BT78">
            <v>3</v>
          </cell>
          <cell r="BU78">
            <v>3</v>
          </cell>
          <cell r="BV78">
            <v>0</v>
          </cell>
          <cell r="BW78">
            <v>4</v>
          </cell>
          <cell r="BX78">
            <v>4</v>
          </cell>
          <cell r="BY78">
            <v>4</v>
          </cell>
          <cell r="BZ78">
            <v>4</v>
          </cell>
          <cell r="CA78">
            <v>4</v>
          </cell>
          <cell r="CB78">
            <v>4</v>
          </cell>
          <cell r="CC78">
            <v>0</v>
          </cell>
          <cell r="CD78">
            <v>3</v>
          </cell>
          <cell r="CE78">
            <v>3</v>
          </cell>
          <cell r="CF78">
            <v>3</v>
          </cell>
          <cell r="CG78">
            <v>3</v>
          </cell>
          <cell r="CH78">
            <v>3</v>
          </cell>
          <cell r="CI78">
            <v>3</v>
          </cell>
          <cell r="CJ78">
            <v>11</v>
          </cell>
          <cell r="CK78">
            <v>4</v>
          </cell>
          <cell r="CL78">
            <v>4</v>
          </cell>
          <cell r="CM78">
            <v>4</v>
          </cell>
          <cell r="CR78">
            <v>0</v>
          </cell>
          <cell r="CS78">
            <v>0</v>
          </cell>
          <cell r="CT78">
            <v>69</v>
          </cell>
          <cell r="CU78">
            <v>11</v>
          </cell>
          <cell r="CV78">
            <v>0</v>
          </cell>
          <cell r="CZ78">
            <v>80</v>
          </cell>
        </row>
        <row r="79">
          <cell r="C79" t="str">
            <v>00701</v>
          </cell>
          <cell r="D79" t="str">
            <v>Trương Thị Thủy</v>
          </cell>
          <cell r="E79" t="str">
            <v>Production</v>
          </cell>
          <cell r="F79" t="str">
            <v>Molding</v>
          </cell>
          <cell r="G79" t="str">
            <v>Worker</v>
          </cell>
          <cell r="H79">
            <v>42426</v>
          </cell>
          <cell r="I79">
            <v>8</v>
          </cell>
          <cell r="J79" t="str">
            <v>SL</v>
          </cell>
          <cell r="K79">
            <v>8</v>
          </cell>
          <cell r="L79" t="str">
            <v>CN</v>
          </cell>
          <cell r="M79" t="str">
            <v>Đ</v>
          </cell>
          <cell r="N79" t="str">
            <v>Đ</v>
          </cell>
          <cell r="O79" t="str">
            <v>Đ</v>
          </cell>
          <cell r="P79" t="str">
            <v>Đ</v>
          </cell>
          <cell r="Q79" t="str">
            <v>Đ</v>
          </cell>
          <cell r="R79" t="str">
            <v>Đ</v>
          </cell>
          <cell r="S79" t="str">
            <v>CN</v>
          </cell>
          <cell r="T79" t="str">
            <v>Đ</v>
          </cell>
          <cell r="U79" t="str">
            <v>Đ</v>
          </cell>
          <cell r="V79" t="str">
            <v>Đ</v>
          </cell>
          <cell r="W79" t="str">
            <v>Đ</v>
          </cell>
          <cell r="X79" t="str">
            <v>Đ</v>
          </cell>
          <cell r="Y79" t="str">
            <v>Đ</v>
          </cell>
          <cell r="Z79" t="str">
            <v>CN</v>
          </cell>
          <cell r="AA79" t="str">
            <v>Đ</v>
          </cell>
          <cell r="AB79" t="str">
            <v>Đ</v>
          </cell>
          <cell r="AC79" t="str">
            <v>Đ</v>
          </cell>
          <cell r="AD79" t="str">
            <v>Đ</v>
          </cell>
          <cell r="AE79" t="str">
            <v>Đ</v>
          </cell>
          <cell r="AF79" t="str">
            <v>AL8</v>
          </cell>
          <cell r="AG79" t="str">
            <v>CN</v>
          </cell>
          <cell r="AH79">
            <v>8</v>
          </cell>
          <cell r="AI79">
            <v>8</v>
          </cell>
          <cell r="AJ79">
            <v>8</v>
          </cell>
          <cell r="AN79">
            <v>136</v>
          </cell>
          <cell r="AO79">
            <v>40</v>
          </cell>
          <cell r="AP79">
            <v>0</v>
          </cell>
          <cell r="AQ79">
            <v>1</v>
          </cell>
          <cell r="AR79">
            <v>0</v>
          </cell>
          <cell r="AS79">
            <v>0</v>
          </cell>
          <cell r="AT79">
            <v>0</v>
          </cell>
          <cell r="AU79">
            <v>0</v>
          </cell>
          <cell r="AV79">
            <v>0</v>
          </cell>
          <cell r="AW79">
            <v>0</v>
          </cell>
          <cell r="AX79">
            <v>0</v>
          </cell>
          <cell r="AY79">
            <v>0</v>
          </cell>
          <cell r="AZ79">
            <v>0</v>
          </cell>
          <cell r="BA79">
            <v>8</v>
          </cell>
          <cell r="BB79">
            <v>0</v>
          </cell>
          <cell r="BC79">
            <v>0</v>
          </cell>
          <cell r="BD79">
            <v>0</v>
          </cell>
          <cell r="BE79">
            <v>0</v>
          </cell>
          <cell r="BF79">
            <v>0</v>
          </cell>
          <cell r="BG79">
            <v>184</v>
          </cell>
          <cell r="BH79">
            <v>1</v>
          </cell>
          <cell r="BI79">
            <v>1</v>
          </cell>
          <cell r="BJ79">
            <v>-1</v>
          </cell>
          <cell r="BL79">
            <v>4</v>
          </cell>
          <cell r="BM79">
            <v>0</v>
          </cell>
          <cell r="BN79">
            <v>0</v>
          </cell>
          <cell r="BO79">
            <v>0</v>
          </cell>
          <cell r="BP79">
            <v>0</v>
          </cell>
          <cell r="BQ79">
            <v>0</v>
          </cell>
          <cell r="BR79">
            <v>0</v>
          </cell>
          <cell r="BS79">
            <v>4</v>
          </cell>
          <cell r="BT79">
            <v>0</v>
          </cell>
          <cell r="BU79">
            <v>4</v>
          </cell>
          <cell r="BV79">
            <v>0</v>
          </cell>
          <cell r="BW79">
            <v>0</v>
          </cell>
          <cell r="BX79">
            <v>0</v>
          </cell>
          <cell r="BY79">
            <v>0</v>
          </cell>
          <cell r="BZ79">
            <v>4</v>
          </cell>
          <cell r="CA79">
            <v>0</v>
          </cell>
          <cell r="CB79">
            <v>0</v>
          </cell>
          <cell r="CC79">
            <v>0</v>
          </cell>
          <cell r="CD79">
            <v>0</v>
          </cell>
          <cell r="CE79">
            <v>4</v>
          </cell>
          <cell r="CF79">
            <v>0</v>
          </cell>
          <cell r="CG79">
            <v>4</v>
          </cell>
          <cell r="CH79">
            <v>0</v>
          </cell>
          <cell r="CI79">
            <v>0</v>
          </cell>
          <cell r="CJ79">
            <v>0</v>
          </cell>
          <cell r="CK79">
            <v>0</v>
          </cell>
          <cell r="CL79">
            <v>0</v>
          </cell>
          <cell r="CM79">
            <v>4</v>
          </cell>
          <cell r="CR79">
            <v>0</v>
          </cell>
          <cell r="CS79">
            <v>0</v>
          </cell>
          <cell r="CT79">
            <v>28</v>
          </cell>
          <cell r="CU79">
            <v>0</v>
          </cell>
          <cell r="CV79">
            <v>0</v>
          </cell>
          <cell r="CZ79">
            <v>28</v>
          </cell>
        </row>
        <row r="80">
          <cell r="C80" t="str">
            <v>00734</v>
          </cell>
          <cell r="D80" t="str">
            <v>Phạm Thị Mai Hương</v>
          </cell>
          <cell r="E80" t="str">
            <v>Production</v>
          </cell>
          <cell r="F80" t="str">
            <v>Logo</v>
          </cell>
          <cell r="G80" t="str">
            <v>Worker</v>
          </cell>
          <cell r="H80">
            <v>42444</v>
          </cell>
          <cell r="I80">
            <v>8</v>
          </cell>
          <cell r="J80">
            <v>8</v>
          </cell>
          <cell r="K80">
            <v>8</v>
          </cell>
          <cell r="L80" t="str">
            <v>CN</v>
          </cell>
          <cell r="M80" t="str">
            <v>Đ</v>
          </cell>
          <cell r="N80" t="str">
            <v>Đ</v>
          </cell>
          <cell r="O80" t="str">
            <v>Đ</v>
          </cell>
          <cell r="P80" t="str">
            <v>Đ</v>
          </cell>
          <cell r="Q80" t="str">
            <v>Đ</v>
          </cell>
          <cell r="R80" t="str">
            <v>Đ</v>
          </cell>
          <cell r="S80" t="str">
            <v>CN</v>
          </cell>
          <cell r="T80">
            <v>8</v>
          </cell>
          <cell r="U80">
            <v>8</v>
          </cell>
          <cell r="V80">
            <v>8</v>
          </cell>
          <cell r="W80">
            <v>8</v>
          </cell>
          <cell r="X80">
            <v>8</v>
          </cell>
          <cell r="Y80">
            <v>8</v>
          </cell>
          <cell r="Z80" t="str">
            <v>CN</v>
          </cell>
          <cell r="AA80" t="str">
            <v>Đ</v>
          </cell>
          <cell r="AB80" t="str">
            <v>Đ</v>
          </cell>
          <cell r="AC80" t="str">
            <v>Đ</v>
          </cell>
          <cell r="AD80" t="str">
            <v>Đ</v>
          </cell>
          <cell r="AE80" t="str">
            <v>Đ</v>
          </cell>
          <cell r="AF80" t="str">
            <v>AL8</v>
          </cell>
          <cell r="AG80" t="str">
            <v>CN</v>
          </cell>
          <cell r="AH80">
            <v>8</v>
          </cell>
          <cell r="AI80">
            <v>8</v>
          </cell>
          <cell r="AJ80">
            <v>8</v>
          </cell>
          <cell r="AN80">
            <v>88</v>
          </cell>
          <cell r="AO80">
            <v>96</v>
          </cell>
          <cell r="AP80">
            <v>0</v>
          </cell>
          <cell r="AQ80">
            <v>0</v>
          </cell>
          <cell r="AR80">
            <v>0</v>
          </cell>
          <cell r="AS80">
            <v>0</v>
          </cell>
          <cell r="AT80">
            <v>0</v>
          </cell>
          <cell r="AU80">
            <v>0</v>
          </cell>
          <cell r="AV80">
            <v>0</v>
          </cell>
          <cell r="AW80">
            <v>0</v>
          </cell>
          <cell r="AX80">
            <v>0</v>
          </cell>
          <cell r="AY80">
            <v>0</v>
          </cell>
          <cell r="AZ80">
            <v>0</v>
          </cell>
          <cell r="BA80">
            <v>8</v>
          </cell>
          <cell r="BB80">
            <v>0</v>
          </cell>
          <cell r="BC80">
            <v>0</v>
          </cell>
          <cell r="BD80">
            <v>0</v>
          </cell>
          <cell r="BE80">
            <v>0</v>
          </cell>
          <cell r="BF80">
            <v>0</v>
          </cell>
          <cell r="BG80">
            <v>192</v>
          </cell>
          <cell r="BH80">
            <v>1</v>
          </cell>
          <cell r="BI80">
            <v>1</v>
          </cell>
          <cell r="BJ80">
            <v>1</v>
          </cell>
          <cell r="BL80">
            <v>0</v>
          </cell>
          <cell r="BM80">
            <v>0</v>
          </cell>
          <cell r="BN80">
            <v>0</v>
          </cell>
          <cell r="BO80">
            <v>0</v>
          </cell>
          <cell r="BP80">
            <v>0</v>
          </cell>
          <cell r="BQ80">
            <v>0</v>
          </cell>
          <cell r="BR80">
            <v>0</v>
          </cell>
          <cell r="BS80">
            <v>0</v>
          </cell>
          <cell r="BT80">
            <v>0</v>
          </cell>
          <cell r="BU80">
            <v>0</v>
          </cell>
          <cell r="BV80">
            <v>0</v>
          </cell>
          <cell r="BW80">
            <v>2</v>
          </cell>
          <cell r="BX80">
            <v>2</v>
          </cell>
          <cell r="BY80">
            <v>2</v>
          </cell>
          <cell r="BZ80">
            <v>2</v>
          </cell>
          <cell r="CA80">
            <v>2</v>
          </cell>
          <cell r="CB80">
            <v>0</v>
          </cell>
          <cell r="CC80">
            <v>0</v>
          </cell>
          <cell r="CD80">
            <v>3</v>
          </cell>
          <cell r="CE80">
            <v>3</v>
          </cell>
          <cell r="CF80">
            <v>3</v>
          </cell>
          <cell r="CG80">
            <v>3</v>
          </cell>
          <cell r="CH80">
            <v>3</v>
          </cell>
          <cell r="CI80">
            <v>0</v>
          </cell>
          <cell r="CJ80">
            <v>0</v>
          </cell>
          <cell r="CK80">
            <v>2</v>
          </cell>
          <cell r="CL80">
            <v>2</v>
          </cell>
          <cell r="CM80">
            <v>2</v>
          </cell>
          <cell r="CR80">
            <v>0</v>
          </cell>
          <cell r="CS80">
            <v>0</v>
          </cell>
          <cell r="CT80">
            <v>31</v>
          </cell>
          <cell r="CU80">
            <v>0</v>
          </cell>
          <cell r="CV80">
            <v>0</v>
          </cell>
          <cell r="CZ80">
            <v>31</v>
          </cell>
        </row>
        <row r="81">
          <cell r="C81" t="str">
            <v>00753</v>
          </cell>
          <cell r="D81" t="str">
            <v>Nguyễn Thị Kim Phương</v>
          </cell>
          <cell r="E81" t="str">
            <v>Production</v>
          </cell>
          <cell r="F81" t="str">
            <v>Molding</v>
          </cell>
          <cell r="G81" t="str">
            <v>Worker</v>
          </cell>
          <cell r="H81">
            <v>42469</v>
          </cell>
          <cell r="I81" t="str">
            <v>Đ</v>
          </cell>
          <cell r="J81" t="str">
            <v>Đ</v>
          </cell>
          <cell r="K81" t="str">
            <v>CN</v>
          </cell>
          <cell r="L81">
            <v>8</v>
          </cell>
          <cell r="M81">
            <v>8</v>
          </cell>
          <cell r="N81">
            <v>8</v>
          </cell>
          <cell r="O81">
            <v>8</v>
          </cell>
          <cell r="P81">
            <v>8</v>
          </cell>
          <cell r="Q81">
            <v>8</v>
          </cell>
          <cell r="R81" t="str">
            <v>CN</v>
          </cell>
          <cell r="S81" t="str">
            <v>Đ</v>
          </cell>
          <cell r="T81" t="str">
            <v>Đ</v>
          </cell>
          <cell r="U81" t="str">
            <v>Đ</v>
          </cell>
          <cell r="V81" t="str">
            <v>Đ</v>
          </cell>
          <cell r="W81" t="str">
            <v>Đ</v>
          </cell>
          <cell r="X81" t="str">
            <v>Đ</v>
          </cell>
          <cell r="Y81" t="str">
            <v>CN</v>
          </cell>
          <cell r="Z81">
            <v>8</v>
          </cell>
          <cell r="AA81">
            <v>8</v>
          </cell>
          <cell r="AB81">
            <v>8</v>
          </cell>
          <cell r="AC81">
            <v>8</v>
          </cell>
          <cell r="AD81">
            <v>8</v>
          </cell>
          <cell r="AE81">
            <v>8</v>
          </cell>
          <cell r="AF81" t="str">
            <v>CN</v>
          </cell>
          <cell r="AG81" t="str">
            <v>Đ</v>
          </cell>
          <cell r="AH81" t="str">
            <v>Đ</v>
          </cell>
          <cell r="AI81" t="str">
            <v>Đ</v>
          </cell>
          <cell r="AJ81" t="str">
            <v>Đ</v>
          </cell>
          <cell r="AN81">
            <v>96</v>
          </cell>
          <cell r="AO81">
            <v>96</v>
          </cell>
          <cell r="AP81">
            <v>0</v>
          </cell>
          <cell r="AQ81">
            <v>0</v>
          </cell>
          <cell r="AR81">
            <v>0</v>
          </cell>
          <cell r="AS81">
            <v>0</v>
          </cell>
          <cell r="AT81">
            <v>0</v>
          </cell>
          <cell r="AU81">
            <v>0</v>
          </cell>
          <cell r="AV81">
            <v>0</v>
          </cell>
          <cell r="AW81">
            <v>0</v>
          </cell>
          <cell r="AX81">
            <v>0</v>
          </cell>
          <cell r="AY81">
            <v>0</v>
          </cell>
          <cell r="AZ81">
            <v>0</v>
          </cell>
          <cell r="BA81">
            <v>0</v>
          </cell>
          <cell r="BB81">
            <v>0</v>
          </cell>
          <cell r="BC81">
            <v>0</v>
          </cell>
          <cell r="BD81">
            <v>0</v>
          </cell>
          <cell r="BE81">
            <v>0</v>
          </cell>
          <cell r="BF81">
            <v>0</v>
          </cell>
          <cell r="BG81">
            <v>192</v>
          </cell>
          <cell r="BH81">
            <v>0</v>
          </cell>
          <cell r="BI81">
            <v>0</v>
          </cell>
          <cell r="BJ81">
            <v>4</v>
          </cell>
          <cell r="BL81">
            <v>0</v>
          </cell>
          <cell r="BM81">
            <v>4</v>
          </cell>
          <cell r="BN81">
            <v>0</v>
          </cell>
          <cell r="BO81">
            <v>4</v>
          </cell>
          <cell r="BP81">
            <v>0</v>
          </cell>
          <cell r="BQ81">
            <v>0</v>
          </cell>
          <cell r="BR81">
            <v>0</v>
          </cell>
          <cell r="BS81">
            <v>0</v>
          </cell>
          <cell r="BT81">
            <v>4</v>
          </cell>
          <cell r="BU81">
            <v>0</v>
          </cell>
          <cell r="BV81">
            <v>4</v>
          </cell>
          <cell r="BW81">
            <v>0</v>
          </cell>
          <cell r="BX81">
            <v>0</v>
          </cell>
          <cell r="BY81">
            <v>0</v>
          </cell>
          <cell r="BZ81">
            <v>0</v>
          </cell>
          <cell r="CA81">
            <v>4</v>
          </cell>
          <cell r="CB81">
            <v>0</v>
          </cell>
          <cell r="CC81">
            <v>4</v>
          </cell>
          <cell r="CD81">
            <v>0</v>
          </cell>
          <cell r="CE81">
            <v>0</v>
          </cell>
          <cell r="CF81">
            <v>0</v>
          </cell>
          <cell r="CG81">
            <v>0</v>
          </cell>
          <cell r="CH81">
            <v>4</v>
          </cell>
          <cell r="CI81">
            <v>0</v>
          </cell>
          <cell r="CJ81">
            <v>4</v>
          </cell>
          <cell r="CK81">
            <v>0</v>
          </cell>
          <cell r="CL81">
            <v>0</v>
          </cell>
          <cell r="CM81">
            <v>0</v>
          </cell>
          <cell r="CR81">
            <v>0</v>
          </cell>
          <cell r="CS81">
            <v>0</v>
          </cell>
          <cell r="CT81">
            <v>32</v>
          </cell>
          <cell r="CU81">
            <v>0</v>
          </cell>
          <cell r="CV81">
            <v>0</v>
          </cell>
          <cell r="CZ81">
            <v>32</v>
          </cell>
        </row>
        <row r="82">
          <cell r="C82" t="str">
            <v>00786</v>
          </cell>
          <cell r="D82" t="str">
            <v>Nguyễn Văn Tân</v>
          </cell>
          <cell r="E82" t="str">
            <v>Warehouse</v>
          </cell>
          <cell r="F82" t="str">
            <v>RM Warehouse</v>
          </cell>
          <cell r="G82" t="str">
            <v>Team Leader</v>
          </cell>
          <cell r="H82">
            <v>42534</v>
          </cell>
          <cell r="I82">
            <v>8</v>
          </cell>
          <cell r="J82">
            <v>8</v>
          </cell>
          <cell r="K82" t="str">
            <v>AL4</v>
          </cell>
          <cell r="L82" t="str">
            <v>CN</v>
          </cell>
          <cell r="M82">
            <v>8</v>
          </cell>
          <cell r="N82">
            <v>8</v>
          </cell>
          <cell r="O82">
            <v>8</v>
          </cell>
          <cell r="P82">
            <v>8</v>
          </cell>
          <cell r="Q82">
            <v>8</v>
          </cell>
          <cell r="R82">
            <v>8</v>
          </cell>
          <cell r="S82" t="str">
            <v>CN</v>
          </cell>
          <cell r="T82">
            <v>8</v>
          </cell>
          <cell r="U82">
            <v>8</v>
          </cell>
          <cell r="V82">
            <v>8</v>
          </cell>
          <cell r="W82">
            <v>8</v>
          </cell>
          <cell r="X82">
            <v>8</v>
          </cell>
          <cell r="Y82">
            <v>8</v>
          </cell>
          <cell r="Z82" t="str">
            <v>CN</v>
          </cell>
          <cell r="AA82">
            <v>8</v>
          </cell>
          <cell r="AB82">
            <v>8</v>
          </cell>
          <cell r="AC82">
            <v>8</v>
          </cell>
          <cell r="AD82">
            <v>8</v>
          </cell>
          <cell r="AE82">
            <v>8</v>
          </cell>
          <cell r="AF82">
            <v>8</v>
          </cell>
          <cell r="AG82" t="str">
            <v>CN</v>
          </cell>
          <cell r="AH82">
            <v>8</v>
          </cell>
          <cell r="AI82">
            <v>8</v>
          </cell>
          <cell r="AJ82">
            <v>8</v>
          </cell>
          <cell r="AN82">
            <v>0</v>
          </cell>
          <cell r="AO82">
            <v>188</v>
          </cell>
          <cell r="AP82">
            <v>4</v>
          </cell>
          <cell r="AQ82">
            <v>0</v>
          </cell>
          <cell r="AR82">
            <v>0</v>
          </cell>
          <cell r="AS82">
            <v>0</v>
          </cell>
          <cell r="AT82">
            <v>0</v>
          </cell>
          <cell r="AU82">
            <v>0</v>
          </cell>
          <cell r="AV82">
            <v>0</v>
          </cell>
          <cell r="AW82">
            <v>0</v>
          </cell>
          <cell r="AX82">
            <v>0</v>
          </cell>
          <cell r="AY82">
            <v>0</v>
          </cell>
          <cell r="AZ82">
            <v>0</v>
          </cell>
          <cell r="BA82">
            <v>4</v>
          </cell>
          <cell r="BB82">
            <v>0</v>
          </cell>
          <cell r="BC82">
            <v>0</v>
          </cell>
          <cell r="BD82">
            <v>0</v>
          </cell>
          <cell r="BE82">
            <v>0</v>
          </cell>
          <cell r="BF82">
            <v>0</v>
          </cell>
          <cell r="BG82">
            <v>192</v>
          </cell>
          <cell r="BH82">
            <v>0.5</v>
          </cell>
          <cell r="BI82">
            <v>0.5</v>
          </cell>
          <cell r="BJ82">
            <v>2</v>
          </cell>
          <cell r="BL82">
            <v>0</v>
          </cell>
          <cell r="BM82">
            <v>0</v>
          </cell>
          <cell r="BN82">
            <v>0</v>
          </cell>
          <cell r="BO82">
            <v>0</v>
          </cell>
          <cell r="BP82">
            <v>3</v>
          </cell>
          <cell r="BQ82">
            <v>0</v>
          </cell>
          <cell r="BR82">
            <v>2</v>
          </cell>
          <cell r="BS82">
            <v>0</v>
          </cell>
          <cell r="BT82">
            <v>0</v>
          </cell>
          <cell r="BU82">
            <v>0</v>
          </cell>
          <cell r="BV82">
            <v>0</v>
          </cell>
          <cell r="BW82">
            <v>0</v>
          </cell>
          <cell r="BX82">
            <v>0</v>
          </cell>
          <cell r="BY82">
            <v>0</v>
          </cell>
          <cell r="BZ82">
            <v>0</v>
          </cell>
          <cell r="CA82">
            <v>3</v>
          </cell>
          <cell r="CB82">
            <v>0</v>
          </cell>
          <cell r="CC82">
            <v>0</v>
          </cell>
          <cell r="CD82">
            <v>3</v>
          </cell>
          <cell r="CE82">
            <v>0</v>
          </cell>
          <cell r="CF82">
            <v>0</v>
          </cell>
          <cell r="CG82">
            <v>3</v>
          </cell>
          <cell r="CH82">
            <v>0</v>
          </cell>
          <cell r="CI82">
            <v>0</v>
          </cell>
          <cell r="CJ82">
            <v>0</v>
          </cell>
          <cell r="CK82">
            <v>0</v>
          </cell>
          <cell r="CL82">
            <v>0</v>
          </cell>
          <cell r="CM82">
            <v>0</v>
          </cell>
          <cell r="CR82">
            <v>0</v>
          </cell>
          <cell r="CS82">
            <v>0</v>
          </cell>
          <cell r="CT82">
            <v>14</v>
          </cell>
          <cell r="CU82">
            <v>0</v>
          </cell>
          <cell r="CV82">
            <v>0</v>
          </cell>
          <cell r="CZ82">
            <v>14</v>
          </cell>
        </row>
        <row r="83">
          <cell r="C83" t="str">
            <v>00798</v>
          </cell>
          <cell r="D83" t="str">
            <v>Lê Thị Xuân</v>
          </cell>
          <cell r="E83" t="str">
            <v>Purchasing</v>
          </cell>
          <cell r="F83" t="str">
            <v>Purchasing</v>
          </cell>
          <cell r="G83" t="str">
            <v xml:space="preserve"> Senior Staff</v>
          </cell>
          <cell r="H83">
            <v>42564</v>
          </cell>
          <cell r="I83" t="str">
            <v>WH</v>
          </cell>
          <cell r="J83" t="str">
            <v>AL8</v>
          </cell>
          <cell r="K83" t="str">
            <v>PO</v>
          </cell>
          <cell r="L83" t="str">
            <v>CN</v>
          </cell>
          <cell r="M83">
            <v>8</v>
          </cell>
          <cell r="N83">
            <v>8</v>
          </cell>
          <cell r="O83">
            <v>8</v>
          </cell>
          <cell r="P83">
            <v>8</v>
          </cell>
          <cell r="Q83">
            <v>8</v>
          </cell>
          <cell r="R83" t="str">
            <v>PO</v>
          </cell>
          <cell r="S83" t="str">
            <v>CN</v>
          </cell>
          <cell r="T83">
            <v>8</v>
          </cell>
          <cell r="U83">
            <v>8</v>
          </cell>
          <cell r="V83">
            <v>8</v>
          </cell>
          <cell r="W83">
            <v>8</v>
          </cell>
          <cell r="X83">
            <v>8</v>
          </cell>
          <cell r="Y83" t="str">
            <v>PO</v>
          </cell>
          <cell r="Z83" t="str">
            <v>CN</v>
          </cell>
          <cell r="AA83">
            <v>8</v>
          </cell>
          <cell r="AB83">
            <v>8</v>
          </cell>
          <cell r="AC83">
            <v>8</v>
          </cell>
          <cell r="AD83">
            <v>8</v>
          </cell>
          <cell r="AE83" t="str">
            <v>AL4</v>
          </cell>
          <cell r="AF83" t="str">
            <v>PO</v>
          </cell>
          <cell r="AG83" t="str">
            <v>CN</v>
          </cell>
          <cell r="AH83">
            <v>8</v>
          </cell>
          <cell r="AI83">
            <v>8</v>
          </cell>
          <cell r="AJ83" t="str">
            <v>BS</v>
          </cell>
          <cell r="AN83">
            <v>0</v>
          </cell>
          <cell r="AO83">
            <v>132</v>
          </cell>
          <cell r="AP83">
            <v>4</v>
          </cell>
          <cell r="AQ83">
            <v>0</v>
          </cell>
          <cell r="AR83">
            <v>0</v>
          </cell>
          <cell r="AS83">
            <v>0</v>
          </cell>
          <cell r="AT83">
            <v>0</v>
          </cell>
          <cell r="AU83">
            <v>8</v>
          </cell>
          <cell r="AV83">
            <v>32</v>
          </cell>
          <cell r="AW83">
            <v>0</v>
          </cell>
          <cell r="AX83">
            <v>0</v>
          </cell>
          <cell r="AY83">
            <v>0</v>
          </cell>
          <cell r="AZ83">
            <v>0</v>
          </cell>
          <cell r="BA83">
            <v>12</v>
          </cell>
          <cell r="BB83">
            <v>0</v>
          </cell>
          <cell r="BC83">
            <v>0</v>
          </cell>
          <cell r="BD83">
            <v>8</v>
          </cell>
          <cell r="BE83">
            <v>0</v>
          </cell>
          <cell r="BF83">
            <v>0</v>
          </cell>
          <cell r="BG83">
            <v>192</v>
          </cell>
          <cell r="BH83">
            <v>1.5</v>
          </cell>
          <cell r="BI83">
            <v>1.5</v>
          </cell>
          <cell r="BJ83">
            <v>4</v>
          </cell>
          <cell r="BL83">
            <v>0</v>
          </cell>
          <cell r="BM83">
            <v>0</v>
          </cell>
          <cell r="BN83">
            <v>0</v>
          </cell>
          <cell r="BO83">
            <v>0</v>
          </cell>
          <cell r="BP83">
            <v>4</v>
          </cell>
          <cell r="BQ83">
            <v>4</v>
          </cell>
          <cell r="BR83">
            <v>4</v>
          </cell>
          <cell r="BS83">
            <v>0</v>
          </cell>
          <cell r="BT83">
            <v>0</v>
          </cell>
          <cell r="BU83">
            <v>0</v>
          </cell>
          <cell r="BV83">
            <v>0</v>
          </cell>
          <cell r="BW83">
            <v>4</v>
          </cell>
          <cell r="BX83">
            <v>0</v>
          </cell>
          <cell r="BY83">
            <v>4</v>
          </cell>
          <cell r="BZ83">
            <v>0</v>
          </cell>
          <cell r="CA83">
            <v>4</v>
          </cell>
          <cell r="CB83">
            <v>0</v>
          </cell>
          <cell r="CC83">
            <v>0</v>
          </cell>
          <cell r="CD83">
            <v>4</v>
          </cell>
          <cell r="CE83">
            <v>4</v>
          </cell>
          <cell r="CF83">
            <v>2.5</v>
          </cell>
          <cell r="CG83">
            <v>1.25</v>
          </cell>
          <cell r="CH83">
            <v>0</v>
          </cell>
          <cell r="CI83">
            <v>0</v>
          </cell>
          <cell r="CJ83">
            <v>0</v>
          </cell>
          <cell r="CK83">
            <v>0</v>
          </cell>
          <cell r="CL83">
            <v>0</v>
          </cell>
          <cell r="CM83">
            <v>0</v>
          </cell>
          <cell r="CR83">
            <v>0</v>
          </cell>
          <cell r="CS83">
            <v>0</v>
          </cell>
          <cell r="CT83">
            <v>35.75</v>
          </cell>
          <cell r="CU83">
            <v>0</v>
          </cell>
          <cell r="CV83">
            <v>0</v>
          </cell>
          <cell r="CZ83">
            <v>35.75</v>
          </cell>
        </row>
        <row r="84">
          <cell r="C84" t="str">
            <v>00805</v>
          </cell>
          <cell r="D84" t="str">
            <v>Hà Thị Út Cưng</v>
          </cell>
          <cell r="E84" t="str">
            <v>Production</v>
          </cell>
          <cell r="F84" t="str">
            <v>Die Cut</v>
          </cell>
          <cell r="G84" t="str">
            <v>Worker</v>
          </cell>
          <cell r="H84">
            <v>42567</v>
          </cell>
          <cell r="I84" t="str">
            <v>Đ</v>
          </cell>
          <cell r="J84" t="str">
            <v>Đ</v>
          </cell>
          <cell r="K84" t="str">
            <v>Đ</v>
          </cell>
          <cell r="L84" t="str">
            <v>CN</v>
          </cell>
          <cell r="M84">
            <v>8</v>
          </cell>
          <cell r="N84">
            <v>8</v>
          </cell>
          <cell r="O84">
            <v>8</v>
          </cell>
          <cell r="P84">
            <v>8</v>
          </cell>
          <cell r="Q84">
            <v>8</v>
          </cell>
          <cell r="R84">
            <v>8</v>
          </cell>
          <cell r="S84" t="str">
            <v>CN</v>
          </cell>
          <cell r="T84" t="str">
            <v>Đ</v>
          </cell>
          <cell r="U84" t="str">
            <v>Đ</v>
          </cell>
          <cell r="V84" t="str">
            <v>Đ</v>
          </cell>
          <cell r="W84" t="str">
            <v>Đ</v>
          </cell>
          <cell r="X84" t="str">
            <v>Đ</v>
          </cell>
          <cell r="Y84" t="str">
            <v>Đ</v>
          </cell>
          <cell r="Z84" t="str">
            <v>CN</v>
          </cell>
          <cell r="AA84">
            <v>8</v>
          </cell>
          <cell r="AB84">
            <v>8</v>
          </cell>
          <cell r="AC84">
            <v>8</v>
          </cell>
          <cell r="AD84">
            <v>8</v>
          </cell>
          <cell r="AE84">
            <v>8</v>
          </cell>
          <cell r="AF84">
            <v>8</v>
          </cell>
          <cell r="AG84" t="str">
            <v>CN</v>
          </cell>
          <cell r="AH84" t="str">
            <v>Đ</v>
          </cell>
          <cell r="AI84" t="str">
            <v>Đ</v>
          </cell>
          <cell r="AJ84" t="str">
            <v>Đ</v>
          </cell>
          <cell r="AN84">
            <v>96</v>
          </cell>
          <cell r="AO84">
            <v>96</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192</v>
          </cell>
          <cell r="BH84">
            <v>0</v>
          </cell>
          <cell r="BI84">
            <v>0</v>
          </cell>
          <cell r="BJ84">
            <v>0.5</v>
          </cell>
          <cell r="BL84">
            <v>1.5</v>
          </cell>
          <cell r="BM84">
            <v>1.5</v>
          </cell>
          <cell r="BN84">
            <v>1.5</v>
          </cell>
          <cell r="BO84">
            <v>0</v>
          </cell>
          <cell r="BP84">
            <v>1.5</v>
          </cell>
          <cell r="BQ84">
            <v>0</v>
          </cell>
          <cell r="BR84">
            <v>0</v>
          </cell>
          <cell r="BS84">
            <v>3</v>
          </cell>
          <cell r="BT84">
            <v>3</v>
          </cell>
          <cell r="BU84">
            <v>3</v>
          </cell>
          <cell r="BV84">
            <v>0</v>
          </cell>
          <cell r="BW84">
            <v>4</v>
          </cell>
          <cell r="BX84">
            <v>4</v>
          </cell>
          <cell r="BY84">
            <v>4</v>
          </cell>
          <cell r="BZ84">
            <v>4</v>
          </cell>
          <cell r="CA84">
            <v>4</v>
          </cell>
          <cell r="CB84">
            <v>4</v>
          </cell>
          <cell r="CC84">
            <v>0</v>
          </cell>
          <cell r="CD84">
            <v>3</v>
          </cell>
          <cell r="CE84">
            <v>3</v>
          </cell>
          <cell r="CF84">
            <v>3</v>
          </cell>
          <cell r="CG84">
            <v>3</v>
          </cell>
          <cell r="CH84">
            <v>3</v>
          </cell>
          <cell r="CI84">
            <v>3</v>
          </cell>
          <cell r="CJ84">
            <v>8</v>
          </cell>
          <cell r="CK84">
            <v>4</v>
          </cell>
          <cell r="CL84">
            <v>4</v>
          </cell>
          <cell r="CM84">
            <v>4</v>
          </cell>
          <cell r="CR84">
            <v>0</v>
          </cell>
          <cell r="CS84">
            <v>0</v>
          </cell>
          <cell r="CT84">
            <v>69</v>
          </cell>
          <cell r="CU84">
            <v>8</v>
          </cell>
          <cell r="CV84">
            <v>0</v>
          </cell>
          <cell r="CZ84">
            <v>77</v>
          </cell>
        </row>
        <row r="85">
          <cell r="C85" t="str">
            <v>00817</v>
          </cell>
          <cell r="D85" t="str">
            <v>Quách Thanh Hải</v>
          </cell>
          <cell r="E85" t="str">
            <v>Production</v>
          </cell>
          <cell r="F85" t="str">
            <v>Prefitting</v>
          </cell>
          <cell r="G85" t="str">
            <v>Operator</v>
          </cell>
          <cell r="H85">
            <v>42576</v>
          </cell>
          <cell r="I85" t="str">
            <v>AL8</v>
          </cell>
          <cell r="J85" t="str">
            <v>Đ</v>
          </cell>
          <cell r="K85" t="str">
            <v>Đ</v>
          </cell>
          <cell r="L85" t="str">
            <v>CN</v>
          </cell>
          <cell r="M85">
            <v>8</v>
          </cell>
          <cell r="N85">
            <v>8</v>
          </cell>
          <cell r="O85">
            <v>8</v>
          </cell>
          <cell r="P85">
            <v>8</v>
          </cell>
          <cell r="Q85">
            <v>8</v>
          </cell>
          <cell r="R85">
            <v>8</v>
          </cell>
          <cell r="S85" t="str">
            <v>CN</v>
          </cell>
          <cell r="T85">
            <v>8</v>
          </cell>
          <cell r="U85" t="str">
            <v>AL4</v>
          </cell>
          <cell r="V85">
            <v>8</v>
          </cell>
          <cell r="W85">
            <v>8</v>
          </cell>
          <cell r="X85" t="str">
            <v>Đ</v>
          </cell>
          <cell r="Y85" t="str">
            <v>Đ</v>
          </cell>
          <cell r="Z85" t="str">
            <v>CN</v>
          </cell>
          <cell r="AA85">
            <v>8</v>
          </cell>
          <cell r="AB85">
            <v>8</v>
          </cell>
          <cell r="AC85">
            <v>8</v>
          </cell>
          <cell r="AD85">
            <v>8</v>
          </cell>
          <cell r="AE85">
            <v>8</v>
          </cell>
          <cell r="AF85">
            <v>8</v>
          </cell>
          <cell r="AG85" t="str">
            <v>CN</v>
          </cell>
          <cell r="AH85">
            <v>8</v>
          </cell>
          <cell r="AI85">
            <v>8</v>
          </cell>
          <cell r="AJ85">
            <v>8</v>
          </cell>
          <cell r="AN85">
            <v>32</v>
          </cell>
          <cell r="AO85">
            <v>148</v>
          </cell>
          <cell r="AP85">
            <v>4</v>
          </cell>
          <cell r="AQ85">
            <v>0</v>
          </cell>
          <cell r="AR85">
            <v>0</v>
          </cell>
          <cell r="AS85">
            <v>0</v>
          </cell>
          <cell r="AT85">
            <v>0</v>
          </cell>
          <cell r="AU85">
            <v>0</v>
          </cell>
          <cell r="AV85">
            <v>0</v>
          </cell>
          <cell r="AW85">
            <v>0</v>
          </cell>
          <cell r="AX85">
            <v>0</v>
          </cell>
          <cell r="AY85">
            <v>0</v>
          </cell>
          <cell r="AZ85">
            <v>0</v>
          </cell>
          <cell r="BA85">
            <v>12</v>
          </cell>
          <cell r="BB85">
            <v>0</v>
          </cell>
          <cell r="BC85">
            <v>0</v>
          </cell>
          <cell r="BD85">
            <v>0</v>
          </cell>
          <cell r="BE85">
            <v>0</v>
          </cell>
          <cell r="BF85">
            <v>0</v>
          </cell>
          <cell r="BG85">
            <v>192</v>
          </cell>
          <cell r="BH85">
            <v>1.5</v>
          </cell>
          <cell r="BI85">
            <v>1.5</v>
          </cell>
          <cell r="BJ85">
            <v>2</v>
          </cell>
          <cell r="BL85">
            <v>0</v>
          </cell>
          <cell r="BM85">
            <v>4</v>
          </cell>
          <cell r="BN85">
            <v>4</v>
          </cell>
          <cell r="BO85">
            <v>0</v>
          </cell>
          <cell r="BP85">
            <v>0</v>
          </cell>
          <cell r="BQ85">
            <v>2</v>
          </cell>
          <cell r="BR85">
            <v>0</v>
          </cell>
          <cell r="BS85">
            <v>0</v>
          </cell>
          <cell r="BT85">
            <v>4</v>
          </cell>
          <cell r="BU85">
            <v>4</v>
          </cell>
          <cell r="BV85">
            <v>0</v>
          </cell>
          <cell r="BW85">
            <v>0</v>
          </cell>
          <cell r="BX85">
            <v>0</v>
          </cell>
          <cell r="BY85">
            <v>0</v>
          </cell>
          <cell r="BZ85">
            <v>0</v>
          </cell>
          <cell r="CA85">
            <v>4</v>
          </cell>
          <cell r="CB85">
            <v>4</v>
          </cell>
          <cell r="CC85">
            <v>0</v>
          </cell>
          <cell r="CD85">
            <v>0</v>
          </cell>
          <cell r="CE85">
            <v>0</v>
          </cell>
          <cell r="CF85">
            <v>0</v>
          </cell>
          <cell r="CG85">
            <v>4</v>
          </cell>
          <cell r="CH85">
            <v>4</v>
          </cell>
          <cell r="CI85">
            <v>4</v>
          </cell>
          <cell r="CJ85">
            <v>0</v>
          </cell>
          <cell r="CK85">
            <v>0</v>
          </cell>
          <cell r="CL85">
            <v>0</v>
          </cell>
          <cell r="CM85">
            <v>0</v>
          </cell>
          <cell r="CR85">
            <v>0</v>
          </cell>
          <cell r="CS85">
            <v>0</v>
          </cell>
          <cell r="CT85">
            <v>38</v>
          </cell>
          <cell r="CU85">
            <v>0</v>
          </cell>
          <cell r="CV85">
            <v>0</v>
          </cell>
          <cell r="CZ85">
            <v>38</v>
          </cell>
        </row>
        <row r="86">
          <cell r="C86" t="str">
            <v>00827</v>
          </cell>
          <cell r="D86" t="str">
            <v>Nguyễn Thị Thu Thảo</v>
          </cell>
          <cell r="E86" t="str">
            <v>Production</v>
          </cell>
          <cell r="F86" t="str">
            <v>Packing</v>
          </cell>
          <cell r="G86" t="str">
            <v xml:space="preserve"> Worker</v>
          </cell>
          <cell r="H86">
            <v>42604</v>
          </cell>
          <cell r="I86">
            <v>8</v>
          </cell>
          <cell r="J86">
            <v>8</v>
          </cell>
          <cell r="K86">
            <v>8</v>
          </cell>
          <cell r="L86" t="str">
            <v>CN</v>
          </cell>
          <cell r="M86" t="str">
            <v>Đ</v>
          </cell>
          <cell r="N86" t="str">
            <v>Đ</v>
          </cell>
          <cell r="O86" t="str">
            <v>Đ</v>
          </cell>
          <cell r="P86" t="str">
            <v>Đ</v>
          </cell>
          <cell r="Q86" t="str">
            <v>Đ</v>
          </cell>
          <cell r="R86" t="str">
            <v>Đ</v>
          </cell>
          <cell r="S86" t="str">
            <v>CN</v>
          </cell>
          <cell r="T86">
            <v>8</v>
          </cell>
          <cell r="U86">
            <v>8</v>
          </cell>
          <cell r="V86">
            <v>8</v>
          </cell>
          <cell r="W86">
            <v>8</v>
          </cell>
          <cell r="X86">
            <v>8</v>
          </cell>
          <cell r="Y86">
            <v>8</v>
          </cell>
          <cell r="Z86" t="str">
            <v>CN</v>
          </cell>
          <cell r="AA86" t="str">
            <v>Đ</v>
          </cell>
          <cell r="AB86" t="str">
            <v>AL8</v>
          </cell>
          <cell r="AC86" t="str">
            <v>Đ</v>
          </cell>
          <cell r="AD86" t="str">
            <v>Đ</v>
          </cell>
          <cell r="AE86" t="str">
            <v>Đ</v>
          </cell>
          <cell r="AF86" t="str">
            <v>Đ</v>
          </cell>
          <cell r="AG86" t="str">
            <v>CN</v>
          </cell>
          <cell r="AH86">
            <v>8</v>
          </cell>
          <cell r="AI86">
            <v>8</v>
          </cell>
          <cell r="AJ86">
            <v>8</v>
          </cell>
          <cell r="AN86">
            <v>88</v>
          </cell>
          <cell r="AO86">
            <v>96</v>
          </cell>
          <cell r="AP86">
            <v>0</v>
          </cell>
          <cell r="AQ86">
            <v>0</v>
          </cell>
          <cell r="AR86">
            <v>0</v>
          </cell>
          <cell r="AS86">
            <v>0</v>
          </cell>
          <cell r="AT86">
            <v>0</v>
          </cell>
          <cell r="AU86">
            <v>0</v>
          </cell>
          <cell r="AV86">
            <v>0</v>
          </cell>
          <cell r="AW86">
            <v>0</v>
          </cell>
          <cell r="AX86">
            <v>0</v>
          </cell>
          <cell r="AY86">
            <v>0</v>
          </cell>
          <cell r="AZ86">
            <v>0</v>
          </cell>
          <cell r="BA86">
            <v>8</v>
          </cell>
          <cell r="BB86">
            <v>0</v>
          </cell>
          <cell r="BC86">
            <v>0</v>
          </cell>
          <cell r="BD86">
            <v>0</v>
          </cell>
          <cell r="BE86">
            <v>0</v>
          </cell>
          <cell r="BF86">
            <v>0</v>
          </cell>
          <cell r="BG86">
            <v>192</v>
          </cell>
          <cell r="BH86">
            <v>1</v>
          </cell>
          <cell r="BI86">
            <v>1</v>
          </cell>
          <cell r="BJ86">
            <v>-3</v>
          </cell>
          <cell r="BL86">
            <v>0</v>
          </cell>
          <cell r="BM86">
            <v>0</v>
          </cell>
          <cell r="BN86">
            <v>0</v>
          </cell>
          <cell r="BO86">
            <v>0</v>
          </cell>
          <cell r="BP86">
            <v>1.5</v>
          </cell>
          <cell r="BQ86">
            <v>3</v>
          </cell>
          <cell r="BR86">
            <v>0</v>
          </cell>
          <cell r="BS86">
            <v>3</v>
          </cell>
          <cell r="BT86">
            <v>3</v>
          </cell>
          <cell r="BU86">
            <v>0</v>
          </cell>
          <cell r="BV86">
            <v>0</v>
          </cell>
          <cell r="BW86">
            <v>3</v>
          </cell>
          <cell r="BX86">
            <v>3</v>
          </cell>
          <cell r="BY86">
            <v>3</v>
          </cell>
          <cell r="BZ86">
            <v>3</v>
          </cell>
          <cell r="CA86">
            <v>3</v>
          </cell>
          <cell r="CB86">
            <v>3</v>
          </cell>
          <cell r="CC86">
            <v>8</v>
          </cell>
          <cell r="CD86">
            <v>4</v>
          </cell>
          <cell r="CE86">
            <v>0</v>
          </cell>
          <cell r="CF86">
            <v>4</v>
          </cell>
          <cell r="CG86">
            <v>4</v>
          </cell>
          <cell r="CH86">
            <v>1.5</v>
          </cell>
          <cell r="CI86">
            <v>1.5</v>
          </cell>
          <cell r="CJ86">
            <v>0</v>
          </cell>
          <cell r="CK86">
            <v>1.5</v>
          </cell>
          <cell r="CL86">
            <v>1.5</v>
          </cell>
          <cell r="CM86">
            <v>1.5</v>
          </cell>
          <cell r="CR86">
            <v>0</v>
          </cell>
          <cell r="CS86">
            <v>0</v>
          </cell>
          <cell r="CT86">
            <v>48</v>
          </cell>
          <cell r="CU86">
            <v>8</v>
          </cell>
          <cell r="CV86">
            <v>0</v>
          </cell>
          <cell r="CZ86">
            <v>56</v>
          </cell>
        </row>
        <row r="87">
          <cell r="C87" t="str">
            <v>00856</v>
          </cell>
          <cell r="D87" t="str">
            <v>Phan Kim Mộng</v>
          </cell>
          <cell r="E87" t="str">
            <v>Production</v>
          </cell>
          <cell r="F87" t="str">
            <v>Logo</v>
          </cell>
          <cell r="G87" t="str">
            <v>Worker</v>
          </cell>
          <cell r="H87">
            <v>42625</v>
          </cell>
          <cell r="I87">
            <v>8</v>
          </cell>
          <cell r="J87">
            <v>8</v>
          </cell>
          <cell r="K87">
            <v>8</v>
          </cell>
          <cell r="L87" t="str">
            <v>CN</v>
          </cell>
          <cell r="M87" t="str">
            <v>Đ</v>
          </cell>
          <cell r="N87" t="str">
            <v>Đ</v>
          </cell>
          <cell r="O87" t="str">
            <v>Đ</v>
          </cell>
          <cell r="P87" t="str">
            <v>Đ</v>
          </cell>
          <cell r="Q87" t="str">
            <v>Đ</v>
          </cell>
          <cell r="R87" t="str">
            <v>Đ</v>
          </cell>
          <cell r="S87" t="str">
            <v>CN</v>
          </cell>
          <cell r="T87">
            <v>8</v>
          </cell>
          <cell r="U87">
            <v>8</v>
          </cell>
          <cell r="V87">
            <v>8</v>
          </cell>
          <cell r="W87">
            <v>8</v>
          </cell>
          <cell r="X87">
            <v>8</v>
          </cell>
          <cell r="Y87">
            <v>8</v>
          </cell>
          <cell r="Z87" t="str">
            <v>CN</v>
          </cell>
          <cell r="AA87" t="str">
            <v>Đ</v>
          </cell>
          <cell r="AB87" t="str">
            <v>Đ</v>
          </cell>
          <cell r="AC87" t="str">
            <v>Đ</v>
          </cell>
          <cell r="AD87" t="str">
            <v>Đ</v>
          </cell>
          <cell r="AE87" t="str">
            <v>Đ</v>
          </cell>
          <cell r="AF87" t="str">
            <v>Đ</v>
          </cell>
          <cell r="AG87" t="str">
            <v>CN</v>
          </cell>
          <cell r="AH87">
            <v>8</v>
          </cell>
          <cell r="AI87">
            <v>8</v>
          </cell>
          <cell r="AJ87">
            <v>8</v>
          </cell>
          <cell r="AN87">
            <v>96</v>
          </cell>
          <cell r="AO87">
            <v>96</v>
          </cell>
          <cell r="AP87">
            <v>0</v>
          </cell>
          <cell r="AQ87">
            <v>0</v>
          </cell>
          <cell r="AR87">
            <v>0</v>
          </cell>
          <cell r="AS87">
            <v>0</v>
          </cell>
          <cell r="AT87">
            <v>0</v>
          </cell>
          <cell r="AU87">
            <v>0</v>
          </cell>
          <cell r="AV87">
            <v>0</v>
          </cell>
          <cell r="AW87">
            <v>0</v>
          </cell>
          <cell r="AX87">
            <v>0</v>
          </cell>
          <cell r="AY87">
            <v>0</v>
          </cell>
          <cell r="AZ87">
            <v>0</v>
          </cell>
          <cell r="BA87">
            <v>0</v>
          </cell>
          <cell r="BB87">
            <v>0</v>
          </cell>
          <cell r="BC87">
            <v>0</v>
          </cell>
          <cell r="BD87">
            <v>0</v>
          </cell>
          <cell r="BE87">
            <v>0</v>
          </cell>
          <cell r="BF87">
            <v>0</v>
          </cell>
          <cell r="BG87">
            <v>192</v>
          </cell>
          <cell r="BH87">
            <v>0</v>
          </cell>
          <cell r="BI87">
            <v>0</v>
          </cell>
          <cell r="BJ87">
            <v>2.5</v>
          </cell>
          <cell r="BL87">
            <v>1.5</v>
          </cell>
          <cell r="BM87">
            <v>1.5</v>
          </cell>
          <cell r="BN87">
            <v>0</v>
          </cell>
          <cell r="BO87">
            <v>0</v>
          </cell>
          <cell r="BP87">
            <v>1.5</v>
          </cell>
          <cell r="BQ87">
            <v>0</v>
          </cell>
          <cell r="BR87">
            <v>0</v>
          </cell>
          <cell r="BS87">
            <v>4</v>
          </cell>
          <cell r="BT87">
            <v>0</v>
          </cell>
          <cell r="BU87">
            <v>4</v>
          </cell>
          <cell r="BV87">
            <v>0</v>
          </cell>
          <cell r="BW87">
            <v>3</v>
          </cell>
          <cell r="BX87">
            <v>3</v>
          </cell>
          <cell r="BY87">
            <v>3</v>
          </cell>
          <cell r="BZ87">
            <v>3</v>
          </cell>
          <cell r="CA87">
            <v>3</v>
          </cell>
          <cell r="CB87">
            <v>3</v>
          </cell>
          <cell r="CC87">
            <v>8</v>
          </cell>
          <cell r="CD87">
            <v>4</v>
          </cell>
          <cell r="CE87">
            <v>4</v>
          </cell>
          <cell r="CF87">
            <v>4</v>
          </cell>
          <cell r="CG87">
            <v>4</v>
          </cell>
          <cell r="CH87">
            <v>4</v>
          </cell>
          <cell r="CI87">
            <v>4</v>
          </cell>
          <cell r="CJ87">
            <v>0</v>
          </cell>
          <cell r="CK87">
            <v>3</v>
          </cell>
          <cell r="CL87">
            <v>3</v>
          </cell>
          <cell r="CM87">
            <v>2</v>
          </cell>
          <cell r="CR87">
            <v>0</v>
          </cell>
          <cell r="CS87">
            <v>0</v>
          </cell>
          <cell r="CT87">
            <v>62.5</v>
          </cell>
          <cell r="CU87">
            <v>8</v>
          </cell>
          <cell r="CV87">
            <v>0</v>
          </cell>
          <cell r="CZ87">
            <v>70.5</v>
          </cell>
        </row>
        <row r="88">
          <cell r="C88" t="str">
            <v>00883</v>
          </cell>
          <cell r="D88" t="str">
            <v>Đồng Công Dũng</v>
          </cell>
          <cell r="E88" t="str">
            <v>Warehouse</v>
          </cell>
          <cell r="F88" t="str">
            <v>RM Warehouse</v>
          </cell>
          <cell r="G88" t="str">
            <v>Team Leader</v>
          </cell>
          <cell r="H88">
            <v>42642</v>
          </cell>
          <cell r="I88">
            <v>8</v>
          </cell>
          <cell r="J88">
            <v>8</v>
          </cell>
          <cell r="K88" t="str">
            <v>AL4</v>
          </cell>
          <cell r="L88" t="str">
            <v>CN</v>
          </cell>
          <cell r="M88">
            <v>8</v>
          </cell>
          <cell r="N88">
            <v>8</v>
          </cell>
          <cell r="O88">
            <v>8</v>
          </cell>
          <cell r="P88">
            <v>8</v>
          </cell>
          <cell r="Q88">
            <v>8</v>
          </cell>
          <cell r="R88">
            <v>8</v>
          </cell>
          <cell r="S88" t="str">
            <v>CN</v>
          </cell>
          <cell r="T88">
            <v>8</v>
          </cell>
          <cell r="U88">
            <v>8</v>
          </cell>
          <cell r="V88">
            <v>8</v>
          </cell>
          <cell r="W88">
            <v>8</v>
          </cell>
          <cell r="X88">
            <v>8</v>
          </cell>
          <cell r="Y88">
            <v>8</v>
          </cell>
          <cell r="Z88" t="str">
            <v>CN</v>
          </cell>
          <cell r="AA88" t="str">
            <v>AL4</v>
          </cell>
          <cell r="AB88">
            <v>8</v>
          </cell>
          <cell r="AC88">
            <v>8</v>
          </cell>
          <cell r="AD88">
            <v>8</v>
          </cell>
          <cell r="AE88">
            <v>8</v>
          </cell>
          <cell r="AF88">
            <v>8</v>
          </cell>
          <cell r="AG88" t="str">
            <v>CN</v>
          </cell>
          <cell r="AH88">
            <v>8</v>
          </cell>
          <cell r="AI88">
            <v>8</v>
          </cell>
          <cell r="AJ88">
            <v>8</v>
          </cell>
          <cell r="AN88">
            <v>0</v>
          </cell>
          <cell r="AO88">
            <v>184</v>
          </cell>
          <cell r="AP88">
            <v>8</v>
          </cell>
          <cell r="AQ88">
            <v>0</v>
          </cell>
          <cell r="AR88">
            <v>0</v>
          </cell>
          <cell r="AS88">
            <v>0</v>
          </cell>
          <cell r="AT88">
            <v>0</v>
          </cell>
          <cell r="AU88">
            <v>0</v>
          </cell>
          <cell r="AV88">
            <v>0</v>
          </cell>
          <cell r="AW88">
            <v>0</v>
          </cell>
          <cell r="AX88">
            <v>0</v>
          </cell>
          <cell r="AY88">
            <v>0</v>
          </cell>
          <cell r="AZ88">
            <v>0</v>
          </cell>
          <cell r="BA88">
            <v>8</v>
          </cell>
          <cell r="BB88">
            <v>0</v>
          </cell>
          <cell r="BC88">
            <v>0</v>
          </cell>
          <cell r="BD88">
            <v>0</v>
          </cell>
          <cell r="BE88">
            <v>0</v>
          </cell>
          <cell r="BF88">
            <v>0</v>
          </cell>
          <cell r="BG88">
            <v>192</v>
          </cell>
          <cell r="BH88">
            <v>1</v>
          </cell>
          <cell r="BI88">
            <v>1</v>
          </cell>
          <cell r="BJ88">
            <v>6.5</v>
          </cell>
          <cell r="BL88">
            <v>0</v>
          </cell>
          <cell r="BM88">
            <v>0</v>
          </cell>
          <cell r="BN88">
            <v>0</v>
          </cell>
          <cell r="BO88">
            <v>0</v>
          </cell>
          <cell r="BP88">
            <v>0</v>
          </cell>
          <cell r="BQ88">
            <v>3</v>
          </cell>
          <cell r="BR88">
            <v>0</v>
          </cell>
          <cell r="BS88">
            <v>3</v>
          </cell>
          <cell r="BT88">
            <v>0</v>
          </cell>
          <cell r="BU88">
            <v>2</v>
          </cell>
          <cell r="BV88">
            <v>0</v>
          </cell>
          <cell r="BW88">
            <v>0</v>
          </cell>
          <cell r="BX88">
            <v>3</v>
          </cell>
          <cell r="BY88">
            <v>0</v>
          </cell>
          <cell r="BZ88">
            <v>3</v>
          </cell>
          <cell r="CA88">
            <v>0</v>
          </cell>
          <cell r="CB88">
            <v>0</v>
          </cell>
          <cell r="CC88">
            <v>0</v>
          </cell>
          <cell r="CD88">
            <v>0</v>
          </cell>
          <cell r="CE88">
            <v>3</v>
          </cell>
          <cell r="CF88">
            <v>0</v>
          </cell>
          <cell r="CG88">
            <v>3</v>
          </cell>
          <cell r="CH88">
            <v>0</v>
          </cell>
          <cell r="CI88">
            <v>0</v>
          </cell>
          <cell r="CJ88">
            <v>0</v>
          </cell>
          <cell r="CK88">
            <v>0</v>
          </cell>
          <cell r="CL88">
            <v>3</v>
          </cell>
          <cell r="CM88">
            <v>0</v>
          </cell>
          <cell r="CR88">
            <v>0</v>
          </cell>
          <cell r="CS88">
            <v>0</v>
          </cell>
          <cell r="CT88">
            <v>23</v>
          </cell>
          <cell r="CU88">
            <v>0</v>
          </cell>
          <cell r="CV88">
            <v>0</v>
          </cell>
          <cell r="CZ88">
            <v>23</v>
          </cell>
        </row>
        <row r="89">
          <cell r="C89" t="str">
            <v>00891</v>
          </cell>
          <cell r="D89" t="str">
            <v>Nguyễn Thị Thu Hà</v>
          </cell>
          <cell r="E89" t="str">
            <v>Production office</v>
          </cell>
          <cell r="F89" t="str">
            <v>Production office</v>
          </cell>
          <cell r="G89" t="str">
            <v>Staff</v>
          </cell>
          <cell r="H89">
            <v>42675</v>
          </cell>
          <cell r="I89">
            <v>8</v>
          </cell>
          <cell r="J89">
            <v>8</v>
          </cell>
          <cell r="K89" t="str">
            <v>PO</v>
          </cell>
          <cell r="L89" t="str">
            <v>CN</v>
          </cell>
          <cell r="M89">
            <v>8</v>
          </cell>
          <cell r="N89" t="str">
            <v>AL8</v>
          </cell>
          <cell r="O89">
            <v>8</v>
          </cell>
          <cell r="P89">
            <v>8</v>
          </cell>
          <cell r="Q89">
            <v>8</v>
          </cell>
          <cell r="R89" t="str">
            <v>PO</v>
          </cell>
          <cell r="S89" t="str">
            <v>CN</v>
          </cell>
          <cell r="T89">
            <v>8</v>
          </cell>
          <cell r="U89">
            <v>8</v>
          </cell>
          <cell r="V89">
            <v>8</v>
          </cell>
          <cell r="W89">
            <v>8</v>
          </cell>
          <cell r="X89">
            <v>8</v>
          </cell>
          <cell r="Y89" t="str">
            <v>PO</v>
          </cell>
          <cell r="Z89" t="str">
            <v>CN</v>
          </cell>
          <cell r="AA89">
            <v>8</v>
          </cell>
          <cell r="AB89">
            <v>8</v>
          </cell>
          <cell r="AC89" t="str">
            <v>WH</v>
          </cell>
          <cell r="AD89">
            <v>8</v>
          </cell>
          <cell r="AE89">
            <v>8</v>
          </cell>
          <cell r="AF89" t="str">
            <v>PO</v>
          </cell>
          <cell r="AG89" t="str">
            <v>CN</v>
          </cell>
          <cell r="AH89">
            <v>8</v>
          </cell>
          <cell r="AI89">
            <v>8</v>
          </cell>
          <cell r="AJ89">
            <v>8</v>
          </cell>
          <cell r="AN89">
            <v>0</v>
          </cell>
          <cell r="AO89">
            <v>144</v>
          </cell>
          <cell r="AP89">
            <v>0</v>
          </cell>
          <cell r="AQ89">
            <v>0</v>
          </cell>
          <cell r="AR89">
            <v>0</v>
          </cell>
          <cell r="AS89">
            <v>0</v>
          </cell>
          <cell r="AT89">
            <v>0</v>
          </cell>
          <cell r="AU89">
            <v>0</v>
          </cell>
          <cell r="AV89">
            <v>32</v>
          </cell>
          <cell r="AW89">
            <v>0</v>
          </cell>
          <cell r="AX89">
            <v>0</v>
          </cell>
          <cell r="AY89">
            <v>0</v>
          </cell>
          <cell r="AZ89">
            <v>0</v>
          </cell>
          <cell r="BA89">
            <v>8</v>
          </cell>
          <cell r="BB89">
            <v>0</v>
          </cell>
          <cell r="BC89">
            <v>0</v>
          </cell>
          <cell r="BD89">
            <v>8</v>
          </cell>
          <cell r="BE89">
            <v>0</v>
          </cell>
          <cell r="BF89">
            <v>0</v>
          </cell>
          <cell r="BG89">
            <v>192</v>
          </cell>
          <cell r="BH89">
            <v>1</v>
          </cell>
          <cell r="BI89">
            <v>1</v>
          </cell>
          <cell r="BJ89">
            <v>0.5</v>
          </cell>
          <cell r="BL89">
            <v>4</v>
          </cell>
          <cell r="BM89">
            <v>0</v>
          </cell>
          <cell r="BN89">
            <v>0</v>
          </cell>
          <cell r="BO89">
            <v>0</v>
          </cell>
          <cell r="BP89">
            <v>0</v>
          </cell>
          <cell r="BQ89">
            <v>0</v>
          </cell>
          <cell r="BR89">
            <v>0</v>
          </cell>
          <cell r="BS89">
            <v>0</v>
          </cell>
          <cell r="BT89">
            <v>0</v>
          </cell>
          <cell r="BU89">
            <v>0</v>
          </cell>
          <cell r="BV89">
            <v>0</v>
          </cell>
          <cell r="BW89">
            <v>0</v>
          </cell>
          <cell r="BX89">
            <v>0</v>
          </cell>
          <cell r="BY89">
            <v>0</v>
          </cell>
          <cell r="BZ89">
            <v>0</v>
          </cell>
          <cell r="CA89">
            <v>4</v>
          </cell>
          <cell r="CB89">
            <v>0</v>
          </cell>
          <cell r="CC89">
            <v>0</v>
          </cell>
          <cell r="CD89">
            <v>0</v>
          </cell>
          <cell r="CE89">
            <v>0</v>
          </cell>
          <cell r="CF89">
            <v>0</v>
          </cell>
          <cell r="CG89">
            <v>0</v>
          </cell>
          <cell r="CH89">
            <v>0</v>
          </cell>
          <cell r="CI89">
            <v>0</v>
          </cell>
          <cell r="CJ89">
            <v>0</v>
          </cell>
          <cell r="CK89">
            <v>0</v>
          </cell>
          <cell r="CL89">
            <v>0</v>
          </cell>
          <cell r="CM89">
            <v>0</v>
          </cell>
          <cell r="CR89">
            <v>0</v>
          </cell>
          <cell r="CS89">
            <v>0</v>
          </cell>
          <cell r="CT89">
            <v>8</v>
          </cell>
          <cell r="CU89">
            <v>0</v>
          </cell>
          <cell r="CV89">
            <v>0</v>
          </cell>
          <cell r="CZ89">
            <v>8</v>
          </cell>
        </row>
        <row r="90">
          <cell r="C90" t="str">
            <v>00914</v>
          </cell>
          <cell r="D90" t="str">
            <v>Nguyễn Thị Xuân Dung</v>
          </cell>
          <cell r="E90" t="str">
            <v>Production</v>
          </cell>
          <cell r="F90" t="str">
            <v>Packing</v>
          </cell>
          <cell r="G90" t="str">
            <v>Worker</v>
          </cell>
          <cell r="H90">
            <v>42705</v>
          </cell>
          <cell r="I90">
            <v>8</v>
          </cell>
          <cell r="J90">
            <v>8</v>
          </cell>
          <cell r="K90">
            <v>8</v>
          </cell>
          <cell r="L90" t="str">
            <v>CN</v>
          </cell>
          <cell r="M90">
            <v>8</v>
          </cell>
          <cell r="N90">
            <v>8</v>
          </cell>
          <cell r="O90">
            <v>8</v>
          </cell>
          <cell r="P90">
            <v>8</v>
          </cell>
          <cell r="Q90">
            <v>8</v>
          </cell>
          <cell r="R90">
            <v>8</v>
          </cell>
          <cell r="S90" t="str">
            <v>CN</v>
          </cell>
          <cell r="T90">
            <v>8</v>
          </cell>
          <cell r="U90">
            <v>8</v>
          </cell>
          <cell r="V90">
            <v>8</v>
          </cell>
          <cell r="W90">
            <v>8</v>
          </cell>
          <cell r="X90">
            <v>8</v>
          </cell>
          <cell r="Y90">
            <v>8</v>
          </cell>
          <cell r="Z90" t="str">
            <v>CN</v>
          </cell>
          <cell r="AA90">
            <v>8</v>
          </cell>
          <cell r="AB90">
            <v>8</v>
          </cell>
          <cell r="AC90">
            <v>8</v>
          </cell>
          <cell r="AD90">
            <v>8</v>
          </cell>
          <cell r="AE90">
            <v>8</v>
          </cell>
          <cell r="AF90">
            <v>8</v>
          </cell>
          <cell r="AG90" t="str">
            <v>CN</v>
          </cell>
          <cell r="AH90">
            <v>8</v>
          </cell>
          <cell r="AI90">
            <v>8</v>
          </cell>
          <cell r="AJ90">
            <v>8</v>
          </cell>
          <cell r="AN90">
            <v>0</v>
          </cell>
          <cell r="AO90">
            <v>192</v>
          </cell>
          <cell r="AP90">
            <v>0</v>
          </cell>
          <cell r="AQ90">
            <v>0</v>
          </cell>
          <cell r="AR90">
            <v>0</v>
          </cell>
          <cell r="AS90">
            <v>0</v>
          </cell>
          <cell r="AT90">
            <v>0</v>
          </cell>
          <cell r="AU90">
            <v>0</v>
          </cell>
          <cell r="AV90">
            <v>0</v>
          </cell>
          <cell r="AW90">
            <v>0</v>
          </cell>
          <cell r="AX90">
            <v>0</v>
          </cell>
          <cell r="AY90">
            <v>0</v>
          </cell>
          <cell r="AZ90">
            <v>0</v>
          </cell>
          <cell r="BA90">
            <v>0</v>
          </cell>
          <cell r="BB90">
            <v>0</v>
          </cell>
          <cell r="BC90">
            <v>0</v>
          </cell>
          <cell r="BD90">
            <v>0</v>
          </cell>
          <cell r="BE90">
            <v>0</v>
          </cell>
          <cell r="BF90">
            <v>0</v>
          </cell>
          <cell r="BG90">
            <v>192</v>
          </cell>
          <cell r="BH90">
            <v>0</v>
          </cell>
          <cell r="BI90">
            <v>0</v>
          </cell>
          <cell r="BJ90">
            <v>8.5</v>
          </cell>
          <cell r="BL90">
            <v>1.5</v>
          </cell>
          <cell r="BM90">
            <v>3</v>
          </cell>
          <cell r="BN90">
            <v>3</v>
          </cell>
          <cell r="BO90">
            <v>0</v>
          </cell>
          <cell r="BP90">
            <v>1.5</v>
          </cell>
          <cell r="BQ90">
            <v>1.5</v>
          </cell>
          <cell r="BR90">
            <v>1.5</v>
          </cell>
          <cell r="BS90">
            <v>1.5</v>
          </cell>
          <cell r="BT90">
            <v>3</v>
          </cell>
          <cell r="BU90">
            <v>1.5</v>
          </cell>
          <cell r="BV90">
            <v>0</v>
          </cell>
          <cell r="BW90">
            <v>1.5</v>
          </cell>
          <cell r="BX90">
            <v>1.5</v>
          </cell>
          <cell r="BY90">
            <v>1.5</v>
          </cell>
          <cell r="BZ90">
            <v>3</v>
          </cell>
          <cell r="CA90">
            <v>3</v>
          </cell>
          <cell r="CB90">
            <v>3</v>
          </cell>
          <cell r="CC90">
            <v>8</v>
          </cell>
          <cell r="CD90">
            <v>3</v>
          </cell>
          <cell r="CE90">
            <v>3</v>
          </cell>
          <cell r="CF90">
            <v>3</v>
          </cell>
          <cell r="CG90">
            <v>3</v>
          </cell>
          <cell r="CH90">
            <v>3</v>
          </cell>
          <cell r="CI90">
            <v>3</v>
          </cell>
          <cell r="CJ90">
            <v>11</v>
          </cell>
          <cell r="CK90">
            <v>3</v>
          </cell>
          <cell r="CL90">
            <v>3</v>
          </cell>
          <cell r="CM90">
            <v>3</v>
          </cell>
          <cell r="CR90">
            <v>0</v>
          </cell>
          <cell r="CS90">
            <v>0</v>
          </cell>
          <cell r="CT90">
            <v>58.5</v>
          </cell>
          <cell r="CU90">
            <v>19</v>
          </cell>
          <cell r="CV90">
            <v>0</v>
          </cell>
          <cell r="CZ90">
            <v>77.5</v>
          </cell>
        </row>
        <row r="91">
          <cell r="C91" t="str">
            <v>00926</v>
          </cell>
          <cell r="D91" t="str">
            <v>Nguyễn Phước Hậu</v>
          </cell>
          <cell r="E91" t="str">
            <v>Production</v>
          </cell>
          <cell r="F91" t="str">
            <v>Lamination</v>
          </cell>
          <cell r="G91" t="str">
            <v>Worker</v>
          </cell>
          <cell r="H91">
            <v>42772</v>
          </cell>
          <cell r="I91">
            <v>8</v>
          </cell>
          <cell r="J91">
            <v>8</v>
          </cell>
          <cell r="K91">
            <v>8</v>
          </cell>
          <cell r="L91" t="str">
            <v>CN</v>
          </cell>
          <cell r="M91">
            <v>8</v>
          </cell>
          <cell r="N91">
            <v>8</v>
          </cell>
          <cell r="O91">
            <v>8</v>
          </cell>
          <cell r="P91">
            <v>8</v>
          </cell>
          <cell r="Q91">
            <v>8</v>
          </cell>
          <cell r="R91">
            <v>8</v>
          </cell>
          <cell r="S91" t="str">
            <v>CN</v>
          </cell>
          <cell r="T91" t="str">
            <v>Đ</v>
          </cell>
          <cell r="U91" t="str">
            <v>Đ</v>
          </cell>
          <cell r="V91" t="str">
            <v>Đ</v>
          </cell>
          <cell r="W91" t="str">
            <v>Đ</v>
          </cell>
          <cell r="X91" t="str">
            <v>Đ</v>
          </cell>
          <cell r="Y91" t="str">
            <v>Đ</v>
          </cell>
          <cell r="Z91" t="str">
            <v>CN</v>
          </cell>
          <cell r="AA91" t="str">
            <v>Đ</v>
          </cell>
          <cell r="AB91" t="str">
            <v>Đ</v>
          </cell>
          <cell r="AC91" t="str">
            <v>Đ</v>
          </cell>
          <cell r="AD91" t="str">
            <v>Đ</v>
          </cell>
          <cell r="AE91" t="str">
            <v>CN</v>
          </cell>
          <cell r="AF91">
            <v>8</v>
          </cell>
          <cell r="AG91" t="str">
            <v>Đ</v>
          </cell>
          <cell r="AH91" t="str">
            <v>Đ</v>
          </cell>
          <cell r="AI91" t="str">
            <v>Đ</v>
          </cell>
          <cell r="AJ91" t="str">
            <v>Đ</v>
          </cell>
          <cell r="AN91">
            <v>112</v>
          </cell>
          <cell r="AO91">
            <v>80</v>
          </cell>
          <cell r="AP91">
            <v>0</v>
          </cell>
          <cell r="AQ91">
            <v>0</v>
          </cell>
          <cell r="AR91">
            <v>0</v>
          </cell>
          <cell r="AS91">
            <v>0</v>
          </cell>
          <cell r="AT91">
            <v>0</v>
          </cell>
          <cell r="AU91">
            <v>0</v>
          </cell>
          <cell r="AV91">
            <v>0</v>
          </cell>
          <cell r="AW91">
            <v>0</v>
          </cell>
          <cell r="AX91">
            <v>0</v>
          </cell>
          <cell r="AY91">
            <v>0</v>
          </cell>
          <cell r="AZ91">
            <v>0</v>
          </cell>
          <cell r="BA91">
            <v>0</v>
          </cell>
          <cell r="BB91">
            <v>0</v>
          </cell>
          <cell r="BC91">
            <v>0</v>
          </cell>
          <cell r="BD91">
            <v>0</v>
          </cell>
          <cell r="BE91">
            <v>0</v>
          </cell>
          <cell r="BF91">
            <v>0</v>
          </cell>
          <cell r="BG91">
            <v>192</v>
          </cell>
          <cell r="BH91">
            <v>0</v>
          </cell>
          <cell r="BI91">
            <v>0</v>
          </cell>
          <cell r="BJ91">
            <v>5.5</v>
          </cell>
          <cell r="BL91">
            <v>4</v>
          </cell>
          <cell r="BM91">
            <v>4</v>
          </cell>
          <cell r="BN91">
            <v>0</v>
          </cell>
          <cell r="BO91">
            <v>0</v>
          </cell>
          <cell r="BP91">
            <v>0</v>
          </cell>
          <cell r="BQ91">
            <v>4</v>
          </cell>
          <cell r="BR91">
            <v>4</v>
          </cell>
          <cell r="BS91">
            <v>0</v>
          </cell>
          <cell r="BT91">
            <v>4</v>
          </cell>
          <cell r="BU91">
            <v>0</v>
          </cell>
          <cell r="BV91">
            <v>0</v>
          </cell>
          <cell r="BW91">
            <v>0</v>
          </cell>
          <cell r="BX91">
            <v>4</v>
          </cell>
          <cell r="BY91">
            <v>0</v>
          </cell>
          <cell r="BZ91">
            <v>0</v>
          </cell>
          <cell r="CA91">
            <v>4</v>
          </cell>
          <cell r="CB91">
            <v>4</v>
          </cell>
          <cell r="CC91">
            <v>0</v>
          </cell>
          <cell r="CD91">
            <v>0</v>
          </cell>
          <cell r="CE91">
            <v>0</v>
          </cell>
          <cell r="CF91">
            <v>0</v>
          </cell>
          <cell r="CG91">
            <v>0</v>
          </cell>
          <cell r="CH91">
            <v>0</v>
          </cell>
          <cell r="CI91">
            <v>4</v>
          </cell>
          <cell r="CJ91">
            <v>4</v>
          </cell>
          <cell r="CK91">
            <v>4</v>
          </cell>
          <cell r="CL91">
            <v>0</v>
          </cell>
          <cell r="CM91">
            <v>0</v>
          </cell>
          <cell r="CR91">
            <v>0</v>
          </cell>
          <cell r="CS91">
            <v>0</v>
          </cell>
          <cell r="CT91">
            <v>44</v>
          </cell>
          <cell r="CU91">
            <v>0</v>
          </cell>
          <cell r="CV91">
            <v>0</v>
          </cell>
          <cell r="CZ91">
            <v>44</v>
          </cell>
        </row>
        <row r="92">
          <cell r="C92" t="str">
            <v>00947</v>
          </cell>
          <cell r="D92" t="str">
            <v>Đặng Thị Bích Thủy</v>
          </cell>
          <cell r="E92" t="str">
            <v>Production</v>
          </cell>
          <cell r="F92" t="str">
            <v>Die Cut</v>
          </cell>
          <cell r="G92" t="str">
            <v>Worker</v>
          </cell>
          <cell r="H92">
            <v>42775</v>
          </cell>
          <cell r="I92">
            <v>8</v>
          </cell>
          <cell r="J92">
            <v>8</v>
          </cell>
          <cell r="K92">
            <v>8</v>
          </cell>
          <cell r="L92" t="str">
            <v>CN</v>
          </cell>
          <cell r="M92" t="str">
            <v>Đ</v>
          </cell>
          <cell r="N92" t="str">
            <v>Đ</v>
          </cell>
          <cell r="O92" t="str">
            <v>Đ</v>
          </cell>
          <cell r="P92" t="str">
            <v>Đ</v>
          </cell>
          <cell r="Q92" t="str">
            <v>Đ</v>
          </cell>
          <cell r="R92" t="str">
            <v>Đ</v>
          </cell>
          <cell r="S92" t="str">
            <v>CN</v>
          </cell>
          <cell r="T92">
            <v>8</v>
          </cell>
          <cell r="U92">
            <v>8</v>
          </cell>
          <cell r="V92">
            <v>8</v>
          </cell>
          <cell r="W92">
            <v>8</v>
          </cell>
          <cell r="X92">
            <v>8</v>
          </cell>
          <cell r="Y92">
            <v>8</v>
          </cell>
          <cell r="Z92" t="str">
            <v>CN</v>
          </cell>
          <cell r="AA92" t="str">
            <v>Đ</v>
          </cell>
          <cell r="AB92" t="str">
            <v>Đ</v>
          </cell>
          <cell r="AC92" t="str">
            <v>Đ</v>
          </cell>
          <cell r="AD92" t="str">
            <v>Đ</v>
          </cell>
          <cell r="AE92" t="str">
            <v>Đ</v>
          </cell>
          <cell r="AF92" t="str">
            <v>Đ</v>
          </cell>
          <cell r="AG92" t="str">
            <v>CN</v>
          </cell>
          <cell r="AH92">
            <v>8</v>
          </cell>
          <cell r="AI92">
            <v>8</v>
          </cell>
          <cell r="AJ92">
            <v>8</v>
          </cell>
          <cell r="AN92">
            <v>96</v>
          </cell>
          <cell r="AO92">
            <v>96</v>
          </cell>
          <cell r="AP92">
            <v>0</v>
          </cell>
          <cell r="AQ92">
            <v>0</v>
          </cell>
          <cell r="AR92">
            <v>0</v>
          </cell>
          <cell r="AS92">
            <v>0</v>
          </cell>
          <cell r="AT92">
            <v>0</v>
          </cell>
          <cell r="AU92">
            <v>0</v>
          </cell>
          <cell r="AV92">
            <v>0</v>
          </cell>
          <cell r="AW92">
            <v>0</v>
          </cell>
          <cell r="AX92">
            <v>0</v>
          </cell>
          <cell r="AY92">
            <v>0</v>
          </cell>
          <cell r="AZ92">
            <v>0</v>
          </cell>
          <cell r="BA92">
            <v>0</v>
          </cell>
          <cell r="BB92">
            <v>0</v>
          </cell>
          <cell r="BC92">
            <v>0</v>
          </cell>
          <cell r="BD92">
            <v>0</v>
          </cell>
          <cell r="BE92">
            <v>0</v>
          </cell>
          <cell r="BF92">
            <v>0</v>
          </cell>
          <cell r="BG92">
            <v>192</v>
          </cell>
          <cell r="BH92">
            <v>0</v>
          </cell>
          <cell r="BI92">
            <v>0</v>
          </cell>
          <cell r="BJ92">
            <v>4</v>
          </cell>
          <cell r="BL92">
            <v>0</v>
          </cell>
          <cell r="BM92">
            <v>1.5</v>
          </cell>
          <cell r="BN92">
            <v>0</v>
          </cell>
          <cell r="BO92">
            <v>0</v>
          </cell>
          <cell r="BP92">
            <v>1.5</v>
          </cell>
          <cell r="BQ92">
            <v>0</v>
          </cell>
          <cell r="BR92">
            <v>0</v>
          </cell>
          <cell r="BS92">
            <v>4</v>
          </cell>
          <cell r="BT92">
            <v>4</v>
          </cell>
          <cell r="BU92">
            <v>4</v>
          </cell>
          <cell r="BV92">
            <v>0</v>
          </cell>
          <cell r="BW92">
            <v>3</v>
          </cell>
          <cell r="BX92">
            <v>3</v>
          </cell>
          <cell r="BY92">
            <v>3</v>
          </cell>
          <cell r="BZ92">
            <v>3</v>
          </cell>
          <cell r="CA92">
            <v>3</v>
          </cell>
          <cell r="CB92">
            <v>3</v>
          </cell>
          <cell r="CC92">
            <v>8</v>
          </cell>
          <cell r="CD92">
            <v>4</v>
          </cell>
          <cell r="CE92">
            <v>4</v>
          </cell>
          <cell r="CF92">
            <v>4</v>
          </cell>
          <cell r="CG92">
            <v>4</v>
          </cell>
          <cell r="CH92">
            <v>4</v>
          </cell>
          <cell r="CI92">
            <v>4</v>
          </cell>
          <cell r="CJ92">
            <v>0</v>
          </cell>
          <cell r="CK92">
            <v>3</v>
          </cell>
          <cell r="CL92">
            <v>3</v>
          </cell>
          <cell r="CM92">
            <v>3</v>
          </cell>
          <cell r="CR92">
            <v>0</v>
          </cell>
          <cell r="CS92">
            <v>0</v>
          </cell>
          <cell r="CT92">
            <v>66</v>
          </cell>
          <cell r="CU92">
            <v>8</v>
          </cell>
          <cell r="CV92">
            <v>0</v>
          </cell>
          <cell r="CZ92">
            <v>74</v>
          </cell>
        </row>
        <row r="93">
          <cell r="C93" t="str">
            <v>00952</v>
          </cell>
          <cell r="D93" t="str">
            <v>Ngô Phú Tình</v>
          </cell>
          <cell r="E93" t="str">
            <v>Production</v>
          </cell>
          <cell r="F93" t="str">
            <v>Lamination</v>
          </cell>
          <cell r="G93" t="str">
            <v>Worker</v>
          </cell>
          <cell r="H93">
            <v>42775</v>
          </cell>
          <cell r="I93">
            <v>8</v>
          </cell>
          <cell r="J93" t="str">
            <v>CN</v>
          </cell>
          <cell r="K93">
            <v>8</v>
          </cell>
          <cell r="L93" t="str">
            <v>Đ</v>
          </cell>
          <cell r="M93" t="str">
            <v>Đ</v>
          </cell>
          <cell r="N93" t="str">
            <v>Đ</v>
          </cell>
          <cell r="O93" t="str">
            <v>Đ</v>
          </cell>
          <cell r="P93" t="str">
            <v>Đ</v>
          </cell>
          <cell r="Q93" t="str">
            <v>CN</v>
          </cell>
          <cell r="R93">
            <v>8</v>
          </cell>
          <cell r="S93">
            <v>8</v>
          </cell>
          <cell r="T93">
            <v>8</v>
          </cell>
          <cell r="U93">
            <v>8</v>
          </cell>
          <cell r="V93">
            <v>8</v>
          </cell>
          <cell r="W93">
            <v>8</v>
          </cell>
          <cell r="X93" t="str">
            <v>CN</v>
          </cell>
          <cell r="Y93">
            <v>8</v>
          </cell>
          <cell r="Z93" t="str">
            <v>Đ</v>
          </cell>
          <cell r="AA93" t="str">
            <v>Đ</v>
          </cell>
          <cell r="AB93" t="str">
            <v>Đ</v>
          </cell>
          <cell r="AC93" t="str">
            <v>Đ</v>
          </cell>
          <cell r="AD93" t="str">
            <v>Đ</v>
          </cell>
          <cell r="AE93" t="str">
            <v>CN</v>
          </cell>
          <cell r="AF93">
            <v>8</v>
          </cell>
          <cell r="AG93" t="str">
            <v>Đ</v>
          </cell>
          <cell r="AH93" t="str">
            <v>Đ</v>
          </cell>
          <cell r="AI93" t="str">
            <v>Đ</v>
          </cell>
          <cell r="AJ93" t="str">
            <v>Đ</v>
          </cell>
          <cell r="AN93">
            <v>112</v>
          </cell>
          <cell r="AO93">
            <v>80</v>
          </cell>
          <cell r="AP93">
            <v>0</v>
          </cell>
          <cell r="AQ93">
            <v>0</v>
          </cell>
          <cell r="AR93">
            <v>0</v>
          </cell>
          <cell r="AS93">
            <v>0</v>
          </cell>
          <cell r="AT93">
            <v>0</v>
          </cell>
          <cell r="AU93">
            <v>0</v>
          </cell>
          <cell r="AV93">
            <v>0</v>
          </cell>
          <cell r="AW93">
            <v>0</v>
          </cell>
          <cell r="AX93">
            <v>0</v>
          </cell>
          <cell r="AY93">
            <v>0</v>
          </cell>
          <cell r="AZ93">
            <v>0</v>
          </cell>
          <cell r="BA93">
            <v>0</v>
          </cell>
          <cell r="BB93">
            <v>0</v>
          </cell>
          <cell r="BC93">
            <v>0</v>
          </cell>
          <cell r="BD93">
            <v>0</v>
          </cell>
          <cell r="BE93">
            <v>0</v>
          </cell>
          <cell r="BF93">
            <v>0</v>
          </cell>
          <cell r="BG93">
            <v>192</v>
          </cell>
          <cell r="BH93">
            <v>0</v>
          </cell>
          <cell r="BI93">
            <v>0</v>
          </cell>
          <cell r="BJ93">
            <v>7</v>
          </cell>
          <cell r="BL93">
            <v>0</v>
          </cell>
          <cell r="BM93">
            <v>0</v>
          </cell>
          <cell r="BN93">
            <v>0</v>
          </cell>
          <cell r="BO93">
            <v>4</v>
          </cell>
          <cell r="BP93">
            <v>0</v>
          </cell>
          <cell r="BQ93">
            <v>0</v>
          </cell>
          <cell r="BR93">
            <v>0</v>
          </cell>
          <cell r="BS93">
            <v>0</v>
          </cell>
          <cell r="BT93">
            <v>0</v>
          </cell>
          <cell r="BU93">
            <v>4</v>
          </cell>
          <cell r="BV93">
            <v>4</v>
          </cell>
          <cell r="BW93">
            <v>0</v>
          </cell>
          <cell r="BX93">
            <v>0</v>
          </cell>
          <cell r="BY93">
            <v>0</v>
          </cell>
          <cell r="BZ93">
            <v>0</v>
          </cell>
          <cell r="CA93">
            <v>0</v>
          </cell>
          <cell r="CB93">
            <v>4</v>
          </cell>
          <cell r="CC93">
            <v>4</v>
          </cell>
          <cell r="CD93">
            <v>0</v>
          </cell>
          <cell r="CE93">
            <v>0</v>
          </cell>
          <cell r="CF93">
            <v>4</v>
          </cell>
          <cell r="CG93">
            <v>0</v>
          </cell>
          <cell r="CH93">
            <v>0</v>
          </cell>
          <cell r="CI93">
            <v>4</v>
          </cell>
          <cell r="CJ93">
            <v>4</v>
          </cell>
          <cell r="CK93">
            <v>4</v>
          </cell>
          <cell r="CL93">
            <v>0</v>
          </cell>
          <cell r="CM93">
            <v>0</v>
          </cell>
          <cell r="CR93">
            <v>0</v>
          </cell>
          <cell r="CS93">
            <v>0</v>
          </cell>
          <cell r="CT93">
            <v>36</v>
          </cell>
          <cell r="CU93">
            <v>0</v>
          </cell>
          <cell r="CV93">
            <v>0</v>
          </cell>
          <cell r="CZ93">
            <v>36</v>
          </cell>
        </row>
        <row r="94">
          <cell r="C94" t="str">
            <v>00960</v>
          </cell>
          <cell r="D94" t="str">
            <v>Lê Thị Yến</v>
          </cell>
          <cell r="E94" t="str">
            <v>Production</v>
          </cell>
          <cell r="F94" t="str">
            <v>Packing</v>
          </cell>
          <cell r="G94" t="str">
            <v>Worker</v>
          </cell>
          <cell r="H94">
            <v>42782</v>
          </cell>
          <cell r="I94">
            <v>8</v>
          </cell>
          <cell r="J94">
            <v>8</v>
          </cell>
          <cell r="K94">
            <v>8</v>
          </cell>
          <cell r="L94" t="str">
            <v>CN</v>
          </cell>
          <cell r="M94" t="str">
            <v>Đ</v>
          </cell>
          <cell r="N94" t="str">
            <v>Đ</v>
          </cell>
          <cell r="O94" t="str">
            <v>Đ</v>
          </cell>
          <cell r="P94" t="str">
            <v>Đ</v>
          </cell>
          <cell r="Q94" t="str">
            <v>Đ</v>
          </cell>
          <cell r="R94" t="str">
            <v>Đ</v>
          </cell>
          <cell r="S94" t="str">
            <v>CN</v>
          </cell>
          <cell r="T94">
            <v>8</v>
          </cell>
          <cell r="U94">
            <v>8</v>
          </cell>
          <cell r="V94">
            <v>8</v>
          </cell>
          <cell r="W94">
            <v>8</v>
          </cell>
          <cell r="X94">
            <v>8</v>
          </cell>
          <cell r="Y94">
            <v>8</v>
          </cell>
          <cell r="Z94" t="str">
            <v>CN</v>
          </cell>
          <cell r="AA94" t="str">
            <v>Đ</v>
          </cell>
          <cell r="AB94" t="str">
            <v>Đ</v>
          </cell>
          <cell r="AC94" t="str">
            <v>Đ</v>
          </cell>
          <cell r="AD94" t="str">
            <v>Đ</v>
          </cell>
          <cell r="AE94" t="str">
            <v>Đ</v>
          </cell>
          <cell r="AF94" t="str">
            <v>Đ</v>
          </cell>
          <cell r="AG94" t="str">
            <v>CN</v>
          </cell>
          <cell r="AH94">
            <v>8</v>
          </cell>
          <cell r="AI94">
            <v>8</v>
          </cell>
          <cell r="AJ94">
            <v>8</v>
          </cell>
          <cell r="AN94">
            <v>96</v>
          </cell>
          <cell r="AO94">
            <v>96</v>
          </cell>
          <cell r="AP94">
            <v>0</v>
          </cell>
          <cell r="AQ94">
            <v>0</v>
          </cell>
          <cell r="AR94">
            <v>0</v>
          </cell>
          <cell r="AS94">
            <v>0</v>
          </cell>
          <cell r="AT94">
            <v>0</v>
          </cell>
          <cell r="AU94">
            <v>0</v>
          </cell>
          <cell r="AV94">
            <v>0</v>
          </cell>
          <cell r="AW94">
            <v>0</v>
          </cell>
          <cell r="AX94">
            <v>0</v>
          </cell>
          <cell r="AY94">
            <v>0</v>
          </cell>
          <cell r="AZ94">
            <v>0</v>
          </cell>
          <cell r="BA94">
            <v>0</v>
          </cell>
          <cell r="BB94">
            <v>0</v>
          </cell>
          <cell r="BC94">
            <v>0</v>
          </cell>
          <cell r="BD94">
            <v>0</v>
          </cell>
          <cell r="BE94">
            <v>0</v>
          </cell>
          <cell r="BF94">
            <v>0</v>
          </cell>
          <cell r="BG94">
            <v>192</v>
          </cell>
          <cell r="BH94">
            <v>0</v>
          </cell>
          <cell r="BI94">
            <v>0</v>
          </cell>
          <cell r="BJ94">
            <v>1.5</v>
          </cell>
          <cell r="BL94">
            <v>0</v>
          </cell>
          <cell r="BM94">
            <v>0</v>
          </cell>
          <cell r="BN94">
            <v>0</v>
          </cell>
          <cell r="BO94">
            <v>0</v>
          </cell>
          <cell r="BP94">
            <v>1.5</v>
          </cell>
          <cell r="BQ94">
            <v>3</v>
          </cell>
          <cell r="BR94">
            <v>0</v>
          </cell>
          <cell r="BS94">
            <v>3</v>
          </cell>
          <cell r="BT94">
            <v>3</v>
          </cell>
          <cell r="BU94">
            <v>0</v>
          </cell>
          <cell r="BV94">
            <v>0</v>
          </cell>
          <cell r="BW94">
            <v>3</v>
          </cell>
          <cell r="BX94">
            <v>3</v>
          </cell>
          <cell r="BY94">
            <v>3</v>
          </cell>
          <cell r="BZ94">
            <v>3</v>
          </cell>
          <cell r="CA94">
            <v>3</v>
          </cell>
          <cell r="CB94">
            <v>3</v>
          </cell>
          <cell r="CC94">
            <v>8</v>
          </cell>
          <cell r="CD94">
            <v>1.5</v>
          </cell>
          <cell r="CE94">
            <v>4</v>
          </cell>
          <cell r="CF94">
            <v>4</v>
          </cell>
          <cell r="CG94">
            <v>4</v>
          </cell>
          <cell r="CH94">
            <v>1.5</v>
          </cell>
          <cell r="CI94">
            <v>1.5</v>
          </cell>
          <cell r="CJ94">
            <v>0</v>
          </cell>
          <cell r="CK94">
            <v>1.5</v>
          </cell>
          <cell r="CL94">
            <v>3</v>
          </cell>
          <cell r="CM94">
            <v>1.5</v>
          </cell>
          <cell r="CR94">
            <v>0</v>
          </cell>
          <cell r="CS94">
            <v>0</v>
          </cell>
          <cell r="CT94">
            <v>51</v>
          </cell>
          <cell r="CU94">
            <v>8</v>
          </cell>
          <cell r="CV94">
            <v>0</v>
          </cell>
          <cell r="CZ94">
            <v>59</v>
          </cell>
        </row>
        <row r="95">
          <cell r="C95" t="str">
            <v>01003</v>
          </cell>
          <cell r="D95" t="str">
            <v>Phan Thị Hương Thảo</v>
          </cell>
          <cell r="E95" t="str">
            <v>CS</v>
          </cell>
          <cell r="F95" t="str">
            <v>CS</v>
          </cell>
          <cell r="G95" t="str">
            <v>Supervisor</v>
          </cell>
          <cell r="H95">
            <v>42800</v>
          </cell>
          <cell r="I95">
            <v>8</v>
          </cell>
          <cell r="J95">
            <v>8</v>
          </cell>
          <cell r="K95" t="str">
            <v>PO</v>
          </cell>
          <cell r="L95" t="str">
            <v>CN</v>
          </cell>
          <cell r="M95" t="str">
            <v>BS</v>
          </cell>
          <cell r="N95">
            <v>8</v>
          </cell>
          <cell r="O95">
            <v>8</v>
          </cell>
          <cell r="P95">
            <v>8</v>
          </cell>
          <cell r="Q95" t="str">
            <v>PO</v>
          </cell>
          <cell r="R95" t="str">
            <v>PO</v>
          </cell>
          <cell r="S95" t="str">
            <v>CN</v>
          </cell>
          <cell r="T95">
            <v>8</v>
          </cell>
          <cell r="U95">
            <v>8</v>
          </cell>
          <cell r="V95">
            <v>8</v>
          </cell>
          <cell r="W95">
            <v>8</v>
          </cell>
          <cell r="X95">
            <v>8</v>
          </cell>
          <cell r="Y95" t="str">
            <v>PO</v>
          </cell>
          <cell r="Z95" t="str">
            <v>CN</v>
          </cell>
          <cell r="AA95">
            <v>8</v>
          </cell>
          <cell r="AB95" t="str">
            <v>WH4</v>
          </cell>
          <cell r="AC95">
            <v>8</v>
          </cell>
          <cell r="AD95" t="str">
            <v>BS</v>
          </cell>
          <cell r="AE95">
            <v>8</v>
          </cell>
          <cell r="AF95" t="str">
            <v>PO</v>
          </cell>
          <cell r="AG95" t="str">
            <v>CN</v>
          </cell>
          <cell r="AH95" t="str">
            <v>BS</v>
          </cell>
          <cell r="AI95">
            <v>8</v>
          </cell>
          <cell r="AJ95" t="str">
            <v>BS</v>
          </cell>
          <cell r="AN95">
            <v>0</v>
          </cell>
          <cell r="AO95">
            <v>116</v>
          </cell>
          <cell r="AP95">
            <v>0</v>
          </cell>
          <cell r="AQ95">
            <v>0</v>
          </cell>
          <cell r="AR95">
            <v>0</v>
          </cell>
          <cell r="AS95">
            <v>0</v>
          </cell>
          <cell r="AT95">
            <v>0</v>
          </cell>
          <cell r="AU95">
            <v>32</v>
          </cell>
          <cell r="AV95">
            <v>40</v>
          </cell>
          <cell r="AW95">
            <v>0</v>
          </cell>
          <cell r="AX95">
            <v>0</v>
          </cell>
          <cell r="AY95">
            <v>0</v>
          </cell>
          <cell r="AZ95">
            <v>0</v>
          </cell>
          <cell r="BA95">
            <v>0</v>
          </cell>
          <cell r="BB95">
            <v>0</v>
          </cell>
          <cell r="BC95">
            <v>0</v>
          </cell>
          <cell r="BD95">
            <v>4</v>
          </cell>
          <cell r="BE95">
            <v>0</v>
          </cell>
          <cell r="BF95">
            <v>0</v>
          </cell>
          <cell r="BG95">
            <v>192</v>
          </cell>
          <cell r="BH95">
            <v>0</v>
          </cell>
          <cell r="BI95">
            <v>0</v>
          </cell>
          <cell r="BJ95">
            <v>10</v>
          </cell>
          <cell r="BL95">
            <v>0</v>
          </cell>
          <cell r="BM95">
            <v>0.75</v>
          </cell>
          <cell r="BN95">
            <v>0</v>
          </cell>
          <cell r="BO95">
            <v>0</v>
          </cell>
          <cell r="BP95">
            <v>0</v>
          </cell>
          <cell r="BQ95">
            <v>1.5</v>
          </cell>
          <cell r="BR95">
            <v>0.5</v>
          </cell>
          <cell r="BS95">
            <v>0</v>
          </cell>
          <cell r="BT95">
            <v>0</v>
          </cell>
          <cell r="BU95">
            <v>0</v>
          </cell>
          <cell r="BV95">
            <v>0</v>
          </cell>
          <cell r="BW95">
            <v>1</v>
          </cell>
          <cell r="BX95">
            <v>0</v>
          </cell>
          <cell r="BY95">
            <v>1</v>
          </cell>
          <cell r="BZ95">
            <v>0</v>
          </cell>
          <cell r="CA95">
            <v>1.5</v>
          </cell>
          <cell r="CB95">
            <v>0</v>
          </cell>
          <cell r="CC95">
            <v>0</v>
          </cell>
          <cell r="CD95">
            <v>0</v>
          </cell>
          <cell r="CE95">
            <v>0</v>
          </cell>
          <cell r="CF95">
            <v>1.75</v>
          </cell>
          <cell r="CG95">
            <v>0</v>
          </cell>
          <cell r="CH95">
            <v>0</v>
          </cell>
          <cell r="CI95">
            <v>0</v>
          </cell>
          <cell r="CJ95">
            <v>0</v>
          </cell>
          <cell r="CK95">
            <v>1</v>
          </cell>
          <cell r="CL95">
            <v>0</v>
          </cell>
          <cell r="CM95">
            <v>0</v>
          </cell>
          <cell r="CR95">
            <v>0</v>
          </cell>
          <cell r="CS95">
            <v>0</v>
          </cell>
          <cell r="CT95">
            <v>9</v>
          </cell>
          <cell r="CU95">
            <v>0</v>
          </cell>
          <cell r="CV95">
            <v>0</v>
          </cell>
          <cell r="CZ95">
            <v>9</v>
          </cell>
        </row>
        <row r="96">
          <cell r="C96" t="str">
            <v>01019</v>
          </cell>
          <cell r="D96" t="str">
            <v>Nguyễn Văn Quang</v>
          </cell>
          <cell r="E96" t="str">
            <v xml:space="preserve">EHS &amp; Facilities </v>
          </cell>
          <cell r="F96" t="str">
            <v>Maintenance</v>
          </cell>
          <cell r="G96" t="str">
            <v>Senior Technician</v>
          </cell>
          <cell r="H96">
            <v>42808</v>
          </cell>
          <cell r="I96" t="str">
            <v>CN</v>
          </cell>
          <cell r="J96" t="str">
            <v>Đ</v>
          </cell>
          <cell r="K96" t="str">
            <v>Đ</v>
          </cell>
          <cell r="L96" t="str">
            <v>Đ</v>
          </cell>
          <cell r="M96" t="str">
            <v>Đ</v>
          </cell>
          <cell r="N96" t="str">
            <v>Đ</v>
          </cell>
          <cell r="O96" t="str">
            <v>Đ</v>
          </cell>
          <cell r="P96" t="str">
            <v>CN</v>
          </cell>
          <cell r="Q96">
            <v>8</v>
          </cell>
          <cell r="R96">
            <v>8</v>
          </cell>
          <cell r="S96" t="str">
            <v>Đ</v>
          </cell>
          <cell r="T96" t="str">
            <v>Đ</v>
          </cell>
          <cell r="U96" t="str">
            <v>Đ</v>
          </cell>
          <cell r="V96" t="str">
            <v>Đ</v>
          </cell>
          <cell r="W96" t="str">
            <v>CN</v>
          </cell>
          <cell r="X96">
            <v>8</v>
          </cell>
          <cell r="Y96">
            <v>8</v>
          </cell>
          <cell r="Z96">
            <v>8</v>
          </cell>
          <cell r="AA96">
            <v>8</v>
          </cell>
          <cell r="AB96">
            <v>8</v>
          </cell>
          <cell r="AC96">
            <v>8</v>
          </cell>
          <cell r="AD96" t="str">
            <v>CN</v>
          </cell>
          <cell r="AE96" t="str">
            <v>Đ</v>
          </cell>
          <cell r="AF96" t="str">
            <v>Đ</v>
          </cell>
          <cell r="AG96" t="str">
            <v>Đ</v>
          </cell>
          <cell r="AH96" t="str">
            <v>Đ</v>
          </cell>
          <cell r="AI96" t="str">
            <v>Đ</v>
          </cell>
          <cell r="AJ96" t="str">
            <v>Đ</v>
          </cell>
          <cell r="AN96">
            <v>128</v>
          </cell>
          <cell r="AO96">
            <v>64</v>
          </cell>
          <cell r="AP96">
            <v>0</v>
          </cell>
          <cell r="AQ96">
            <v>0</v>
          </cell>
          <cell r="AR96">
            <v>0</v>
          </cell>
          <cell r="AS96">
            <v>0</v>
          </cell>
          <cell r="AT96">
            <v>0</v>
          </cell>
          <cell r="AU96">
            <v>0</v>
          </cell>
          <cell r="AV96">
            <v>0</v>
          </cell>
          <cell r="AW96">
            <v>0</v>
          </cell>
          <cell r="AX96">
            <v>0</v>
          </cell>
          <cell r="AY96">
            <v>0</v>
          </cell>
          <cell r="AZ96">
            <v>0</v>
          </cell>
          <cell r="BA96">
            <v>0</v>
          </cell>
          <cell r="BB96">
            <v>0</v>
          </cell>
          <cell r="BC96">
            <v>0</v>
          </cell>
          <cell r="BD96">
            <v>0</v>
          </cell>
          <cell r="BE96">
            <v>0</v>
          </cell>
          <cell r="BF96">
            <v>0</v>
          </cell>
          <cell r="BG96">
            <v>192</v>
          </cell>
          <cell r="BH96">
            <v>0</v>
          </cell>
          <cell r="BI96">
            <v>0</v>
          </cell>
          <cell r="BJ96">
            <v>2.5</v>
          </cell>
          <cell r="BL96">
            <v>0</v>
          </cell>
          <cell r="BM96">
            <v>0</v>
          </cell>
          <cell r="BN96">
            <v>0</v>
          </cell>
          <cell r="BO96">
            <v>0</v>
          </cell>
          <cell r="BP96">
            <v>0</v>
          </cell>
          <cell r="BQ96">
            <v>0</v>
          </cell>
          <cell r="BR96">
            <v>4</v>
          </cell>
          <cell r="BS96">
            <v>0</v>
          </cell>
          <cell r="BT96">
            <v>4</v>
          </cell>
          <cell r="BU96">
            <v>0</v>
          </cell>
          <cell r="BV96">
            <v>4</v>
          </cell>
          <cell r="BW96">
            <v>2</v>
          </cell>
          <cell r="BX96">
            <v>0</v>
          </cell>
          <cell r="BY96">
            <v>2</v>
          </cell>
          <cell r="BZ96">
            <v>0</v>
          </cell>
          <cell r="CA96">
            <v>4</v>
          </cell>
          <cell r="CB96">
            <v>4</v>
          </cell>
          <cell r="CC96">
            <v>4</v>
          </cell>
          <cell r="CD96">
            <v>0</v>
          </cell>
          <cell r="CE96">
            <v>0</v>
          </cell>
          <cell r="CF96">
            <v>0</v>
          </cell>
          <cell r="CG96">
            <v>0</v>
          </cell>
          <cell r="CH96">
            <v>0</v>
          </cell>
          <cell r="CI96">
            <v>4</v>
          </cell>
          <cell r="CJ96">
            <v>4</v>
          </cell>
          <cell r="CK96">
            <v>0</v>
          </cell>
          <cell r="CL96">
            <v>0</v>
          </cell>
          <cell r="CM96">
            <v>0</v>
          </cell>
          <cell r="CR96">
            <v>0</v>
          </cell>
          <cell r="CS96">
            <v>0</v>
          </cell>
          <cell r="CT96">
            <v>36</v>
          </cell>
          <cell r="CU96">
            <v>0</v>
          </cell>
          <cell r="CV96">
            <v>0</v>
          </cell>
          <cell r="CZ96">
            <v>36</v>
          </cell>
        </row>
        <row r="97">
          <cell r="C97" t="str">
            <v>01022</v>
          </cell>
          <cell r="D97" t="str">
            <v>Lâm Ngọc Dung</v>
          </cell>
          <cell r="E97" t="str">
            <v>PPC</v>
          </cell>
          <cell r="F97" t="str">
            <v>PPC</v>
          </cell>
          <cell r="G97" t="str">
            <v xml:space="preserve"> Staff</v>
          </cell>
          <cell r="H97">
            <v>42814</v>
          </cell>
          <cell r="I97">
            <v>8</v>
          </cell>
          <cell r="J97">
            <v>8</v>
          </cell>
          <cell r="K97" t="str">
            <v>PO</v>
          </cell>
          <cell r="L97" t="str">
            <v>CN</v>
          </cell>
          <cell r="M97">
            <v>8</v>
          </cell>
          <cell r="N97">
            <v>8</v>
          </cell>
          <cell r="O97">
            <v>8</v>
          </cell>
          <cell r="P97">
            <v>8</v>
          </cell>
          <cell r="Q97" t="str">
            <v>WH</v>
          </cell>
          <cell r="R97" t="str">
            <v>PO</v>
          </cell>
          <cell r="S97" t="str">
            <v>CN</v>
          </cell>
          <cell r="T97">
            <v>8</v>
          </cell>
          <cell r="U97">
            <v>8</v>
          </cell>
          <cell r="V97">
            <v>8</v>
          </cell>
          <cell r="W97">
            <v>8</v>
          </cell>
          <cell r="X97">
            <v>8</v>
          </cell>
          <cell r="Y97" t="str">
            <v>PO</v>
          </cell>
          <cell r="Z97" t="str">
            <v>CN</v>
          </cell>
          <cell r="AA97">
            <v>8</v>
          </cell>
          <cell r="AB97">
            <v>8</v>
          </cell>
          <cell r="AC97">
            <v>8</v>
          </cell>
          <cell r="AD97">
            <v>8</v>
          </cell>
          <cell r="AE97">
            <v>8</v>
          </cell>
          <cell r="AF97" t="str">
            <v>PO</v>
          </cell>
          <cell r="AG97" t="str">
            <v>CN</v>
          </cell>
          <cell r="AH97">
            <v>8</v>
          </cell>
          <cell r="AI97">
            <v>8</v>
          </cell>
          <cell r="AJ97">
            <v>8</v>
          </cell>
          <cell r="AN97">
            <v>0</v>
          </cell>
          <cell r="AO97">
            <v>152</v>
          </cell>
          <cell r="AP97">
            <v>0</v>
          </cell>
          <cell r="AQ97">
            <v>0</v>
          </cell>
          <cell r="AR97">
            <v>0</v>
          </cell>
          <cell r="AS97">
            <v>0</v>
          </cell>
          <cell r="AT97">
            <v>0</v>
          </cell>
          <cell r="AU97">
            <v>0</v>
          </cell>
          <cell r="AV97">
            <v>32</v>
          </cell>
          <cell r="AW97">
            <v>0</v>
          </cell>
          <cell r="AX97">
            <v>0</v>
          </cell>
          <cell r="AY97">
            <v>0</v>
          </cell>
          <cell r="AZ97">
            <v>0</v>
          </cell>
          <cell r="BA97">
            <v>0</v>
          </cell>
          <cell r="BB97">
            <v>0</v>
          </cell>
          <cell r="BC97">
            <v>0</v>
          </cell>
          <cell r="BD97">
            <v>8</v>
          </cell>
          <cell r="BE97">
            <v>0</v>
          </cell>
          <cell r="BF97">
            <v>0</v>
          </cell>
          <cell r="BG97">
            <v>192</v>
          </cell>
          <cell r="BH97">
            <v>0</v>
          </cell>
          <cell r="BI97">
            <v>0</v>
          </cell>
          <cell r="BJ97">
            <v>5.5</v>
          </cell>
          <cell r="BL97">
            <v>0</v>
          </cell>
          <cell r="BM97">
            <v>0</v>
          </cell>
          <cell r="BN97">
            <v>0</v>
          </cell>
          <cell r="BO97">
            <v>0</v>
          </cell>
          <cell r="BP97">
            <v>0</v>
          </cell>
          <cell r="BQ97">
            <v>0</v>
          </cell>
          <cell r="BR97">
            <v>0</v>
          </cell>
          <cell r="BS97">
            <v>0</v>
          </cell>
          <cell r="BT97">
            <v>0</v>
          </cell>
          <cell r="BU97">
            <v>0</v>
          </cell>
          <cell r="BV97">
            <v>0</v>
          </cell>
          <cell r="BW97">
            <v>0</v>
          </cell>
          <cell r="BX97">
            <v>0</v>
          </cell>
          <cell r="BY97">
            <v>0</v>
          </cell>
          <cell r="BZ97">
            <v>0</v>
          </cell>
          <cell r="CA97">
            <v>0</v>
          </cell>
          <cell r="CB97">
            <v>0</v>
          </cell>
          <cell r="CC97">
            <v>0</v>
          </cell>
          <cell r="CD97">
            <v>0</v>
          </cell>
          <cell r="CE97">
            <v>0</v>
          </cell>
          <cell r="CF97">
            <v>0</v>
          </cell>
          <cell r="CG97">
            <v>0</v>
          </cell>
          <cell r="CH97">
            <v>0</v>
          </cell>
          <cell r="CI97">
            <v>0</v>
          </cell>
          <cell r="CJ97">
            <v>0</v>
          </cell>
          <cell r="CK97">
            <v>0</v>
          </cell>
          <cell r="CL97">
            <v>0</v>
          </cell>
          <cell r="CM97">
            <v>0</v>
          </cell>
          <cell r="CR97">
            <v>0</v>
          </cell>
          <cell r="CS97">
            <v>0</v>
          </cell>
          <cell r="CT97">
            <v>0</v>
          </cell>
          <cell r="CU97">
            <v>0</v>
          </cell>
          <cell r="CV97">
            <v>0</v>
          </cell>
          <cell r="CZ97">
            <v>0</v>
          </cell>
        </row>
        <row r="98">
          <cell r="C98" t="str">
            <v>01034</v>
          </cell>
          <cell r="D98" t="str">
            <v>Nguyễn Thị Kim Anh</v>
          </cell>
          <cell r="E98" t="str">
            <v>Production</v>
          </cell>
          <cell r="F98" t="str">
            <v>Molding</v>
          </cell>
          <cell r="G98" t="str">
            <v>Vice Leader</v>
          </cell>
          <cell r="H98">
            <v>42836</v>
          </cell>
          <cell r="I98">
            <v>8</v>
          </cell>
          <cell r="J98" t="str">
            <v>CN</v>
          </cell>
          <cell r="K98" t="str">
            <v>Đ</v>
          </cell>
          <cell r="L98" t="str">
            <v>Đ</v>
          </cell>
          <cell r="M98" t="str">
            <v>Đ</v>
          </cell>
          <cell r="N98" t="str">
            <v>Đ</v>
          </cell>
          <cell r="O98" t="str">
            <v>Đ</v>
          </cell>
          <cell r="P98" t="str">
            <v>Đ</v>
          </cell>
          <cell r="Q98" t="str">
            <v>CN</v>
          </cell>
          <cell r="R98">
            <v>8</v>
          </cell>
          <cell r="S98">
            <v>8</v>
          </cell>
          <cell r="T98">
            <v>8</v>
          </cell>
          <cell r="U98">
            <v>8</v>
          </cell>
          <cell r="V98">
            <v>8</v>
          </cell>
          <cell r="W98">
            <v>8</v>
          </cell>
          <cell r="X98" t="str">
            <v>CN</v>
          </cell>
          <cell r="Y98" t="str">
            <v>Đ</v>
          </cell>
          <cell r="Z98" t="str">
            <v>Đ</v>
          </cell>
          <cell r="AA98" t="str">
            <v>Đ</v>
          </cell>
          <cell r="AB98" t="str">
            <v>Đ</v>
          </cell>
          <cell r="AC98" t="str">
            <v>AL8</v>
          </cell>
          <cell r="AD98" t="str">
            <v>UP8</v>
          </cell>
          <cell r="AE98" t="str">
            <v>CN</v>
          </cell>
          <cell r="AF98" t="str">
            <v>CĐ</v>
          </cell>
          <cell r="AG98" t="str">
            <v>CĐ</v>
          </cell>
          <cell r="AH98" t="str">
            <v>CĐ</v>
          </cell>
          <cell r="AI98">
            <v>8</v>
          </cell>
          <cell r="AJ98">
            <v>8</v>
          </cell>
          <cell r="AN98">
            <v>80</v>
          </cell>
          <cell r="AO98">
            <v>72</v>
          </cell>
          <cell r="AP98">
            <v>0</v>
          </cell>
          <cell r="AQ98">
            <v>0</v>
          </cell>
          <cell r="AR98">
            <v>0</v>
          </cell>
          <cell r="AS98">
            <v>8</v>
          </cell>
          <cell r="AT98">
            <v>0</v>
          </cell>
          <cell r="AU98">
            <v>0</v>
          </cell>
          <cell r="AV98">
            <v>0</v>
          </cell>
          <cell r="AW98">
            <v>0</v>
          </cell>
          <cell r="AX98">
            <v>0</v>
          </cell>
          <cell r="AY98">
            <v>0</v>
          </cell>
          <cell r="AZ98">
            <v>24</v>
          </cell>
          <cell r="BA98">
            <v>8</v>
          </cell>
          <cell r="BB98">
            <v>0</v>
          </cell>
          <cell r="BC98">
            <v>0</v>
          </cell>
          <cell r="BD98">
            <v>0</v>
          </cell>
          <cell r="BE98">
            <v>0</v>
          </cell>
          <cell r="BF98">
            <v>0</v>
          </cell>
          <cell r="BG98">
            <v>184</v>
          </cell>
          <cell r="BH98">
            <v>1</v>
          </cell>
          <cell r="BI98">
            <v>1</v>
          </cell>
          <cell r="BJ98">
            <v>0.5</v>
          </cell>
          <cell r="BL98">
            <v>0</v>
          </cell>
          <cell r="BM98">
            <v>0</v>
          </cell>
          <cell r="BN98">
            <v>4</v>
          </cell>
          <cell r="BO98">
            <v>4</v>
          </cell>
          <cell r="BP98">
            <v>0</v>
          </cell>
          <cell r="BQ98">
            <v>0</v>
          </cell>
          <cell r="BR98">
            <v>0</v>
          </cell>
          <cell r="BS98">
            <v>0</v>
          </cell>
          <cell r="BT98">
            <v>0</v>
          </cell>
          <cell r="BU98">
            <v>4</v>
          </cell>
          <cell r="BV98">
            <v>4</v>
          </cell>
          <cell r="BW98">
            <v>0</v>
          </cell>
          <cell r="BX98">
            <v>0</v>
          </cell>
          <cell r="BY98">
            <v>0</v>
          </cell>
          <cell r="BZ98">
            <v>0</v>
          </cell>
          <cell r="CA98">
            <v>0</v>
          </cell>
          <cell r="CB98">
            <v>4</v>
          </cell>
          <cell r="CC98">
            <v>4</v>
          </cell>
          <cell r="CD98">
            <v>0</v>
          </cell>
          <cell r="CE98">
            <v>0</v>
          </cell>
          <cell r="CF98">
            <v>0</v>
          </cell>
          <cell r="CG98">
            <v>0</v>
          </cell>
          <cell r="CH98">
            <v>0</v>
          </cell>
          <cell r="CI98">
            <v>0</v>
          </cell>
          <cell r="CJ98">
            <v>0</v>
          </cell>
          <cell r="CK98">
            <v>0</v>
          </cell>
          <cell r="CL98">
            <v>0</v>
          </cell>
          <cell r="CM98">
            <v>0</v>
          </cell>
          <cell r="CR98">
            <v>0</v>
          </cell>
          <cell r="CS98">
            <v>0</v>
          </cell>
          <cell r="CT98">
            <v>24</v>
          </cell>
          <cell r="CU98">
            <v>0</v>
          </cell>
          <cell r="CV98">
            <v>0</v>
          </cell>
          <cell r="CZ98">
            <v>24</v>
          </cell>
        </row>
        <row r="99">
          <cell r="C99" t="str">
            <v>01046</v>
          </cell>
          <cell r="D99" t="str">
            <v>Lâm Linh Phương</v>
          </cell>
          <cell r="E99" t="str">
            <v>Account - Financial</v>
          </cell>
          <cell r="F99" t="str">
            <v>OVN Accounting (OVN)</v>
          </cell>
          <cell r="G99" t="str">
            <v>Specialist</v>
          </cell>
          <cell r="H99">
            <v>42859</v>
          </cell>
          <cell r="I99">
            <v>8</v>
          </cell>
          <cell r="J99">
            <v>8</v>
          </cell>
          <cell r="K99" t="str">
            <v>PO</v>
          </cell>
          <cell r="L99" t="str">
            <v>CN</v>
          </cell>
          <cell r="M99">
            <v>8</v>
          </cell>
          <cell r="N99">
            <v>8</v>
          </cell>
          <cell r="O99">
            <v>8</v>
          </cell>
          <cell r="P99">
            <v>8</v>
          </cell>
          <cell r="Q99" t="str">
            <v>PO</v>
          </cell>
          <cell r="R99" t="str">
            <v>PO</v>
          </cell>
          <cell r="S99" t="str">
            <v>CN</v>
          </cell>
          <cell r="T99">
            <v>8</v>
          </cell>
          <cell r="U99">
            <v>8</v>
          </cell>
          <cell r="V99">
            <v>8</v>
          </cell>
          <cell r="W99">
            <v>8</v>
          </cell>
          <cell r="X99">
            <v>8</v>
          </cell>
          <cell r="Y99" t="str">
            <v>PO</v>
          </cell>
          <cell r="Z99" t="str">
            <v>CN</v>
          </cell>
          <cell r="AA99">
            <v>8</v>
          </cell>
          <cell r="AB99">
            <v>8</v>
          </cell>
          <cell r="AC99">
            <v>8</v>
          </cell>
          <cell r="AD99">
            <v>8</v>
          </cell>
          <cell r="AE99">
            <v>8</v>
          </cell>
          <cell r="AF99" t="str">
            <v>PO</v>
          </cell>
          <cell r="AG99" t="str">
            <v>CN</v>
          </cell>
          <cell r="AH99">
            <v>8</v>
          </cell>
          <cell r="AI99">
            <v>8</v>
          </cell>
          <cell r="AJ99">
            <v>8</v>
          </cell>
          <cell r="AN99">
            <v>0</v>
          </cell>
          <cell r="AO99">
            <v>152</v>
          </cell>
          <cell r="AP99">
            <v>0</v>
          </cell>
          <cell r="AQ99">
            <v>0</v>
          </cell>
          <cell r="AR99">
            <v>0</v>
          </cell>
          <cell r="AS99">
            <v>0</v>
          </cell>
          <cell r="AT99">
            <v>0</v>
          </cell>
          <cell r="AU99">
            <v>0</v>
          </cell>
          <cell r="AV99">
            <v>40</v>
          </cell>
          <cell r="AW99">
            <v>0</v>
          </cell>
          <cell r="AX99">
            <v>0</v>
          </cell>
          <cell r="AY99">
            <v>0</v>
          </cell>
          <cell r="AZ99">
            <v>0</v>
          </cell>
          <cell r="BA99">
            <v>0</v>
          </cell>
          <cell r="BB99">
            <v>0</v>
          </cell>
          <cell r="BC99">
            <v>0</v>
          </cell>
          <cell r="BD99">
            <v>0</v>
          </cell>
          <cell r="BE99">
            <v>0</v>
          </cell>
          <cell r="BF99">
            <v>0</v>
          </cell>
          <cell r="BG99">
            <v>192</v>
          </cell>
          <cell r="BH99">
            <v>0</v>
          </cell>
          <cell r="BI99">
            <v>0</v>
          </cell>
          <cell r="BJ99">
            <v>8.5</v>
          </cell>
          <cell r="BL99">
            <v>0</v>
          </cell>
          <cell r="BM99">
            <v>4</v>
          </cell>
          <cell r="BN99">
            <v>0</v>
          </cell>
          <cell r="BO99">
            <v>0</v>
          </cell>
          <cell r="BP99">
            <v>0</v>
          </cell>
          <cell r="BQ99">
            <v>4</v>
          </cell>
          <cell r="BR99">
            <v>0</v>
          </cell>
          <cell r="BS99">
            <v>0</v>
          </cell>
          <cell r="BT99">
            <v>0</v>
          </cell>
          <cell r="BU99">
            <v>0</v>
          </cell>
          <cell r="BV99">
            <v>0</v>
          </cell>
          <cell r="BW99">
            <v>0</v>
          </cell>
          <cell r="BX99">
            <v>4</v>
          </cell>
          <cell r="BY99">
            <v>0</v>
          </cell>
          <cell r="BZ99">
            <v>0</v>
          </cell>
          <cell r="CA99">
            <v>4</v>
          </cell>
          <cell r="CB99">
            <v>0</v>
          </cell>
          <cell r="CC99">
            <v>0</v>
          </cell>
          <cell r="CD99">
            <v>0</v>
          </cell>
          <cell r="CE99">
            <v>4</v>
          </cell>
          <cell r="CF99">
            <v>0</v>
          </cell>
          <cell r="CG99">
            <v>0</v>
          </cell>
          <cell r="CH99">
            <v>0</v>
          </cell>
          <cell r="CI99">
            <v>0</v>
          </cell>
          <cell r="CJ99">
            <v>0</v>
          </cell>
          <cell r="CK99">
            <v>0</v>
          </cell>
          <cell r="CL99">
            <v>4</v>
          </cell>
          <cell r="CM99">
            <v>0</v>
          </cell>
          <cell r="CR99">
            <v>0</v>
          </cell>
          <cell r="CS99">
            <v>0</v>
          </cell>
          <cell r="CT99">
            <v>24</v>
          </cell>
          <cell r="CU99">
            <v>0</v>
          </cell>
          <cell r="CV99">
            <v>0</v>
          </cell>
          <cell r="CZ99">
            <v>24</v>
          </cell>
        </row>
        <row r="100">
          <cell r="C100" t="str">
            <v>01077</v>
          </cell>
          <cell r="D100" t="str">
            <v>Phạm Quốc Khánh</v>
          </cell>
          <cell r="E100" t="str">
            <v>HR &amp; Admin</v>
          </cell>
          <cell r="F100" t="str">
            <v>Admin</v>
          </cell>
          <cell r="G100" t="str">
            <v>Driver</v>
          </cell>
          <cell r="H100">
            <v>43031</v>
          </cell>
          <cell r="I100">
            <v>8</v>
          </cell>
          <cell r="J100">
            <v>8</v>
          </cell>
          <cell r="K100" t="str">
            <v>PO</v>
          </cell>
          <cell r="L100" t="str">
            <v>CN</v>
          </cell>
          <cell r="M100">
            <v>8</v>
          </cell>
          <cell r="N100">
            <v>8</v>
          </cell>
          <cell r="O100">
            <v>8</v>
          </cell>
          <cell r="P100">
            <v>8</v>
          </cell>
          <cell r="Q100" t="str">
            <v>PO</v>
          </cell>
          <cell r="R100" t="str">
            <v>PO</v>
          </cell>
          <cell r="S100" t="str">
            <v>CN</v>
          </cell>
          <cell r="T100">
            <v>8</v>
          </cell>
          <cell r="U100">
            <v>8</v>
          </cell>
          <cell r="V100">
            <v>8</v>
          </cell>
          <cell r="W100">
            <v>8</v>
          </cell>
          <cell r="X100" t="str">
            <v>AL8</v>
          </cell>
          <cell r="Y100" t="str">
            <v>PO</v>
          </cell>
          <cell r="Z100" t="str">
            <v>CN</v>
          </cell>
          <cell r="AA100">
            <v>8</v>
          </cell>
          <cell r="AB100">
            <v>8</v>
          </cell>
          <cell r="AC100">
            <v>8</v>
          </cell>
          <cell r="AD100">
            <v>8</v>
          </cell>
          <cell r="AE100" t="str">
            <v>AL8</v>
          </cell>
          <cell r="AF100" t="str">
            <v>PO</v>
          </cell>
          <cell r="AG100" t="str">
            <v>CN</v>
          </cell>
          <cell r="AH100">
            <v>8</v>
          </cell>
          <cell r="AI100">
            <v>8</v>
          </cell>
          <cell r="AJ100">
            <v>8</v>
          </cell>
          <cell r="AN100">
            <v>0</v>
          </cell>
          <cell r="AO100">
            <v>136</v>
          </cell>
          <cell r="AP100">
            <v>0</v>
          </cell>
          <cell r="AQ100">
            <v>0</v>
          </cell>
          <cell r="AR100">
            <v>0</v>
          </cell>
          <cell r="AS100">
            <v>0</v>
          </cell>
          <cell r="AT100">
            <v>0</v>
          </cell>
          <cell r="AU100">
            <v>0</v>
          </cell>
          <cell r="AV100">
            <v>40</v>
          </cell>
          <cell r="AW100">
            <v>0</v>
          </cell>
          <cell r="AX100">
            <v>0</v>
          </cell>
          <cell r="AY100">
            <v>0</v>
          </cell>
          <cell r="AZ100">
            <v>0</v>
          </cell>
          <cell r="BA100">
            <v>16</v>
          </cell>
          <cell r="BB100">
            <v>0</v>
          </cell>
          <cell r="BC100">
            <v>0</v>
          </cell>
          <cell r="BD100">
            <v>0</v>
          </cell>
          <cell r="BE100">
            <v>0</v>
          </cell>
          <cell r="BF100">
            <v>0</v>
          </cell>
          <cell r="BG100">
            <v>192</v>
          </cell>
          <cell r="BH100">
            <v>2</v>
          </cell>
          <cell r="BI100">
            <v>2</v>
          </cell>
          <cell r="BJ100">
            <v>-1.5</v>
          </cell>
          <cell r="BL100">
            <v>2</v>
          </cell>
          <cell r="BM100">
            <v>3</v>
          </cell>
          <cell r="BN100">
            <v>0</v>
          </cell>
          <cell r="BO100">
            <v>0</v>
          </cell>
          <cell r="BP100">
            <v>3</v>
          </cell>
          <cell r="BQ100">
            <v>3</v>
          </cell>
          <cell r="BR100">
            <v>3</v>
          </cell>
          <cell r="BS100">
            <v>3.5</v>
          </cell>
          <cell r="BT100">
            <v>4</v>
          </cell>
          <cell r="BU100">
            <v>0</v>
          </cell>
          <cell r="BV100">
            <v>0</v>
          </cell>
          <cell r="BW100">
            <v>3.5</v>
          </cell>
          <cell r="BX100">
            <v>3.5</v>
          </cell>
          <cell r="BY100">
            <v>3.5</v>
          </cell>
          <cell r="BZ100">
            <v>3</v>
          </cell>
          <cell r="CA100">
            <v>0</v>
          </cell>
          <cell r="CB100">
            <v>0</v>
          </cell>
          <cell r="CC100">
            <v>0</v>
          </cell>
          <cell r="CD100">
            <v>1.5</v>
          </cell>
          <cell r="CE100">
            <v>3</v>
          </cell>
          <cell r="CF100">
            <v>4.5</v>
          </cell>
          <cell r="CG100">
            <v>3.5</v>
          </cell>
          <cell r="CH100">
            <v>0</v>
          </cell>
          <cell r="CI100">
            <v>0</v>
          </cell>
          <cell r="CJ100">
            <v>0</v>
          </cell>
          <cell r="CK100">
            <v>3</v>
          </cell>
          <cell r="CL100">
            <v>3.5</v>
          </cell>
          <cell r="CM100">
            <v>3</v>
          </cell>
          <cell r="CQ100">
            <v>1.5</v>
          </cell>
          <cell r="CR100">
            <v>0</v>
          </cell>
          <cell r="CS100">
            <v>0</v>
          </cell>
          <cell r="CT100">
            <v>57</v>
          </cell>
          <cell r="CU100">
            <v>0</v>
          </cell>
          <cell r="CV100">
            <v>0</v>
          </cell>
          <cell r="CZ100">
            <v>58.5</v>
          </cell>
        </row>
        <row r="101">
          <cell r="C101" t="str">
            <v>01079</v>
          </cell>
          <cell r="D101" t="str">
            <v>Phan Hoàng Linh</v>
          </cell>
          <cell r="E101" t="str">
            <v>Foaming</v>
          </cell>
          <cell r="F101" t="str">
            <v>FOAMING Splitting</v>
          </cell>
          <cell r="G101" t="str">
            <v>Operator</v>
          </cell>
          <cell r="H101">
            <v>43040</v>
          </cell>
          <cell r="I101">
            <v>8</v>
          </cell>
          <cell r="J101">
            <v>8</v>
          </cell>
          <cell r="K101">
            <v>8</v>
          </cell>
          <cell r="L101" t="str">
            <v>CN</v>
          </cell>
          <cell r="M101">
            <v>8</v>
          </cell>
          <cell r="N101">
            <v>8</v>
          </cell>
          <cell r="O101">
            <v>8</v>
          </cell>
          <cell r="P101">
            <v>8</v>
          </cell>
          <cell r="Q101">
            <v>8</v>
          </cell>
          <cell r="R101">
            <v>8</v>
          </cell>
          <cell r="S101" t="str">
            <v>CN</v>
          </cell>
          <cell r="T101">
            <v>8</v>
          </cell>
          <cell r="U101">
            <v>8</v>
          </cell>
          <cell r="V101">
            <v>8</v>
          </cell>
          <cell r="W101">
            <v>8</v>
          </cell>
          <cell r="X101">
            <v>8</v>
          </cell>
          <cell r="Y101">
            <v>8</v>
          </cell>
          <cell r="Z101" t="str">
            <v>CN</v>
          </cell>
          <cell r="AA101" t="str">
            <v>Đ</v>
          </cell>
          <cell r="AB101" t="str">
            <v>Đ</v>
          </cell>
          <cell r="AC101" t="str">
            <v>Đ</v>
          </cell>
          <cell r="AD101" t="str">
            <v>Đ</v>
          </cell>
          <cell r="AE101" t="str">
            <v>Đ</v>
          </cell>
          <cell r="AF101" t="str">
            <v>Đ</v>
          </cell>
          <cell r="AG101" t="str">
            <v>CN</v>
          </cell>
          <cell r="AH101" t="str">
            <v>Đ</v>
          </cell>
          <cell r="AI101" t="str">
            <v>Đ</v>
          </cell>
          <cell r="AJ101" t="str">
            <v>Đ</v>
          </cell>
          <cell r="AN101">
            <v>72</v>
          </cell>
          <cell r="AO101">
            <v>120</v>
          </cell>
          <cell r="AP101">
            <v>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cell r="BD101">
            <v>0</v>
          </cell>
          <cell r="BE101">
            <v>0</v>
          </cell>
          <cell r="BF101">
            <v>0</v>
          </cell>
          <cell r="BG101">
            <v>192</v>
          </cell>
          <cell r="BH101">
            <v>0</v>
          </cell>
          <cell r="BI101">
            <v>0</v>
          </cell>
          <cell r="BJ101">
            <v>3.5</v>
          </cell>
          <cell r="BL101">
            <v>4</v>
          </cell>
          <cell r="BM101">
            <v>4</v>
          </cell>
          <cell r="BN101">
            <v>4</v>
          </cell>
          <cell r="BO101">
            <v>11</v>
          </cell>
          <cell r="BP101">
            <v>0</v>
          </cell>
          <cell r="BQ101">
            <v>4</v>
          </cell>
          <cell r="BR101">
            <v>4</v>
          </cell>
          <cell r="BS101">
            <v>4</v>
          </cell>
          <cell r="BT101">
            <v>4</v>
          </cell>
          <cell r="BU101">
            <v>4</v>
          </cell>
          <cell r="BV101">
            <v>12</v>
          </cell>
          <cell r="BW101">
            <v>4</v>
          </cell>
          <cell r="BX101">
            <v>4</v>
          </cell>
          <cell r="BY101">
            <v>4</v>
          </cell>
          <cell r="BZ101">
            <v>4</v>
          </cell>
          <cell r="CA101">
            <v>4</v>
          </cell>
          <cell r="CB101">
            <v>4</v>
          </cell>
          <cell r="CC101" t="str">
            <v>12Đ</v>
          </cell>
          <cell r="CD101">
            <v>4</v>
          </cell>
          <cell r="CE101">
            <v>4</v>
          </cell>
          <cell r="CF101">
            <v>4</v>
          </cell>
          <cell r="CG101">
            <v>4</v>
          </cell>
          <cell r="CH101">
            <v>4</v>
          </cell>
          <cell r="CI101">
            <v>4</v>
          </cell>
          <cell r="CJ101" t="str">
            <v>12Đ</v>
          </cell>
          <cell r="CK101">
            <v>4</v>
          </cell>
          <cell r="CL101">
            <v>2</v>
          </cell>
          <cell r="CM101">
            <v>4</v>
          </cell>
          <cell r="CR101">
            <v>0</v>
          </cell>
          <cell r="CS101">
            <v>0</v>
          </cell>
          <cell r="CT101">
            <v>90</v>
          </cell>
          <cell r="CU101">
            <v>31</v>
          </cell>
          <cell r="CV101">
            <v>16</v>
          </cell>
          <cell r="CZ101">
            <v>137</v>
          </cell>
        </row>
        <row r="102">
          <cell r="C102" t="str">
            <v>01115</v>
          </cell>
          <cell r="D102" t="str">
            <v>Lý Quốc Việt</v>
          </cell>
          <cell r="E102" t="str">
            <v>Production</v>
          </cell>
          <cell r="F102" t="str">
            <v>Molding</v>
          </cell>
          <cell r="G102" t="str">
            <v>Worker</v>
          </cell>
          <cell r="H102">
            <v>43161</v>
          </cell>
          <cell r="I102">
            <v>8</v>
          </cell>
          <cell r="J102">
            <v>8</v>
          </cell>
          <cell r="K102">
            <v>8</v>
          </cell>
          <cell r="L102" t="str">
            <v>CN</v>
          </cell>
          <cell r="M102">
            <v>8</v>
          </cell>
          <cell r="N102">
            <v>8</v>
          </cell>
          <cell r="O102">
            <v>8</v>
          </cell>
          <cell r="P102">
            <v>8</v>
          </cell>
          <cell r="Q102">
            <v>8</v>
          </cell>
          <cell r="R102" t="str">
            <v>AL8</v>
          </cell>
          <cell r="S102" t="str">
            <v>CN</v>
          </cell>
          <cell r="T102">
            <v>8</v>
          </cell>
          <cell r="U102">
            <v>8</v>
          </cell>
          <cell r="V102">
            <v>8</v>
          </cell>
          <cell r="W102">
            <v>8</v>
          </cell>
          <cell r="X102">
            <v>8</v>
          </cell>
          <cell r="Y102">
            <v>8</v>
          </cell>
          <cell r="Z102" t="str">
            <v>CN</v>
          </cell>
          <cell r="AA102">
            <v>8</v>
          </cell>
          <cell r="AB102">
            <v>8</v>
          </cell>
          <cell r="AC102">
            <v>8</v>
          </cell>
          <cell r="AD102">
            <v>8</v>
          </cell>
          <cell r="AE102">
            <v>8</v>
          </cell>
          <cell r="AF102">
            <v>8</v>
          </cell>
          <cell r="AG102" t="str">
            <v>CN</v>
          </cell>
          <cell r="AH102">
            <v>8</v>
          </cell>
          <cell r="AI102">
            <v>8</v>
          </cell>
          <cell r="AJ102">
            <v>8</v>
          </cell>
          <cell r="AN102">
            <v>0</v>
          </cell>
          <cell r="AO102">
            <v>184</v>
          </cell>
          <cell r="AP102">
            <v>0</v>
          </cell>
          <cell r="AQ102">
            <v>0</v>
          </cell>
          <cell r="AR102">
            <v>0</v>
          </cell>
          <cell r="AS102">
            <v>0</v>
          </cell>
          <cell r="AT102">
            <v>0</v>
          </cell>
          <cell r="AU102">
            <v>0</v>
          </cell>
          <cell r="AV102">
            <v>0</v>
          </cell>
          <cell r="AW102">
            <v>0</v>
          </cell>
          <cell r="AX102">
            <v>0</v>
          </cell>
          <cell r="AY102">
            <v>0</v>
          </cell>
          <cell r="AZ102">
            <v>0</v>
          </cell>
          <cell r="BA102">
            <v>8</v>
          </cell>
          <cell r="BB102">
            <v>0</v>
          </cell>
          <cell r="BC102">
            <v>0</v>
          </cell>
          <cell r="BD102">
            <v>0</v>
          </cell>
          <cell r="BE102">
            <v>0</v>
          </cell>
          <cell r="BF102">
            <v>0</v>
          </cell>
          <cell r="BG102">
            <v>192</v>
          </cell>
          <cell r="BH102">
            <v>1</v>
          </cell>
          <cell r="BI102">
            <v>1</v>
          </cell>
          <cell r="BJ102">
            <v>1</v>
          </cell>
          <cell r="BL102">
            <v>0</v>
          </cell>
          <cell r="BM102">
            <v>0</v>
          </cell>
          <cell r="BN102">
            <v>0</v>
          </cell>
          <cell r="BO102">
            <v>0</v>
          </cell>
          <cell r="BP102">
            <v>0</v>
          </cell>
          <cell r="BQ102">
            <v>0</v>
          </cell>
          <cell r="BR102">
            <v>0</v>
          </cell>
          <cell r="BS102">
            <v>0</v>
          </cell>
          <cell r="BT102">
            <v>0</v>
          </cell>
          <cell r="BU102">
            <v>0</v>
          </cell>
          <cell r="BV102">
            <v>0</v>
          </cell>
          <cell r="BW102">
            <v>0</v>
          </cell>
          <cell r="BX102">
            <v>0</v>
          </cell>
          <cell r="BY102">
            <v>0</v>
          </cell>
          <cell r="BZ102">
            <v>0</v>
          </cell>
          <cell r="CA102">
            <v>0</v>
          </cell>
          <cell r="CB102">
            <v>0</v>
          </cell>
          <cell r="CC102">
            <v>0</v>
          </cell>
          <cell r="CD102">
            <v>0</v>
          </cell>
          <cell r="CE102">
            <v>0</v>
          </cell>
          <cell r="CF102">
            <v>0</v>
          </cell>
          <cell r="CG102">
            <v>0</v>
          </cell>
          <cell r="CH102">
            <v>0</v>
          </cell>
          <cell r="CI102">
            <v>0</v>
          </cell>
          <cell r="CJ102">
            <v>0</v>
          </cell>
          <cell r="CK102">
            <v>0</v>
          </cell>
          <cell r="CL102">
            <v>0</v>
          </cell>
          <cell r="CM102">
            <v>0</v>
          </cell>
          <cell r="CR102">
            <v>0</v>
          </cell>
          <cell r="CS102">
            <v>0</v>
          </cell>
          <cell r="CT102">
            <v>0</v>
          </cell>
          <cell r="CU102">
            <v>0</v>
          </cell>
          <cell r="CV102">
            <v>0</v>
          </cell>
          <cell r="CZ102">
            <v>0</v>
          </cell>
        </row>
        <row r="103">
          <cell r="C103" t="str">
            <v>01122</v>
          </cell>
          <cell r="D103" t="str">
            <v>Nguyễn Thị Liêm</v>
          </cell>
          <cell r="E103" t="str">
            <v>Technical Development</v>
          </cell>
          <cell r="F103" t="str">
            <v>PD Sample</v>
          </cell>
          <cell r="G103" t="str">
            <v>Worker</v>
          </cell>
          <cell r="H103">
            <v>43164</v>
          </cell>
          <cell r="I103" t="str">
            <v>AL8</v>
          </cell>
          <cell r="J103">
            <v>8</v>
          </cell>
          <cell r="K103">
            <v>8</v>
          </cell>
          <cell r="L103" t="str">
            <v>CN</v>
          </cell>
          <cell r="M103">
            <v>8</v>
          </cell>
          <cell r="N103">
            <v>8</v>
          </cell>
          <cell r="O103">
            <v>8</v>
          </cell>
          <cell r="P103">
            <v>8</v>
          </cell>
          <cell r="Q103">
            <v>8</v>
          </cell>
          <cell r="R103">
            <v>8</v>
          </cell>
          <cell r="S103" t="str">
            <v>CN</v>
          </cell>
          <cell r="T103">
            <v>8</v>
          </cell>
          <cell r="U103">
            <v>8</v>
          </cell>
          <cell r="V103">
            <v>8</v>
          </cell>
          <cell r="W103">
            <v>8</v>
          </cell>
          <cell r="X103">
            <v>8</v>
          </cell>
          <cell r="Y103">
            <v>8</v>
          </cell>
          <cell r="Z103" t="str">
            <v>CN</v>
          </cell>
          <cell r="AA103">
            <v>8</v>
          </cell>
          <cell r="AB103">
            <v>8</v>
          </cell>
          <cell r="AC103">
            <v>8</v>
          </cell>
          <cell r="AD103">
            <v>8</v>
          </cell>
          <cell r="AE103">
            <v>8</v>
          </cell>
          <cell r="AF103">
            <v>8</v>
          </cell>
          <cell r="AG103" t="str">
            <v>CN</v>
          </cell>
          <cell r="AH103">
            <v>8</v>
          </cell>
          <cell r="AI103">
            <v>8</v>
          </cell>
          <cell r="AJ103">
            <v>8</v>
          </cell>
          <cell r="AN103">
            <v>0</v>
          </cell>
          <cell r="AO103">
            <v>184</v>
          </cell>
          <cell r="AP103">
            <v>0</v>
          </cell>
          <cell r="AQ103">
            <v>0</v>
          </cell>
          <cell r="AR103">
            <v>0</v>
          </cell>
          <cell r="AS103">
            <v>0</v>
          </cell>
          <cell r="AT103">
            <v>0</v>
          </cell>
          <cell r="AU103">
            <v>0</v>
          </cell>
          <cell r="AV103">
            <v>0</v>
          </cell>
          <cell r="AW103">
            <v>0</v>
          </cell>
          <cell r="AX103">
            <v>0</v>
          </cell>
          <cell r="AY103">
            <v>0</v>
          </cell>
          <cell r="AZ103">
            <v>0</v>
          </cell>
          <cell r="BA103">
            <v>8</v>
          </cell>
          <cell r="BB103">
            <v>0</v>
          </cell>
          <cell r="BC103">
            <v>0</v>
          </cell>
          <cell r="BD103">
            <v>0</v>
          </cell>
          <cell r="BE103">
            <v>0</v>
          </cell>
          <cell r="BF103">
            <v>0</v>
          </cell>
          <cell r="BG103">
            <v>192</v>
          </cell>
          <cell r="BH103">
            <v>1</v>
          </cell>
          <cell r="BI103">
            <v>1</v>
          </cell>
          <cell r="BJ103">
            <v>0</v>
          </cell>
          <cell r="BL103">
            <v>0</v>
          </cell>
          <cell r="BM103">
            <v>3</v>
          </cell>
          <cell r="BN103">
            <v>0</v>
          </cell>
          <cell r="BO103">
            <v>0</v>
          </cell>
          <cell r="BP103">
            <v>3</v>
          </cell>
          <cell r="BQ103">
            <v>3</v>
          </cell>
          <cell r="BR103">
            <v>3</v>
          </cell>
          <cell r="BS103">
            <v>3</v>
          </cell>
          <cell r="BT103">
            <v>0</v>
          </cell>
          <cell r="BU103">
            <v>0</v>
          </cell>
          <cell r="BV103">
            <v>0</v>
          </cell>
          <cell r="BW103">
            <v>3</v>
          </cell>
          <cell r="BX103">
            <v>0</v>
          </cell>
          <cell r="BY103">
            <v>3</v>
          </cell>
          <cell r="BZ103">
            <v>3</v>
          </cell>
          <cell r="CA103">
            <v>0</v>
          </cell>
          <cell r="CB103">
            <v>0</v>
          </cell>
          <cell r="CC103">
            <v>0</v>
          </cell>
          <cell r="CD103">
            <v>3</v>
          </cell>
          <cell r="CE103">
            <v>3</v>
          </cell>
          <cell r="CF103">
            <v>0</v>
          </cell>
          <cell r="CG103">
            <v>3</v>
          </cell>
          <cell r="CH103">
            <v>3</v>
          </cell>
          <cell r="CI103">
            <v>0</v>
          </cell>
          <cell r="CJ103">
            <v>0</v>
          </cell>
          <cell r="CK103">
            <v>0</v>
          </cell>
          <cell r="CL103">
            <v>0</v>
          </cell>
          <cell r="CM103">
            <v>0</v>
          </cell>
          <cell r="CR103">
            <v>0</v>
          </cell>
          <cell r="CS103">
            <v>0</v>
          </cell>
          <cell r="CT103">
            <v>36</v>
          </cell>
          <cell r="CU103">
            <v>0</v>
          </cell>
          <cell r="CV103">
            <v>0</v>
          </cell>
          <cell r="CZ103">
            <v>36</v>
          </cell>
        </row>
        <row r="104">
          <cell r="C104" t="str">
            <v>01151</v>
          </cell>
          <cell r="D104" t="str">
            <v>Cao Thị Mỹ Xuyên</v>
          </cell>
          <cell r="E104" t="str">
            <v>Production</v>
          </cell>
          <cell r="F104" t="str">
            <v>Die Cut</v>
          </cell>
          <cell r="G104" t="str">
            <v>Worker</v>
          </cell>
          <cell r="H104">
            <v>43168</v>
          </cell>
          <cell r="I104" t="str">
            <v>Đ</v>
          </cell>
          <cell r="J104" t="str">
            <v>Đ</v>
          </cell>
          <cell r="K104" t="str">
            <v>Đ</v>
          </cell>
          <cell r="L104" t="str">
            <v>CN</v>
          </cell>
          <cell r="M104">
            <v>8</v>
          </cell>
          <cell r="N104">
            <v>8</v>
          </cell>
          <cell r="O104">
            <v>8</v>
          </cell>
          <cell r="P104">
            <v>8</v>
          </cell>
          <cell r="Q104">
            <v>8</v>
          </cell>
          <cell r="R104">
            <v>8</v>
          </cell>
          <cell r="S104" t="str">
            <v>CN</v>
          </cell>
          <cell r="T104" t="str">
            <v>Đ</v>
          </cell>
          <cell r="U104" t="str">
            <v>Đ</v>
          </cell>
          <cell r="V104" t="str">
            <v>Đ</v>
          </cell>
          <cell r="W104" t="str">
            <v>Đ</v>
          </cell>
          <cell r="X104" t="str">
            <v>Đ</v>
          </cell>
          <cell r="Y104" t="str">
            <v>Đ</v>
          </cell>
          <cell r="Z104" t="str">
            <v>CN</v>
          </cell>
          <cell r="AA104">
            <v>8</v>
          </cell>
          <cell r="AB104">
            <v>8</v>
          </cell>
          <cell r="AC104">
            <v>8</v>
          </cell>
          <cell r="AD104">
            <v>8</v>
          </cell>
          <cell r="AE104">
            <v>8</v>
          </cell>
          <cell r="AF104">
            <v>8</v>
          </cell>
          <cell r="AG104" t="str">
            <v>CN</v>
          </cell>
          <cell r="AH104" t="str">
            <v>Đ</v>
          </cell>
          <cell r="AI104" t="str">
            <v>Đ</v>
          </cell>
          <cell r="AJ104" t="str">
            <v>Đ</v>
          </cell>
          <cell r="AN104">
            <v>96</v>
          </cell>
          <cell r="AO104">
            <v>96</v>
          </cell>
          <cell r="AP104">
            <v>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cell r="BD104">
            <v>0</v>
          </cell>
          <cell r="BE104">
            <v>0</v>
          </cell>
          <cell r="BF104">
            <v>0</v>
          </cell>
          <cell r="BG104">
            <v>192</v>
          </cell>
          <cell r="BH104">
            <v>0</v>
          </cell>
          <cell r="BI104">
            <v>0</v>
          </cell>
          <cell r="BJ104">
            <v>5.5</v>
          </cell>
          <cell r="BL104">
            <v>1.5</v>
          </cell>
          <cell r="BM104">
            <v>1.5</v>
          </cell>
          <cell r="BN104">
            <v>1.5</v>
          </cell>
          <cell r="BO104">
            <v>0</v>
          </cell>
          <cell r="BP104">
            <v>1.5</v>
          </cell>
          <cell r="BQ104">
            <v>0</v>
          </cell>
          <cell r="BR104">
            <v>0</v>
          </cell>
          <cell r="BS104">
            <v>3</v>
          </cell>
          <cell r="BT104">
            <v>3</v>
          </cell>
          <cell r="BU104">
            <v>0</v>
          </cell>
          <cell r="BV104">
            <v>0</v>
          </cell>
          <cell r="BW104">
            <v>4</v>
          </cell>
          <cell r="BX104">
            <v>4</v>
          </cell>
          <cell r="BY104">
            <v>4</v>
          </cell>
          <cell r="BZ104">
            <v>4</v>
          </cell>
          <cell r="CA104">
            <v>4</v>
          </cell>
          <cell r="CB104">
            <v>4</v>
          </cell>
          <cell r="CC104">
            <v>0</v>
          </cell>
          <cell r="CD104">
            <v>3</v>
          </cell>
          <cell r="CE104">
            <v>3</v>
          </cell>
          <cell r="CF104">
            <v>3</v>
          </cell>
          <cell r="CG104">
            <v>3</v>
          </cell>
          <cell r="CH104">
            <v>3</v>
          </cell>
          <cell r="CI104">
            <v>3</v>
          </cell>
          <cell r="CJ104">
            <v>8</v>
          </cell>
          <cell r="CK104">
            <v>4</v>
          </cell>
          <cell r="CL104">
            <v>4</v>
          </cell>
          <cell r="CM104">
            <v>4</v>
          </cell>
          <cell r="CR104">
            <v>0</v>
          </cell>
          <cell r="CS104">
            <v>0</v>
          </cell>
          <cell r="CT104">
            <v>66</v>
          </cell>
          <cell r="CU104">
            <v>8</v>
          </cell>
          <cell r="CV104">
            <v>0</v>
          </cell>
          <cell r="CZ104">
            <v>74</v>
          </cell>
        </row>
        <row r="105">
          <cell r="C105" t="str">
            <v>01162</v>
          </cell>
          <cell r="D105" t="str">
            <v>Nguyễn Văn Dư</v>
          </cell>
          <cell r="E105" t="str">
            <v>Production</v>
          </cell>
          <cell r="F105" t="str">
            <v>Packing</v>
          </cell>
          <cell r="G105" t="str">
            <v>Worker</v>
          </cell>
          <cell r="H105">
            <v>43173</v>
          </cell>
          <cell r="I105" t="str">
            <v>Đ</v>
          </cell>
          <cell r="J105" t="str">
            <v>Đ</v>
          </cell>
          <cell r="K105" t="str">
            <v>Đ</v>
          </cell>
          <cell r="L105" t="str">
            <v>CN</v>
          </cell>
          <cell r="M105">
            <v>8</v>
          </cell>
          <cell r="N105">
            <v>8</v>
          </cell>
          <cell r="O105" t="str">
            <v>UP8</v>
          </cell>
          <cell r="P105" t="str">
            <v>UP8</v>
          </cell>
          <cell r="Q105" t="str">
            <v>SL</v>
          </cell>
          <cell r="R105" t="str">
            <v>SL</v>
          </cell>
          <cell r="S105" t="str">
            <v>CN</v>
          </cell>
          <cell r="T105" t="str">
            <v>SL</v>
          </cell>
          <cell r="U105" t="str">
            <v>SL</v>
          </cell>
          <cell r="V105" t="str">
            <v>SL</v>
          </cell>
          <cell r="W105" t="str">
            <v>SL</v>
          </cell>
          <cell r="X105" t="str">
            <v>UP8</v>
          </cell>
          <cell r="Y105" t="str">
            <v>UP8</v>
          </cell>
          <cell r="Z105" t="str">
            <v>CN</v>
          </cell>
          <cell r="AA105">
            <v>8</v>
          </cell>
          <cell r="AB105" t="str">
            <v>SL</v>
          </cell>
          <cell r="AC105" t="str">
            <v>SL</v>
          </cell>
          <cell r="AD105" t="str">
            <v>SL</v>
          </cell>
          <cell r="AE105" t="str">
            <v>SL</v>
          </cell>
          <cell r="AF105" t="str">
            <v>SL</v>
          </cell>
          <cell r="AG105" t="str">
            <v>CN</v>
          </cell>
          <cell r="AH105">
            <v>8</v>
          </cell>
          <cell r="AI105" t="str">
            <v>Đ</v>
          </cell>
          <cell r="AJ105" t="str">
            <v>Đ</v>
          </cell>
          <cell r="AN105">
            <v>40</v>
          </cell>
          <cell r="AO105">
            <v>32</v>
          </cell>
          <cell r="AP105">
            <v>0</v>
          </cell>
          <cell r="AQ105">
            <v>11</v>
          </cell>
          <cell r="AR105">
            <v>0</v>
          </cell>
          <cell r="AS105">
            <v>32</v>
          </cell>
          <cell r="AT105">
            <v>0</v>
          </cell>
          <cell r="AU105">
            <v>0</v>
          </cell>
          <cell r="AV105">
            <v>0</v>
          </cell>
          <cell r="AW105">
            <v>0</v>
          </cell>
          <cell r="AX105">
            <v>0</v>
          </cell>
          <cell r="AY105">
            <v>0</v>
          </cell>
          <cell r="AZ105">
            <v>0</v>
          </cell>
          <cell r="BA105">
            <v>0</v>
          </cell>
          <cell r="BB105">
            <v>0</v>
          </cell>
          <cell r="BC105">
            <v>0</v>
          </cell>
          <cell r="BD105">
            <v>0</v>
          </cell>
          <cell r="BE105">
            <v>0</v>
          </cell>
          <cell r="BF105">
            <v>0</v>
          </cell>
          <cell r="BG105">
            <v>72</v>
          </cell>
          <cell r="BH105">
            <v>0</v>
          </cell>
          <cell r="BI105">
            <v>0</v>
          </cell>
          <cell r="BJ105">
            <v>1.5</v>
          </cell>
          <cell r="BL105">
            <v>0</v>
          </cell>
          <cell r="BM105">
            <v>1.5</v>
          </cell>
          <cell r="BN105">
            <v>1.5</v>
          </cell>
          <cell r="BO105">
            <v>0</v>
          </cell>
          <cell r="BP105">
            <v>2</v>
          </cell>
          <cell r="BQ105">
            <v>3</v>
          </cell>
          <cell r="BR105">
            <v>0</v>
          </cell>
          <cell r="BS105">
            <v>0</v>
          </cell>
          <cell r="BT105">
            <v>0</v>
          </cell>
          <cell r="BU105">
            <v>0</v>
          </cell>
          <cell r="BV105">
            <v>0</v>
          </cell>
          <cell r="BW105">
            <v>0</v>
          </cell>
          <cell r="BX105">
            <v>0</v>
          </cell>
          <cell r="BY105">
            <v>0</v>
          </cell>
          <cell r="BZ105">
            <v>0</v>
          </cell>
          <cell r="CA105">
            <v>0</v>
          </cell>
          <cell r="CB105">
            <v>0</v>
          </cell>
          <cell r="CC105">
            <v>0</v>
          </cell>
          <cell r="CD105">
            <v>0</v>
          </cell>
          <cell r="CE105">
            <v>0</v>
          </cell>
          <cell r="CF105">
            <v>0</v>
          </cell>
          <cell r="CG105">
            <v>0</v>
          </cell>
          <cell r="CH105">
            <v>0</v>
          </cell>
          <cell r="CI105">
            <v>0</v>
          </cell>
          <cell r="CJ105">
            <v>0</v>
          </cell>
          <cell r="CK105">
            <v>0</v>
          </cell>
          <cell r="CL105">
            <v>4</v>
          </cell>
          <cell r="CM105">
            <v>4</v>
          </cell>
          <cell r="CR105">
            <v>0</v>
          </cell>
          <cell r="CS105">
            <v>0</v>
          </cell>
          <cell r="CT105">
            <v>16</v>
          </cell>
          <cell r="CU105">
            <v>0</v>
          </cell>
          <cell r="CV105">
            <v>0</v>
          </cell>
          <cell r="CZ105">
            <v>16</v>
          </cell>
        </row>
        <row r="106">
          <cell r="C106" t="str">
            <v>01165</v>
          </cell>
          <cell r="D106" t="str">
            <v>Vũ Lê Phương</v>
          </cell>
          <cell r="E106" t="str">
            <v>Warehouse</v>
          </cell>
          <cell r="F106" t="str">
            <v>FGS Warehouse</v>
          </cell>
          <cell r="G106" t="str">
            <v>Forklift Driver</v>
          </cell>
          <cell r="H106">
            <v>43173</v>
          </cell>
          <cell r="I106">
            <v>8</v>
          </cell>
          <cell r="J106">
            <v>8</v>
          </cell>
          <cell r="K106">
            <v>8</v>
          </cell>
          <cell r="L106" t="str">
            <v>CN</v>
          </cell>
          <cell r="M106" t="str">
            <v>AL4</v>
          </cell>
          <cell r="N106" t="str">
            <v>AL8</v>
          </cell>
          <cell r="O106">
            <v>8</v>
          </cell>
          <cell r="P106">
            <v>8</v>
          </cell>
          <cell r="Q106">
            <v>8</v>
          </cell>
          <cell r="R106">
            <v>8</v>
          </cell>
          <cell r="S106" t="str">
            <v>CN</v>
          </cell>
          <cell r="T106">
            <v>8</v>
          </cell>
          <cell r="U106">
            <v>8</v>
          </cell>
          <cell r="V106">
            <v>8</v>
          </cell>
          <cell r="W106">
            <v>8</v>
          </cell>
          <cell r="X106">
            <v>8</v>
          </cell>
          <cell r="Y106">
            <v>8</v>
          </cell>
          <cell r="Z106" t="str">
            <v>CN</v>
          </cell>
          <cell r="AA106">
            <v>8</v>
          </cell>
          <cell r="AB106">
            <v>8</v>
          </cell>
          <cell r="AC106">
            <v>8</v>
          </cell>
          <cell r="AD106">
            <v>8</v>
          </cell>
          <cell r="AE106">
            <v>8</v>
          </cell>
          <cell r="AF106">
            <v>8</v>
          </cell>
          <cell r="AG106" t="str">
            <v>CN</v>
          </cell>
          <cell r="AH106">
            <v>8</v>
          </cell>
          <cell r="AI106">
            <v>8</v>
          </cell>
          <cell r="AJ106">
            <v>8</v>
          </cell>
          <cell r="AN106">
            <v>0</v>
          </cell>
          <cell r="AO106">
            <v>180</v>
          </cell>
          <cell r="AP106">
            <v>4</v>
          </cell>
          <cell r="AQ106">
            <v>0</v>
          </cell>
          <cell r="AR106">
            <v>0</v>
          </cell>
          <cell r="AS106">
            <v>0</v>
          </cell>
          <cell r="AT106">
            <v>0</v>
          </cell>
          <cell r="AU106">
            <v>0</v>
          </cell>
          <cell r="AV106">
            <v>0</v>
          </cell>
          <cell r="AW106">
            <v>0</v>
          </cell>
          <cell r="AX106">
            <v>0</v>
          </cell>
          <cell r="AY106">
            <v>0</v>
          </cell>
          <cell r="AZ106">
            <v>0</v>
          </cell>
          <cell r="BA106">
            <v>12</v>
          </cell>
          <cell r="BB106">
            <v>0</v>
          </cell>
          <cell r="BC106">
            <v>0</v>
          </cell>
          <cell r="BD106">
            <v>0</v>
          </cell>
          <cell r="BE106">
            <v>0</v>
          </cell>
          <cell r="BF106">
            <v>0</v>
          </cell>
          <cell r="BG106">
            <v>192</v>
          </cell>
          <cell r="BH106">
            <v>1.5</v>
          </cell>
          <cell r="BI106">
            <v>1.5</v>
          </cell>
          <cell r="BJ106">
            <v>0.5</v>
          </cell>
          <cell r="BL106">
            <v>0</v>
          </cell>
          <cell r="BM106">
            <v>0</v>
          </cell>
          <cell r="BN106">
            <v>0</v>
          </cell>
          <cell r="BO106">
            <v>0</v>
          </cell>
          <cell r="BP106">
            <v>0</v>
          </cell>
          <cell r="BQ106">
            <v>0</v>
          </cell>
          <cell r="BR106">
            <v>0</v>
          </cell>
          <cell r="BS106">
            <v>0</v>
          </cell>
          <cell r="BT106">
            <v>0</v>
          </cell>
          <cell r="BU106">
            <v>0</v>
          </cell>
          <cell r="BV106">
            <v>0</v>
          </cell>
          <cell r="BW106">
            <v>0</v>
          </cell>
          <cell r="BX106">
            <v>0</v>
          </cell>
          <cell r="BY106">
            <v>0</v>
          </cell>
          <cell r="BZ106">
            <v>0</v>
          </cell>
          <cell r="CA106">
            <v>0</v>
          </cell>
          <cell r="CB106">
            <v>0</v>
          </cell>
          <cell r="CC106">
            <v>0</v>
          </cell>
          <cell r="CD106">
            <v>3</v>
          </cell>
          <cell r="CE106">
            <v>3</v>
          </cell>
          <cell r="CF106">
            <v>0</v>
          </cell>
          <cell r="CG106">
            <v>3</v>
          </cell>
          <cell r="CH106">
            <v>0</v>
          </cell>
          <cell r="CI106">
            <v>0</v>
          </cell>
          <cell r="CJ106">
            <v>8</v>
          </cell>
          <cell r="CK106">
            <v>0</v>
          </cell>
          <cell r="CL106">
            <v>3</v>
          </cell>
          <cell r="CM106">
            <v>0</v>
          </cell>
          <cell r="CR106">
            <v>0</v>
          </cell>
          <cell r="CS106">
            <v>0</v>
          </cell>
          <cell r="CT106">
            <v>12</v>
          </cell>
          <cell r="CU106">
            <v>8</v>
          </cell>
          <cell r="CV106">
            <v>0</v>
          </cell>
          <cell r="CZ106">
            <v>20</v>
          </cell>
        </row>
        <row r="107">
          <cell r="C107" t="str">
            <v>01174</v>
          </cell>
          <cell r="D107" t="str">
            <v>Nguyễn Thị Kim Xuyến</v>
          </cell>
          <cell r="E107" t="str">
            <v>CS</v>
          </cell>
          <cell r="F107" t="str">
            <v>KIO</v>
          </cell>
          <cell r="G107" t="str">
            <v>Group Leader</v>
          </cell>
          <cell r="H107">
            <v>43178</v>
          </cell>
          <cell r="I107">
            <v>8</v>
          </cell>
          <cell r="J107">
            <v>8</v>
          </cell>
          <cell r="K107" t="str">
            <v>PO</v>
          </cell>
          <cell r="L107" t="str">
            <v>CN</v>
          </cell>
          <cell r="M107">
            <v>8</v>
          </cell>
          <cell r="N107">
            <v>8</v>
          </cell>
          <cell r="O107">
            <v>8</v>
          </cell>
          <cell r="P107">
            <v>8</v>
          </cell>
          <cell r="Q107" t="str">
            <v>WH4/PO4</v>
          </cell>
          <cell r="R107" t="str">
            <v>PO</v>
          </cell>
          <cell r="S107" t="str">
            <v>CN</v>
          </cell>
          <cell r="T107">
            <v>8</v>
          </cell>
          <cell r="U107">
            <v>8</v>
          </cell>
          <cell r="V107">
            <v>8</v>
          </cell>
          <cell r="W107">
            <v>8</v>
          </cell>
          <cell r="X107">
            <v>8</v>
          </cell>
          <cell r="Y107" t="str">
            <v>PO</v>
          </cell>
          <cell r="Z107" t="str">
            <v>CN</v>
          </cell>
          <cell r="AA107">
            <v>8</v>
          </cell>
          <cell r="AB107">
            <v>8</v>
          </cell>
          <cell r="AC107">
            <v>8</v>
          </cell>
          <cell r="AD107">
            <v>8</v>
          </cell>
          <cell r="AE107">
            <v>8</v>
          </cell>
          <cell r="AF107" t="str">
            <v>PO</v>
          </cell>
          <cell r="AG107" t="str">
            <v>CN</v>
          </cell>
          <cell r="AH107">
            <v>8</v>
          </cell>
          <cell r="AI107">
            <v>8</v>
          </cell>
          <cell r="AJ107">
            <v>8</v>
          </cell>
          <cell r="AN107">
            <v>0</v>
          </cell>
          <cell r="AO107">
            <v>152</v>
          </cell>
          <cell r="AP107">
            <v>0</v>
          </cell>
          <cell r="AQ107">
            <v>0</v>
          </cell>
          <cell r="AR107">
            <v>0</v>
          </cell>
          <cell r="AS107">
            <v>0</v>
          </cell>
          <cell r="AT107">
            <v>0</v>
          </cell>
          <cell r="AU107">
            <v>0</v>
          </cell>
          <cell r="AV107">
            <v>36</v>
          </cell>
          <cell r="AW107">
            <v>0</v>
          </cell>
          <cell r="AX107">
            <v>0</v>
          </cell>
          <cell r="AY107">
            <v>0</v>
          </cell>
          <cell r="AZ107">
            <v>0</v>
          </cell>
          <cell r="BA107">
            <v>0</v>
          </cell>
          <cell r="BB107">
            <v>0</v>
          </cell>
          <cell r="BC107">
            <v>0</v>
          </cell>
          <cell r="BD107">
            <v>4</v>
          </cell>
          <cell r="BE107">
            <v>0</v>
          </cell>
          <cell r="BF107">
            <v>0</v>
          </cell>
          <cell r="BG107">
            <v>192</v>
          </cell>
          <cell r="BH107">
            <v>0</v>
          </cell>
          <cell r="BI107">
            <v>0</v>
          </cell>
          <cell r="BJ107">
            <v>9.5</v>
          </cell>
          <cell r="BL107">
            <v>0</v>
          </cell>
          <cell r="BM107">
            <v>4</v>
          </cell>
          <cell r="BN107">
            <v>0</v>
          </cell>
          <cell r="BO107">
            <v>0</v>
          </cell>
          <cell r="BP107">
            <v>4</v>
          </cell>
          <cell r="BQ107">
            <v>3</v>
          </cell>
          <cell r="BR107">
            <v>0</v>
          </cell>
          <cell r="BS107">
            <v>4</v>
          </cell>
          <cell r="BT107">
            <v>0</v>
          </cell>
          <cell r="BU107">
            <v>0</v>
          </cell>
          <cell r="BV107">
            <v>0</v>
          </cell>
          <cell r="BW107">
            <v>2.25</v>
          </cell>
          <cell r="BX107">
            <v>0</v>
          </cell>
          <cell r="BY107">
            <v>1.75</v>
          </cell>
          <cell r="BZ107">
            <v>0</v>
          </cell>
          <cell r="CA107">
            <v>0</v>
          </cell>
          <cell r="CB107">
            <v>0</v>
          </cell>
          <cell r="CC107">
            <v>0</v>
          </cell>
          <cell r="CD107">
            <v>0</v>
          </cell>
          <cell r="CE107">
            <v>2.25</v>
          </cell>
          <cell r="CF107">
            <v>0</v>
          </cell>
          <cell r="CG107">
            <v>1.25</v>
          </cell>
          <cell r="CH107">
            <v>0</v>
          </cell>
          <cell r="CI107">
            <v>0</v>
          </cell>
          <cell r="CJ107">
            <v>0</v>
          </cell>
          <cell r="CK107">
            <v>0</v>
          </cell>
          <cell r="CL107">
            <v>2.5</v>
          </cell>
          <cell r="CM107">
            <v>4</v>
          </cell>
          <cell r="CR107">
            <v>0</v>
          </cell>
          <cell r="CS107">
            <v>0</v>
          </cell>
          <cell r="CT107">
            <v>29</v>
          </cell>
          <cell r="CU107">
            <v>0</v>
          </cell>
          <cell r="CV107">
            <v>0</v>
          </cell>
          <cell r="CZ107">
            <v>29</v>
          </cell>
        </row>
        <row r="108">
          <cell r="C108" t="str">
            <v>01188</v>
          </cell>
          <cell r="D108" t="str">
            <v>Tăng Thị Hồng Nhung</v>
          </cell>
          <cell r="E108" t="str">
            <v>Production</v>
          </cell>
          <cell r="F108" t="str">
            <v>Die Cut</v>
          </cell>
          <cell r="G108" t="str">
            <v>Worker</v>
          </cell>
          <cell r="H108">
            <v>43181</v>
          </cell>
          <cell r="I108" t="str">
            <v>Đ</v>
          </cell>
          <cell r="J108" t="str">
            <v>Đ</v>
          </cell>
          <cell r="K108" t="str">
            <v>Đ</v>
          </cell>
          <cell r="L108" t="str">
            <v>CN</v>
          </cell>
          <cell r="M108">
            <v>8</v>
          </cell>
          <cell r="N108">
            <v>8</v>
          </cell>
          <cell r="O108">
            <v>8</v>
          </cell>
          <cell r="P108">
            <v>8</v>
          </cell>
          <cell r="Q108">
            <v>8</v>
          </cell>
          <cell r="R108">
            <v>8</v>
          </cell>
          <cell r="S108" t="str">
            <v>CN</v>
          </cell>
          <cell r="T108" t="str">
            <v>Đ</v>
          </cell>
          <cell r="U108" t="str">
            <v>Đ</v>
          </cell>
          <cell r="V108" t="str">
            <v>Đ</v>
          </cell>
          <cell r="W108" t="str">
            <v>Đ</v>
          </cell>
          <cell r="X108" t="str">
            <v>Đ</v>
          </cell>
          <cell r="Y108" t="str">
            <v>Đ</v>
          </cell>
          <cell r="Z108" t="str">
            <v>CN</v>
          </cell>
          <cell r="AA108">
            <v>8</v>
          </cell>
          <cell r="AB108">
            <v>8</v>
          </cell>
          <cell r="AC108">
            <v>8</v>
          </cell>
          <cell r="AD108">
            <v>8</v>
          </cell>
          <cell r="AE108">
            <v>8</v>
          </cell>
          <cell r="AF108">
            <v>8</v>
          </cell>
          <cell r="AG108" t="str">
            <v>CN</v>
          </cell>
          <cell r="AH108" t="str">
            <v>Đ</v>
          </cell>
          <cell r="AI108" t="str">
            <v>Đ</v>
          </cell>
          <cell r="AJ108" t="str">
            <v>Đ</v>
          </cell>
          <cell r="AN108">
            <v>96</v>
          </cell>
          <cell r="AO108">
            <v>96</v>
          </cell>
          <cell r="AP108">
            <v>0</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cell r="BD108">
            <v>0</v>
          </cell>
          <cell r="BE108">
            <v>0</v>
          </cell>
          <cell r="BF108">
            <v>0</v>
          </cell>
          <cell r="BG108">
            <v>192</v>
          </cell>
          <cell r="BH108">
            <v>0</v>
          </cell>
          <cell r="BI108">
            <v>0</v>
          </cell>
          <cell r="BJ108">
            <v>9.5</v>
          </cell>
          <cell r="BL108">
            <v>1.5</v>
          </cell>
          <cell r="BM108">
            <v>1.5</v>
          </cell>
          <cell r="BN108">
            <v>1.5</v>
          </cell>
          <cell r="BO108">
            <v>0</v>
          </cell>
          <cell r="BP108">
            <v>1.5</v>
          </cell>
          <cell r="BQ108">
            <v>0</v>
          </cell>
          <cell r="BR108">
            <v>0</v>
          </cell>
          <cell r="BS108">
            <v>0</v>
          </cell>
          <cell r="BT108">
            <v>3</v>
          </cell>
          <cell r="BU108">
            <v>3</v>
          </cell>
          <cell r="BV108">
            <v>0</v>
          </cell>
          <cell r="BW108">
            <v>4</v>
          </cell>
          <cell r="BX108">
            <v>4</v>
          </cell>
          <cell r="BY108">
            <v>4</v>
          </cell>
          <cell r="BZ108">
            <v>4</v>
          </cell>
          <cell r="CA108">
            <v>4</v>
          </cell>
          <cell r="CB108">
            <v>4</v>
          </cell>
          <cell r="CC108">
            <v>0</v>
          </cell>
          <cell r="CD108">
            <v>3</v>
          </cell>
          <cell r="CE108">
            <v>3</v>
          </cell>
          <cell r="CF108">
            <v>3</v>
          </cell>
          <cell r="CG108">
            <v>3</v>
          </cell>
          <cell r="CH108">
            <v>3</v>
          </cell>
          <cell r="CI108">
            <v>3</v>
          </cell>
          <cell r="CJ108">
            <v>8</v>
          </cell>
          <cell r="CK108">
            <v>4</v>
          </cell>
          <cell r="CL108">
            <v>4</v>
          </cell>
          <cell r="CM108">
            <v>4</v>
          </cell>
          <cell r="CR108">
            <v>0</v>
          </cell>
          <cell r="CS108">
            <v>0</v>
          </cell>
          <cell r="CT108">
            <v>66</v>
          </cell>
          <cell r="CU108">
            <v>8</v>
          </cell>
          <cell r="CV108">
            <v>0</v>
          </cell>
          <cell r="CZ108">
            <v>74</v>
          </cell>
        </row>
        <row r="109">
          <cell r="C109" t="str">
            <v>01200</v>
          </cell>
          <cell r="D109" t="str">
            <v>Trần Thị Kim Loài</v>
          </cell>
          <cell r="E109" t="str">
            <v>Production</v>
          </cell>
          <cell r="F109" t="str">
            <v>Packing</v>
          </cell>
          <cell r="G109" t="str">
            <v>Worker</v>
          </cell>
          <cell r="H109">
            <v>43185</v>
          </cell>
          <cell r="I109" t="str">
            <v>Đ</v>
          </cell>
          <cell r="J109" t="str">
            <v>Đ</v>
          </cell>
          <cell r="K109" t="str">
            <v>Đ</v>
          </cell>
          <cell r="L109" t="str">
            <v>CN</v>
          </cell>
          <cell r="M109">
            <v>8</v>
          </cell>
          <cell r="N109">
            <v>8</v>
          </cell>
          <cell r="O109">
            <v>8</v>
          </cell>
          <cell r="P109">
            <v>8</v>
          </cell>
          <cell r="Q109">
            <v>8</v>
          </cell>
          <cell r="R109">
            <v>8</v>
          </cell>
          <cell r="S109" t="str">
            <v>CN</v>
          </cell>
          <cell r="T109" t="str">
            <v>Đ</v>
          </cell>
          <cell r="U109" t="str">
            <v>Đ</v>
          </cell>
          <cell r="V109" t="str">
            <v>Đ</v>
          </cell>
          <cell r="W109" t="str">
            <v>Đ</v>
          </cell>
          <cell r="X109" t="str">
            <v>Đ</v>
          </cell>
          <cell r="Y109" t="str">
            <v>Đ</v>
          </cell>
          <cell r="Z109" t="str">
            <v>CN</v>
          </cell>
          <cell r="AA109" t="str">
            <v>Đ</v>
          </cell>
          <cell r="AB109" t="str">
            <v>Đ</v>
          </cell>
          <cell r="AC109" t="str">
            <v>Đ</v>
          </cell>
          <cell r="AD109" t="str">
            <v>Đ</v>
          </cell>
          <cell r="AE109" t="str">
            <v>Đ</v>
          </cell>
          <cell r="AF109" t="str">
            <v>Đ</v>
          </cell>
          <cell r="AG109" t="str">
            <v>CN</v>
          </cell>
          <cell r="AH109" t="str">
            <v>Đ</v>
          </cell>
          <cell r="AI109" t="str">
            <v>Đ</v>
          </cell>
          <cell r="AJ109" t="str">
            <v>Đ</v>
          </cell>
          <cell r="AN109">
            <v>144</v>
          </cell>
          <cell r="AO109">
            <v>48</v>
          </cell>
          <cell r="AP109">
            <v>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cell r="BD109">
            <v>0</v>
          </cell>
          <cell r="BE109">
            <v>0</v>
          </cell>
          <cell r="BF109">
            <v>0</v>
          </cell>
          <cell r="BG109">
            <v>192</v>
          </cell>
          <cell r="BH109">
            <v>0</v>
          </cell>
          <cell r="BI109">
            <v>0</v>
          </cell>
          <cell r="BJ109">
            <v>4</v>
          </cell>
          <cell r="BL109">
            <v>1.5</v>
          </cell>
          <cell r="BM109">
            <v>1.5</v>
          </cell>
          <cell r="BN109">
            <v>0</v>
          </cell>
          <cell r="BO109">
            <v>0</v>
          </cell>
          <cell r="BP109">
            <v>0</v>
          </cell>
          <cell r="BQ109">
            <v>0</v>
          </cell>
          <cell r="BR109">
            <v>0</v>
          </cell>
          <cell r="BS109">
            <v>0</v>
          </cell>
          <cell r="BT109">
            <v>0</v>
          </cell>
          <cell r="BU109">
            <v>3</v>
          </cell>
          <cell r="BV109">
            <v>0</v>
          </cell>
          <cell r="BW109">
            <v>4</v>
          </cell>
          <cell r="BX109">
            <v>4</v>
          </cell>
          <cell r="BY109">
            <v>4</v>
          </cell>
          <cell r="BZ109">
            <v>4</v>
          </cell>
          <cell r="CA109">
            <v>4</v>
          </cell>
          <cell r="CB109">
            <v>4</v>
          </cell>
          <cell r="CC109">
            <v>0</v>
          </cell>
          <cell r="CD109">
            <v>4</v>
          </cell>
          <cell r="CE109">
            <v>4</v>
          </cell>
          <cell r="CF109">
            <v>4</v>
          </cell>
          <cell r="CG109">
            <v>4</v>
          </cell>
          <cell r="CH109">
            <v>4</v>
          </cell>
          <cell r="CI109">
            <v>4</v>
          </cell>
          <cell r="CJ109">
            <v>0</v>
          </cell>
          <cell r="CK109">
            <v>4</v>
          </cell>
          <cell r="CL109">
            <v>4</v>
          </cell>
          <cell r="CM109">
            <v>4</v>
          </cell>
          <cell r="CR109">
            <v>0</v>
          </cell>
          <cell r="CS109">
            <v>0</v>
          </cell>
          <cell r="CT109">
            <v>66</v>
          </cell>
          <cell r="CU109">
            <v>0</v>
          </cell>
          <cell r="CV109">
            <v>0</v>
          </cell>
          <cell r="CZ109">
            <v>66</v>
          </cell>
        </row>
        <row r="110">
          <cell r="C110" t="str">
            <v>01201</v>
          </cell>
          <cell r="D110" t="str">
            <v>Trần Thị Phượng Chị</v>
          </cell>
          <cell r="E110" t="str">
            <v>Production</v>
          </cell>
          <cell r="F110" t="str">
            <v>Die Cut</v>
          </cell>
          <cell r="G110" t="str">
            <v>Worker</v>
          </cell>
          <cell r="H110">
            <v>43185</v>
          </cell>
          <cell r="I110" t="str">
            <v>Đ</v>
          </cell>
          <cell r="J110" t="str">
            <v>Đ</v>
          </cell>
          <cell r="K110" t="str">
            <v>Đ</v>
          </cell>
          <cell r="L110" t="str">
            <v>CN</v>
          </cell>
          <cell r="M110">
            <v>8</v>
          </cell>
          <cell r="N110">
            <v>8</v>
          </cell>
          <cell r="O110">
            <v>8</v>
          </cell>
          <cell r="P110">
            <v>8</v>
          </cell>
          <cell r="Q110" t="str">
            <v>AL8</v>
          </cell>
          <cell r="R110">
            <v>8</v>
          </cell>
          <cell r="S110" t="str">
            <v>CN</v>
          </cell>
          <cell r="T110" t="str">
            <v>Đ</v>
          </cell>
          <cell r="U110" t="str">
            <v>Đ</v>
          </cell>
          <cell r="V110" t="str">
            <v>Đ</v>
          </cell>
          <cell r="W110" t="str">
            <v>Đ</v>
          </cell>
          <cell r="X110" t="str">
            <v>Đ</v>
          </cell>
          <cell r="Y110" t="str">
            <v>Đ</v>
          </cell>
          <cell r="Z110" t="str">
            <v>CN</v>
          </cell>
          <cell r="AA110">
            <v>8</v>
          </cell>
          <cell r="AB110">
            <v>8</v>
          </cell>
          <cell r="AC110">
            <v>8</v>
          </cell>
          <cell r="AD110">
            <v>8</v>
          </cell>
          <cell r="AE110">
            <v>8</v>
          </cell>
          <cell r="AF110">
            <v>8</v>
          </cell>
          <cell r="AG110" t="str">
            <v>CN</v>
          </cell>
          <cell r="AH110" t="str">
            <v>Đ</v>
          </cell>
          <cell r="AI110" t="str">
            <v>Đ</v>
          </cell>
          <cell r="AJ110" t="str">
            <v>Đ</v>
          </cell>
          <cell r="AN110">
            <v>96</v>
          </cell>
          <cell r="AO110">
            <v>88</v>
          </cell>
          <cell r="AP110">
            <v>0</v>
          </cell>
          <cell r="AQ110">
            <v>0</v>
          </cell>
          <cell r="AR110">
            <v>0</v>
          </cell>
          <cell r="AS110">
            <v>0</v>
          </cell>
          <cell r="AT110">
            <v>0</v>
          </cell>
          <cell r="AU110">
            <v>0</v>
          </cell>
          <cell r="AV110">
            <v>0</v>
          </cell>
          <cell r="AW110">
            <v>0</v>
          </cell>
          <cell r="AX110">
            <v>0</v>
          </cell>
          <cell r="AY110">
            <v>0</v>
          </cell>
          <cell r="AZ110">
            <v>0</v>
          </cell>
          <cell r="BA110">
            <v>8</v>
          </cell>
          <cell r="BB110">
            <v>0</v>
          </cell>
          <cell r="BC110">
            <v>0</v>
          </cell>
          <cell r="BD110">
            <v>0</v>
          </cell>
          <cell r="BE110">
            <v>0</v>
          </cell>
          <cell r="BF110">
            <v>0</v>
          </cell>
          <cell r="BG110">
            <v>192</v>
          </cell>
          <cell r="BH110">
            <v>1</v>
          </cell>
          <cell r="BI110">
            <v>1</v>
          </cell>
          <cell r="BJ110">
            <v>7.5</v>
          </cell>
          <cell r="BL110">
            <v>1.5</v>
          </cell>
          <cell r="BM110">
            <v>1.5</v>
          </cell>
          <cell r="BN110">
            <v>1.5</v>
          </cell>
          <cell r="BO110">
            <v>0</v>
          </cell>
          <cell r="BP110">
            <v>1.5</v>
          </cell>
          <cell r="BQ110">
            <v>0</v>
          </cell>
          <cell r="BR110">
            <v>0</v>
          </cell>
          <cell r="BS110">
            <v>3</v>
          </cell>
          <cell r="BT110">
            <v>0</v>
          </cell>
          <cell r="BU110">
            <v>3</v>
          </cell>
          <cell r="BV110">
            <v>0</v>
          </cell>
          <cell r="BW110">
            <v>4</v>
          </cell>
          <cell r="BX110">
            <v>4</v>
          </cell>
          <cell r="BY110">
            <v>4</v>
          </cell>
          <cell r="BZ110">
            <v>4</v>
          </cell>
          <cell r="CA110">
            <v>4</v>
          </cell>
          <cell r="CB110">
            <v>4</v>
          </cell>
          <cell r="CC110">
            <v>0</v>
          </cell>
          <cell r="CD110">
            <v>3</v>
          </cell>
          <cell r="CE110">
            <v>3</v>
          </cell>
          <cell r="CF110">
            <v>3</v>
          </cell>
          <cell r="CG110">
            <v>3</v>
          </cell>
          <cell r="CH110">
            <v>3</v>
          </cell>
          <cell r="CI110">
            <v>3</v>
          </cell>
          <cell r="CJ110">
            <v>11</v>
          </cell>
          <cell r="CK110">
            <v>4</v>
          </cell>
          <cell r="CL110">
            <v>4</v>
          </cell>
          <cell r="CM110">
            <v>4</v>
          </cell>
          <cell r="CR110">
            <v>0</v>
          </cell>
          <cell r="CS110">
            <v>0</v>
          </cell>
          <cell r="CT110">
            <v>66</v>
          </cell>
          <cell r="CU110">
            <v>11</v>
          </cell>
          <cell r="CV110">
            <v>0</v>
          </cell>
          <cell r="CZ110">
            <v>77</v>
          </cell>
        </row>
        <row r="111">
          <cell r="C111" t="str">
            <v>01211</v>
          </cell>
          <cell r="D111" t="str">
            <v>Phạm Thị Ngọc Hương</v>
          </cell>
          <cell r="E111" t="str">
            <v>CS</v>
          </cell>
          <cell r="F111" t="str">
            <v>CS</v>
          </cell>
          <cell r="G111" t="str">
            <v>Senior Staff</v>
          </cell>
          <cell r="H111">
            <v>43192</v>
          </cell>
          <cell r="I111">
            <v>8</v>
          </cell>
          <cell r="J111">
            <v>8</v>
          </cell>
          <cell r="K111" t="str">
            <v>PO</v>
          </cell>
          <cell r="L111" t="str">
            <v>CN</v>
          </cell>
          <cell r="M111">
            <v>8</v>
          </cell>
          <cell r="N111">
            <v>8</v>
          </cell>
          <cell r="O111">
            <v>8</v>
          </cell>
          <cell r="P111">
            <v>8</v>
          </cell>
          <cell r="Q111">
            <v>8</v>
          </cell>
          <cell r="R111" t="str">
            <v>PO</v>
          </cell>
          <cell r="S111" t="str">
            <v>CN</v>
          </cell>
          <cell r="T111">
            <v>8</v>
          </cell>
          <cell r="U111">
            <v>8</v>
          </cell>
          <cell r="V111">
            <v>8</v>
          </cell>
          <cell r="W111">
            <v>8</v>
          </cell>
          <cell r="X111">
            <v>8</v>
          </cell>
          <cell r="Y111" t="str">
            <v>PO</v>
          </cell>
          <cell r="Z111" t="str">
            <v>CN</v>
          </cell>
          <cell r="AA111">
            <v>8</v>
          </cell>
          <cell r="AB111">
            <v>8</v>
          </cell>
          <cell r="AC111">
            <v>8</v>
          </cell>
          <cell r="AD111">
            <v>8</v>
          </cell>
          <cell r="AE111">
            <v>8</v>
          </cell>
          <cell r="AF111" t="str">
            <v>PO</v>
          </cell>
          <cell r="AG111" t="str">
            <v>CN</v>
          </cell>
          <cell r="AH111">
            <v>8</v>
          </cell>
          <cell r="AI111">
            <v>8</v>
          </cell>
          <cell r="AJ111">
            <v>8</v>
          </cell>
          <cell r="AN111">
            <v>0</v>
          </cell>
          <cell r="AO111">
            <v>160</v>
          </cell>
          <cell r="AP111">
            <v>0</v>
          </cell>
          <cell r="AQ111">
            <v>0</v>
          </cell>
          <cell r="AR111">
            <v>0</v>
          </cell>
          <cell r="AS111">
            <v>0</v>
          </cell>
          <cell r="AT111">
            <v>0</v>
          </cell>
          <cell r="AU111">
            <v>0</v>
          </cell>
          <cell r="AV111">
            <v>32</v>
          </cell>
          <cell r="AW111">
            <v>0</v>
          </cell>
          <cell r="AX111">
            <v>0</v>
          </cell>
          <cell r="AY111">
            <v>0</v>
          </cell>
          <cell r="AZ111">
            <v>0</v>
          </cell>
          <cell r="BA111">
            <v>0</v>
          </cell>
          <cell r="BB111">
            <v>0</v>
          </cell>
          <cell r="BC111">
            <v>0</v>
          </cell>
          <cell r="BD111">
            <v>0</v>
          </cell>
          <cell r="BE111">
            <v>0</v>
          </cell>
          <cell r="BF111">
            <v>0</v>
          </cell>
          <cell r="BG111">
            <v>192</v>
          </cell>
          <cell r="BH111">
            <v>0</v>
          </cell>
          <cell r="BI111">
            <v>0</v>
          </cell>
          <cell r="BJ111">
            <v>9</v>
          </cell>
          <cell r="BL111">
            <v>0</v>
          </cell>
          <cell r="BM111">
            <v>0</v>
          </cell>
          <cell r="BN111">
            <v>0</v>
          </cell>
          <cell r="BO111">
            <v>0</v>
          </cell>
          <cell r="BP111">
            <v>3</v>
          </cell>
          <cell r="BQ111">
            <v>3</v>
          </cell>
          <cell r="BR111">
            <v>0</v>
          </cell>
          <cell r="BS111">
            <v>0</v>
          </cell>
          <cell r="BT111">
            <v>3</v>
          </cell>
          <cell r="BU111">
            <v>0</v>
          </cell>
          <cell r="BV111">
            <v>0</v>
          </cell>
          <cell r="BW111">
            <v>3</v>
          </cell>
          <cell r="BX111">
            <v>3</v>
          </cell>
          <cell r="BY111">
            <v>0</v>
          </cell>
          <cell r="BZ111">
            <v>3</v>
          </cell>
          <cell r="CA111">
            <v>0</v>
          </cell>
          <cell r="CB111">
            <v>0</v>
          </cell>
          <cell r="CC111">
            <v>0</v>
          </cell>
          <cell r="CD111">
            <v>3</v>
          </cell>
          <cell r="CE111">
            <v>0</v>
          </cell>
          <cell r="CF111">
            <v>0</v>
          </cell>
          <cell r="CG111">
            <v>0</v>
          </cell>
          <cell r="CH111">
            <v>3</v>
          </cell>
          <cell r="CI111">
            <v>0</v>
          </cell>
          <cell r="CJ111">
            <v>0</v>
          </cell>
          <cell r="CK111">
            <v>3</v>
          </cell>
          <cell r="CL111">
            <v>3</v>
          </cell>
          <cell r="CM111">
            <v>0</v>
          </cell>
          <cell r="CR111">
            <v>0</v>
          </cell>
          <cell r="CS111">
            <v>0</v>
          </cell>
          <cell r="CT111">
            <v>30</v>
          </cell>
          <cell r="CU111">
            <v>0</v>
          </cell>
          <cell r="CV111">
            <v>0</v>
          </cell>
          <cell r="CZ111">
            <v>30</v>
          </cell>
        </row>
        <row r="112">
          <cell r="C112" t="str">
            <v>01221</v>
          </cell>
          <cell r="D112" t="str">
            <v>Nguyễn Văn Vạn</v>
          </cell>
          <cell r="E112" t="str">
            <v>Foaming</v>
          </cell>
          <cell r="F112" t="str">
            <v>FOAMING Splitting</v>
          </cell>
          <cell r="G112" t="str">
            <v>Worker</v>
          </cell>
          <cell r="H112">
            <v>43195</v>
          </cell>
          <cell r="I112">
            <v>8</v>
          </cell>
          <cell r="J112">
            <v>8</v>
          </cell>
          <cell r="K112">
            <v>8</v>
          </cell>
          <cell r="L112" t="str">
            <v>CN</v>
          </cell>
          <cell r="M112">
            <v>8</v>
          </cell>
          <cell r="N112">
            <v>8</v>
          </cell>
          <cell r="O112">
            <v>8</v>
          </cell>
          <cell r="P112">
            <v>8</v>
          </cell>
          <cell r="Q112">
            <v>8</v>
          </cell>
          <cell r="R112">
            <v>8</v>
          </cell>
          <cell r="S112" t="str">
            <v>CN</v>
          </cell>
          <cell r="T112">
            <v>8</v>
          </cell>
          <cell r="U112">
            <v>8</v>
          </cell>
          <cell r="V112">
            <v>8</v>
          </cell>
          <cell r="W112">
            <v>8</v>
          </cell>
          <cell r="X112">
            <v>8</v>
          </cell>
          <cell r="Y112">
            <v>8</v>
          </cell>
          <cell r="Z112" t="str">
            <v>CN</v>
          </cell>
          <cell r="AA112">
            <v>8</v>
          </cell>
          <cell r="AB112">
            <v>8</v>
          </cell>
          <cell r="AC112">
            <v>8</v>
          </cell>
          <cell r="AD112">
            <v>8</v>
          </cell>
          <cell r="AE112">
            <v>8</v>
          </cell>
          <cell r="AF112">
            <v>8</v>
          </cell>
          <cell r="AG112" t="str">
            <v>CN</v>
          </cell>
          <cell r="AH112">
            <v>8</v>
          </cell>
          <cell r="AI112">
            <v>8</v>
          </cell>
          <cell r="AJ112">
            <v>8</v>
          </cell>
          <cell r="AN112">
            <v>0</v>
          </cell>
          <cell r="AO112">
            <v>192</v>
          </cell>
          <cell r="AP112">
            <v>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cell r="BD112">
            <v>0</v>
          </cell>
          <cell r="BE112">
            <v>0</v>
          </cell>
          <cell r="BF112">
            <v>0</v>
          </cell>
          <cell r="BG112">
            <v>192</v>
          </cell>
          <cell r="BH112">
            <v>0</v>
          </cell>
          <cell r="BI112">
            <v>0</v>
          </cell>
          <cell r="BJ112">
            <v>7.5</v>
          </cell>
          <cell r="BL112">
            <v>4</v>
          </cell>
          <cell r="BM112">
            <v>4</v>
          </cell>
          <cell r="BN112">
            <v>4</v>
          </cell>
          <cell r="BO112">
            <v>12</v>
          </cell>
          <cell r="BP112">
            <v>0</v>
          </cell>
          <cell r="BQ112">
            <v>4</v>
          </cell>
          <cell r="BR112">
            <v>4</v>
          </cell>
          <cell r="BS112">
            <v>4</v>
          </cell>
          <cell r="BT112">
            <v>4</v>
          </cell>
          <cell r="BU112">
            <v>4</v>
          </cell>
          <cell r="BV112">
            <v>12</v>
          </cell>
          <cell r="BW112">
            <v>4</v>
          </cell>
          <cell r="BX112">
            <v>4</v>
          </cell>
          <cell r="BY112">
            <v>4</v>
          </cell>
          <cell r="BZ112">
            <v>4</v>
          </cell>
          <cell r="CA112">
            <v>4</v>
          </cell>
          <cell r="CB112">
            <v>4</v>
          </cell>
          <cell r="CC112">
            <v>0</v>
          </cell>
          <cell r="CD112">
            <v>4</v>
          </cell>
          <cell r="CE112">
            <v>4</v>
          </cell>
          <cell r="CF112">
            <v>4</v>
          </cell>
          <cell r="CG112">
            <v>4</v>
          </cell>
          <cell r="CH112">
            <v>4</v>
          </cell>
          <cell r="CI112">
            <v>4</v>
          </cell>
          <cell r="CJ112">
            <v>12</v>
          </cell>
          <cell r="CK112">
            <v>4</v>
          </cell>
          <cell r="CL112">
            <v>4</v>
          </cell>
          <cell r="CM112">
            <v>4</v>
          </cell>
          <cell r="CR112">
            <v>0</v>
          </cell>
          <cell r="CS112">
            <v>0</v>
          </cell>
          <cell r="CT112">
            <v>92</v>
          </cell>
          <cell r="CU112">
            <v>36</v>
          </cell>
          <cell r="CV112">
            <v>0</v>
          </cell>
          <cell r="CZ112">
            <v>128</v>
          </cell>
        </row>
        <row r="113">
          <cell r="C113" t="str">
            <v>01234</v>
          </cell>
          <cell r="D113" t="str">
            <v>Bùi Hồng Nguyệt</v>
          </cell>
          <cell r="E113" t="str">
            <v>CS</v>
          </cell>
          <cell r="F113" t="str">
            <v>CS</v>
          </cell>
          <cell r="G113" t="str">
            <v>Senior Staff</v>
          </cell>
          <cell r="H113">
            <v>43201</v>
          </cell>
          <cell r="I113">
            <v>8</v>
          </cell>
          <cell r="J113">
            <v>8</v>
          </cell>
          <cell r="K113" t="str">
            <v>PO</v>
          </cell>
          <cell r="L113" t="str">
            <v>CN</v>
          </cell>
          <cell r="M113">
            <v>8</v>
          </cell>
          <cell r="N113">
            <v>8</v>
          </cell>
          <cell r="O113">
            <v>8</v>
          </cell>
          <cell r="P113">
            <v>8</v>
          </cell>
          <cell r="Q113">
            <v>8</v>
          </cell>
          <cell r="R113" t="str">
            <v>PO</v>
          </cell>
          <cell r="S113" t="str">
            <v>CN</v>
          </cell>
          <cell r="T113">
            <v>8</v>
          </cell>
          <cell r="U113">
            <v>8</v>
          </cell>
          <cell r="V113" t="str">
            <v>BS</v>
          </cell>
          <cell r="W113">
            <v>8</v>
          </cell>
          <cell r="X113" t="str">
            <v>BS</v>
          </cell>
          <cell r="Y113" t="str">
            <v>PO</v>
          </cell>
          <cell r="Z113" t="str">
            <v>CN</v>
          </cell>
          <cell r="AA113">
            <v>8</v>
          </cell>
          <cell r="AB113">
            <v>8</v>
          </cell>
          <cell r="AC113">
            <v>8</v>
          </cell>
          <cell r="AD113">
            <v>8</v>
          </cell>
          <cell r="AE113">
            <v>8</v>
          </cell>
          <cell r="AF113" t="str">
            <v>PO</v>
          </cell>
          <cell r="AG113" t="str">
            <v>CN</v>
          </cell>
          <cell r="AH113">
            <v>8</v>
          </cell>
          <cell r="AI113">
            <v>8</v>
          </cell>
          <cell r="AJ113">
            <v>8</v>
          </cell>
          <cell r="AN113">
            <v>0</v>
          </cell>
          <cell r="AO113">
            <v>144</v>
          </cell>
          <cell r="AP113">
            <v>0</v>
          </cell>
          <cell r="AQ113">
            <v>0</v>
          </cell>
          <cell r="AR113">
            <v>0</v>
          </cell>
          <cell r="AS113">
            <v>0</v>
          </cell>
          <cell r="AT113">
            <v>0</v>
          </cell>
          <cell r="AU113">
            <v>16</v>
          </cell>
          <cell r="AV113">
            <v>32</v>
          </cell>
          <cell r="AW113">
            <v>0</v>
          </cell>
          <cell r="AX113">
            <v>0</v>
          </cell>
          <cell r="AY113">
            <v>0</v>
          </cell>
          <cell r="AZ113">
            <v>0</v>
          </cell>
          <cell r="BA113">
            <v>0</v>
          </cell>
          <cell r="BB113">
            <v>0</v>
          </cell>
          <cell r="BC113">
            <v>0</v>
          </cell>
          <cell r="BD113">
            <v>0</v>
          </cell>
          <cell r="BE113">
            <v>0</v>
          </cell>
          <cell r="BF113">
            <v>0</v>
          </cell>
          <cell r="BG113">
            <v>192</v>
          </cell>
          <cell r="BH113">
            <v>0</v>
          </cell>
          <cell r="BI113">
            <v>0</v>
          </cell>
          <cell r="BJ113">
            <v>9.5</v>
          </cell>
          <cell r="BL113">
            <v>1</v>
          </cell>
          <cell r="BM113">
            <v>1</v>
          </cell>
          <cell r="BN113">
            <v>0</v>
          </cell>
          <cell r="BO113">
            <v>0</v>
          </cell>
          <cell r="BP113">
            <v>4</v>
          </cell>
          <cell r="BQ113">
            <v>1.75</v>
          </cell>
          <cell r="BR113">
            <v>0</v>
          </cell>
          <cell r="BS113">
            <v>1</v>
          </cell>
          <cell r="BT113">
            <v>0.5</v>
          </cell>
          <cell r="BU113">
            <v>0</v>
          </cell>
          <cell r="BV113">
            <v>0</v>
          </cell>
          <cell r="BW113">
            <v>2.5</v>
          </cell>
          <cell r="BX113">
            <v>2.5</v>
          </cell>
          <cell r="BY113">
            <v>3</v>
          </cell>
          <cell r="BZ113">
            <v>0.5</v>
          </cell>
          <cell r="CA113">
            <v>3.5</v>
          </cell>
          <cell r="CB113">
            <v>0</v>
          </cell>
          <cell r="CC113">
            <v>0</v>
          </cell>
          <cell r="CD113">
            <v>2.25</v>
          </cell>
          <cell r="CE113">
            <v>2</v>
          </cell>
          <cell r="CF113">
            <v>2.5</v>
          </cell>
          <cell r="CG113">
            <v>0.5</v>
          </cell>
          <cell r="CH113">
            <v>2.25</v>
          </cell>
          <cell r="CI113">
            <v>0</v>
          </cell>
          <cell r="CJ113">
            <v>0</v>
          </cell>
          <cell r="CK113">
            <v>3</v>
          </cell>
          <cell r="CL113">
            <v>2.5</v>
          </cell>
          <cell r="CM113">
            <v>0</v>
          </cell>
          <cell r="CR113">
            <v>0</v>
          </cell>
          <cell r="CS113">
            <v>0</v>
          </cell>
          <cell r="CT113">
            <v>36.25</v>
          </cell>
          <cell r="CU113">
            <v>0</v>
          </cell>
          <cell r="CV113">
            <v>0</v>
          </cell>
          <cell r="CZ113">
            <v>36.25</v>
          </cell>
        </row>
        <row r="114">
          <cell r="C114" t="str">
            <v>01263</v>
          </cell>
          <cell r="D114" t="str">
            <v>Nguyễn Ngọc Trang Đài</v>
          </cell>
          <cell r="E114" t="str">
            <v>Production</v>
          </cell>
          <cell r="F114" t="str">
            <v>Logo</v>
          </cell>
          <cell r="G114" t="str">
            <v>Worker</v>
          </cell>
          <cell r="H114">
            <v>43224</v>
          </cell>
          <cell r="I114" t="str">
            <v>Đ</v>
          </cell>
          <cell r="J114" t="str">
            <v>Đ</v>
          </cell>
          <cell r="K114" t="str">
            <v>Đ</v>
          </cell>
          <cell r="L114" t="str">
            <v>CN</v>
          </cell>
          <cell r="M114">
            <v>8</v>
          </cell>
          <cell r="N114">
            <v>8</v>
          </cell>
          <cell r="O114">
            <v>8</v>
          </cell>
          <cell r="P114">
            <v>8</v>
          </cell>
          <cell r="Q114">
            <v>8</v>
          </cell>
          <cell r="R114">
            <v>8</v>
          </cell>
          <cell r="S114" t="str">
            <v>CN</v>
          </cell>
          <cell r="T114" t="str">
            <v>Đ</v>
          </cell>
          <cell r="U114" t="str">
            <v>Đ</v>
          </cell>
          <cell r="V114" t="str">
            <v>Đ</v>
          </cell>
          <cell r="W114" t="str">
            <v>Đ</v>
          </cell>
          <cell r="X114" t="str">
            <v>Đ</v>
          </cell>
          <cell r="Y114" t="str">
            <v>Đ</v>
          </cell>
          <cell r="Z114" t="str">
            <v>CN</v>
          </cell>
          <cell r="AA114">
            <v>8</v>
          </cell>
          <cell r="AB114">
            <v>8</v>
          </cell>
          <cell r="AC114">
            <v>8</v>
          </cell>
          <cell r="AD114">
            <v>8</v>
          </cell>
          <cell r="AE114">
            <v>8</v>
          </cell>
          <cell r="AF114">
            <v>8</v>
          </cell>
          <cell r="AG114" t="str">
            <v>CN</v>
          </cell>
          <cell r="AH114" t="str">
            <v>Đ</v>
          </cell>
          <cell r="AI114" t="str">
            <v>Đ</v>
          </cell>
          <cell r="AJ114" t="str">
            <v>Đ</v>
          </cell>
          <cell r="AN114">
            <v>96</v>
          </cell>
          <cell r="AO114">
            <v>96</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0</v>
          </cell>
          <cell r="BF114">
            <v>0</v>
          </cell>
          <cell r="BG114">
            <v>192</v>
          </cell>
          <cell r="BH114">
            <v>0</v>
          </cell>
          <cell r="BI114">
            <v>0</v>
          </cell>
          <cell r="BJ114">
            <v>4.5</v>
          </cell>
          <cell r="BL114">
            <v>1.5</v>
          </cell>
          <cell r="BM114">
            <v>1.5</v>
          </cell>
          <cell r="BN114">
            <v>1.5</v>
          </cell>
          <cell r="BO114">
            <v>0</v>
          </cell>
          <cell r="BP114">
            <v>1.5</v>
          </cell>
          <cell r="BQ114">
            <v>0</v>
          </cell>
          <cell r="BR114">
            <v>0</v>
          </cell>
          <cell r="BS114">
            <v>3</v>
          </cell>
          <cell r="BT114">
            <v>3</v>
          </cell>
          <cell r="BU114">
            <v>3</v>
          </cell>
          <cell r="BV114">
            <v>0</v>
          </cell>
          <cell r="BW114">
            <v>4</v>
          </cell>
          <cell r="BX114">
            <v>4</v>
          </cell>
          <cell r="BY114">
            <v>4</v>
          </cell>
          <cell r="BZ114">
            <v>4</v>
          </cell>
          <cell r="CA114">
            <v>2</v>
          </cell>
          <cell r="CB114">
            <v>4</v>
          </cell>
          <cell r="CC114">
            <v>0</v>
          </cell>
          <cell r="CD114">
            <v>3</v>
          </cell>
          <cell r="CE114">
            <v>3</v>
          </cell>
          <cell r="CF114">
            <v>3</v>
          </cell>
          <cell r="CG114">
            <v>3</v>
          </cell>
          <cell r="CH114">
            <v>3</v>
          </cell>
          <cell r="CI114">
            <v>3</v>
          </cell>
          <cell r="CJ114">
            <v>8</v>
          </cell>
          <cell r="CK114">
            <v>4</v>
          </cell>
          <cell r="CL114">
            <v>4</v>
          </cell>
          <cell r="CM114">
            <v>4</v>
          </cell>
          <cell r="CR114">
            <v>0</v>
          </cell>
          <cell r="CS114">
            <v>0</v>
          </cell>
          <cell r="CT114">
            <v>67</v>
          </cell>
          <cell r="CU114">
            <v>8</v>
          </cell>
          <cell r="CV114">
            <v>0</v>
          </cell>
          <cell r="CZ114">
            <v>75</v>
          </cell>
        </row>
        <row r="115">
          <cell r="C115" t="str">
            <v>01274</v>
          </cell>
          <cell r="D115" t="str">
            <v>Võ Thị Kim Ngân</v>
          </cell>
          <cell r="E115" t="str">
            <v>CS</v>
          </cell>
          <cell r="F115" t="str">
            <v>KIO</v>
          </cell>
          <cell r="G115" t="str">
            <v>Senior Staff</v>
          </cell>
          <cell r="H115">
            <v>43241</v>
          </cell>
          <cell r="I115">
            <v>8</v>
          </cell>
          <cell r="J115">
            <v>8</v>
          </cell>
          <cell r="K115" t="str">
            <v>PO</v>
          </cell>
          <cell r="L115" t="str">
            <v>CN</v>
          </cell>
          <cell r="M115">
            <v>8</v>
          </cell>
          <cell r="N115">
            <v>8</v>
          </cell>
          <cell r="O115">
            <v>8</v>
          </cell>
          <cell r="P115">
            <v>8</v>
          </cell>
          <cell r="Q115">
            <v>8</v>
          </cell>
          <cell r="R115" t="str">
            <v>PO</v>
          </cell>
          <cell r="S115" t="str">
            <v>CN</v>
          </cell>
          <cell r="T115">
            <v>8</v>
          </cell>
          <cell r="U115">
            <v>8</v>
          </cell>
          <cell r="V115">
            <v>8</v>
          </cell>
          <cell r="W115">
            <v>8</v>
          </cell>
          <cell r="X115">
            <v>8</v>
          </cell>
          <cell r="Y115" t="str">
            <v>PO</v>
          </cell>
          <cell r="Z115" t="str">
            <v>CN</v>
          </cell>
          <cell r="AA115">
            <v>8</v>
          </cell>
          <cell r="AB115">
            <v>8</v>
          </cell>
          <cell r="AC115">
            <v>8</v>
          </cell>
          <cell r="AD115">
            <v>8</v>
          </cell>
          <cell r="AE115" t="str">
            <v>AL8</v>
          </cell>
          <cell r="AF115" t="str">
            <v>PO</v>
          </cell>
          <cell r="AG115" t="str">
            <v>CN</v>
          </cell>
          <cell r="AH115">
            <v>8</v>
          </cell>
          <cell r="AI115">
            <v>8</v>
          </cell>
          <cell r="AJ115">
            <v>8</v>
          </cell>
          <cell r="AN115">
            <v>0</v>
          </cell>
          <cell r="AO115">
            <v>152</v>
          </cell>
          <cell r="AP115">
            <v>0</v>
          </cell>
          <cell r="AQ115">
            <v>0</v>
          </cell>
          <cell r="AR115">
            <v>0</v>
          </cell>
          <cell r="AS115">
            <v>0</v>
          </cell>
          <cell r="AT115">
            <v>0</v>
          </cell>
          <cell r="AU115">
            <v>0</v>
          </cell>
          <cell r="AV115">
            <v>32</v>
          </cell>
          <cell r="AW115">
            <v>0</v>
          </cell>
          <cell r="AX115">
            <v>0</v>
          </cell>
          <cell r="AY115">
            <v>0</v>
          </cell>
          <cell r="AZ115">
            <v>0</v>
          </cell>
          <cell r="BA115">
            <v>8</v>
          </cell>
          <cell r="BB115">
            <v>0</v>
          </cell>
          <cell r="BC115">
            <v>0</v>
          </cell>
          <cell r="BD115">
            <v>0</v>
          </cell>
          <cell r="BE115">
            <v>0</v>
          </cell>
          <cell r="BF115">
            <v>0</v>
          </cell>
          <cell r="BG115">
            <v>192</v>
          </cell>
          <cell r="BH115">
            <v>1</v>
          </cell>
          <cell r="BI115">
            <v>1</v>
          </cell>
          <cell r="BJ115">
            <v>6</v>
          </cell>
          <cell r="BL115">
            <v>1</v>
          </cell>
          <cell r="BM115">
            <v>0</v>
          </cell>
          <cell r="BN115">
            <v>0</v>
          </cell>
          <cell r="BO115">
            <v>0</v>
          </cell>
          <cell r="BP115">
            <v>3.75</v>
          </cell>
          <cell r="BQ115">
            <v>3</v>
          </cell>
          <cell r="BR115">
            <v>2</v>
          </cell>
          <cell r="BS115">
            <v>3</v>
          </cell>
          <cell r="BT115">
            <v>0</v>
          </cell>
          <cell r="BU115">
            <v>0</v>
          </cell>
          <cell r="BV115">
            <v>0</v>
          </cell>
          <cell r="BW115">
            <v>3</v>
          </cell>
          <cell r="BX115">
            <v>1.5</v>
          </cell>
          <cell r="BY115">
            <v>3.5</v>
          </cell>
          <cell r="BZ115">
            <v>0</v>
          </cell>
          <cell r="CA115">
            <v>3</v>
          </cell>
          <cell r="CB115">
            <v>0</v>
          </cell>
          <cell r="CC115">
            <v>0</v>
          </cell>
          <cell r="CD115">
            <v>3</v>
          </cell>
          <cell r="CE115">
            <v>2.25</v>
          </cell>
          <cell r="CF115">
            <v>0</v>
          </cell>
          <cell r="CG115">
            <v>2</v>
          </cell>
          <cell r="CH115">
            <v>0</v>
          </cell>
          <cell r="CI115">
            <v>0</v>
          </cell>
          <cell r="CJ115">
            <v>0</v>
          </cell>
          <cell r="CK115">
            <v>2</v>
          </cell>
          <cell r="CL115">
            <v>0</v>
          </cell>
          <cell r="CM115">
            <v>2.75</v>
          </cell>
          <cell r="CR115">
            <v>0</v>
          </cell>
          <cell r="CS115">
            <v>0</v>
          </cell>
          <cell r="CT115">
            <v>35.75</v>
          </cell>
          <cell r="CU115">
            <v>0</v>
          </cell>
          <cell r="CV115">
            <v>0</v>
          </cell>
          <cell r="CZ115">
            <v>35.75</v>
          </cell>
        </row>
        <row r="116">
          <cell r="C116" t="str">
            <v>01279</v>
          </cell>
          <cell r="D116" t="str">
            <v>Trần Thị Chung</v>
          </cell>
          <cell r="E116" t="str">
            <v>PD</v>
          </cell>
          <cell r="F116" t="str">
            <v>PD office</v>
          </cell>
          <cell r="G116" t="str">
            <v xml:space="preserve"> Staff</v>
          </cell>
          <cell r="H116">
            <v>43244</v>
          </cell>
          <cell r="I116">
            <v>8</v>
          </cell>
          <cell r="J116">
            <v>8</v>
          </cell>
          <cell r="K116" t="str">
            <v>PO</v>
          </cell>
          <cell r="L116" t="str">
            <v>CN</v>
          </cell>
          <cell r="M116">
            <v>8</v>
          </cell>
          <cell r="N116">
            <v>8</v>
          </cell>
          <cell r="O116">
            <v>8</v>
          </cell>
          <cell r="P116">
            <v>8</v>
          </cell>
          <cell r="Q116">
            <v>8</v>
          </cell>
          <cell r="R116" t="str">
            <v>PO</v>
          </cell>
          <cell r="S116" t="str">
            <v>CN</v>
          </cell>
          <cell r="T116" t="str">
            <v>AL8</v>
          </cell>
          <cell r="U116">
            <v>8</v>
          </cell>
          <cell r="V116">
            <v>8</v>
          </cell>
          <cell r="W116" t="str">
            <v>AL4</v>
          </cell>
          <cell r="X116">
            <v>8</v>
          </cell>
          <cell r="Y116" t="str">
            <v>PO</v>
          </cell>
          <cell r="Z116" t="str">
            <v>CN</v>
          </cell>
          <cell r="AA116">
            <v>8</v>
          </cell>
          <cell r="AB116">
            <v>8</v>
          </cell>
          <cell r="AC116">
            <v>8</v>
          </cell>
          <cell r="AD116">
            <v>8</v>
          </cell>
          <cell r="AE116">
            <v>8</v>
          </cell>
          <cell r="AF116" t="str">
            <v>PO</v>
          </cell>
          <cell r="AG116" t="str">
            <v>CN</v>
          </cell>
          <cell r="AH116">
            <v>8</v>
          </cell>
          <cell r="AI116">
            <v>8</v>
          </cell>
          <cell r="AJ116">
            <v>8</v>
          </cell>
          <cell r="AN116">
            <v>0</v>
          </cell>
          <cell r="AO116">
            <v>148</v>
          </cell>
          <cell r="AP116">
            <v>4</v>
          </cell>
          <cell r="AQ116">
            <v>0</v>
          </cell>
          <cell r="AR116">
            <v>0</v>
          </cell>
          <cell r="AS116">
            <v>0</v>
          </cell>
          <cell r="AT116">
            <v>0</v>
          </cell>
          <cell r="AU116">
            <v>0</v>
          </cell>
          <cell r="AV116">
            <v>32</v>
          </cell>
          <cell r="AW116">
            <v>0</v>
          </cell>
          <cell r="AX116">
            <v>0</v>
          </cell>
          <cell r="AY116">
            <v>0</v>
          </cell>
          <cell r="AZ116">
            <v>0</v>
          </cell>
          <cell r="BA116">
            <v>12</v>
          </cell>
          <cell r="BB116">
            <v>0</v>
          </cell>
          <cell r="BC116">
            <v>0</v>
          </cell>
          <cell r="BD116">
            <v>0</v>
          </cell>
          <cell r="BE116">
            <v>0</v>
          </cell>
          <cell r="BF116">
            <v>0</v>
          </cell>
          <cell r="BG116">
            <v>192</v>
          </cell>
          <cell r="BH116">
            <v>1.5</v>
          </cell>
          <cell r="BI116">
            <v>1.5</v>
          </cell>
          <cell r="BJ116">
            <v>4.5</v>
          </cell>
          <cell r="BL116">
            <v>0.5</v>
          </cell>
          <cell r="BM116">
            <v>0</v>
          </cell>
          <cell r="BN116">
            <v>0</v>
          </cell>
          <cell r="BO116">
            <v>0</v>
          </cell>
          <cell r="BP116">
            <v>0</v>
          </cell>
          <cell r="BQ116">
            <v>0</v>
          </cell>
          <cell r="BR116">
            <v>0</v>
          </cell>
          <cell r="BS116">
            <v>0.5</v>
          </cell>
          <cell r="BT116">
            <v>0</v>
          </cell>
          <cell r="BU116">
            <v>0</v>
          </cell>
          <cell r="BV116">
            <v>0</v>
          </cell>
          <cell r="BW116">
            <v>0</v>
          </cell>
          <cell r="BX116">
            <v>0</v>
          </cell>
          <cell r="BY116">
            <v>0.5</v>
          </cell>
          <cell r="BZ116">
            <v>0</v>
          </cell>
          <cell r="CA116">
            <v>0</v>
          </cell>
          <cell r="CB116">
            <v>0</v>
          </cell>
          <cell r="CC116">
            <v>0</v>
          </cell>
          <cell r="CD116">
            <v>0.75</v>
          </cell>
          <cell r="CE116">
            <v>0</v>
          </cell>
          <cell r="CF116">
            <v>0</v>
          </cell>
          <cell r="CG116">
            <v>0</v>
          </cell>
          <cell r="CH116">
            <v>0</v>
          </cell>
          <cell r="CI116">
            <v>0</v>
          </cell>
          <cell r="CJ116">
            <v>0</v>
          </cell>
          <cell r="CK116">
            <v>1.5</v>
          </cell>
          <cell r="CL116">
            <v>0.75</v>
          </cell>
          <cell r="CM116">
            <v>0</v>
          </cell>
          <cell r="CR116">
            <v>0</v>
          </cell>
          <cell r="CS116">
            <v>0</v>
          </cell>
          <cell r="CT116">
            <v>4.5</v>
          </cell>
          <cell r="CU116">
            <v>0</v>
          </cell>
          <cell r="CV116">
            <v>0</v>
          </cell>
          <cell r="CZ116">
            <v>4.5</v>
          </cell>
        </row>
        <row r="117">
          <cell r="C117" t="str">
            <v>01325</v>
          </cell>
          <cell r="D117" t="str">
            <v>Nguyễn Văn Sỹ</v>
          </cell>
          <cell r="E117" t="str">
            <v xml:space="preserve">EHS &amp; Facilities </v>
          </cell>
          <cell r="F117" t="str">
            <v>Maintenance</v>
          </cell>
          <cell r="G117" t="str">
            <v>Technician</v>
          </cell>
          <cell r="H117">
            <v>43298</v>
          </cell>
          <cell r="I117">
            <v>8</v>
          </cell>
          <cell r="J117">
            <v>8</v>
          </cell>
          <cell r="K117">
            <v>8</v>
          </cell>
          <cell r="L117" t="str">
            <v>CN</v>
          </cell>
          <cell r="M117">
            <v>8</v>
          </cell>
          <cell r="N117">
            <v>8</v>
          </cell>
          <cell r="O117">
            <v>8</v>
          </cell>
          <cell r="P117">
            <v>8</v>
          </cell>
          <cell r="Q117">
            <v>8</v>
          </cell>
          <cell r="R117">
            <v>8</v>
          </cell>
          <cell r="S117" t="str">
            <v>CN</v>
          </cell>
          <cell r="T117">
            <v>8</v>
          </cell>
          <cell r="U117">
            <v>8</v>
          </cell>
          <cell r="V117">
            <v>8</v>
          </cell>
          <cell r="W117" t="str">
            <v>Đ</v>
          </cell>
          <cell r="X117" t="str">
            <v>Đ</v>
          </cell>
          <cell r="Y117" t="str">
            <v>Đ</v>
          </cell>
          <cell r="Z117" t="str">
            <v>CN</v>
          </cell>
          <cell r="AA117">
            <v>8</v>
          </cell>
          <cell r="AB117">
            <v>8</v>
          </cell>
          <cell r="AC117">
            <v>8</v>
          </cell>
          <cell r="AD117">
            <v>8</v>
          </cell>
          <cell r="AE117">
            <v>8</v>
          </cell>
          <cell r="AF117" t="str">
            <v>AL8</v>
          </cell>
          <cell r="AG117" t="str">
            <v>CN</v>
          </cell>
          <cell r="AH117" t="str">
            <v>AL8</v>
          </cell>
          <cell r="AI117">
            <v>8</v>
          </cell>
          <cell r="AJ117">
            <v>8</v>
          </cell>
          <cell r="AN117">
            <v>24</v>
          </cell>
          <cell r="AO117">
            <v>152</v>
          </cell>
          <cell r="AP117">
            <v>0</v>
          </cell>
          <cell r="AQ117">
            <v>0</v>
          </cell>
          <cell r="AR117">
            <v>0</v>
          </cell>
          <cell r="AS117">
            <v>0</v>
          </cell>
          <cell r="AT117">
            <v>0</v>
          </cell>
          <cell r="AU117">
            <v>0</v>
          </cell>
          <cell r="AV117">
            <v>0</v>
          </cell>
          <cell r="AW117">
            <v>0</v>
          </cell>
          <cell r="AX117">
            <v>0</v>
          </cell>
          <cell r="AY117">
            <v>0</v>
          </cell>
          <cell r="AZ117">
            <v>0</v>
          </cell>
          <cell r="BA117">
            <v>16</v>
          </cell>
          <cell r="BB117">
            <v>0</v>
          </cell>
          <cell r="BC117">
            <v>0</v>
          </cell>
          <cell r="BD117">
            <v>0</v>
          </cell>
          <cell r="BE117">
            <v>0</v>
          </cell>
          <cell r="BF117">
            <v>0</v>
          </cell>
          <cell r="BG117">
            <v>192</v>
          </cell>
          <cell r="BH117">
            <v>2</v>
          </cell>
          <cell r="BI117">
            <v>2</v>
          </cell>
          <cell r="BJ117">
            <v>4</v>
          </cell>
          <cell r="BL117">
            <v>0</v>
          </cell>
          <cell r="BM117">
            <v>4</v>
          </cell>
          <cell r="BN117">
            <v>0</v>
          </cell>
          <cell r="BO117">
            <v>0</v>
          </cell>
          <cell r="BP117">
            <v>4</v>
          </cell>
          <cell r="BQ117">
            <v>0</v>
          </cell>
          <cell r="BR117">
            <v>0</v>
          </cell>
          <cell r="BS117">
            <v>4</v>
          </cell>
          <cell r="BT117">
            <v>4</v>
          </cell>
          <cell r="BU117">
            <v>0</v>
          </cell>
          <cell r="BV117">
            <v>0</v>
          </cell>
          <cell r="BW117">
            <v>0</v>
          </cell>
          <cell r="BX117">
            <v>0</v>
          </cell>
          <cell r="BY117">
            <v>0</v>
          </cell>
          <cell r="BZ117">
            <v>4</v>
          </cell>
          <cell r="CA117">
            <v>4</v>
          </cell>
          <cell r="CB117">
            <v>0</v>
          </cell>
          <cell r="CC117">
            <v>0</v>
          </cell>
          <cell r="CD117">
            <v>0</v>
          </cell>
          <cell r="CE117">
            <v>4</v>
          </cell>
          <cell r="CF117">
            <v>0</v>
          </cell>
          <cell r="CG117">
            <v>0</v>
          </cell>
          <cell r="CH117">
            <v>0</v>
          </cell>
          <cell r="CI117">
            <v>0</v>
          </cell>
          <cell r="CJ117">
            <v>0</v>
          </cell>
          <cell r="CK117">
            <v>0</v>
          </cell>
          <cell r="CL117">
            <v>0</v>
          </cell>
          <cell r="CM117">
            <v>0</v>
          </cell>
          <cell r="CR117">
            <v>0</v>
          </cell>
          <cell r="CS117">
            <v>0</v>
          </cell>
          <cell r="CT117">
            <v>28</v>
          </cell>
          <cell r="CU117">
            <v>0</v>
          </cell>
          <cell r="CV117">
            <v>0</v>
          </cell>
          <cell r="CZ117">
            <v>28</v>
          </cell>
        </row>
        <row r="118">
          <cell r="C118" t="str">
            <v>01329</v>
          </cell>
          <cell r="D118" t="str">
            <v>Lê Thanh Duy</v>
          </cell>
          <cell r="E118" t="str">
            <v>Technical Development</v>
          </cell>
          <cell r="F118" t="str">
            <v>PD Sample</v>
          </cell>
          <cell r="G118" t="str">
            <v>Worker</v>
          </cell>
          <cell r="H118">
            <v>43301</v>
          </cell>
          <cell r="I118">
            <v>8</v>
          </cell>
          <cell r="J118">
            <v>8</v>
          </cell>
          <cell r="K118" t="str">
            <v>AL8</v>
          </cell>
          <cell r="L118" t="str">
            <v>CN</v>
          </cell>
          <cell r="M118">
            <v>8</v>
          </cell>
          <cell r="N118">
            <v>8</v>
          </cell>
          <cell r="O118">
            <v>8</v>
          </cell>
          <cell r="P118">
            <v>8</v>
          </cell>
          <cell r="Q118">
            <v>8</v>
          </cell>
          <cell r="R118">
            <v>8</v>
          </cell>
          <cell r="S118" t="str">
            <v>CN</v>
          </cell>
          <cell r="T118">
            <v>8</v>
          </cell>
          <cell r="U118">
            <v>8</v>
          </cell>
          <cell r="V118">
            <v>8</v>
          </cell>
          <cell r="W118">
            <v>8</v>
          </cell>
          <cell r="X118">
            <v>8</v>
          </cell>
          <cell r="Y118">
            <v>8</v>
          </cell>
          <cell r="Z118" t="str">
            <v>CN</v>
          </cell>
          <cell r="AA118">
            <v>8</v>
          </cell>
          <cell r="AB118">
            <v>8</v>
          </cell>
          <cell r="AC118" t="str">
            <v>AL4</v>
          </cell>
          <cell r="AD118">
            <v>8</v>
          </cell>
          <cell r="AE118">
            <v>8</v>
          </cell>
          <cell r="AF118">
            <v>8</v>
          </cell>
          <cell r="AG118" t="str">
            <v>CN</v>
          </cell>
          <cell r="AH118">
            <v>8</v>
          </cell>
          <cell r="AI118">
            <v>8</v>
          </cell>
          <cell r="AJ118">
            <v>8</v>
          </cell>
          <cell r="AN118">
            <v>0</v>
          </cell>
          <cell r="AO118">
            <v>180</v>
          </cell>
          <cell r="AP118">
            <v>4</v>
          </cell>
          <cell r="AQ118">
            <v>0</v>
          </cell>
          <cell r="AR118">
            <v>0</v>
          </cell>
          <cell r="AS118">
            <v>0</v>
          </cell>
          <cell r="AT118">
            <v>0</v>
          </cell>
          <cell r="AU118">
            <v>0</v>
          </cell>
          <cell r="AV118">
            <v>0</v>
          </cell>
          <cell r="AW118">
            <v>0</v>
          </cell>
          <cell r="AX118">
            <v>0</v>
          </cell>
          <cell r="AY118">
            <v>0</v>
          </cell>
          <cell r="AZ118">
            <v>0</v>
          </cell>
          <cell r="BA118">
            <v>12</v>
          </cell>
          <cell r="BB118">
            <v>0</v>
          </cell>
          <cell r="BC118">
            <v>0</v>
          </cell>
          <cell r="BD118">
            <v>0</v>
          </cell>
          <cell r="BE118">
            <v>0</v>
          </cell>
          <cell r="BF118">
            <v>0</v>
          </cell>
          <cell r="BG118">
            <v>192</v>
          </cell>
          <cell r="BH118">
            <v>1.5</v>
          </cell>
          <cell r="BI118">
            <v>1.5</v>
          </cell>
          <cell r="BJ118">
            <v>0</v>
          </cell>
          <cell r="BL118">
            <v>1</v>
          </cell>
          <cell r="BM118">
            <v>3</v>
          </cell>
          <cell r="BN118">
            <v>0</v>
          </cell>
          <cell r="BO118">
            <v>0</v>
          </cell>
          <cell r="BP118">
            <v>2</v>
          </cell>
          <cell r="BQ118">
            <v>3</v>
          </cell>
          <cell r="BR118">
            <v>3</v>
          </cell>
          <cell r="BS118">
            <v>2</v>
          </cell>
          <cell r="BT118">
            <v>0</v>
          </cell>
          <cell r="BU118">
            <v>0</v>
          </cell>
          <cell r="BV118">
            <v>0</v>
          </cell>
          <cell r="BW118">
            <v>3</v>
          </cell>
          <cell r="BX118">
            <v>1</v>
          </cell>
          <cell r="BY118">
            <v>0</v>
          </cell>
          <cell r="BZ118">
            <v>3</v>
          </cell>
          <cell r="CA118">
            <v>0</v>
          </cell>
          <cell r="CB118">
            <v>0</v>
          </cell>
          <cell r="CC118">
            <v>0</v>
          </cell>
          <cell r="CD118">
            <v>3</v>
          </cell>
          <cell r="CE118">
            <v>2</v>
          </cell>
          <cell r="CF118">
            <v>0</v>
          </cell>
          <cell r="CG118">
            <v>3</v>
          </cell>
          <cell r="CH118">
            <v>3</v>
          </cell>
          <cell r="CI118">
            <v>0</v>
          </cell>
          <cell r="CJ118">
            <v>0</v>
          </cell>
          <cell r="CK118">
            <v>0</v>
          </cell>
          <cell r="CL118">
            <v>0</v>
          </cell>
          <cell r="CM118">
            <v>0</v>
          </cell>
          <cell r="CR118">
            <v>0</v>
          </cell>
          <cell r="CS118">
            <v>0</v>
          </cell>
          <cell r="CT118">
            <v>32</v>
          </cell>
          <cell r="CU118">
            <v>0</v>
          </cell>
          <cell r="CV118">
            <v>0</v>
          </cell>
          <cell r="CZ118">
            <v>32</v>
          </cell>
        </row>
        <row r="119">
          <cell r="C119" t="str">
            <v>01351</v>
          </cell>
          <cell r="D119" t="str">
            <v>Trần Khánh Ly</v>
          </cell>
          <cell r="E119" t="str">
            <v>HR &amp; Admin</v>
          </cell>
          <cell r="F119" t="str">
            <v>HR</v>
          </cell>
          <cell r="G119" t="str">
            <v>Associate Specialist</v>
          </cell>
          <cell r="H119">
            <v>43343</v>
          </cell>
          <cell r="I119">
            <v>8</v>
          </cell>
          <cell r="J119">
            <v>8</v>
          </cell>
          <cell r="K119" t="str">
            <v>PO</v>
          </cell>
          <cell r="L119" t="str">
            <v>CN</v>
          </cell>
          <cell r="M119">
            <v>8</v>
          </cell>
          <cell r="N119">
            <v>8</v>
          </cell>
          <cell r="O119">
            <v>8</v>
          </cell>
          <cell r="P119">
            <v>8</v>
          </cell>
          <cell r="Q119">
            <v>8</v>
          </cell>
          <cell r="R119" t="str">
            <v>PO</v>
          </cell>
          <cell r="S119" t="str">
            <v>CN</v>
          </cell>
          <cell r="T119">
            <v>8</v>
          </cell>
          <cell r="U119">
            <v>8</v>
          </cell>
          <cell r="V119">
            <v>8</v>
          </cell>
          <cell r="W119">
            <v>8</v>
          </cell>
          <cell r="X119">
            <v>8</v>
          </cell>
          <cell r="Y119" t="str">
            <v>PO</v>
          </cell>
          <cell r="Z119" t="str">
            <v>CN</v>
          </cell>
          <cell r="AA119">
            <v>8</v>
          </cell>
          <cell r="AB119" t="str">
            <v>BS</v>
          </cell>
          <cell r="AC119">
            <v>8</v>
          </cell>
          <cell r="AD119">
            <v>8</v>
          </cell>
          <cell r="AE119">
            <v>8</v>
          </cell>
          <cell r="AF119" t="str">
            <v>PO</v>
          </cell>
          <cell r="AG119" t="str">
            <v>CN</v>
          </cell>
          <cell r="AH119">
            <v>8</v>
          </cell>
          <cell r="AI119">
            <v>8</v>
          </cell>
          <cell r="AJ119">
            <v>8</v>
          </cell>
          <cell r="AN119">
            <v>0</v>
          </cell>
          <cell r="AO119">
            <v>152</v>
          </cell>
          <cell r="AP119">
            <v>0</v>
          </cell>
          <cell r="AQ119">
            <v>0</v>
          </cell>
          <cell r="AR119">
            <v>0</v>
          </cell>
          <cell r="AS119">
            <v>0</v>
          </cell>
          <cell r="AT119">
            <v>0</v>
          </cell>
          <cell r="AU119">
            <v>8</v>
          </cell>
          <cell r="AV119">
            <v>32</v>
          </cell>
          <cell r="AW119">
            <v>0</v>
          </cell>
          <cell r="AX119">
            <v>0</v>
          </cell>
          <cell r="AY119">
            <v>0</v>
          </cell>
          <cell r="AZ119">
            <v>0</v>
          </cell>
          <cell r="BA119">
            <v>0</v>
          </cell>
          <cell r="BB119">
            <v>0</v>
          </cell>
          <cell r="BC119">
            <v>0</v>
          </cell>
          <cell r="BD119">
            <v>0</v>
          </cell>
          <cell r="BE119">
            <v>0</v>
          </cell>
          <cell r="BF119">
            <v>0</v>
          </cell>
          <cell r="BG119">
            <v>192</v>
          </cell>
          <cell r="BH119">
            <v>0</v>
          </cell>
          <cell r="BI119">
            <v>0</v>
          </cell>
          <cell r="BJ119">
            <v>4.5</v>
          </cell>
          <cell r="BL119">
            <v>0</v>
          </cell>
          <cell r="BM119">
            <v>0</v>
          </cell>
          <cell r="BN119">
            <v>0</v>
          </cell>
          <cell r="BO119">
            <v>0</v>
          </cell>
          <cell r="BP119">
            <v>0</v>
          </cell>
          <cell r="BQ119">
            <v>0</v>
          </cell>
          <cell r="BR119">
            <v>0</v>
          </cell>
          <cell r="BS119">
            <v>0</v>
          </cell>
          <cell r="BT119">
            <v>0</v>
          </cell>
          <cell r="BU119">
            <v>0</v>
          </cell>
          <cell r="BV119">
            <v>0</v>
          </cell>
          <cell r="BW119">
            <v>0</v>
          </cell>
          <cell r="BX119">
            <v>0</v>
          </cell>
          <cell r="BY119">
            <v>0</v>
          </cell>
          <cell r="BZ119">
            <v>0</v>
          </cell>
          <cell r="CA119">
            <v>0</v>
          </cell>
          <cell r="CB119">
            <v>0</v>
          </cell>
          <cell r="CC119">
            <v>0</v>
          </cell>
          <cell r="CD119">
            <v>0</v>
          </cell>
          <cell r="CE119">
            <v>0</v>
          </cell>
          <cell r="CF119">
            <v>0</v>
          </cell>
          <cell r="CG119">
            <v>0</v>
          </cell>
          <cell r="CH119">
            <v>0</v>
          </cell>
          <cell r="CI119">
            <v>0</v>
          </cell>
          <cell r="CJ119">
            <v>0</v>
          </cell>
          <cell r="CK119">
            <v>0</v>
          </cell>
          <cell r="CL119">
            <v>0</v>
          </cell>
          <cell r="CM119">
            <v>0</v>
          </cell>
          <cell r="CR119">
            <v>0</v>
          </cell>
          <cell r="CS119">
            <v>0</v>
          </cell>
          <cell r="CT119">
            <v>0</v>
          </cell>
          <cell r="CU119">
            <v>0</v>
          </cell>
          <cell r="CV119">
            <v>0</v>
          </cell>
          <cell r="CZ119">
            <v>0</v>
          </cell>
        </row>
        <row r="120">
          <cell r="C120" t="str">
            <v>01362</v>
          </cell>
          <cell r="D120" t="str">
            <v>Huỳnh Văn Trường</v>
          </cell>
          <cell r="E120" t="str">
            <v>Foaming</v>
          </cell>
          <cell r="F120" t="str">
            <v>FOAMING Splitting</v>
          </cell>
          <cell r="G120" t="str">
            <v>Operator</v>
          </cell>
          <cell r="H120">
            <v>43356</v>
          </cell>
          <cell r="I120">
            <v>8</v>
          </cell>
          <cell r="J120">
            <v>8</v>
          </cell>
          <cell r="K120" t="str">
            <v>AL8</v>
          </cell>
          <cell r="L120" t="str">
            <v>CN</v>
          </cell>
          <cell r="M120">
            <v>8</v>
          </cell>
          <cell r="N120">
            <v>8</v>
          </cell>
          <cell r="O120">
            <v>8</v>
          </cell>
          <cell r="P120">
            <v>8</v>
          </cell>
          <cell r="Q120">
            <v>8</v>
          </cell>
          <cell r="R120">
            <v>8</v>
          </cell>
          <cell r="S120" t="str">
            <v>CN</v>
          </cell>
          <cell r="T120">
            <v>8</v>
          </cell>
          <cell r="U120">
            <v>8</v>
          </cell>
          <cell r="V120">
            <v>8</v>
          </cell>
          <cell r="W120">
            <v>8</v>
          </cell>
          <cell r="X120">
            <v>8</v>
          </cell>
          <cell r="Y120">
            <v>8</v>
          </cell>
          <cell r="Z120" t="str">
            <v>CN</v>
          </cell>
          <cell r="AA120" t="str">
            <v>Đ</v>
          </cell>
          <cell r="AB120" t="str">
            <v>Đ</v>
          </cell>
          <cell r="AC120" t="str">
            <v>Đ</v>
          </cell>
          <cell r="AD120" t="str">
            <v>Đ</v>
          </cell>
          <cell r="AE120" t="str">
            <v>Đ</v>
          </cell>
          <cell r="AF120" t="str">
            <v>Đ</v>
          </cell>
          <cell r="AG120" t="str">
            <v>CN</v>
          </cell>
          <cell r="AH120" t="str">
            <v>Đ</v>
          </cell>
          <cell r="AI120" t="str">
            <v>Đ</v>
          </cell>
          <cell r="AJ120" t="str">
            <v>Đ</v>
          </cell>
          <cell r="AN120">
            <v>72</v>
          </cell>
          <cell r="AO120">
            <v>112</v>
          </cell>
          <cell r="AP120">
            <v>0</v>
          </cell>
          <cell r="AQ120">
            <v>0</v>
          </cell>
          <cell r="AR120">
            <v>0</v>
          </cell>
          <cell r="AS120">
            <v>0</v>
          </cell>
          <cell r="AT120">
            <v>0</v>
          </cell>
          <cell r="AU120">
            <v>0</v>
          </cell>
          <cell r="AV120">
            <v>0</v>
          </cell>
          <cell r="AW120">
            <v>0</v>
          </cell>
          <cell r="AX120">
            <v>0</v>
          </cell>
          <cell r="AY120">
            <v>0</v>
          </cell>
          <cell r="AZ120">
            <v>0</v>
          </cell>
          <cell r="BA120">
            <v>8</v>
          </cell>
          <cell r="BB120">
            <v>0</v>
          </cell>
          <cell r="BC120">
            <v>0</v>
          </cell>
          <cell r="BD120">
            <v>0</v>
          </cell>
          <cell r="BE120">
            <v>0</v>
          </cell>
          <cell r="BF120">
            <v>0</v>
          </cell>
          <cell r="BG120">
            <v>192</v>
          </cell>
          <cell r="BH120">
            <v>1</v>
          </cell>
          <cell r="BI120">
            <v>1</v>
          </cell>
          <cell r="BJ120">
            <v>0.5</v>
          </cell>
          <cell r="BL120">
            <v>4</v>
          </cell>
          <cell r="BM120">
            <v>4</v>
          </cell>
          <cell r="BN120">
            <v>0</v>
          </cell>
          <cell r="BO120">
            <v>12</v>
          </cell>
          <cell r="BP120">
            <v>0</v>
          </cell>
          <cell r="BQ120">
            <v>4</v>
          </cell>
          <cell r="BR120">
            <v>4</v>
          </cell>
          <cell r="BS120">
            <v>4</v>
          </cell>
          <cell r="BT120">
            <v>4</v>
          </cell>
          <cell r="BU120">
            <v>4</v>
          </cell>
          <cell r="BV120">
            <v>12</v>
          </cell>
          <cell r="BW120">
            <v>4</v>
          </cell>
          <cell r="BX120">
            <v>4</v>
          </cell>
          <cell r="BY120">
            <v>4</v>
          </cell>
          <cell r="BZ120">
            <v>4</v>
          </cell>
          <cell r="CA120">
            <v>4</v>
          </cell>
          <cell r="CB120">
            <v>3</v>
          </cell>
          <cell r="CC120" t="str">
            <v>12Đ</v>
          </cell>
          <cell r="CD120">
            <v>4</v>
          </cell>
          <cell r="CE120">
            <v>4</v>
          </cell>
          <cell r="CF120">
            <v>4</v>
          </cell>
          <cell r="CG120">
            <v>4</v>
          </cell>
          <cell r="CH120">
            <v>4</v>
          </cell>
          <cell r="CI120">
            <v>4</v>
          </cell>
          <cell r="CJ120" t="str">
            <v>12Đ</v>
          </cell>
          <cell r="CK120">
            <v>4</v>
          </cell>
          <cell r="CL120">
            <v>0</v>
          </cell>
          <cell r="CM120">
            <v>4</v>
          </cell>
          <cell r="CR120">
            <v>0</v>
          </cell>
          <cell r="CS120">
            <v>0</v>
          </cell>
          <cell r="CT120">
            <v>83</v>
          </cell>
          <cell r="CU120">
            <v>32</v>
          </cell>
          <cell r="CV120">
            <v>16</v>
          </cell>
          <cell r="CZ120">
            <v>131</v>
          </cell>
        </row>
        <row r="121">
          <cell r="C121" t="str">
            <v>01364</v>
          </cell>
          <cell r="D121" t="str">
            <v>Lê Minh Bàng</v>
          </cell>
          <cell r="E121" t="str">
            <v>Production</v>
          </cell>
          <cell r="F121" t="str">
            <v>Die Cut</v>
          </cell>
          <cell r="G121" t="str">
            <v>Worker</v>
          </cell>
          <cell r="H121">
            <v>43369</v>
          </cell>
          <cell r="I121">
            <v>8</v>
          </cell>
          <cell r="J121">
            <v>8</v>
          </cell>
          <cell r="K121" t="str">
            <v>AL8</v>
          </cell>
          <cell r="L121" t="str">
            <v>CN</v>
          </cell>
          <cell r="M121" t="str">
            <v>Đ</v>
          </cell>
          <cell r="N121" t="str">
            <v>Đ</v>
          </cell>
          <cell r="O121" t="str">
            <v>Đ</v>
          </cell>
          <cell r="P121" t="str">
            <v>Đ</v>
          </cell>
          <cell r="Q121" t="str">
            <v>Đ</v>
          </cell>
          <cell r="R121" t="str">
            <v>Đ</v>
          </cell>
          <cell r="S121" t="str">
            <v>CN</v>
          </cell>
          <cell r="T121" t="str">
            <v>AL8</v>
          </cell>
          <cell r="U121">
            <v>8</v>
          </cell>
          <cell r="V121">
            <v>8</v>
          </cell>
          <cell r="W121">
            <v>8</v>
          </cell>
          <cell r="X121">
            <v>8</v>
          </cell>
          <cell r="Y121">
            <v>8</v>
          </cell>
          <cell r="Z121" t="str">
            <v>CN</v>
          </cell>
          <cell r="AA121" t="str">
            <v>Đ</v>
          </cell>
          <cell r="AB121" t="str">
            <v>Đ</v>
          </cell>
          <cell r="AC121" t="str">
            <v>Đ</v>
          </cell>
          <cell r="AD121" t="str">
            <v>Đ</v>
          </cell>
          <cell r="AE121" t="str">
            <v>Đ</v>
          </cell>
          <cell r="AF121" t="str">
            <v>Đ</v>
          </cell>
          <cell r="AG121" t="str">
            <v>CN</v>
          </cell>
          <cell r="AH121" t="str">
            <v>AL4</v>
          </cell>
          <cell r="AI121">
            <v>8</v>
          </cell>
          <cell r="AJ121">
            <v>8</v>
          </cell>
          <cell r="AN121">
            <v>96</v>
          </cell>
          <cell r="AO121">
            <v>76</v>
          </cell>
          <cell r="AP121">
            <v>4</v>
          </cell>
          <cell r="AQ121">
            <v>0</v>
          </cell>
          <cell r="AR121">
            <v>0</v>
          </cell>
          <cell r="AS121">
            <v>0</v>
          </cell>
          <cell r="AT121">
            <v>0</v>
          </cell>
          <cell r="AU121">
            <v>0</v>
          </cell>
          <cell r="AV121">
            <v>0</v>
          </cell>
          <cell r="AW121">
            <v>0</v>
          </cell>
          <cell r="AX121">
            <v>0</v>
          </cell>
          <cell r="AY121">
            <v>0</v>
          </cell>
          <cell r="AZ121">
            <v>0</v>
          </cell>
          <cell r="BA121">
            <v>20</v>
          </cell>
          <cell r="BB121">
            <v>0</v>
          </cell>
          <cell r="BC121">
            <v>0</v>
          </cell>
          <cell r="BD121">
            <v>0</v>
          </cell>
          <cell r="BE121">
            <v>0</v>
          </cell>
          <cell r="BF121">
            <v>0</v>
          </cell>
          <cell r="BG121">
            <v>192</v>
          </cell>
          <cell r="BH121">
            <v>2.5</v>
          </cell>
          <cell r="BI121">
            <v>2.5</v>
          </cell>
          <cell r="BJ121">
            <v>1</v>
          </cell>
          <cell r="BL121">
            <v>0</v>
          </cell>
          <cell r="BM121">
            <v>0</v>
          </cell>
          <cell r="BN121">
            <v>0</v>
          </cell>
          <cell r="BO121">
            <v>0</v>
          </cell>
          <cell r="BP121">
            <v>1.5</v>
          </cell>
          <cell r="BQ121">
            <v>3</v>
          </cell>
          <cell r="BR121">
            <v>0</v>
          </cell>
          <cell r="BS121">
            <v>3</v>
          </cell>
          <cell r="BT121">
            <v>3</v>
          </cell>
          <cell r="BU121">
            <v>0</v>
          </cell>
          <cell r="BV121">
            <v>0</v>
          </cell>
          <cell r="BW121">
            <v>0</v>
          </cell>
          <cell r="BX121">
            <v>3</v>
          </cell>
          <cell r="BY121">
            <v>3</v>
          </cell>
          <cell r="BZ121">
            <v>3</v>
          </cell>
          <cell r="CA121">
            <v>3</v>
          </cell>
          <cell r="CB121">
            <v>3</v>
          </cell>
          <cell r="CC121">
            <v>8</v>
          </cell>
          <cell r="CD121">
            <v>4</v>
          </cell>
          <cell r="CE121">
            <v>4</v>
          </cell>
          <cell r="CF121">
            <v>4</v>
          </cell>
          <cell r="CG121">
            <v>4</v>
          </cell>
          <cell r="CH121">
            <v>1.5</v>
          </cell>
          <cell r="CI121">
            <v>1.5</v>
          </cell>
          <cell r="CJ121">
            <v>0</v>
          </cell>
          <cell r="CK121">
            <v>0</v>
          </cell>
          <cell r="CL121">
            <v>1.5</v>
          </cell>
          <cell r="CM121">
            <v>1.5</v>
          </cell>
          <cell r="CR121">
            <v>0</v>
          </cell>
          <cell r="CS121">
            <v>0</v>
          </cell>
          <cell r="CT121">
            <v>47.5</v>
          </cell>
          <cell r="CU121">
            <v>8</v>
          </cell>
          <cell r="CV121">
            <v>0</v>
          </cell>
          <cell r="CZ121">
            <v>55.5</v>
          </cell>
        </row>
        <row r="122">
          <cell r="C122" t="str">
            <v>01381</v>
          </cell>
          <cell r="D122" t="str">
            <v>Trần Viết Hùng</v>
          </cell>
          <cell r="E122" t="str">
            <v xml:space="preserve">EHS &amp; Facilities </v>
          </cell>
          <cell r="F122" t="str">
            <v>Maintenance</v>
          </cell>
          <cell r="G122" t="str">
            <v>Senior Technician</v>
          </cell>
          <cell r="H122" t="str">
            <v>08/11/2018</v>
          </cell>
          <cell r="I122">
            <v>8</v>
          </cell>
          <cell r="J122">
            <v>8</v>
          </cell>
          <cell r="K122" t="str">
            <v>CN</v>
          </cell>
          <cell r="L122">
            <v>8</v>
          </cell>
          <cell r="M122">
            <v>8</v>
          </cell>
          <cell r="N122">
            <v>8</v>
          </cell>
          <cell r="O122" t="str">
            <v>AL8</v>
          </cell>
          <cell r="P122" t="str">
            <v>AL8</v>
          </cell>
          <cell r="Q122" t="str">
            <v>AL8</v>
          </cell>
          <cell r="R122" t="str">
            <v>CN</v>
          </cell>
          <cell r="S122" t="str">
            <v>AL8</v>
          </cell>
          <cell r="T122" t="str">
            <v>Đ</v>
          </cell>
          <cell r="U122" t="str">
            <v>Đ</v>
          </cell>
          <cell r="V122" t="str">
            <v>Đ</v>
          </cell>
          <cell r="W122" t="str">
            <v>Đ</v>
          </cell>
          <cell r="X122" t="str">
            <v>Đ</v>
          </cell>
          <cell r="Y122" t="str">
            <v>CN</v>
          </cell>
          <cell r="Z122">
            <v>8</v>
          </cell>
          <cell r="AA122">
            <v>8</v>
          </cell>
          <cell r="AB122">
            <v>8</v>
          </cell>
          <cell r="AC122">
            <v>8</v>
          </cell>
          <cell r="AD122">
            <v>8</v>
          </cell>
          <cell r="AE122">
            <v>8</v>
          </cell>
          <cell r="AF122" t="str">
            <v>CN</v>
          </cell>
          <cell r="AG122">
            <v>8</v>
          </cell>
          <cell r="AH122">
            <v>8</v>
          </cell>
          <cell r="AI122">
            <v>8</v>
          </cell>
          <cell r="AJ122">
            <v>8</v>
          </cell>
          <cell r="AN122">
            <v>40</v>
          </cell>
          <cell r="AO122">
            <v>120</v>
          </cell>
          <cell r="AP122">
            <v>0</v>
          </cell>
          <cell r="AQ122">
            <v>0</v>
          </cell>
          <cell r="AR122">
            <v>0</v>
          </cell>
          <cell r="AS122">
            <v>0</v>
          </cell>
          <cell r="AT122">
            <v>0</v>
          </cell>
          <cell r="AU122">
            <v>0</v>
          </cell>
          <cell r="AV122">
            <v>0</v>
          </cell>
          <cell r="AW122">
            <v>0</v>
          </cell>
          <cell r="AX122">
            <v>0</v>
          </cell>
          <cell r="AY122">
            <v>0</v>
          </cell>
          <cell r="AZ122">
            <v>0</v>
          </cell>
          <cell r="BA122">
            <v>32</v>
          </cell>
          <cell r="BB122">
            <v>0</v>
          </cell>
          <cell r="BC122">
            <v>0</v>
          </cell>
          <cell r="BD122">
            <v>0</v>
          </cell>
          <cell r="BE122">
            <v>0</v>
          </cell>
          <cell r="BF122">
            <v>0</v>
          </cell>
          <cell r="BG122">
            <v>192</v>
          </cell>
          <cell r="BH122">
            <v>4</v>
          </cell>
          <cell r="BI122">
            <v>4</v>
          </cell>
          <cell r="BJ122">
            <v>1</v>
          </cell>
          <cell r="BL122">
            <v>4</v>
          </cell>
          <cell r="BM122">
            <v>0</v>
          </cell>
          <cell r="BN122">
            <v>0</v>
          </cell>
          <cell r="BO122">
            <v>0</v>
          </cell>
          <cell r="BP122">
            <v>3</v>
          </cell>
          <cell r="BQ122">
            <v>0</v>
          </cell>
          <cell r="BR122">
            <v>0</v>
          </cell>
          <cell r="BS122">
            <v>0</v>
          </cell>
          <cell r="BT122">
            <v>0</v>
          </cell>
          <cell r="BU122">
            <v>0</v>
          </cell>
          <cell r="BV122">
            <v>0</v>
          </cell>
          <cell r="BW122">
            <v>0</v>
          </cell>
          <cell r="BX122">
            <v>0</v>
          </cell>
          <cell r="BY122">
            <v>0</v>
          </cell>
          <cell r="BZ122">
            <v>4</v>
          </cell>
          <cell r="CA122">
            <v>3.5</v>
          </cell>
          <cell r="CB122">
            <v>0</v>
          </cell>
          <cell r="CC122">
            <v>0</v>
          </cell>
          <cell r="CD122">
            <v>0</v>
          </cell>
          <cell r="CE122">
            <v>4</v>
          </cell>
          <cell r="CF122">
            <v>0</v>
          </cell>
          <cell r="CG122">
            <v>0</v>
          </cell>
          <cell r="CH122">
            <v>0</v>
          </cell>
          <cell r="CI122">
            <v>0</v>
          </cell>
          <cell r="CJ122">
            <v>3</v>
          </cell>
          <cell r="CK122">
            <v>0</v>
          </cell>
          <cell r="CL122">
            <v>0</v>
          </cell>
          <cell r="CM122">
            <v>0</v>
          </cell>
          <cell r="CQ122">
            <v>4</v>
          </cell>
          <cell r="CR122">
            <v>0</v>
          </cell>
          <cell r="CS122">
            <v>0</v>
          </cell>
          <cell r="CT122">
            <v>21.5</v>
          </cell>
          <cell r="CU122">
            <v>0</v>
          </cell>
          <cell r="CV122">
            <v>0</v>
          </cell>
          <cell r="CZ122">
            <v>25.5</v>
          </cell>
        </row>
        <row r="123">
          <cell r="C123" t="str">
            <v>01399</v>
          </cell>
          <cell r="D123" t="str">
            <v>Dương Thị Thúy</v>
          </cell>
          <cell r="E123" t="str">
            <v>Production</v>
          </cell>
          <cell r="F123" t="str">
            <v>Prefitting</v>
          </cell>
          <cell r="G123" t="str">
            <v>Worker</v>
          </cell>
          <cell r="H123">
            <v>43423</v>
          </cell>
          <cell r="I123">
            <v>8</v>
          </cell>
          <cell r="J123">
            <v>8</v>
          </cell>
          <cell r="K123">
            <v>8</v>
          </cell>
          <cell r="L123" t="str">
            <v>CN</v>
          </cell>
          <cell r="M123">
            <v>8</v>
          </cell>
          <cell r="N123" t="str">
            <v>AL8</v>
          </cell>
          <cell r="O123">
            <v>8</v>
          </cell>
          <cell r="P123">
            <v>8</v>
          </cell>
          <cell r="Q123">
            <v>8</v>
          </cell>
          <cell r="R123">
            <v>8</v>
          </cell>
          <cell r="S123" t="str">
            <v>CN</v>
          </cell>
          <cell r="T123" t="str">
            <v>Đ</v>
          </cell>
          <cell r="U123" t="str">
            <v>Đ</v>
          </cell>
          <cell r="V123" t="str">
            <v>Đ</v>
          </cell>
          <cell r="W123" t="str">
            <v>Đ</v>
          </cell>
          <cell r="X123" t="str">
            <v>Đ</v>
          </cell>
          <cell r="Y123" t="str">
            <v>Đ</v>
          </cell>
          <cell r="Z123" t="str">
            <v>CN</v>
          </cell>
          <cell r="AA123">
            <v>8</v>
          </cell>
          <cell r="AB123">
            <v>8</v>
          </cell>
          <cell r="AC123">
            <v>8</v>
          </cell>
          <cell r="AD123">
            <v>8</v>
          </cell>
          <cell r="AE123">
            <v>8</v>
          </cell>
          <cell r="AF123">
            <v>8</v>
          </cell>
          <cell r="AG123" t="str">
            <v>CN</v>
          </cell>
          <cell r="AH123">
            <v>8</v>
          </cell>
          <cell r="AI123">
            <v>8</v>
          </cell>
          <cell r="AJ123">
            <v>8</v>
          </cell>
          <cell r="AN123">
            <v>48</v>
          </cell>
          <cell r="AO123">
            <v>136</v>
          </cell>
          <cell r="AP123">
            <v>0</v>
          </cell>
          <cell r="AQ123">
            <v>0</v>
          </cell>
          <cell r="AR123">
            <v>0</v>
          </cell>
          <cell r="AS123">
            <v>0</v>
          </cell>
          <cell r="AT123">
            <v>0</v>
          </cell>
          <cell r="AU123">
            <v>0</v>
          </cell>
          <cell r="AV123">
            <v>0</v>
          </cell>
          <cell r="AW123">
            <v>0</v>
          </cell>
          <cell r="AX123">
            <v>0</v>
          </cell>
          <cell r="AY123">
            <v>0</v>
          </cell>
          <cell r="AZ123">
            <v>0</v>
          </cell>
          <cell r="BA123">
            <v>8</v>
          </cell>
          <cell r="BB123">
            <v>0</v>
          </cell>
          <cell r="BC123">
            <v>0</v>
          </cell>
          <cell r="BD123">
            <v>0</v>
          </cell>
          <cell r="BE123">
            <v>0</v>
          </cell>
          <cell r="BF123">
            <v>0</v>
          </cell>
          <cell r="BG123">
            <v>192</v>
          </cell>
          <cell r="BH123">
            <v>1</v>
          </cell>
          <cell r="BI123">
            <v>1</v>
          </cell>
          <cell r="BJ123">
            <v>0.5</v>
          </cell>
          <cell r="BL123">
            <v>0</v>
          </cell>
          <cell r="BM123">
            <v>4</v>
          </cell>
          <cell r="BN123">
            <v>0</v>
          </cell>
          <cell r="BO123">
            <v>0</v>
          </cell>
          <cell r="BP123">
            <v>0</v>
          </cell>
          <cell r="BQ123">
            <v>0</v>
          </cell>
          <cell r="BR123">
            <v>0</v>
          </cell>
          <cell r="BS123">
            <v>0</v>
          </cell>
          <cell r="BT123">
            <v>0</v>
          </cell>
          <cell r="BU123">
            <v>0</v>
          </cell>
          <cell r="BV123">
            <v>0</v>
          </cell>
          <cell r="BW123">
            <v>0</v>
          </cell>
          <cell r="BX123">
            <v>0</v>
          </cell>
          <cell r="BY123">
            <v>0</v>
          </cell>
          <cell r="BZ123">
            <v>0</v>
          </cell>
          <cell r="CA123">
            <v>0</v>
          </cell>
          <cell r="CB123">
            <v>0</v>
          </cell>
          <cell r="CC123">
            <v>0</v>
          </cell>
          <cell r="CD123">
            <v>0</v>
          </cell>
          <cell r="CE123">
            <v>0</v>
          </cell>
          <cell r="CF123">
            <v>0</v>
          </cell>
          <cell r="CG123">
            <v>0</v>
          </cell>
          <cell r="CH123">
            <v>0</v>
          </cell>
          <cell r="CI123">
            <v>0</v>
          </cell>
          <cell r="CJ123">
            <v>0</v>
          </cell>
          <cell r="CK123">
            <v>0</v>
          </cell>
          <cell r="CL123">
            <v>0</v>
          </cell>
          <cell r="CM123">
            <v>0</v>
          </cell>
          <cell r="CR123">
            <v>0</v>
          </cell>
          <cell r="CS123">
            <v>0</v>
          </cell>
          <cell r="CT123">
            <v>4</v>
          </cell>
          <cell r="CU123">
            <v>0</v>
          </cell>
          <cell r="CV123">
            <v>0</v>
          </cell>
          <cell r="CZ123">
            <v>4</v>
          </cell>
        </row>
        <row r="124">
          <cell r="C124" t="str">
            <v>01426</v>
          </cell>
          <cell r="D124" t="str">
            <v>Lê Thị Yến Nhi</v>
          </cell>
          <cell r="E124" t="str">
            <v>Production</v>
          </cell>
          <cell r="F124" t="str">
            <v>Prefitting</v>
          </cell>
          <cell r="G124" t="str">
            <v>Worker</v>
          </cell>
          <cell r="H124">
            <v>43437</v>
          </cell>
          <cell r="I124">
            <v>8</v>
          </cell>
          <cell r="J124" t="str">
            <v>Đ</v>
          </cell>
          <cell r="K124" t="str">
            <v>Đ</v>
          </cell>
          <cell r="L124" t="str">
            <v>CN</v>
          </cell>
          <cell r="M124">
            <v>8</v>
          </cell>
          <cell r="N124">
            <v>8</v>
          </cell>
          <cell r="O124">
            <v>8</v>
          </cell>
          <cell r="P124">
            <v>8</v>
          </cell>
          <cell r="Q124">
            <v>8</v>
          </cell>
          <cell r="R124">
            <v>8</v>
          </cell>
          <cell r="S124" t="str">
            <v>CN</v>
          </cell>
          <cell r="T124">
            <v>8</v>
          </cell>
          <cell r="U124">
            <v>8</v>
          </cell>
          <cell r="V124">
            <v>8</v>
          </cell>
          <cell r="W124">
            <v>8</v>
          </cell>
          <cell r="X124" t="str">
            <v>Đ</v>
          </cell>
          <cell r="Y124" t="str">
            <v>Đ</v>
          </cell>
          <cell r="Z124" t="str">
            <v>CN</v>
          </cell>
          <cell r="AA124">
            <v>8</v>
          </cell>
          <cell r="AB124">
            <v>8</v>
          </cell>
          <cell r="AC124">
            <v>8</v>
          </cell>
          <cell r="AD124">
            <v>8</v>
          </cell>
          <cell r="AE124">
            <v>8</v>
          </cell>
          <cell r="AF124">
            <v>8</v>
          </cell>
          <cell r="AG124" t="str">
            <v>CN</v>
          </cell>
          <cell r="AH124">
            <v>8</v>
          </cell>
          <cell r="AI124">
            <v>8</v>
          </cell>
          <cell r="AJ124" t="str">
            <v>AL4</v>
          </cell>
          <cell r="AN124">
            <v>32</v>
          </cell>
          <cell r="AO124">
            <v>156</v>
          </cell>
          <cell r="AP124">
            <v>4</v>
          </cell>
          <cell r="AQ124">
            <v>0</v>
          </cell>
          <cell r="AR124">
            <v>0</v>
          </cell>
          <cell r="AS124">
            <v>0</v>
          </cell>
          <cell r="AT124">
            <v>0</v>
          </cell>
          <cell r="AU124">
            <v>0</v>
          </cell>
          <cell r="AV124">
            <v>0</v>
          </cell>
          <cell r="AW124">
            <v>0</v>
          </cell>
          <cell r="AX124">
            <v>0</v>
          </cell>
          <cell r="AY124">
            <v>0</v>
          </cell>
          <cell r="AZ124">
            <v>0</v>
          </cell>
          <cell r="BA124">
            <v>4</v>
          </cell>
          <cell r="BB124">
            <v>0</v>
          </cell>
          <cell r="BC124">
            <v>0</v>
          </cell>
          <cell r="BD124">
            <v>0</v>
          </cell>
          <cell r="BE124">
            <v>0</v>
          </cell>
          <cell r="BF124">
            <v>0</v>
          </cell>
          <cell r="BG124">
            <v>192</v>
          </cell>
          <cell r="BH124">
            <v>0.5</v>
          </cell>
          <cell r="BI124">
            <v>0.5</v>
          </cell>
          <cell r="BJ124">
            <v>2.5</v>
          </cell>
          <cell r="BL124">
            <v>0</v>
          </cell>
          <cell r="BM124">
            <v>4</v>
          </cell>
          <cell r="BN124">
            <v>4</v>
          </cell>
          <cell r="BO124">
            <v>0</v>
          </cell>
          <cell r="BP124">
            <v>0</v>
          </cell>
          <cell r="BQ124">
            <v>0</v>
          </cell>
          <cell r="BR124">
            <v>0</v>
          </cell>
          <cell r="BS124">
            <v>0</v>
          </cell>
          <cell r="BT124">
            <v>4</v>
          </cell>
          <cell r="BU124">
            <v>4</v>
          </cell>
          <cell r="BV124">
            <v>0</v>
          </cell>
          <cell r="BW124">
            <v>0</v>
          </cell>
          <cell r="BX124">
            <v>4</v>
          </cell>
          <cell r="BY124">
            <v>0</v>
          </cell>
          <cell r="BZ124">
            <v>0</v>
          </cell>
          <cell r="CA124">
            <v>4</v>
          </cell>
          <cell r="CB124">
            <v>4</v>
          </cell>
          <cell r="CC124">
            <v>0</v>
          </cell>
          <cell r="CD124">
            <v>0</v>
          </cell>
          <cell r="CE124">
            <v>0</v>
          </cell>
          <cell r="CF124">
            <v>0</v>
          </cell>
          <cell r="CG124">
            <v>0</v>
          </cell>
          <cell r="CH124">
            <v>4</v>
          </cell>
          <cell r="CI124">
            <v>4</v>
          </cell>
          <cell r="CJ124">
            <v>0</v>
          </cell>
          <cell r="CK124">
            <v>0</v>
          </cell>
          <cell r="CL124">
            <v>0</v>
          </cell>
          <cell r="CM124">
            <v>0</v>
          </cell>
          <cell r="CR124">
            <v>0</v>
          </cell>
          <cell r="CS124">
            <v>0</v>
          </cell>
          <cell r="CT124">
            <v>36</v>
          </cell>
          <cell r="CU124">
            <v>0</v>
          </cell>
          <cell r="CV124">
            <v>0</v>
          </cell>
          <cell r="CZ124">
            <v>36</v>
          </cell>
        </row>
        <row r="125">
          <cell r="C125" t="str">
            <v>01428</v>
          </cell>
          <cell r="D125" t="str">
            <v>Nguyễn Thị Thu Tuyền</v>
          </cell>
          <cell r="E125" t="str">
            <v>Account - Financial</v>
          </cell>
          <cell r="F125" t="str">
            <v>O2 Accounting (HQ)</v>
          </cell>
          <cell r="G125" t="str">
            <v xml:space="preserve"> Senior Specialist</v>
          </cell>
          <cell r="H125">
            <v>43437</v>
          </cell>
          <cell r="I125">
            <v>8</v>
          </cell>
          <cell r="J125">
            <v>8</v>
          </cell>
          <cell r="K125" t="str">
            <v>PO</v>
          </cell>
          <cell r="L125" t="str">
            <v>CN</v>
          </cell>
          <cell r="M125">
            <v>8</v>
          </cell>
          <cell r="N125">
            <v>8</v>
          </cell>
          <cell r="O125">
            <v>8</v>
          </cell>
          <cell r="P125">
            <v>8</v>
          </cell>
          <cell r="Q125" t="str">
            <v>PO</v>
          </cell>
          <cell r="R125" t="str">
            <v>PO</v>
          </cell>
          <cell r="S125" t="str">
            <v>CN</v>
          </cell>
          <cell r="T125">
            <v>8</v>
          </cell>
          <cell r="U125">
            <v>8</v>
          </cell>
          <cell r="V125">
            <v>8</v>
          </cell>
          <cell r="W125">
            <v>8</v>
          </cell>
          <cell r="X125">
            <v>8</v>
          </cell>
          <cell r="Y125" t="str">
            <v>PO</v>
          </cell>
          <cell r="Z125" t="str">
            <v>CN</v>
          </cell>
          <cell r="AA125">
            <v>8</v>
          </cell>
          <cell r="AB125">
            <v>8</v>
          </cell>
          <cell r="AC125">
            <v>8</v>
          </cell>
          <cell r="AD125">
            <v>8</v>
          </cell>
          <cell r="AE125" t="str">
            <v>AL8</v>
          </cell>
          <cell r="AF125" t="str">
            <v>PO</v>
          </cell>
          <cell r="AG125" t="str">
            <v>CN</v>
          </cell>
          <cell r="AH125" t="str">
            <v>WH</v>
          </cell>
          <cell r="AI125" t="str">
            <v>WH</v>
          </cell>
          <cell r="AJ125">
            <v>8</v>
          </cell>
          <cell r="AN125">
            <v>0</v>
          </cell>
          <cell r="AO125">
            <v>128</v>
          </cell>
          <cell r="AP125">
            <v>0</v>
          </cell>
          <cell r="AQ125">
            <v>0</v>
          </cell>
          <cell r="AR125">
            <v>0</v>
          </cell>
          <cell r="AS125">
            <v>0</v>
          </cell>
          <cell r="AT125">
            <v>0</v>
          </cell>
          <cell r="AU125">
            <v>0</v>
          </cell>
          <cell r="AV125">
            <v>40</v>
          </cell>
          <cell r="AW125">
            <v>0</v>
          </cell>
          <cell r="AX125">
            <v>0</v>
          </cell>
          <cell r="AY125">
            <v>0</v>
          </cell>
          <cell r="AZ125">
            <v>0</v>
          </cell>
          <cell r="BA125">
            <v>8</v>
          </cell>
          <cell r="BB125">
            <v>0</v>
          </cell>
          <cell r="BC125">
            <v>0</v>
          </cell>
          <cell r="BD125">
            <v>16</v>
          </cell>
          <cell r="BE125">
            <v>0</v>
          </cell>
          <cell r="BF125">
            <v>0</v>
          </cell>
          <cell r="BG125">
            <v>192</v>
          </cell>
          <cell r="BH125">
            <v>1</v>
          </cell>
          <cell r="BI125">
            <v>1</v>
          </cell>
          <cell r="BJ125">
            <v>4.5</v>
          </cell>
          <cell r="BL125">
            <v>0</v>
          </cell>
          <cell r="BM125">
            <v>4</v>
          </cell>
          <cell r="BN125">
            <v>0</v>
          </cell>
          <cell r="BO125">
            <v>0</v>
          </cell>
          <cell r="BP125">
            <v>3.5</v>
          </cell>
          <cell r="BQ125">
            <v>3.75</v>
          </cell>
          <cell r="BR125">
            <v>3</v>
          </cell>
          <cell r="BS125">
            <v>1.75</v>
          </cell>
          <cell r="BT125">
            <v>0</v>
          </cell>
          <cell r="BU125">
            <v>0</v>
          </cell>
          <cell r="BV125">
            <v>0</v>
          </cell>
          <cell r="BW125">
            <v>4</v>
          </cell>
          <cell r="BX125">
            <v>3.5</v>
          </cell>
          <cell r="BY125">
            <v>4</v>
          </cell>
          <cell r="BZ125">
            <v>0</v>
          </cell>
          <cell r="CA125">
            <v>0</v>
          </cell>
          <cell r="CB125">
            <v>0</v>
          </cell>
          <cell r="CC125">
            <v>0</v>
          </cell>
          <cell r="CD125">
            <v>0</v>
          </cell>
          <cell r="CE125">
            <v>0</v>
          </cell>
          <cell r="CF125">
            <v>0</v>
          </cell>
          <cell r="CG125">
            <v>0</v>
          </cell>
          <cell r="CH125">
            <v>0</v>
          </cell>
          <cell r="CI125">
            <v>0</v>
          </cell>
          <cell r="CJ125">
            <v>0</v>
          </cell>
          <cell r="CK125">
            <v>0</v>
          </cell>
          <cell r="CL125">
            <v>0</v>
          </cell>
          <cell r="CM125">
            <v>0</v>
          </cell>
          <cell r="CR125">
            <v>0</v>
          </cell>
          <cell r="CS125">
            <v>0</v>
          </cell>
          <cell r="CT125">
            <v>27.5</v>
          </cell>
          <cell r="CU125">
            <v>0</v>
          </cell>
          <cell r="CV125">
            <v>0</v>
          </cell>
          <cell r="CZ125">
            <v>27.5</v>
          </cell>
        </row>
        <row r="126">
          <cell r="C126" t="str">
            <v>01434</v>
          </cell>
          <cell r="D126" t="str">
            <v>Phạm Minh Hiểu</v>
          </cell>
          <cell r="E126" t="str">
            <v>Production</v>
          </cell>
          <cell r="F126" t="str">
            <v>Die Cut</v>
          </cell>
          <cell r="G126" t="str">
            <v>Team Leader</v>
          </cell>
          <cell r="H126">
            <v>43445</v>
          </cell>
          <cell r="I126">
            <v>8</v>
          </cell>
          <cell r="J126">
            <v>8</v>
          </cell>
          <cell r="K126">
            <v>8</v>
          </cell>
          <cell r="L126" t="str">
            <v>CN</v>
          </cell>
          <cell r="M126" t="str">
            <v>Đ</v>
          </cell>
          <cell r="N126" t="str">
            <v>Đ</v>
          </cell>
          <cell r="O126" t="str">
            <v>Đ</v>
          </cell>
          <cell r="P126" t="str">
            <v>Đ</v>
          </cell>
          <cell r="Q126" t="str">
            <v>Đ</v>
          </cell>
          <cell r="R126" t="str">
            <v>Đ</v>
          </cell>
          <cell r="S126" t="str">
            <v>CN</v>
          </cell>
          <cell r="T126">
            <v>8</v>
          </cell>
          <cell r="U126">
            <v>8</v>
          </cell>
          <cell r="V126">
            <v>8</v>
          </cell>
          <cell r="W126">
            <v>8</v>
          </cell>
          <cell r="X126" t="str">
            <v>AL8</v>
          </cell>
          <cell r="Y126">
            <v>8</v>
          </cell>
          <cell r="Z126" t="str">
            <v>CN</v>
          </cell>
          <cell r="AA126" t="str">
            <v>Đ</v>
          </cell>
          <cell r="AB126" t="str">
            <v>Đ</v>
          </cell>
          <cell r="AC126" t="str">
            <v>Đ</v>
          </cell>
          <cell r="AD126" t="str">
            <v>Đ</v>
          </cell>
          <cell r="AE126" t="str">
            <v>Đ</v>
          </cell>
          <cell r="AF126" t="str">
            <v>Đ</v>
          </cell>
          <cell r="AG126" t="str">
            <v>CN</v>
          </cell>
          <cell r="AH126">
            <v>8</v>
          </cell>
          <cell r="AI126">
            <v>8</v>
          </cell>
          <cell r="AJ126">
            <v>8</v>
          </cell>
          <cell r="AN126">
            <v>96</v>
          </cell>
          <cell r="AO126">
            <v>88</v>
          </cell>
          <cell r="AP126">
            <v>0</v>
          </cell>
          <cell r="AQ126">
            <v>0</v>
          </cell>
          <cell r="AR126">
            <v>0</v>
          </cell>
          <cell r="AS126">
            <v>0</v>
          </cell>
          <cell r="AT126">
            <v>0</v>
          </cell>
          <cell r="AU126">
            <v>0</v>
          </cell>
          <cell r="AV126">
            <v>0</v>
          </cell>
          <cell r="AW126">
            <v>0</v>
          </cell>
          <cell r="AX126">
            <v>0</v>
          </cell>
          <cell r="AY126">
            <v>0</v>
          </cell>
          <cell r="AZ126">
            <v>0</v>
          </cell>
          <cell r="BA126">
            <v>8</v>
          </cell>
          <cell r="BB126">
            <v>0</v>
          </cell>
          <cell r="BC126">
            <v>0</v>
          </cell>
          <cell r="BD126">
            <v>0</v>
          </cell>
          <cell r="BE126">
            <v>0</v>
          </cell>
          <cell r="BF126">
            <v>0</v>
          </cell>
          <cell r="BG126">
            <v>192</v>
          </cell>
          <cell r="BH126">
            <v>1</v>
          </cell>
          <cell r="BI126">
            <v>1</v>
          </cell>
          <cell r="BJ126">
            <v>1.5</v>
          </cell>
          <cell r="BL126">
            <v>0</v>
          </cell>
          <cell r="BM126">
            <v>0</v>
          </cell>
          <cell r="BN126">
            <v>1.5</v>
          </cell>
          <cell r="BO126">
            <v>0</v>
          </cell>
          <cell r="BP126">
            <v>1.5</v>
          </cell>
          <cell r="BQ126">
            <v>3</v>
          </cell>
          <cell r="BR126">
            <v>0</v>
          </cell>
          <cell r="BS126">
            <v>3</v>
          </cell>
          <cell r="BT126">
            <v>3</v>
          </cell>
          <cell r="BU126">
            <v>0</v>
          </cell>
          <cell r="BV126">
            <v>0</v>
          </cell>
          <cell r="BW126">
            <v>3</v>
          </cell>
          <cell r="BX126">
            <v>3</v>
          </cell>
          <cell r="BY126">
            <v>3</v>
          </cell>
          <cell r="BZ126">
            <v>3</v>
          </cell>
          <cell r="CA126">
            <v>0</v>
          </cell>
          <cell r="CB126">
            <v>3</v>
          </cell>
          <cell r="CC126">
            <v>8</v>
          </cell>
          <cell r="CD126">
            <v>4</v>
          </cell>
          <cell r="CE126">
            <v>4</v>
          </cell>
          <cell r="CF126">
            <v>4</v>
          </cell>
          <cell r="CG126">
            <v>4</v>
          </cell>
          <cell r="CH126">
            <v>1.5</v>
          </cell>
          <cell r="CI126">
            <v>1.5</v>
          </cell>
          <cell r="CJ126">
            <v>0</v>
          </cell>
          <cell r="CK126">
            <v>1.5</v>
          </cell>
          <cell r="CL126">
            <v>3</v>
          </cell>
          <cell r="CM126">
            <v>1.5</v>
          </cell>
          <cell r="CR126">
            <v>0</v>
          </cell>
          <cell r="CS126">
            <v>0</v>
          </cell>
          <cell r="CT126">
            <v>52</v>
          </cell>
          <cell r="CU126">
            <v>8</v>
          </cell>
          <cell r="CV126">
            <v>0</v>
          </cell>
          <cell r="CZ126">
            <v>60</v>
          </cell>
        </row>
        <row r="127">
          <cell r="C127" t="str">
            <v>01445</v>
          </cell>
          <cell r="D127" t="str">
            <v>Nguyễn Thị Kim Ngân</v>
          </cell>
          <cell r="E127" t="str">
            <v>CS</v>
          </cell>
          <cell r="F127" t="str">
            <v>CS</v>
          </cell>
          <cell r="G127" t="str">
            <v>Senior Staff</v>
          </cell>
          <cell r="H127">
            <v>43452</v>
          </cell>
          <cell r="I127" t="str">
            <v>AL4/WH4</v>
          </cell>
          <cell r="J127" t="str">
            <v>AL8</v>
          </cell>
          <cell r="K127" t="str">
            <v>PO</v>
          </cell>
          <cell r="L127" t="str">
            <v>CN</v>
          </cell>
          <cell r="M127">
            <v>8</v>
          </cell>
          <cell r="N127">
            <v>8</v>
          </cell>
          <cell r="O127">
            <v>8</v>
          </cell>
          <cell r="P127" t="str">
            <v>WH</v>
          </cell>
          <cell r="Q127">
            <v>8</v>
          </cell>
          <cell r="R127" t="str">
            <v>PO</v>
          </cell>
          <cell r="S127" t="str">
            <v>CN</v>
          </cell>
          <cell r="T127">
            <v>8</v>
          </cell>
          <cell r="U127">
            <v>8</v>
          </cell>
          <cell r="V127" t="str">
            <v>WH</v>
          </cell>
          <cell r="W127">
            <v>8</v>
          </cell>
          <cell r="X127">
            <v>8</v>
          </cell>
          <cell r="Y127" t="str">
            <v>PO</v>
          </cell>
          <cell r="Z127" t="str">
            <v>CN</v>
          </cell>
          <cell r="AA127" t="str">
            <v>AL4/WH4</v>
          </cell>
          <cell r="AB127">
            <v>8</v>
          </cell>
          <cell r="AC127">
            <v>8</v>
          </cell>
          <cell r="AD127">
            <v>8</v>
          </cell>
          <cell r="AE127">
            <v>8</v>
          </cell>
          <cell r="AF127" t="str">
            <v>PO</v>
          </cell>
          <cell r="AG127" t="str">
            <v>CN</v>
          </cell>
          <cell r="AH127">
            <v>8</v>
          </cell>
          <cell r="AI127">
            <v>8</v>
          </cell>
          <cell r="AJ127">
            <v>8</v>
          </cell>
          <cell r="AN127">
            <v>0</v>
          </cell>
          <cell r="AO127">
            <v>120</v>
          </cell>
          <cell r="AP127">
            <v>0</v>
          </cell>
          <cell r="AQ127">
            <v>0</v>
          </cell>
          <cell r="AR127">
            <v>0</v>
          </cell>
          <cell r="AS127">
            <v>0</v>
          </cell>
          <cell r="AT127">
            <v>0</v>
          </cell>
          <cell r="AU127">
            <v>0</v>
          </cell>
          <cell r="AV127">
            <v>32</v>
          </cell>
          <cell r="AW127">
            <v>0</v>
          </cell>
          <cell r="AX127">
            <v>0</v>
          </cell>
          <cell r="AY127">
            <v>0</v>
          </cell>
          <cell r="AZ127">
            <v>0</v>
          </cell>
          <cell r="BA127">
            <v>16</v>
          </cell>
          <cell r="BB127">
            <v>0</v>
          </cell>
          <cell r="BC127">
            <v>0</v>
          </cell>
          <cell r="BD127">
            <v>24</v>
          </cell>
          <cell r="BE127">
            <v>0</v>
          </cell>
          <cell r="BF127">
            <v>0</v>
          </cell>
          <cell r="BG127">
            <v>192</v>
          </cell>
          <cell r="BH127">
            <v>2</v>
          </cell>
          <cell r="BI127">
            <v>2</v>
          </cell>
          <cell r="BJ127">
            <v>0.5</v>
          </cell>
          <cell r="BL127">
            <v>0</v>
          </cell>
          <cell r="BM127">
            <v>0</v>
          </cell>
          <cell r="BN127">
            <v>0</v>
          </cell>
          <cell r="BO127">
            <v>0</v>
          </cell>
          <cell r="BP127">
            <v>0</v>
          </cell>
          <cell r="BQ127">
            <v>0.5</v>
          </cell>
          <cell r="BR127">
            <v>0</v>
          </cell>
          <cell r="BS127">
            <v>0</v>
          </cell>
          <cell r="BT127">
            <v>0</v>
          </cell>
          <cell r="BU127">
            <v>0</v>
          </cell>
          <cell r="BV127">
            <v>0</v>
          </cell>
          <cell r="BW127">
            <v>1</v>
          </cell>
          <cell r="BX127">
            <v>0</v>
          </cell>
          <cell r="BY127">
            <v>0</v>
          </cell>
          <cell r="BZ127">
            <v>0</v>
          </cell>
          <cell r="CA127">
            <v>0</v>
          </cell>
          <cell r="CB127">
            <v>0</v>
          </cell>
          <cell r="CC127">
            <v>0</v>
          </cell>
          <cell r="CD127">
            <v>0</v>
          </cell>
          <cell r="CE127">
            <v>0</v>
          </cell>
          <cell r="CF127">
            <v>0</v>
          </cell>
          <cell r="CG127">
            <v>0</v>
          </cell>
          <cell r="CH127">
            <v>0</v>
          </cell>
          <cell r="CI127">
            <v>0</v>
          </cell>
          <cell r="CJ127">
            <v>0</v>
          </cell>
          <cell r="CK127">
            <v>0</v>
          </cell>
          <cell r="CL127">
            <v>0</v>
          </cell>
          <cell r="CM127">
            <v>0</v>
          </cell>
          <cell r="CR127">
            <v>0</v>
          </cell>
          <cell r="CS127">
            <v>0</v>
          </cell>
          <cell r="CT127">
            <v>1.5</v>
          </cell>
          <cell r="CU127">
            <v>0</v>
          </cell>
          <cell r="CV127">
            <v>0</v>
          </cell>
          <cell r="CZ127">
            <v>1.5</v>
          </cell>
        </row>
        <row r="128">
          <cell r="C128" t="str">
            <v>01457</v>
          </cell>
          <cell r="D128" t="str">
            <v>Trương Ngọc Tuyền</v>
          </cell>
          <cell r="E128" t="str">
            <v>PPC</v>
          </cell>
          <cell r="F128" t="str">
            <v>PPC</v>
          </cell>
          <cell r="G128" t="str">
            <v>Senior Staff</v>
          </cell>
          <cell r="H128">
            <v>43472</v>
          </cell>
          <cell r="I128" t="str">
            <v>WH</v>
          </cell>
          <cell r="J128" t="str">
            <v>WH</v>
          </cell>
          <cell r="K128" t="str">
            <v>PO</v>
          </cell>
          <cell r="L128" t="str">
            <v>CN</v>
          </cell>
          <cell r="M128">
            <v>8</v>
          </cell>
          <cell r="N128">
            <v>8</v>
          </cell>
          <cell r="O128">
            <v>8</v>
          </cell>
          <cell r="P128">
            <v>8</v>
          </cell>
          <cell r="Q128">
            <v>8</v>
          </cell>
          <cell r="R128" t="str">
            <v>PO</v>
          </cell>
          <cell r="S128" t="str">
            <v>CN</v>
          </cell>
          <cell r="T128">
            <v>8</v>
          </cell>
          <cell r="U128">
            <v>8</v>
          </cell>
          <cell r="V128">
            <v>8</v>
          </cell>
          <cell r="W128">
            <v>8</v>
          </cell>
          <cell r="X128">
            <v>8</v>
          </cell>
          <cell r="Y128" t="str">
            <v>PO</v>
          </cell>
          <cell r="Z128" t="str">
            <v>CN</v>
          </cell>
          <cell r="AA128">
            <v>8</v>
          </cell>
          <cell r="AB128">
            <v>8</v>
          </cell>
          <cell r="AC128">
            <v>8</v>
          </cell>
          <cell r="AD128">
            <v>8</v>
          </cell>
          <cell r="AE128">
            <v>8</v>
          </cell>
          <cell r="AF128" t="str">
            <v>PO</v>
          </cell>
          <cell r="AG128" t="str">
            <v>CN</v>
          </cell>
          <cell r="AH128">
            <v>8</v>
          </cell>
          <cell r="AI128">
            <v>8</v>
          </cell>
          <cell r="AJ128">
            <v>8</v>
          </cell>
          <cell r="AN128">
            <v>0</v>
          </cell>
          <cell r="AO128">
            <v>144</v>
          </cell>
          <cell r="AP128">
            <v>0</v>
          </cell>
          <cell r="AQ128">
            <v>0</v>
          </cell>
          <cell r="AR128">
            <v>0</v>
          </cell>
          <cell r="AS128">
            <v>0</v>
          </cell>
          <cell r="AT128">
            <v>0</v>
          </cell>
          <cell r="AU128">
            <v>0</v>
          </cell>
          <cell r="AV128">
            <v>32</v>
          </cell>
          <cell r="AW128">
            <v>0</v>
          </cell>
          <cell r="AX128">
            <v>0</v>
          </cell>
          <cell r="AY128">
            <v>0</v>
          </cell>
          <cell r="AZ128">
            <v>0</v>
          </cell>
          <cell r="BA128">
            <v>0</v>
          </cell>
          <cell r="BB128">
            <v>0</v>
          </cell>
          <cell r="BC128">
            <v>0</v>
          </cell>
          <cell r="BD128">
            <v>16</v>
          </cell>
          <cell r="BE128">
            <v>0</v>
          </cell>
          <cell r="BF128">
            <v>0</v>
          </cell>
          <cell r="BG128">
            <v>192</v>
          </cell>
          <cell r="BH128">
            <v>0</v>
          </cell>
          <cell r="BI128">
            <v>0</v>
          </cell>
          <cell r="BJ128">
            <v>3</v>
          </cell>
          <cell r="BL128">
            <v>0</v>
          </cell>
          <cell r="BM128">
            <v>0</v>
          </cell>
          <cell r="BN128">
            <v>0</v>
          </cell>
          <cell r="BO128">
            <v>0</v>
          </cell>
          <cell r="BP128">
            <v>0</v>
          </cell>
          <cell r="BQ128">
            <v>0</v>
          </cell>
          <cell r="BR128">
            <v>0.5</v>
          </cell>
          <cell r="BS128">
            <v>0</v>
          </cell>
          <cell r="BT128">
            <v>0</v>
          </cell>
          <cell r="BU128">
            <v>0</v>
          </cell>
          <cell r="BV128">
            <v>0</v>
          </cell>
          <cell r="BW128">
            <v>0</v>
          </cell>
          <cell r="BX128">
            <v>0</v>
          </cell>
          <cell r="BY128">
            <v>0</v>
          </cell>
          <cell r="BZ128">
            <v>0</v>
          </cell>
          <cell r="CA128">
            <v>0</v>
          </cell>
          <cell r="CB128">
            <v>0</v>
          </cell>
          <cell r="CC128">
            <v>0</v>
          </cell>
          <cell r="CD128">
            <v>0</v>
          </cell>
          <cell r="CE128">
            <v>0</v>
          </cell>
          <cell r="CF128">
            <v>0</v>
          </cell>
          <cell r="CG128">
            <v>0</v>
          </cell>
          <cell r="CH128">
            <v>0</v>
          </cell>
          <cell r="CI128">
            <v>0</v>
          </cell>
          <cell r="CJ128">
            <v>0</v>
          </cell>
          <cell r="CK128">
            <v>0</v>
          </cell>
          <cell r="CL128">
            <v>0</v>
          </cell>
          <cell r="CM128">
            <v>0</v>
          </cell>
          <cell r="CR128">
            <v>0</v>
          </cell>
          <cell r="CS128">
            <v>0</v>
          </cell>
          <cell r="CT128">
            <v>0.5</v>
          </cell>
          <cell r="CU128">
            <v>0</v>
          </cell>
          <cell r="CV128">
            <v>0</v>
          </cell>
          <cell r="CZ128">
            <v>0.5</v>
          </cell>
        </row>
        <row r="129">
          <cell r="C129" t="str">
            <v>01465</v>
          </cell>
          <cell r="D129" t="str">
            <v>Đoàn Thị Thu Trang</v>
          </cell>
          <cell r="E129" t="str">
            <v>Production</v>
          </cell>
          <cell r="F129" t="str">
            <v>Die Cut</v>
          </cell>
          <cell r="G129" t="str">
            <v>Worker</v>
          </cell>
          <cell r="H129">
            <v>43474</v>
          </cell>
          <cell r="I129" t="str">
            <v>Đ</v>
          </cell>
          <cell r="J129" t="str">
            <v>Đ</v>
          </cell>
          <cell r="K129" t="str">
            <v>Đ</v>
          </cell>
          <cell r="L129" t="str">
            <v>CN</v>
          </cell>
          <cell r="M129">
            <v>8</v>
          </cell>
          <cell r="N129">
            <v>8</v>
          </cell>
          <cell r="O129">
            <v>8</v>
          </cell>
          <cell r="P129">
            <v>8</v>
          </cell>
          <cell r="Q129" t="str">
            <v>AL8</v>
          </cell>
          <cell r="R129">
            <v>8</v>
          </cell>
          <cell r="S129" t="str">
            <v>CN</v>
          </cell>
          <cell r="T129" t="str">
            <v>Đ</v>
          </cell>
          <cell r="U129" t="str">
            <v>Đ</v>
          </cell>
          <cell r="V129" t="str">
            <v>Đ</v>
          </cell>
          <cell r="W129" t="str">
            <v>Đ</v>
          </cell>
          <cell r="X129" t="str">
            <v>Đ</v>
          </cell>
          <cell r="Y129" t="str">
            <v>Đ</v>
          </cell>
          <cell r="Z129" t="str">
            <v>CN</v>
          </cell>
          <cell r="AA129">
            <v>8</v>
          </cell>
          <cell r="AB129">
            <v>8</v>
          </cell>
          <cell r="AC129">
            <v>8</v>
          </cell>
          <cell r="AD129">
            <v>8</v>
          </cell>
          <cell r="AE129">
            <v>8</v>
          </cell>
          <cell r="AF129">
            <v>8</v>
          </cell>
          <cell r="AG129" t="str">
            <v>CN</v>
          </cell>
          <cell r="AH129" t="str">
            <v>Đ</v>
          </cell>
          <cell r="AI129" t="str">
            <v>Đ</v>
          </cell>
          <cell r="AJ129" t="str">
            <v>Đ</v>
          </cell>
          <cell r="AN129">
            <v>96</v>
          </cell>
          <cell r="AO129">
            <v>88</v>
          </cell>
          <cell r="AP129">
            <v>0</v>
          </cell>
          <cell r="AQ129">
            <v>0</v>
          </cell>
          <cell r="AR129">
            <v>0</v>
          </cell>
          <cell r="AS129">
            <v>0</v>
          </cell>
          <cell r="AT129">
            <v>0</v>
          </cell>
          <cell r="AU129">
            <v>0</v>
          </cell>
          <cell r="AV129">
            <v>0</v>
          </cell>
          <cell r="AW129">
            <v>0</v>
          </cell>
          <cell r="AX129">
            <v>0</v>
          </cell>
          <cell r="AY129">
            <v>0</v>
          </cell>
          <cell r="AZ129">
            <v>0</v>
          </cell>
          <cell r="BA129">
            <v>8</v>
          </cell>
          <cell r="BB129">
            <v>0</v>
          </cell>
          <cell r="BC129">
            <v>0</v>
          </cell>
          <cell r="BD129">
            <v>0</v>
          </cell>
          <cell r="BE129">
            <v>0</v>
          </cell>
          <cell r="BF129">
            <v>0</v>
          </cell>
          <cell r="BG129">
            <v>192</v>
          </cell>
          <cell r="BH129">
            <v>1</v>
          </cell>
          <cell r="BI129">
            <v>1</v>
          </cell>
          <cell r="BJ129">
            <v>-1.5</v>
          </cell>
          <cell r="BL129">
            <v>1.5</v>
          </cell>
          <cell r="BM129">
            <v>1.5</v>
          </cell>
          <cell r="BN129">
            <v>0</v>
          </cell>
          <cell r="BO129">
            <v>0</v>
          </cell>
          <cell r="BP129">
            <v>1.5</v>
          </cell>
          <cell r="BQ129">
            <v>0</v>
          </cell>
          <cell r="BR129">
            <v>0</v>
          </cell>
          <cell r="BS129">
            <v>3</v>
          </cell>
          <cell r="BT129">
            <v>0</v>
          </cell>
          <cell r="BU129">
            <v>3</v>
          </cell>
          <cell r="BV129">
            <v>0</v>
          </cell>
          <cell r="BW129">
            <v>4</v>
          </cell>
          <cell r="BX129">
            <v>4</v>
          </cell>
          <cell r="BY129">
            <v>4</v>
          </cell>
          <cell r="BZ129">
            <v>2</v>
          </cell>
          <cell r="CA129">
            <v>4</v>
          </cell>
          <cell r="CB129">
            <v>4</v>
          </cell>
          <cell r="CC129">
            <v>0</v>
          </cell>
          <cell r="CD129">
            <v>3</v>
          </cell>
          <cell r="CE129">
            <v>3</v>
          </cell>
          <cell r="CF129">
            <v>0</v>
          </cell>
          <cell r="CG129">
            <v>3</v>
          </cell>
          <cell r="CH129">
            <v>3</v>
          </cell>
          <cell r="CI129">
            <v>3</v>
          </cell>
          <cell r="CJ129">
            <v>8</v>
          </cell>
          <cell r="CK129">
            <v>4</v>
          </cell>
          <cell r="CL129">
            <v>4</v>
          </cell>
          <cell r="CM129">
            <v>4</v>
          </cell>
          <cell r="CR129">
            <v>0</v>
          </cell>
          <cell r="CS129">
            <v>0</v>
          </cell>
          <cell r="CT129">
            <v>59.5</v>
          </cell>
          <cell r="CU129">
            <v>8</v>
          </cell>
          <cell r="CV129">
            <v>0</v>
          </cell>
          <cell r="CZ129">
            <v>67.5</v>
          </cell>
        </row>
        <row r="130">
          <cell r="C130" t="str">
            <v>01480</v>
          </cell>
          <cell r="D130" t="str">
            <v>Nguyễn Thị Dạ Thảo</v>
          </cell>
          <cell r="E130" t="str">
            <v>Production</v>
          </cell>
          <cell r="F130" t="str">
            <v>Molding</v>
          </cell>
          <cell r="G130" t="str">
            <v>Worker</v>
          </cell>
          <cell r="H130">
            <v>43511</v>
          </cell>
          <cell r="I130">
            <v>8</v>
          </cell>
          <cell r="J130">
            <v>8</v>
          </cell>
          <cell r="K130">
            <v>8</v>
          </cell>
          <cell r="L130" t="str">
            <v>CN</v>
          </cell>
          <cell r="M130">
            <v>8</v>
          </cell>
          <cell r="N130">
            <v>8</v>
          </cell>
          <cell r="O130">
            <v>8</v>
          </cell>
          <cell r="P130">
            <v>8</v>
          </cell>
          <cell r="Q130" t="str">
            <v>Đ</v>
          </cell>
          <cell r="R130" t="str">
            <v>Đ</v>
          </cell>
          <cell r="S130" t="str">
            <v>CN</v>
          </cell>
          <cell r="T130">
            <v>8</v>
          </cell>
          <cell r="U130">
            <v>8</v>
          </cell>
          <cell r="V130">
            <v>8</v>
          </cell>
          <cell r="W130">
            <v>8</v>
          </cell>
          <cell r="X130">
            <v>8</v>
          </cell>
          <cell r="Y130">
            <v>8</v>
          </cell>
          <cell r="Z130" t="str">
            <v>CN</v>
          </cell>
          <cell r="AA130">
            <v>8</v>
          </cell>
          <cell r="AB130">
            <v>8</v>
          </cell>
          <cell r="AC130">
            <v>8</v>
          </cell>
          <cell r="AD130">
            <v>8</v>
          </cell>
          <cell r="AE130" t="str">
            <v>Đ</v>
          </cell>
          <cell r="AF130" t="str">
            <v>Đ</v>
          </cell>
          <cell r="AG130" t="str">
            <v>CN</v>
          </cell>
          <cell r="AH130">
            <v>8</v>
          </cell>
          <cell r="AI130">
            <v>8</v>
          </cell>
          <cell r="AJ130">
            <v>8</v>
          </cell>
          <cell r="AN130">
            <v>32</v>
          </cell>
          <cell r="AO130">
            <v>160</v>
          </cell>
          <cell r="AP130">
            <v>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cell r="BD130">
            <v>0</v>
          </cell>
          <cell r="BE130">
            <v>0</v>
          </cell>
          <cell r="BF130">
            <v>0</v>
          </cell>
          <cell r="BG130">
            <v>192</v>
          </cell>
          <cell r="BH130">
            <v>0</v>
          </cell>
          <cell r="BI130">
            <v>0</v>
          </cell>
          <cell r="BJ130">
            <v>0.5</v>
          </cell>
          <cell r="BL130">
            <v>0</v>
          </cell>
          <cell r="BM130">
            <v>4</v>
          </cell>
          <cell r="BN130">
            <v>4</v>
          </cell>
          <cell r="BO130">
            <v>0</v>
          </cell>
          <cell r="BP130">
            <v>0</v>
          </cell>
          <cell r="BQ130">
            <v>0</v>
          </cell>
          <cell r="BR130">
            <v>4</v>
          </cell>
          <cell r="BS130">
            <v>0</v>
          </cell>
          <cell r="BT130">
            <v>4</v>
          </cell>
          <cell r="BU130">
            <v>4</v>
          </cell>
          <cell r="BV130">
            <v>0</v>
          </cell>
          <cell r="BW130">
            <v>0</v>
          </cell>
          <cell r="BX130">
            <v>0</v>
          </cell>
          <cell r="BY130">
            <v>0</v>
          </cell>
          <cell r="BZ130">
            <v>0</v>
          </cell>
          <cell r="CA130">
            <v>4</v>
          </cell>
          <cell r="CB130">
            <v>4</v>
          </cell>
          <cell r="CC130">
            <v>0</v>
          </cell>
          <cell r="CD130">
            <v>0</v>
          </cell>
          <cell r="CE130">
            <v>0</v>
          </cell>
          <cell r="CF130">
            <v>0</v>
          </cell>
          <cell r="CG130">
            <v>0</v>
          </cell>
          <cell r="CH130">
            <v>4</v>
          </cell>
          <cell r="CI130">
            <v>4</v>
          </cell>
          <cell r="CJ130">
            <v>0</v>
          </cell>
          <cell r="CK130">
            <v>0</v>
          </cell>
          <cell r="CL130">
            <v>0</v>
          </cell>
          <cell r="CM130">
            <v>0</v>
          </cell>
          <cell r="CR130">
            <v>0</v>
          </cell>
          <cell r="CS130">
            <v>0</v>
          </cell>
          <cell r="CT130">
            <v>36</v>
          </cell>
          <cell r="CU130">
            <v>0</v>
          </cell>
          <cell r="CV130">
            <v>0</v>
          </cell>
          <cell r="CZ130">
            <v>36</v>
          </cell>
        </row>
        <row r="131">
          <cell r="C131" t="str">
            <v>01484</v>
          </cell>
          <cell r="D131" t="str">
            <v>Đào Thị Thùy Dung</v>
          </cell>
          <cell r="E131" t="str">
            <v>Production</v>
          </cell>
          <cell r="F131" t="str">
            <v>Die Cut</v>
          </cell>
          <cell r="G131" t="str">
            <v>Worker</v>
          </cell>
          <cell r="H131">
            <v>43511</v>
          </cell>
          <cell r="I131" t="str">
            <v>Đ</v>
          </cell>
          <cell r="J131" t="str">
            <v>Đ</v>
          </cell>
          <cell r="K131" t="str">
            <v>Đ</v>
          </cell>
          <cell r="L131" t="str">
            <v>CN</v>
          </cell>
          <cell r="M131">
            <v>8</v>
          </cell>
          <cell r="N131">
            <v>8</v>
          </cell>
          <cell r="O131">
            <v>8</v>
          </cell>
          <cell r="P131">
            <v>8</v>
          </cell>
          <cell r="Q131">
            <v>8</v>
          </cell>
          <cell r="R131">
            <v>8</v>
          </cell>
          <cell r="S131" t="str">
            <v>CN</v>
          </cell>
          <cell r="T131" t="str">
            <v>Đ</v>
          </cell>
          <cell r="U131" t="str">
            <v>Đ</v>
          </cell>
          <cell r="V131" t="str">
            <v>Đ</v>
          </cell>
          <cell r="W131" t="str">
            <v>Đ</v>
          </cell>
          <cell r="X131" t="str">
            <v>Đ</v>
          </cell>
          <cell r="Y131" t="str">
            <v>Đ</v>
          </cell>
          <cell r="Z131" t="str">
            <v>CN</v>
          </cell>
          <cell r="AA131">
            <v>8</v>
          </cell>
          <cell r="AB131">
            <v>8</v>
          </cell>
          <cell r="AC131" t="str">
            <v>AL8</v>
          </cell>
          <cell r="AD131">
            <v>8</v>
          </cell>
          <cell r="AE131">
            <v>8</v>
          </cell>
          <cell r="AF131">
            <v>8</v>
          </cell>
          <cell r="AG131" t="str">
            <v>CN</v>
          </cell>
          <cell r="AH131" t="str">
            <v>Đ</v>
          </cell>
          <cell r="AI131" t="str">
            <v>Đ</v>
          </cell>
          <cell r="AJ131" t="str">
            <v>Đ</v>
          </cell>
          <cell r="AN131">
            <v>96</v>
          </cell>
          <cell r="AO131">
            <v>88</v>
          </cell>
          <cell r="AP131">
            <v>0</v>
          </cell>
          <cell r="AQ131">
            <v>0</v>
          </cell>
          <cell r="AR131">
            <v>0</v>
          </cell>
          <cell r="AS131">
            <v>0</v>
          </cell>
          <cell r="AT131">
            <v>0</v>
          </cell>
          <cell r="AU131">
            <v>0</v>
          </cell>
          <cell r="AV131">
            <v>0</v>
          </cell>
          <cell r="AW131">
            <v>0</v>
          </cell>
          <cell r="AX131">
            <v>0</v>
          </cell>
          <cell r="AY131">
            <v>0</v>
          </cell>
          <cell r="AZ131">
            <v>0</v>
          </cell>
          <cell r="BA131">
            <v>8</v>
          </cell>
          <cell r="BB131">
            <v>0</v>
          </cell>
          <cell r="BC131">
            <v>0</v>
          </cell>
          <cell r="BD131">
            <v>0</v>
          </cell>
          <cell r="BE131">
            <v>0</v>
          </cell>
          <cell r="BF131">
            <v>0</v>
          </cell>
          <cell r="BG131">
            <v>192</v>
          </cell>
          <cell r="BH131">
            <v>1</v>
          </cell>
          <cell r="BI131">
            <v>1</v>
          </cell>
          <cell r="BJ131">
            <v>-2</v>
          </cell>
          <cell r="BL131">
            <v>1.5</v>
          </cell>
          <cell r="BM131">
            <v>1.5</v>
          </cell>
          <cell r="BN131">
            <v>1.5</v>
          </cell>
          <cell r="BO131">
            <v>0</v>
          </cell>
          <cell r="BP131">
            <v>1.5</v>
          </cell>
          <cell r="BQ131">
            <v>0</v>
          </cell>
          <cell r="BR131">
            <v>0</v>
          </cell>
          <cell r="BS131">
            <v>3</v>
          </cell>
          <cell r="BT131">
            <v>3</v>
          </cell>
          <cell r="BU131">
            <v>2</v>
          </cell>
          <cell r="BV131">
            <v>0</v>
          </cell>
          <cell r="BW131">
            <v>4</v>
          </cell>
          <cell r="BX131">
            <v>4</v>
          </cell>
          <cell r="BY131">
            <v>4</v>
          </cell>
          <cell r="BZ131">
            <v>4</v>
          </cell>
          <cell r="CA131">
            <v>4</v>
          </cell>
          <cell r="CB131">
            <v>4</v>
          </cell>
          <cell r="CC131">
            <v>0</v>
          </cell>
          <cell r="CD131">
            <v>3</v>
          </cell>
          <cell r="CE131">
            <v>3</v>
          </cell>
          <cell r="CF131">
            <v>0</v>
          </cell>
          <cell r="CG131">
            <v>3</v>
          </cell>
          <cell r="CH131">
            <v>3</v>
          </cell>
          <cell r="CI131">
            <v>3</v>
          </cell>
          <cell r="CJ131">
            <v>8</v>
          </cell>
          <cell r="CK131">
            <v>4</v>
          </cell>
          <cell r="CL131">
            <v>4</v>
          </cell>
          <cell r="CM131">
            <v>4</v>
          </cell>
          <cell r="CR131">
            <v>0</v>
          </cell>
          <cell r="CS131">
            <v>0</v>
          </cell>
          <cell r="CT131">
            <v>65</v>
          </cell>
          <cell r="CU131">
            <v>8</v>
          </cell>
          <cell r="CV131">
            <v>0</v>
          </cell>
          <cell r="CZ131">
            <v>73</v>
          </cell>
        </row>
        <row r="132">
          <cell r="C132" t="str">
            <v>01485</v>
          </cell>
          <cell r="D132" t="str">
            <v>Lê Thị Phượng Quyên</v>
          </cell>
          <cell r="E132" t="str">
            <v>Production</v>
          </cell>
          <cell r="F132" t="str">
            <v>Logo</v>
          </cell>
          <cell r="G132" t="str">
            <v>Worker</v>
          </cell>
          <cell r="H132">
            <v>43511</v>
          </cell>
          <cell r="I132" t="str">
            <v>Đ</v>
          </cell>
          <cell r="J132" t="str">
            <v>Đ</v>
          </cell>
          <cell r="K132" t="str">
            <v>Đ</v>
          </cell>
          <cell r="L132" t="str">
            <v>CN</v>
          </cell>
          <cell r="M132">
            <v>8</v>
          </cell>
          <cell r="N132">
            <v>8</v>
          </cell>
          <cell r="O132">
            <v>8</v>
          </cell>
          <cell r="P132">
            <v>8</v>
          </cell>
          <cell r="Q132">
            <v>8</v>
          </cell>
          <cell r="R132">
            <v>8</v>
          </cell>
          <cell r="S132" t="str">
            <v>CN</v>
          </cell>
          <cell r="T132" t="str">
            <v>Đ</v>
          </cell>
          <cell r="U132" t="str">
            <v>Đ</v>
          </cell>
          <cell r="V132" t="str">
            <v>Đ</v>
          </cell>
          <cell r="W132" t="str">
            <v>Đ</v>
          </cell>
          <cell r="X132" t="str">
            <v>Đ</v>
          </cell>
          <cell r="Y132" t="str">
            <v>Đ</v>
          </cell>
          <cell r="Z132" t="str">
            <v>CN</v>
          </cell>
          <cell r="AA132">
            <v>8</v>
          </cell>
          <cell r="AB132">
            <v>8</v>
          </cell>
          <cell r="AC132">
            <v>8</v>
          </cell>
          <cell r="AD132">
            <v>8</v>
          </cell>
          <cell r="AE132">
            <v>8</v>
          </cell>
          <cell r="AF132">
            <v>8</v>
          </cell>
          <cell r="AG132" t="str">
            <v>CN</v>
          </cell>
          <cell r="AH132" t="str">
            <v>Đ</v>
          </cell>
          <cell r="AI132" t="str">
            <v>Đ</v>
          </cell>
          <cell r="AJ132" t="str">
            <v>Đ</v>
          </cell>
          <cell r="AN132">
            <v>96</v>
          </cell>
          <cell r="AO132">
            <v>96</v>
          </cell>
          <cell r="AP132">
            <v>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cell r="BD132">
            <v>0</v>
          </cell>
          <cell r="BE132">
            <v>0</v>
          </cell>
          <cell r="BF132">
            <v>0</v>
          </cell>
          <cell r="BG132">
            <v>192</v>
          </cell>
          <cell r="BH132">
            <v>0</v>
          </cell>
          <cell r="BI132">
            <v>0</v>
          </cell>
          <cell r="BJ132">
            <v>2</v>
          </cell>
          <cell r="BL132">
            <v>1.5</v>
          </cell>
          <cell r="BM132">
            <v>1.5</v>
          </cell>
          <cell r="BN132">
            <v>1.5</v>
          </cell>
          <cell r="BO132">
            <v>0</v>
          </cell>
          <cell r="BP132">
            <v>1.5</v>
          </cell>
          <cell r="BQ132">
            <v>0</v>
          </cell>
          <cell r="BR132">
            <v>0</v>
          </cell>
          <cell r="BS132">
            <v>3</v>
          </cell>
          <cell r="BT132">
            <v>3</v>
          </cell>
          <cell r="BU132">
            <v>3</v>
          </cell>
          <cell r="BV132">
            <v>0</v>
          </cell>
          <cell r="BW132">
            <v>4</v>
          </cell>
          <cell r="BX132">
            <v>4</v>
          </cell>
          <cell r="BY132">
            <v>4</v>
          </cell>
          <cell r="BZ132">
            <v>4</v>
          </cell>
          <cell r="CA132">
            <v>4</v>
          </cell>
          <cell r="CB132">
            <v>4</v>
          </cell>
          <cell r="CC132">
            <v>0</v>
          </cell>
          <cell r="CD132">
            <v>3</v>
          </cell>
          <cell r="CE132">
            <v>3</v>
          </cell>
          <cell r="CF132">
            <v>3</v>
          </cell>
          <cell r="CG132">
            <v>3</v>
          </cell>
          <cell r="CH132">
            <v>3</v>
          </cell>
          <cell r="CI132">
            <v>3</v>
          </cell>
          <cell r="CJ132">
            <v>11</v>
          </cell>
          <cell r="CK132">
            <v>4</v>
          </cell>
          <cell r="CL132">
            <v>4</v>
          </cell>
          <cell r="CM132">
            <v>3.75</v>
          </cell>
          <cell r="CR132">
            <v>0</v>
          </cell>
          <cell r="CS132">
            <v>0</v>
          </cell>
          <cell r="CT132">
            <v>68.75</v>
          </cell>
          <cell r="CU132">
            <v>11</v>
          </cell>
          <cell r="CV132">
            <v>0</v>
          </cell>
          <cell r="CZ132">
            <v>79.75</v>
          </cell>
        </row>
        <row r="133">
          <cell r="C133" t="str">
            <v>01491</v>
          </cell>
          <cell r="D133" t="str">
            <v>Phạm Thanh Quang</v>
          </cell>
          <cell r="E133" t="str">
            <v>Warehouse</v>
          </cell>
          <cell r="F133" t="str">
            <v>RM Warehouse</v>
          </cell>
          <cell r="G133" t="str">
            <v>Worker</v>
          </cell>
          <cell r="H133">
            <v>43511</v>
          </cell>
          <cell r="I133">
            <v>8</v>
          </cell>
          <cell r="J133">
            <v>8</v>
          </cell>
          <cell r="K133">
            <v>8</v>
          </cell>
          <cell r="L133" t="str">
            <v>CN</v>
          </cell>
          <cell r="M133">
            <v>8</v>
          </cell>
          <cell r="N133">
            <v>8</v>
          </cell>
          <cell r="O133">
            <v>8</v>
          </cell>
          <cell r="P133">
            <v>8</v>
          </cell>
          <cell r="Q133">
            <v>8</v>
          </cell>
          <cell r="R133" t="str">
            <v>AL8</v>
          </cell>
          <cell r="S133" t="str">
            <v>CN</v>
          </cell>
          <cell r="T133" t="str">
            <v>AL8</v>
          </cell>
          <cell r="U133">
            <v>8</v>
          </cell>
          <cell r="V133">
            <v>8</v>
          </cell>
          <cell r="W133">
            <v>8</v>
          </cell>
          <cell r="X133">
            <v>8</v>
          </cell>
          <cell r="Y133">
            <v>8</v>
          </cell>
          <cell r="Z133" t="str">
            <v>CN</v>
          </cell>
          <cell r="AA133" t="str">
            <v>AL8</v>
          </cell>
          <cell r="AB133">
            <v>8</v>
          </cell>
          <cell r="AC133">
            <v>8</v>
          </cell>
          <cell r="AD133">
            <v>8</v>
          </cell>
          <cell r="AE133">
            <v>8</v>
          </cell>
          <cell r="AF133">
            <v>8</v>
          </cell>
          <cell r="AG133" t="str">
            <v>CN</v>
          </cell>
          <cell r="AH133">
            <v>8</v>
          </cell>
          <cell r="AI133">
            <v>8</v>
          </cell>
          <cell r="AJ133">
            <v>8</v>
          </cell>
          <cell r="AN133">
            <v>0</v>
          </cell>
          <cell r="AO133">
            <v>168</v>
          </cell>
          <cell r="AP133">
            <v>0</v>
          </cell>
          <cell r="AQ133">
            <v>0</v>
          </cell>
          <cell r="AR133">
            <v>0</v>
          </cell>
          <cell r="AS133">
            <v>0</v>
          </cell>
          <cell r="AT133">
            <v>0</v>
          </cell>
          <cell r="AU133">
            <v>0</v>
          </cell>
          <cell r="AV133">
            <v>0</v>
          </cell>
          <cell r="AW133">
            <v>0</v>
          </cell>
          <cell r="AX133">
            <v>0</v>
          </cell>
          <cell r="AY133">
            <v>0</v>
          </cell>
          <cell r="AZ133">
            <v>0</v>
          </cell>
          <cell r="BA133">
            <v>24</v>
          </cell>
          <cell r="BB133">
            <v>0</v>
          </cell>
          <cell r="BC133">
            <v>0</v>
          </cell>
          <cell r="BD133">
            <v>0</v>
          </cell>
          <cell r="BE133">
            <v>0</v>
          </cell>
          <cell r="BF133">
            <v>0</v>
          </cell>
          <cell r="BG133">
            <v>192</v>
          </cell>
          <cell r="BH133">
            <v>3</v>
          </cell>
          <cell r="BI133">
            <v>3</v>
          </cell>
          <cell r="BJ133">
            <v>0.5</v>
          </cell>
          <cell r="BL133">
            <v>0</v>
          </cell>
          <cell r="BM133">
            <v>3</v>
          </cell>
          <cell r="BN133">
            <v>0</v>
          </cell>
          <cell r="BO133">
            <v>0</v>
          </cell>
          <cell r="BP133">
            <v>0</v>
          </cell>
          <cell r="BQ133">
            <v>3</v>
          </cell>
          <cell r="BR133">
            <v>0</v>
          </cell>
          <cell r="BS133">
            <v>0</v>
          </cell>
          <cell r="BT133">
            <v>0</v>
          </cell>
          <cell r="BU133">
            <v>0</v>
          </cell>
          <cell r="BV133">
            <v>0</v>
          </cell>
          <cell r="BW133">
            <v>0</v>
          </cell>
          <cell r="BX133">
            <v>0</v>
          </cell>
          <cell r="BY133">
            <v>0</v>
          </cell>
          <cell r="BZ133">
            <v>0</v>
          </cell>
          <cell r="CA133">
            <v>0</v>
          </cell>
          <cell r="CB133">
            <v>0</v>
          </cell>
          <cell r="CC133">
            <v>0</v>
          </cell>
          <cell r="CD133">
            <v>0</v>
          </cell>
          <cell r="CE133">
            <v>3</v>
          </cell>
          <cell r="CF133">
            <v>0</v>
          </cell>
          <cell r="CG133">
            <v>0</v>
          </cell>
          <cell r="CH133">
            <v>0</v>
          </cell>
          <cell r="CI133">
            <v>0</v>
          </cell>
          <cell r="CJ133">
            <v>8</v>
          </cell>
          <cell r="CK133">
            <v>0</v>
          </cell>
          <cell r="CL133">
            <v>0</v>
          </cell>
          <cell r="CM133">
            <v>3</v>
          </cell>
          <cell r="CR133">
            <v>0</v>
          </cell>
          <cell r="CS133">
            <v>0</v>
          </cell>
          <cell r="CT133">
            <v>12</v>
          </cell>
          <cell r="CU133">
            <v>8</v>
          </cell>
          <cell r="CV133">
            <v>0</v>
          </cell>
          <cell r="CZ133">
            <v>20</v>
          </cell>
        </row>
        <row r="134">
          <cell r="C134" t="str">
            <v>01503</v>
          </cell>
          <cell r="D134" t="str">
            <v>Hoàng Thị Thanh Tuyền</v>
          </cell>
          <cell r="E134" t="str">
            <v>Production</v>
          </cell>
          <cell r="F134" t="str">
            <v>Packing</v>
          </cell>
          <cell r="G134" t="str">
            <v>Worker</v>
          </cell>
          <cell r="H134">
            <v>43514</v>
          </cell>
          <cell r="I134" t="str">
            <v>AL8</v>
          </cell>
          <cell r="J134">
            <v>8</v>
          </cell>
          <cell r="K134">
            <v>8</v>
          </cell>
          <cell r="L134" t="str">
            <v>CN</v>
          </cell>
          <cell r="M134">
            <v>8</v>
          </cell>
          <cell r="N134">
            <v>8</v>
          </cell>
          <cell r="O134">
            <v>8</v>
          </cell>
          <cell r="P134">
            <v>8</v>
          </cell>
          <cell r="Q134">
            <v>8</v>
          </cell>
          <cell r="R134">
            <v>8</v>
          </cell>
          <cell r="S134" t="str">
            <v>CN</v>
          </cell>
          <cell r="T134">
            <v>8</v>
          </cell>
          <cell r="U134">
            <v>8</v>
          </cell>
          <cell r="V134">
            <v>8</v>
          </cell>
          <cell r="W134">
            <v>8</v>
          </cell>
          <cell r="X134">
            <v>8</v>
          </cell>
          <cell r="Y134">
            <v>8</v>
          </cell>
          <cell r="Z134" t="str">
            <v>CN</v>
          </cell>
          <cell r="AA134">
            <v>8</v>
          </cell>
          <cell r="AB134">
            <v>8</v>
          </cell>
          <cell r="AC134">
            <v>8</v>
          </cell>
          <cell r="AD134">
            <v>8</v>
          </cell>
          <cell r="AE134">
            <v>8</v>
          </cell>
          <cell r="AF134">
            <v>8</v>
          </cell>
          <cell r="AG134" t="str">
            <v>CN</v>
          </cell>
          <cell r="AH134">
            <v>8</v>
          </cell>
          <cell r="AI134">
            <v>8</v>
          </cell>
          <cell r="AJ134">
            <v>8</v>
          </cell>
          <cell r="AN134">
            <v>0</v>
          </cell>
          <cell r="AO134">
            <v>184</v>
          </cell>
          <cell r="AP134">
            <v>0</v>
          </cell>
          <cell r="AQ134">
            <v>0</v>
          </cell>
          <cell r="AR134">
            <v>0</v>
          </cell>
          <cell r="AS134">
            <v>0</v>
          </cell>
          <cell r="AT134">
            <v>0</v>
          </cell>
          <cell r="AU134">
            <v>0</v>
          </cell>
          <cell r="AV134">
            <v>0</v>
          </cell>
          <cell r="AW134">
            <v>0</v>
          </cell>
          <cell r="AX134">
            <v>0</v>
          </cell>
          <cell r="AY134">
            <v>0</v>
          </cell>
          <cell r="AZ134">
            <v>0</v>
          </cell>
          <cell r="BA134">
            <v>8</v>
          </cell>
          <cell r="BB134">
            <v>0</v>
          </cell>
          <cell r="BC134">
            <v>0</v>
          </cell>
          <cell r="BD134">
            <v>0</v>
          </cell>
          <cell r="BE134">
            <v>0</v>
          </cell>
          <cell r="BF134">
            <v>0</v>
          </cell>
          <cell r="BG134">
            <v>192</v>
          </cell>
          <cell r="BH134">
            <v>1</v>
          </cell>
          <cell r="BI134">
            <v>1</v>
          </cell>
          <cell r="BJ134">
            <v>2</v>
          </cell>
          <cell r="BL134">
            <v>0</v>
          </cell>
          <cell r="BM134">
            <v>3</v>
          </cell>
          <cell r="BN134">
            <v>3</v>
          </cell>
          <cell r="BO134">
            <v>0</v>
          </cell>
          <cell r="BP134">
            <v>1.5</v>
          </cell>
          <cell r="BQ134">
            <v>1.5</v>
          </cell>
          <cell r="BR134">
            <v>1.5</v>
          </cell>
          <cell r="BS134">
            <v>3</v>
          </cell>
          <cell r="BT134">
            <v>3</v>
          </cell>
          <cell r="BU134">
            <v>1.5</v>
          </cell>
          <cell r="BV134">
            <v>0</v>
          </cell>
          <cell r="BW134">
            <v>1.5</v>
          </cell>
          <cell r="BX134">
            <v>1.5</v>
          </cell>
          <cell r="BY134">
            <v>1.5</v>
          </cell>
          <cell r="BZ134">
            <v>3</v>
          </cell>
          <cell r="CA134">
            <v>3</v>
          </cell>
          <cell r="CB134">
            <v>3</v>
          </cell>
          <cell r="CC134">
            <v>8</v>
          </cell>
          <cell r="CD134">
            <v>3</v>
          </cell>
          <cell r="CE134">
            <v>3</v>
          </cell>
          <cell r="CF134">
            <v>3</v>
          </cell>
          <cell r="CG134">
            <v>3</v>
          </cell>
          <cell r="CH134">
            <v>3</v>
          </cell>
          <cell r="CI134">
            <v>3</v>
          </cell>
          <cell r="CJ134">
            <v>11</v>
          </cell>
          <cell r="CK134">
            <v>3</v>
          </cell>
          <cell r="CL134">
            <v>3</v>
          </cell>
          <cell r="CM134">
            <v>3</v>
          </cell>
          <cell r="CR134">
            <v>0</v>
          </cell>
          <cell r="CS134">
            <v>0</v>
          </cell>
          <cell r="CT134">
            <v>58.5</v>
          </cell>
          <cell r="CU134">
            <v>19</v>
          </cell>
          <cell r="CV134">
            <v>0</v>
          </cell>
          <cell r="CZ134">
            <v>77.5</v>
          </cell>
        </row>
        <row r="135">
          <cell r="C135" t="str">
            <v>01506</v>
          </cell>
          <cell r="D135" t="str">
            <v>Phạm Thị Thúy Hòa</v>
          </cell>
          <cell r="E135" t="str">
            <v>Account - Financial</v>
          </cell>
          <cell r="F135" t="str">
            <v>O2 Accounting (HQ)</v>
          </cell>
          <cell r="G135" t="str">
            <v>Senior Staff</v>
          </cell>
          <cell r="H135">
            <v>43514</v>
          </cell>
          <cell r="I135">
            <v>8</v>
          </cell>
          <cell r="J135">
            <v>8</v>
          </cell>
          <cell r="K135" t="str">
            <v>PO</v>
          </cell>
          <cell r="L135" t="str">
            <v>CN</v>
          </cell>
          <cell r="M135">
            <v>8</v>
          </cell>
          <cell r="N135">
            <v>8</v>
          </cell>
          <cell r="O135">
            <v>8</v>
          </cell>
          <cell r="P135">
            <v>8</v>
          </cell>
          <cell r="Q135">
            <v>8</v>
          </cell>
          <cell r="R135" t="str">
            <v>PO</v>
          </cell>
          <cell r="S135" t="str">
            <v>CN</v>
          </cell>
          <cell r="T135">
            <v>8</v>
          </cell>
          <cell r="U135">
            <v>8</v>
          </cell>
          <cell r="V135">
            <v>8</v>
          </cell>
          <cell r="W135">
            <v>8</v>
          </cell>
          <cell r="X135">
            <v>8</v>
          </cell>
          <cell r="Y135" t="str">
            <v>PO</v>
          </cell>
          <cell r="Z135" t="str">
            <v>CN</v>
          </cell>
          <cell r="AA135">
            <v>8</v>
          </cell>
          <cell r="AB135">
            <v>8</v>
          </cell>
          <cell r="AC135">
            <v>8</v>
          </cell>
          <cell r="AD135">
            <v>8</v>
          </cell>
          <cell r="AE135">
            <v>8</v>
          </cell>
          <cell r="AF135" t="str">
            <v>PO</v>
          </cell>
          <cell r="AG135" t="str">
            <v>CN</v>
          </cell>
          <cell r="AH135">
            <v>8</v>
          </cell>
          <cell r="AI135">
            <v>8</v>
          </cell>
          <cell r="AJ135">
            <v>8</v>
          </cell>
          <cell r="AN135">
            <v>0</v>
          </cell>
          <cell r="AO135">
            <v>160</v>
          </cell>
          <cell r="AP135">
            <v>0</v>
          </cell>
          <cell r="AQ135">
            <v>0</v>
          </cell>
          <cell r="AR135">
            <v>0</v>
          </cell>
          <cell r="AS135">
            <v>0</v>
          </cell>
          <cell r="AT135">
            <v>0</v>
          </cell>
          <cell r="AU135">
            <v>0</v>
          </cell>
          <cell r="AV135">
            <v>32</v>
          </cell>
          <cell r="AW135">
            <v>0</v>
          </cell>
          <cell r="AX135">
            <v>0</v>
          </cell>
          <cell r="AY135">
            <v>0</v>
          </cell>
          <cell r="AZ135">
            <v>0</v>
          </cell>
          <cell r="BA135">
            <v>0</v>
          </cell>
          <cell r="BB135">
            <v>0</v>
          </cell>
          <cell r="BC135">
            <v>0</v>
          </cell>
          <cell r="BD135">
            <v>0</v>
          </cell>
          <cell r="BE135">
            <v>0</v>
          </cell>
          <cell r="BF135">
            <v>0</v>
          </cell>
          <cell r="BG135">
            <v>192</v>
          </cell>
          <cell r="BH135">
            <v>0</v>
          </cell>
          <cell r="BI135">
            <v>0</v>
          </cell>
          <cell r="BJ135">
            <v>7</v>
          </cell>
          <cell r="BL135">
            <v>3</v>
          </cell>
          <cell r="BM135">
            <v>0</v>
          </cell>
          <cell r="BN135">
            <v>0</v>
          </cell>
          <cell r="BO135">
            <v>0</v>
          </cell>
          <cell r="BP135">
            <v>3</v>
          </cell>
          <cell r="BQ135">
            <v>3</v>
          </cell>
          <cell r="BR135">
            <v>0</v>
          </cell>
          <cell r="BS135">
            <v>3</v>
          </cell>
          <cell r="BT135">
            <v>0</v>
          </cell>
          <cell r="BU135">
            <v>0</v>
          </cell>
          <cell r="BV135">
            <v>0</v>
          </cell>
          <cell r="BW135">
            <v>0</v>
          </cell>
          <cell r="BX135">
            <v>0</v>
          </cell>
          <cell r="BY135">
            <v>0</v>
          </cell>
          <cell r="BZ135">
            <v>0</v>
          </cell>
          <cell r="CA135">
            <v>0</v>
          </cell>
          <cell r="CB135">
            <v>0</v>
          </cell>
          <cell r="CC135">
            <v>0</v>
          </cell>
          <cell r="CD135">
            <v>0</v>
          </cell>
          <cell r="CE135">
            <v>0</v>
          </cell>
          <cell r="CF135">
            <v>0</v>
          </cell>
          <cell r="CG135">
            <v>0</v>
          </cell>
          <cell r="CH135">
            <v>0</v>
          </cell>
          <cell r="CI135">
            <v>0</v>
          </cell>
          <cell r="CJ135">
            <v>0</v>
          </cell>
          <cell r="CK135">
            <v>0</v>
          </cell>
          <cell r="CL135">
            <v>0</v>
          </cell>
          <cell r="CM135">
            <v>0</v>
          </cell>
          <cell r="CR135">
            <v>0</v>
          </cell>
          <cell r="CS135">
            <v>0</v>
          </cell>
          <cell r="CT135">
            <v>12</v>
          </cell>
          <cell r="CU135">
            <v>0</v>
          </cell>
          <cell r="CV135">
            <v>0</v>
          </cell>
          <cell r="CZ135">
            <v>12</v>
          </cell>
        </row>
        <row r="136">
          <cell r="C136" t="str">
            <v>01513</v>
          </cell>
          <cell r="D136" t="str">
            <v>Nguyễn Thị An</v>
          </cell>
          <cell r="E136" t="str">
            <v>Production</v>
          </cell>
          <cell r="F136" t="str">
            <v>Molding</v>
          </cell>
          <cell r="G136" t="str">
            <v>Worker</v>
          </cell>
          <cell r="H136">
            <v>43515</v>
          </cell>
          <cell r="I136">
            <v>8</v>
          </cell>
          <cell r="J136">
            <v>8</v>
          </cell>
          <cell r="K136">
            <v>8</v>
          </cell>
          <cell r="L136" t="str">
            <v>CN</v>
          </cell>
          <cell r="M136">
            <v>8</v>
          </cell>
          <cell r="N136">
            <v>8</v>
          </cell>
          <cell r="O136">
            <v>8</v>
          </cell>
          <cell r="P136">
            <v>8</v>
          </cell>
          <cell r="Q136" t="str">
            <v>Đ</v>
          </cell>
          <cell r="R136" t="str">
            <v>Đ</v>
          </cell>
          <cell r="S136" t="str">
            <v>CN</v>
          </cell>
          <cell r="T136">
            <v>8</v>
          </cell>
          <cell r="U136">
            <v>8</v>
          </cell>
          <cell r="V136">
            <v>8</v>
          </cell>
          <cell r="W136">
            <v>8</v>
          </cell>
          <cell r="X136">
            <v>8</v>
          </cell>
          <cell r="Y136">
            <v>8</v>
          </cell>
          <cell r="Z136" t="str">
            <v>CN</v>
          </cell>
          <cell r="AA136">
            <v>8</v>
          </cell>
          <cell r="AB136">
            <v>8</v>
          </cell>
          <cell r="AC136">
            <v>8</v>
          </cell>
          <cell r="AD136">
            <v>8</v>
          </cell>
          <cell r="AE136" t="str">
            <v>Đ</v>
          </cell>
          <cell r="AF136" t="str">
            <v>Đ</v>
          </cell>
          <cell r="AG136" t="str">
            <v>CN</v>
          </cell>
          <cell r="AH136">
            <v>8</v>
          </cell>
          <cell r="AI136">
            <v>8</v>
          </cell>
          <cell r="AJ136">
            <v>8</v>
          </cell>
          <cell r="AN136">
            <v>32</v>
          </cell>
          <cell r="AO136">
            <v>160</v>
          </cell>
          <cell r="AP136">
            <v>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cell r="BD136">
            <v>0</v>
          </cell>
          <cell r="BE136">
            <v>0</v>
          </cell>
          <cell r="BF136">
            <v>0</v>
          </cell>
          <cell r="BG136">
            <v>192</v>
          </cell>
          <cell r="BH136">
            <v>0</v>
          </cell>
          <cell r="BI136">
            <v>0</v>
          </cell>
          <cell r="BJ136">
            <v>2.5</v>
          </cell>
          <cell r="BL136">
            <v>0</v>
          </cell>
          <cell r="BM136">
            <v>4</v>
          </cell>
          <cell r="BN136">
            <v>4</v>
          </cell>
          <cell r="BO136">
            <v>0</v>
          </cell>
          <cell r="BP136">
            <v>0</v>
          </cell>
          <cell r="BQ136">
            <v>4</v>
          </cell>
          <cell r="BR136">
            <v>0</v>
          </cell>
          <cell r="BS136">
            <v>0</v>
          </cell>
          <cell r="BT136">
            <v>4</v>
          </cell>
          <cell r="BU136">
            <v>4</v>
          </cell>
          <cell r="BV136">
            <v>0</v>
          </cell>
          <cell r="BW136">
            <v>0</v>
          </cell>
          <cell r="BX136">
            <v>0</v>
          </cell>
          <cell r="BY136">
            <v>0</v>
          </cell>
          <cell r="BZ136">
            <v>0</v>
          </cell>
          <cell r="CA136">
            <v>4</v>
          </cell>
          <cell r="CB136">
            <v>4</v>
          </cell>
          <cell r="CC136">
            <v>0</v>
          </cell>
          <cell r="CD136">
            <v>0</v>
          </cell>
          <cell r="CE136">
            <v>0</v>
          </cell>
          <cell r="CF136">
            <v>4</v>
          </cell>
          <cell r="CG136">
            <v>0</v>
          </cell>
          <cell r="CH136">
            <v>4</v>
          </cell>
          <cell r="CI136">
            <v>4</v>
          </cell>
          <cell r="CJ136">
            <v>0</v>
          </cell>
          <cell r="CK136">
            <v>0</v>
          </cell>
          <cell r="CL136">
            <v>0</v>
          </cell>
          <cell r="CM136">
            <v>0</v>
          </cell>
          <cell r="CR136">
            <v>0</v>
          </cell>
          <cell r="CS136">
            <v>0</v>
          </cell>
          <cell r="CT136">
            <v>40</v>
          </cell>
          <cell r="CU136">
            <v>0</v>
          </cell>
          <cell r="CV136">
            <v>0</v>
          </cell>
          <cell r="CZ136">
            <v>40</v>
          </cell>
        </row>
        <row r="137">
          <cell r="C137" t="str">
            <v>01523</v>
          </cell>
          <cell r="D137" t="str">
            <v>Quách Thị Bích Loan</v>
          </cell>
          <cell r="E137" t="str">
            <v>Production</v>
          </cell>
          <cell r="F137" t="str">
            <v>Molding</v>
          </cell>
          <cell r="G137" t="str">
            <v>Worker</v>
          </cell>
          <cell r="H137">
            <v>43518</v>
          </cell>
          <cell r="I137" t="str">
            <v>Đ</v>
          </cell>
          <cell r="J137" t="str">
            <v>Đ</v>
          </cell>
          <cell r="K137" t="str">
            <v>CN</v>
          </cell>
          <cell r="L137">
            <v>8</v>
          </cell>
          <cell r="M137">
            <v>8</v>
          </cell>
          <cell r="N137" t="str">
            <v>AL8</v>
          </cell>
          <cell r="O137">
            <v>8</v>
          </cell>
          <cell r="P137">
            <v>8</v>
          </cell>
          <cell r="Q137">
            <v>8</v>
          </cell>
          <cell r="R137" t="str">
            <v>CN</v>
          </cell>
          <cell r="S137" t="str">
            <v>Đ</v>
          </cell>
          <cell r="T137" t="str">
            <v>Đ</v>
          </cell>
          <cell r="U137" t="str">
            <v>Đ</v>
          </cell>
          <cell r="V137" t="str">
            <v>Đ</v>
          </cell>
          <cell r="W137" t="str">
            <v>Đ</v>
          </cell>
          <cell r="X137" t="str">
            <v>Đ</v>
          </cell>
          <cell r="Y137" t="str">
            <v>CN</v>
          </cell>
          <cell r="Z137">
            <v>8</v>
          </cell>
          <cell r="AA137">
            <v>8</v>
          </cell>
          <cell r="AB137">
            <v>8</v>
          </cell>
          <cell r="AC137">
            <v>8</v>
          </cell>
          <cell r="AD137">
            <v>8</v>
          </cell>
          <cell r="AE137">
            <v>8</v>
          </cell>
          <cell r="AF137" t="str">
            <v>CN</v>
          </cell>
          <cell r="AG137" t="str">
            <v>Đ</v>
          </cell>
          <cell r="AH137" t="str">
            <v>Đ</v>
          </cell>
          <cell r="AI137" t="str">
            <v>Đ</v>
          </cell>
          <cell r="AJ137" t="str">
            <v>Đ</v>
          </cell>
          <cell r="AN137">
            <v>96</v>
          </cell>
          <cell r="AO137">
            <v>88</v>
          </cell>
          <cell r="AP137">
            <v>0</v>
          </cell>
          <cell r="AQ137">
            <v>0</v>
          </cell>
          <cell r="AR137">
            <v>0</v>
          </cell>
          <cell r="AS137">
            <v>0</v>
          </cell>
          <cell r="AT137">
            <v>0</v>
          </cell>
          <cell r="AU137">
            <v>0</v>
          </cell>
          <cell r="AV137">
            <v>0</v>
          </cell>
          <cell r="AW137">
            <v>0</v>
          </cell>
          <cell r="AX137">
            <v>0</v>
          </cell>
          <cell r="AY137">
            <v>0</v>
          </cell>
          <cell r="AZ137">
            <v>0</v>
          </cell>
          <cell r="BA137">
            <v>8</v>
          </cell>
          <cell r="BB137">
            <v>0</v>
          </cell>
          <cell r="BC137">
            <v>0</v>
          </cell>
          <cell r="BD137">
            <v>0</v>
          </cell>
          <cell r="BE137">
            <v>0</v>
          </cell>
          <cell r="BF137">
            <v>0</v>
          </cell>
          <cell r="BG137">
            <v>192</v>
          </cell>
          <cell r="BH137">
            <v>1</v>
          </cell>
          <cell r="BI137">
            <v>1</v>
          </cell>
          <cell r="BJ137">
            <v>1</v>
          </cell>
          <cell r="BL137">
            <v>0</v>
          </cell>
          <cell r="BM137">
            <v>4</v>
          </cell>
          <cell r="BN137">
            <v>0</v>
          </cell>
          <cell r="BO137">
            <v>4</v>
          </cell>
          <cell r="BP137">
            <v>0</v>
          </cell>
          <cell r="BQ137">
            <v>0</v>
          </cell>
          <cell r="BR137">
            <v>0</v>
          </cell>
          <cell r="BS137">
            <v>0</v>
          </cell>
          <cell r="BT137">
            <v>4</v>
          </cell>
          <cell r="BU137">
            <v>0</v>
          </cell>
          <cell r="BV137">
            <v>4</v>
          </cell>
          <cell r="BW137">
            <v>0</v>
          </cell>
          <cell r="BX137">
            <v>0</v>
          </cell>
          <cell r="BY137">
            <v>0</v>
          </cell>
          <cell r="BZ137">
            <v>0</v>
          </cell>
          <cell r="CA137">
            <v>3.5</v>
          </cell>
          <cell r="CB137">
            <v>0</v>
          </cell>
          <cell r="CC137">
            <v>4</v>
          </cell>
          <cell r="CD137">
            <v>0</v>
          </cell>
          <cell r="CE137">
            <v>0</v>
          </cell>
          <cell r="CF137">
            <v>0</v>
          </cell>
          <cell r="CG137">
            <v>0</v>
          </cell>
          <cell r="CH137">
            <v>4</v>
          </cell>
          <cell r="CI137">
            <v>0</v>
          </cell>
          <cell r="CJ137">
            <v>4</v>
          </cell>
          <cell r="CK137">
            <v>0</v>
          </cell>
          <cell r="CL137">
            <v>0</v>
          </cell>
          <cell r="CM137">
            <v>0</v>
          </cell>
          <cell r="CR137">
            <v>0</v>
          </cell>
          <cell r="CS137">
            <v>0</v>
          </cell>
          <cell r="CT137">
            <v>31.5</v>
          </cell>
          <cell r="CU137">
            <v>0</v>
          </cell>
          <cell r="CV137">
            <v>0</v>
          </cell>
          <cell r="CZ137">
            <v>31.5</v>
          </cell>
        </row>
        <row r="138">
          <cell r="C138" t="str">
            <v>01527</v>
          </cell>
          <cell r="D138" t="str">
            <v>Nguyễn Thị Linh</v>
          </cell>
          <cell r="E138" t="str">
            <v>Production</v>
          </cell>
          <cell r="F138" t="str">
            <v>Packing</v>
          </cell>
          <cell r="G138" t="str">
            <v>Worker</v>
          </cell>
          <cell r="H138">
            <v>43521</v>
          </cell>
          <cell r="I138">
            <v>8</v>
          </cell>
          <cell r="J138">
            <v>8</v>
          </cell>
          <cell r="K138">
            <v>8</v>
          </cell>
          <cell r="L138" t="str">
            <v>CN</v>
          </cell>
          <cell r="M138">
            <v>8</v>
          </cell>
          <cell r="N138">
            <v>8</v>
          </cell>
          <cell r="O138">
            <v>8</v>
          </cell>
          <cell r="P138">
            <v>8</v>
          </cell>
          <cell r="Q138">
            <v>8</v>
          </cell>
          <cell r="R138">
            <v>8</v>
          </cell>
          <cell r="S138" t="str">
            <v>CN</v>
          </cell>
          <cell r="T138">
            <v>8</v>
          </cell>
          <cell r="U138">
            <v>8</v>
          </cell>
          <cell r="V138">
            <v>8</v>
          </cell>
          <cell r="W138">
            <v>8</v>
          </cell>
          <cell r="X138">
            <v>8</v>
          </cell>
          <cell r="Y138">
            <v>8</v>
          </cell>
          <cell r="Z138" t="str">
            <v>CN</v>
          </cell>
          <cell r="AA138">
            <v>8</v>
          </cell>
          <cell r="AB138">
            <v>8</v>
          </cell>
          <cell r="AC138">
            <v>8</v>
          </cell>
          <cell r="AD138">
            <v>8</v>
          </cell>
          <cell r="AE138" t="str">
            <v>AL4</v>
          </cell>
          <cell r="AF138">
            <v>8</v>
          </cell>
          <cell r="AG138" t="str">
            <v>CN</v>
          </cell>
          <cell r="AH138">
            <v>8</v>
          </cell>
          <cell r="AI138">
            <v>8</v>
          </cell>
          <cell r="AJ138" t="str">
            <v>AL8</v>
          </cell>
          <cell r="AN138">
            <v>0</v>
          </cell>
          <cell r="AO138">
            <v>180</v>
          </cell>
          <cell r="AP138">
            <v>4</v>
          </cell>
          <cell r="AQ138">
            <v>0</v>
          </cell>
          <cell r="AR138">
            <v>0</v>
          </cell>
          <cell r="AS138">
            <v>0</v>
          </cell>
          <cell r="AT138">
            <v>0</v>
          </cell>
          <cell r="AU138">
            <v>0</v>
          </cell>
          <cell r="AV138">
            <v>0</v>
          </cell>
          <cell r="AW138">
            <v>0</v>
          </cell>
          <cell r="AX138">
            <v>0</v>
          </cell>
          <cell r="AY138">
            <v>0</v>
          </cell>
          <cell r="AZ138">
            <v>0</v>
          </cell>
          <cell r="BA138">
            <v>12</v>
          </cell>
          <cell r="BB138">
            <v>0</v>
          </cell>
          <cell r="BC138">
            <v>0</v>
          </cell>
          <cell r="BD138">
            <v>0</v>
          </cell>
          <cell r="BE138">
            <v>0</v>
          </cell>
          <cell r="BF138">
            <v>0</v>
          </cell>
          <cell r="BG138">
            <v>192</v>
          </cell>
          <cell r="BH138">
            <v>1.5</v>
          </cell>
          <cell r="BI138">
            <v>1.5</v>
          </cell>
          <cell r="BJ138">
            <v>0.5</v>
          </cell>
          <cell r="BL138">
            <v>1.5</v>
          </cell>
          <cell r="BM138">
            <v>3</v>
          </cell>
          <cell r="BN138">
            <v>3</v>
          </cell>
          <cell r="BO138">
            <v>0</v>
          </cell>
          <cell r="BP138">
            <v>1.5</v>
          </cell>
          <cell r="BQ138">
            <v>1.5</v>
          </cell>
          <cell r="BR138">
            <v>1.5</v>
          </cell>
          <cell r="BS138">
            <v>1.5</v>
          </cell>
          <cell r="BT138">
            <v>3</v>
          </cell>
          <cell r="BU138">
            <v>1.5</v>
          </cell>
          <cell r="BV138">
            <v>0</v>
          </cell>
          <cell r="BW138">
            <v>1.5</v>
          </cell>
          <cell r="BX138">
            <v>1.5</v>
          </cell>
          <cell r="BY138">
            <v>3</v>
          </cell>
          <cell r="BZ138">
            <v>3</v>
          </cell>
          <cell r="CA138">
            <v>3</v>
          </cell>
          <cell r="CB138">
            <v>3</v>
          </cell>
          <cell r="CC138">
            <v>8</v>
          </cell>
          <cell r="CD138">
            <v>3</v>
          </cell>
          <cell r="CE138">
            <v>3</v>
          </cell>
          <cell r="CF138">
            <v>3</v>
          </cell>
          <cell r="CG138">
            <v>3</v>
          </cell>
          <cell r="CH138">
            <v>2</v>
          </cell>
          <cell r="CI138">
            <v>3</v>
          </cell>
          <cell r="CJ138">
            <v>8</v>
          </cell>
          <cell r="CK138">
            <v>2</v>
          </cell>
          <cell r="CL138">
            <v>3</v>
          </cell>
          <cell r="CM138">
            <v>0</v>
          </cell>
          <cell r="CR138">
            <v>0</v>
          </cell>
          <cell r="CS138">
            <v>0</v>
          </cell>
          <cell r="CT138">
            <v>55</v>
          </cell>
          <cell r="CU138">
            <v>16</v>
          </cell>
          <cell r="CV138">
            <v>0</v>
          </cell>
          <cell r="CZ138">
            <v>71</v>
          </cell>
        </row>
        <row r="139">
          <cell r="C139" t="str">
            <v>01538</v>
          </cell>
          <cell r="D139" t="str">
            <v>Thạch Thị Sê Tha</v>
          </cell>
          <cell r="E139" t="str">
            <v>Production</v>
          </cell>
          <cell r="F139" t="str">
            <v>Skiving</v>
          </cell>
          <cell r="G139" t="str">
            <v>Worker</v>
          </cell>
          <cell r="H139">
            <v>43521</v>
          </cell>
          <cell r="I139" t="str">
            <v>Đ</v>
          </cell>
          <cell r="J139" t="str">
            <v>Đ</v>
          </cell>
          <cell r="K139" t="str">
            <v>Đ</v>
          </cell>
          <cell r="L139" t="str">
            <v>CN</v>
          </cell>
          <cell r="M139">
            <v>8</v>
          </cell>
          <cell r="N139">
            <v>8</v>
          </cell>
          <cell r="O139">
            <v>8</v>
          </cell>
          <cell r="P139">
            <v>8</v>
          </cell>
          <cell r="Q139">
            <v>8</v>
          </cell>
          <cell r="R139">
            <v>8</v>
          </cell>
          <cell r="S139" t="str">
            <v>CN</v>
          </cell>
          <cell r="T139" t="str">
            <v>Đ</v>
          </cell>
          <cell r="U139" t="str">
            <v>Đ</v>
          </cell>
          <cell r="V139" t="str">
            <v>Đ</v>
          </cell>
          <cell r="W139" t="str">
            <v>Đ</v>
          </cell>
          <cell r="X139" t="str">
            <v>Đ</v>
          </cell>
          <cell r="Y139" t="str">
            <v>Đ</v>
          </cell>
          <cell r="Z139" t="str">
            <v>CN</v>
          </cell>
          <cell r="AA139">
            <v>8</v>
          </cell>
          <cell r="AB139">
            <v>8</v>
          </cell>
          <cell r="AC139">
            <v>8</v>
          </cell>
          <cell r="AD139">
            <v>8</v>
          </cell>
          <cell r="AE139">
            <v>8</v>
          </cell>
          <cell r="AF139">
            <v>8</v>
          </cell>
          <cell r="AG139" t="str">
            <v>CN</v>
          </cell>
          <cell r="AH139" t="str">
            <v>Đ</v>
          </cell>
          <cell r="AI139" t="str">
            <v>Đ</v>
          </cell>
          <cell r="AJ139" t="str">
            <v>Đ</v>
          </cell>
          <cell r="AN139">
            <v>96</v>
          </cell>
          <cell r="AO139">
            <v>96</v>
          </cell>
          <cell r="AP139">
            <v>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192</v>
          </cell>
          <cell r="BH139">
            <v>0</v>
          </cell>
          <cell r="BI139">
            <v>0</v>
          </cell>
          <cell r="BJ139">
            <v>2.5</v>
          </cell>
          <cell r="BL139">
            <v>0</v>
          </cell>
          <cell r="BM139">
            <v>0</v>
          </cell>
          <cell r="BN139">
            <v>0</v>
          </cell>
          <cell r="BO139">
            <v>0</v>
          </cell>
          <cell r="BP139">
            <v>1.5</v>
          </cell>
          <cell r="BQ139">
            <v>3</v>
          </cell>
          <cell r="BR139">
            <v>0</v>
          </cell>
          <cell r="BS139">
            <v>3</v>
          </cell>
          <cell r="BT139">
            <v>3</v>
          </cell>
          <cell r="BU139">
            <v>0</v>
          </cell>
          <cell r="BV139">
            <v>0</v>
          </cell>
          <cell r="BW139">
            <v>3</v>
          </cell>
          <cell r="BX139">
            <v>4</v>
          </cell>
          <cell r="BY139">
            <v>4</v>
          </cell>
          <cell r="BZ139">
            <v>4</v>
          </cell>
          <cell r="CA139">
            <v>4</v>
          </cell>
          <cell r="CB139">
            <v>4</v>
          </cell>
          <cell r="CC139">
            <v>0</v>
          </cell>
          <cell r="CD139">
            <v>1.5</v>
          </cell>
          <cell r="CE139">
            <v>3</v>
          </cell>
          <cell r="CF139">
            <v>3</v>
          </cell>
          <cell r="CG139">
            <v>3</v>
          </cell>
          <cell r="CH139">
            <v>0</v>
          </cell>
          <cell r="CI139">
            <v>1.5</v>
          </cell>
          <cell r="CJ139">
            <v>8</v>
          </cell>
          <cell r="CK139">
            <v>1.5</v>
          </cell>
          <cell r="CL139">
            <v>4</v>
          </cell>
          <cell r="CM139">
            <v>1.5</v>
          </cell>
          <cell r="CR139">
            <v>0</v>
          </cell>
          <cell r="CS139">
            <v>0</v>
          </cell>
          <cell r="CT139">
            <v>52.5</v>
          </cell>
          <cell r="CU139">
            <v>8</v>
          </cell>
          <cell r="CV139">
            <v>0</v>
          </cell>
          <cell r="CZ139">
            <v>60.5</v>
          </cell>
        </row>
        <row r="140">
          <cell r="C140" t="str">
            <v>01541</v>
          </cell>
          <cell r="D140" t="str">
            <v>Lê Văn Hữu</v>
          </cell>
          <cell r="E140" t="str">
            <v>HR &amp; Admin</v>
          </cell>
          <cell r="F140" t="str">
            <v>Admin</v>
          </cell>
          <cell r="G140" t="str">
            <v>Cleaner</v>
          </cell>
          <cell r="H140">
            <v>43521</v>
          </cell>
          <cell r="I140">
            <v>8</v>
          </cell>
          <cell r="J140">
            <v>8</v>
          </cell>
          <cell r="K140">
            <v>8</v>
          </cell>
          <cell r="L140" t="str">
            <v>CN</v>
          </cell>
          <cell r="M140">
            <v>8</v>
          </cell>
          <cell r="N140">
            <v>8</v>
          </cell>
          <cell r="O140">
            <v>8</v>
          </cell>
          <cell r="P140">
            <v>8</v>
          </cell>
          <cell r="Q140">
            <v>8</v>
          </cell>
          <cell r="R140">
            <v>8</v>
          </cell>
          <cell r="S140" t="str">
            <v>CN</v>
          </cell>
          <cell r="T140">
            <v>8</v>
          </cell>
          <cell r="U140">
            <v>8</v>
          </cell>
          <cell r="V140">
            <v>8</v>
          </cell>
          <cell r="W140">
            <v>8</v>
          </cell>
          <cell r="X140">
            <v>8</v>
          </cell>
          <cell r="Y140">
            <v>8</v>
          </cell>
          <cell r="Z140" t="str">
            <v>CN</v>
          </cell>
          <cell r="AA140" t="str">
            <v>AL4</v>
          </cell>
          <cell r="AB140">
            <v>8</v>
          </cell>
          <cell r="AC140">
            <v>8</v>
          </cell>
          <cell r="AD140">
            <v>8</v>
          </cell>
          <cell r="AE140">
            <v>8</v>
          </cell>
          <cell r="AF140">
            <v>8</v>
          </cell>
          <cell r="AG140" t="str">
            <v>CN</v>
          </cell>
          <cell r="AH140">
            <v>8</v>
          </cell>
          <cell r="AI140">
            <v>8</v>
          </cell>
          <cell r="AJ140">
            <v>8</v>
          </cell>
          <cell r="AN140">
            <v>0</v>
          </cell>
          <cell r="AO140">
            <v>188</v>
          </cell>
          <cell r="AP140">
            <v>4</v>
          </cell>
          <cell r="AQ140">
            <v>0</v>
          </cell>
          <cell r="AR140">
            <v>0</v>
          </cell>
          <cell r="AS140">
            <v>0</v>
          </cell>
          <cell r="AT140">
            <v>0</v>
          </cell>
          <cell r="AU140">
            <v>0</v>
          </cell>
          <cell r="AV140">
            <v>0</v>
          </cell>
          <cell r="AW140">
            <v>0</v>
          </cell>
          <cell r="AX140">
            <v>0</v>
          </cell>
          <cell r="AY140">
            <v>0</v>
          </cell>
          <cell r="AZ140">
            <v>0</v>
          </cell>
          <cell r="BA140">
            <v>4</v>
          </cell>
          <cell r="BB140">
            <v>0</v>
          </cell>
          <cell r="BC140">
            <v>0</v>
          </cell>
          <cell r="BD140">
            <v>0</v>
          </cell>
          <cell r="BE140">
            <v>0</v>
          </cell>
          <cell r="BF140">
            <v>0</v>
          </cell>
          <cell r="BG140">
            <v>192</v>
          </cell>
          <cell r="BH140">
            <v>0.5</v>
          </cell>
          <cell r="BI140">
            <v>0.5</v>
          </cell>
          <cell r="BJ140">
            <v>8</v>
          </cell>
          <cell r="BL140">
            <v>1</v>
          </cell>
          <cell r="BM140">
            <v>1</v>
          </cell>
          <cell r="BN140">
            <v>0</v>
          </cell>
          <cell r="BO140">
            <v>0</v>
          </cell>
          <cell r="BP140">
            <v>1</v>
          </cell>
          <cell r="BQ140">
            <v>1</v>
          </cell>
          <cell r="BR140">
            <v>1</v>
          </cell>
          <cell r="BS140">
            <v>1</v>
          </cell>
          <cell r="BT140">
            <v>1</v>
          </cell>
          <cell r="BU140">
            <v>0</v>
          </cell>
          <cell r="BV140">
            <v>0</v>
          </cell>
          <cell r="BW140">
            <v>0</v>
          </cell>
          <cell r="BX140">
            <v>0</v>
          </cell>
          <cell r="BY140">
            <v>0</v>
          </cell>
          <cell r="BZ140">
            <v>0</v>
          </cell>
          <cell r="CA140">
            <v>0</v>
          </cell>
          <cell r="CB140">
            <v>0</v>
          </cell>
          <cell r="CC140">
            <v>0</v>
          </cell>
          <cell r="CD140">
            <v>0</v>
          </cell>
          <cell r="CE140">
            <v>0</v>
          </cell>
          <cell r="CF140">
            <v>0</v>
          </cell>
          <cell r="CG140">
            <v>0</v>
          </cell>
          <cell r="CH140">
            <v>0</v>
          </cell>
          <cell r="CI140">
            <v>0</v>
          </cell>
          <cell r="CJ140">
            <v>0</v>
          </cell>
          <cell r="CK140">
            <v>3</v>
          </cell>
          <cell r="CL140">
            <v>0</v>
          </cell>
          <cell r="CM140">
            <v>0</v>
          </cell>
          <cell r="CR140">
            <v>0</v>
          </cell>
          <cell r="CS140">
            <v>0</v>
          </cell>
          <cell r="CT140">
            <v>10</v>
          </cell>
          <cell r="CU140">
            <v>0</v>
          </cell>
          <cell r="CV140">
            <v>0</v>
          </cell>
          <cell r="CZ140">
            <v>10</v>
          </cell>
        </row>
        <row r="141">
          <cell r="C141" t="str">
            <v>01549</v>
          </cell>
          <cell r="D141" t="str">
            <v>Nguyễn Thị Trúc Hà</v>
          </cell>
          <cell r="E141" t="str">
            <v>Production</v>
          </cell>
          <cell r="F141" t="str">
            <v>Logo</v>
          </cell>
          <cell r="G141" t="str">
            <v>Worker</v>
          </cell>
          <cell r="H141">
            <v>43523</v>
          </cell>
          <cell r="I141">
            <v>8</v>
          </cell>
          <cell r="J141">
            <v>8</v>
          </cell>
          <cell r="K141">
            <v>8</v>
          </cell>
          <cell r="L141" t="str">
            <v>CN</v>
          </cell>
          <cell r="M141" t="str">
            <v>Đ</v>
          </cell>
          <cell r="N141" t="str">
            <v>Đ</v>
          </cell>
          <cell r="O141" t="str">
            <v>Đ</v>
          </cell>
          <cell r="P141" t="str">
            <v>Đ</v>
          </cell>
          <cell r="Q141" t="str">
            <v>Đ</v>
          </cell>
          <cell r="R141" t="str">
            <v>AL8</v>
          </cell>
          <cell r="S141" t="str">
            <v>CN</v>
          </cell>
          <cell r="T141">
            <v>8</v>
          </cell>
          <cell r="U141">
            <v>8</v>
          </cell>
          <cell r="V141">
            <v>8</v>
          </cell>
          <cell r="W141">
            <v>8</v>
          </cell>
          <cell r="X141">
            <v>8</v>
          </cell>
          <cell r="Y141">
            <v>8</v>
          </cell>
          <cell r="Z141" t="str">
            <v>CN</v>
          </cell>
          <cell r="AA141" t="str">
            <v>Đ</v>
          </cell>
          <cell r="AB141" t="str">
            <v>Đ</v>
          </cell>
          <cell r="AC141" t="str">
            <v>Đ</v>
          </cell>
          <cell r="AD141" t="str">
            <v>Đ</v>
          </cell>
          <cell r="AE141" t="str">
            <v>Đ</v>
          </cell>
          <cell r="AF141" t="str">
            <v>Đ</v>
          </cell>
          <cell r="AG141" t="str">
            <v>CN</v>
          </cell>
          <cell r="AH141">
            <v>8</v>
          </cell>
          <cell r="AI141">
            <v>8</v>
          </cell>
          <cell r="AJ141">
            <v>8</v>
          </cell>
          <cell r="AN141">
            <v>88</v>
          </cell>
          <cell r="AO141">
            <v>96</v>
          </cell>
          <cell r="AP141">
            <v>0</v>
          </cell>
          <cell r="AQ141">
            <v>0</v>
          </cell>
          <cell r="AR141">
            <v>0</v>
          </cell>
          <cell r="AS141">
            <v>0</v>
          </cell>
          <cell r="AT141">
            <v>0</v>
          </cell>
          <cell r="AU141">
            <v>0</v>
          </cell>
          <cell r="AV141">
            <v>0</v>
          </cell>
          <cell r="AW141">
            <v>0</v>
          </cell>
          <cell r="AX141">
            <v>0</v>
          </cell>
          <cell r="AY141">
            <v>0</v>
          </cell>
          <cell r="AZ141">
            <v>0</v>
          </cell>
          <cell r="BA141">
            <v>8</v>
          </cell>
          <cell r="BB141">
            <v>0</v>
          </cell>
          <cell r="BC141">
            <v>0</v>
          </cell>
          <cell r="BD141">
            <v>0</v>
          </cell>
          <cell r="BE141">
            <v>0</v>
          </cell>
          <cell r="BF141">
            <v>0</v>
          </cell>
          <cell r="BG141">
            <v>192</v>
          </cell>
          <cell r="BH141">
            <v>1</v>
          </cell>
          <cell r="BI141">
            <v>1</v>
          </cell>
          <cell r="BJ141">
            <v>0.5</v>
          </cell>
          <cell r="BL141">
            <v>1.5</v>
          </cell>
          <cell r="BM141">
            <v>1.5</v>
          </cell>
          <cell r="BN141">
            <v>1.5</v>
          </cell>
          <cell r="BO141">
            <v>0</v>
          </cell>
          <cell r="BP141">
            <v>1.5</v>
          </cell>
          <cell r="BQ141">
            <v>0</v>
          </cell>
          <cell r="BR141">
            <v>0</v>
          </cell>
          <cell r="BS141">
            <v>4</v>
          </cell>
          <cell r="BT141">
            <v>3</v>
          </cell>
          <cell r="BU141">
            <v>0</v>
          </cell>
          <cell r="BV141">
            <v>0</v>
          </cell>
          <cell r="BW141">
            <v>0</v>
          </cell>
          <cell r="BX141">
            <v>3</v>
          </cell>
          <cell r="BY141">
            <v>3</v>
          </cell>
          <cell r="BZ141">
            <v>3</v>
          </cell>
          <cell r="CA141">
            <v>3</v>
          </cell>
          <cell r="CB141">
            <v>3</v>
          </cell>
          <cell r="CC141">
            <v>8</v>
          </cell>
          <cell r="CD141">
            <v>4</v>
          </cell>
          <cell r="CE141">
            <v>4</v>
          </cell>
          <cell r="CF141">
            <v>4</v>
          </cell>
          <cell r="CG141">
            <v>4</v>
          </cell>
          <cell r="CH141">
            <v>4</v>
          </cell>
          <cell r="CI141">
            <v>3</v>
          </cell>
          <cell r="CJ141">
            <v>0</v>
          </cell>
          <cell r="CK141">
            <v>3</v>
          </cell>
          <cell r="CL141">
            <v>3</v>
          </cell>
          <cell r="CM141">
            <v>3</v>
          </cell>
          <cell r="CR141">
            <v>0</v>
          </cell>
          <cell r="CS141">
            <v>0</v>
          </cell>
          <cell r="CT141">
            <v>60</v>
          </cell>
          <cell r="CU141">
            <v>8</v>
          </cell>
          <cell r="CV141">
            <v>0</v>
          </cell>
          <cell r="CZ141">
            <v>68</v>
          </cell>
        </row>
        <row r="142">
          <cell r="C142" t="str">
            <v>01552</v>
          </cell>
          <cell r="D142" t="str">
            <v>Lê Thị Mỹ Yên</v>
          </cell>
          <cell r="E142" t="str">
            <v>Production</v>
          </cell>
          <cell r="F142" t="str">
            <v>Logo</v>
          </cell>
          <cell r="G142" t="str">
            <v>Worker</v>
          </cell>
          <cell r="H142">
            <v>43523</v>
          </cell>
          <cell r="I142">
            <v>8</v>
          </cell>
          <cell r="J142">
            <v>8</v>
          </cell>
          <cell r="K142">
            <v>8</v>
          </cell>
          <cell r="L142" t="str">
            <v>CN</v>
          </cell>
          <cell r="M142" t="str">
            <v>Đ</v>
          </cell>
          <cell r="N142" t="str">
            <v>Đ</v>
          </cell>
          <cell r="O142" t="str">
            <v>Đ</v>
          </cell>
          <cell r="P142" t="str">
            <v>Đ</v>
          </cell>
          <cell r="Q142" t="str">
            <v>Đ</v>
          </cell>
          <cell r="R142" t="str">
            <v>Đ</v>
          </cell>
          <cell r="S142" t="str">
            <v>CN</v>
          </cell>
          <cell r="T142">
            <v>8</v>
          </cell>
          <cell r="U142">
            <v>8</v>
          </cell>
          <cell r="V142">
            <v>8</v>
          </cell>
          <cell r="W142">
            <v>8</v>
          </cell>
          <cell r="X142">
            <v>8</v>
          </cell>
          <cell r="Y142">
            <v>8</v>
          </cell>
          <cell r="Z142" t="str">
            <v>CN</v>
          </cell>
          <cell r="AA142" t="str">
            <v>Đ</v>
          </cell>
          <cell r="AB142" t="str">
            <v>Đ</v>
          </cell>
          <cell r="AC142" t="str">
            <v>Đ</v>
          </cell>
          <cell r="AD142" t="str">
            <v>Đ</v>
          </cell>
          <cell r="AE142" t="str">
            <v>Đ</v>
          </cell>
          <cell r="AF142" t="str">
            <v>Đ</v>
          </cell>
          <cell r="AG142" t="str">
            <v>CN</v>
          </cell>
          <cell r="AH142">
            <v>8</v>
          </cell>
          <cell r="AI142">
            <v>8</v>
          </cell>
          <cell r="AJ142">
            <v>8</v>
          </cell>
          <cell r="AN142">
            <v>96</v>
          </cell>
          <cell r="AO142">
            <v>96</v>
          </cell>
          <cell r="AP142">
            <v>0</v>
          </cell>
          <cell r="AQ142">
            <v>0</v>
          </cell>
          <cell r="AR142">
            <v>0</v>
          </cell>
          <cell r="AS142">
            <v>0</v>
          </cell>
          <cell r="AT142">
            <v>0</v>
          </cell>
          <cell r="AU142">
            <v>0</v>
          </cell>
          <cell r="AV142">
            <v>0</v>
          </cell>
          <cell r="AW142">
            <v>0</v>
          </cell>
          <cell r="AX142">
            <v>0</v>
          </cell>
          <cell r="AY142">
            <v>0</v>
          </cell>
          <cell r="AZ142">
            <v>0</v>
          </cell>
          <cell r="BA142">
            <v>0</v>
          </cell>
          <cell r="BB142">
            <v>0</v>
          </cell>
          <cell r="BC142">
            <v>0</v>
          </cell>
          <cell r="BD142">
            <v>0</v>
          </cell>
          <cell r="BE142">
            <v>0</v>
          </cell>
          <cell r="BF142">
            <v>0</v>
          </cell>
          <cell r="BG142">
            <v>192</v>
          </cell>
          <cell r="BH142">
            <v>0</v>
          </cell>
          <cell r="BI142">
            <v>0</v>
          </cell>
          <cell r="BJ142">
            <v>2</v>
          </cell>
          <cell r="BL142">
            <v>0</v>
          </cell>
          <cell r="BM142">
            <v>1.5</v>
          </cell>
          <cell r="BN142">
            <v>1.75</v>
          </cell>
          <cell r="BO142">
            <v>0</v>
          </cell>
          <cell r="BP142">
            <v>1.5</v>
          </cell>
          <cell r="BQ142">
            <v>0</v>
          </cell>
          <cell r="BR142">
            <v>0</v>
          </cell>
          <cell r="BS142">
            <v>4</v>
          </cell>
          <cell r="BT142">
            <v>4</v>
          </cell>
          <cell r="BU142">
            <v>4</v>
          </cell>
          <cell r="BV142">
            <v>0</v>
          </cell>
          <cell r="BW142">
            <v>1</v>
          </cell>
          <cell r="BX142">
            <v>3</v>
          </cell>
          <cell r="BY142">
            <v>4</v>
          </cell>
          <cell r="BZ142">
            <v>3</v>
          </cell>
          <cell r="CA142">
            <v>3.5</v>
          </cell>
          <cell r="CB142">
            <v>2</v>
          </cell>
          <cell r="CC142">
            <v>8</v>
          </cell>
          <cell r="CD142">
            <v>4</v>
          </cell>
          <cell r="CE142">
            <v>4</v>
          </cell>
          <cell r="CF142">
            <v>4</v>
          </cell>
          <cell r="CG142">
            <v>4</v>
          </cell>
          <cell r="CH142">
            <v>4</v>
          </cell>
          <cell r="CI142">
            <v>4</v>
          </cell>
          <cell r="CJ142">
            <v>0</v>
          </cell>
          <cell r="CK142">
            <v>1.5</v>
          </cell>
          <cell r="CL142">
            <v>3</v>
          </cell>
          <cell r="CM142">
            <v>1</v>
          </cell>
          <cell r="CR142">
            <v>0</v>
          </cell>
          <cell r="CS142">
            <v>0</v>
          </cell>
          <cell r="CT142">
            <v>62.75</v>
          </cell>
          <cell r="CU142">
            <v>8</v>
          </cell>
          <cell r="CV142">
            <v>0</v>
          </cell>
          <cell r="CZ142">
            <v>70.75</v>
          </cell>
        </row>
        <row r="143">
          <cell r="C143" t="str">
            <v>01558</v>
          </cell>
          <cell r="D143" t="str">
            <v>Nguyễn Phước Hoàng</v>
          </cell>
          <cell r="E143" t="str">
            <v>Warehouse</v>
          </cell>
          <cell r="F143" t="str">
            <v>FGS Warehouse</v>
          </cell>
          <cell r="G143" t="str">
            <v>Forklift Driver</v>
          </cell>
          <cell r="H143">
            <v>43523</v>
          </cell>
          <cell r="I143">
            <v>8</v>
          </cell>
          <cell r="J143">
            <v>8</v>
          </cell>
          <cell r="K143">
            <v>8</v>
          </cell>
          <cell r="L143" t="str">
            <v>CN</v>
          </cell>
          <cell r="M143">
            <v>8</v>
          </cell>
          <cell r="N143" t="str">
            <v>AL4</v>
          </cell>
          <cell r="O143" t="str">
            <v>AL8</v>
          </cell>
          <cell r="P143">
            <v>8</v>
          </cell>
          <cell r="Q143">
            <v>8</v>
          </cell>
          <cell r="R143">
            <v>8</v>
          </cell>
          <cell r="S143" t="str">
            <v>CN</v>
          </cell>
          <cell r="T143">
            <v>8</v>
          </cell>
          <cell r="U143">
            <v>8</v>
          </cell>
          <cell r="V143">
            <v>8</v>
          </cell>
          <cell r="W143">
            <v>8</v>
          </cell>
          <cell r="X143">
            <v>8</v>
          </cell>
          <cell r="Y143">
            <v>8</v>
          </cell>
          <cell r="Z143" t="str">
            <v>CN</v>
          </cell>
          <cell r="AA143" t="str">
            <v>AL8</v>
          </cell>
          <cell r="AB143">
            <v>8</v>
          </cell>
          <cell r="AC143">
            <v>8</v>
          </cell>
          <cell r="AD143">
            <v>8</v>
          </cell>
          <cell r="AE143">
            <v>8</v>
          </cell>
          <cell r="AF143">
            <v>8</v>
          </cell>
          <cell r="AG143" t="str">
            <v>CN</v>
          </cell>
          <cell r="AH143" t="str">
            <v>AL4</v>
          </cell>
          <cell r="AI143" t="str">
            <v>AL4</v>
          </cell>
          <cell r="AJ143">
            <v>8</v>
          </cell>
          <cell r="AN143">
            <v>0</v>
          </cell>
          <cell r="AO143">
            <v>164</v>
          </cell>
          <cell r="AP143">
            <v>12</v>
          </cell>
          <cell r="AQ143">
            <v>0</v>
          </cell>
          <cell r="AR143">
            <v>0</v>
          </cell>
          <cell r="AS143">
            <v>0</v>
          </cell>
          <cell r="AT143">
            <v>0</v>
          </cell>
          <cell r="AU143">
            <v>0</v>
          </cell>
          <cell r="AV143">
            <v>0</v>
          </cell>
          <cell r="AW143">
            <v>0</v>
          </cell>
          <cell r="AX143">
            <v>0</v>
          </cell>
          <cell r="AY143">
            <v>0</v>
          </cell>
          <cell r="AZ143">
            <v>0</v>
          </cell>
          <cell r="BA143">
            <v>28</v>
          </cell>
          <cell r="BB143">
            <v>0</v>
          </cell>
          <cell r="BC143">
            <v>0</v>
          </cell>
          <cell r="BD143">
            <v>0</v>
          </cell>
          <cell r="BE143">
            <v>0</v>
          </cell>
          <cell r="BF143">
            <v>0</v>
          </cell>
          <cell r="BG143">
            <v>192</v>
          </cell>
          <cell r="BH143">
            <v>3.5</v>
          </cell>
          <cell r="BI143">
            <v>3.5</v>
          </cell>
          <cell r="BJ143">
            <v>1.5</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3</v>
          </cell>
          <cell r="CB143">
            <v>0</v>
          </cell>
          <cell r="CC143">
            <v>0</v>
          </cell>
          <cell r="CD143">
            <v>0</v>
          </cell>
          <cell r="CE143">
            <v>0</v>
          </cell>
          <cell r="CF143">
            <v>0</v>
          </cell>
          <cell r="CG143">
            <v>0</v>
          </cell>
          <cell r="CH143">
            <v>0</v>
          </cell>
          <cell r="CI143">
            <v>0</v>
          </cell>
          <cell r="CJ143">
            <v>0</v>
          </cell>
          <cell r="CK143">
            <v>0</v>
          </cell>
          <cell r="CL143">
            <v>0</v>
          </cell>
          <cell r="CM143">
            <v>0</v>
          </cell>
          <cell r="CR143">
            <v>0</v>
          </cell>
          <cell r="CS143">
            <v>0</v>
          </cell>
          <cell r="CT143">
            <v>3</v>
          </cell>
          <cell r="CU143">
            <v>0</v>
          </cell>
          <cell r="CV143">
            <v>0</v>
          </cell>
          <cell r="CZ143">
            <v>3</v>
          </cell>
        </row>
        <row r="144">
          <cell r="C144" t="str">
            <v>01567</v>
          </cell>
          <cell r="D144" t="str">
            <v>Võ Nhựt An</v>
          </cell>
          <cell r="E144" t="str">
            <v>Warehouse</v>
          </cell>
          <cell r="F144" t="str">
            <v>RM Warehouse</v>
          </cell>
          <cell r="G144" t="str">
            <v>Forklift Driver</v>
          </cell>
          <cell r="H144">
            <v>43524</v>
          </cell>
          <cell r="I144">
            <v>8</v>
          </cell>
          <cell r="J144">
            <v>8</v>
          </cell>
          <cell r="K144">
            <v>8</v>
          </cell>
          <cell r="L144" t="str">
            <v>CN</v>
          </cell>
          <cell r="M144">
            <v>8</v>
          </cell>
          <cell r="N144">
            <v>8</v>
          </cell>
          <cell r="O144">
            <v>8</v>
          </cell>
          <cell r="P144">
            <v>8</v>
          </cell>
          <cell r="Q144">
            <v>8</v>
          </cell>
          <cell r="R144">
            <v>8</v>
          </cell>
          <cell r="S144" t="str">
            <v>CN</v>
          </cell>
          <cell r="T144">
            <v>8</v>
          </cell>
          <cell r="U144">
            <v>8</v>
          </cell>
          <cell r="V144" t="str">
            <v>AL8</v>
          </cell>
          <cell r="W144">
            <v>8</v>
          </cell>
          <cell r="X144">
            <v>8</v>
          </cell>
          <cell r="Y144">
            <v>8</v>
          </cell>
          <cell r="Z144" t="str">
            <v>CN</v>
          </cell>
          <cell r="AA144">
            <v>8</v>
          </cell>
          <cell r="AB144">
            <v>8</v>
          </cell>
          <cell r="AC144">
            <v>8</v>
          </cell>
          <cell r="AD144">
            <v>8</v>
          </cell>
          <cell r="AE144">
            <v>8</v>
          </cell>
          <cell r="AF144">
            <v>8</v>
          </cell>
          <cell r="AG144" t="str">
            <v>CN</v>
          </cell>
          <cell r="AH144">
            <v>8</v>
          </cell>
          <cell r="AI144">
            <v>8</v>
          </cell>
          <cell r="AJ144">
            <v>8</v>
          </cell>
          <cell r="AN144">
            <v>0</v>
          </cell>
          <cell r="AO144">
            <v>184</v>
          </cell>
          <cell r="AP144">
            <v>0</v>
          </cell>
          <cell r="AQ144">
            <v>0</v>
          </cell>
          <cell r="AR144">
            <v>0</v>
          </cell>
          <cell r="AS144">
            <v>0</v>
          </cell>
          <cell r="AT144">
            <v>0</v>
          </cell>
          <cell r="AU144">
            <v>0</v>
          </cell>
          <cell r="AV144">
            <v>0</v>
          </cell>
          <cell r="AW144">
            <v>0</v>
          </cell>
          <cell r="AX144">
            <v>0</v>
          </cell>
          <cell r="AY144">
            <v>0</v>
          </cell>
          <cell r="AZ144">
            <v>0</v>
          </cell>
          <cell r="BA144">
            <v>8</v>
          </cell>
          <cell r="BB144">
            <v>0</v>
          </cell>
          <cell r="BC144">
            <v>0</v>
          </cell>
          <cell r="BD144">
            <v>0</v>
          </cell>
          <cell r="BE144">
            <v>0</v>
          </cell>
          <cell r="BF144">
            <v>0</v>
          </cell>
          <cell r="BG144">
            <v>192</v>
          </cell>
          <cell r="BH144">
            <v>1</v>
          </cell>
          <cell r="BI144">
            <v>1</v>
          </cell>
          <cell r="BJ144">
            <v>8.5</v>
          </cell>
          <cell r="BL144">
            <v>1</v>
          </cell>
          <cell r="BM144">
            <v>0</v>
          </cell>
          <cell r="BN144">
            <v>0</v>
          </cell>
          <cell r="BO144">
            <v>0</v>
          </cell>
          <cell r="BP144">
            <v>3</v>
          </cell>
          <cell r="BQ144">
            <v>3</v>
          </cell>
          <cell r="BR144">
            <v>0</v>
          </cell>
          <cell r="BS144">
            <v>0</v>
          </cell>
          <cell r="BT144">
            <v>0</v>
          </cell>
          <cell r="BU144">
            <v>0</v>
          </cell>
          <cell r="BV144">
            <v>0</v>
          </cell>
          <cell r="BW144">
            <v>0</v>
          </cell>
          <cell r="BX144">
            <v>0</v>
          </cell>
          <cell r="BY144">
            <v>0</v>
          </cell>
          <cell r="BZ144">
            <v>0</v>
          </cell>
          <cell r="CA144">
            <v>3</v>
          </cell>
          <cell r="CB144">
            <v>0</v>
          </cell>
          <cell r="CC144">
            <v>0</v>
          </cell>
          <cell r="CD144">
            <v>3</v>
          </cell>
          <cell r="CE144">
            <v>0</v>
          </cell>
          <cell r="CF144">
            <v>1</v>
          </cell>
          <cell r="CG144">
            <v>0</v>
          </cell>
          <cell r="CH144">
            <v>3</v>
          </cell>
          <cell r="CI144">
            <v>0</v>
          </cell>
          <cell r="CJ144">
            <v>0</v>
          </cell>
          <cell r="CK144">
            <v>3</v>
          </cell>
          <cell r="CL144">
            <v>0</v>
          </cell>
          <cell r="CM144">
            <v>3</v>
          </cell>
          <cell r="CR144">
            <v>0</v>
          </cell>
          <cell r="CS144">
            <v>0</v>
          </cell>
          <cell r="CT144">
            <v>23</v>
          </cell>
          <cell r="CU144">
            <v>0</v>
          </cell>
          <cell r="CV144">
            <v>0</v>
          </cell>
          <cell r="CZ144">
            <v>23</v>
          </cell>
        </row>
        <row r="145">
          <cell r="C145" t="str">
            <v>01574</v>
          </cell>
          <cell r="D145" t="str">
            <v>Lâm Trung Tín</v>
          </cell>
          <cell r="E145" t="str">
            <v>Warehouse</v>
          </cell>
          <cell r="F145" t="str">
            <v>RM Warehouse</v>
          </cell>
          <cell r="G145" t="str">
            <v>Worker</v>
          </cell>
          <cell r="H145">
            <v>43531</v>
          </cell>
          <cell r="I145">
            <v>8</v>
          </cell>
          <cell r="J145">
            <v>8</v>
          </cell>
          <cell r="K145">
            <v>8</v>
          </cell>
          <cell r="L145" t="str">
            <v>CN</v>
          </cell>
          <cell r="M145">
            <v>8</v>
          </cell>
          <cell r="N145">
            <v>8</v>
          </cell>
          <cell r="O145">
            <v>8</v>
          </cell>
          <cell r="P145">
            <v>8</v>
          </cell>
          <cell r="Q145">
            <v>8</v>
          </cell>
          <cell r="R145">
            <v>8</v>
          </cell>
          <cell r="S145" t="str">
            <v>CN</v>
          </cell>
          <cell r="T145" t="str">
            <v>AL8</v>
          </cell>
          <cell r="U145" t="str">
            <v>AL8</v>
          </cell>
          <cell r="V145" t="str">
            <v>AL8</v>
          </cell>
          <cell r="W145">
            <v>8</v>
          </cell>
          <cell r="X145">
            <v>8</v>
          </cell>
          <cell r="Y145">
            <v>8</v>
          </cell>
          <cell r="Z145" t="str">
            <v>CN</v>
          </cell>
          <cell r="AA145">
            <v>8</v>
          </cell>
          <cell r="AB145">
            <v>8</v>
          </cell>
          <cell r="AC145">
            <v>8</v>
          </cell>
          <cell r="AD145">
            <v>8</v>
          </cell>
          <cell r="AE145">
            <v>8</v>
          </cell>
          <cell r="AF145">
            <v>8</v>
          </cell>
          <cell r="AG145" t="str">
            <v>CN</v>
          </cell>
          <cell r="AH145">
            <v>8</v>
          </cell>
          <cell r="AI145">
            <v>8</v>
          </cell>
          <cell r="AJ145">
            <v>8</v>
          </cell>
          <cell r="AN145">
            <v>0</v>
          </cell>
          <cell r="AO145">
            <v>168</v>
          </cell>
          <cell r="AP145">
            <v>0</v>
          </cell>
          <cell r="AQ145">
            <v>0</v>
          </cell>
          <cell r="AR145">
            <v>0</v>
          </cell>
          <cell r="AS145">
            <v>0</v>
          </cell>
          <cell r="AT145">
            <v>0</v>
          </cell>
          <cell r="AU145">
            <v>0</v>
          </cell>
          <cell r="AV145">
            <v>0</v>
          </cell>
          <cell r="AW145">
            <v>0</v>
          </cell>
          <cell r="AX145">
            <v>0</v>
          </cell>
          <cell r="AY145">
            <v>0</v>
          </cell>
          <cell r="AZ145">
            <v>0</v>
          </cell>
          <cell r="BA145">
            <v>24</v>
          </cell>
          <cell r="BB145">
            <v>0</v>
          </cell>
          <cell r="BC145">
            <v>0</v>
          </cell>
          <cell r="BD145">
            <v>0</v>
          </cell>
          <cell r="BE145">
            <v>0</v>
          </cell>
          <cell r="BF145">
            <v>0</v>
          </cell>
          <cell r="BG145">
            <v>192</v>
          </cell>
          <cell r="BH145">
            <v>3</v>
          </cell>
          <cell r="BI145">
            <v>3</v>
          </cell>
          <cell r="BJ145">
            <v>4</v>
          </cell>
          <cell r="BL145">
            <v>0</v>
          </cell>
          <cell r="BM145">
            <v>0</v>
          </cell>
          <cell r="BN145">
            <v>0</v>
          </cell>
          <cell r="BO145">
            <v>0</v>
          </cell>
          <cell r="BP145">
            <v>0</v>
          </cell>
          <cell r="BQ145">
            <v>3</v>
          </cell>
          <cell r="BR145">
            <v>0</v>
          </cell>
          <cell r="BS145">
            <v>0</v>
          </cell>
          <cell r="BT145">
            <v>0</v>
          </cell>
          <cell r="BU145">
            <v>1</v>
          </cell>
          <cell r="BV145">
            <v>0</v>
          </cell>
          <cell r="BW145">
            <v>0</v>
          </cell>
          <cell r="BX145">
            <v>0</v>
          </cell>
          <cell r="BY145">
            <v>0</v>
          </cell>
          <cell r="BZ145">
            <v>0</v>
          </cell>
          <cell r="CA145">
            <v>3</v>
          </cell>
          <cell r="CB145">
            <v>0</v>
          </cell>
          <cell r="CC145">
            <v>0</v>
          </cell>
          <cell r="CD145">
            <v>0</v>
          </cell>
          <cell r="CE145">
            <v>0</v>
          </cell>
          <cell r="CF145">
            <v>0</v>
          </cell>
          <cell r="CG145">
            <v>3</v>
          </cell>
          <cell r="CH145">
            <v>0</v>
          </cell>
          <cell r="CI145">
            <v>0</v>
          </cell>
          <cell r="CJ145">
            <v>0</v>
          </cell>
          <cell r="CK145">
            <v>3</v>
          </cell>
          <cell r="CL145">
            <v>0</v>
          </cell>
          <cell r="CM145">
            <v>3</v>
          </cell>
          <cell r="CR145">
            <v>0</v>
          </cell>
          <cell r="CS145">
            <v>0</v>
          </cell>
          <cell r="CT145">
            <v>16</v>
          </cell>
          <cell r="CU145">
            <v>0</v>
          </cell>
          <cell r="CV145">
            <v>0</v>
          </cell>
          <cell r="CZ145">
            <v>16</v>
          </cell>
        </row>
        <row r="146">
          <cell r="C146" t="str">
            <v>01582</v>
          </cell>
          <cell r="D146" t="str">
            <v>Tào Thị Thùy</v>
          </cell>
          <cell r="E146" t="str">
            <v>Technical Development</v>
          </cell>
          <cell r="F146" t="str">
            <v>PD Technical</v>
          </cell>
          <cell r="G146" t="str">
            <v xml:space="preserve"> Staff</v>
          </cell>
          <cell r="H146">
            <v>43531</v>
          </cell>
          <cell r="I146">
            <v>8</v>
          </cell>
          <cell r="J146" t="str">
            <v>BS</v>
          </cell>
          <cell r="K146" t="str">
            <v>PO</v>
          </cell>
          <cell r="L146" t="str">
            <v>CN</v>
          </cell>
          <cell r="M146">
            <v>8</v>
          </cell>
          <cell r="N146">
            <v>8</v>
          </cell>
          <cell r="O146">
            <v>8</v>
          </cell>
          <cell r="P146">
            <v>8</v>
          </cell>
          <cell r="Q146">
            <v>8</v>
          </cell>
          <cell r="R146" t="str">
            <v>PO</v>
          </cell>
          <cell r="S146" t="str">
            <v>CN</v>
          </cell>
          <cell r="T146">
            <v>8</v>
          </cell>
          <cell r="U146">
            <v>8</v>
          </cell>
          <cell r="V146">
            <v>8</v>
          </cell>
          <cell r="W146">
            <v>8</v>
          </cell>
          <cell r="X146">
            <v>8</v>
          </cell>
          <cell r="Y146" t="str">
            <v>PO</v>
          </cell>
          <cell r="Z146" t="str">
            <v>CN</v>
          </cell>
          <cell r="AA146">
            <v>8</v>
          </cell>
          <cell r="AB146">
            <v>8</v>
          </cell>
          <cell r="AC146">
            <v>8</v>
          </cell>
          <cell r="AD146">
            <v>8</v>
          </cell>
          <cell r="AE146" t="str">
            <v>AL4</v>
          </cell>
          <cell r="AF146" t="str">
            <v>PO</v>
          </cell>
          <cell r="AG146" t="str">
            <v>CN</v>
          </cell>
          <cell r="AH146">
            <v>8</v>
          </cell>
          <cell r="AI146">
            <v>8</v>
          </cell>
          <cell r="AJ146">
            <v>8</v>
          </cell>
          <cell r="AN146">
            <v>0</v>
          </cell>
          <cell r="AO146">
            <v>148</v>
          </cell>
          <cell r="AP146">
            <v>4</v>
          </cell>
          <cell r="AQ146">
            <v>0</v>
          </cell>
          <cell r="AR146">
            <v>0</v>
          </cell>
          <cell r="AS146">
            <v>0</v>
          </cell>
          <cell r="AT146">
            <v>0</v>
          </cell>
          <cell r="AU146">
            <v>8</v>
          </cell>
          <cell r="AV146">
            <v>32</v>
          </cell>
          <cell r="AW146">
            <v>0</v>
          </cell>
          <cell r="AX146">
            <v>0</v>
          </cell>
          <cell r="AY146">
            <v>0</v>
          </cell>
          <cell r="AZ146">
            <v>0</v>
          </cell>
          <cell r="BA146">
            <v>4</v>
          </cell>
          <cell r="BB146">
            <v>0</v>
          </cell>
          <cell r="BC146">
            <v>0</v>
          </cell>
          <cell r="BD146">
            <v>0</v>
          </cell>
          <cell r="BE146">
            <v>0</v>
          </cell>
          <cell r="BF146">
            <v>0</v>
          </cell>
          <cell r="BG146">
            <v>192</v>
          </cell>
          <cell r="BH146">
            <v>0.5</v>
          </cell>
          <cell r="BI146">
            <v>0.5</v>
          </cell>
          <cell r="BJ146">
            <v>3</v>
          </cell>
          <cell r="BL146">
            <v>0</v>
          </cell>
          <cell r="BM146">
            <v>0</v>
          </cell>
          <cell r="BN146">
            <v>0</v>
          </cell>
          <cell r="BO146">
            <v>0</v>
          </cell>
          <cell r="BP146">
            <v>0</v>
          </cell>
          <cell r="BQ146">
            <v>0</v>
          </cell>
          <cell r="BR146">
            <v>0</v>
          </cell>
          <cell r="BS146">
            <v>0</v>
          </cell>
          <cell r="BT146">
            <v>0</v>
          </cell>
          <cell r="BU146">
            <v>0</v>
          </cell>
          <cell r="BV146">
            <v>0</v>
          </cell>
          <cell r="BW146">
            <v>0</v>
          </cell>
          <cell r="BX146">
            <v>0</v>
          </cell>
          <cell r="BY146">
            <v>0</v>
          </cell>
          <cell r="BZ146">
            <v>0</v>
          </cell>
          <cell r="CA146">
            <v>0</v>
          </cell>
          <cell r="CB146">
            <v>0</v>
          </cell>
          <cell r="CC146">
            <v>0</v>
          </cell>
          <cell r="CD146">
            <v>0</v>
          </cell>
          <cell r="CE146">
            <v>0</v>
          </cell>
          <cell r="CF146">
            <v>0</v>
          </cell>
          <cell r="CG146">
            <v>0</v>
          </cell>
          <cell r="CH146">
            <v>0</v>
          </cell>
          <cell r="CI146">
            <v>0</v>
          </cell>
          <cell r="CJ146">
            <v>0</v>
          </cell>
          <cell r="CK146">
            <v>0</v>
          </cell>
          <cell r="CL146">
            <v>0</v>
          </cell>
          <cell r="CM146">
            <v>0</v>
          </cell>
          <cell r="CR146">
            <v>0</v>
          </cell>
          <cell r="CS146">
            <v>0</v>
          </cell>
          <cell r="CT146">
            <v>0</v>
          </cell>
          <cell r="CU146">
            <v>0</v>
          </cell>
          <cell r="CV146">
            <v>0</v>
          </cell>
          <cell r="CZ146">
            <v>0</v>
          </cell>
        </row>
        <row r="147">
          <cell r="C147" t="str">
            <v>01601</v>
          </cell>
          <cell r="D147" t="str">
            <v>Nguyễn Thành Luân</v>
          </cell>
          <cell r="E147" t="str">
            <v>Technical Development</v>
          </cell>
          <cell r="F147" t="str">
            <v>PD Technical</v>
          </cell>
          <cell r="G147" t="str">
            <v>Technician</v>
          </cell>
          <cell r="H147">
            <v>43537</v>
          </cell>
          <cell r="I147">
            <v>8</v>
          </cell>
          <cell r="J147">
            <v>8</v>
          </cell>
          <cell r="K147" t="str">
            <v>PO</v>
          </cell>
          <cell r="L147" t="str">
            <v>CN</v>
          </cell>
          <cell r="M147">
            <v>8</v>
          </cell>
          <cell r="N147">
            <v>8</v>
          </cell>
          <cell r="O147">
            <v>8</v>
          </cell>
          <cell r="P147">
            <v>8</v>
          </cell>
          <cell r="Q147">
            <v>8</v>
          </cell>
          <cell r="R147" t="str">
            <v>PO</v>
          </cell>
          <cell r="S147" t="str">
            <v>CN</v>
          </cell>
          <cell r="T147">
            <v>8</v>
          </cell>
          <cell r="U147">
            <v>8</v>
          </cell>
          <cell r="V147">
            <v>8</v>
          </cell>
          <cell r="W147">
            <v>8</v>
          </cell>
          <cell r="X147">
            <v>8</v>
          </cell>
          <cell r="Y147" t="str">
            <v>PO</v>
          </cell>
          <cell r="Z147" t="str">
            <v>CN</v>
          </cell>
          <cell r="AA147">
            <v>8</v>
          </cell>
          <cell r="AB147">
            <v>8</v>
          </cell>
          <cell r="AC147">
            <v>8</v>
          </cell>
          <cell r="AD147">
            <v>8</v>
          </cell>
          <cell r="AE147">
            <v>8</v>
          </cell>
          <cell r="AF147" t="str">
            <v>PO</v>
          </cell>
          <cell r="AG147" t="str">
            <v>CN</v>
          </cell>
          <cell r="AH147">
            <v>8</v>
          </cell>
          <cell r="AI147">
            <v>8</v>
          </cell>
          <cell r="AJ147">
            <v>8</v>
          </cell>
          <cell r="AN147">
            <v>0</v>
          </cell>
          <cell r="AO147">
            <v>160</v>
          </cell>
          <cell r="AP147">
            <v>0</v>
          </cell>
          <cell r="AQ147">
            <v>0</v>
          </cell>
          <cell r="AR147">
            <v>0</v>
          </cell>
          <cell r="AS147">
            <v>0</v>
          </cell>
          <cell r="AT147">
            <v>0</v>
          </cell>
          <cell r="AU147">
            <v>0</v>
          </cell>
          <cell r="AV147">
            <v>32</v>
          </cell>
          <cell r="AW147">
            <v>0</v>
          </cell>
          <cell r="AX147">
            <v>0</v>
          </cell>
          <cell r="AY147">
            <v>0</v>
          </cell>
          <cell r="AZ147">
            <v>0</v>
          </cell>
          <cell r="BA147">
            <v>0</v>
          </cell>
          <cell r="BB147">
            <v>0</v>
          </cell>
          <cell r="BC147">
            <v>0</v>
          </cell>
          <cell r="BD147">
            <v>0</v>
          </cell>
          <cell r="BE147">
            <v>0</v>
          </cell>
          <cell r="BF147">
            <v>0</v>
          </cell>
          <cell r="BG147">
            <v>192</v>
          </cell>
          <cell r="BH147">
            <v>0</v>
          </cell>
          <cell r="BI147">
            <v>0</v>
          </cell>
          <cell r="BJ147">
            <v>4</v>
          </cell>
          <cell r="BL147">
            <v>0</v>
          </cell>
          <cell r="BM147">
            <v>0</v>
          </cell>
          <cell r="BN147">
            <v>0</v>
          </cell>
          <cell r="BO147">
            <v>0</v>
          </cell>
          <cell r="BP147">
            <v>0</v>
          </cell>
          <cell r="BQ147">
            <v>0</v>
          </cell>
          <cell r="BR147">
            <v>0</v>
          </cell>
          <cell r="BS147">
            <v>0</v>
          </cell>
          <cell r="BT147">
            <v>0</v>
          </cell>
          <cell r="BU147">
            <v>0</v>
          </cell>
          <cell r="BV147">
            <v>0</v>
          </cell>
          <cell r="BW147">
            <v>0</v>
          </cell>
          <cell r="BX147">
            <v>0</v>
          </cell>
          <cell r="BY147">
            <v>0</v>
          </cell>
          <cell r="BZ147">
            <v>0</v>
          </cell>
          <cell r="CA147">
            <v>0</v>
          </cell>
          <cell r="CB147">
            <v>0</v>
          </cell>
          <cell r="CC147">
            <v>0</v>
          </cell>
          <cell r="CD147">
            <v>0</v>
          </cell>
          <cell r="CE147">
            <v>0</v>
          </cell>
          <cell r="CF147">
            <v>0</v>
          </cell>
          <cell r="CG147">
            <v>0</v>
          </cell>
          <cell r="CH147">
            <v>0</v>
          </cell>
          <cell r="CI147">
            <v>0</v>
          </cell>
          <cell r="CJ147">
            <v>0</v>
          </cell>
          <cell r="CK147">
            <v>0</v>
          </cell>
          <cell r="CL147">
            <v>0</v>
          </cell>
          <cell r="CM147">
            <v>0</v>
          </cell>
          <cell r="CR147">
            <v>0</v>
          </cell>
          <cell r="CS147">
            <v>0</v>
          </cell>
          <cell r="CT147">
            <v>0</v>
          </cell>
          <cell r="CU147">
            <v>0</v>
          </cell>
          <cell r="CV147">
            <v>0</v>
          </cell>
          <cell r="CZ147">
            <v>0</v>
          </cell>
        </row>
        <row r="148">
          <cell r="C148" t="str">
            <v>01631</v>
          </cell>
          <cell r="D148" t="str">
            <v>Nguyễn Thị Cẩm Tiên</v>
          </cell>
          <cell r="E148" t="str">
            <v>Production</v>
          </cell>
          <cell r="F148" t="str">
            <v>Logo</v>
          </cell>
          <cell r="G148" t="str">
            <v>Worker</v>
          </cell>
          <cell r="H148">
            <v>43553</v>
          </cell>
          <cell r="I148" t="str">
            <v>Đ</v>
          </cell>
          <cell r="J148" t="str">
            <v>Đ</v>
          </cell>
          <cell r="K148" t="str">
            <v>Đ</v>
          </cell>
          <cell r="L148" t="str">
            <v>CN</v>
          </cell>
          <cell r="M148" t="str">
            <v>Đ</v>
          </cell>
          <cell r="N148" t="str">
            <v>Đ</v>
          </cell>
          <cell r="O148" t="str">
            <v>Đ</v>
          </cell>
          <cell r="P148" t="str">
            <v>Đ</v>
          </cell>
          <cell r="Q148" t="str">
            <v>Đ</v>
          </cell>
          <cell r="R148" t="str">
            <v>Đ</v>
          </cell>
          <cell r="S148" t="str">
            <v>CN</v>
          </cell>
          <cell r="T148">
            <v>8</v>
          </cell>
          <cell r="U148">
            <v>8</v>
          </cell>
          <cell r="V148">
            <v>8</v>
          </cell>
          <cell r="W148">
            <v>8</v>
          </cell>
          <cell r="X148">
            <v>8</v>
          </cell>
          <cell r="Y148">
            <v>8</v>
          </cell>
          <cell r="Z148" t="str">
            <v>CN</v>
          </cell>
          <cell r="AA148" t="str">
            <v>Đ</v>
          </cell>
          <cell r="AB148" t="str">
            <v>Đ</v>
          </cell>
          <cell r="AC148" t="str">
            <v>Đ</v>
          </cell>
          <cell r="AD148" t="str">
            <v>Đ</v>
          </cell>
          <cell r="AE148" t="str">
            <v>Đ</v>
          </cell>
          <cell r="AF148" t="str">
            <v>Đ</v>
          </cell>
          <cell r="AG148" t="str">
            <v>CN</v>
          </cell>
          <cell r="AH148" t="str">
            <v>Đ</v>
          </cell>
          <cell r="AI148" t="str">
            <v>Đ</v>
          </cell>
          <cell r="AJ148" t="str">
            <v>Đ</v>
          </cell>
          <cell r="AN148">
            <v>144</v>
          </cell>
          <cell r="AO148">
            <v>48</v>
          </cell>
          <cell r="AP148">
            <v>0</v>
          </cell>
          <cell r="AQ148">
            <v>0</v>
          </cell>
          <cell r="AR148">
            <v>0</v>
          </cell>
          <cell r="AS148">
            <v>0</v>
          </cell>
          <cell r="AT148">
            <v>0</v>
          </cell>
          <cell r="AU148">
            <v>0</v>
          </cell>
          <cell r="AV148">
            <v>0</v>
          </cell>
          <cell r="AW148">
            <v>0</v>
          </cell>
          <cell r="AX148">
            <v>0</v>
          </cell>
          <cell r="AY148">
            <v>0</v>
          </cell>
          <cell r="AZ148">
            <v>0</v>
          </cell>
          <cell r="BA148">
            <v>0</v>
          </cell>
          <cell r="BB148">
            <v>0</v>
          </cell>
          <cell r="BC148">
            <v>0</v>
          </cell>
          <cell r="BD148">
            <v>0</v>
          </cell>
          <cell r="BE148">
            <v>0</v>
          </cell>
          <cell r="BF148">
            <v>0</v>
          </cell>
          <cell r="BG148">
            <v>192</v>
          </cell>
          <cell r="BH148">
            <v>0</v>
          </cell>
          <cell r="BI148">
            <v>0</v>
          </cell>
          <cell r="BJ148">
            <v>2.5</v>
          </cell>
          <cell r="BL148">
            <v>0</v>
          </cell>
          <cell r="BM148">
            <v>1.5</v>
          </cell>
          <cell r="BN148">
            <v>0</v>
          </cell>
          <cell r="BO148">
            <v>0</v>
          </cell>
          <cell r="BP148">
            <v>1.5</v>
          </cell>
          <cell r="BQ148">
            <v>3</v>
          </cell>
          <cell r="BR148">
            <v>0</v>
          </cell>
          <cell r="BS148">
            <v>3</v>
          </cell>
          <cell r="BT148">
            <v>3</v>
          </cell>
          <cell r="BU148">
            <v>0</v>
          </cell>
          <cell r="BV148">
            <v>0</v>
          </cell>
          <cell r="BW148">
            <v>3</v>
          </cell>
          <cell r="BX148">
            <v>3</v>
          </cell>
          <cell r="BY148">
            <v>3</v>
          </cell>
          <cell r="BZ148">
            <v>3</v>
          </cell>
          <cell r="CA148">
            <v>3</v>
          </cell>
          <cell r="CB148">
            <v>3</v>
          </cell>
          <cell r="CC148">
            <v>8</v>
          </cell>
          <cell r="CD148">
            <v>1.5</v>
          </cell>
          <cell r="CE148">
            <v>4</v>
          </cell>
          <cell r="CF148">
            <v>4</v>
          </cell>
          <cell r="CG148">
            <v>4</v>
          </cell>
          <cell r="CH148">
            <v>4</v>
          </cell>
          <cell r="CI148">
            <v>4</v>
          </cell>
          <cell r="CJ148">
            <v>0</v>
          </cell>
          <cell r="CK148">
            <v>4</v>
          </cell>
          <cell r="CL148">
            <v>4</v>
          </cell>
          <cell r="CM148">
            <v>4</v>
          </cell>
          <cell r="CR148">
            <v>0</v>
          </cell>
          <cell r="CS148">
            <v>0</v>
          </cell>
          <cell r="CT148">
            <v>63.5</v>
          </cell>
          <cell r="CU148">
            <v>8</v>
          </cell>
          <cell r="CV148">
            <v>0</v>
          </cell>
          <cell r="CZ148">
            <v>71.5</v>
          </cell>
        </row>
        <row r="149">
          <cell r="C149" t="str">
            <v>01635</v>
          </cell>
          <cell r="D149" t="str">
            <v>Nguyễn Thị Tiểu Phi</v>
          </cell>
          <cell r="E149" t="str">
            <v>Production</v>
          </cell>
          <cell r="F149" t="str">
            <v>Die Cut</v>
          </cell>
          <cell r="G149" t="str">
            <v>Worker</v>
          </cell>
          <cell r="H149">
            <v>43554</v>
          </cell>
          <cell r="I149">
            <v>8</v>
          </cell>
          <cell r="J149">
            <v>8</v>
          </cell>
          <cell r="K149">
            <v>8</v>
          </cell>
          <cell r="L149" t="str">
            <v>CN</v>
          </cell>
          <cell r="M149" t="str">
            <v>Đ</v>
          </cell>
          <cell r="N149" t="str">
            <v>Đ</v>
          </cell>
          <cell r="O149" t="str">
            <v>Đ</v>
          </cell>
          <cell r="P149" t="str">
            <v>Đ</v>
          </cell>
          <cell r="Q149" t="str">
            <v>Đ</v>
          </cell>
          <cell r="R149" t="str">
            <v>AL8</v>
          </cell>
          <cell r="S149" t="str">
            <v>CN</v>
          </cell>
          <cell r="T149">
            <v>8</v>
          </cell>
          <cell r="U149">
            <v>8</v>
          </cell>
          <cell r="V149">
            <v>8</v>
          </cell>
          <cell r="W149">
            <v>8</v>
          </cell>
          <cell r="X149">
            <v>8</v>
          </cell>
          <cell r="Y149">
            <v>8</v>
          </cell>
          <cell r="Z149" t="str">
            <v>CN</v>
          </cell>
          <cell r="AA149" t="str">
            <v>Đ</v>
          </cell>
          <cell r="AB149" t="str">
            <v>Đ</v>
          </cell>
          <cell r="AC149" t="str">
            <v>Đ</v>
          </cell>
          <cell r="AD149" t="str">
            <v>Đ</v>
          </cell>
          <cell r="AE149" t="str">
            <v>Đ</v>
          </cell>
          <cell r="AF149" t="str">
            <v>Đ</v>
          </cell>
          <cell r="AG149" t="str">
            <v>CN</v>
          </cell>
          <cell r="AH149">
            <v>8</v>
          </cell>
          <cell r="AI149">
            <v>8</v>
          </cell>
          <cell r="AJ149">
            <v>8</v>
          </cell>
          <cell r="AN149">
            <v>88</v>
          </cell>
          <cell r="AO149">
            <v>96</v>
          </cell>
          <cell r="AP149">
            <v>0</v>
          </cell>
          <cell r="AQ149">
            <v>0</v>
          </cell>
          <cell r="AR149">
            <v>0</v>
          </cell>
          <cell r="AS149">
            <v>0</v>
          </cell>
          <cell r="AT149">
            <v>0</v>
          </cell>
          <cell r="AU149">
            <v>0</v>
          </cell>
          <cell r="AV149">
            <v>0</v>
          </cell>
          <cell r="AW149">
            <v>0</v>
          </cell>
          <cell r="AX149">
            <v>0</v>
          </cell>
          <cell r="AY149">
            <v>0</v>
          </cell>
          <cell r="AZ149">
            <v>0</v>
          </cell>
          <cell r="BA149">
            <v>8</v>
          </cell>
          <cell r="BB149">
            <v>0</v>
          </cell>
          <cell r="BC149">
            <v>0</v>
          </cell>
          <cell r="BD149">
            <v>0</v>
          </cell>
          <cell r="BE149">
            <v>0</v>
          </cell>
          <cell r="BF149">
            <v>0</v>
          </cell>
          <cell r="BG149">
            <v>192</v>
          </cell>
          <cell r="BH149">
            <v>1</v>
          </cell>
          <cell r="BI149">
            <v>1</v>
          </cell>
          <cell r="BJ149">
            <v>1</v>
          </cell>
          <cell r="BL149">
            <v>1.5</v>
          </cell>
          <cell r="BM149">
            <v>0</v>
          </cell>
          <cell r="BN149">
            <v>0</v>
          </cell>
          <cell r="BO149">
            <v>0</v>
          </cell>
          <cell r="BP149">
            <v>1.5</v>
          </cell>
          <cell r="BQ149">
            <v>0</v>
          </cell>
          <cell r="BR149">
            <v>0</v>
          </cell>
          <cell r="BS149">
            <v>4</v>
          </cell>
          <cell r="BT149">
            <v>0</v>
          </cell>
          <cell r="BU149">
            <v>0</v>
          </cell>
          <cell r="BV149">
            <v>0</v>
          </cell>
          <cell r="BW149">
            <v>3</v>
          </cell>
          <cell r="BX149">
            <v>3</v>
          </cell>
          <cell r="BY149">
            <v>0</v>
          </cell>
          <cell r="BZ149">
            <v>3</v>
          </cell>
          <cell r="CA149">
            <v>3</v>
          </cell>
          <cell r="CB149">
            <v>3</v>
          </cell>
          <cell r="CC149">
            <v>0</v>
          </cell>
          <cell r="CD149">
            <v>4</v>
          </cell>
          <cell r="CE149">
            <v>4</v>
          </cell>
          <cell r="CF149">
            <v>4</v>
          </cell>
          <cell r="CG149">
            <v>4</v>
          </cell>
          <cell r="CH149">
            <v>4</v>
          </cell>
          <cell r="CI149">
            <v>4</v>
          </cell>
          <cell r="CJ149">
            <v>0</v>
          </cell>
          <cell r="CK149">
            <v>0</v>
          </cell>
          <cell r="CL149">
            <v>3</v>
          </cell>
          <cell r="CM149">
            <v>3</v>
          </cell>
          <cell r="CR149">
            <v>0</v>
          </cell>
          <cell r="CS149">
            <v>0</v>
          </cell>
          <cell r="CT149">
            <v>52</v>
          </cell>
          <cell r="CU149">
            <v>0</v>
          </cell>
          <cell r="CV149">
            <v>0</v>
          </cell>
          <cell r="CZ149">
            <v>52</v>
          </cell>
        </row>
        <row r="150">
          <cell r="C150" t="str">
            <v>01636</v>
          </cell>
          <cell r="D150" t="str">
            <v>Lâm Ngọc Vân</v>
          </cell>
          <cell r="E150" t="str">
            <v>Production</v>
          </cell>
          <cell r="F150" t="str">
            <v>Packing</v>
          </cell>
          <cell r="G150" t="str">
            <v>Worker</v>
          </cell>
          <cell r="H150">
            <v>43554</v>
          </cell>
          <cell r="I150">
            <v>8</v>
          </cell>
          <cell r="J150">
            <v>8</v>
          </cell>
          <cell r="K150">
            <v>8</v>
          </cell>
          <cell r="L150" t="str">
            <v>CN</v>
          </cell>
          <cell r="M150" t="str">
            <v>Đ</v>
          </cell>
          <cell r="N150" t="str">
            <v>Đ</v>
          </cell>
          <cell r="O150" t="str">
            <v>Đ</v>
          </cell>
          <cell r="P150" t="str">
            <v>Đ</v>
          </cell>
          <cell r="Q150" t="str">
            <v>AL8</v>
          </cell>
          <cell r="R150" t="str">
            <v>Đ</v>
          </cell>
          <cell r="S150" t="str">
            <v>CN</v>
          </cell>
          <cell r="T150">
            <v>8</v>
          </cell>
          <cell r="U150">
            <v>8</v>
          </cell>
          <cell r="V150">
            <v>8</v>
          </cell>
          <cell r="W150">
            <v>8</v>
          </cell>
          <cell r="X150">
            <v>8</v>
          </cell>
          <cell r="Y150">
            <v>8</v>
          </cell>
          <cell r="Z150" t="str">
            <v>CN</v>
          </cell>
          <cell r="AA150" t="str">
            <v>Đ</v>
          </cell>
          <cell r="AB150" t="str">
            <v>Đ</v>
          </cell>
          <cell r="AC150" t="str">
            <v>Đ</v>
          </cell>
          <cell r="AD150" t="str">
            <v>Đ</v>
          </cell>
          <cell r="AE150" t="str">
            <v>Đ</v>
          </cell>
          <cell r="AF150" t="str">
            <v>Đ</v>
          </cell>
          <cell r="AG150" t="str">
            <v>CN</v>
          </cell>
          <cell r="AH150">
            <v>8</v>
          </cell>
          <cell r="AI150">
            <v>8</v>
          </cell>
          <cell r="AJ150">
            <v>8</v>
          </cell>
          <cell r="AN150">
            <v>88</v>
          </cell>
          <cell r="AO150">
            <v>96</v>
          </cell>
          <cell r="AP150">
            <v>0</v>
          </cell>
          <cell r="AQ150">
            <v>0</v>
          </cell>
          <cell r="AR150">
            <v>0</v>
          </cell>
          <cell r="AS150">
            <v>0</v>
          </cell>
          <cell r="AT150">
            <v>0</v>
          </cell>
          <cell r="AU150">
            <v>0</v>
          </cell>
          <cell r="AV150">
            <v>0</v>
          </cell>
          <cell r="AW150">
            <v>0</v>
          </cell>
          <cell r="AX150">
            <v>0</v>
          </cell>
          <cell r="AY150">
            <v>0</v>
          </cell>
          <cell r="AZ150">
            <v>0</v>
          </cell>
          <cell r="BA150">
            <v>8</v>
          </cell>
          <cell r="BB150">
            <v>0</v>
          </cell>
          <cell r="BC150">
            <v>0</v>
          </cell>
          <cell r="BD150">
            <v>0</v>
          </cell>
          <cell r="BE150">
            <v>0</v>
          </cell>
          <cell r="BF150">
            <v>0</v>
          </cell>
          <cell r="BG150">
            <v>192</v>
          </cell>
          <cell r="BH150">
            <v>1</v>
          </cell>
          <cell r="BI150">
            <v>1</v>
          </cell>
          <cell r="BJ150">
            <v>2</v>
          </cell>
          <cell r="BL150">
            <v>1.5</v>
          </cell>
          <cell r="BM150">
            <v>1.5</v>
          </cell>
          <cell r="BN150">
            <v>0</v>
          </cell>
          <cell r="BO150">
            <v>0</v>
          </cell>
          <cell r="BP150">
            <v>1.5</v>
          </cell>
          <cell r="BQ150">
            <v>0</v>
          </cell>
          <cell r="BR150">
            <v>0</v>
          </cell>
          <cell r="BS150">
            <v>4</v>
          </cell>
          <cell r="BT150">
            <v>0</v>
          </cell>
          <cell r="BU150">
            <v>4</v>
          </cell>
          <cell r="BV150">
            <v>0</v>
          </cell>
          <cell r="BW150">
            <v>3</v>
          </cell>
          <cell r="BX150">
            <v>3</v>
          </cell>
          <cell r="BY150">
            <v>3</v>
          </cell>
          <cell r="BZ150">
            <v>3</v>
          </cell>
          <cell r="CA150">
            <v>3</v>
          </cell>
          <cell r="CB150">
            <v>3</v>
          </cell>
          <cell r="CC150">
            <v>8</v>
          </cell>
          <cell r="CD150">
            <v>4</v>
          </cell>
          <cell r="CE150">
            <v>4</v>
          </cell>
          <cell r="CF150">
            <v>4</v>
          </cell>
          <cell r="CG150">
            <v>4</v>
          </cell>
          <cell r="CH150">
            <v>4</v>
          </cell>
          <cell r="CI150">
            <v>4</v>
          </cell>
          <cell r="CJ150">
            <v>0</v>
          </cell>
          <cell r="CK150">
            <v>3</v>
          </cell>
          <cell r="CL150">
            <v>3</v>
          </cell>
          <cell r="CM150">
            <v>3</v>
          </cell>
          <cell r="CR150">
            <v>0</v>
          </cell>
          <cell r="CS150">
            <v>0</v>
          </cell>
          <cell r="CT150">
            <v>63.5</v>
          </cell>
          <cell r="CU150">
            <v>8</v>
          </cell>
          <cell r="CV150">
            <v>0</v>
          </cell>
          <cell r="CZ150">
            <v>71.5</v>
          </cell>
        </row>
        <row r="151">
          <cell r="C151" t="str">
            <v>01646</v>
          </cell>
          <cell r="D151" t="str">
            <v>Nguyễn Minh Tiến</v>
          </cell>
          <cell r="E151" t="str">
            <v>Production</v>
          </cell>
          <cell r="F151" t="str">
            <v>Lamination</v>
          </cell>
          <cell r="G151" t="str">
            <v>Worker</v>
          </cell>
          <cell r="H151">
            <v>43556</v>
          </cell>
          <cell r="I151" t="str">
            <v>AL8</v>
          </cell>
          <cell r="J151">
            <v>8</v>
          </cell>
          <cell r="K151" t="str">
            <v>Đ</v>
          </cell>
          <cell r="L151" t="str">
            <v>CN</v>
          </cell>
          <cell r="M151">
            <v>8</v>
          </cell>
          <cell r="N151">
            <v>8</v>
          </cell>
          <cell r="O151">
            <v>8</v>
          </cell>
          <cell r="P151">
            <v>8</v>
          </cell>
          <cell r="Q151" t="str">
            <v>Đ</v>
          </cell>
          <cell r="R151" t="str">
            <v>Đ</v>
          </cell>
          <cell r="S151" t="str">
            <v>CN</v>
          </cell>
          <cell r="T151">
            <v>8</v>
          </cell>
          <cell r="U151">
            <v>8</v>
          </cell>
          <cell r="V151">
            <v>8</v>
          </cell>
          <cell r="W151">
            <v>8</v>
          </cell>
          <cell r="X151">
            <v>8</v>
          </cell>
          <cell r="Y151" t="str">
            <v>Đ</v>
          </cell>
          <cell r="Z151" t="str">
            <v>CN</v>
          </cell>
          <cell r="AA151">
            <v>8</v>
          </cell>
          <cell r="AB151">
            <v>8</v>
          </cell>
          <cell r="AC151">
            <v>8</v>
          </cell>
          <cell r="AD151">
            <v>8</v>
          </cell>
          <cell r="AE151" t="str">
            <v>Đ</v>
          </cell>
          <cell r="AF151" t="str">
            <v>Đ</v>
          </cell>
          <cell r="AG151" t="str">
            <v>CN</v>
          </cell>
          <cell r="AH151">
            <v>8</v>
          </cell>
          <cell r="AI151">
            <v>8</v>
          </cell>
          <cell r="AJ151">
            <v>8</v>
          </cell>
          <cell r="AN151">
            <v>48</v>
          </cell>
          <cell r="AO151">
            <v>136</v>
          </cell>
          <cell r="AP151">
            <v>0</v>
          </cell>
          <cell r="AQ151">
            <v>0</v>
          </cell>
          <cell r="AR151">
            <v>0</v>
          </cell>
          <cell r="AS151">
            <v>0</v>
          </cell>
          <cell r="AT151">
            <v>0</v>
          </cell>
          <cell r="AU151">
            <v>0</v>
          </cell>
          <cell r="AV151">
            <v>0</v>
          </cell>
          <cell r="AW151">
            <v>0</v>
          </cell>
          <cell r="AX151">
            <v>0</v>
          </cell>
          <cell r="AY151">
            <v>0</v>
          </cell>
          <cell r="AZ151">
            <v>0</v>
          </cell>
          <cell r="BA151">
            <v>8</v>
          </cell>
          <cell r="BB151">
            <v>0</v>
          </cell>
          <cell r="BC151">
            <v>0</v>
          </cell>
          <cell r="BD151">
            <v>0</v>
          </cell>
          <cell r="BE151">
            <v>0</v>
          </cell>
          <cell r="BF151">
            <v>0</v>
          </cell>
          <cell r="BG151">
            <v>192</v>
          </cell>
          <cell r="BH151">
            <v>1</v>
          </cell>
          <cell r="BI151">
            <v>1</v>
          </cell>
          <cell r="BJ151">
            <v>6</v>
          </cell>
          <cell r="BL151">
            <v>0</v>
          </cell>
          <cell r="BM151">
            <v>0</v>
          </cell>
          <cell r="BN151">
            <v>4</v>
          </cell>
          <cell r="BO151">
            <v>0</v>
          </cell>
          <cell r="BP151">
            <v>0</v>
          </cell>
          <cell r="BQ151">
            <v>0</v>
          </cell>
          <cell r="BR151">
            <v>0</v>
          </cell>
          <cell r="BS151">
            <v>0</v>
          </cell>
          <cell r="BT151">
            <v>4</v>
          </cell>
          <cell r="BU151">
            <v>4</v>
          </cell>
          <cell r="BV151">
            <v>0</v>
          </cell>
          <cell r="BW151">
            <v>0</v>
          </cell>
          <cell r="BX151">
            <v>0</v>
          </cell>
          <cell r="BY151">
            <v>0</v>
          </cell>
          <cell r="BZ151">
            <v>0</v>
          </cell>
          <cell r="CA151">
            <v>4</v>
          </cell>
          <cell r="CB151">
            <v>4</v>
          </cell>
          <cell r="CC151">
            <v>0</v>
          </cell>
          <cell r="CD151">
            <v>0</v>
          </cell>
          <cell r="CE151">
            <v>0</v>
          </cell>
          <cell r="CF151">
            <v>0</v>
          </cell>
          <cell r="CG151">
            <v>0</v>
          </cell>
          <cell r="CH151">
            <v>4</v>
          </cell>
          <cell r="CI151">
            <v>4</v>
          </cell>
          <cell r="CJ151">
            <v>0</v>
          </cell>
          <cell r="CK151">
            <v>0</v>
          </cell>
          <cell r="CL151">
            <v>0</v>
          </cell>
          <cell r="CM151">
            <v>0</v>
          </cell>
          <cell r="CR151">
            <v>0</v>
          </cell>
          <cell r="CS151">
            <v>0</v>
          </cell>
          <cell r="CT151">
            <v>28</v>
          </cell>
          <cell r="CU151">
            <v>0</v>
          </cell>
          <cell r="CV151">
            <v>0</v>
          </cell>
          <cell r="CZ151">
            <v>28</v>
          </cell>
        </row>
        <row r="152">
          <cell r="C152" t="str">
            <v>01647</v>
          </cell>
          <cell r="D152" t="str">
            <v>Nguyễn Minh Dương</v>
          </cell>
          <cell r="E152" t="str">
            <v>Production</v>
          </cell>
          <cell r="F152" t="str">
            <v>Lamination</v>
          </cell>
          <cell r="G152" t="str">
            <v>Operator</v>
          </cell>
          <cell r="H152">
            <v>43556</v>
          </cell>
          <cell r="I152">
            <v>8</v>
          </cell>
          <cell r="J152">
            <v>8</v>
          </cell>
          <cell r="K152">
            <v>8</v>
          </cell>
          <cell r="L152" t="str">
            <v>CN</v>
          </cell>
          <cell r="M152" t="str">
            <v>Đ</v>
          </cell>
          <cell r="N152" t="str">
            <v>Đ</v>
          </cell>
          <cell r="O152" t="str">
            <v>Đ</v>
          </cell>
          <cell r="P152" t="str">
            <v>Đ</v>
          </cell>
          <cell r="Q152" t="str">
            <v>Đ</v>
          </cell>
          <cell r="R152" t="str">
            <v>Đ</v>
          </cell>
          <cell r="S152" t="str">
            <v>CN</v>
          </cell>
          <cell r="T152">
            <v>8</v>
          </cell>
          <cell r="U152">
            <v>8</v>
          </cell>
          <cell r="V152">
            <v>8</v>
          </cell>
          <cell r="W152">
            <v>8</v>
          </cell>
          <cell r="X152">
            <v>8</v>
          </cell>
          <cell r="Y152">
            <v>8</v>
          </cell>
          <cell r="Z152" t="str">
            <v>CN</v>
          </cell>
          <cell r="AA152">
            <v>8</v>
          </cell>
          <cell r="AB152">
            <v>8</v>
          </cell>
          <cell r="AC152" t="str">
            <v>AL8</v>
          </cell>
          <cell r="AD152" t="str">
            <v>AL8</v>
          </cell>
          <cell r="AE152" t="str">
            <v>CĐ</v>
          </cell>
          <cell r="AF152" t="str">
            <v>CĐ</v>
          </cell>
          <cell r="AG152" t="str">
            <v>CN</v>
          </cell>
          <cell r="AH152" t="str">
            <v>CĐ</v>
          </cell>
          <cell r="AI152">
            <v>8</v>
          </cell>
          <cell r="AJ152">
            <v>8</v>
          </cell>
          <cell r="AN152">
            <v>48</v>
          </cell>
          <cell r="AO152">
            <v>104</v>
          </cell>
          <cell r="AP152">
            <v>0</v>
          </cell>
          <cell r="AQ152">
            <v>0</v>
          </cell>
          <cell r="AR152">
            <v>0</v>
          </cell>
          <cell r="AS152">
            <v>0</v>
          </cell>
          <cell r="AT152">
            <v>0</v>
          </cell>
          <cell r="AU152">
            <v>0</v>
          </cell>
          <cell r="AV152">
            <v>0</v>
          </cell>
          <cell r="AW152">
            <v>0</v>
          </cell>
          <cell r="AX152">
            <v>0</v>
          </cell>
          <cell r="AY152">
            <v>0</v>
          </cell>
          <cell r="AZ152">
            <v>24</v>
          </cell>
          <cell r="BA152">
            <v>16</v>
          </cell>
          <cell r="BB152">
            <v>0</v>
          </cell>
          <cell r="BC152">
            <v>0</v>
          </cell>
          <cell r="BD152">
            <v>0</v>
          </cell>
          <cell r="BE152">
            <v>0</v>
          </cell>
          <cell r="BF152">
            <v>0</v>
          </cell>
          <cell r="BG152">
            <v>192</v>
          </cell>
          <cell r="BH152">
            <v>2</v>
          </cell>
          <cell r="BI152">
            <v>2</v>
          </cell>
          <cell r="BJ152">
            <v>0</v>
          </cell>
          <cell r="BL152">
            <v>0</v>
          </cell>
          <cell r="BM152">
            <v>4</v>
          </cell>
          <cell r="BN152">
            <v>4</v>
          </cell>
          <cell r="BO152">
            <v>0</v>
          </cell>
          <cell r="BP152">
            <v>0</v>
          </cell>
          <cell r="BQ152">
            <v>0</v>
          </cell>
          <cell r="BR152">
            <v>4</v>
          </cell>
          <cell r="BS152">
            <v>0</v>
          </cell>
          <cell r="BT152">
            <v>4</v>
          </cell>
          <cell r="BU152">
            <v>4</v>
          </cell>
          <cell r="BV152">
            <v>0</v>
          </cell>
          <cell r="BW152">
            <v>0</v>
          </cell>
          <cell r="BX152">
            <v>0</v>
          </cell>
          <cell r="BY152">
            <v>0</v>
          </cell>
          <cell r="BZ152">
            <v>0</v>
          </cell>
          <cell r="CA152">
            <v>4</v>
          </cell>
          <cell r="CB152">
            <v>2</v>
          </cell>
          <cell r="CC152">
            <v>0</v>
          </cell>
          <cell r="CD152">
            <v>4</v>
          </cell>
          <cell r="CE152">
            <v>0</v>
          </cell>
          <cell r="CF152">
            <v>0</v>
          </cell>
          <cell r="CG152">
            <v>0</v>
          </cell>
          <cell r="CH152">
            <v>0</v>
          </cell>
          <cell r="CI152">
            <v>0</v>
          </cell>
          <cell r="CJ152">
            <v>0</v>
          </cell>
          <cell r="CK152">
            <v>0</v>
          </cell>
          <cell r="CL152">
            <v>0</v>
          </cell>
          <cell r="CM152">
            <v>0</v>
          </cell>
          <cell r="CR152">
            <v>0</v>
          </cell>
          <cell r="CS152">
            <v>0</v>
          </cell>
          <cell r="CT152">
            <v>30</v>
          </cell>
          <cell r="CU152">
            <v>0</v>
          </cell>
          <cell r="CV152">
            <v>0</v>
          </cell>
          <cell r="CZ152">
            <v>30</v>
          </cell>
        </row>
        <row r="153">
          <cell r="C153" t="str">
            <v>01649</v>
          </cell>
          <cell r="D153" t="str">
            <v>Thị Vàng</v>
          </cell>
          <cell r="E153" t="str">
            <v>Production</v>
          </cell>
          <cell r="F153" t="str">
            <v>Logo</v>
          </cell>
          <cell r="G153" t="str">
            <v>Worker</v>
          </cell>
          <cell r="H153">
            <v>43556</v>
          </cell>
          <cell r="I153" t="str">
            <v>Đ</v>
          </cell>
          <cell r="J153" t="str">
            <v>Đ</v>
          </cell>
          <cell r="K153" t="str">
            <v>Đ</v>
          </cell>
          <cell r="L153" t="str">
            <v>CN</v>
          </cell>
          <cell r="M153">
            <v>8</v>
          </cell>
          <cell r="N153">
            <v>8</v>
          </cell>
          <cell r="O153">
            <v>8</v>
          </cell>
          <cell r="P153">
            <v>8</v>
          </cell>
          <cell r="Q153">
            <v>8</v>
          </cell>
          <cell r="R153">
            <v>8</v>
          </cell>
          <cell r="S153" t="str">
            <v>CN</v>
          </cell>
          <cell r="T153" t="str">
            <v>Đ</v>
          </cell>
          <cell r="U153" t="str">
            <v>Đ</v>
          </cell>
          <cell r="V153" t="str">
            <v>Đ</v>
          </cell>
          <cell r="W153" t="str">
            <v>Đ</v>
          </cell>
          <cell r="X153" t="str">
            <v>Đ</v>
          </cell>
          <cell r="Y153" t="str">
            <v>Đ</v>
          </cell>
          <cell r="Z153" t="str">
            <v>CN</v>
          </cell>
          <cell r="AA153">
            <v>8</v>
          </cell>
          <cell r="AB153">
            <v>8</v>
          </cell>
          <cell r="AC153">
            <v>8</v>
          </cell>
          <cell r="AD153">
            <v>8</v>
          </cell>
          <cell r="AE153">
            <v>8</v>
          </cell>
          <cell r="AF153">
            <v>8</v>
          </cell>
          <cell r="AG153" t="str">
            <v>CN</v>
          </cell>
          <cell r="AH153" t="str">
            <v>Đ</v>
          </cell>
          <cell r="AI153" t="str">
            <v>Đ</v>
          </cell>
          <cell r="AJ153" t="str">
            <v>Đ</v>
          </cell>
          <cell r="AN153">
            <v>96</v>
          </cell>
          <cell r="AO153">
            <v>96</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192</v>
          </cell>
          <cell r="BH153">
            <v>0</v>
          </cell>
          <cell r="BI153">
            <v>0</v>
          </cell>
          <cell r="BJ153">
            <v>3.5</v>
          </cell>
          <cell r="BL153">
            <v>1.5</v>
          </cell>
          <cell r="BM153">
            <v>1.5</v>
          </cell>
          <cell r="BN153">
            <v>1.5</v>
          </cell>
          <cell r="BO153">
            <v>0</v>
          </cell>
          <cell r="BP153">
            <v>1.5</v>
          </cell>
          <cell r="BQ153">
            <v>0</v>
          </cell>
          <cell r="BR153">
            <v>0</v>
          </cell>
          <cell r="BS153">
            <v>0</v>
          </cell>
          <cell r="BT153">
            <v>3</v>
          </cell>
          <cell r="BU153">
            <v>3</v>
          </cell>
          <cell r="BV153">
            <v>0</v>
          </cell>
          <cell r="BW153">
            <v>4</v>
          </cell>
          <cell r="BX153">
            <v>4</v>
          </cell>
          <cell r="BY153">
            <v>4</v>
          </cell>
          <cell r="BZ153">
            <v>4</v>
          </cell>
          <cell r="CA153">
            <v>4</v>
          </cell>
          <cell r="CB153">
            <v>4</v>
          </cell>
          <cell r="CC153">
            <v>0</v>
          </cell>
          <cell r="CD153">
            <v>3</v>
          </cell>
          <cell r="CE153">
            <v>3</v>
          </cell>
          <cell r="CF153">
            <v>3</v>
          </cell>
          <cell r="CG153">
            <v>3</v>
          </cell>
          <cell r="CH153">
            <v>3</v>
          </cell>
          <cell r="CI153">
            <v>3</v>
          </cell>
          <cell r="CJ153">
            <v>8</v>
          </cell>
          <cell r="CK153">
            <v>4</v>
          </cell>
          <cell r="CL153">
            <v>4</v>
          </cell>
          <cell r="CM153">
            <v>4</v>
          </cell>
          <cell r="CR153">
            <v>0</v>
          </cell>
          <cell r="CS153">
            <v>0</v>
          </cell>
          <cell r="CT153">
            <v>66</v>
          </cell>
          <cell r="CU153">
            <v>8</v>
          </cell>
          <cell r="CV153">
            <v>0</v>
          </cell>
          <cell r="CZ153">
            <v>74</v>
          </cell>
        </row>
        <row r="154">
          <cell r="C154" t="str">
            <v>01652</v>
          </cell>
          <cell r="D154" t="str">
            <v>Võ Thị Vân</v>
          </cell>
          <cell r="E154" t="str">
            <v>Production</v>
          </cell>
          <cell r="F154" t="str">
            <v>Packing</v>
          </cell>
          <cell r="G154" t="str">
            <v>Worker</v>
          </cell>
          <cell r="H154">
            <v>43556</v>
          </cell>
          <cell r="I154" t="str">
            <v>Đ</v>
          </cell>
          <cell r="J154" t="str">
            <v>Đ</v>
          </cell>
          <cell r="K154" t="str">
            <v>Đ</v>
          </cell>
          <cell r="L154" t="str">
            <v>CN</v>
          </cell>
          <cell r="M154">
            <v>8</v>
          </cell>
          <cell r="N154">
            <v>8</v>
          </cell>
          <cell r="O154">
            <v>8</v>
          </cell>
          <cell r="P154">
            <v>8</v>
          </cell>
          <cell r="Q154">
            <v>8</v>
          </cell>
          <cell r="R154">
            <v>8</v>
          </cell>
          <cell r="S154" t="str">
            <v>CN</v>
          </cell>
          <cell r="T154" t="str">
            <v>Đ</v>
          </cell>
          <cell r="U154" t="str">
            <v>Đ</v>
          </cell>
          <cell r="V154" t="str">
            <v>Đ</v>
          </cell>
          <cell r="W154" t="str">
            <v>AL4Đ</v>
          </cell>
          <cell r="X154" t="str">
            <v>Đ</v>
          </cell>
          <cell r="Y154" t="str">
            <v>Đ</v>
          </cell>
          <cell r="Z154" t="str">
            <v>CN</v>
          </cell>
          <cell r="AA154">
            <v>8</v>
          </cell>
          <cell r="AB154">
            <v>8</v>
          </cell>
          <cell r="AC154">
            <v>8</v>
          </cell>
          <cell r="AD154">
            <v>8</v>
          </cell>
          <cell r="AE154">
            <v>8</v>
          </cell>
          <cell r="AF154">
            <v>8</v>
          </cell>
          <cell r="AG154" t="str">
            <v>CN</v>
          </cell>
          <cell r="AH154" t="str">
            <v>Đ</v>
          </cell>
          <cell r="AI154" t="str">
            <v>Đ</v>
          </cell>
          <cell r="AJ154" t="str">
            <v>Đ</v>
          </cell>
          <cell r="AN154">
            <v>92</v>
          </cell>
          <cell r="AO154">
            <v>96</v>
          </cell>
          <cell r="AP154">
            <v>0</v>
          </cell>
          <cell r="AQ154">
            <v>0</v>
          </cell>
          <cell r="AR154">
            <v>0</v>
          </cell>
          <cell r="AS154">
            <v>0</v>
          </cell>
          <cell r="AT154">
            <v>0</v>
          </cell>
          <cell r="AU154">
            <v>0</v>
          </cell>
          <cell r="AV154">
            <v>0</v>
          </cell>
          <cell r="AW154">
            <v>0</v>
          </cell>
          <cell r="AX154">
            <v>0</v>
          </cell>
          <cell r="AY154">
            <v>0</v>
          </cell>
          <cell r="AZ154">
            <v>0</v>
          </cell>
          <cell r="BA154">
            <v>4</v>
          </cell>
          <cell r="BB154">
            <v>0</v>
          </cell>
          <cell r="BC154">
            <v>0</v>
          </cell>
          <cell r="BD154">
            <v>0</v>
          </cell>
          <cell r="BE154">
            <v>0</v>
          </cell>
          <cell r="BF154">
            <v>0</v>
          </cell>
          <cell r="BG154">
            <v>192</v>
          </cell>
          <cell r="BH154">
            <v>0.5</v>
          </cell>
          <cell r="BI154">
            <v>0.5</v>
          </cell>
          <cell r="BJ154">
            <v>7.5</v>
          </cell>
          <cell r="BL154">
            <v>0</v>
          </cell>
          <cell r="BM154">
            <v>0</v>
          </cell>
          <cell r="BN154">
            <v>0</v>
          </cell>
          <cell r="BO154">
            <v>0</v>
          </cell>
          <cell r="BP154">
            <v>1.5</v>
          </cell>
          <cell r="BQ154">
            <v>3</v>
          </cell>
          <cell r="BR154">
            <v>0</v>
          </cell>
          <cell r="BS154">
            <v>3</v>
          </cell>
          <cell r="BT154">
            <v>3</v>
          </cell>
          <cell r="BU154">
            <v>0</v>
          </cell>
          <cell r="BV154">
            <v>0</v>
          </cell>
          <cell r="BW154">
            <v>3</v>
          </cell>
          <cell r="BX154">
            <v>4</v>
          </cell>
          <cell r="BY154">
            <v>4</v>
          </cell>
          <cell r="BZ154">
            <v>4</v>
          </cell>
          <cell r="CA154">
            <v>4</v>
          </cell>
          <cell r="CB154">
            <v>4</v>
          </cell>
          <cell r="CC154">
            <v>0</v>
          </cell>
          <cell r="CD154">
            <v>3</v>
          </cell>
          <cell r="CE154">
            <v>3</v>
          </cell>
          <cell r="CF154">
            <v>3</v>
          </cell>
          <cell r="CG154">
            <v>3</v>
          </cell>
          <cell r="CH154">
            <v>1.5</v>
          </cell>
          <cell r="CI154">
            <v>1.5</v>
          </cell>
          <cell r="CJ154">
            <v>8</v>
          </cell>
          <cell r="CK154">
            <v>1.5</v>
          </cell>
          <cell r="CL154">
            <v>1.5</v>
          </cell>
          <cell r="CM154">
            <v>1.5</v>
          </cell>
          <cell r="CR154">
            <v>0</v>
          </cell>
          <cell r="CS154">
            <v>0</v>
          </cell>
          <cell r="CT154">
            <v>53</v>
          </cell>
          <cell r="CU154">
            <v>8</v>
          </cell>
          <cell r="CV154">
            <v>0</v>
          </cell>
          <cell r="CZ154">
            <v>61</v>
          </cell>
        </row>
        <row r="155">
          <cell r="C155" t="str">
            <v>01653</v>
          </cell>
          <cell r="D155" t="str">
            <v>Thi Diễm Sương</v>
          </cell>
          <cell r="E155" t="str">
            <v>Production</v>
          </cell>
          <cell r="F155" t="str">
            <v>Logo</v>
          </cell>
          <cell r="G155" t="str">
            <v>Worker</v>
          </cell>
          <cell r="H155">
            <v>43556</v>
          </cell>
          <cell r="I155" t="str">
            <v>Đ</v>
          </cell>
          <cell r="J155" t="str">
            <v>Đ</v>
          </cell>
          <cell r="K155" t="str">
            <v>Đ</v>
          </cell>
          <cell r="L155" t="str">
            <v>CN</v>
          </cell>
          <cell r="M155" t="str">
            <v>AL8</v>
          </cell>
          <cell r="N155">
            <v>8</v>
          </cell>
          <cell r="O155">
            <v>8</v>
          </cell>
          <cell r="P155">
            <v>8</v>
          </cell>
          <cell r="Q155">
            <v>8</v>
          </cell>
          <cell r="R155">
            <v>8</v>
          </cell>
          <cell r="S155" t="str">
            <v>CN</v>
          </cell>
          <cell r="T155" t="str">
            <v>Đ</v>
          </cell>
          <cell r="U155" t="str">
            <v>Đ</v>
          </cell>
          <cell r="V155" t="str">
            <v>Đ</v>
          </cell>
          <cell r="W155" t="str">
            <v>Đ</v>
          </cell>
          <cell r="X155" t="str">
            <v>AL8</v>
          </cell>
          <cell r="Y155" t="str">
            <v>AL8</v>
          </cell>
          <cell r="Z155" t="str">
            <v>CN</v>
          </cell>
          <cell r="AA155">
            <v>8</v>
          </cell>
          <cell r="AB155">
            <v>8</v>
          </cell>
          <cell r="AC155">
            <v>8</v>
          </cell>
          <cell r="AD155">
            <v>8</v>
          </cell>
          <cell r="AE155">
            <v>8</v>
          </cell>
          <cell r="AF155">
            <v>8</v>
          </cell>
          <cell r="AG155" t="str">
            <v>CN</v>
          </cell>
          <cell r="AH155" t="str">
            <v>Đ</v>
          </cell>
          <cell r="AI155" t="str">
            <v>Đ</v>
          </cell>
          <cell r="AJ155" t="str">
            <v>Đ</v>
          </cell>
          <cell r="AN155">
            <v>80</v>
          </cell>
          <cell r="AO155">
            <v>88</v>
          </cell>
          <cell r="AP155">
            <v>0</v>
          </cell>
          <cell r="AQ155">
            <v>0</v>
          </cell>
          <cell r="AR155">
            <v>0</v>
          </cell>
          <cell r="AS155">
            <v>0</v>
          </cell>
          <cell r="AT155">
            <v>0</v>
          </cell>
          <cell r="AU155">
            <v>0</v>
          </cell>
          <cell r="AV155">
            <v>0</v>
          </cell>
          <cell r="AW155">
            <v>0</v>
          </cell>
          <cell r="AX155">
            <v>0</v>
          </cell>
          <cell r="AY155">
            <v>0</v>
          </cell>
          <cell r="AZ155">
            <v>0</v>
          </cell>
          <cell r="BA155">
            <v>24</v>
          </cell>
          <cell r="BB155">
            <v>0</v>
          </cell>
          <cell r="BC155">
            <v>0</v>
          </cell>
          <cell r="BD155">
            <v>0</v>
          </cell>
          <cell r="BE155">
            <v>0</v>
          </cell>
          <cell r="BF155">
            <v>0</v>
          </cell>
          <cell r="BG155">
            <v>192</v>
          </cell>
          <cell r="BH155">
            <v>3</v>
          </cell>
          <cell r="BI155">
            <v>3</v>
          </cell>
          <cell r="BJ155">
            <v>0</v>
          </cell>
          <cell r="BL155">
            <v>1.5</v>
          </cell>
          <cell r="BM155">
            <v>1.5</v>
          </cell>
          <cell r="BN155">
            <v>1.5</v>
          </cell>
          <cell r="BO155">
            <v>0</v>
          </cell>
          <cell r="BP155">
            <v>0</v>
          </cell>
          <cell r="BQ155">
            <v>0</v>
          </cell>
          <cell r="BR155">
            <v>0</v>
          </cell>
          <cell r="BS155">
            <v>0</v>
          </cell>
          <cell r="BT155">
            <v>3</v>
          </cell>
          <cell r="BU155">
            <v>3</v>
          </cell>
          <cell r="BV155">
            <v>0</v>
          </cell>
          <cell r="BW155">
            <v>4</v>
          </cell>
          <cell r="BX155">
            <v>4</v>
          </cell>
          <cell r="BY155">
            <v>4</v>
          </cell>
          <cell r="BZ155">
            <v>4</v>
          </cell>
          <cell r="CA155">
            <v>0</v>
          </cell>
          <cell r="CB155">
            <v>0</v>
          </cell>
          <cell r="CC155">
            <v>0</v>
          </cell>
          <cell r="CD155">
            <v>3</v>
          </cell>
          <cell r="CE155">
            <v>3</v>
          </cell>
          <cell r="CF155">
            <v>3</v>
          </cell>
          <cell r="CG155">
            <v>3</v>
          </cell>
          <cell r="CH155">
            <v>3</v>
          </cell>
          <cell r="CI155">
            <v>3</v>
          </cell>
          <cell r="CJ155">
            <v>8</v>
          </cell>
          <cell r="CK155">
            <v>4</v>
          </cell>
          <cell r="CL155">
            <v>4</v>
          </cell>
          <cell r="CM155">
            <v>4</v>
          </cell>
          <cell r="CR155">
            <v>0</v>
          </cell>
          <cell r="CS155">
            <v>0</v>
          </cell>
          <cell r="CT155">
            <v>56.5</v>
          </cell>
          <cell r="CU155">
            <v>8</v>
          </cell>
          <cell r="CV155">
            <v>0</v>
          </cell>
          <cell r="CZ155">
            <v>64.5</v>
          </cell>
        </row>
        <row r="156">
          <cell r="C156" t="str">
            <v>01666</v>
          </cell>
          <cell r="D156" t="str">
            <v>Trương Thị Di</v>
          </cell>
          <cell r="E156" t="str">
            <v>Production</v>
          </cell>
          <cell r="F156" t="str">
            <v>Packing</v>
          </cell>
          <cell r="G156" t="str">
            <v>Worker</v>
          </cell>
          <cell r="H156">
            <v>43559</v>
          </cell>
          <cell r="I156">
            <v>8</v>
          </cell>
          <cell r="J156">
            <v>8</v>
          </cell>
          <cell r="K156">
            <v>8</v>
          </cell>
          <cell r="L156" t="str">
            <v>CN</v>
          </cell>
          <cell r="M156" t="str">
            <v>Đ</v>
          </cell>
          <cell r="N156" t="str">
            <v>Đ</v>
          </cell>
          <cell r="O156" t="str">
            <v>Đ</v>
          </cell>
          <cell r="P156" t="str">
            <v>Đ</v>
          </cell>
          <cell r="Q156" t="str">
            <v>Đ</v>
          </cell>
          <cell r="R156" t="str">
            <v>Đ</v>
          </cell>
          <cell r="S156" t="str">
            <v>CN</v>
          </cell>
          <cell r="T156">
            <v>8</v>
          </cell>
          <cell r="U156">
            <v>8</v>
          </cell>
          <cell r="V156">
            <v>8</v>
          </cell>
          <cell r="W156">
            <v>8</v>
          </cell>
          <cell r="X156">
            <v>8</v>
          </cell>
          <cell r="Y156">
            <v>8</v>
          </cell>
          <cell r="Z156" t="str">
            <v>CN</v>
          </cell>
          <cell r="AA156" t="str">
            <v>Đ</v>
          </cell>
          <cell r="AB156" t="str">
            <v>Đ</v>
          </cell>
          <cell r="AC156" t="str">
            <v>Đ</v>
          </cell>
          <cell r="AD156" t="str">
            <v>Đ</v>
          </cell>
          <cell r="AE156" t="str">
            <v>Đ</v>
          </cell>
          <cell r="AF156" t="str">
            <v>Đ</v>
          </cell>
          <cell r="AG156" t="str">
            <v>CN</v>
          </cell>
          <cell r="AH156">
            <v>8</v>
          </cell>
          <cell r="AI156">
            <v>8</v>
          </cell>
          <cell r="AJ156">
            <v>8</v>
          </cell>
          <cell r="AN156">
            <v>96</v>
          </cell>
          <cell r="AO156">
            <v>96</v>
          </cell>
          <cell r="AP156">
            <v>0</v>
          </cell>
          <cell r="AQ156">
            <v>0</v>
          </cell>
          <cell r="AR156">
            <v>0</v>
          </cell>
          <cell r="AS156">
            <v>0</v>
          </cell>
          <cell r="AT156">
            <v>0</v>
          </cell>
          <cell r="AU156">
            <v>0</v>
          </cell>
          <cell r="AV156">
            <v>0</v>
          </cell>
          <cell r="AW156">
            <v>0</v>
          </cell>
          <cell r="AX156">
            <v>0</v>
          </cell>
          <cell r="AY156">
            <v>0</v>
          </cell>
          <cell r="AZ156">
            <v>0</v>
          </cell>
          <cell r="BA156">
            <v>0</v>
          </cell>
          <cell r="BB156">
            <v>0</v>
          </cell>
          <cell r="BC156">
            <v>0</v>
          </cell>
          <cell r="BD156">
            <v>0</v>
          </cell>
          <cell r="BE156">
            <v>0</v>
          </cell>
          <cell r="BF156">
            <v>0</v>
          </cell>
          <cell r="BG156">
            <v>192</v>
          </cell>
          <cell r="BH156">
            <v>0</v>
          </cell>
          <cell r="BI156">
            <v>0</v>
          </cell>
          <cell r="BJ156">
            <v>6.5</v>
          </cell>
          <cell r="BL156">
            <v>1.5</v>
          </cell>
          <cell r="BM156">
            <v>3</v>
          </cell>
          <cell r="BN156">
            <v>3</v>
          </cell>
          <cell r="BO156">
            <v>0</v>
          </cell>
          <cell r="BP156">
            <v>1.5</v>
          </cell>
          <cell r="BQ156">
            <v>0</v>
          </cell>
          <cell r="BR156">
            <v>0</v>
          </cell>
          <cell r="BS156">
            <v>4</v>
          </cell>
          <cell r="BT156">
            <v>4</v>
          </cell>
          <cell r="BU156">
            <v>4</v>
          </cell>
          <cell r="BV156">
            <v>0</v>
          </cell>
          <cell r="BW156">
            <v>3</v>
          </cell>
          <cell r="BX156">
            <v>3</v>
          </cell>
          <cell r="BY156">
            <v>3</v>
          </cell>
          <cell r="BZ156">
            <v>3</v>
          </cell>
          <cell r="CA156">
            <v>3</v>
          </cell>
          <cell r="CB156">
            <v>3</v>
          </cell>
          <cell r="CC156">
            <v>8</v>
          </cell>
          <cell r="CD156">
            <v>4</v>
          </cell>
          <cell r="CE156">
            <v>4</v>
          </cell>
          <cell r="CF156">
            <v>4</v>
          </cell>
          <cell r="CG156">
            <v>4</v>
          </cell>
          <cell r="CH156">
            <v>4</v>
          </cell>
          <cell r="CI156">
            <v>4</v>
          </cell>
          <cell r="CJ156">
            <v>0</v>
          </cell>
          <cell r="CK156">
            <v>3</v>
          </cell>
          <cell r="CL156">
            <v>3</v>
          </cell>
          <cell r="CM156">
            <v>3</v>
          </cell>
          <cell r="CR156">
            <v>0</v>
          </cell>
          <cell r="CS156">
            <v>0</v>
          </cell>
          <cell r="CT156">
            <v>72</v>
          </cell>
          <cell r="CU156">
            <v>8</v>
          </cell>
          <cell r="CV156">
            <v>0</v>
          </cell>
          <cell r="CZ156">
            <v>80</v>
          </cell>
        </row>
        <row r="157">
          <cell r="C157" t="str">
            <v>01673</v>
          </cell>
          <cell r="D157" t="str">
            <v>Nguyễn Diễm Thúy</v>
          </cell>
          <cell r="E157" t="str">
            <v>Production</v>
          </cell>
          <cell r="F157" t="str">
            <v>Packing</v>
          </cell>
          <cell r="G157" t="str">
            <v>Worker</v>
          </cell>
          <cell r="H157">
            <v>43559</v>
          </cell>
          <cell r="I157">
            <v>8</v>
          </cell>
          <cell r="J157">
            <v>8</v>
          </cell>
          <cell r="K157">
            <v>8</v>
          </cell>
          <cell r="L157" t="str">
            <v>CN</v>
          </cell>
          <cell r="M157">
            <v>8</v>
          </cell>
          <cell r="N157">
            <v>8</v>
          </cell>
          <cell r="O157">
            <v>8</v>
          </cell>
          <cell r="P157" t="str">
            <v>AL8</v>
          </cell>
          <cell r="Q157" t="str">
            <v>AL8</v>
          </cell>
          <cell r="R157" t="str">
            <v>AL8</v>
          </cell>
          <cell r="S157" t="str">
            <v>CN</v>
          </cell>
          <cell r="T157">
            <v>8</v>
          </cell>
          <cell r="U157">
            <v>8</v>
          </cell>
          <cell r="V157">
            <v>8</v>
          </cell>
          <cell r="W157">
            <v>8</v>
          </cell>
          <cell r="X157">
            <v>8</v>
          </cell>
          <cell r="Y157">
            <v>8</v>
          </cell>
          <cell r="Z157" t="str">
            <v>CN</v>
          </cell>
          <cell r="AA157">
            <v>8</v>
          </cell>
          <cell r="AB157">
            <v>8</v>
          </cell>
          <cell r="AC157">
            <v>8</v>
          </cell>
          <cell r="AD157">
            <v>8</v>
          </cell>
          <cell r="AE157">
            <v>8</v>
          </cell>
          <cell r="AF157">
            <v>8</v>
          </cell>
          <cell r="AG157" t="str">
            <v>CN</v>
          </cell>
          <cell r="AH157" t="str">
            <v>AL8</v>
          </cell>
          <cell r="AI157">
            <v>8</v>
          </cell>
          <cell r="AJ157">
            <v>8</v>
          </cell>
          <cell r="AN157">
            <v>0</v>
          </cell>
          <cell r="AO157">
            <v>160</v>
          </cell>
          <cell r="AP157">
            <v>0</v>
          </cell>
          <cell r="AQ157">
            <v>0</v>
          </cell>
          <cell r="AR157">
            <v>0</v>
          </cell>
          <cell r="AS157">
            <v>0</v>
          </cell>
          <cell r="AT157">
            <v>0</v>
          </cell>
          <cell r="AU157">
            <v>0</v>
          </cell>
          <cell r="AV157">
            <v>0</v>
          </cell>
          <cell r="AW157">
            <v>0</v>
          </cell>
          <cell r="AX157">
            <v>0</v>
          </cell>
          <cell r="AY157">
            <v>0</v>
          </cell>
          <cell r="AZ157">
            <v>0</v>
          </cell>
          <cell r="BA157">
            <v>32</v>
          </cell>
          <cell r="BB157">
            <v>0</v>
          </cell>
          <cell r="BC157">
            <v>0</v>
          </cell>
          <cell r="BD157">
            <v>0</v>
          </cell>
          <cell r="BE157">
            <v>0</v>
          </cell>
          <cell r="BF157">
            <v>0</v>
          </cell>
          <cell r="BG157">
            <v>192</v>
          </cell>
          <cell r="BH157">
            <v>4</v>
          </cell>
          <cell r="BI157">
            <v>4</v>
          </cell>
          <cell r="BJ157">
            <v>3.5</v>
          </cell>
          <cell r="BL157">
            <v>0</v>
          </cell>
          <cell r="BM157">
            <v>1.5</v>
          </cell>
          <cell r="BN157">
            <v>1.5</v>
          </cell>
          <cell r="BO157">
            <v>0</v>
          </cell>
          <cell r="BP157">
            <v>1.5</v>
          </cell>
          <cell r="BQ157">
            <v>1.5</v>
          </cell>
          <cell r="BR157">
            <v>1.5</v>
          </cell>
          <cell r="BS157">
            <v>0</v>
          </cell>
          <cell r="BT157">
            <v>0</v>
          </cell>
          <cell r="BU157">
            <v>0</v>
          </cell>
          <cell r="BV157">
            <v>0</v>
          </cell>
          <cell r="BW157">
            <v>1.5</v>
          </cell>
          <cell r="BX157">
            <v>3</v>
          </cell>
          <cell r="BY157">
            <v>2.5</v>
          </cell>
          <cell r="BZ157">
            <v>3</v>
          </cell>
          <cell r="CA157">
            <v>3</v>
          </cell>
          <cell r="CB157">
            <v>3</v>
          </cell>
          <cell r="CC157">
            <v>8</v>
          </cell>
          <cell r="CD157">
            <v>3</v>
          </cell>
          <cell r="CE157">
            <v>3</v>
          </cell>
          <cell r="CF157">
            <v>3</v>
          </cell>
          <cell r="CG157">
            <v>3</v>
          </cell>
          <cell r="CH157">
            <v>3</v>
          </cell>
          <cell r="CI157">
            <v>3</v>
          </cell>
          <cell r="CJ157">
            <v>8</v>
          </cell>
          <cell r="CK157">
            <v>0</v>
          </cell>
          <cell r="CL157">
            <v>2.75</v>
          </cell>
          <cell r="CM157">
            <v>2.75</v>
          </cell>
          <cell r="CR157">
            <v>0</v>
          </cell>
          <cell r="CS157">
            <v>0</v>
          </cell>
          <cell r="CT157">
            <v>47</v>
          </cell>
          <cell r="CU157">
            <v>16</v>
          </cell>
          <cell r="CV157">
            <v>0</v>
          </cell>
          <cell r="CZ157">
            <v>63</v>
          </cell>
        </row>
        <row r="158">
          <cell r="C158" t="str">
            <v>01676</v>
          </cell>
          <cell r="D158" t="str">
            <v>Nguyễn Thị Đào</v>
          </cell>
          <cell r="E158" t="str">
            <v>Production</v>
          </cell>
          <cell r="F158" t="str">
            <v>Logo</v>
          </cell>
          <cell r="G158" t="str">
            <v>Worker</v>
          </cell>
          <cell r="H158">
            <v>43559</v>
          </cell>
          <cell r="I158" t="str">
            <v>Đ</v>
          </cell>
          <cell r="J158" t="str">
            <v>Đ</v>
          </cell>
          <cell r="K158" t="str">
            <v>Đ</v>
          </cell>
          <cell r="L158" t="str">
            <v>CN</v>
          </cell>
          <cell r="M158">
            <v>8</v>
          </cell>
          <cell r="N158">
            <v>8</v>
          </cell>
          <cell r="O158">
            <v>8</v>
          </cell>
          <cell r="P158">
            <v>8</v>
          </cell>
          <cell r="Q158">
            <v>8</v>
          </cell>
          <cell r="R158">
            <v>8</v>
          </cell>
          <cell r="S158" t="str">
            <v>CN</v>
          </cell>
          <cell r="T158" t="str">
            <v>Đ</v>
          </cell>
          <cell r="U158" t="str">
            <v>Đ</v>
          </cell>
          <cell r="V158" t="str">
            <v>Đ</v>
          </cell>
          <cell r="W158" t="str">
            <v>Đ</v>
          </cell>
          <cell r="X158" t="str">
            <v>Đ</v>
          </cell>
          <cell r="Y158" t="str">
            <v>Đ</v>
          </cell>
          <cell r="Z158" t="str">
            <v>CN</v>
          </cell>
          <cell r="AA158">
            <v>8</v>
          </cell>
          <cell r="AB158">
            <v>8</v>
          </cell>
          <cell r="AC158">
            <v>8</v>
          </cell>
          <cell r="AD158">
            <v>8</v>
          </cell>
          <cell r="AE158">
            <v>8</v>
          </cell>
          <cell r="AF158">
            <v>8</v>
          </cell>
          <cell r="AG158" t="str">
            <v>CN</v>
          </cell>
          <cell r="AH158" t="str">
            <v>Đ</v>
          </cell>
          <cell r="AI158" t="str">
            <v>Đ</v>
          </cell>
          <cell r="AJ158" t="str">
            <v>Đ</v>
          </cell>
          <cell r="AN158">
            <v>96</v>
          </cell>
          <cell r="AO158">
            <v>96</v>
          </cell>
          <cell r="AP158">
            <v>0</v>
          </cell>
          <cell r="AQ158">
            <v>0</v>
          </cell>
          <cell r="AR158">
            <v>0</v>
          </cell>
          <cell r="AS158">
            <v>0</v>
          </cell>
          <cell r="AT158">
            <v>0</v>
          </cell>
          <cell r="AU158">
            <v>0</v>
          </cell>
          <cell r="AV158">
            <v>0</v>
          </cell>
          <cell r="AW158">
            <v>0</v>
          </cell>
          <cell r="AX158">
            <v>0</v>
          </cell>
          <cell r="AY158">
            <v>0</v>
          </cell>
          <cell r="AZ158">
            <v>0</v>
          </cell>
          <cell r="BA158">
            <v>0</v>
          </cell>
          <cell r="BB158">
            <v>0</v>
          </cell>
          <cell r="BC158">
            <v>0</v>
          </cell>
          <cell r="BD158">
            <v>0</v>
          </cell>
          <cell r="BE158">
            <v>0</v>
          </cell>
          <cell r="BF158">
            <v>0</v>
          </cell>
          <cell r="BG158">
            <v>192</v>
          </cell>
          <cell r="BH158">
            <v>0</v>
          </cell>
          <cell r="BI158">
            <v>0</v>
          </cell>
          <cell r="BJ158">
            <v>3.5</v>
          </cell>
          <cell r="BL158">
            <v>1.5</v>
          </cell>
          <cell r="BM158">
            <v>1.5</v>
          </cell>
          <cell r="BN158">
            <v>1.5</v>
          </cell>
          <cell r="BO158">
            <v>0</v>
          </cell>
          <cell r="BP158">
            <v>1.5</v>
          </cell>
          <cell r="BQ158">
            <v>0</v>
          </cell>
          <cell r="BR158">
            <v>0</v>
          </cell>
          <cell r="BS158">
            <v>0</v>
          </cell>
          <cell r="BT158">
            <v>0</v>
          </cell>
          <cell r="BU158">
            <v>3</v>
          </cell>
          <cell r="BV158">
            <v>0</v>
          </cell>
          <cell r="BW158">
            <v>4</v>
          </cell>
          <cell r="BX158">
            <v>4</v>
          </cell>
          <cell r="BY158">
            <v>4</v>
          </cell>
          <cell r="BZ158">
            <v>4</v>
          </cell>
          <cell r="CA158">
            <v>4</v>
          </cell>
          <cell r="CB158">
            <v>4</v>
          </cell>
          <cell r="CC158">
            <v>0</v>
          </cell>
          <cell r="CD158">
            <v>3</v>
          </cell>
          <cell r="CE158">
            <v>3</v>
          </cell>
          <cell r="CF158">
            <v>3</v>
          </cell>
          <cell r="CG158">
            <v>3</v>
          </cell>
          <cell r="CH158">
            <v>3</v>
          </cell>
          <cell r="CI158">
            <v>0</v>
          </cell>
          <cell r="CJ158">
            <v>8</v>
          </cell>
          <cell r="CK158">
            <v>4</v>
          </cell>
          <cell r="CL158">
            <v>4</v>
          </cell>
          <cell r="CM158">
            <v>4</v>
          </cell>
          <cell r="CR158">
            <v>0</v>
          </cell>
          <cell r="CS158">
            <v>0</v>
          </cell>
          <cell r="CT158">
            <v>60</v>
          </cell>
          <cell r="CU158">
            <v>8</v>
          </cell>
          <cell r="CV158">
            <v>0</v>
          </cell>
          <cell r="CZ158">
            <v>68</v>
          </cell>
        </row>
        <row r="159">
          <cell r="C159" t="str">
            <v>01678</v>
          </cell>
          <cell r="D159" t="str">
            <v>Nguyễn Thị Dưa</v>
          </cell>
          <cell r="E159" t="str">
            <v>Production</v>
          </cell>
          <cell r="F159" t="str">
            <v>Die Cut</v>
          </cell>
          <cell r="G159" t="str">
            <v>Worker</v>
          </cell>
          <cell r="H159">
            <v>43559</v>
          </cell>
          <cell r="I159" t="str">
            <v>S</v>
          </cell>
          <cell r="J159">
            <v>8</v>
          </cell>
          <cell r="K159">
            <v>8</v>
          </cell>
          <cell r="L159" t="str">
            <v>CN</v>
          </cell>
          <cell r="M159">
            <v>8</v>
          </cell>
          <cell r="N159">
            <v>8</v>
          </cell>
          <cell r="O159">
            <v>8</v>
          </cell>
          <cell r="P159">
            <v>8</v>
          </cell>
          <cell r="Q159">
            <v>8</v>
          </cell>
          <cell r="R159">
            <v>8</v>
          </cell>
          <cell r="S159" t="str">
            <v>CN</v>
          </cell>
          <cell r="T159">
            <v>8</v>
          </cell>
          <cell r="U159">
            <v>8</v>
          </cell>
          <cell r="V159">
            <v>8</v>
          </cell>
          <cell r="W159" t="str">
            <v>M</v>
          </cell>
          <cell r="X159">
            <v>8</v>
          </cell>
          <cell r="Y159">
            <v>8</v>
          </cell>
          <cell r="Z159" t="str">
            <v>CN</v>
          </cell>
          <cell r="AA159">
            <v>8</v>
          </cell>
          <cell r="AB159">
            <v>8</v>
          </cell>
          <cell r="AC159">
            <v>8</v>
          </cell>
          <cell r="AD159">
            <v>8</v>
          </cell>
          <cell r="AE159">
            <v>8</v>
          </cell>
          <cell r="AF159">
            <v>8</v>
          </cell>
          <cell r="AG159" t="str">
            <v>CN</v>
          </cell>
          <cell r="AH159">
            <v>8</v>
          </cell>
          <cell r="AI159">
            <v>8</v>
          </cell>
          <cell r="AJ159">
            <v>8</v>
          </cell>
          <cell r="AN159">
            <v>0</v>
          </cell>
          <cell r="AO159">
            <v>176</v>
          </cell>
          <cell r="AP159">
            <v>0</v>
          </cell>
          <cell r="AQ159">
            <v>0</v>
          </cell>
          <cell r="AR159">
            <v>0</v>
          </cell>
          <cell r="AS159">
            <v>0</v>
          </cell>
          <cell r="AT159">
            <v>0</v>
          </cell>
          <cell r="AU159">
            <v>0</v>
          </cell>
          <cell r="AV159">
            <v>0</v>
          </cell>
          <cell r="AW159">
            <v>8</v>
          </cell>
          <cell r="AX159">
            <v>8</v>
          </cell>
          <cell r="AY159">
            <v>0</v>
          </cell>
          <cell r="AZ159">
            <v>0</v>
          </cell>
          <cell r="BA159">
            <v>0</v>
          </cell>
          <cell r="BB159">
            <v>0</v>
          </cell>
          <cell r="BC159">
            <v>0</v>
          </cell>
          <cell r="BD159">
            <v>0</v>
          </cell>
          <cell r="BE159">
            <v>0</v>
          </cell>
          <cell r="BF159">
            <v>0</v>
          </cell>
          <cell r="BG159">
            <v>184</v>
          </cell>
          <cell r="BH159">
            <v>0</v>
          </cell>
          <cell r="BI159">
            <v>0</v>
          </cell>
          <cell r="BJ159">
            <v>2</v>
          </cell>
          <cell r="BL159">
            <v>0</v>
          </cell>
          <cell r="BM159">
            <v>0</v>
          </cell>
          <cell r="BN159">
            <v>0</v>
          </cell>
          <cell r="BO159">
            <v>0</v>
          </cell>
          <cell r="BP159">
            <v>0</v>
          </cell>
          <cell r="BQ159">
            <v>0</v>
          </cell>
          <cell r="BR159">
            <v>0</v>
          </cell>
          <cell r="BS159">
            <v>0</v>
          </cell>
          <cell r="BT159">
            <v>0</v>
          </cell>
          <cell r="BU159">
            <v>0</v>
          </cell>
          <cell r="BV159">
            <v>0</v>
          </cell>
          <cell r="BW159">
            <v>0</v>
          </cell>
          <cell r="BX159">
            <v>0</v>
          </cell>
          <cell r="BY159">
            <v>0</v>
          </cell>
          <cell r="BZ159">
            <v>0</v>
          </cell>
          <cell r="CA159">
            <v>0</v>
          </cell>
          <cell r="CB159">
            <v>0</v>
          </cell>
          <cell r="CC159">
            <v>0</v>
          </cell>
          <cell r="CD159">
            <v>0</v>
          </cell>
          <cell r="CE159">
            <v>0</v>
          </cell>
          <cell r="CF159">
            <v>0</v>
          </cell>
          <cell r="CG159">
            <v>0</v>
          </cell>
          <cell r="CH159">
            <v>0</v>
          </cell>
          <cell r="CI159">
            <v>0</v>
          </cell>
          <cell r="CJ159">
            <v>0</v>
          </cell>
          <cell r="CK159">
            <v>0</v>
          </cell>
          <cell r="CL159">
            <v>0</v>
          </cell>
          <cell r="CM159">
            <v>0</v>
          </cell>
          <cell r="CR159">
            <v>0</v>
          </cell>
          <cell r="CS159">
            <v>0</v>
          </cell>
          <cell r="CT159">
            <v>0</v>
          </cell>
          <cell r="CU159">
            <v>0</v>
          </cell>
          <cell r="CV159">
            <v>0</v>
          </cell>
          <cell r="CZ159">
            <v>0</v>
          </cell>
        </row>
        <row r="160">
          <cell r="C160" t="str">
            <v>01681</v>
          </cell>
          <cell r="D160" t="str">
            <v>Nguyễn Thị Thu Sương</v>
          </cell>
          <cell r="E160" t="str">
            <v>Production</v>
          </cell>
          <cell r="F160" t="str">
            <v>Die Cut</v>
          </cell>
          <cell r="G160" t="str">
            <v>Worker</v>
          </cell>
          <cell r="H160">
            <v>43563</v>
          </cell>
          <cell r="I160">
            <v>8</v>
          </cell>
          <cell r="J160">
            <v>8</v>
          </cell>
          <cell r="K160">
            <v>8</v>
          </cell>
          <cell r="L160" t="str">
            <v>CN</v>
          </cell>
          <cell r="M160" t="str">
            <v>Đ</v>
          </cell>
          <cell r="N160" t="str">
            <v>Đ</v>
          </cell>
          <cell r="O160" t="str">
            <v>Đ</v>
          </cell>
          <cell r="P160" t="str">
            <v>Đ</v>
          </cell>
          <cell r="Q160" t="str">
            <v>Đ</v>
          </cell>
          <cell r="R160" t="str">
            <v>Đ</v>
          </cell>
          <cell r="S160" t="str">
            <v>CN</v>
          </cell>
          <cell r="T160">
            <v>8</v>
          </cell>
          <cell r="U160">
            <v>8</v>
          </cell>
          <cell r="V160">
            <v>8</v>
          </cell>
          <cell r="W160">
            <v>8</v>
          </cell>
          <cell r="X160">
            <v>8</v>
          </cell>
          <cell r="Y160">
            <v>8</v>
          </cell>
          <cell r="Z160" t="str">
            <v>CN</v>
          </cell>
          <cell r="AA160" t="str">
            <v>Đ</v>
          </cell>
          <cell r="AB160" t="str">
            <v>Đ</v>
          </cell>
          <cell r="AC160" t="str">
            <v>Đ</v>
          </cell>
          <cell r="AD160" t="str">
            <v>Đ</v>
          </cell>
          <cell r="AE160" t="str">
            <v>Đ</v>
          </cell>
          <cell r="AF160" t="str">
            <v>Đ</v>
          </cell>
          <cell r="AG160" t="str">
            <v>CN</v>
          </cell>
          <cell r="AH160">
            <v>8</v>
          </cell>
          <cell r="AI160">
            <v>8</v>
          </cell>
          <cell r="AJ160">
            <v>8</v>
          </cell>
          <cell r="AN160">
            <v>96</v>
          </cell>
          <cell r="AO160">
            <v>96</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192</v>
          </cell>
          <cell r="BH160">
            <v>0</v>
          </cell>
          <cell r="BI160">
            <v>0</v>
          </cell>
          <cell r="BJ160">
            <v>6.5</v>
          </cell>
          <cell r="BL160">
            <v>0</v>
          </cell>
          <cell r="BM160">
            <v>1.5</v>
          </cell>
          <cell r="BN160">
            <v>1.5</v>
          </cell>
          <cell r="BO160">
            <v>0</v>
          </cell>
          <cell r="BP160">
            <v>1.5</v>
          </cell>
          <cell r="BQ160">
            <v>0</v>
          </cell>
          <cell r="BR160">
            <v>0</v>
          </cell>
          <cell r="BS160">
            <v>4</v>
          </cell>
          <cell r="BT160">
            <v>0</v>
          </cell>
          <cell r="BU160">
            <v>4</v>
          </cell>
          <cell r="BV160">
            <v>0</v>
          </cell>
          <cell r="BW160">
            <v>3</v>
          </cell>
          <cell r="BX160">
            <v>3</v>
          </cell>
          <cell r="BY160">
            <v>3</v>
          </cell>
          <cell r="BZ160">
            <v>3</v>
          </cell>
          <cell r="CA160">
            <v>3</v>
          </cell>
          <cell r="CB160">
            <v>3</v>
          </cell>
          <cell r="CC160">
            <v>8</v>
          </cell>
          <cell r="CD160">
            <v>4</v>
          </cell>
          <cell r="CE160">
            <v>4</v>
          </cell>
          <cell r="CF160">
            <v>4</v>
          </cell>
          <cell r="CG160">
            <v>4</v>
          </cell>
          <cell r="CH160">
            <v>4</v>
          </cell>
          <cell r="CI160">
            <v>4</v>
          </cell>
          <cell r="CJ160">
            <v>0</v>
          </cell>
          <cell r="CK160">
            <v>3</v>
          </cell>
          <cell r="CL160">
            <v>3</v>
          </cell>
          <cell r="CM160">
            <v>3</v>
          </cell>
          <cell r="CR160">
            <v>0</v>
          </cell>
          <cell r="CS160">
            <v>0</v>
          </cell>
          <cell r="CT160">
            <v>63.5</v>
          </cell>
          <cell r="CU160">
            <v>8</v>
          </cell>
          <cell r="CV160">
            <v>0</v>
          </cell>
          <cell r="CZ160">
            <v>71.5</v>
          </cell>
        </row>
        <row r="161">
          <cell r="C161" t="str">
            <v>01682</v>
          </cell>
          <cell r="D161" t="str">
            <v>Nguyễn Thị Hồng Lạc</v>
          </cell>
          <cell r="E161" t="str">
            <v>Production</v>
          </cell>
          <cell r="F161" t="str">
            <v>Die Cut</v>
          </cell>
          <cell r="G161" t="str">
            <v>Worker</v>
          </cell>
          <cell r="H161">
            <v>43563</v>
          </cell>
          <cell r="I161">
            <v>8</v>
          </cell>
          <cell r="J161">
            <v>8</v>
          </cell>
          <cell r="K161" t="str">
            <v>AL8</v>
          </cell>
          <cell r="L161" t="str">
            <v>CN</v>
          </cell>
          <cell r="M161" t="str">
            <v>Đ</v>
          </cell>
          <cell r="N161" t="str">
            <v>Đ</v>
          </cell>
          <cell r="O161" t="str">
            <v>Đ</v>
          </cell>
          <cell r="P161" t="str">
            <v>Đ</v>
          </cell>
          <cell r="Q161" t="str">
            <v>Đ</v>
          </cell>
          <cell r="R161" t="str">
            <v>Đ</v>
          </cell>
          <cell r="S161" t="str">
            <v>CN</v>
          </cell>
          <cell r="T161" t="str">
            <v>SL</v>
          </cell>
          <cell r="U161">
            <v>8</v>
          </cell>
          <cell r="V161">
            <v>8</v>
          </cell>
          <cell r="W161">
            <v>8</v>
          </cell>
          <cell r="X161">
            <v>8</v>
          </cell>
          <cell r="Y161">
            <v>8</v>
          </cell>
          <cell r="Z161" t="str">
            <v>CN</v>
          </cell>
          <cell r="AA161" t="str">
            <v>Đ</v>
          </cell>
          <cell r="AB161" t="str">
            <v>Đ</v>
          </cell>
          <cell r="AC161" t="str">
            <v>Đ</v>
          </cell>
          <cell r="AD161" t="str">
            <v>Đ</v>
          </cell>
          <cell r="AE161" t="str">
            <v>Đ</v>
          </cell>
          <cell r="AF161" t="str">
            <v>Đ</v>
          </cell>
          <cell r="AG161" t="str">
            <v>CN</v>
          </cell>
          <cell r="AH161">
            <v>8</v>
          </cell>
          <cell r="AI161" t="str">
            <v>AL8</v>
          </cell>
          <cell r="AJ161">
            <v>8</v>
          </cell>
          <cell r="AN161">
            <v>96</v>
          </cell>
          <cell r="AO161">
            <v>72</v>
          </cell>
          <cell r="AP161">
            <v>0</v>
          </cell>
          <cell r="AQ161">
            <v>1</v>
          </cell>
          <cell r="AR161">
            <v>0</v>
          </cell>
          <cell r="AS161">
            <v>0</v>
          </cell>
          <cell r="AT161">
            <v>0</v>
          </cell>
          <cell r="AU161">
            <v>0</v>
          </cell>
          <cell r="AV161">
            <v>0</v>
          </cell>
          <cell r="AW161">
            <v>0</v>
          </cell>
          <cell r="AX161">
            <v>0</v>
          </cell>
          <cell r="AY161">
            <v>0</v>
          </cell>
          <cell r="AZ161">
            <v>0</v>
          </cell>
          <cell r="BA161">
            <v>16</v>
          </cell>
          <cell r="BB161">
            <v>0</v>
          </cell>
          <cell r="BC161">
            <v>0</v>
          </cell>
          <cell r="BD161">
            <v>0</v>
          </cell>
          <cell r="BE161">
            <v>0</v>
          </cell>
          <cell r="BF161">
            <v>0</v>
          </cell>
          <cell r="BG161">
            <v>184</v>
          </cell>
          <cell r="BH161">
            <v>2</v>
          </cell>
          <cell r="BI161">
            <v>2</v>
          </cell>
          <cell r="BJ161">
            <v>1</v>
          </cell>
          <cell r="BL161">
            <v>0</v>
          </cell>
          <cell r="BM161">
            <v>0</v>
          </cell>
          <cell r="BN161">
            <v>0</v>
          </cell>
          <cell r="BO161">
            <v>0</v>
          </cell>
          <cell r="BP161">
            <v>1.5</v>
          </cell>
          <cell r="BQ161">
            <v>0</v>
          </cell>
          <cell r="BR161">
            <v>0</v>
          </cell>
          <cell r="BS161">
            <v>4</v>
          </cell>
          <cell r="BT161">
            <v>0</v>
          </cell>
          <cell r="BU161">
            <v>4</v>
          </cell>
          <cell r="BV161">
            <v>0</v>
          </cell>
          <cell r="BW161">
            <v>0</v>
          </cell>
          <cell r="BX161">
            <v>3</v>
          </cell>
          <cell r="BY161">
            <v>3</v>
          </cell>
          <cell r="BZ161">
            <v>3</v>
          </cell>
          <cell r="CA161">
            <v>3</v>
          </cell>
          <cell r="CB161">
            <v>3</v>
          </cell>
          <cell r="CC161">
            <v>8</v>
          </cell>
          <cell r="CD161">
            <v>4</v>
          </cell>
          <cell r="CE161">
            <v>1.5</v>
          </cell>
          <cell r="CF161">
            <v>4</v>
          </cell>
          <cell r="CG161">
            <v>4</v>
          </cell>
          <cell r="CH161">
            <v>4</v>
          </cell>
          <cell r="CI161">
            <v>4</v>
          </cell>
          <cell r="CJ161">
            <v>0</v>
          </cell>
          <cell r="CK161">
            <v>3</v>
          </cell>
          <cell r="CL161">
            <v>0</v>
          </cell>
          <cell r="CM161">
            <v>3</v>
          </cell>
          <cell r="CR161">
            <v>0</v>
          </cell>
          <cell r="CS161">
            <v>0</v>
          </cell>
          <cell r="CT161">
            <v>52</v>
          </cell>
          <cell r="CU161">
            <v>8</v>
          </cell>
          <cell r="CV161">
            <v>0</v>
          </cell>
          <cell r="CZ161">
            <v>60</v>
          </cell>
        </row>
        <row r="162">
          <cell r="C162" t="str">
            <v>01702</v>
          </cell>
          <cell r="D162" t="str">
            <v>Bùi Thị Tuyết Nha</v>
          </cell>
          <cell r="E162" t="str">
            <v>PD</v>
          </cell>
          <cell r="F162" t="str">
            <v>PD office</v>
          </cell>
          <cell r="G162" t="str">
            <v>Associate Specialist</v>
          </cell>
          <cell r="H162">
            <v>43565</v>
          </cell>
          <cell r="I162">
            <v>8</v>
          </cell>
          <cell r="J162">
            <v>8</v>
          </cell>
          <cell r="K162" t="str">
            <v>PO</v>
          </cell>
          <cell r="L162" t="str">
            <v>CN</v>
          </cell>
          <cell r="M162">
            <v>8</v>
          </cell>
          <cell r="N162">
            <v>8</v>
          </cell>
          <cell r="O162" t="str">
            <v>WH</v>
          </cell>
          <cell r="P162">
            <v>8</v>
          </cell>
          <cell r="Q162" t="str">
            <v>AL4</v>
          </cell>
          <cell r="R162" t="str">
            <v>PO</v>
          </cell>
          <cell r="S162" t="str">
            <v>CN</v>
          </cell>
          <cell r="T162">
            <v>8</v>
          </cell>
          <cell r="U162">
            <v>8</v>
          </cell>
          <cell r="V162">
            <v>8</v>
          </cell>
          <cell r="W162">
            <v>8</v>
          </cell>
          <cell r="X162">
            <v>8</v>
          </cell>
          <cell r="Y162" t="str">
            <v>PO</v>
          </cell>
          <cell r="Z162" t="str">
            <v>CN</v>
          </cell>
          <cell r="AA162">
            <v>8</v>
          </cell>
          <cell r="AB162">
            <v>8</v>
          </cell>
          <cell r="AC162">
            <v>8</v>
          </cell>
          <cell r="AD162">
            <v>8</v>
          </cell>
          <cell r="AE162">
            <v>8</v>
          </cell>
          <cell r="AF162" t="str">
            <v>PO</v>
          </cell>
          <cell r="AG162" t="str">
            <v>CN</v>
          </cell>
          <cell r="AH162" t="str">
            <v>AL8</v>
          </cell>
          <cell r="AI162">
            <v>8</v>
          </cell>
          <cell r="AJ162">
            <v>8</v>
          </cell>
          <cell r="AN162">
            <v>0</v>
          </cell>
          <cell r="AO162">
            <v>140</v>
          </cell>
          <cell r="AP162">
            <v>4</v>
          </cell>
          <cell r="AQ162">
            <v>0</v>
          </cell>
          <cell r="AR162">
            <v>0</v>
          </cell>
          <cell r="AS162">
            <v>0</v>
          </cell>
          <cell r="AT162">
            <v>0</v>
          </cell>
          <cell r="AU162">
            <v>0</v>
          </cell>
          <cell r="AV162">
            <v>32</v>
          </cell>
          <cell r="AW162">
            <v>0</v>
          </cell>
          <cell r="AX162">
            <v>0</v>
          </cell>
          <cell r="AY162">
            <v>0</v>
          </cell>
          <cell r="AZ162">
            <v>0</v>
          </cell>
          <cell r="BA162">
            <v>12</v>
          </cell>
          <cell r="BB162">
            <v>0</v>
          </cell>
          <cell r="BC162">
            <v>0</v>
          </cell>
          <cell r="BD162">
            <v>8</v>
          </cell>
          <cell r="BE162">
            <v>0</v>
          </cell>
          <cell r="BF162">
            <v>0</v>
          </cell>
          <cell r="BG162">
            <v>192</v>
          </cell>
          <cell r="BH162">
            <v>1.5</v>
          </cell>
          <cell r="BI162">
            <v>1.5</v>
          </cell>
          <cell r="BJ162">
            <v>3.5</v>
          </cell>
          <cell r="BL162">
            <v>0</v>
          </cell>
          <cell r="BM162">
            <v>0</v>
          </cell>
          <cell r="BN162">
            <v>0</v>
          </cell>
          <cell r="BO162">
            <v>0</v>
          </cell>
          <cell r="BP162">
            <v>0</v>
          </cell>
          <cell r="BQ162">
            <v>0</v>
          </cell>
          <cell r="BR162">
            <v>0</v>
          </cell>
          <cell r="BS162">
            <v>0</v>
          </cell>
          <cell r="BT162">
            <v>0</v>
          </cell>
          <cell r="BU162">
            <v>0</v>
          </cell>
          <cell r="BV162">
            <v>0</v>
          </cell>
          <cell r="BW162">
            <v>0</v>
          </cell>
          <cell r="BX162">
            <v>0</v>
          </cell>
          <cell r="BY162">
            <v>0</v>
          </cell>
          <cell r="BZ162">
            <v>0</v>
          </cell>
          <cell r="CA162">
            <v>0</v>
          </cell>
          <cell r="CB162">
            <v>0</v>
          </cell>
          <cell r="CC162">
            <v>0</v>
          </cell>
          <cell r="CD162">
            <v>0</v>
          </cell>
          <cell r="CE162">
            <v>0</v>
          </cell>
          <cell r="CF162">
            <v>0</v>
          </cell>
          <cell r="CG162">
            <v>0</v>
          </cell>
          <cell r="CH162">
            <v>0</v>
          </cell>
          <cell r="CI162">
            <v>0</v>
          </cell>
          <cell r="CJ162">
            <v>0</v>
          </cell>
          <cell r="CK162">
            <v>0</v>
          </cell>
          <cell r="CL162">
            <v>0</v>
          </cell>
          <cell r="CM162">
            <v>0</v>
          </cell>
          <cell r="CR162">
            <v>0</v>
          </cell>
          <cell r="CS162">
            <v>0</v>
          </cell>
          <cell r="CT162">
            <v>0</v>
          </cell>
          <cell r="CU162">
            <v>0</v>
          </cell>
          <cell r="CV162">
            <v>0</v>
          </cell>
          <cell r="CZ162">
            <v>0</v>
          </cell>
        </row>
        <row r="163">
          <cell r="C163" t="str">
            <v>01703</v>
          </cell>
          <cell r="D163" t="str">
            <v>Võ Thị Kim Phương</v>
          </cell>
          <cell r="E163" t="str">
            <v>CS</v>
          </cell>
          <cell r="F163" t="str">
            <v>CS</v>
          </cell>
          <cell r="G163" t="str">
            <v>Senior Staff</v>
          </cell>
          <cell r="H163">
            <v>43566</v>
          </cell>
          <cell r="I163">
            <v>8</v>
          </cell>
          <cell r="J163">
            <v>8</v>
          </cell>
          <cell r="K163" t="str">
            <v>PO</v>
          </cell>
          <cell r="L163" t="str">
            <v>CN</v>
          </cell>
          <cell r="M163">
            <v>8</v>
          </cell>
          <cell r="N163">
            <v>8</v>
          </cell>
          <cell r="O163">
            <v>8</v>
          </cell>
          <cell r="P163">
            <v>8</v>
          </cell>
          <cell r="Q163">
            <v>8</v>
          </cell>
          <cell r="R163" t="str">
            <v>PO</v>
          </cell>
          <cell r="S163" t="str">
            <v>CN</v>
          </cell>
          <cell r="T163">
            <v>8</v>
          </cell>
          <cell r="U163">
            <v>8</v>
          </cell>
          <cell r="V163">
            <v>8</v>
          </cell>
          <cell r="W163">
            <v>8</v>
          </cell>
          <cell r="X163">
            <v>8</v>
          </cell>
          <cell r="Y163" t="str">
            <v>PO</v>
          </cell>
          <cell r="Z163" t="str">
            <v>CN</v>
          </cell>
          <cell r="AA163">
            <v>8</v>
          </cell>
          <cell r="AB163">
            <v>8</v>
          </cell>
          <cell r="AC163">
            <v>8</v>
          </cell>
          <cell r="AD163">
            <v>8</v>
          </cell>
          <cell r="AE163">
            <v>8</v>
          </cell>
          <cell r="AF163" t="str">
            <v>PO</v>
          </cell>
          <cell r="AG163" t="str">
            <v>CN</v>
          </cell>
          <cell r="AH163">
            <v>8</v>
          </cell>
          <cell r="AI163">
            <v>8</v>
          </cell>
          <cell r="AJ163">
            <v>8</v>
          </cell>
          <cell r="AN163">
            <v>0</v>
          </cell>
          <cell r="AO163">
            <v>160</v>
          </cell>
          <cell r="AP163">
            <v>0</v>
          </cell>
          <cell r="AQ163">
            <v>0</v>
          </cell>
          <cell r="AR163">
            <v>0</v>
          </cell>
          <cell r="AS163">
            <v>0</v>
          </cell>
          <cell r="AT163">
            <v>0</v>
          </cell>
          <cell r="AU163">
            <v>0</v>
          </cell>
          <cell r="AV163">
            <v>32</v>
          </cell>
          <cell r="AW163">
            <v>0</v>
          </cell>
          <cell r="AX163">
            <v>0</v>
          </cell>
          <cell r="AY163">
            <v>0</v>
          </cell>
          <cell r="AZ163">
            <v>0</v>
          </cell>
          <cell r="BA163">
            <v>0</v>
          </cell>
          <cell r="BB163">
            <v>0</v>
          </cell>
          <cell r="BC163">
            <v>0</v>
          </cell>
          <cell r="BD163">
            <v>0</v>
          </cell>
          <cell r="BE163">
            <v>0</v>
          </cell>
          <cell r="BF163">
            <v>0</v>
          </cell>
          <cell r="BG163">
            <v>192</v>
          </cell>
          <cell r="BH163">
            <v>0</v>
          </cell>
          <cell r="BI163">
            <v>0</v>
          </cell>
          <cell r="BJ163">
            <v>6.5</v>
          </cell>
          <cell r="BL163">
            <v>0</v>
          </cell>
          <cell r="BM163">
            <v>0</v>
          </cell>
          <cell r="BN163">
            <v>0</v>
          </cell>
          <cell r="BO163">
            <v>0</v>
          </cell>
          <cell r="BP163">
            <v>0</v>
          </cell>
          <cell r="BQ163">
            <v>0</v>
          </cell>
          <cell r="BR163">
            <v>0</v>
          </cell>
          <cell r="BS163">
            <v>1.5</v>
          </cell>
          <cell r="BT163">
            <v>0</v>
          </cell>
          <cell r="BU163">
            <v>0</v>
          </cell>
          <cell r="BV163">
            <v>0</v>
          </cell>
          <cell r="BW163">
            <v>1</v>
          </cell>
          <cell r="BX163">
            <v>0</v>
          </cell>
          <cell r="BY163">
            <v>3</v>
          </cell>
          <cell r="BZ163">
            <v>0</v>
          </cell>
          <cell r="CA163">
            <v>0.5</v>
          </cell>
          <cell r="CB163">
            <v>0</v>
          </cell>
          <cell r="CC163">
            <v>0</v>
          </cell>
          <cell r="CD163">
            <v>0</v>
          </cell>
          <cell r="CE163">
            <v>0</v>
          </cell>
          <cell r="CF163">
            <v>0</v>
          </cell>
          <cell r="CG163">
            <v>0.5</v>
          </cell>
          <cell r="CH163">
            <v>0</v>
          </cell>
          <cell r="CI163">
            <v>0</v>
          </cell>
          <cell r="CJ163">
            <v>0</v>
          </cell>
          <cell r="CK163">
            <v>0</v>
          </cell>
          <cell r="CL163">
            <v>0</v>
          </cell>
          <cell r="CM163">
            <v>0</v>
          </cell>
          <cell r="CR163">
            <v>0</v>
          </cell>
          <cell r="CS163">
            <v>0</v>
          </cell>
          <cell r="CT163">
            <v>6.5</v>
          </cell>
          <cell r="CU163">
            <v>0</v>
          </cell>
          <cell r="CV163">
            <v>0</v>
          </cell>
          <cell r="CZ163">
            <v>6.5</v>
          </cell>
        </row>
        <row r="164">
          <cell r="C164" t="str">
            <v>01708</v>
          </cell>
          <cell r="D164" t="str">
            <v xml:space="preserve">Nguyễn Thị Hồng An </v>
          </cell>
          <cell r="E164" t="str">
            <v>Production</v>
          </cell>
          <cell r="F164" t="str">
            <v>Skiving</v>
          </cell>
          <cell r="G164" t="str">
            <v>Worker</v>
          </cell>
          <cell r="H164">
            <v>43572</v>
          </cell>
          <cell r="I164" t="str">
            <v>Đ</v>
          </cell>
          <cell r="J164" t="str">
            <v>Đ</v>
          </cell>
          <cell r="K164" t="str">
            <v>Đ</v>
          </cell>
          <cell r="L164" t="str">
            <v>CN</v>
          </cell>
          <cell r="M164">
            <v>8</v>
          </cell>
          <cell r="N164">
            <v>8</v>
          </cell>
          <cell r="O164">
            <v>8</v>
          </cell>
          <cell r="P164">
            <v>8</v>
          </cell>
          <cell r="Q164">
            <v>8</v>
          </cell>
          <cell r="R164">
            <v>8</v>
          </cell>
          <cell r="S164" t="str">
            <v>CN</v>
          </cell>
          <cell r="T164" t="str">
            <v>AL8</v>
          </cell>
          <cell r="U164" t="str">
            <v>AL8</v>
          </cell>
          <cell r="V164" t="str">
            <v>SL</v>
          </cell>
          <cell r="W164" t="str">
            <v>SL</v>
          </cell>
          <cell r="X164" t="str">
            <v>SL</v>
          </cell>
          <cell r="Y164" t="str">
            <v>SL</v>
          </cell>
          <cell r="Z164" t="str">
            <v>CN</v>
          </cell>
          <cell r="AA164" t="str">
            <v>SL</v>
          </cell>
          <cell r="AB164" t="str">
            <v>SL</v>
          </cell>
          <cell r="AC164">
            <v>8</v>
          </cell>
          <cell r="AD164" t="str">
            <v>AL8</v>
          </cell>
          <cell r="AE164" t="str">
            <v>AL4/UP4</v>
          </cell>
          <cell r="AF164" t="str">
            <v>TV</v>
          </cell>
          <cell r="AG164" t="str">
            <v>TV</v>
          </cell>
          <cell r="AH164" t="str">
            <v>TV</v>
          </cell>
          <cell r="AI164" t="str">
            <v>TV</v>
          </cell>
          <cell r="AJ164" t="str">
            <v>TV</v>
          </cell>
          <cell r="AN164">
            <v>24</v>
          </cell>
          <cell r="AO164">
            <v>56</v>
          </cell>
          <cell r="AP164">
            <v>0</v>
          </cell>
          <cell r="AQ164">
            <v>6</v>
          </cell>
          <cell r="AR164">
            <v>0</v>
          </cell>
          <cell r="AS164">
            <v>4</v>
          </cell>
          <cell r="AT164">
            <v>0</v>
          </cell>
          <cell r="AU164">
            <v>0</v>
          </cell>
          <cell r="AV164">
            <v>0</v>
          </cell>
          <cell r="AW164">
            <v>0</v>
          </cell>
          <cell r="AX164">
            <v>0</v>
          </cell>
          <cell r="AY164">
            <v>0</v>
          </cell>
          <cell r="AZ164">
            <v>0</v>
          </cell>
          <cell r="BA164">
            <v>28</v>
          </cell>
          <cell r="BB164">
            <v>0</v>
          </cell>
          <cell r="BC164">
            <v>0</v>
          </cell>
          <cell r="BD164">
            <v>0</v>
          </cell>
          <cell r="BE164">
            <v>0</v>
          </cell>
          <cell r="BF164">
            <v>0</v>
          </cell>
          <cell r="BG164">
            <v>108</v>
          </cell>
          <cell r="BH164">
            <v>3.5</v>
          </cell>
          <cell r="BI164">
            <v>3.5</v>
          </cell>
          <cell r="BJ164">
            <v>-2</v>
          </cell>
          <cell r="BL164">
            <v>0</v>
          </cell>
          <cell r="BM164">
            <v>0</v>
          </cell>
          <cell r="BN164">
            <v>0</v>
          </cell>
          <cell r="BO164">
            <v>0</v>
          </cell>
          <cell r="BP164">
            <v>1.5</v>
          </cell>
          <cell r="BQ164">
            <v>3</v>
          </cell>
          <cell r="BR164">
            <v>0</v>
          </cell>
          <cell r="BS164">
            <v>3</v>
          </cell>
          <cell r="BT164">
            <v>3</v>
          </cell>
          <cell r="BU164">
            <v>0</v>
          </cell>
          <cell r="BV164">
            <v>0</v>
          </cell>
          <cell r="BW164">
            <v>0</v>
          </cell>
          <cell r="BX164">
            <v>0</v>
          </cell>
          <cell r="BY164">
            <v>0</v>
          </cell>
          <cell r="BZ164">
            <v>0</v>
          </cell>
          <cell r="CA164">
            <v>0</v>
          </cell>
          <cell r="CB164">
            <v>0</v>
          </cell>
          <cell r="CC164">
            <v>0</v>
          </cell>
          <cell r="CD164">
            <v>0</v>
          </cell>
          <cell r="CE164">
            <v>0</v>
          </cell>
          <cell r="CF164">
            <v>0</v>
          </cell>
          <cell r="CG164">
            <v>0</v>
          </cell>
          <cell r="CH164">
            <v>0</v>
          </cell>
          <cell r="CI164">
            <v>0</v>
          </cell>
          <cell r="CJ164">
            <v>0</v>
          </cell>
          <cell r="CK164">
            <v>0</v>
          </cell>
          <cell r="CL164">
            <v>0</v>
          </cell>
          <cell r="CM164">
            <v>0</v>
          </cell>
          <cell r="CR164">
            <v>0</v>
          </cell>
          <cell r="CS164">
            <v>0</v>
          </cell>
          <cell r="CT164">
            <v>10.5</v>
          </cell>
          <cell r="CU164">
            <v>0</v>
          </cell>
          <cell r="CV164">
            <v>0</v>
          </cell>
          <cell r="CZ164">
            <v>10.5</v>
          </cell>
        </row>
        <row r="165">
          <cell r="C165" t="str">
            <v>01712</v>
          </cell>
          <cell r="D165" t="str">
            <v>Nguyễn Thị Ngoan</v>
          </cell>
          <cell r="E165" t="str">
            <v>Production</v>
          </cell>
          <cell r="F165" t="str">
            <v>Logo</v>
          </cell>
          <cell r="G165" t="str">
            <v>Worker</v>
          </cell>
          <cell r="H165">
            <v>43572</v>
          </cell>
          <cell r="I165" t="str">
            <v>Đ</v>
          </cell>
          <cell r="J165" t="str">
            <v>Đ</v>
          </cell>
          <cell r="K165" t="str">
            <v>Đ</v>
          </cell>
          <cell r="L165" t="str">
            <v>CN</v>
          </cell>
          <cell r="M165">
            <v>8</v>
          </cell>
          <cell r="N165" t="str">
            <v>AL8</v>
          </cell>
          <cell r="O165" t="str">
            <v>AL8</v>
          </cell>
          <cell r="P165" t="str">
            <v>AL8</v>
          </cell>
          <cell r="Q165" t="str">
            <v>AL8</v>
          </cell>
          <cell r="R165">
            <v>8</v>
          </cell>
          <cell r="S165" t="str">
            <v>CN</v>
          </cell>
          <cell r="T165" t="str">
            <v>Đ</v>
          </cell>
          <cell r="U165" t="str">
            <v>Đ</v>
          </cell>
          <cell r="V165" t="str">
            <v>Đ</v>
          </cell>
          <cell r="W165" t="str">
            <v>Đ</v>
          </cell>
          <cell r="X165" t="str">
            <v>Đ</v>
          </cell>
          <cell r="Y165" t="str">
            <v>Đ</v>
          </cell>
          <cell r="Z165" t="str">
            <v>CN</v>
          </cell>
          <cell r="AA165">
            <v>8</v>
          </cell>
          <cell r="AB165">
            <v>8</v>
          </cell>
          <cell r="AC165">
            <v>8</v>
          </cell>
          <cell r="AD165">
            <v>8</v>
          </cell>
          <cell r="AE165">
            <v>8</v>
          </cell>
          <cell r="AF165">
            <v>8</v>
          </cell>
          <cell r="AG165" t="str">
            <v>CN</v>
          </cell>
          <cell r="AH165" t="str">
            <v>Đ</v>
          </cell>
          <cell r="AI165" t="str">
            <v>Đ</v>
          </cell>
          <cell r="AJ165" t="str">
            <v>Đ</v>
          </cell>
          <cell r="AN165">
            <v>96</v>
          </cell>
          <cell r="AO165">
            <v>64</v>
          </cell>
          <cell r="AP165">
            <v>0</v>
          </cell>
          <cell r="AQ165">
            <v>0</v>
          </cell>
          <cell r="AR165">
            <v>0</v>
          </cell>
          <cell r="AS165">
            <v>0</v>
          </cell>
          <cell r="AT165">
            <v>0</v>
          </cell>
          <cell r="AU165">
            <v>0</v>
          </cell>
          <cell r="AV165">
            <v>0</v>
          </cell>
          <cell r="AW165">
            <v>0</v>
          </cell>
          <cell r="AX165">
            <v>0</v>
          </cell>
          <cell r="AY165">
            <v>0</v>
          </cell>
          <cell r="AZ165">
            <v>0</v>
          </cell>
          <cell r="BA165">
            <v>32</v>
          </cell>
          <cell r="BB165">
            <v>0</v>
          </cell>
          <cell r="BC165">
            <v>0</v>
          </cell>
          <cell r="BD165">
            <v>0</v>
          </cell>
          <cell r="BE165">
            <v>0</v>
          </cell>
          <cell r="BF165">
            <v>0</v>
          </cell>
          <cell r="BG165">
            <v>192</v>
          </cell>
          <cell r="BH165">
            <v>4</v>
          </cell>
          <cell r="BI165">
            <v>4</v>
          </cell>
          <cell r="BJ165">
            <v>5</v>
          </cell>
          <cell r="BL165">
            <v>1.5</v>
          </cell>
          <cell r="BM165">
            <v>1.5</v>
          </cell>
          <cell r="BN165">
            <v>1.5</v>
          </cell>
          <cell r="BO165">
            <v>0</v>
          </cell>
          <cell r="BP165">
            <v>1.5</v>
          </cell>
          <cell r="BQ165">
            <v>0</v>
          </cell>
          <cell r="BR165">
            <v>0</v>
          </cell>
          <cell r="BS165">
            <v>0</v>
          </cell>
          <cell r="BT165">
            <v>0</v>
          </cell>
          <cell r="BU165">
            <v>3</v>
          </cell>
          <cell r="BV165">
            <v>0</v>
          </cell>
          <cell r="BW165">
            <v>4</v>
          </cell>
          <cell r="BX165">
            <v>4</v>
          </cell>
          <cell r="BY165">
            <v>4</v>
          </cell>
          <cell r="BZ165">
            <v>4</v>
          </cell>
          <cell r="CA165">
            <v>4</v>
          </cell>
          <cell r="CB165">
            <v>4</v>
          </cell>
          <cell r="CC165">
            <v>0</v>
          </cell>
          <cell r="CD165">
            <v>3</v>
          </cell>
          <cell r="CE165">
            <v>3</v>
          </cell>
          <cell r="CF165">
            <v>3</v>
          </cell>
          <cell r="CG165">
            <v>3</v>
          </cell>
          <cell r="CH165">
            <v>3</v>
          </cell>
          <cell r="CI165">
            <v>3</v>
          </cell>
          <cell r="CJ165">
            <v>8</v>
          </cell>
          <cell r="CK165">
            <v>4</v>
          </cell>
          <cell r="CL165">
            <v>4</v>
          </cell>
          <cell r="CM165">
            <v>4</v>
          </cell>
          <cell r="CR165">
            <v>0</v>
          </cell>
          <cell r="CS165">
            <v>0</v>
          </cell>
          <cell r="CT165">
            <v>63</v>
          </cell>
          <cell r="CU165">
            <v>8</v>
          </cell>
          <cell r="CV165">
            <v>0</v>
          </cell>
          <cell r="CZ165">
            <v>71</v>
          </cell>
        </row>
        <row r="166">
          <cell r="C166" t="str">
            <v>01722</v>
          </cell>
          <cell r="D166" t="str">
            <v xml:space="preserve">Trần Thị Phượng Em </v>
          </cell>
          <cell r="E166" t="str">
            <v>Production</v>
          </cell>
          <cell r="F166" t="str">
            <v>Molding</v>
          </cell>
          <cell r="G166" t="str">
            <v>Worker</v>
          </cell>
          <cell r="H166">
            <v>43574</v>
          </cell>
          <cell r="I166" t="str">
            <v>AL8</v>
          </cell>
          <cell r="J166">
            <v>8</v>
          </cell>
          <cell r="K166" t="str">
            <v>AL8</v>
          </cell>
          <cell r="L166" t="str">
            <v>CN</v>
          </cell>
          <cell r="M166">
            <v>8</v>
          </cell>
          <cell r="N166">
            <v>8</v>
          </cell>
          <cell r="O166">
            <v>8</v>
          </cell>
          <cell r="P166">
            <v>8</v>
          </cell>
          <cell r="Q166" t="str">
            <v>Đ</v>
          </cell>
          <cell r="R166" t="str">
            <v>Đ</v>
          </cell>
          <cell r="S166" t="str">
            <v>CN</v>
          </cell>
          <cell r="T166">
            <v>8</v>
          </cell>
          <cell r="U166">
            <v>8</v>
          </cell>
          <cell r="V166">
            <v>8</v>
          </cell>
          <cell r="W166">
            <v>8</v>
          </cell>
          <cell r="X166">
            <v>8</v>
          </cell>
          <cell r="Y166">
            <v>8</v>
          </cell>
          <cell r="Z166" t="str">
            <v>CN</v>
          </cell>
          <cell r="AA166">
            <v>8</v>
          </cell>
          <cell r="AB166">
            <v>8</v>
          </cell>
          <cell r="AC166">
            <v>8</v>
          </cell>
          <cell r="AD166">
            <v>8</v>
          </cell>
          <cell r="AE166" t="str">
            <v>Đ</v>
          </cell>
          <cell r="AF166" t="str">
            <v>Đ</v>
          </cell>
          <cell r="AG166" t="str">
            <v>CN</v>
          </cell>
          <cell r="AH166">
            <v>8</v>
          </cell>
          <cell r="AI166">
            <v>8</v>
          </cell>
          <cell r="AJ166">
            <v>8</v>
          </cell>
          <cell r="AN166">
            <v>32</v>
          </cell>
          <cell r="AO166">
            <v>144</v>
          </cell>
          <cell r="AP166">
            <v>0</v>
          </cell>
          <cell r="AQ166">
            <v>0</v>
          </cell>
          <cell r="AR166">
            <v>0</v>
          </cell>
          <cell r="AS166">
            <v>0</v>
          </cell>
          <cell r="AT166">
            <v>0</v>
          </cell>
          <cell r="AU166">
            <v>0</v>
          </cell>
          <cell r="AV166">
            <v>0</v>
          </cell>
          <cell r="AW166">
            <v>0</v>
          </cell>
          <cell r="AX166">
            <v>0</v>
          </cell>
          <cell r="AY166">
            <v>0</v>
          </cell>
          <cell r="AZ166">
            <v>0</v>
          </cell>
          <cell r="BA166">
            <v>16</v>
          </cell>
          <cell r="BB166">
            <v>0</v>
          </cell>
          <cell r="BC166">
            <v>0</v>
          </cell>
          <cell r="BD166">
            <v>0</v>
          </cell>
          <cell r="BE166">
            <v>0</v>
          </cell>
          <cell r="BF166">
            <v>0</v>
          </cell>
          <cell r="BG166">
            <v>192</v>
          </cell>
          <cell r="BH166">
            <v>2</v>
          </cell>
          <cell r="BI166">
            <v>2</v>
          </cell>
          <cell r="BJ166">
            <v>5.5</v>
          </cell>
          <cell r="BL166">
            <v>0</v>
          </cell>
          <cell r="BM166">
            <v>4</v>
          </cell>
          <cell r="BN166">
            <v>0</v>
          </cell>
          <cell r="BO166">
            <v>0</v>
          </cell>
          <cell r="BP166">
            <v>0</v>
          </cell>
          <cell r="BQ166">
            <v>0</v>
          </cell>
          <cell r="BR166">
            <v>0</v>
          </cell>
          <cell r="BS166">
            <v>0</v>
          </cell>
          <cell r="BT166">
            <v>0</v>
          </cell>
          <cell r="BU166">
            <v>4</v>
          </cell>
          <cell r="BV166">
            <v>0</v>
          </cell>
          <cell r="BW166">
            <v>0</v>
          </cell>
          <cell r="BX166">
            <v>0</v>
          </cell>
          <cell r="BY166">
            <v>0</v>
          </cell>
          <cell r="BZ166">
            <v>0</v>
          </cell>
          <cell r="CA166">
            <v>4</v>
          </cell>
          <cell r="CB166">
            <v>4</v>
          </cell>
          <cell r="CC166">
            <v>0</v>
          </cell>
          <cell r="CD166">
            <v>0</v>
          </cell>
          <cell r="CE166">
            <v>0</v>
          </cell>
          <cell r="CF166">
            <v>0</v>
          </cell>
          <cell r="CG166">
            <v>0</v>
          </cell>
          <cell r="CH166">
            <v>4</v>
          </cell>
          <cell r="CI166">
            <v>4</v>
          </cell>
          <cell r="CJ166">
            <v>0</v>
          </cell>
          <cell r="CK166">
            <v>0</v>
          </cell>
          <cell r="CL166">
            <v>0</v>
          </cell>
          <cell r="CM166">
            <v>0</v>
          </cell>
          <cell r="CR166">
            <v>0</v>
          </cell>
          <cell r="CS166">
            <v>0</v>
          </cell>
          <cell r="CT166">
            <v>24</v>
          </cell>
          <cell r="CU166">
            <v>0</v>
          </cell>
          <cell r="CV166">
            <v>0</v>
          </cell>
          <cell r="CZ166">
            <v>24</v>
          </cell>
        </row>
        <row r="167">
          <cell r="C167" t="str">
            <v>01733</v>
          </cell>
          <cell r="D167" t="str">
            <v>Từ Thị Thu Hằng</v>
          </cell>
          <cell r="E167" t="str">
            <v>Purchasing</v>
          </cell>
          <cell r="F167" t="str">
            <v>Purchasing</v>
          </cell>
          <cell r="G167" t="str">
            <v>Supervisor</v>
          </cell>
          <cell r="H167">
            <v>43577</v>
          </cell>
          <cell r="I167">
            <v>8</v>
          </cell>
          <cell r="J167">
            <v>8</v>
          </cell>
          <cell r="K167" t="str">
            <v>PO</v>
          </cell>
          <cell r="L167" t="str">
            <v>CN</v>
          </cell>
          <cell r="M167">
            <v>8</v>
          </cell>
          <cell r="N167">
            <v>8</v>
          </cell>
          <cell r="O167">
            <v>8</v>
          </cell>
          <cell r="P167">
            <v>8</v>
          </cell>
          <cell r="Q167" t="str">
            <v>PO</v>
          </cell>
          <cell r="R167" t="str">
            <v>PO</v>
          </cell>
          <cell r="S167" t="str">
            <v>CN</v>
          </cell>
          <cell r="T167">
            <v>8</v>
          </cell>
          <cell r="U167">
            <v>8</v>
          </cell>
          <cell r="V167">
            <v>8</v>
          </cell>
          <cell r="W167">
            <v>8</v>
          </cell>
          <cell r="X167">
            <v>8</v>
          </cell>
          <cell r="Y167" t="str">
            <v>PO</v>
          </cell>
          <cell r="Z167" t="str">
            <v>CN</v>
          </cell>
          <cell r="AA167">
            <v>8</v>
          </cell>
          <cell r="AB167">
            <v>8</v>
          </cell>
          <cell r="AC167" t="str">
            <v>WH</v>
          </cell>
          <cell r="AD167" t="str">
            <v>WH</v>
          </cell>
          <cell r="AE167">
            <v>8</v>
          </cell>
          <cell r="AF167" t="str">
            <v>PO</v>
          </cell>
          <cell r="AG167" t="str">
            <v>CN</v>
          </cell>
          <cell r="AH167">
            <v>8</v>
          </cell>
          <cell r="AI167">
            <v>8</v>
          </cell>
          <cell r="AJ167">
            <v>8</v>
          </cell>
          <cell r="AN167">
            <v>0</v>
          </cell>
          <cell r="AO167">
            <v>136</v>
          </cell>
          <cell r="AP167">
            <v>0</v>
          </cell>
          <cell r="AQ167">
            <v>0</v>
          </cell>
          <cell r="AR167">
            <v>0</v>
          </cell>
          <cell r="AS167">
            <v>0</v>
          </cell>
          <cell r="AT167">
            <v>0</v>
          </cell>
          <cell r="AU167">
            <v>0</v>
          </cell>
          <cell r="AV167">
            <v>40</v>
          </cell>
          <cell r="AW167">
            <v>0</v>
          </cell>
          <cell r="AX167">
            <v>0</v>
          </cell>
          <cell r="AY167">
            <v>0</v>
          </cell>
          <cell r="AZ167">
            <v>0</v>
          </cell>
          <cell r="BA167">
            <v>0</v>
          </cell>
          <cell r="BB167">
            <v>0</v>
          </cell>
          <cell r="BC167">
            <v>0</v>
          </cell>
          <cell r="BD167">
            <v>16</v>
          </cell>
          <cell r="BE167">
            <v>0</v>
          </cell>
          <cell r="BF167">
            <v>0</v>
          </cell>
          <cell r="BG167">
            <v>192</v>
          </cell>
          <cell r="BH167">
            <v>0</v>
          </cell>
          <cell r="BI167">
            <v>0</v>
          </cell>
          <cell r="BJ167">
            <v>6</v>
          </cell>
          <cell r="BL167">
            <v>0</v>
          </cell>
          <cell r="BM167">
            <v>4</v>
          </cell>
          <cell r="BN167">
            <v>0</v>
          </cell>
          <cell r="BO167">
            <v>0</v>
          </cell>
          <cell r="BP167">
            <v>4</v>
          </cell>
          <cell r="BQ167">
            <v>4</v>
          </cell>
          <cell r="BR167">
            <v>4</v>
          </cell>
          <cell r="BS167">
            <v>0</v>
          </cell>
          <cell r="BT167">
            <v>0</v>
          </cell>
          <cell r="BU167">
            <v>0</v>
          </cell>
          <cell r="BV167">
            <v>0</v>
          </cell>
          <cell r="BW167">
            <v>0</v>
          </cell>
          <cell r="BX167">
            <v>0</v>
          </cell>
          <cell r="BY167">
            <v>0</v>
          </cell>
          <cell r="BZ167">
            <v>4</v>
          </cell>
          <cell r="CA167">
            <v>4</v>
          </cell>
          <cell r="CB167">
            <v>0</v>
          </cell>
          <cell r="CC167">
            <v>0</v>
          </cell>
          <cell r="CD167">
            <v>4</v>
          </cell>
          <cell r="CE167">
            <v>4</v>
          </cell>
          <cell r="CF167">
            <v>0</v>
          </cell>
          <cell r="CG167">
            <v>0</v>
          </cell>
          <cell r="CH167">
            <v>0</v>
          </cell>
          <cell r="CI167">
            <v>0</v>
          </cell>
          <cell r="CJ167">
            <v>0</v>
          </cell>
          <cell r="CK167">
            <v>0</v>
          </cell>
          <cell r="CL167">
            <v>0</v>
          </cell>
          <cell r="CM167">
            <v>0</v>
          </cell>
          <cell r="CR167">
            <v>0</v>
          </cell>
          <cell r="CS167">
            <v>0</v>
          </cell>
          <cell r="CT167">
            <v>32</v>
          </cell>
          <cell r="CU167">
            <v>0</v>
          </cell>
          <cell r="CV167">
            <v>0</v>
          </cell>
          <cell r="CZ167">
            <v>32</v>
          </cell>
        </row>
        <row r="168">
          <cell r="C168" t="str">
            <v>01746</v>
          </cell>
          <cell r="D168" t="str">
            <v>Dương Minh Mẫn</v>
          </cell>
          <cell r="E168" t="str">
            <v>Technical Development</v>
          </cell>
          <cell r="F168" t="str">
            <v>PD Technical</v>
          </cell>
          <cell r="G168" t="str">
            <v>Technician</v>
          </cell>
          <cell r="H168">
            <v>43587</v>
          </cell>
          <cell r="I168">
            <v>8</v>
          </cell>
          <cell r="J168">
            <v>8</v>
          </cell>
          <cell r="K168" t="str">
            <v>PO</v>
          </cell>
          <cell r="L168" t="str">
            <v>CN</v>
          </cell>
          <cell r="M168">
            <v>8</v>
          </cell>
          <cell r="N168">
            <v>8</v>
          </cell>
          <cell r="O168">
            <v>8</v>
          </cell>
          <cell r="P168">
            <v>8</v>
          </cell>
          <cell r="Q168">
            <v>8</v>
          </cell>
          <cell r="R168" t="str">
            <v>PO</v>
          </cell>
          <cell r="S168" t="str">
            <v>CN</v>
          </cell>
          <cell r="T168">
            <v>8</v>
          </cell>
          <cell r="U168">
            <v>8</v>
          </cell>
          <cell r="V168">
            <v>8</v>
          </cell>
          <cell r="W168">
            <v>8</v>
          </cell>
          <cell r="X168">
            <v>8</v>
          </cell>
          <cell r="Y168" t="str">
            <v>PO</v>
          </cell>
          <cell r="Z168" t="str">
            <v>CN</v>
          </cell>
          <cell r="AA168" t="str">
            <v>AL8</v>
          </cell>
          <cell r="AB168">
            <v>8</v>
          </cell>
          <cell r="AC168">
            <v>8</v>
          </cell>
          <cell r="AD168">
            <v>8</v>
          </cell>
          <cell r="AE168">
            <v>8</v>
          </cell>
          <cell r="AF168" t="str">
            <v>PO</v>
          </cell>
          <cell r="AG168" t="str">
            <v>CN</v>
          </cell>
          <cell r="AH168">
            <v>8</v>
          </cell>
          <cell r="AI168">
            <v>8</v>
          </cell>
          <cell r="AJ168">
            <v>8</v>
          </cell>
          <cell r="AN168">
            <v>0</v>
          </cell>
          <cell r="AO168">
            <v>152</v>
          </cell>
          <cell r="AP168">
            <v>0</v>
          </cell>
          <cell r="AQ168">
            <v>0</v>
          </cell>
          <cell r="AR168">
            <v>0</v>
          </cell>
          <cell r="AS168">
            <v>0</v>
          </cell>
          <cell r="AT168">
            <v>0</v>
          </cell>
          <cell r="AU168">
            <v>0</v>
          </cell>
          <cell r="AV168">
            <v>32</v>
          </cell>
          <cell r="AW168">
            <v>0</v>
          </cell>
          <cell r="AX168">
            <v>0</v>
          </cell>
          <cell r="AY168">
            <v>0</v>
          </cell>
          <cell r="AZ168">
            <v>0</v>
          </cell>
          <cell r="BA168">
            <v>8</v>
          </cell>
          <cell r="BB168">
            <v>0</v>
          </cell>
          <cell r="BC168">
            <v>0</v>
          </cell>
          <cell r="BD168">
            <v>0</v>
          </cell>
          <cell r="BE168">
            <v>0</v>
          </cell>
          <cell r="BF168">
            <v>0</v>
          </cell>
          <cell r="BG168">
            <v>192</v>
          </cell>
          <cell r="BH168">
            <v>1</v>
          </cell>
          <cell r="BI168">
            <v>1</v>
          </cell>
          <cell r="BJ168">
            <v>2.5</v>
          </cell>
          <cell r="BL168">
            <v>0</v>
          </cell>
          <cell r="BM168">
            <v>0</v>
          </cell>
          <cell r="BN168">
            <v>0</v>
          </cell>
          <cell r="BO168">
            <v>0</v>
          </cell>
          <cell r="BP168">
            <v>0</v>
          </cell>
          <cell r="BQ168">
            <v>0</v>
          </cell>
          <cell r="BR168">
            <v>0</v>
          </cell>
          <cell r="BS168">
            <v>0</v>
          </cell>
          <cell r="BT168">
            <v>0</v>
          </cell>
          <cell r="BU168">
            <v>0</v>
          </cell>
          <cell r="BV168">
            <v>0</v>
          </cell>
          <cell r="BW168">
            <v>0</v>
          </cell>
          <cell r="BX168">
            <v>0</v>
          </cell>
          <cell r="BY168">
            <v>0</v>
          </cell>
          <cell r="BZ168">
            <v>0</v>
          </cell>
          <cell r="CA168">
            <v>0</v>
          </cell>
          <cell r="CB168">
            <v>0</v>
          </cell>
          <cell r="CC168">
            <v>0</v>
          </cell>
          <cell r="CD168">
            <v>0</v>
          </cell>
          <cell r="CE168">
            <v>0</v>
          </cell>
          <cell r="CF168">
            <v>0</v>
          </cell>
          <cell r="CG168">
            <v>0</v>
          </cell>
          <cell r="CH168">
            <v>0</v>
          </cell>
          <cell r="CI168">
            <v>0</v>
          </cell>
          <cell r="CJ168">
            <v>0</v>
          </cell>
          <cell r="CK168">
            <v>0</v>
          </cell>
          <cell r="CL168">
            <v>0</v>
          </cell>
          <cell r="CM168">
            <v>0</v>
          </cell>
          <cell r="CR168">
            <v>0</v>
          </cell>
          <cell r="CS168">
            <v>0</v>
          </cell>
          <cell r="CT168">
            <v>0</v>
          </cell>
          <cell r="CU168">
            <v>0</v>
          </cell>
          <cell r="CV168">
            <v>0</v>
          </cell>
          <cell r="CZ168">
            <v>0</v>
          </cell>
        </row>
        <row r="169">
          <cell r="C169" t="str">
            <v>01747</v>
          </cell>
          <cell r="D169" t="str">
            <v>Trần Thị Dung</v>
          </cell>
          <cell r="E169" t="str">
            <v>HR &amp; Admin</v>
          </cell>
          <cell r="F169" t="str">
            <v>Admin</v>
          </cell>
          <cell r="G169" t="str">
            <v>Cleaner</v>
          </cell>
          <cell r="H169">
            <v>43587</v>
          </cell>
          <cell r="I169">
            <v>8</v>
          </cell>
          <cell r="J169">
            <v>8</v>
          </cell>
          <cell r="K169">
            <v>8</v>
          </cell>
          <cell r="L169" t="str">
            <v>CN</v>
          </cell>
          <cell r="M169">
            <v>8</v>
          </cell>
          <cell r="N169">
            <v>8</v>
          </cell>
          <cell r="O169">
            <v>8</v>
          </cell>
          <cell r="P169">
            <v>8</v>
          </cell>
          <cell r="Q169">
            <v>8</v>
          </cell>
          <cell r="R169">
            <v>8</v>
          </cell>
          <cell r="S169" t="str">
            <v>CN</v>
          </cell>
          <cell r="T169">
            <v>8</v>
          </cell>
          <cell r="U169" t="str">
            <v>AL4</v>
          </cell>
          <cell r="V169">
            <v>8</v>
          </cell>
          <cell r="W169">
            <v>8</v>
          </cell>
          <cell r="X169">
            <v>8</v>
          </cell>
          <cell r="Y169">
            <v>8</v>
          </cell>
          <cell r="Z169" t="str">
            <v>CN</v>
          </cell>
          <cell r="AA169">
            <v>8</v>
          </cell>
          <cell r="AB169">
            <v>8</v>
          </cell>
          <cell r="AC169">
            <v>8</v>
          </cell>
          <cell r="AD169">
            <v>8</v>
          </cell>
          <cell r="AE169">
            <v>8</v>
          </cell>
          <cell r="AF169">
            <v>8</v>
          </cell>
          <cell r="AG169" t="str">
            <v>CN</v>
          </cell>
          <cell r="AH169">
            <v>8</v>
          </cell>
          <cell r="AI169">
            <v>8</v>
          </cell>
          <cell r="AJ169">
            <v>8</v>
          </cell>
          <cell r="AN169">
            <v>0</v>
          </cell>
          <cell r="AO169">
            <v>188</v>
          </cell>
          <cell r="AP169">
            <v>4</v>
          </cell>
          <cell r="AQ169">
            <v>0</v>
          </cell>
          <cell r="AR169">
            <v>0</v>
          </cell>
          <cell r="AS169">
            <v>0</v>
          </cell>
          <cell r="AT169">
            <v>0</v>
          </cell>
          <cell r="AU169">
            <v>0</v>
          </cell>
          <cell r="AV169">
            <v>0</v>
          </cell>
          <cell r="AW169">
            <v>0</v>
          </cell>
          <cell r="AX169">
            <v>0</v>
          </cell>
          <cell r="AY169">
            <v>0</v>
          </cell>
          <cell r="AZ169">
            <v>0</v>
          </cell>
          <cell r="BA169">
            <v>4</v>
          </cell>
          <cell r="BB169">
            <v>0</v>
          </cell>
          <cell r="BC169">
            <v>0</v>
          </cell>
          <cell r="BD169">
            <v>0</v>
          </cell>
          <cell r="BE169">
            <v>0</v>
          </cell>
          <cell r="BF169">
            <v>0</v>
          </cell>
          <cell r="BG169">
            <v>192</v>
          </cell>
          <cell r="BH169">
            <v>0.5</v>
          </cell>
          <cell r="BI169">
            <v>0.5</v>
          </cell>
          <cell r="BJ169">
            <v>5</v>
          </cell>
          <cell r="BL169">
            <v>1</v>
          </cell>
          <cell r="BM169">
            <v>1</v>
          </cell>
          <cell r="BN169">
            <v>0</v>
          </cell>
          <cell r="BO169">
            <v>0</v>
          </cell>
          <cell r="BP169">
            <v>1</v>
          </cell>
          <cell r="BQ169">
            <v>1</v>
          </cell>
          <cell r="BR169">
            <v>1</v>
          </cell>
          <cell r="BS169">
            <v>1</v>
          </cell>
          <cell r="BT169">
            <v>1</v>
          </cell>
          <cell r="BU169">
            <v>0</v>
          </cell>
          <cell r="BV169">
            <v>0</v>
          </cell>
          <cell r="BW169">
            <v>1</v>
          </cell>
          <cell r="BX169">
            <v>0.5</v>
          </cell>
          <cell r="BY169">
            <v>0.5</v>
          </cell>
          <cell r="BZ169">
            <v>0.5</v>
          </cell>
          <cell r="CA169">
            <v>0.5</v>
          </cell>
          <cell r="CB169">
            <v>0</v>
          </cell>
          <cell r="CC169">
            <v>0</v>
          </cell>
          <cell r="CD169">
            <v>0.5</v>
          </cell>
          <cell r="CE169">
            <v>0.5</v>
          </cell>
          <cell r="CF169">
            <v>0.5</v>
          </cell>
          <cell r="CG169">
            <v>0.5</v>
          </cell>
          <cell r="CH169">
            <v>0.5</v>
          </cell>
          <cell r="CI169">
            <v>0</v>
          </cell>
          <cell r="CJ169">
            <v>0</v>
          </cell>
          <cell r="CK169">
            <v>0.5</v>
          </cell>
          <cell r="CL169">
            <v>0.5</v>
          </cell>
          <cell r="CM169">
            <v>0.5</v>
          </cell>
          <cell r="CR169">
            <v>0</v>
          </cell>
          <cell r="CS169">
            <v>0</v>
          </cell>
          <cell r="CT169">
            <v>14</v>
          </cell>
          <cell r="CU169">
            <v>0</v>
          </cell>
          <cell r="CV169">
            <v>0</v>
          </cell>
          <cell r="CZ169">
            <v>14</v>
          </cell>
        </row>
        <row r="170">
          <cell r="C170" t="str">
            <v>01752</v>
          </cell>
          <cell r="D170" t="str">
            <v>Triệu Thị Thu Huyền</v>
          </cell>
          <cell r="E170" t="str">
            <v>Production</v>
          </cell>
          <cell r="F170" t="str">
            <v>Packing</v>
          </cell>
          <cell r="G170" t="str">
            <v>Worker</v>
          </cell>
          <cell r="H170">
            <v>43589</v>
          </cell>
          <cell r="I170" t="str">
            <v>Đ</v>
          </cell>
          <cell r="J170" t="str">
            <v>Đ</v>
          </cell>
          <cell r="K170" t="str">
            <v>Đ</v>
          </cell>
          <cell r="L170" t="str">
            <v>CN</v>
          </cell>
          <cell r="M170">
            <v>8</v>
          </cell>
          <cell r="N170">
            <v>8</v>
          </cell>
          <cell r="O170">
            <v>8</v>
          </cell>
          <cell r="P170" t="str">
            <v>AL8</v>
          </cell>
          <cell r="Q170">
            <v>8</v>
          </cell>
          <cell r="R170">
            <v>8</v>
          </cell>
          <cell r="S170" t="str">
            <v>CN</v>
          </cell>
          <cell r="T170" t="str">
            <v>Đ</v>
          </cell>
          <cell r="U170" t="str">
            <v>Đ</v>
          </cell>
          <cell r="V170" t="str">
            <v>Đ</v>
          </cell>
          <cell r="W170" t="str">
            <v>Đ</v>
          </cell>
          <cell r="X170" t="str">
            <v>Đ</v>
          </cell>
          <cell r="Y170" t="str">
            <v>Đ</v>
          </cell>
          <cell r="Z170" t="str">
            <v>CN</v>
          </cell>
          <cell r="AA170">
            <v>8</v>
          </cell>
          <cell r="AB170">
            <v>8</v>
          </cell>
          <cell r="AC170">
            <v>8</v>
          </cell>
          <cell r="AD170">
            <v>8</v>
          </cell>
          <cell r="AE170">
            <v>8</v>
          </cell>
          <cell r="AF170">
            <v>8</v>
          </cell>
          <cell r="AG170" t="str">
            <v>CN</v>
          </cell>
          <cell r="AH170" t="str">
            <v>Đ</v>
          </cell>
          <cell r="AI170" t="str">
            <v>Đ</v>
          </cell>
          <cell r="AJ170" t="str">
            <v>Đ</v>
          </cell>
          <cell r="AN170">
            <v>96</v>
          </cell>
          <cell r="AO170">
            <v>88</v>
          </cell>
          <cell r="AP170">
            <v>0</v>
          </cell>
          <cell r="AQ170">
            <v>0</v>
          </cell>
          <cell r="AR170">
            <v>0</v>
          </cell>
          <cell r="AS170">
            <v>0</v>
          </cell>
          <cell r="AT170">
            <v>0</v>
          </cell>
          <cell r="AU170">
            <v>0</v>
          </cell>
          <cell r="AV170">
            <v>0</v>
          </cell>
          <cell r="AW170">
            <v>0</v>
          </cell>
          <cell r="AX170">
            <v>0</v>
          </cell>
          <cell r="AY170">
            <v>0</v>
          </cell>
          <cell r="AZ170">
            <v>0</v>
          </cell>
          <cell r="BA170">
            <v>8</v>
          </cell>
          <cell r="BB170">
            <v>0</v>
          </cell>
          <cell r="BC170">
            <v>0</v>
          </cell>
          <cell r="BD170">
            <v>0</v>
          </cell>
          <cell r="BE170">
            <v>0</v>
          </cell>
          <cell r="BF170">
            <v>0</v>
          </cell>
          <cell r="BG170">
            <v>192</v>
          </cell>
          <cell r="BH170">
            <v>1</v>
          </cell>
          <cell r="BI170">
            <v>1</v>
          </cell>
          <cell r="BJ170">
            <v>2.5</v>
          </cell>
          <cell r="BL170">
            <v>0</v>
          </cell>
          <cell r="BM170">
            <v>0</v>
          </cell>
          <cell r="BN170">
            <v>0</v>
          </cell>
          <cell r="BO170">
            <v>0</v>
          </cell>
          <cell r="BP170">
            <v>1.5</v>
          </cell>
          <cell r="BQ170">
            <v>3</v>
          </cell>
          <cell r="BR170">
            <v>0</v>
          </cell>
          <cell r="BS170">
            <v>0</v>
          </cell>
          <cell r="BT170">
            <v>0</v>
          </cell>
          <cell r="BU170">
            <v>0</v>
          </cell>
          <cell r="BV170">
            <v>0</v>
          </cell>
          <cell r="BW170">
            <v>3</v>
          </cell>
          <cell r="BX170">
            <v>4</v>
          </cell>
          <cell r="BY170">
            <v>4</v>
          </cell>
          <cell r="BZ170">
            <v>4</v>
          </cell>
          <cell r="CA170">
            <v>4</v>
          </cell>
          <cell r="CB170">
            <v>4</v>
          </cell>
          <cell r="CC170">
            <v>0</v>
          </cell>
          <cell r="CD170">
            <v>3</v>
          </cell>
          <cell r="CE170">
            <v>3</v>
          </cell>
          <cell r="CF170">
            <v>3</v>
          </cell>
          <cell r="CG170">
            <v>3</v>
          </cell>
          <cell r="CH170">
            <v>1.5</v>
          </cell>
          <cell r="CI170">
            <v>1.5</v>
          </cell>
          <cell r="CJ170">
            <v>8</v>
          </cell>
          <cell r="CK170">
            <v>1.5</v>
          </cell>
          <cell r="CL170">
            <v>1.5</v>
          </cell>
          <cell r="CM170">
            <v>1.5</v>
          </cell>
          <cell r="CR170">
            <v>0</v>
          </cell>
          <cell r="CS170">
            <v>0</v>
          </cell>
          <cell r="CT170">
            <v>47</v>
          </cell>
          <cell r="CU170">
            <v>8</v>
          </cell>
          <cell r="CV170">
            <v>0</v>
          </cell>
          <cell r="CZ170">
            <v>55</v>
          </cell>
        </row>
        <row r="171">
          <cell r="C171" t="str">
            <v>01757</v>
          </cell>
          <cell r="D171" t="str">
            <v>Triệu Thị Thủy</v>
          </cell>
          <cell r="E171" t="str">
            <v>PPC</v>
          </cell>
          <cell r="F171" t="str">
            <v>PPC</v>
          </cell>
          <cell r="G171" t="str">
            <v>Senior Staff</v>
          </cell>
          <cell r="H171">
            <v>43591</v>
          </cell>
          <cell r="I171">
            <v>8</v>
          </cell>
          <cell r="J171">
            <v>8</v>
          </cell>
          <cell r="K171" t="str">
            <v>PO</v>
          </cell>
          <cell r="L171" t="str">
            <v>CN</v>
          </cell>
          <cell r="M171">
            <v>8</v>
          </cell>
          <cell r="N171">
            <v>8</v>
          </cell>
          <cell r="O171">
            <v>8</v>
          </cell>
          <cell r="P171">
            <v>8</v>
          </cell>
          <cell r="Q171">
            <v>8</v>
          </cell>
          <cell r="R171" t="str">
            <v>PO</v>
          </cell>
          <cell r="S171" t="str">
            <v>CN</v>
          </cell>
          <cell r="T171">
            <v>8</v>
          </cell>
          <cell r="U171">
            <v>8</v>
          </cell>
          <cell r="V171">
            <v>8</v>
          </cell>
          <cell r="W171">
            <v>8</v>
          </cell>
          <cell r="X171">
            <v>8</v>
          </cell>
          <cell r="Y171" t="str">
            <v>PO</v>
          </cell>
          <cell r="Z171" t="str">
            <v>CN</v>
          </cell>
          <cell r="AA171">
            <v>8</v>
          </cell>
          <cell r="AB171">
            <v>8</v>
          </cell>
          <cell r="AC171">
            <v>8</v>
          </cell>
          <cell r="AD171">
            <v>8</v>
          </cell>
          <cell r="AE171">
            <v>8</v>
          </cell>
          <cell r="AF171" t="str">
            <v>PO</v>
          </cell>
          <cell r="AG171" t="str">
            <v>CN</v>
          </cell>
          <cell r="AH171">
            <v>8</v>
          </cell>
          <cell r="AI171">
            <v>8</v>
          </cell>
          <cell r="AJ171">
            <v>8</v>
          </cell>
          <cell r="AN171">
            <v>0</v>
          </cell>
          <cell r="AO171">
            <v>160</v>
          </cell>
          <cell r="AP171">
            <v>0</v>
          </cell>
          <cell r="AQ171">
            <v>0</v>
          </cell>
          <cell r="AR171">
            <v>0</v>
          </cell>
          <cell r="AS171">
            <v>0</v>
          </cell>
          <cell r="AT171">
            <v>0</v>
          </cell>
          <cell r="AU171">
            <v>0</v>
          </cell>
          <cell r="AV171">
            <v>32</v>
          </cell>
          <cell r="AW171">
            <v>0</v>
          </cell>
          <cell r="AX171">
            <v>0</v>
          </cell>
          <cell r="AY171">
            <v>0</v>
          </cell>
          <cell r="AZ171">
            <v>0</v>
          </cell>
          <cell r="BA171">
            <v>0</v>
          </cell>
          <cell r="BB171">
            <v>0</v>
          </cell>
          <cell r="BC171">
            <v>0</v>
          </cell>
          <cell r="BD171">
            <v>0</v>
          </cell>
          <cell r="BE171">
            <v>0</v>
          </cell>
          <cell r="BF171">
            <v>0</v>
          </cell>
          <cell r="BG171">
            <v>192</v>
          </cell>
          <cell r="BH171">
            <v>0</v>
          </cell>
          <cell r="BI171">
            <v>0</v>
          </cell>
          <cell r="BJ171">
            <v>4.5</v>
          </cell>
          <cell r="BL171">
            <v>0.5</v>
          </cell>
          <cell r="BM171">
            <v>1</v>
          </cell>
          <cell r="BN171">
            <v>0</v>
          </cell>
          <cell r="BO171">
            <v>0</v>
          </cell>
          <cell r="BP171">
            <v>3</v>
          </cell>
          <cell r="BQ171">
            <v>1</v>
          </cell>
          <cell r="BR171">
            <v>1.25</v>
          </cell>
          <cell r="BS171">
            <v>1</v>
          </cell>
          <cell r="BT171">
            <v>0</v>
          </cell>
          <cell r="BU171">
            <v>0</v>
          </cell>
          <cell r="BV171">
            <v>0</v>
          </cell>
          <cell r="BW171">
            <v>0.75</v>
          </cell>
          <cell r="BX171">
            <v>0.5</v>
          </cell>
          <cell r="BY171">
            <v>1.5</v>
          </cell>
          <cell r="BZ171">
            <v>1</v>
          </cell>
          <cell r="CA171">
            <v>0</v>
          </cell>
          <cell r="CB171">
            <v>0</v>
          </cell>
          <cell r="CC171">
            <v>0</v>
          </cell>
          <cell r="CD171">
            <v>1.25</v>
          </cell>
          <cell r="CE171">
            <v>0</v>
          </cell>
          <cell r="CF171">
            <v>0</v>
          </cell>
          <cell r="CG171">
            <v>0</v>
          </cell>
          <cell r="CH171">
            <v>0</v>
          </cell>
          <cell r="CI171">
            <v>0</v>
          </cell>
          <cell r="CJ171">
            <v>0</v>
          </cell>
          <cell r="CK171">
            <v>0</v>
          </cell>
          <cell r="CL171">
            <v>0</v>
          </cell>
          <cell r="CM171">
            <v>0</v>
          </cell>
          <cell r="CR171">
            <v>0</v>
          </cell>
          <cell r="CS171">
            <v>0</v>
          </cell>
          <cell r="CT171">
            <v>12.75</v>
          </cell>
          <cell r="CU171">
            <v>0</v>
          </cell>
          <cell r="CV171">
            <v>0</v>
          </cell>
          <cell r="CZ171">
            <v>12.75</v>
          </cell>
        </row>
        <row r="172">
          <cell r="C172" t="str">
            <v>01758</v>
          </cell>
          <cell r="D172" t="str">
            <v xml:space="preserve">Nguyễn Thị Ngân </v>
          </cell>
          <cell r="E172" t="str">
            <v>PD</v>
          </cell>
          <cell r="F172" t="str">
            <v>PD office</v>
          </cell>
          <cell r="G172" t="str">
            <v>Senior Staff</v>
          </cell>
          <cell r="H172">
            <v>43591</v>
          </cell>
          <cell r="I172" t="str">
            <v>TV</v>
          </cell>
          <cell r="J172" t="str">
            <v>TV</v>
          </cell>
          <cell r="K172" t="str">
            <v>TV</v>
          </cell>
          <cell r="L172" t="str">
            <v>TV</v>
          </cell>
          <cell r="M172" t="str">
            <v>TV</v>
          </cell>
          <cell r="N172" t="str">
            <v>TV</v>
          </cell>
          <cell r="O172" t="str">
            <v>TV</v>
          </cell>
          <cell r="P172" t="str">
            <v>TV</v>
          </cell>
          <cell r="Q172" t="str">
            <v>TV</v>
          </cell>
          <cell r="R172" t="str">
            <v>TV</v>
          </cell>
          <cell r="S172" t="str">
            <v>TV</v>
          </cell>
          <cell r="T172" t="str">
            <v>TV</v>
          </cell>
          <cell r="U172" t="str">
            <v>TV</v>
          </cell>
          <cell r="V172" t="str">
            <v>TV</v>
          </cell>
          <cell r="W172" t="str">
            <v>TV</v>
          </cell>
          <cell r="X172" t="str">
            <v>TV</v>
          </cell>
          <cell r="Y172" t="str">
            <v>TV</v>
          </cell>
          <cell r="Z172" t="str">
            <v>TV</v>
          </cell>
          <cell r="AA172" t="str">
            <v>TV</v>
          </cell>
          <cell r="AB172" t="str">
            <v>TV</v>
          </cell>
          <cell r="AC172" t="str">
            <v>TV</v>
          </cell>
          <cell r="AD172" t="str">
            <v>TV</v>
          </cell>
          <cell r="AE172" t="str">
            <v>TV</v>
          </cell>
          <cell r="AF172" t="str">
            <v>TV</v>
          </cell>
          <cell r="AG172" t="str">
            <v>TV</v>
          </cell>
          <cell r="AH172" t="str">
            <v>TV</v>
          </cell>
          <cell r="AI172" t="str">
            <v>TV</v>
          </cell>
          <cell r="AJ172" t="str">
            <v>TV</v>
          </cell>
          <cell r="AN172">
            <v>0</v>
          </cell>
          <cell r="AO172">
            <v>0</v>
          </cell>
          <cell r="AP172">
            <v>0</v>
          </cell>
          <cell r="AQ172">
            <v>0</v>
          </cell>
          <cell r="AR172">
            <v>0</v>
          </cell>
          <cell r="AS172">
            <v>0</v>
          </cell>
          <cell r="AT172">
            <v>0</v>
          </cell>
          <cell r="AU172">
            <v>0</v>
          </cell>
          <cell r="AV172">
            <v>0</v>
          </cell>
          <cell r="AW172">
            <v>0</v>
          </cell>
          <cell r="AX172">
            <v>0</v>
          </cell>
          <cell r="AY172">
            <v>0</v>
          </cell>
          <cell r="AZ172">
            <v>0</v>
          </cell>
          <cell r="BA172">
            <v>0</v>
          </cell>
          <cell r="BB172">
            <v>0</v>
          </cell>
          <cell r="BC172">
            <v>0</v>
          </cell>
          <cell r="BD172">
            <v>0</v>
          </cell>
          <cell r="BE172">
            <v>0</v>
          </cell>
          <cell r="BF172">
            <v>0</v>
          </cell>
          <cell r="BG172">
            <v>0</v>
          </cell>
          <cell r="BH172">
            <v>0</v>
          </cell>
          <cell r="BI172">
            <v>0</v>
          </cell>
          <cell r="BJ172">
            <v>2.5</v>
          </cell>
          <cell r="BL172">
            <v>0</v>
          </cell>
          <cell r="BM172">
            <v>0</v>
          </cell>
          <cell r="BN172">
            <v>0</v>
          </cell>
          <cell r="BO172">
            <v>0</v>
          </cell>
          <cell r="BP172">
            <v>0</v>
          </cell>
          <cell r="BQ172">
            <v>0</v>
          </cell>
          <cell r="BR172">
            <v>0</v>
          </cell>
          <cell r="BS172">
            <v>0</v>
          </cell>
          <cell r="BT172">
            <v>0</v>
          </cell>
          <cell r="BU172">
            <v>0</v>
          </cell>
          <cell r="BV172">
            <v>0</v>
          </cell>
          <cell r="BW172">
            <v>0</v>
          </cell>
          <cell r="BX172">
            <v>0</v>
          </cell>
          <cell r="BY172">
            <v>0</v>
          </cell>
          <cell r="BZ172">
            <v>0</v>
          </cell>
          <cell r="CA172">
            <v>0</v>
          </cell>
          <cell r="CB172">
            <v>0</v>
          </cell>
          <cell r="CC172">
            <v>0</v>
          </cell>
          <cell r="CD172">
            <v>0</v>
          </cell>
          <cell r="CE172">
            <v>0</v>
          </cell>
          <cell r="CF172">
            <v>0</v>
          </cell>
          <cell r="CG172">
            <v>0</v>
          </cell>
          <cell r="CH172">
            <v>0</v>
          </cell>
          <cell r="CI172">
            <v>0</v>
          </cell>
          <cell r="CJ172">
            <v>0</v>
          </cell>
          <cell r="CK172">
            <v>0</v>
          </cell>
          <cell r="CL172">
            <v>0</v>
          </cell>
          <cell r="CM172">
            <v>0</v>
          </cell>
          <cell r="CR172">
            <v>0</v>
          </cell>
          <cell r="CS172">
            <v>0</v>
          </cell>
          <cell r="CT172">
            <v>0</v>
          </cell>
          <cell r="CU172">
            <v>0</v>
          </cell>
          <cell r="CV172">
            <v>0</v>
          </cell>
          <cell r="CZ172">
            <v>0</v>
          </cell>
        </row>
        <row r="173">
          <cell r="C173" t="str">
            <v>01760</v>
          </cell>
          <cell r="D173" t="str">
            <v>Mai Thị Mỹ Linh</v>
          </cell>
          <cell r="E173" t="str">
            <v>Production</v>
          </cell>
          <cell r="F173" t="str">
            <v>Packing</v>
          </cell>
          <cell r="G173" t="str">
            <v>Worker</v>
          </cell>
          <cell r="H173">
            <v>43593</v>
          </cell>
          <cell r="I173" t="str">
            <v>Đ</v>
          </cell>
          <cell r="J173" t="str">
            <v>Đ</v>
          </cell>
          <cell r="K173" t="str">
            <v>Đ</v>
          </cell>
          <cell r="L173" t="str">
            <v>CN</v>
          </cell>
          <cell r="M173">
            <v>8</v>
          </cell>
          <cell r="N173">
            <v>8</v>
          </cell>
          <cell r="O173">
            <v>8</v>
          </cell>
          <cell r="P173">
            <v>8</v>
          </cell>
          <cell r="Q173">
            <v>8</v>
          </cell>
          <cell r="R173">
            <v>8</v>
          </cell>
          <cell r="S173" t="str">
            <v>CN</v>
          </cell>
          <cell r="T173" t="str">
            <v>Đ</v>
          </cell>
          <cell r="U173" t="str">
            <v>Đ</v>
          </cell>
          <cell r="V173" t="str">
            <v>Đ</v>
          </cell>
          <cell r="W173" t="str">
            <v>Đ</v>
          </cell>
          <cell r="X173" t="str">
            <v>Đ</v>
          </cell>
          <cell r="Y173" t="str">
            <v>Đ</v>
          </cell>
          <cell r="Z173" t="str">
            <v>CN</v>
          </cell>
          <cell r="AA173">
            <v>8</v>
          </cell>
          <cell r="AB173">
            <v>8</v>
          </cell>
          <cell r="AC173">
            <v>8</v>
          </cell>
          <cell r="AD173">
            <v>8</v>
          </cell>
          <cell r="AE173">
            <v>8</v>
          </cell>
          <cell r="AF173">
            <v>8</v>
          </cell>
          <cell r="AG173" t="str">
            <v>CN</v>
          </cell>
          <cell r="AH173" t="str">
            <v>Đ</v>
          </cell>
          <cell r="AI173" t="str">
            <v>Đ</v>
          </cell>
          <cell r="AJ173" t="str">
            <v>Đ</v>
          </cell>
          <cell r="AN173">
            <v>96</v>
          </cell>
          <cell r="AO173">
            <v>96</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192</v>
          </cell>
          <cell r="BH173">
            <v>0</v>
          </cell>
          <cell r="BI173">
            <v>0</v>
          </cell>
          <cell r="BJ173">
            <v>-0.5</v>
          </cell>
          <cell r="BL173">
            <v>1.5</v>
          </cell>
          <cell r="BM173">
            <v>1.5</v>
          </cell>
          <cell r="BN173">
            <v>0</v>
          </cell>
          <cell r="BO173">
            <v>0</v>
          </cell>
          <cell r="BP173">
            <v>1.5</v>
          </cell>
          <cell r="BQ173">
            <v>0</v>
          </cell>
          <cell r="BR173">
            <v>0</v>
          </cell>
          <cell r="BS173">
            <v>3</v>
          </cell>
          <cell r="BT173">
            <v>3</v>
          </cell>
          <cell r="BU173">
            <v>3</v>
          </cell>
          <cell r="BV173">
            <v>0</v>
          </cell>
          <cell r="BW173">
            <v>4</v>
          </cell>
          <cell r="BX173">
            <v>4</v>
          </cell>
          <cell r="BY173">
            <v>4</v>
          </cell>
          <cell r="BZ173">
            <v>4</v>
          </cell>
          <cell r="CA173">
            <v>4</v>
          </cell>
          <cell r="CB173">
            <v>4</v>
          </cell>
          <cell r="CC173">
            <v>0</v>
          </cell>
          <cell r="CD173">
            <v>3</v>
          </cell>
          <cell r="CE173">
            <v>3</v>
          </cell>
          <cell r="CF173">
            <v>3</v>
          </cell>
          <cell r="CG173">
            <v>3</v>
          </cell>
          <cell r="CH173">
            <v>3</v>
          </cell>
          <cell r="CI173">
            <v>3</v>
          </cell>
          <cell r="CJ173">
            <v>11</v>
          </cell>
          <cell r="CK173">
            <v>4</v>
          </cell>
          <cell r="CL173">
            <v>4</v>
          </cell>
          <cell r="CM173">
            <v>4</v>
          </cell>
          <cell r="CR173">
            <v>0</v>
          </cell>
          <cell r="CS173">
            <v>0</v>
          </cell>
          <cell r="CT173">
            <v>67.5</v>
          </cell>
          <cell r="CU173">
            <v>11</v>
          </cell>
          <cell r="CV173">
            <v>0</v>
          </cell>
          <cell r="CZ173">
            <v>78.5</v>
          </cell>
        </row>
        <row r="174">
          <cell r="C174" t="str">
            <v>01763</v>
          </cell>
          <cell r="D174" t="str">
            <v>Đỗ Thị Thanh Tuyền</v>
          </cell>
          <cell r="E174" t="str">
            <v>Production</v>
          </cell>
          <cell r="F174" t="str">
            <v>Packing</v>
          </cell>
          <cell r="G174" t="str">
            <v>Worker</v>
          </cell>
          <cell r="H174">
            <v>43593</v>
          </cell>
          <cell r="I174">
            <v>8</v>
          </cell>
          <cell r="J174">
            <v>8</v>
          </cell>
          <cell r="K174">
            <v>8</v>
          </cell>
          <cell r="L174" t="str">
            <v>CN</v>
          </cell>
          <cell r="M174" t="str">
            <v>Đ</v>
          </cell>
          <cell r="N174" t="str">
            <v>Đ</v>
          </cell>
          <cell r="O174" t="str">
            <v>Đ</v>
          </cell>
          <cell r="P174" t="str">
            <v>Đ</v>
          </cell>
          <cell r="Q174" t="str">
            <v>Đ</v>
          </cell>
          <cell r="R174" t="str">
            <v>Đ</v>
          </cell>
          <cell r="S174" t="str">
            <v>CN</v>
          </cell>
          <cell r="T174">
            <v>8</v>
          </cell>
          <cell r="U174">
            <v>8</v>
          </cell>
          <cell r="V174">
            <v>8</v>
          </cell>
          <cell r="W174">
            <v>8</v>
          </cell>
          <cell r="X174">
            <v>8</v>
          </cell>
          <cell r="Y174">
            <v>8</v>
          </cell>
          <cell r="Z174" t="str">
            <v>CN</v>
          </cell>
          <cell r="AA174" t="str">
            <v>Đ</v>
          </cell>
          <cell r="AB174" t="str">
            <v>Đ</v>
          </cell>
          <cell r="AC174" t="str">
            <v>Đ</v>
          </cell>
          <cell r="AD174" t="str">
            <v>Đ</v>
          </cell>
          <cell r="AE174" t="str">
            <v>Đ</v>
          </cell>
          <cell r="AF174" t="str">
            <v>Đ</v>
          </cell>
          <cell r="AG174" t="str">
            <v>CN</v>
          </cell>
          <cell r="AH174">
            <v>8</v>
          </cell>
          <cell r="AI174">
            <v>8</v>
          </cell>
          <cell r="AJ174">
            <v>8</v>
          </cell>
          <cell r="AN174">
            <v>96</v>
          </cell>
          <cell r="AO174">
            <v>96</v>
          </cell>
          <cell r="AP174">
            <v>0</v>
          </cell>
          <cell r="AQ174">
            <v>0</v>
          </cell>
          <cell r="AR174">
            <v>0</v>
          </cell>
          <cell r="AS174">
            <v>0</v>
          </cell>
          <cell r="AT174">
            <v>0</v>
          </cell>
          <cell r="AU174">
            <v>0</v>
          </cell>
          <cell r="AV174">
            <v>0</v>
          </cell>
          <cell r="AW174">
            <v>0</v>
          </cell>
          <cell r="AX174">
            <v>0</v>
          </cell>
          <cell r="AY174">
            <v>0</v>
          </cell>
          <cell r="AZ174">
            <v>0</v>
          </cell>
          <cell r="BA174">
            <v>0</v>
          </cell>
          <cell r="BB174">
            <v>0</v>
          </cell>
          <cell r="BC174">
            <v>0</v>
          </cell>
          <cell r="BD174">
            <v>0</v>
          </cell>
          <cell r="BE174">
            <v>0</v>
          </cell>
          <cell r="BF174">
            <v>0</v>
          </cell>
          <cell r="BG174">
            <v>192</v>
          </cell>
          <cell r="BH174">
            <v>0</v>
          </cell>
          <cell r="BI174">
            <v>0</v>
          </cell>
          <cell r="BJ174">
            <v>6.5</v>
          </cell>
          <cell r="BL174">
            <v>1.5</v>
          </cell>
          <cell r="BM174">
            <v>3</v>
          </cell>
          <cell r="BN174">
            <v>1.5</v>
          </cell>
          <cell r="BO174">
            <v>0</v>
          </cell>
          <cell r="BP174">
            <v>1.5</v>
          </cell>
          <cell r="BQ174">
            <v>0</v>
          </cell>
          <cell r="BR174">
            <v>0</v>
          </cell>
          <cell r="BS174">
            <v>4</v>
          </cell>
          <cell r="BT174">
            <v>3</v>
          </cell>
          <cell r="BU174">
            <v>3</v>
          </cell>
          <cell r="BV174">
            <v>0</v>
          </cell>
          <cell r="BW174">
            <v>3</v>
          </cell>
          <cell r="BX174">
            <v>3</v>
          </cell>
          <cell r="BY174">
            <v>3</v>
          </cell>
          <cell r="BZ174">
            <v>3</v>
          </cell>
          <cell r="CA174">
            <v>3</v>
          </cell>
          <cell r="CB174">
            <v>3</v>
          </cell>
          <cell r="CC174">
            <v>8</v>
          </cell>
          <cell r="CD174">
            <v>4</v>
          </cell>
          <cell r="CE174">
            <v>4</v>
          </cell>
          <cell r="CF174">
            <v>4</v>
          </cell>
          <cell r="CG174">
            <v>4</v>
          </cell>
          <cell r="CH174">
            <v>4</v>
          </cell>
          <cell r="CI174">
            <v>4</v>
          </cell>
          <cell r="CJ174">
            <v>0</v>
          </cell>
          <cell r="CK174">
            <v>3</v>
          </cell>
          <cell r="CL174">
            <v>3</v>
          </cell>
          <cell r="CM174">
            <v>3</v>
          </cell>
          <cell r="CR174">
            <v>0</v>
          </cell>
          <cell r="CS174">
            <v>0</v>
          </cell>
          <cell r="CT174">
            <v>68.5</v>
          </cell>
          <cell r="CU174">
            <v>8</v>
          </cell>
          <cell r="CV174">
            <v>0</v>
          </cell>
          <cell r="CZ174">
            <v>76.5</v>
          </cell>
        </row>
        <row r="175">
          <cell r="C175" t="str">
            <v>01764</v>
          </cell>
          <cell r="D175" t="str">
            <v>Hồ Thị Trúc Lý</v>
          </cell>
          <cell r="E175" t="str">
            <v>Production</v>
          </cell>
          <cell r="F175" t="str">
            <v>Packing</v>
          </cell>
          <cell r="G175" t="str">
            <v>Worker</v>
          </cell>
          <cell r="H175">
            <v>43593</v>
          </cell>
          <cell r="I175">
            <v>8</v>
          </cell>
          <cell r="J175">
            <v>8</v>
          </cell>
          <cell r="K175">
            <v>8</v>
          </cell>
          <cell r="L175" t="str">
            <v>CN</v>
          </cell>
          <cell r="M175" t="str">
            <v>Đ</v>
          </cell>
          <cell r="N175" t="str">
            <v>Đ</v>
          </cell>
          <cell r="O175" t="str">
            <v>Đ</v>
          </cell>
          <cell r="P175" t="str">
            <v>Đ</v>
          </cell>
          <cell r="Q175" t="str">
            <v>Đ</v>
          </cell>
          <cell r="R175" t="str">
            <v>Đ</v>
          </cell>
          <cell r="S175" t="str">
            <v>CN</v>
          </cell>
          <cell r="T175">
            <v>8</v>
          </cell>
          <cell r="U175">
            <v>8</v>
          </cell>
          <cell r="V175">
            <v>8</v>
          </cell>
          <cell r="W175">
            <v>8</v>
          </cell>
          <cell r="X175">
            <v>8</v>
          </cell>
          <cell r="Y175">
            <v>8</v>
          </cell>
          <cell r="Z175" t="str">
            <v>CN</v>
          </cell>
          <cell r="AA175" t="str">
            <v>Đ</v>
          </cell>
          <cell r="AB175" t="str">
            <v>Đ</v>
          </cell>
          <cell r="AC175" t="str">
            <v>AL8</v>
          </cell>
          <cell r="AD175" t="str">
            <v>Đ</v>
          </cell>
          <cell r="AE175" t="str">
            <v>Đ</v>
          </cell>
          <cell r="AF175" t="str">
            <v>Đ</v>
          </cell>
          <cell r="AG175" t="str">
            <v>CN</v>
          </cell>
          <cell r="AH175">
            <v>8</v>
          </cell>
          <cell r="AI175">
            <v>8</v>
          </cell>
          <cell r="AJ175">
            <v>8</v>
          </cell>
          <cell r="AN175">
            <v>88</v>
          </cell>
          <cell r="AO175">
            <v>96</v>
          </cell>
          <cell r="AP175">
            <v>0</v>
          </cell>
          <cell r="AQ175">
            <v>0</v>
          </cell>
          <cell r="AR175">
            <v>0</v>
          </cell>
          <cell r="AS175">
            <v>0</v>
          </cell>
          <cell r="AT175">
            <v>0</v>
          </cell>
          <cell r="AU175">
            <v>0</v>
          </cell>
          <cell r="AV175">
            <v>0</v>
          </cell>
          <cell r="AW175">
            <v>0</v>
          </cell>
          <cell r="AX175">
            <v>0</v>
          </cell>
          <cell r="AY175">
            <v>0</v>
          </cell>
          <cell r="AZ175">
            <v>0</v>
          </cell>
          <cell r="BA175">
            <v>8</v>
          </cell>
          <cell r="BB175">
            <v>0</v>
          </cell>
          <cell r="BC175">
            <v>0</v>
          </cell>
          <cell r="BD175">
            <v>0</v>
          </cell>
          <cell r="BE175">
            <v>0</v>
          </cell>
          <cell r="BF175">
            <v>0</v>
          </cell>
          <cell r="BG175">
            <v>192</v>
          </cell>
          <cell r="BH175">
            <v>1</v>
          </cell>
          <cell r="BI175">
            <v>1</v>
          </cell>
          <cell r="BJ175">
            <v>2</v>
          </cell>
          <cell r="BL175">
            <v>2</v>
          </cell>
          <cell r="BM175">
            <v>1.5</v>
          </cell>
          <cell r="BN175">
            <v>1.75</v>
          </cell>
          <cell r="BO175">
            <v>0</v>
          </cell>
          <cell r="BP175">
            <v>2</v>
          </cell>
          <cell r="BQ175">
            <v>0.5</v>
          </cell>
          <cell r="BR175">
            <v>1.5</v>
          </cell>
          <cell r="BS175">
            <v>4</v>
          </cell>
          <cell r="BT175">
            <v>4</v>
          </cell>
          <cell r="BU175">
            <v>4</v>
          </cell>
          <cell r="BV175">
            <v>0</v>
          </cell>
          <cell r="BW175">
            <v>2.5</v>
          </cell>
          <cell r="BX175">
            <v>3</v>
          </cell>
          <cell r="BY175">
            <v>4</v>
          </cell>
          <cell r="BZ175">
            <v>3.5</v>
          </cell>
          <cell r="CA175">
            <v>4</v>
          </cell>
          <cell r="CB175">
            <v>3.25</v>
          </cell>
          <cell r="CC175">
            <v>8</v>
          </cell>
          <cell r="CD175">
            <v>4</v>
          </cell>
          <cell r="CE175">
            <v>4</v>
          </cell>
          <cell r="CF175">
            <v>0</v>
          </cell>
          <cell r="CG175">
            <v>4</v>
          </cell>
          <cell r="CH175">
            <v>4</v>
          </cell>
          <cell r="CI175">
            <v>4</v>
          </cell>
          <cell r="CJ175">
            <v>0</v>
          </cell>
          <cell r="CK175">
            <v>4</v>
          </cell>
          <cell r="CL175">
            <v>3.25</v>
          </cell>
          <cell r="CM175">
            <v>3.5</v>
          </cell>
          <cell r="CR175">
            <v>0</v>
          </cell>
          <cell r="CS175">
            <v>0</v>
          </cell>
          <cell r="CT175">
            <v>72.25</v>
          </cell>
          <cell r="CU175">
            <v>8</v>
          </cell>
          <cell r="CV175">
            <v>0</v>
          </cell>
          <cell r="CZ175">
            <v>80.25</v>
          </cell>
        </row>
        <row r="176">
          <cell r="C176" t="str">
            <v>01765</v>
          </cell>
          <cell r="D176" t="str">
            <v>Mai Thị Anh Thư</v>
          </cell>
          <cell r="E176" t="str">
            <v>Production</v>
          </cell>
          <cell r="F176" t="str">
            <v>Die Cut</v>
          </cell>
          <cell r="G176" t="str">
            <v>Vice Leader</v>
          </cell>
          <cell r="H176">
            <v>43593</v>
          </cell>
          <cell r="I176" t="str">
            <v>TV</v>
          </cell>
          <cell r="J176" t="str">
            <v>TV</v>
          </cell>
          <cell r="K176" t="str">
            <v>TV</v>
          </cell>
          <cell r="L176" t="str">
            <v>TV</v>
          </cell>
          <cell r="M176" t="str">
            <v>TV</v>
          </cell>
          <cell r="N176" t="str">
            <v>TV</v>
          </cell>
          <cell r="O176" t="str">
            <v>TV</v>
          </cell>
          <cell r="P176" t="str">
            <v>TV</v>
          </cell>
          <cell r="Q176" t="str">
            <v>TV</v>
          </cell>
          <cell r="R176" t="str">
            <v>TV</v>
          </cell>
          <cell r="S176" t="str">
            <v>TV</v>
          </cell>
          <cell r="T176" t="str">
            <v>TV</v>
          </cell>
          <cell r="U176" t="str">
            <v>TV</v>
          </cell>
          <cell r="V176" t="str">
            <v>TV</v>
          </cell>
          <cell r="W176" t="str">
            <v>TV</v>
          </cell>
          <cell r="X176" t="str">
            <v>TV</v>
          </cell>
          <cell r="Y176" t="str">
            <v>TV</v>
          </cell>
          <cell r="Z176" t="str">
            <v>TV</v>
          </cell>
          <cell r="AA176" t="str">
            <v>TV</v>
          </cell>
          <cell r="AB176" t="str">
            <v>TV</v>
          </cell>
          <cell r="AC176" t="str">
            <v>TV</v>
          </cell>
          <cell r="AD176" t="str">
            <v>TV</v>
          </cell>
          <cell r="AE176" t="str">
            <v>TV</v>
          </cell>
          <cell r="AF176" t="str">
            <v>TV</v>
          </cell>
          <cell r="AG176" t="str">
            <v>TV</v>
          </cell>
          <cell r="AH176" t="str">
            <v>TV</v>
          </cell>
          <cell r="AI176" t="str">
            <v>TV</v>
          </cell>
          <cell r="AJ176" t="str">
            <v>TV</v>
          </cell>
          <cell r="AN176">
            <v>0</v>
          </cell>
          <cell r="AO176">
            <v>0</v>
          </cell>
          <cell r="AP176">
            <v>0</v>
          </cell>
          <cell r="AQ176">
            <v>0</v>
          </cell>
          <cell r="AR176">
            <v>0</v>
          </cell>
          <cell r="AS176">
            <v>0</v>
          </cell>
          <cell r="AT176">
            <v>0</v>
          </cell>
          <cell r="AU176">
            <v>0</v>
          </cell>
          <cell r="AV176">
            <v>0</v>
          </cell>
          <cell r="AW176">
            <v>0</v>
          </cell>
          <cell r="AX176">
            <v>0</v>
          </cell>
          <cell r="AY176">
            <v>0</v>
          </cell>
          <cell r="AZ176">
            <v>0</v>
          </cell>
          <cell r="BA176">
            <v>0</v>
          </cell>
          <cell r="BB176">
            <v>0</v>
          </cell>
          <cell r="BC176">
            <v>0</v>
          </cell>
          <cell r="BD176">
            <v>0</v>
          </cell>
          <cell r="BE176">
            <v>0</v>
          </cell>
          <cell r="BF176">
            <v>0</v>
          </cell>
          <cell r="BG176">
            <v>0</v>
          </cell>
          <cell r="BH176">
            <v>0</v>
          </cell>
          <cell r="BI176">
            <v>0</v>
          </cell>
          <cell r="BJ176">
            <v>1</v>
          </cell>
          <cell r="BL176">
            <v>0</v>
          </cell>
          <cell r="BM176">
            <v>0</v>
          </cell>
          <cell r="BN176">
            <v>0</v>
          </cell>
          <cell r="BO176">
            <v>0</v>
          </cell>
          <cell r="BP176">
            <v>0</v>
          </cell>
          <cell r="BQ176">
            <v>0</v>
          </cell>
          <cell r="BR176">
            <v>0</v>
          </cell>
          <cell r="BS176">
            <v>0</v>
          </cell>
          <cell r="BT176">
            <v>0</v>
          </cell>
          <cell r="BU176">
            <v>0</v>
          </cell>
          <cell r="BV176">
            <v>0</v>
          </cell>
          <cell r="BW176">
            <v>0</v>
          </cell>
          <cell r="BX176">
            <v>0</v>
          </cell>
          <cell r="BY176">
            <v>0</v>
          </cell>
          <cell r="BZ176">
            <v>0</v>
          </cell>
          <cell r="CA176">
            <v>0</v>
          </cell>
          <cell r="CB176">
            <v>0</v>
          </cell>
          <cell r="CC176">
            <v>0</v>
          </cell>
          <cell r="CD176">
            <v>0</v>
          </cell>
          <cell r="CE176">
            <v>0</v>
          </cell>
          <cell r="CF176">
            <v>0</v>
          </cell>
          <cell r="CG176">
            <v>0</v>
          </cell>
          <cell r="CH176">
            <v>0</v>
          </cell>
          <cell r="CI176">
            <v>0</v>
          </cell>
          <cell r="CJ176">
            <v>0</v>
          </cell>
          <cell r="CK176">
            <v>0</v>
          </cell>
          <cell r="CL176">
            <v>0</v>
          </cell>
          <cell r="CM176">
            <v>0</v>
          </cell>
          <cell r="CR176">
            <v>0</v>
          </cell>
          <cell r="CS176">
            <v>0</v>
          </cell>
          <cell r="CT176">
            <v>0</v>
          </cell>
          <cell r="CU176">
            <v>0</v>
          </cell>
          <cell r="CV176">
            <v>0</v>
          </cell>
          <cell r="CZ176">
            <v>0</v>
          </cell>
        </row>
        <row r="177">
          <cell r="C177" t="str">
            <v>01773</v>
          </cell>
          <cell r="D177" t="str">
            <v xml:space="preserve">Dương Thị Lan </v>
          </cell>
          <cell r="E177" t="str">
            <v>HR &amp; Admin</v>
          </cell>
          <cell r="F177" t="str">
            <v>HR</v>
          </cell>
          <cell r="G177" t="str">
            <v>Associate Specialist</v>
          </cell>
          <cell r="H177">
            <v>43595</v>
          </cell>
          <cell r="I177">
            <v>8</v>
          </cell>
          <cell r="J177">
            <v>8</v>
          </cell>
          <cell r="K177" t="str">
            <v>PO</v>
          </cell>
          <cell r="L177" t="str">
            <v>CN</v>
          </cell>
          <cell r="M177">
            <v>8</v>
          </cell>
          <cell r="N177">
            <v>8</v>
          </cell>
          <cell r="O177">
            <v>8</v>
          </cell>
          <cell r="P177">
            <v>8</v>
          </cell>
          <cell r="Q177" t="str">
            <v>PO</v>
          </cell>
          <cell r="R177" t="str">
            <v>PO</v>
          </cell>
          <cell r="S177" t="str">
            <v>CN</v>
          </cell>
          <cell r="T177">
            <v>8</v>
          </cell>
          <cell r="U177">
            <v>8</v>
          </cell>
          <cell r="V177">
            <v>8</v>
          </cell>
          <cell r="W177">
            <v>8</v>
          </cell>
          <cell r="X177">
            <v>8</v>
          </cell>
          <cell r="Y177" t="str">
            <v>PO</v>
          </cell>
          <cell r="Z177" t="str">
            <v>CN</v>
          </cell>
          <cell r="AA177">
            <v>8</v>
          </cell>
          <cell r="AB177">
            <v>8</v>
          </cell>
          <cell r="AC177">
            <v>8</v>
          </cell>
          <cell r="AD177">
            <v>8</v>
          </cell>
          <cell r="AE177">
            <v>8</v>
          </cell>
          <cell r="AF177" t="str">
            <v>PO</v>
          </cell>
          <cell r="AG177" t="str">
            <v>CN</v>
          </cell>
          <cell r="AH177">
            <v>8</v>
          </cell>
          <cell r="AI177">
            <v>8</v>
          </cell>
          <cell r="AJ177">
            <v>8</v>
          </cell>
          <cell r="AN177">
            <v>0</v>
          </cell>
          <cell r="AO177">
            <v>152</v>
          </cell>
          <cell r="AP177">
            <v>0</v>
          </cell>
          <cell r="AQ177">
            <v>0</v>
          </cell>
          <cell r="AR177">
            <v>0</v>
          </cell>
          <cell r="AS177">
            <v>0</v>
          </cell>
          <cell r="AT177">
            <v>0</v>
          </cell>
          <cell r="AU177">
            <v>0</v>
          </cell>
          <cell r="AV177">
            <v>40</v>
          </cell>
          <cell r="AW177">
            <v>0</v>
          </cell>
          <cell r="AX177">
            <v>0</v>
          </cell>
          <cell r="AY177">
            <v>0</v>
          </cell>
          <cell r="AZ177">
            <v>0</v>
          </cell>
          <cell r="BA177">
            <v>0</v>
          </cell>
          <cell r="BB177">
            <v>0</v>
          </cell>
          <cell r="BC177">
            <v>0</v>
          </cell>
          <cell r="BD177">
            <v>0</v>
          </cell>
          <cell r="BE177">
            <v>0</v>
          </cell>
          <cell r="BF177">
            <v>0</v>
          </cell>
          <cell r="BG177">
            <v>192</v>
          </cell>
          <cell r="BH177">
            <v>0</v>
          </cell>
          <cell r="BI177">
            <v>0</v>
          </cell>
          <cell r="BJ177">
            <v>11.5</v>
          </cell>
          <cell r="BL177">
            <v>0</v>
          </cell>
          <cell r="BM177">
            <v>0</v>
          </cell>
          <cell r="BN177">
            <v>0</v>
          </cell>
          <cell r="BO177">
            <v>0</v>
          </cell>
          <cell r="BP177">
            <v>0</v>
          </cell>
          <cell r="BQ177">
            <v>0</v>
          </cell>
          <cell r="BR177">
            <v>0</v>
          </cell>
          <cell r="BS177">
            <v>0</v>
          </cell>
          <cell r="BT177">
            <v>0</v>
          </cell>
          <cell r="BU177">
            <v>0</v>
          </cell>
          <cell r="BV177">
            <v>0</v>
          </cell>
          <cell r="BW177">
            <v>0</v>
          </cell>
          <cell r="BX177">
            <v>0</v>
          </cell>
          <cell r="BY177">
            <v>0</v>
          </cell>
          <cell r="BZ177">
            <v>0</v>
          </cell>
          <cell r="CA177">
            <v>0</v>
          </cell>
          <cell r="CB177">
            <v>0</v>
          </cell>
          <cell r="CC177">
            <v>0</v>
          </cell>
          <cell r="CD177">
            <v>0</v>
          </cell>
          <cell r="CE177">
            <v>0</v>
          </cell>
          <cell r="CF177">
            <v>0</v>
          </cell>
          <cell r="CG177">
            <v>0</v>
          </cell>
          <cell r="CH177">
            <v>0</v>
          </cell>
          <cell r="CI177">
            <v>0</v>
          </cell>
          <cell r="CJ177">
            <v>0</v>
          </cell>
          <cell r="CK177">
            <v>0</v>
          </cell>
          <cell r="CL177">
            <v>0</v>
          </cell>
          <cell r="CM177">
            <v>0</v>
          </cell>
          <cell r="CR177">
            <v>0</v>
          </cell>
          <cell r="CS177">
            <v>0</v>
          </cell>
          <cell r="CT177">
            <v>0</v>
          </cell>
          <cell r="CU177">
            <v>0</v>
          </cell>
          <cell r="CV177">
            <v>0</v>
          </cell>
          <cell r="CZ177">
            <v>0</v>
          </cell>
        </row>
        <row r="178">
          <cell r="C178" t="str">
            <v>01775</v>
          </cell>
          <cell r="D178" t="str">
            <v>Nguyễn Ngọc Phượng</v>
          </cell>
          <cell r="E178" t="str">
            <v>PD</v>
          </cell>
          <cell r="F178" t="str">
            <v>PD office</v>
          </cell>
          <cell r="G178" t="str">
            <v>Staff</v>
          </cell>
          <cell r="H178">
            <v>43598</v>
          </cell>
          <cell r="I178">
            <v>8</v>
          </cell>
          <cell r="J178">
            <v>8</v>
          </cell>
          <cell r="K178" t="str">
            <v>PO</v>
          </cell>
          <cell r="L178" t="str">
            <v>CN</v>
          </cell>
          <cell r="M178">
            <v>8</v>
          </cell>
          <cell r="N178">
            <v>8</v>
          </cell>
          <cell r="O178">
            <v>8</v>
          </cell>
          <cell r="P178">
            <v>8</v>
          </cell>
          <cell r="Q178">
            <v>8</v>
          </cell>
          <cell r="R178" t="str">
            <v>PO</v>
          </cell>
          <cell r="S178" t="str">
            <v>CN</v>
          </cell>
          <cell r="T178">
            <v>8</v>
          </cell>
          <cell r="U178">
            <v>8</v>
          </cell>
          <cell r="V178">
            <v>8</v>
          </cell>
          <cell r="W178">
            <v>8</v>
          </cell>
          <cell r="X178">
            <v>8</v>
          </cell>
          <cell r="Y178" t="str">
            <v>PO</v>
          </cell>
          <cell r="Z178" t="str">
            <v>CN</v>
          </cell>
          <cell r="AA178">
            <v>8</v>
          </cell>
          <cell r="AB178">
            <v>8</v>
          </cell>
          <cell r="AC178">
            <v>8</v>
          </cell>
          <cell r="AD178">
            <v>8</v>
          </cell>
          <cell r="AE178">
            <v>8</v>
          </cell>
          <cell r="AF178" t="str">
            <v>PO</v>
          </cell>
          <cell r="AG178" t="str">
            <v>CN</v>
          </cell>
          <cell r="AH178">
            <v>8</v>
          </cell>
          <cell r="AI178">
            <v>8</v>
          </cell>
          <cell r="AJ178">
            <v>8</v>
          </cell>
          <cell r="AN178">
            <v>0</v>
          </cell>
          <cell r="AO178">
            <v>160</v>
          </cell>
          <cell r="AP178">
            <v>0</v>
          </cell>
          <cell r="AQ178">
            <v>0</v>
          </cell>
          <cell r="AR178">
            <v>0</v>
          </cell>
          <cell r="AS178">
            <v>0</v>
          </cell>
          <cell r="AT178">
            <v>0</v>
          </cell>
          <cell r="AU178">
            <v>0</v>
          </cell>
          <cell r="AV178">
            <v>32</v>
          </cell>
          <cell r="AW178">
            <v>0</v>
          </cell>
          <cell r="AX178">
            <v>0</v>
          </cell>
          <cell r="AY178">
            <v>0</v>
          </cell>
          <cell r="AZ178">
            <v>0</v>
          </cell>
          <cell r="BA178">
            <v>0</v>
          </cell>
          <cell r="BB178">
            <v>0</v>
          </cell>
          <cell r="BC178">
            <v>0</v>
          </cell>
          <cell r="BD178">
            <v>0</v>
          </cell>
          <cell r="BE178">
            <v>0</v>
          </cell>
          <cell r="BF178">
            <v>0</v>
          </cell>
          <cell r="BG178">
            <v>192</v>
          </cell>
          <cell r="BH178">
            <v>0</v>
          </cell>
          <cell r="BI178">
            <v>0</v>
          </cell>
          <cell r="BJ178">
            <v>13</v>
          </cell>
          <cell r="BL178">
            <v>0</v>
          </cell>
          <cell r="BM178">
            <v>0</v>
          </cell>
          <cell r="BN178">
            <v>0</v>
          </cell>
          <cell r="BO178">
            <v>0</v>
          </cell>
          <cell r="BP178">
            <v>0</v>
          </cell>
          <cell r="BQ178">
            <v>1.5</v>
          </cell>
          <cell r="BR178">
            <v>0</v>
          </cell>
          <cell r="BS178">
            <v>0</v>
          </cell>
          <cell r="BT178">
            <v>0</v>
          </cell>
          <cell r="BU178">
            <v>0</v>
          </cell>
          <cell r="BV178">
            <v>0</v>
          </cell>
          <cell r="BW178">
            <v>0</v>
          </cell>
          <cell r="BX178">
            <v>0</v>
          </cell>
          <cell r="BY178">
            <v>0</v>
          </cell>
          <cell r="BZ178">
            <v>0</v>
          </cell>
          <cell r="CA178">
            <v>0</v>
          </cell>
          <cell r="CB178">
            <v>0</v>
          </cell>
          <cell r="CC178">
            <v>0</v>
          </cell>
          <cell r="CD178">
            <v>0</v>
          </cell>
          <cell r="CE178">
            <v>0</v>
          </cell>
          <cell r="CF178">
            <v>0</v>
          </cell>
          <cell r="CG178">
            <v>0</v>
          </cell>
          <cell r="CH178">
            <v>0</v>
          </cell>
          <cell r="CI178">
            <v>0</v>
          </cell>
          <cell r="CJ178">
            <v>0</v>
          </cell>
          <cell r="CK178">
            <v>0</v>
          </cell>
          <cell r="CL178">
            <v>0</v>
          </cell>
          <cell r="CM178">
            <v>0</v>
          </cell>
          <cell r="CR178">
            <v>0</v>
          </cell>
          <cell r="CS178">
            <v>0</v>
          </cell>
          <cell r="CT178">
            <v>1.5</v>
          </cell>
          <cell r="CU178">
            <v>0</v>
          </cell>
          <cell r="CV178">
            <v>0</v>
          </cell>
          <cell r="CZ178">
            <v>1.5</v>
          </cell>
        </row>
        <row r="179">
          <cell r="C179" t="str">
            <v>01777</v>
          </cell>
          <cell r="D179" t="str">
            <v>Lê Thị Kiều Hoa</v>
          </cell>
          <cell r="E179" t="str">
            <v>Production</v>
          </cell>
          <cell r="F179" t="str">
            <v>Packing</v>
          </cell>
          <cell r="G179" t="str">
            <v>Worker</v>
          </cell>
          <cell r="H179">
            <v>43599</v>
          </cell>
          <cell r="I179" t="str">
            <v>AL8</v>
          </cell>
          <cell r="J179" t="str">
            <v>AL8</v>
          </cell>
          <cell r="K179" t="str">
            <v>AL8</v>
          </cell>
          <cell r="L179" t="str">
            <v>CN</v>
          </cell>
          <cell r="M179">
            <v>8</v>
          </cell>
          <cell r="N179">
            <v>8</v>
          </cell>
          <cell r="O179">
            <v>8</v>
          </cell>
          <cell r="P179">
            <v>8</v>
          </cell>
          <cell r="Q179">
            <v>8</v>
          </cell>
          <cell r="R179">
            <v>8</v>
          </cell>
          <cell r="S179" t="str">
            <v>CN</v>
          </cell>
          <cell r="T179" t="str">
            <v>Đ</v>
          </cell>
          <cell r="U179" t="str">
            <v>Đ</v>
          </cell>
          <cell r="V179" t="str">
            <v>Đ</v>
          </cell>
          <cell r="W179" t="str">
            <v>Đ</v>
          </cell>
          <cell r="X179" t="str">
            <v>Đ</v>
          </cell>
          <cell r="Y179" t="str">
            <v>Đ</v>
          </cell>
          <cell r="Z179" t="str">
            <v>CN</v>
          </cell>
          <cell r="AA179">
            <v>8</v>
          </cell>
          <cell r="AB179">
            <v>8</v>
          </cell>
          <cell r="AC179">
            <v>8</v>
          </cell>
          <cell r="AD179">
            <v>8</v>
          </cell>
          <cell r="AE179">
            <v>8</v>
          </cell>
          <cell r="AF179">
            <v>8</v>
          </cell>
          <cell r="AG179" t="str">
            <v>CN</v>
          </cell>
          <cell r="AH179" t="str">
            <v>Đ</v>
          </cell>
          <cell r="AI179" t="str">
            <v>Đ</v>
          </cell>
          <cell r="AJ179" t="str">
            <v>Đ</v>
          </cell>
          <cell r="AN179">
            <v>72</v>
          </cell>
          <cell r="AO179">
            <v>96</v>
          </cell>
          <cell r="AP179">
            <v>0</v>
          </cell>
          <cell r="AQ179">
            <v>0</v>
          </cell>
          <cell r="AR179">
            <v>0</v>
          </cell>
          <cell r="AS179">
            <v>0</v>
          </cell>
          <cell r="AT179">
            <v>0</v>
          </cell>
          <cell r="AU179">
            <v>0</v>
          </cell>
          <cell r="AV179">
            <v>0</v>
          </cell>
          <cell r="AW179">
            <v>0</v>
          </cell>
          <cell r="AX179">
            <v>0</v>
          </cell>
          <cell r="AY179">
            <v>0</v>
          </cell>
          <cell r="AZ179">
            <v>0</v>
          </cell>
          <cell r="BA179">
            <v>24</v>
          </cell>
          <cell r="BB179">
            <v>0</v>
          </cell>
          <cell r="BC179">
            <v>0</v>
          </cell>
          <cell r="BD179">
            <v>0</v>
          </cell>
          <cell r="BE179">
            <v>0</v>
          </cell>
          <cell r="BF179">
            <v>0</v>
          </cell>
          <cell r="BG179">
            <v>192</v>
          </cell>
          <cell r="BH179">
            <v>3</v>
          </cell>
          <cell r="BI179">
            <v>3</v>
          </cell>
          <cell r="BJ179">
            <v>4.5</v>
          </cell>
          <cell r="BL179">
            <v>0</v>
          </cell>
          <cell r="BM179">
            <v>0</v>
          </cell>
          <cell r="BN179">
            <v>0</v>
          </cell>
          <cell r="BO179">
            <v>0</v>
          </cell>
          <cell r="BP179">
            <v>1.5</v>
          </cell>
          <cell r="BQ179">
            <v>3</v>
          </cell>
          <cell r="BR179">
            <v>0</v>
          </cell>
          <cell r="BS179">
            <v>3</v>
          </cell>
          <cell r="BT179">
            <v>3</v>
          </cell>
          <cell r="BU179">
            <v>0</v>
          </cell>
          <cell r="BV179">
            <v>0</v>
          </cell>
          <cell r="BW179">
            <v>3</v>
          </cell>
          <cell r="BX179">
            <v>4</v>
          </cell>
          <cell r="BY179">
            <v>4</v>
          </cell>
          <cell r="BZ179">
            <v>4</v>
          </cell>
          <cell r="CA179">
            <v>4</v>
          </cell>
          <cell r="CB179">
            <v>4</v>
          </cell>
          <cell r="CC179">
            <v>0</v>
          </cell>
          <cell r="CD179">
            <v>1.5</v>
          </cell>
          <cell r="CE179">
            <v>3</v>
          </cell>
          <cell r="CF179">
            <v>3</v>
          </cell>
          <cell r="CG179">
            <v>3</v>
          </cell>
          <cell r="CH179">
            <v>1.5</v>
          </cell>
          <cell r="CI179">
            <v>1.5</v>
          </cell>
          <cell r="CJ179">
            <v>8</v>
          </cell>
          <cell r="CK179">
            <v>1.5</v>
          </cell>
          <cell r="CL179">
            <v>4</v>
          </cell>
          <cell r="CM179">
            <v>1.5</v>
          </cell>
          <cell r="CR179">
            <v>0</v>
          </cell>
          <cell r="CS179">
            <v>0</v>
          </cell>
          <cell r="CT179">
            <v>54</v>
          </cell>
          <cell r="CU179">
            <v>8</v>
          </cell>
          <cell r="CV179">
            <v>0</v>
          </cell>
          <cell r="CZ179">
            <v>62</v>
          </cell>
        </row>
        <row r="180">
          <cell r="C180" t="str">
            <v>01786</v>
          </cell>
          <cell r="D180" t="str">
            <v>Lô Thị Phương</v>
          </cell>
          <cell r="E180" t="str">
            <v>Production</v>
          </cell>
          <cell r="F180" t="str">
            <v>Die Cut</v>
          </cell>
          <cell r="G180" t="str">
            <v>Worker</v>
          </cell>
          <cell r="H180">
            <v>43602</v>
          </cell>
          <cell r="I180">
            <v>8</v>
          </cell>
          <cell r="J180">
            <v>8</v>
          </cell>
          <cell r="K180">
            <v>8</v>
          </cell>
          <cell r="L180" t="str">
            <v>CN</v>
          </cell>
          <cell r="M180" t="str">
            <v>Đ</v>
          </cell>
          <cell r="N180" t="str">
            <v>Đ</v>
          </cell>
          <cell r="O180" t="str">
            <v>Đ</v>
          </cell>
          <cell r="P180" t="str">
            <v>Đ</v>
          </cell>
          <cell r="Q180" t="str">
            <v>Đ</v>
          </cell>
          <cell r="R180" t="str">
            <v>Đ</v>
          </cell>
          <cell r="S180" t="str">
            <v>CN</v>
          </cell>
          <cell r="T180">
            <v>8</v>
          </cell>
          <cell r="U180">
            <v>8</v>
          </cell>
          <cell r="V180">
            <v>8</v>
          </cell>
          <cell r="W180">
            <v>8</v>
          </cell>
          <cell r="X180">
            <v>8</v>
          </cell>
          <cell r="Y180">
            <v>8</v>
          </cell>
          <cell r="Z180" t="str">
            <v>CN</v>
          </cell>
          <cell r="AA180" t="str">
            <v>Đ</v>
          </cell>
          <cell r="AB180" t="str">
            <v>Đ</v>
          </cell>
          <cell r="AC180" t="str">
            <v>Đ</v>
          </cell>
          <cell r="AD180" t="str">
            <v>Đ</v>
          </cell>
          <cell r="AE180" t="str">
            <v>Đ</v>
          </cell>
          <cell r="AF180" t="str">
            <v>Đ</v>
          </cell>
          <cell r="AG180" t="str">
            <v>CN</v>
          </cell>
          <cell r="AH180" t="str">
            <v>AL8</v>
          </cell>
          <cell r="AI180">
            <v>8</v>
          </cell>
          <cell r="AJ180">
            <v>8</v>
          </cell>
          <cell r="AN180">
            <v>96</v>
          </cell>
          <cell r="AO180">
            <v>88</v>
          </cell>
          <cell r="AP180">
            <v>0</v>
          </cell>
          <cell r="AQ180">
            <v>0</v>
          </cell>
          <cell r="AR180">
            <v>0</v>
          </cell>
          <cell r="AS180">
            <v>0</v>
          </cell>
          <cell r="AT180">
            <v>0</v>
          </cell>
          <cell r="AU180">
            <v>0</v>
          </cell>
          <cell r="AV180">
            <v>0</v>
          </cell>
          <cell r="AW180">
            <v>0</v>
          </cell>
          <cell r="AX180">
            <v>0</v>
          </cell>
          <cell r="AY180">
            <v>0</v>
          </cell>
          <cell r="AZ180">
            <v>0</v>
          </cell>
          <cell r="BA180">
            <v>8</v>
          </cell>
          <cell r="BB180">
            <v>0</v>
          </cell>
          <cell r="BC180">
            <v>0</v>
          </cell>
          <cell r="BD180">
            <v>0</v>
          </cell>
          <cell r="BE180">
            <v>0</v>
          </cell>
          <cell r="BF180">
            <v>0</v>
          </cell>
          <cell r="BG180">
            <v>192</v>
          </cell>
          <cell r="BH180">
            <v>1</v>
          </cell>
          <cell r="BI180">
            <v>1</v>
          </cell>
          <cell r="BJ180">
            <v>6</v>
          </cell>
          <cell r="BL180">
            <v>0</v>
          </cell>
          <cell r="BM180">
            <v>1.5</v>
          </cell>
          <cell r="BN180">
            <v>0</v>
          </cell>
          <cell r="BO180">
            <v>0</v>
          </cell>
          <cell r="BP180">
            <v>1.5</v>
          </cell>
          <cell r="BQ180">
            <v>0</v>
          </cell>
          <cell r="BR180">
            <v>0</v>
          </cell>
          <cell r="BS180">
            <v>4</v>
          </cell>
          <cell r="BT180">
            <v>4</v>
          </cell>
          <cell r="BU180">
            <v>3</v>
          </cell>
          <cell r="BV180">
            <v>0</v>
          </cell>
          <cell r="BW180">
            <v>3</v>
          </cell>
          <cell r="BX180">
            <v>3</v>
          </cell>
          <cell r="BY180">
            <v>3</v>
          </cell>
          <cell r="BZ180">
            <v>0</v>
          </cell>
          <cell r="CA180">
            <v>3</v>
          </cell>
          <cell r="CB180">
            <v>3</v>
          </cell>
          <cell r="CC180">
            <v>8</v>
          </cell>
          <cell r="CD180">
            <v>4</v>
          </cell>
          <cell r="CE180">
            <v>4</v>
          </cell>
          <cell r="CF180">
            <v>4</v>
          </cell>
          <cell r="CG180">
            <v>0</v>
          </cell>
          <cell r="CH180">
            <v>4</v>
          </cell>
          <cell r="CI180">
            <v>4</v>
          </cell>
          <cell r="CJ180">
            <v>0</v>
          </cell>
          <cell r="CK180">
            <v>0</v>
          </cell>
          <cell r="CL180">
            <v>3</v>
          </cell>
          <cell r="CM180">
            <v>3</v>
          </cell>
          <cell r="CR180">
            <v>0</v>
          </cell>
          <cell r="CS180">
            <v>0</v>
          </cell>
          <cell r="CT180">
            <v>55</v>
          </cell>
          <cell r="CU180">
            <v>8</v>
          </cell>
          <cell r="CV180">
            <v>0</v>
          </cell>
          <cell r="CZ180">
            <v>63</v>
          </cell>
        </row>
        <row r="181">
          <cell r="C181" t="str">
            <v>01795</v>
          </cell>
          <cell r="D181" t="str">
            <v>Nguyễn Thị Lý</v>
          </cell>
          <cell r="E181" t="str">
            <v>CS</v>
          </cell>
          <cell r="F181" t="str">
            <v>CS</v>
          </cell>
          <cell r="G181" t="str">
            <v>Senior Staff</v>
          </cell>
          <cell r="H181">
            <v>43607</v>
          </cell>
          <cell r="I181">
            <v>8</v>
          </cell>
          <cell r="J181">
            <v>8</v>
          </cell>
          <cell r="K181" t="str">
            <v>PO</v>
          </cell>
          <cell r="L181" t="str">
            <v>CN</v>
          </cell>
          <cell r="M181">
            <v>8</v>
          </cell>
          <cell r="N181" t="str">
            <v>WH4</v>
          </cell>
          <cell r="O181">
            <v>8</v>
          </cell>
          <cell r="P181">
            <v>8</v>
          </cell>
          <cell r="Q181">
            <v>8</v>
          </cell>
          <cell r="R181" t="str">
            <v>PO</v>
          </cell>
          <cell r="S181" t="str">
            <v>CN</v>
          </cell>
          <cell r="T181" t="str">
            <v>AL8</v>
          </cell>
          <cell r="U181">
            <v>8</v>
          </cell>
          <cell r="V181">
            <v>8</v>
          </cell>
          <cell r="W181">
            <v>8</v>
          </cell>
          <cell r="X181">
            <v>8</v>
          </cell>
          <cell r="Y181" t="str">
            <v>PO</v>
          </cell>
          <cell r="Z181" t="str">
            <v>CN</v>
          </cell>
          <cell r="AA181">
            <v>8</v>
          </cell>
          <cell r="AB181" t="str">
            <v>WH4</v>
          </cell>
          <cell r="AC181">
            <v>8</v>
          </cell>
          <cell r="AD181">
            <v>8</v>
          </cell>
          <cell r="AE181">
            <v>8</v>
          </cell>
          <cell r="AF181" t="str">
            <v>PO</v>
          </cell>
          <cell r="AG181" t="str">
            <v>CN</v>
          </cell>
          <cell r="AH181">
            <v>8</v>
          </cell>
          <cell r="AI181">
            <v>8</v>
          </cell>
          <cell r="AJ181">
            <v>8</v>
          </cell>
          <cell r="AN181">
            <v>0</v>
          </cell>
          <cell r="AO181">
            <v>144</v>
          </cell>
          <cell r="AP181">
            <v>0</v>
          </cell>
          <cell r="AQ181">
            <v>0</v>
          </cell>
          <cell r="AR181">
            <v>0</v>
          </cell>
          <cell r="AS181">
            <v>0</v>
          </cell>
          <cell r="AT181">
            <v>0</v>
          </cell>
          <cell r="AU181">
            <v>0</v>
          </cell>
          <cell r="AV181">
            <v>32</v>
          </cell>
          <cell r="AW181">
            <v>0</v>
          </cell>
          <cell r="AX181">
            <v>0</v>
          </cell>
          <cell r="AY181">
            <v>0</v>
          </cell>
          <cell r="AZ181">
            <v>0</v>
          </cell>
          <cell r="BA181">
            <v>8</v>
          </cell>
          <cell r="BB181">
            <v>0</v>
          </cell>
          <cell r="BC181">
            <v>0</v>
          </cell>
          <cell r="BD181">
            <v>8</v>
          </cell>
          <cell r="BE181">
            <v>0</v>
          </cell>
          <cell r="BF181">
            <v>0</v>
          </cell>
          <cell r="BG181">
            <v>192</v>
          </cell>
          <cell r="BH181">
            <v>1</v>
          </cell>
          <cell r="BI181">
            <v>1</v>
          </cell>
          <cell r="BJ181">
            <v>5</v>
          </cell>
          <cell r="BL181">
            <v>3.5</v>
          </cell>
          <cell r="BM181">
            <v>0</v>
          </cell>
          <cell r="BN181">
            <v>0</v>
          </cell>
          <cell r="BO181">
            <v>0</v>
          </cell>
          <cell r="BP181">
            <v>2</v>
          </cell>
          <cell r="BQ181">
            <v>2.5</v>
          </cell>
          <cell r="BR181">
            <v>1.5</v>
          </cell>
          <cell r="BS181">
            <v>0</v>
          </cell>
          <cell r="BT181">
            <v>1.25</v>
          </cell>
          <cell r="BU181">
            <v>0</v>
          </cell>
          <cell r="BV181">
            <v>0</v>
          </cell>
          <cell r="BW181">
            <v>0</v>
          </cell>
          <cell r="BX181">
            <v>1.5</v>
          </cell>
          <cell r="BY181">
            <v>1.5</v>
          </cell>
          <cell r="BZ181">
            <v>0</v>
          </cell>
          <cell r="CA181">
            <v>2.25</v>
          </cell>
          <cell r="CB181">
            <v>0</v>
          </cell>
          <cell r="CC181">
            <v>0</v>
          </cell>
          <cell r="CD181">
            <v>0</v>
          </cell>
          <cell r="CE181">
            <v>1.5</v>
          </cell>
          <cell r="CF181">
            <v>0.5</v>
          </cell>
          <cell r="CG181">
            <v>0.5</v>
          </cell>
          <cell r="CH181">
            <v>2</v>
          </cell>
          <cell r="CI181">
            <v>0</v>
          </cell>
          <cell r="CJ181">
            <v>0</v>
          </cell>
          <cell r="CK181">
            <v>0.5</v>
          </cell>
          <cell r="CL181">
            <v>0</v>
          </cell>
          <cell r="CM181">
            <v>0.75</v>
          </cell>
          <cell r="CR181">
            <v>0</v>
          </cell>
          <cell r="CS181">
            <v>0</v>
          </cell>
          <cell r="CT181">
            <v>21.75</v>
          </cell>
          <cell r="CU181">
            <v>0</v>
          </cell>
          <cell r="CV181">
            <v>0</v>
          </cell>
          <cell r="CZ181">
            <v>21.75</v>
          </cell>
        </row>
        <row r="182">
          <cell r="C182" t="str">
            <v>01796</v>
          </cell>
          <cell r="D182" t="str">
            <v>Trần Viết Thoại</v>
          </cell>
          <cell r="E182" t="str">
            <v>Production</v>
          </cell>
          <cell r="F182" t="str">
            <v>Molding</v>
          </cell>
          <cell r="G182" t="str">
            <v>Team Leader</v>
          </cell>
          <cell r="H182">
            <v>43612</v>
          </cell>
          <cell r="I182">
            <v>8</v>
          </cell>
          <cell r="J182">
            <v>8</v>
          </cell>
          <cell r="K182">
            <v>8</v>
          </cell>
          <cell r="L182" t="str">
            <v>CN</v>
          </cell>
          <cell r="M182">
            <v>8</v>
          </cell>
          <cell r="N182">
            <v>8</v>
          </cell>
          <cell r="O182">
            <v>8</v>
          </cell>
          <cell r="P182" t="str">
            <v>AL4</v>
          </cell>
          <cell r="Q182">
            <v>8</v>
          </cell>
          <cell r="R182">
            <v>8</v>
          </cell>
          <cell r="S182" t="str">
            <v>CN</v>
          </cell>
          <cell r="T182">
            <v>8</v>
          </cell>
          <cell r="U182">
            <v>8</v>
          </cell>
          <cell r="V182">
            <v>8</v>
          </cell>
          <cell r="W182">
            <v>8</v>
          </cell>
          <cell r="X182">
            <v>8</v>
          </cell>
          <cell r="Y182">
            <v>8</v>
          </cell>
          <cell r="Z182" t="str">
            <v>CN</v>
          </cell>
          <cell r="AA182">
            <v>8</v>
          </cell>
          <cell r="AB182">
            <v>8</v>
          </cell>
          <cell r="AC182">
            <v>8</v>
          </cell>
          <cell r="AD182">
            <v>8</v>
          </cell>
          <cell r="AE182">
            <v>8</v>
          </cell>
          <cell r="AF182">
            <v>8</v>
          </cell>
          <cell r="AG182" t="str">
            <v>CN</v>
          </cell>
          <cell r="AH182" t="str">
            <v>Đ</v>
          </cell>
          <cell r="AI182" t="str">
            <v>Đ</v>
          </cell>
          <cell r="AJ182" t="str">
            <v>Đ</v>
          </cell>
          <cell r="AN182">
            <v>24</v>
          </cell>
          <cell r="AO182">
            <v>164</v>
          </cell>
          <cell r="AP182">
            <v>4</v>
          </cell>
          <cell r="AQ182">
            <v>0</v>
          </cell>
          <cell r="AR182">
            <v>0</v>
          </cell>
          <cell r="AS182">
            <v>0</v>
          </cell>
          <cell r="AT182">
            <v>0</v>
          </cell>
          <cell r="AU182">
            <v>0</v>
          </cell>
          <cell r="AV182">
            <v>0</v>
          </cell>
          <cell r="AW182">
            <v>0</v>
          </cell>
          <cell r="AX182">
            <v>0</v>
          </cell>
          <cell r="AY182">
            <v>0</v>
          </cell>
          <cell r="AZ182">
            <v>0</v>
          </cell>
          <cell r="BA182">
            <v>4</v>
          </cell>
          <cell r="BB182">
            <v>0</v>
          </cell>
          <cell r="BC182">
            <v>0</v>
          </cell>
          <cell r="BD182">
            <v>0</v>
          </cell>
          <cell r="BE182">
            <v>0</v>
          </cell>
          <cell r="BF182">
            <v>0</v>
          </cell>
          <cell r="BG182">
            <v>192</v>
          </cell>
          <cell r="BH182">
            <v>0.5</v>
          </cell>
          <cell r="BI182">
            <v>0.5</v>
          </cell>
          <cell r="BJ182">
            <v>3</v>
          </cell>
          <cell r="BL182">
            <v>0</v>
          </cell>
          <cell r="BM182">
            <v>0</v>
          </cell>
          <cell r="BN182">
            <v>0</v>
          </cell>
          <cell r="BO182">
            <v>0</v>
          </cell>
          <cell r="BP182">
            <v>3</v>
          </cell>
          <cell r="BQ182">
            <v>2</v>
          </cell>
          <cell r="BR182">
            <v>2</v>
          </cell>
          <cell r="BS182">
            <v>0</v>
          </cell>
          <cell r="BT182">
            <v>2</v>
          </cell>
          <cell r="BU182">
            <v>0</v>
          </cell>
          <cell r="BV182">
            <v>0</v>
          </cell>
          <cell r="BW182">
            <v>0</v>
          </cell>
          <cell r="BX182">
            <v>2</v>
          </cell>
          <cell r="BY182">
            <v>2</v>
          </cell>
          <cell r="BZ182">
            <v>0</v>
          </cell>
          <cell r="CA182">
            <v>3</v>
          </cell>
          <cell r="CB182">
            <v>0</v>
          </cell>
          <cell r="CC182">
            <v>0</v>
          </cell>
          <cell r="CD182">
            <v>0</v>
          </cell>
          <cell r="CE182">
            <v>0</v>
          </cell>
          <cell r="CF182">
            <v>0</v>
          </cell>
          <cell r="CG182">
            <v>4</v>
          </cell>
          <cell r="CH182">
            <v>3</v>
          </cell>
          <cell r="CI182">
            <v>3</v>
          </cell>
          <cell r="CJ182">
            <v>0</v>
          </cell>
          <cell r="CK182">
            <v>2</v>
          </cell>
          <cell r="CL182">
            <v>2</v>
          </cell>
          <cell r="CM182">
            <v>2</v>
          </cell>
          <cell r="CR182">
            <v>0</v>
          </cell>
          <cell r="CS182">
            <v>0</v>
          </cell>
          <cell r="CT182">
            <v>32</v>
          </cell>
          <cell r="CU182">
            <v>0</v>
          </cell>
          <cell r="CV182">
            <v>0</v>
          </cell>
          <cell r="CZ182">
            <v>32</v>
          </cell>
        </row>
        <row r="183">
          <cell r="C183" t="str">
            <v>01806</v>
          </cell>
          <cell r="D183" t="str">
            <v>Nguyễn Thị Tuyết Sương</v>
          </cell>
          <cell r="E183" t="str">
            <v>Production</v>
          </cell>
          <cell r="F183" t="str">
            <v>Logo</v>
          </cell>
          <cell r="G183" t="str">
            <v>Worker</v>
          </cell>
          <cell r="H183">
            <v>43612</v>
          </cell>
          <cell r="I183" t="str">
            <v>Đ</v>
          </cell>
          <cell r="J183" t="str">
            <v>Đ</v>
          </cell>
          <cell r="K183" t="str">
            <v>Đ</v>
          </cell>
          <cell r="L183" t="str">
            <v>CN</v>
          </cell>
          <cell r="M183">
            <v>8</v>
          </cell>
          <cell r="N183">
            <v>8</v>
          </cell>
          <cell r="O183">
            <v>8</v>
          </cell>
          <cell r="P183">
            <v>8</v>
          </cell>
          <cell r="Q183">
            <v>8</v>
          </cell>
          <cell r="R183">
            <v>8</v>
          </cell>
          <cell r="S183" t="str">
            <v>CN</v>
          </cell>
          <cell r="T183" t="str">
            <v>Đ</v>
          </cell>
          <cell r="U183" t="str">
            <v>Đ</v>
          </cell>
          <cell r="V183" t="str">
            <v>Đ</v>
          </cell>
          <cell r="W183" t="str">
            <v>Đ</v>
          </cell>
          <cell r="X183" t="str">
            <v>Đ</v>
          </cell>
          <cell r="Y183" t="str">
            <v>Đ</v>
          </cell>
          <cell r="Z183" t="str">
            <v>CN</v>
          </cell>
          <cell r="AA183">
            <v>8</v>
          </cell>
          <cell r="AB183">
            <v>8</v>
          </cell>
          <cell r="AC183">
            <v>8</v>
          </cell>
          <cell r="AD183">
            <v>8</v>
          </cell>
          <cell r="AE183">
            <v>8</v>
          </cell>
          <cell r="AF183">
            <v>8</v>
          </cell>
          <cell r="AG183" t="str">
            <v>CN</v>
          </cell>
          <cell r="AH183" t="str">
            <v>Đ</v>
          </cell>
          <cell r="AI183" t="str">
            <v>Đ</v>
          </cell>
          <cell r="AJ183" t="str">
            <v>Đ</v>
          </cell>
          <cell r="AN183">
            <v>96</v>
          </cell>
          <cell r="AO183">
            <v>96</v>
          </cell>
          <cell r="AP183">
            <v>0</v>
          </cell>
          <cell r="AQ183">
            <v>0</v>
          </cell>
          <cell r="AR183">
            <v>0</v>
          </cell>
          <cell r="AS183">
            <v>0</v>
          </cell>
          <cell r="AT183">
            <v>0</v>
          </cell>
          <cell r="AU183">
            <v>0</v>
          </cell>
          <cell r="AV183">
            <v>0</v>
          </cell>
          <cell r="AW183">
            <v>0</v>
          </cell>
          <cell r="AX183">
            <v>0</v>
          </cell>
          <cell r="AY183">
            <v>0</v>
          </cell>
          <cell r="AZ183">
            <v>0</v>
          </cell>
          <cell r="BA183">
            <v>0</v>
          </cell>
          <cell r="BB183">
            <v>0</v>
          </cell>
          <cell r="BC183">
            <v>0</v>
          </cell>
          <cell r="BD183">
            <v>0</v>
          </cell>
          <cell r="BE183">
            <v>0</v>
          </cell>
          <cell r="BF183">
            <v>0</v>
          </cell>
          <cell r="BG183">
            <v>192</v>
          </cell>
          <cell r="BH183">
            <v>0</v>
          </cell>
          <cell r="BI183">
            <v>0</v>
          </cell>
          <cell r="BJ183">
            <v>3.5</v>
          </cell>
          <cell r="BL183">
            <v>0</v>
          </cell>
          <cell r="BM183">
            <v>0</v>
          </cell>
          <cell r="BN183">
            <v>0</v>
          </cell>
          <cell r="BO183">
            <v>0</v>
          </cell>
          <cell r="BP183">
            <v>1.5</v>
          </cell>
          <cell r="BQ183">
            <v>3</v>
          </cell>
          <cell r="BR183">
            <v>0</v>
          </cell>
          <cell r="BS183">
            <v>3</v>
          </cell>
          <cell r="BT183">
            <v>3</v>
          </cell>
          <cell r="BU183">
            <v>0</v>
          </cell>
          <cell r="BV183">
            <v>0</v>
          </cell>
          <cell r="BW183">
            <v>3</v>
          </cell>
          <cell r="BX183">
            <v>4</v>
          </cell>
          <cell r="BY183">
            <v>4</v>
          </cell>
          <cell r="BZ183">
            <v>4</v>
          </cell>
          <cell r="CA183">
            <v>4</v>
          </cell>
          <cell r="CB183">
            <v>4</v>
          </cell>
          <cell r="CC183">
            <v>0</v>
          </cell>
          <cell r="CD183">
            <v>3</v>
          </cell>
          <cell r="CE183">
            <v>3</v>
          </cell>
          <cell r="CF183">
            <v>3</v>
          </cell>
          <cell r="CG183">
            <v>3</v>
          </cell>
          <cell r="CH183">
            <v>1.5</v>
          </cell>
          <cell r="CI183">
            <v>1.5</v>
          </cell>
          <cell r="CJ183">
            <v>8</v>
          </cell>
          <cell r="CK183">
            <v>1.5</v>
          </cell>
          <cell r="CL183">
            <v>4</v>
          </cell>
          <cell r="CM183">
            <v>1.5</v>
          </cell>
          <cell r="CR183">
            <v>0</v>
          </cell>
          <cell r="CS183">
            <v>0</v>
          </cell>
          <cell r="CT183">
            <v>55.5</v>
          </cell>
          <cell r="CU183">
            <v>8</v>
          </cell>
          <cell r="CV183">
            <v>0</v>
          </cell>
          <cell r="CZ183">
            <v>63.5</v>
          </cell>
        </row>
        <row r="184">
          <cell r="C184" t="str">
            <v>01809</v>
          </cell>
          <cell r="D184" t="str">
            <v>Trần Thị Thùy Trang</v>
          </cell>
          <cell r="E184" t="str">
            <v>Account - Financial</v>
          </cell>
          <cell r="F184" t="str">
            <v>OVN Accounting (OVN)</v>
          </cell>
          <cell r="G184" t="str">
            <v xml:space="preserve"> Specialist</v>
          </cell>
          <cell r="H184">
            <v>43612</v>
          </cell>
          <cell r="I184">
            <v>8</v>
          </cell>
          <cell r="J184">
            <v>8</v>
          </cell>
          <cell r="K184" t="str">
            <v>PO</v>
          </cell>
          <cell r="L184" t="str">
            <v>CN</v>
          </cell>
          <cell r="M184">
            <v>8</v>
          </cell>
          <cell r="N184">
            <v>8</v>
          </cell>
          <cell r="O184">
            <v>8</v>
          </cell>
          <cell r="P184">
            <v>8</v>
          </cell>
          <cell r="Q184">
            <v>8</v>
          </cell>
          <cell r="R184" t="str">
            <v>PO</v>
          </cell>
          <cell r="S184" t="str">
            <v>CN</v>
          </cell>
          <cell r="T184">
            <v>8</v>
          </cell>
          <cell r="U184">
            <v>8</v>
          </cell>
          <cell r="V184">
            <v>8</v>
          </cell>
          <cell r="W184">
            <v>8</v>
          </cell>
          <cell r="X184">
            <v>8</v>
          </cell>
          <cell r="Y184" t="str">
            <v>PO</v>
          </cell>
          <cell r="Z184" t="str">
            <v>CN</v>
          </cell>
          <cell r="AA184">
            <v>8</v>
          </cell>
          <cell r="AB184">
            <v>8</v>
          </cell>
          <cell r="AC184">
            <v>8</v>
          </cell>
          <cell r="AD184">
            <v>8</v>
          </cell>
          <cell r="AE184" t="str">
            <v>AL8</v>
          </cell>
          <cell r="AF184" t="str">
            <v>PO</v>
          </cell>
          <cell r="AG184" t="str">
            <v>CN</v>
          </cell>
          <cell r="AH184" t="str">
            <v>AL4</v>
          </cell>
          <cell r="AI184">
            <v>8</v>
          </cell>
          <cell r="AJ184">
            <v>8</v>
          </cell>
          <cell r="AN184">
            <v>0</v>
          </cell>
          <cell r="AO184">
            <v>148</v>
          </cell>
          <cell r="AP184">
            <v>4</v>
          </cell>
          <cell r="AQ184">
            <v>0</v>
          </cell>
          <cell r="AR184">
            <v>0</v>
          </cell>
          <cell r="AS184">
            <v>0</v>
          </cell>
          <cell r="AT184">
            <v>0</v>
          </cell>
          <cell r="AU184">
            <v>0</v>
          </cell>
          <cell r="AV184">
            <v>32</v>
          </cell>
          <cell r="AW184">
            <v>0</v>
          </cell>
          <cell r="AX184">
            <v>0</v>
          </cell>
          <cell r="AY184">
            <v>0</v>
          </cell>
          <cell r="AZ184">
            <v>0</v>
          </cell>
          <cell r="BA184">
            <v>12</v>
          </cell>
          <cell r="BB184">
            <v>0</v>
          </cell>
          <cell r="BC184">
            <v>0</v>
          </cell>
          <cell r="BD184">
            <v>0</v>
          </cell>
          <cell r="BE184">
            <v>0</v>
          </cell>
          <cell r="BF184">
            <v>0</v>
          </cell>
          <cell r="BG184">
            <v>192</v>
          </cell>
          <cell r="BH184">
            <v>1.5</v>
          </cell>
          <cell r="BI184">
            <v>1.5</v>
          </cell>
          <cell r="BJ184">
            <v>9</v>
          </cell>
          <cell r="BL184">
            <v>0</v>
          </cell>
          <cell r="BM184">
            <v>0</v>
          </cell>
          <cell r="BN184">
            <v>0</v>
          </cell>
          <cell r="BO184">
            <v>0</v>
          </cell>
          <cell r="BP184">
            <v>4</v>
          </cell>
          <cell r="BQ184">
            <v>4</v>
          </cell>
          <cell r="BR184">
            <v>3</v>
          </cell>
          <cell r="BS184">
            <v>0</v>
          </cell>
          <cell r="BT184">
            <v>0</v>
          </cell>
          <cell r="BU184">
            <v>0</v>
          </cell>
          <cell r="BV184">
            <v>0</v>
          </cell>
          <cell r="BW184">
            <v>0</v>
          </cell>
          <cell r="BX184">
            <v>0</v>
          </cell>
          <cell r="BY184">
            <v>0</v>
          </cell>
          <cell r="BZ184">
            <v>0</v>
          </cell>
          <cell r="CA184">
            <v>0</v>
          </cell>
          <cell r="CB184">
            <v>0</v>
          </cell>
          <cell r="CC184">
            <v>0</v>
          </cell>
          <cell r="CD184">
            <v>0</v>
          </cell>
          <cell r="CE184">
            <v>0</v>
          </cell>
          <cell r="CF184">
            <v>0</v>
          </cell>
          <cell r="CG184">
            <v>0</v>
          </cell>
          <cell r="CH184">
            <v>0</v>
          </cell>
          <cell r="CI184">
            <v>0</v>
          </cell>
          <cell r="CJ184">
            <v>0</v>
          </cell>
          <cell r="CK184">
            <v>0</v>
          </cell>
          <cell r="CL184">
            <v>0</v>
          </cell>
          <cell r="CM184">
            <v>0</v>
          </cell>
          <cell r="CR184">
            <v>0</v>
          </cell>
          <cell r="CS184">
            <v>0</v>
          </cell>
          <cell r="CT184">
            <v>11</v>
          </cell>
          <cell r="CU184">
            <v>0</v>
          </cell>
          <cell r="CV184">
            <v>0</v>
          </cell>
          <cell r="CZ184">
            <v>11</v>
          </cell>
        </row>
        <row r="185">
          <cell r="C185" t="str">
            <v>01810</v>
          </cell>
          <cell r="D185" t="str">
            <v>Thị Hồng</v>
          </cell>
          <cell r="E185" t="str">
            <v>Production</v>
          </cell>
          <cell r="F185" t="str">
            <v>Skiving</v>
          </cell>
          <cell r="G185" t="str">
            <v>Worker</v>
          </cell>
          <cell r="H185">
            <v>43615</v>
          </cell>
          <cell r="I185">
            <v>8</v>
          </cell>
          <cell r="J185">
            <v>8</v>
          </cell>
          <cell r="K185">
            <v>8</v>
          </cell>
          <cell r="L185" t="str">
            <v>CN</v>
          </cell>
          <cell r="M185" t="str">
            <v>Đ</v>
          </cell>
          <cell r="N185" t="str">
            <v>Đ</v>
          </cell>
          <cell r="O185" t="str">
            <v>Đ</v>
          </cell>
          <cell r="P185" t="str">
            <v>Đ</v>
          </cell>
          <cell r="Q185" t="str">
            <v>Đ</v>
          </cell>
          <cell r="R185" t="str">
            <v>Đ</v>
          </cell>
          <cell r="S185" t="str">
            <v>CN</v>
          </cell>
          <cell r="T185">
            <v>8</v>
          </cell>
          <cell r="U185">
            <v>8</v>
          </cell>
          <cell r="V185">
            <v>8</v>
          </cell>
          <cell r="W185">
            <v>8</v>
          </cell>
          <cell r="X185">
            <v>8</v>
          </cell>
          <cell r="Y185">
            <v>8</v>
          </cell>
          <cell r="Z185" t="str">
            <v>CN</v>
          </cell>
          <cell r="AA185" t="str">
            <v>Đ</v>
          </cell>
          <cell r="AB185" t="str">
            <v>Đ</v>
          </cell>
          <cell r="AC185" t="str">
            <v>Đ</v>
          </cell>
          <cell r="AD185" t="str">
            <v>Đ</v>
          </cell>
          <cell r="AE185" t="str">
            <v>Đ</v>
          </cell>
          <cell r="AF185" t="str">
            <v>Đ</v>
          </cell>
          <cell r="AG185" t="str">
            <v>CN</v>
          </cell>
          <cell r="AH185">
            <v>8</v>
          </cell>
          <cell r="AI185">
            <v>8</v>
          </cell>
          <cell r="AJ185">
            <v>8</v>
          </cell>
          <cell r="AN185">
            <v>96</v>
          </cell>
          <cell r="AO185">
            <v>96</v>
          </cell>
          <cell r="AP185">
            <v>0</v>
          </cell>
          <cell r="AQ185">
            <v>0</v>
          </cell>
          <cell r="AR185">
            <v>0</v>
          </cell>
          <cell r="AS185">
            <v>0</v>
          </cell>
          <cell r="AT185">
            <v>0</v>
          </cell>
          <cell r="AU185">
            <v>0</v>
          </cell>
          <cell r="AV185">
            <v>0</v>
          </cell>
          <cell r="AW185">
            <v>0</v>
          </cell>
          <cell r="AX185">
            <v>0</v>
          </cell>
          <cell r="AY185">
            <v>0</v>
          </cell>
          <cell r="AZ185">
            <v>0</v>
          </cell>
          <cell r="BA185">
            <v>0</v>
          </cell>
          <cell r="BB185">
            <v>0</v>
          </cell>
          <cell r="BC185">
            <v>0</v>
          </cell>
          <cell r="BD185">
            <v>0</v>
          </cell>
          <cell r="BE185">
            <v>0</v>
          </cell>
          <cell r="BF185">
            <v>0</v>
          </cell>
          <cell r="BG185">
            <v>192</v>
          </cell>
          <cell r="BH185">
            <v>0</v>
          </cell>
          <cell r="BI185">
            <v>0</v>
          </cell>
          <cell r="BJ185">
            <v>6</v>
          </cell>
          <cell r="BL185">
            <v>0</v>
          </cell>
          <cell r="BM185">
            <v>0</v>
          </cell>
          <cell r="BN185">
            <v>0</v>
          </cell>
          <cell r="BO185">
            <v>0</v>
          </cell>
          <cell r="BP185">
            <v>1.5</v>
          </cell>
          <cell r="BQ185">
            <v>3</v>
          </cell>
          <cell r="BR185">
            <v>0</v>
          </cell>
          <cell r="BS185">
            <v>3</v>
          </cell>
          <cell r="BT185">
            <v>3</v>
          </cell>
          <cell r="BU185">
            <v>0</v>
          </cell>
          <cell r="BV185">
            <v>0</v>
          </cell>
          <cell r="BW185">
            <v>3</v>
          </cell>
          <cell r="BX185">
            <v>3</v>
          </cell>
          <cell r="BY185">
            <v>3</v>
          </cell>
          <cell r="BZ185">
            <v>3</v>
          </cell>
          <cell r="CA185">
            <v>3</v>
          </cell>
          <cell r="CB185">
            <v>3</v>
          </cell>
          <cell r="CC185">
            <v>8</v>
          </cell>
          <cell r="CD185">
            <v>4</v>
          </cell>
          <cell r="CE185">
            <v>4</v>
          </cell>
          <cell r="CF185">
            <v>4</v>
          </cell>
          <cell r="CG185">
            <v>4</v>
          </cell>
          <cell r="CH185">
            <v>1.5</v>
          </cell>
          <cell r="CI185">
            <v>1.5</v>
          </cell>
          <cell r="CJ185">
            <v>0</v>
          </cell>
          <cell r="CK185">
            <v>1.5</v>
          </cell>
          <cell r="CL185">
            <v>1.5</v>
          </cell>
          <cell r="CM185">
            <v>1.5</v>
          </cell>
          <cell r="CR185">
            <v>0</v>
          </cell>
          <cell r="CS185">
            <v>0</v>
          </cell>
          <cell r="CT185">
            <v>52</v>
          </cell>
          <cell r="CU185">
            <v>8</v>
          </cell>
          <cell r="CV185">
            <v>0</v>
          </cell>
          <cell r="CZ185">
            <v>60</v>
          </cell>
        </row>
        <row r="186">
          <cell r="C186" t="str">
            <v>01820</v>
          </cell>
          <cell r="D186" t="str">
            <v>Võ Thị Mỹ Hạnh</v>
          </cell>
          <cell r="E186" t="str">
            <v>Production</v>
          </cell>
          <cell r="F186" t="str">
            <v>Logo</v>
          </cell>
          <cell r="G186" t="str">
            <v>Worker</v>
          </cell>
          <cell r="H186" t="str">
            <v>01/06/2019</v>
          </cell>
          <cell r="I186">
            <v>8</v>
          </cell>
          <cell r="J186">
            <v>8</v>
          </cell>
          <cell r="K186">
            <v>8</v>
          </cell>
          <cell r="L186" t="str">
            <v>CN</v>
          </cell>
          <cell r="M186" t="str">
            <v>Đ</v>
          </cell>
          <cell r="N186" t="str">
            <v>Đ</v>
          </cell>
          <cell r="O186" t="str">
            <v>Đ</v>
          </cell>
          <cell r="P186" t="str">
            <v>Đ</v>
          </cell>
          <cell r="Q186" t="str">
            <v>Đ</v>
          </cell>
          <cell r="R186" t="str">
            <v>Đ</v>
          </cell>
          <cell r="S186" t="str">
            <v>CN</v>
          </cell>
          <cell r="T186">
            <v>8</v>
          </cell>
          <cell r="U186">
            <v>8</v>
          </cell>
          <cell r="V186">
            <v>8</v>
          </cell>
          <cell r="W186">
            <v>8</v>
          </cell>
          <cell r="X186">
            <v>8</v>
          </cell>
          <cell r="Y186">
            <v>8</v>
          </cell>
          <cell r="Z186" t="str">
            <v>CN</v>
          </cell>
          <cell r="AA186" t="str">
            <v>Đ</v>
          </cell>
          <cell r="AB186" t="str">
            <v>Đ</v>
          </cell>
          <cell r="AC186" t="str">
            <v>Đ</v>
          </cell>
          <cell r="AD186" t="str">
            <v>Đ</v>
          </cell>
          <cell r="AE186" t="str">
            <v>Đ</v>
          </cell>
          <cell r="AF186" t="str">
            <v>Đ</v>
          </cell>
          <cell r="AG186" t="str">
            <v>CN</v>
          </cell>
          <cell r="AH186" t="str">
            <v>AL8</v>
          </cell>
          <cell r="AI186" t="str">
            <v>AL8</v>
          </cell>
          <cell r="AJ186">
            <v>8</v>
          </cell>
          <cell r="AN186">
            <v>96</v>
          </cell>
          <cell r="AO186">
            <v>80</v>
          </cell>
          <cell r="AP186">
            <v>0</v>
          </cell>
          <cell r="AQ186">
            <v>0</v>
          </cell>
          <cell r="AR186">
            <v>0</v>
          </cell>
          <cell r="AS186">
            <v>0</v>
          </cell>
          <cell r="AT186">
            <v>0</v>
          </cell>
          <cell r="AU186">
            <v>0</v>
          </cell>
          <cell r="AV186">
            <v>0</v>
          </cell>
          <cell r="AW186">
            <v>0</v>
          </cell>
          <cell r="AX186">
            <v>0</v>
          </cell>
          <cell r="AY186">
            <v>0</v>
          </cell>
          <cell r="AZ186">
            <v>0</v>
          </cell>
          <cell r="BA186">
            <v>16</v>
          </cell>
          <cell r="BB186">
            <v>0</v>
          </cell>
          <cell r="BC186">
            <v>0</v>
          </cell>
          <cell r="BD186">
            <v>0</v>
          </cell>
          <cell r="BE186">
            <v>0</v>
          </cell>
          <cell r="BF186">
            <v>0</v>
          </cell>
          <cell r="BG186">
            <v>192</v>
          </cell>
          <cell r="BH186">
            <v>2</v>
          </cell>
          <cell r="BI186">
            <v>2</v>
          </cell>
          <cell r="BJ186">
            <v>1.5</v>
          </cell>
          <cell r="BL186">
            <v>1.5</v>
          </cell>
          <cell r="BM186">
            <v>1.5</v>
          </cell>
          <cell r="BN186">
            <v>1.5</v>
          </cell>
          <cell r="BO186">
            <v>0</v>
          </cell>
          <cell r="BP186">
            <v>1.5</v>
          </cell>
          <cell r="BQ186">
            <v>0</v>
          </cell>
          <cell r="BR186">
            <v>0</v>
          </cell>
          <cell r="BS186">
            <v>4</v>
          </cell>
          <cell r="BT186">
            <v>4</v>
          </cell>
          <cell r="BU186">
            <v>4</v>
          </cell>
          <cell r="BV186">
            <v>0</v>
          </cell>
          <cell r="BW186">
            <v>3</v>
          </cell>
          <cell r="BX186">
            <v>3</v>
          </cell>
          <cell r="BY186">
            <v>3</v>
          </cell>
          <cell r="BZ186">
            <v>3</v>
          </cell>
          <cell r="CA186">
            <v>3</v>
          </cell>
          <cell r="CB186">
            <v>3</v>
          </cell>
          <cell r="CC186">
            <v>8</v>
          </cell>
          <cell r="CD186">
            <v>4</v>
          </cell>
          <cell r="CE186">
            <v>4</v>
          </cell>
          <cell r="CF186">
            <v>4</v>
          </cell>
          <cell r="CG186">
            <v>4</v>
          </cell>
          <cell r="CH186">
            <v>4</v>
          </cell>
          <cell r="CI186">
            <v>4</v>
          </cell>
          <cell r="CJ186">
            <v>0</v>
          </cell>
          <cell r="CK186">
            <v>0</v>
          </cell>
          <cell r="CL186">
            <v>0</v>
          </cell>
          <cell r="CM186">
            <v>3</v>
          </cell>
          <cell r="CR186">
            <v>0</v>
          </cell>
          <cell r="CS186">
            <v>0</v>
          </cell>
          <cell r="CT186">
            <v>63</v>
          </cell>
          <cell r="CU186">
            <v>8</v>
          </cell>
          <cell r="CV186">
            <v>0</v>
          </cell>
          <cell r="CZ186">
            <v>71</v>
          </cell>
        </row>
        <row r="187">
          <cell r="C187" t="str">
            <v>01827</v>
          </cell>
          <cell r="D187" t="str">
            <v>Vũ Thị Thoa</v>
          </cell>
          <cell r="E187" t="str">
            <v>Production</v>
          </cell>
          <cell r="F187" t="str">
            <v>Logo</v>
          </cell>
          <cell r="G187" t="str">
            <v>Worker</v>
          </cell>
          <cell r="H187" t="str">
            <v>01/06/2019</v>
          </cell>
          <cell r="I187" t="str">
            <v>Đ</v>
          </cell>
          <cell r="J187" t="str">
            <v>Đ</v>
          </cell>
          <cell r="K187" t="str">
            <v>Đ</v>
          </cell>
          <cell r="L187" t="str">
            <v>CN</v>
          </cell>
          <cell r="M187">
            <v>8</v>
          </cell>
          <cell r="N187">
            <v>8</v>
          </cell>
          <cell r="O187">
            <v>8</v>
          </cell>
          <cell r="P187">
            <v>8</v>
          </cell>
          <cell r="Q187">
            <v>8</v>
          </cell>
          <cell r="R187">
            <v>8</v>
          </cell>
          <cell r="S187" t="str">
            <v>CN</v>
          </cell>
          <cell r="T187" t="str">
            <v>AL8</v>
          </cell>
          <cell r="U187" t="str">
            <v>Đ</v>
          </cell>
          <cell r="V187" t="str">
            <v>Đ</v>
          </cell>
          <cell r="W187" t="str">
            <v>Đ</v>
          </cell>
          <cell r="X187" t="str">
            <v>Đ</v>
          </cell>
          <cell r="Y187" t="str">
            <v>Đ</v>
          </cell>
          <cell r="Z187" t="str">
            <v>CN</v>
          </cell>
          <cell r="AA187" t="str">
            <v>AL8</v>
          </cell>
          <cell r="AB187">
            <v>8</v>
          </cell>
          <cell r="AC187">
            <v>8</v>
          </cell>
          <cell r="AD187">
            <v>8</v>
          </cell>
          <cell r="AE187">
            <v>8</v>
          </cell>
          <cell r="AF187">
            <v>7.733333333</v>
          </cell>
          <cell r="AG187" t="str">
            <v>CN</v>
          </cell>
          <cell r="AH187" t="str">
            <v>Đ</v>
          </cell>
          <cell r="AI187" t="str">
            <v>Đ</v>
          </cell>
          <cell r="AJ187" t="str">
            <v>Đ</v>
          </cell>
          <cell r="AN187">
            <v>88</v>
          </cell>
          <cell r="AO187">
            <v>87.733333333000004</v>
          </cell>
          <cell r="AP187">
            <v>0</v>
          </cell>
          <cell r="AQ187">
            <v>0</v>
          </cell>
          <cell r="AR187">
            <v>0</v>
          </cell>
          <cell r="AS187">
            <v>0</v>
          </cell>
          <cell r="AT187">
            <v>0</v>
          </cell>
          <cell r="AU187">
            <v>0</v>
          </cell>
          <cell r="AV187">
            <v>0</v>
          </cell>
          <cell r="AW187">
            <v>0</v>
          </cell>
          <cell r="AX187">
            <v>0</v>
          </cell>
          <cell r="AY187">
            <v>0</v>
          </cell>
          <cell r="AZ187">
            <v>0</v>
          </cell>
          <cell r="BA187">
            <v>16</v>
          </cell>
          <cell r="BB187">
            <v>0</v>
          </cell>
          <cell r="BC187">
            <v>0</v>
          </cell>
          <cell r="BD187">
            <v>0</v>
          </cell>
          <cell r="BE187">
            <v>0</v>
          </cell>
          <cell r="BF187">
            <v>0</v>
          </cell>
          <cell r="BG187">
            <v>191.73333333300002</v>
          </cell>
          <cell r="BH187">
            <v>2</v>
          </cell>
          <cell r="BI187">
            <v>2</v>
          </cell>
          <cell r="BJ187">
            <v>1</v>
          </cell>
          <cell r="BL187">
            <v>0</v>
          </cell>
          <cell r="BM187">
            <v>0</v>
          </cell>
          <cell r="BN187">
            <v>0</v>
          </cell>
          <cell r="BO187">
            <v>0</v>
          </cell>
          <cell r="BP187">
            <v>0</v>
          </cell>
          <cell r="BQ187">
            <v>3</v>
          </cell>
          <cell r="BR187">
            <v>0</v>
          </cell>
          <cell r="BS187">
            <v>3</v>
          </cell>
          <cell r="BT187">
            <v>3</v>
          </cell>
          <cell r="BU187">
            <v>0</v>
          </cell>
          <cell r="BV187">
            <v>0</v>
          </cell>
          <cell r="BW187">
            <v>0</v>
          </cell>
          <cell r="BX187">
            <v>0</v>
          </cell>
          <cell r="BY187">
            <v>0</v>
          </cell>
          <cell r="BZ187">
            <v>4</v>
          </cell>
          <cell r="CA187">
            <v>4</v>
          </cell>
          <cell r="CB187">
            <v>4</v>
          </cell>
          <cell r="CC187">
            <v>0</v>
          </cell>
          <cell r="CD187">
            <v>0</v>
          </cell>
          <cell r="CE187">
            <v>4</v>
          </cell>
          <cell r="CF187">
            <v>4</v>
          </cell>
          <cell r="CG187">
            <v>4</v>
          </cell>
          <cell r="CH187">
            <v>0</v>
          </cell>
          <cell r="CI187">
            <v>4</v>
          </cell>
          <cell r="CJ187">
            <v>8</v>
          </cell>
          <cell r="CK187">
            <v>1.5</v>
          </cell>
          <cell r="CL187">
            <v>1.5</v>
          </cell>
          <cell r="CM187">
            <v>1.5</v>
          </cell>
          <cell r="CR187">
            <v>0</v>
          </cell>
          <cell r="CS187">
            <v>0</v>
          </cell>
          <cell r="CT187">
            <v>41.5</v>
          </cell>
          <cell r="CU187">
            <v>8</v>
          </cell>
          <cell r="CV187">
            <v>0</v>
          </cell>
          <cell r="CZ187">
            <v>49.5</v>
          </cell>
        </row>
        <row r="188">
          <cell r="C188" t="str">
            <v>01831</v>
          </cell>
          <cell r="D188" t="str">
            <v>Trần Thị Kim Cương</v>
          </cell>
          <cell r="E188" t="str">
            <v>Production</v>
          </cell>
          <cell r="F188" t="str">
            <v>Lamination</v>
          </cell>
          <cell r="G188" t="str">
            <v>Worker</v>
          </cell>
          <cell r="H188">
            <v>43622</v>
          </cell>
          <cell r="I188">
            <v>8</v>
          </cell>
          <cell r="J188">
            <v>8</v>
          </cell>
          <cell r="K188">
            <v>8</v>
          </cell>
          <cell r="L188" t="str">
            <v>CN</v>
          </cell>
          <cell r="M188" t="str">
            <v>Đ</v>
          </cell>
          <cell r="N188" t="str">
            <v>Đ</v>
          </cell>
          <cell r="O188" t="str">
            <v>Đ</v>
          </cell>
          <cell r="P188" t="str">
            <v>AL8</v>
          </cell>
          <cell r="Q188" t="str">
            <v>Đ</v>
          </cell>
          <cell r="R188" t="str">
            <v>Đ</v>
          </cell>
          <cell r="S188" t="str">
            <v>CN</v>
          </cell>
          <cell r="T188">
            <v>8</v>
          </cell>
          <cell r="U188">
            <v>8</v>
          </cell>
          <cell r="V188">
            <v>8</v>
          </cell>
          <cell r="W188">
            <v>8</v>
          </cell>
          <cell r="X188">
            <v>8</v>
          </cell>
          <cell r="Y188">
            <v>8</v>
          </cell>
          <cell r="Z188" t="str">
            <v>CN</v>
          </cell>
          <cell r="AA188">
            <v>8</v>
          </cell>
          <cell r="AB188">
            <v>8</v>
          </cell>
          <cell r="AC188">
            <v>8</v>
          </cell>
          <cell r="AD188">
            <v>8</v>
          </cell>
          <cell r="AE188">
            <v>8</v>
          </cell>
          <cell r="AF188">
            <v>8</v>
          </cell>
          <cell r="AG188" t="str">
            <v>CN</v>
          </cell>
          <cell r="AH188">
            <v>8</v>
          </cell>
          <cell r="AI188">
            <v>8</v>
          </cell>
          <cell r="AJ188">
            <v>8</v>
          </cell>
          <cell r="AN188">
            <v>40</v>
          </cell>
          <cell r="AO188">
            <v>144</v>
          </cell>
          <cell r="AP188">
            <v>0</v>
          </cell>
          <cell r="AQ188">
            <v>0</v>
          </cell>
          <cell r="AR188">
            <v>0</v>
          </cell>
          <cell r="AS188">
            <v>0</v>
          </cell>
          <cell r="AT188">
            <v>0</v>
          </cell>
          <cell r="AU188">
            <v>0</v>
          </cell>
          <cell r="AV188">
            <v>0</v>
          </cell>
          <cell r="AW188">
            <v>0</v>
          </cell>
          <cell r="AX188">
            <v>0</v>
          </cell>
          <cell r="AY188">
            <v>0</v>
          </cell>
          <cell r="AZ188">
            <v>0</v>
          </cell>
          <cell r="BA188">
            <v>8</v>
          </cell>
          <cell r="BB188">
            <v>0</v>
          </cell>
          <cell r="BC188">
            <v>0</v>
          </cell>
          <cell r="BD188">
            <v>0</v>
          </cell>
          <cell r="BE188">
            <v>0</v>
          </cell>
          <cell r="BF188">
            <v>0</v>
          </cell>
          <cell r="BG188">
            <v>192</v>
          </cell>
          <cell r="BH188">
            <v>1</v>
          </cell>
          <cell r="BI188">
            <v>1</v>
          </cell>
          <cell r="BJ188">
            <v>8.5</v>
          </cell>
          <cell r="BL188">
            <v>3</v>
          </cell>
          <cell r="BM188">
            <v>3</v>
          </cell>
          <cell r="BN188">
            <v>3</v>
          </cell>
          <cell r="BO188">
            <v>0</v>
          </cell>
          <cell r="BP188">
            <v>0</v>
          </cell>
          <cell r="BQ188">
            <v>0</v>
          </cell>
          <cell r="BR188">
            <v>0</v>
          </cell>
          <cell r="BS188">
            <v>0</v>
          </cell>
          <cell r="BT188">
            <v>3</v>
          </cell>
          <cell r="BU188">
            <v>4</v>
          </cell>
          <cell r="BV188">
            <v>0</v>
          </cell>
          <cell r="BW188">
            <v>0</v>
          </cell>
          <cell r="BX188">
            <v>3</v>
          </cell>
          <cell r="BY188">
            <v>3</v>
          </cell>
          <cell r="BZ188">
            <v>3</v>
          </cell>
          <cell r="CA188">
            <v>0</v>
          </cell>
          <cell r="CB188">
            <v>3</v>
          </cell>
          <cell r="CC188">
            <v>8</v>
          </cell>
          <cell r="CD188">
            <v>4</v>
          </cell>
          <cell r="CE188">
            <v>0</v>
          </cell>
          <cell r="CF188">
            <v>3</v>
          </cell>
          <cell r="CG188">
            <v>3</v>
          </cell>
          <cell r="CH188">
            <v>3</v>
          </cell>
          <cell r="CI188">
            <v>0</v>
          </cell>
          <cell r="CJ188">
            <v>8</v>
          </cell>
          <cell r="CK188">
            <v>3</v>
          </cell>
          <cell r="CL188">
            <v>3</v>
          </cell>
          <cell r="CM188">
            <v>1.5</v>
          </cell>
          <cell r="CR188">
            <v>0</v>
          </cell>
          <cell r="CS188">
            <v>0</v>
          </cell>
          <cell r="CT188">
            <v>48.5</v>
          </cell>
          <cell r="CU188">
            <v>16</v>
          </cell>
          <cell r="CV188">
            <v>0</v>
          </cell>
          <cell r="CZ188">
            <v>64.5</v>
          </cell>
        </row>
        <row r="189">
          <cell r="C189" t="str">
            <v>01839</v>
          </cell>
          <cell r="D189" t="str">
            <v xml:space="preserve">Nguyễn Thị Hoa </v>
          </cell>
          <cell r="E189" t="str">
            <v>Production</v>
          </cell>
          <cell r="F189" t="str">
            <v>Logo</v>
          </cell>
          <cell r="G189" t="str">
            <v>Worker</v>
          </cell>
          <cell r="H189">
            <v>43622</v>
          </cell>
          <cell r="I189" t="str">
            <v>Đ</v>
          </cell>
          <cell r="J189" t="str">
            <v>Đ</v>
          </cell>
          <cell r="K189" t="str">
            <v>Đ</v>
          </cell>
          <cell r="L189" t="str">
            <v>CN</v>
          </cell>
          <cell r="M189">
            <v>8</v>
          </cell>
          <cell r="N189">
            <v>8</v>
          </cell>
          <cell r="O189">
            <v>8</v>
          </cell>
          <cell r="P189">
            <v>8</v>
          </cell>
          <cell r="Q189">
            <v>8</v>
          </cell>
          <cell r="R189">
            <v>8</v>
          </cell>
          <cell r="S189" t="str">
            <v>CN</v>
          </cell>
          <cell r="T189" t="str">
            <v>Đ</v>
          </cell>
          <cell r="U189" t="str">
            <v>Đ</v>
          </cell>
          <cell r="V189" t="str">
            <v>Đ</v>
          </cell>
          <cell r="W189" t="str">
            <v>Đ</v>
          </cell>
          <cell r="X189" t="str">
            <v>Đ</v>
          </cell>
          <cell r="Y189" t="str">
            <v>Đ</v>
          </cell>
          <cell r="Z189" t="str">
            <v>CN</v>
          </cell>
          <cell r="AA189">
            <v>8</v>
          </cell>
          <cell r="AB189">
            <v>8</v>
          </cell>
          <cell r="AC189">
            <v>8</v>
          </cell>
          <cell r="AD189">
            <v>8</v>
          </cell>
          <cell r="AE189">
            <v>8</v>
          </cell>
          <cell r="AF189">
            <v>8</v>
          </cell>
          <cell r="AG189" t="str">
            <v>CN</v>
          </cell>
          <cell r="AH189" t="str">
            <v>Đ</v>
          </cell>
          <cell r="AI189" t="str">
            <v>Đ</v>
          </cell>
          <cell r="AJ189" t="str">
            <v>AL8</v>
          </cell>
          <cell r="AN189">
            <v>88</v>
          </cell>
          <cell r="AO189">
            <v>96</v>
          </cell>
          <cell r="AP189">
            <v>0</v>
          </cell>
          <cell r="AQ189">
            <v>0</v>
          </cell>
          <cell r="AR189">
            <v>0</v>
          </cell>
          <cell r="AS189">
            <v>0</v>
          </cell>
          <cell r="AT189">
            <v>0</v>
          </cell>
          <cell r="AU189">
            <v>0</v>
          </cell>
          <cell r="AV189">
            <v>0</v>
          </cell>
          <cell r="AW189">
            <v>0</v>
          </cell>
          <cell r="AX189">
            <v>0</v>
          </cell>
          <cell r="AY189">
            <v>0</v>
          </cell>
          <cell r="AZ189">
            <v>0</v>
          </cell>
          <cell r="BA189">
            <v>8</v>
          </cell>
          <cell r="BB189">
            <v>0</v>
          </cell>
          <cell r="BC189">
            <v>0</v>
          </cell>
          <cell r="BD189">
            <v>0</v>
          </cell>
          <cell r="BE189">
            <v>0</v>
          </cell>
          <cell r="BF189">
            <v>0</v>
          </cell>
          <cell r="BG189">
            <v>192</v>
          </cell>
          <cell r="BH189">
            <v>1</v>
          </cell>
          <cell r="BI189">
            <v>1</v>
          </cell>
          <cell r="BJ189">
            <v>5</v>
          </cell>
          <cell r="BL189">
            <v>1.5</v>
          </cell>
          <cell r="BM189">
            <v>1.5</v>
          </cell>
          <cell r="BN189">
            <v>1.5</v>
          </cell>
          <cell r="BO189">
            <v>0</v>
          </cell>
          <cell r="BP189">
            <v>1.5</v>
          </cell>
          <cell r="BQ189">
            <v>0</v>
          </cell>
          <cell r="BR189">
            <v>0</v>
          </cell>
          <cell r="BS189">
            <v>3</v>
          </cell>
          <cell r="BT189">
            <v>3</v>
          </cell>
          <cell r="BU189">
            <v>3</v>
          </cell>
          <cell r="BV189">
            <v>0</v>
          </cell>
          <cell r="BW189">
            <v>4</v>
          </cell>
          <cell r="BX189">
            <v>4</v>
          </cell>
          <cell r="BY189">
            <v>4</v>
          </cell>
          <cell r="BZ189">
            <v>4</v>
          </cell>
          <cell r="CA189">
            <v>4</v>
          </cell>
          <cell r="CB189">
            <v>4</v>
          </cell>
          <cell r="CC189">
            <v>0</v>
          </cell>
          <cell r="CD189">
            <v>3</v>
          </cell>
          <cell r="CE189">
            <v>3</v>
          </cell>
          <cell r="CF189">
            <v>3</v>
          </cell>
          <cell r="CG189">
            <v>3</v>
          </cell>
          <cell r="CH189">
            <v>3</v>
          </cell>
          <cell r="CI189">
            <v>3</v>
          </cell>
          <cell r="CJ189">
            <v>8</v>
          </cell>
          <cell r="CK189">
            <v>4</v>
          </cell>
          <cell r="CL189">
            <v>4</v>
          </cell>
          <cell r="CM189">
            <v>0</v>
          </cell>
          <cell r="CR189">
            <v>0</v>
          </cell>
          <cell r="CS189">
            <v>0</v>
          </cell>
          <cell r="CT189">
            <v>65</v>
          </cell>
          <cell r="CU189">
            <v>8</v>
          </cell>
          <cell r="CV189">
            <v>0</v>
          </cell>
          <cell r="CZ189">
            <v>73</v>
          </cell>
        </row>
        <row r="190">
          <cell r="C190" t="str">
            <v>01841</v>
          </cell>
          <cell r="D190" t="str">
            <v>Nguyễn Thị Mơ</v>
          </cell>
          <cell r="E190" t="str">
            <v>Production</v>
          </cell>
          <cell r="F190" t="str">
            <v>Logo</v>
          </cell>
          <cell r="G190" t="str">
            <v>Worker</v>
          </cell>
          <cell r="H190">
            <v>43622</v>
          </cell>
          <cell r="I190">
            <v>8</v>
          </cell>
          <cell r="J190">
            <v>8</v>
          </cell>
          <cell r="K190">
            <v>8</v>
          </cell>
          <cell r="L190" t="str">
            <v>CN</v>
          </cell>
          <cell r="M190" t="str">
            <v>Đ</v>
          </cell>
          <cell r="N190" t="str">
            <v>Đ</v>
          </cell>
          <cell r="O190" t="str">
            <v>Đ</v>
          </cell>
          <cell r="P190" t="str">
            <v>Đ</v>
          </cell>
          <cell r="Q190" t="str">
            <v>Đ</v>
          </cell>
          <cell r="R190" t="str">
            <v>Đ</v>
          </cell>
          <cell r="S190" t="str">
            <v>CN</v>
          </cell>
          <cell r="T190">
            <v>8</v>
          </cell>
          <cell r="U190">
            <v>8</v>
          </cell>
          <cell r="V190">
            <v>8</v>
          </cell>
          <cell r="W190">
            <v>8</v>
          </cell>
          <cell r="X190">
            <v>8</v>
          </cell>
          <cell r="Y190">
            <v>8</v>
          </cell>
          <cell r="Z190" t="str">
            <v>CN</v>
          </cell>
          <cell r="AA190" t="str">
            <v>Đ</v>
          </cell>
          <cell r="AB190" t="str">
            <v>Đ</v>
          </cell>
          <cell r="AC190" t="str">
            <v>Đ</v>
          </cell>
          <cell r="AD190" t="str">
            <v>Đ</v>
          </cell>
          <cell r="AE190" t="str">
            <v>Đ</v>
          </cell>
          <cell r="AF190" t="str">
            <v>Đ</v>
          </cell>
          <cell r="AG190" t="str">
            <v>CN</v>
          </cell>
          <cell r="AH190">
            <v>8</v>
          </cell>
          <cell r="AI190">
            <v>8</v>
          </cell>
          <cell r="AJ190" t="str">
            <v>AL8</v>
          </cell>
          <cell r="AN190">
            <v>96</v>
          </cell>
          <cell r="AO190">
            <v>88</v>
          </cell>
          <cell r="AP190">
            <v>0</v>
          </cell>
          <cell r="AQ190">
            <v>0</v>
          </cell>
          <cell r="AR190">
            <v>0</v>
          </cell>
          <cell r="AS190">
            <v>0</v>
          </cell>
          <cell r="AT190">
            <v>0</v>
          </cell>
          <cell r="AU190">
            <v>0</v>
          </cell>
          <cell r="AV190">
            <v>0</v>
          </cell>
          <cell r="AW190">
            <v>0</v>
          </cell>
          <cell r="AX190">
            <v>0</v>
          </cell>
          <cell r="AY190">
            <v>0</v>
          </cell>
          <cell r="AZ190">
            <v>0</v>
          </cell>
          <cell r="BA190">
            <v>8</v>
          </cell>
          <cell r="BB190">
            <v>0</v>
          </cell>
          <cell r="BC190">
            <v>0</v>
          </cell>
          <cell r="BD190">
            <v>0</v>
          </cell>
          <cell r="BE190">
            <v>0</v>
          </cell>
          <cell r="BF190">
            <v>0</v>
          </cell>
          <cell r="BG190">
            <v>192</v>
          </cell>
          <cell r="BH190">
            <v>1</v>
          </cell>
          <cell r="BI190">
            <v>1</v>
          </cell>
          <cell r="BJ190">
            <v>3</v>
          </cell>
          <cell r="BL190">
            <v>0</v>
          </cell>
          <cell r="BM190">
            <v>0</v>
          </cell>
          <cell r="BN190">
            <v>0</v>
          </cell>
          <cell r="BO190">
            <v>0</v>
          </cell>
          <cell r="BP190">
            <v>1.5</v>
          </cell>
          <cell r="BQ190">
            <v>3</v>
          </cell>
          <cell r="BR190">
            <v>0</v>
          </cell>
          <cell r="BS190">
            <v>3</v>
          </cell>
          <cell r="BT190">
            <v>0</v>
          </cell>
          <cell r="BU190">
            <v>0</v>
          </cell>
          <cell r="BV190">
            <v>0</v>
          </cell>
          <cell r="BW190">
            <v>3</v>
          </cell>
          <cell r="BX190">
            <v>3</v>
          </cell>
          <cell r="BY190">
            <v>3</v>
          </cell>
          <cell r="BZ190">
            <v>3</v>
          </cell>
          <cell r="CA190">
            <v>3</v>
          </cell>
          <cell r="CB190">
            <v>3</v>
          </cell>
          <cell r="CC190">
            <v>8</v>
          </cell>
          <cell r="CD190">
            <v>4</v>
          </cell>
          <cell r="CE190">
            <v>4</v>
          </cell>
          <cell r="CF190">
            <v>4</v>
          </cell>
          <cell r="CG190">
            <v>4</v>
          </cell>
          <cell r="CH190">
            <v>1.5</v>
          </cell>
          <cell r="CI190">
            <v>1.5</v>
          </cell>
          <cell r="CJ190">
            <v>0</v>
          </cell>
          <cell r="CK190">
            <v>1.5</v>
          </cell>
          <cell r="CL190">
            <v>1.5</v>
          </cell>
          <cell r="CM190">
            <v>0</v>
          </cell>
          <cell r="CR190">
            <v>0</v>
          </cell>
          <cell r="CS190">
            <v>0</v>
          </cell>
          <cell r="CT190">
            <v>47.5</v>
          </cell>
          <cell r="CU190">
            <v>8</v>
          </cell>
          <cell r="CV190">
            <v>0</v>
          </cell>
          <cell r="CZ190">
            <v>55.5</v>
          </cell>
        </row>
        <row r="191">
          <cell r="C191" t="str">
            <v>01855</v>
          </cell>
          <cell r="D191" t="str">
            <v>Nguyễn Thị Thu</v>
          </cell>
          <cell r="E191" t="str">
            <v>QC</v>
          </cell>
          <cell r="F191" t="str">
            <v>QC</v>
          </cell>
          <cell r="G191" t="str">
            <v>Team Leader</v>
          </cell>
          <cell r="H191">
            <v>43630</v>
          </cell>
          <cell r="I191">
            <v>8</v>
          </cell>
          <cell r="J191">
            <v>8</v>
          </cell>
          <cell r="K191">
            <v>8</v>
          </cell>
          <cell r="L191" t="str">
            <v>CN</v>
          </cell>
          <cell r="M191">
            <v>8</v>
          </cell>
          <cell r="N191">
            <v>8</v>
          </cell>
          <cell r="O191">
            <v>8</v>
          </cell>
          <cell r="P191">
            <v>8</v>
          </cell>
          <cell r="Q191">
            <v>8</v>
          </cell>
          <cell r="R191">
            <v>8</v>
          </cell>
          <cell r="S191" t="str">
            <v>CN</v>
          </cell>
          <cell r="T191">
            <v>8</v>
          </cell>
          <cell r="U191">
            <v>8</v>
          </cell>
          <cell r="V191">
            <v>8</v>
          </cell>
          <cell r="W191">
            <v>8</v>
          </cell>
          <cell r="X191">
            <v>8</v>
          </cell>
          <cell r="Y191">
            <v>8</v>
          </cell>
          <cell r="Z191" t="str">
            <v>CN</v>
          </cell>
          <cell r="AA191">
            <v>8</v>
          </cell>
          <cell r="AB191">
            <v>8</v>
          </cell>
          <cell r="AC191">
            <v>8</v>
          </cell>
          <cell r="AD191">
            <v>8</v>
          </cell>
          <cell r="AE191">
            <v>8</v>
          </cell>
          <cell r="AF191">
            <v>8</v>
          </cell>
          <cell r="AG191" t="str">
            <v>CN</v>
          </cell>
          <cell r="AH191">
            <v>8</v>
          </cell>
          <cell r="AI191">
            <v>8</v>
          </cell>
          <cell r="AJ191">
            <v>8</v>
          </cell>
          <cell r="AN191">
            <v>0</v>
          </cell>
          <cell r="AO191">
            <v>192</v>
          </cell>
          <cell r="AP191">
            <v>0</v>
          </cell>
          <cell r="AQ191">
            <v>0</v>
          </cell>
          <cell r="AR191">
            <v>0</v>
          </cell>
          <cell r="AS191">
            <v>0</v>
          </cell>
          <cell r="AT191">
            <v>0</v>
          </cell>
          <cell r="AU191">
            <v>0</v>
          </cell>
          <cell r="AV191">
            <v>0</v>
          </cell>
          <cell r="AW191">
            <v>0</v>
          </cell>
          <cell r="AX191">
            <v>0</v>
          </cell>
          <cell r="AY191">
            <v>0</v>
          </cell>
          <cell r="AZ191">
            <v>0</v>
          </cell>
          <cell r="BA191">
            <v>0</v>
          </cell>
          <cell r="BB191">
            <v>0</v>
          </cell>
          <cell r="BC191">
            <v>0</v>
          </cell>
          <cell r="BD191">
            <v>0</v>
          </cell>
          <cell r="BE191">
            <v>0</v>
          </cell>
          <cell r="BF191">
            <v>0</v>
          </cell>
          <cell r="BG191">
            <v>192</v>
          </cell>
          <cell r="BH191">
            <v>0</v>
          </cell>
          <cell r="BI191">
            <v>0</v>
          </cell>
          <cell r="BJ191">
            <v>5.5</v>
          </cell>
          <cell r="BL191">
            <v>3</v>
          </cell>
          <cell r="BM191">
            <v>2.5</v>
          </cell>
          <cell r="BN191">
            <v>2</v>
          </cell>
          <cell r="BO191">
            <v>0</v>
          </cell>
          <cell r="BP191">
            <v>3</v>
          </cell>
          <cell r="BQ191">
            <v>2</v>
          </cell>
          <cell r="BR191">
            <v>2</v>
          </cell>
          <cell r="BS191">
            <v>2</v>
          </cell>
          <cell r="BT191">
            <v>2</v>
          </cell>
          <cell r="BU191">
            <v>1</v>
          </cell>
          <cell r="BV191">
            <v>8</v>
          </cell>
          <cell r="BW191">
            <v>0.5</v>
          </cell>
          <cell r="BX191">
            <v>1.25</v>
          </cell>
          <cell r="BY191">
            <v>1.5</v>
          </cell>
          <cell r="BZ191">
            <v>0</v>
          </cell>
          <cell r="CA191">
            <v>1.5</v>
          </cell>
          <cell r="CB191">
            <v>0</v>
          </cell>
          <cell r="CC191">
            <v>0</v>
          </cell>
          <cell r="CD191">
            <v>0.75</v>
          </cell>
          <cell r="CE191">
            <v>1</v>
          </cell>
          <cell r="CF191">
            <v>0.5</v>
          </cell>
          <cell r="CG191">
            <v>0</v>
          </cell>
          <cell r="CH191">
            <v>3.5</v>
          </cell>
          <cell r="CI191">
            <v>2.75</v>
          </cell>
          <cell r="CJ191">
            <v>8</v>
          </cell>
          <cell r="CK191">
            <v>2</v>
          </cell>
          <cell r="CL191">
            <v>2</v>
          </cell>
          <cell r="CM191">
            <v>2</v>
          </cell>
          <cell r="CR191">
            <v>0</v>
          </cell>
          <cell r="CS191">
            <v>0</v>
          </cell>
          <cell r="CT191">
            <v>38.75</v>
          </cell>
          <cell r="CU191">
            <v>16</v>
          </cell>
          <cell r="CV191">
            <v>0</v>
          </cell>
          <cell r="CZ191">
            <v>54.75</v>
          </cell>
        </row>
        <row r="192">
          <cell r="C192" t="str">
            <v>01865</v>
          </cell>
          <cell r="D192" t="str">
            <v>Trần Thị Thiên Trang</v>
          </cell>
          <cell r="E192" t="str">
            <v>Account - Financial</v>
          </cell>
          <cell r="F192" t="str">
            <v>Logistics (OVN)</v>
          </cell>
          <cell r="G192" t="str">
            <v>Senior Staff</v>
          </cell>
          <cell r="H192" t="str">
            <v>28/06/2019</v>
          </cell>
          <cell r="I192">
            <v>8</v>
          </cell>
          <cell r="J192">
            <v>8</v>
          </cell>
          <cell r="K192" t="str">
            <v>PO</v>
          </cell>
          <cell r="L192" t="str">
            <v>CN</v>
          </cell>
          <cell r="M192">
            <v>8</v>
          </cell>
          <cell r="N192">
            <v>8</v>
          </cell>
          <cell r="O192">
            <v>8</v>
          </cell>
          <cell r="P192">
            <v>8</v>
          </cell>
          <cell r="Q192">
            <v>8</v>
          </cell>
          <cell r="R192" t="str">
            <v>PO</v>
          </cell>
          <cell r="S192" t="str">
            <v>CN</v>
          </cell>
          <cell r="T192">
            <v>8</v>
          </cell>
          <cell r="U192">
            <v>8</v>
          </cell>
          <cell r="V192">
            <v>8</v>
          </cell>
          <cell r="W192" t="str">
            <v>AL4</v>
          </cell>
          <cell r="X192">
            <v>8</v>
          </cell>
          <cell r="Y192" t="str">
            <v>PO</v>
          </cell>
          <cell r="Z192" t="str">
            <v>CN</v>
          </cell>
          <cell r="AA192">
            <v>8</v>
          </cell>
          <cell r="AB192">
            <v>8</v>
          </cell>
          <cell r="AC192">
            <v>8</v>
          </cell>
          <cell r="AD192">
            <v>8</v>
          </cell>
          <cell r="AE192">
            <v>8</v>
          </cell>
          <cell r="AF192" t="str">
            <v>PO</v>
          </cell>
          <cell r="AG192" t="str">
            <v>CN</v>
          </cell>
          <cell r="AH192">
            <v>8</v>
          </cell>
          <cell r="AI192">
            <v>8</v>
          </cell>
          <cell r="AJ192">
            <v>8</v>
          </cell>
          <cell r="AN192">
            <v>0</v>
          </cell>
          <cell r="AO192">
            <v>156</v>
          </cell>
          <cell r="AP192">
            <v>4</v>
          </cell>
          <cell r="AQ192">
            <v>0</v>
          </cell>
          <cell r="AR192">
            <v>0</v>
          </cell>
          <cell r="AS192">
            <v>0</v>
          </cell>
          <cell r="AT192">
            <v>0</v>
          </cell>
          <cell r="AU192">
            <v>0</v>
          </cell>
          <cell r="AV192">
            <v>32</v>
          </cell>
          <cell r="AW192">
            <v>0</v>
          </cell>
          <cell r="AX192">
            <v>0</v>
          </cell>
          <cell r="AY192">
            <v>0</v>
          </cell>
          <cell r="AZ192">
            <v>0</v>
          </cell>
          <cell r="BA192">
            <v>4</v>
          </cell>
          <cell r="BB192">
            <v>0</v>
          </cell>
          <cell r="BC192">
            <v>0</v>
          </cell>
          <cell r="BD192">
            <v>0</v>
          </cell>
          <cell r="BE192">
            <v>0</v>
          </cell>
          <cell r="BF192">
            <v>0</v>
          </cell>
          <cell r="BG192">
            <v>192</v>
          </cell>
          <cell r="BH192">
            <v>0.5</v>
          </cell>
          <cell r="BI192">
            <v>0.5</v>
          </cell>
          <cell r="BJ192">
            <v>6</v>
          </cell>
          <cell r="BL192">
            <v>0</v>
          </cell>
          <cell r="BM192">
            <v>0</v>
          </cell>
          <cell r="BN192">
            <v>0</v>
          </cell>
          <cell r="BO192">
            <v>0</v>
          </cell>
          <cell r="BP192">
            <v>1.75</v>
          </cell>
          <cell r="BQ192">
            <v>0</v>
          </cell>
          <cell r="BR192">
            <v>0</v>
          </cell>
          <cell r="BS192">
            <v>0</v>
          </cell>
          <cell r="BT192">
            <v>0</v>
          </cell>
          <cell r="BU192">
            <v>0</v>
          </cell>
          <cell r="BV192">
            <v>0</v>
          </cell>
          <cell r="BW192">
            <v>0</v>
          </cell>
          <cell r="BX192">
            <v>0</v>
          </cell>
          <cell r="BY192">
            <v>1.5</v>
          </cell>
          <cell r="BZ192">
            <v>0</v>
          </cell>
          <cell r="CA192">
            <v>0</v>
          </cell>
          <cell r="CB192">
            <v>0</v>
          </cell>
          <cell r="CC192">
            <v>0</v>
          </cell>
          <cell r="CD192">
            <v>0</v>
          </cell>
          <cell r="CE192">
            <v>0</v>
          </cell>
          <cell r="CF192">
            <v>0</v>
          </cell>
          <cell r="CG192">
            <v>0</v>
          </cell>
          <cell r="CH192">
            <v>0.75</v>
          </cell>
          <cell r="CI192">
            <v>0</v>
          </cell>
          <cell r="CJ192">
            <v>0</v>
          </cell>
          <cell r="CK192">
            <v>0</v>
          </cell>
          <cell r="CL192">
            <v>0</v>
          </cell>
          <cell r="CM192">
            <v>0</v>
          </cell>
          <cell r="CR192">
            <v>0</v>
          </cell>
          <cell r="CS192">
            <v>0</v>
          </cell>
          <cell r="CT192">
            <v>4</v>
          </cell>
          <cell r="CU192">
            <v>0</v>
          </cell>
          <cell r="CV192">
            <v>0</v>
          </cell>
          <cell r="CZ192">
            <v>4</v>
          </cell>
        </row>
        <row r="193">
          <cell r="C193" t="str">
            <v>01866</v>
          </cell>
          <cell r="D193" t="str">
            <v>Trần Thị Lệ Hồng</v>
          </cell>
          <cell r="E193" t="str">
            <v>HR &amp; Admin</v>
          </cell>
          <cell r="F193" t="str">
            <v>Admin</v>
          </cell>
          <cell r="G193" t="str">
            <v>Group Leader</v>
          </cell>
          <cell r="H193">
            <v>43647</v>
          </cell>
          <cell r="I193">
            <v>8</v>
          </cell>
          <cell r="J193">
            <v>8</v>
          </cell>
          <cell r="K193" t="str">
            <v>PO</v>
          </cell>
          <cell r="L193" t="str">
            <v>CN</v>
          </cell>
          <cell r="M193">
            <v>8</v>
          </cell>
          <cell r="N193">
            <v>8</v>
          </cell>
          <cell r="O193">
            <v>8</v>
          </cell>
          <cell r="P193">
            <v>8</v>
          </cell>
          <cell r="Q193" t="str">
            <v>PO</v>
          </cell>
          <cell r="R193" t="str">
            <v>PO</v>
          </cell>
          <cell r="S193" t="str">
            <v>CN</v>
          </cell>
          <cell r="T193">
            <v>8</v>
          </cell>
          <cell r="U193">
            <v>8</v>
          </cell>
          <cell r="V193">
            <v>8</v>
          </cell>
          <cell r="W193">
            <v>8</v>
          </cell>
          <cell r="X193">
            <v>8</v>
          </cell>
          <cell r="Y193" t="str">
            <v>PO</v>
          </cell>
          <cell r="Z193" t="str">
            <v>CN</v>
          </cell>
          <cell r="AA193">
            <v>8</v>
          </cell>
          <cell r="AB193">
            <v>8</v>
          </cell>
          <cell r="AC193">
            <v>8</v>
          </cell>
          <cell r="AD193">
            <v>8</v>
          </cell>
          <cell r="AE193">
            <v>8</v>
          </cell>
          <cell r="AF193" t="str">
            <v>PO</v>
          </cell>
          <cell r="AG193" t="str">
            <v>CN</v>
          </cell>
          <cell r="AH193">
            <v>8</v>
          </cell>
          <cell r="AI193">
            <v>8</v>
          </cell>
          <cell r="AJ193" t="str">
            <v>AL8</v>
          </cell>
          <cell r="AN193">
            <v>0</v>
          </cell>
          <cell r="AO193">
            <v>144</v>
          </cell>
          <cell r="AP193">
            <v>0</v>
          </cell>
          <cell r="AQ193">
            <v>0</v>
          </cell>
          <cell r="AR193">
            <v>0</v>
          </cell>
          <cell r="AS193">
            <v>0</v>
          </cell>
          <cell r="AT193">
            <v>0</v>
          </cell>
          <cell r="AU193">
            <v>0</v>
          </cell>
          <cell r="AV193">
            <v>40</v>
          </cell>
          <cell r="AW193">
            <v>0</v>
          </cell>
          <cell r="AX193">
            <v>0</v>
          </cell>
          <cell r="AY193">
            <v>0</v>
          </cell>
          <cell r="AZ193">
            <v>0</v>
          </cell>
          <cell r="BA193">
            <v>8</v>
          </cell>
          <cell r="BB193">
            <v>0</v>
          </cell>
          <cell r="BC193">
            <v>0</v>
          </cell>
          <cell r="BD193">
            <v>0</v>
          </cell>
          <cell r="BE193">
            <v>0</v>
          </cell>
          <cell r="BF193">
            <v>0</v>
          </cell>
          <cell r="BG193">
            <v>192</v>
          </cell>
          <cell r="BH193">
            <v>1</v>
          </cell>
          <cell r="BI193">
            <v>1</v>
          </cell>
          <cell r="BJ193">
            <v>8</v>
          </cell>
          <cell r="BL193">
            <v>0</v>
          </cell>
          <cell r="BM193">
            <v>0</v>
          </cell>
          <cell r="BN193">
            <v>0</v>
          </cell>
          <cell r="BO193">
            <v>0</v>
          </cell>
          <cell r="BP193">
            <v>0</v>
          </cell>
          <cell r="BQ193">
            <v>0</v>
          </cell>
          <cell r="BR193">
            <v>0</v>
          </cell>
          <cell r="BS193">
            <v>0</v>
          </cell>
          <cell r="BT193">
            <v>0</v>
          </cell>
          <cell r="BU193">
            <v>0</v>
          </cell>
          <cell r="BV193">
            <v>0</v>
          </cell>
          <cell r="BW193">
            <v>0</v>
          </cell>
          <cell r="BX193">
            <v>0</v>
          </cell>
          <cell r="BY193">
            <v>0</v>
          </cell>
          <cell r="BZ193">
            <v>0</v>
          </cell>
          <cell r="CA193">
            <v>0</v>
          </cell>
          <cell r="CB193">
            <v>0</v>
          </cell>
          <cell r="CC193">
            <v>0</v>
          </cell>
          <cell r="CD193">
            <v>0</v>
          </cell>
          <cell r="CE193">
            <v>0</v>
          </cell>
          <cell r="CF193">
            <v>0</v>
          </cell>
          <cell r="CG193">
            <v>0</v>
          </cell>
          <cell r="CH193">
            <v>0</v>
          </cell>
          <cell r="CI193">
            <v>0</v>
          </cell>
          <cell r="CJ193">
            <v>0</v>
          </cell>
          <cell r="CK193">
            <v>0</v>
          </cell>
          <cell r="CL193">
            <v>0</v>
          </cell>
          <cell r="CM193">
            <v>0</v>
          </cell>
          <cell r="CR193">
            <v>0</v>
          </cell>
          <cell r="CS193">
            <v>0</v>
          </cell>
          <cell r="CT193">
            <v>0</v>
          </cell>
          <cell r="CU193">
            <v>0</v>
          </cell>
          <cell r="CV193">
            <v>0</v>
          </cell>
          <cell r="CZ193">
            <v>0</v>
          </cell>
        </row>
        <row r="194">
          <cell r="C194" t="str">
            <v>01868</v>
          </cell>
          <cell r="D194" t="str">
            <v xml:space="preserve">Lưu Thị Tuyết </v>
          </cell>
          <cell r="E194" t="str">
            <v>QC</v>
          </cell>
          <cell r="F194" t="str">
            <v>QC</v>
          </cell>
          <cell r="G194" t="str">
            <v>Skilled worker</v>
          </cell>
          <cell r="H194">
            <v>43654</v>
          </cell>
          <cell r="I194" t="str">
            <v>TV</v>
          </cell>
          <cell r="J194" t="str">
            <v>TV</v>
          </cell>
          <cell r="K194" t="str">
            <v>TV</v>
          </cell>
          <cell r="L194" t="str">
            <v>TV</v>
          </cell>
          <cell r="M194" t="str">
            <v>TV</v>
          </cell>
          <cell r="N194" t="str">
            <v>TV</v>
          </cell>
          <cell r="O194" t="str">
            <v>TV</v>
          </cell>
          <cell r="P194" t="str">
            <v>TV</v>
          </cell>
          <cell r="Q194" t="str">
            <v>TV</v>
          </cell>
          <cell r="R194" t="str">
            <v>TV</v>
          </cell>
          <cell r="S194" t="str">
            <v>TV</v>
          </cell>
          <cell r="T194" t="str">
            <v>TV</v>
          </cell>
          <cell r="U194" t="str">
            <v>TV</v>
          </cell>
          <cell r="V194" t="str">
            <v>TV</v>
          </cell>
          <cell r="W194" t="str">
            <v>TV</v>
          </cell>
          <cell r="X194" t="str">
            <v>TV</v>
          </cell>
          <cell r="Y194" t="str">
            <v>TV</v>
          </cell>
          <cell r="Z194" t="str">
            <v>TV</v>
          </cell>
          <cell r="AA194" t="str">
            <v>TV</v>
          </cell>
          <cell r="AB194" t="str">
            <v>TV</v>
          </cell>
          <cell r="AC194" t="str">
            <v>TV</v>
          </cell>
          <cell r="AD194" t="str">
            <v>TV</v>
          </cell>
          <cell r="AE194" t="str">
            <v>TV</v>
          </cell>
          <cell r="AF194" t="str">
            <v>TV</v>
          </cell>
          <cell r="AG194" t="str">
            <v>TV</v>
          </cell>
          <cell r="AH194" t="str">
            <v>TV</v>
          </cell>
          <cell r="AI194" t="str">
            <v>TV</v>
          </cell>
          <cell r="AJ194" t="str">
            <v>TV</v>
          </cell>
          <cell r="AN194">
            <v>0</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2</v>
          </cell>
          <cell r="BL194">
            <v>0</v>
          </cell>
          <cell r="BM194">
            <v>0</v>
          </cell>
          <cell r="BN194">
            <v>0</v>
          </cell>
          <cell r="BO194">
            <v>0</v>
          </cell>
          <cell r="BP194">
            <v>0</v>
          </cell>
          <cell r="BQ194">
            <v>0</v>
          </cell>
          <cell r="BR194">
            <v>0</v>
          </cell>
          <cell r="BS194">
            <v>0</v>
          </cell>
          <cell r="BT194">
            <v>0</v>
          </cell>
          <cell r="BU194">
            <v>0</v>
          </cell>
          <cell r="BV194">
            <v>0</v>
          </cell>
          <cell r="BW194">
            <v>0</v>
          </cell>
          <cell r="BX194">
            <v>0</v>
          </cell>
          <cell r="BY194">
            <v>0</v>
          </cell>
          <cell r="BZ194">
            <v>0</v>
          </cell>
          <cell r="CA194">
            <v>0</v>
          </cell>
          <cell r="CB194">
            <v>0</v>
          </cell>
          <cell r="CC194">
            <v>0</v>
          </cell>
          <cell r="CD194">
            <v>0</v>
          </cell>
          <cell r="CE194">
            <v>0</v>
          </cell>
          <cell r="CF194">
            <v>0</v>
          </cell>
          <cell r="CG194">
            <v>0</v>
          </cell>
          <cell r="CH194">
            <v>0</v>
          </cell>
          <cell r="CI194">
            <v>0</v>
          </cell>
          <cell r="CJ194">
            <v>0</v>
          </cell>
          <cell r="CK194">
            <v>0</v>
          </cell>
          <cell r="CL194">
            <v>0</v>
          </cell>
          <cell r="CM194">
            <v>0</v>
          </cell>
          <cell r="CR194">
            <v>0</v>
          </cell>
          <cell r="CS194">
            <v>0</v>
          </cell>
          <cell r="CT194">
            <v>0</v>
          </cell>
          <cell r="CU194">
            <v>0</v>
          </cell>
          <cell r="CV194">
            <v>0</v>
          </cell>
          <cell r="CZ194">
            <v>0</v>
          </cell>
        </row>
        <row r="195">
          <cell r="C195" t="str">
            <v>01882</v>
          </cell>
          <cell r="D195" t="str">
            <v>Nguyễn Bá Tân</v>
          </cell>
          <cell r="E195" t="str">
            <v>Production</v>
          </cell>
          <cell r="F195" t="str">
            <v>Lamination</v>
          </cell>
          <cell r="G195" t="str">
            <v>Worker</v>
          </cell>
          <cell r="H195">
            <v>43668</v>
          </cell>
          <cell r="I195">
            <v>8</v>
          </cell>
          <cell r="J195">
            <v>8</v>
          </cell>
          <cell r="K195" t="str">
            <v>Đ</v>
          </cell>
          <cell r="L195" t="str">
            <v>CN</v>
          </cell>
          <cell r="M195">
            <v>8</v>
          </cell>
          <cell r="N195" t="str">
            <v>AL8</v>
          </cell>
          <cell r="O195">
            <v>8</v>
          </cell>
          <cell r="P195">
            <v>8</v>
          </cell>
          <cell r="Q195" t="str">
            <v>Đ</v>
          </cell>
          <cell r="R195" t="str">
            <v>Đ</v>
          </cell>
          <cell r="S195" t="str">
            <v>CN</v>
          </cell>
          <cell r="T195">
            <v>8</v>
          </cell>
          <cell r="U195" t="str">
            <v>AL4</v>
          </cell>
          <cell r="V195">
            <v>8</v>
          </cell>
          <cell r="W195">
            <v>8</v>
          </cell>
          <cell r="X195">
            <v>8</v>
          </cell>
          <cell r="Y195" t="str">
            <v>Đ</v>
          </cell>
          <cell r="Z195" t="str">
            <v>CN</v>
          </cell>
          <cell r="AA195">
            <v>8</v>
          </cell>
          <cell r="AB195">
            <v>8</v>
          </cell>
          <cell r="AC195">
            <v>8</v>
          </cell>
          <cell r="AD195">
            <v>8</v>
          </cell>
          <cell r="AE195" t="str">
            <v>Đ</v>
          </cell>
          <cell r="AF195" t="str">
            <v>Đ</v>
          </cell>
          <cell r="AG195" t="str">
            <v>CN</v>
          </cell>
          <cell r="AH195">
            <v>8</v>
          </cell>
          <cell r="AI195">
            <v>8</v>
          </cell>
          <cell r="AJ195">
            <v>8</v>
          </cell>
          <cell r="AN195">
            <v>48</v>
          </cell>
          <cell r="AO195">
            <v>132</v>
          </cell>
          <cell r="AP195">
            <v>4</v>
          </cell>
          <cell r="AQ195">
            <v>0</v>
          </cell>
          <cell r="AR195">
            <v>0</v>
          </cell>
          <cell r="AS195">
            <v>0</v>
          </cell>
          <cell r="AT195">
            <v>0</v>
          </cell>
          <cell r="AU195">
            <v>0</v>
          </cell>
          <cell r="AV195">
            <v>0</v>
          </cell>
          <cell r="AW195">
            <v>0</v>
          </cell>
          <cell r="AX195">
            <v>0</v>
          </cell>
          <cell r="AY195">
            <v>0</v>
          </cell>
          <cell r="AZ195">
            <v>0</v>
          </cell>
          <cell r="BA195">
            <v>12</v>
          </cell>
          <cell r="BB195">
            <v>0</v>
          </cell>
          <cell r="BC195">
            <v>0</v>
          </cell>
          <cell r="BD195">
            <v>0</v>
          </cell>
          <cell r="BE195">
            <v>0</v>
          </cell>
          <cell r="BF195">
            <v>0</v>
          </cell>
          <cell r="BG195">
            <v>192</v>
          </cell>
          <cell r="BH195">
            <v>1.5</v>
          </cell>
          <cell r="BI195">
            <v>1.5</v>
          </cell>
          <cell r="BJ195">
            <v>3.5</v>
          </cell>
          <cell r="BL195">
            <v>0</v>
          </cell>
          <cell r="BM195">
            <v>4</v>
          </cell>
          <cell r="BN195">
            <v>4</v>
          </cell>
          <cell r="BO195">
            <v>0</v>
          </cell>
          <cell r="BP195">
            <v>0</v>
          </cell>
          <cell r="BQ195">
            <v>0</v>
          </cell>
          <cell r="BR195">
            <v>0</v>
          </cell>
          <cell r="BS195">
            <v>0</v>
          </cell>
          <cell r="BT195">
            <v>4</v>
          </cell>
          <cell r="BU195">
            <v>4</v>
          </cell>
          <cell r="BV195">
            <v>0</v>
          </cell>
          <cell r="BW195">
            <v>0</v>
          </cell>
          <cell r="BX195">
            <v>0</v>
          </cell>
          <cell r="BY195">
            <v>0</v>
          </cell>
          <cell r="BZ195">
            <v>0</v>
          </cell>
          <cell r="CA195">
            <v>4</v>
          </cell>
          <cell r="CB195">
            <v>4</v>
          </cell>
          <cell r="CC195">
            <v>0</v>
          </cell>
          <cell r="CD195">
            <v>0</v>
          </cell>
          <cell r="CE195">
            <v>0</v>
          </cell>
          <cell r="CF195">
            <v>0</v>
          </cell>
          <cell r="CG195">
            <v>0</v>
          </cell>
          <cell r="CH195">
            <v>4</v>
          </cell>
          <cell r="CI195">
            <v>4</v>
          </cell>
          <cell r="CJ195">
            <v>0</v>
          </cell>
          <cell r="CK195">
            <v>0</v>
          </cell>
          <cell r="CL195">
            <v>0</v>
          </cell>
          <cell r="CM195">
            <v>0</v>
          </cell>
          <cell r="CR195">
            <v>0</v>
          </cell>
          <cell r="CS195">
            <v>0</v>
          </cell>
          <cell r="CT195">
            <v>32</v>
          </cell>
          <cell r="CU195">
            <v>0</v>
          </cell>
          <cell r="CV195">
            <v>0</v>
          </cell>
          <cell r="CZ195">
            <v>32</v>
          </cell>
        </row>
        <row r="196">
          <cell r="C196" t="str">
            <v>01883</v>
          </cell>
          <cell r="D196" t="str">
            <v>Nguyễn Văn Phú Tân</v>
          </cell>
          <cell r="E196" t="str">
            <v>Production</v>
          </cell>
          <cell r="F196" t="str">
            <v>Lamination</v>
          </cell>
          <cell r="G196" t="str">
            <v>Worker</v>
          </cell>
          <cell r="H196">
            <v>43668</v>
          </cell>
          <cell r="I196" t="str">
            <v>Đ</v>
          </cell>
          <cell r="J196" t="str">
            <v>Đ</v>
          </cell>
          <cell r="K196" t="str">
            <v>CN</v>
          </cell>
          <cell r="L196">
            <v>8</v>
          </cell>
          <cell r="M196">
            <v>8</v>
          </cell>
          <cell r="N196">
            <v>8</v>
          </cell>
          <cell r="O196">
            <v>8</v>
          </cell>
          <cell r="P196">
            <v>8</v>
          </cell>
          <cell r="Q196">
            <v>8</v>
          </cell>
          <cell r="R196" t="str">
            <v>CN</v>
          </cell>
          <cell r="S196" t="str">
            <v>Đ</v>
          </cell>
          <cell r="T196" t="str">
            <v>Đ</v>
          </cell>
          <cell r="U196" t="str">
            <v>Đ</v>
          </cell>
          <cell r="V196" t="str">
            <v>Đ</v>
          </cell>
          <cell r="W196" t="str">
            <v>Đ</v>
          </cell>
          <cell r="X196" t="str">
            <v>Đ</v>
          </cell>
          <cell r="Y196" t="str">
            <v>CN</v>
          </cell>
          <cell r="Z196">
            <v>8</v>
          </cell>
          <cell r="AA196">
            <v>8</v>
          </cell>
          <cell r="AB196">
            <v>8</v>
          </cell>
          <cell r="AC196">
            <v>8</v>
          </cell>
          <cell r="AD196">
            <v>8</v>
          </cell>
          <cell r="AE196">
            <v>8</v>
          </cell>
          <cell r="AF196" t="str">
            <v>CN</v>
          </cell>
          <cell r="AG196">
            <v>8</v>
          </cell>
          <cell r="AH196">
            <v>8</v>
          </cell>
          <cell r="AI196">
            <v>8</v>
          </cell>
          <cell r="AJ196">
            <v>8</v>
          </cell>
          <cell r="AN196">
            <v>64</v>
          </cell>
          <cell r="AO196">
            <v>128</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192</v>
          </cell>
          <cell r="BH196">
            <v>0</v>
          </cell>
          <cell r="BI196">
            <v>0</v>
          </cell>
          <cell r="BJ196">
            <v>5.5</v>
          </cell>
          <cell r="BL196">
            <v>0</v>
          </cell>
          <cell r="BM196">
            <v>0</v>
          </cell>
          <cell r="BN196">
            <v>0</v>
          </cell>
          <cell r="BO196">
            <v>4</v>
          </cell>
          <cell r="BP196">
            <v>0</v>
          </cell>
          <cell r="BQ196">
            <v>0</v>
          </cell>
          <cell r="BR196">
            <v>0</v>
          </cell>
          <cell r="BS196">
            <v>0</v>
          </cell>
          <cell r="BT196">
            <v>4</v>
          </cell>
          <cell r="BU196">
            <v>0</v>
          </cell>
          <cell r="BV196">
            <v>4</v>
          </cell>
          <cell r="BW196">
            <v>0</v>
          </cell>
          <cell r="BX196">
            <v>0</v>
          </cell>
          <cell r="BY196">
            <v>0</v>
          </cell>
          <cell r="BZ196">
            <v>0</v>
          </cell>
          <cell r="CA196">
            <v>4</v>
          </cell>
          <cell r="CB196">
            <v>0</v>
          </cell>
          <cell r="CC196">
            <v>4</v>
          </cell>
          <cell r="CD196">
            <v>0</v>
          </cell>
          <cell r="CE196">
            <v>4</v>
          </cell>
          <cell r="CF196">
            <v>0</v>
          </cell>
          <cell r="CG196">
            <v>0</v>
          </cell>
          <cell r="CH196">
            <v>4</v>
          </cell>
          <cell r="CI196">
            <v>0</v>
          </cell>
          <cell r="CJ196">
            <v>4</v>
          </cell>
          <cell r="CK196">
            <v>4</v>
          </cell>
          <cell r="CL196">
            <v>0</v>
          </cell>
          <cell r="CM196">
            <v>0</v>
          </cell>
          <cell r="CR196">
            <v>0</v>
          </cell>
          <cell r="CS196">
            <v>0</v>
          </cell>
          <cell r="CT196">
            <v>36</v>
          </cell>
          <cell r="CU196">
            <v>0</v>
          </cell>
          <cell r="CV196">
            <v>0</v>
          </cell>
          <cell r="CZ196">
            <v>36</v>
          </cell>
        </row>
        <row r="197">
          <cell r="C197" t="str">
            <v>01887</v>
          </cell>
          <cell r="D197" t="str">
            <v>Phạm Nhị Nương</v>
          </cell>
          <cell r="E197" t="str">
            <v>Technical Development</v>
          </cell>
          <cell r="F197" t="str">
            <v>PD Sample</v>
          </cell>
          <cell r="G197" t="str">
            <v>Worker</v>
          </cell>
          <cell r="H197">
            <v>43669</v>
          </cell>
          <cell r="I197">
            <v>8</v>
          </cell>
          <cell r="J197">
            <v>8</v>
          </cell>
          <cell r="K197">
            <v>8</v>
          </cell>
          <cell r="L197" t="str">
            <v>CN</v>
          </cell>
          <cell r="M197">
            <v>8</v>
          </cell>
          <cell r="N197" t="str">
            <v>AL4</v>
          </cell>
          <cell r="O197" t="str">
            <v>AL8</v>
          </cell>
          <cell r="P197">
            <v>8</v>
          </cell>
          <cell r="Q197">
            <v>8</v>
          </cell>
          <cell r="R197">
            <v>8</v>
          </cell>
          <cell r="S197" t="str">
            <v>CN</v>
          </cell>
          <cell r="T197">
            <v>8</v>
          </cell>
          <cell r="U197">
            <v>8</v>
          </cell>
          <cell r="V197">
            <v>8</v>
          </cell>
          <cell r="W197">
            <v>8</v>
          </cell>
          <cell r="X197">
            <v>8</v>
          </cell>
          <cell r="Y197">
            <v>8</v>
          </cell>
          <cell r="Z197" t="str">
            <v>CN</v>
          </cell>
          <cell r="AA197">
            <v>8</v>
          </cell>
          <cell r="AB197">
            <v>8</v>
          </cell>
          <cell r="AC197">
            <v>8</v>
          </cell>
          <cell r="AD197">
            <v>8</v>
          </cell>
          <cell r="AE197">
            <v>8</v>
          </cell>
          <cell r="AF197">
            <v>8</v>
          </cell>
          <cell r="AG197" t="str">
            <v>CN</v>
          </cell>
          <cell r="AH197">
            <v>8</v>
          </cell>
          <cell r="AI197">
            <v>8</v>
          </cell>
          <cell r="AJ197">
            <v>8</v>
          </cell>
          <cell r="AN197">
            <v>0</v>
          </cell>
          <cell r="AO197">
            <v>180</v>
          </cell>
          <cell r="AP197">
            <v>4</v>
          </cell>
          <cell r="AQ197">
            <v>0</v>
          </cell>
          <cell r="AR197">
            <v>0</v>
          </cell>
          <cell r="AS197">
            <v>0</v>
          </cell>
          <cell r="AT197">
            <v>0</v>
          </cell>
          <cell r="AU197">
            <v>0</v>
          </cell>
          <cell r="AV197">
            <v>0</v>
          </cell>
          <cell r="AW197">
            <v>0</v>
          </cell>
          <cell r="AX197">
            <v>0</v>
          </cell>
          <cell r="AY197">
            <v>0</v>
          </cell>
          <cell r="AZ197">
            <v>0</v>
          </cell>
          <cell r="BA197">
            <v>12</v>
          </cell>
          <cell r="BB197">
            <v>0</v>
          </cell>
          <cell r="BC197">
            <v>0</v>
          </cell>
          <cell r="BD197">
            <v>0</v>
          </cell>
          <cell r="BE197">
            <v>0</v>
          </cell>
          <cell r="BF197">
            <v>0</v>
          </cell>
          <cell r="BG197">
            <v>192</v>
          </cell>
          <cell r="BH197">
            <v>1.5</v>
          </cell>
          <cell r="BI197">
            <v>1.5</v>
          </cell>
          <cell r="BJ197">
            <v>2</v>
          </cell>
          <cell r="BL197">
            <v>3</v>
          </cell>
          <cell r="BM197">
            <v>3</v>
          </cell>
          <cell r="BN197">
            <v>0</v>
          </cell>
          <cell r="BO197">
            <v>0</v>
          </cell>
          <cell r="BP197">
            <v>3</v>
          </cell>
          <cell r="BQ197">
            <v>0</v>
          </cell>
          <cell r="BR197">
            <v>0</v>
          </cell>
          <cell r="BS197">
            <v>3</v>
          </cell>
          <cell r="BT197">
            <v>0</v>
          </cell>
          <cell r="BU197">
            <v>0</v>
          </cell>
          <cell r="BV197">
            <v>0</v>
          </cell>
          <cell r="BW197">
            <v>3</v>
          </cell>
          <cell r="BX197">
            <v>3</v>
          </cell>
          <cell r="BY197">
            <v>3</v>
          </cell>
          <cell r="BZ197">
            <v>3</v>
          </cell>
          <cell r="CA197">
            <v>0</v>
          </cell>
          <cell r="CB197">
            <v>0</v>
          </cell>
          <cell r="CC197">
            <v>0</v>
          </cell>
          <cell r="CD197">
            <v>3</v>
          </cell>
          <cell r="CE197">
            <v>0</v>
          </cell>
          <cell r="CF197">
            <v>0</v>
          </cell>
          <cell r="CG197">
            <v>3</v>
          </cell>
          <cell r="CH197">
            <v>3</v>
          </cell>
          <cell r="CI197">
            <v>0</v>
          </cell>
          <cell r="CJ197">
            <v>0</v>
          </cell>
          <cell r="CK197">
            <v>0</v>
          </cell>
          <cell r="CL197">
            <v>0</v>
          </cell>
          <cell r="CM197">
            <v>0</v>
          </cell>
          <cell r="CR197">
            <v>0</v>
          </cell>
          <cell r="CS197">
            <v>0</v>
          </cell>
          <cell r="CT197">
            <v>33</v>
          </cell>
          <cell r="CU197">
            <v>0</v>
          </cell>
          <cell r="CV197">
            <v>0</v>
          </cell>
          <cell r="CZ197">
            <v>33</v>
          </cell>
        </row>
        <row r="198">
          <cell r="C198" t="str">
            <v>01891</v>
          </cell>
          <cell r="D198" t="str">
            <v>Đào Thị Thúy</v>
          </cell>
          <cell r="E198" t="str">
            <v>Production</v>
          </cell>
          <cell r="F198" t="str">
            <v>Die Cut</v>
          </cell>
          <cell r="G198" t="str">
            <v>Worker</v>
          </cell>
          <cell r="H198">
            <v>43672</v>
          </cell>
          <cell r="I198" t="str">
            <v>AL8</v>
          </cell>
          <cell r="J198" t="str">
            <v>AL8</v>
          </cell>
          <cell r="K198" t="str">
            <v>AL8</v>
          </cell>
          <cell r="L198" t="str">
            <v>CN</v>
          </cell>
          <cell r="M198" t="str">
            <v>Đ</v>
          </cell>
          <cell r="N198" t="str">
            <v>Đ</v>
          </cell>
          <cell r="O198" t="str">
            <v>Đ</v>
          </cell>
          <cell r="P198" t="str">
            <v>Đ</v>
          </cell>
          <cell r="Q198" t="str">
            <v>Đ</v>
          </cell>
          <cell r="R198" t="str">
            <v>Đ</v>
          </cell>
          <cell r="S198" t="str">
            <v>CN</v>
          </cell>
          <cell r="T198">
            <v>8</v>
          </cell>
          <cell r="U198">
            <v>8</v>
          </cell>
          <cell r="V198">
            <v>8</v>
          </cell>
          <cell r="W198">
            <v>8</v>
          </cell>
          <cell r="X198">
            <v>8</v>
          </cell>
          <cell r="Y198">
            <v>8</v>
          </cell>
          <cell r="Z198" t="str">
            <v>CN</v>
          </cell>
          <cell r="AA198" t="str">
            <v>Đ</v>
          </cell>
          <cell r="AB198" t="str">
            <v>Đ</v>
          </cell>
          <cell r="AC198" t="str">
            <v>Đ</v>
          </cell>
          <cell r="AD198" t="str">
            <v>Đ</v>
          </cell>
          <cell r="AE198" t="str">
            <v>Đ</v>
          </cell>
          <cell r="AF198" t="str">
            <v>Đ</v>
          </cell>
          <cell r="AG198" t="str">
            <v>CN</v>
          </cell>
          <cell r="AH198">
            <v>8</v>
          </cell>
          <cell r="AI198">
            <v>8</v>
          </cell>
          <cell r="AJ198">
            <v>8</v>
          </cell>
          <cell r="AN198">
            <v>96</v>
          </cell>
          <cell r="AO198">
            <v>72</v>
          </cell>
          <cell r="AP198">
            <v>0</v>
          </cell>
          <cell r="AQ198">
            <v>0</v>
          </cell>
          <cell r="AR198">
            <v>0</v>
          </cell>
          <cell r="AS198">
            <v>0</v>
          </cell>
          <cell r="AT198">
            <v>0</v>
          </cell>
          <cell r="AU198">
            <v>0</v>
          </cell>
          <cell r="AV198">
            <v>0</v>
          </cell>
          <cell r="AW198">
            <v>0</v>
          </cell>
          <cell r="AX198">
            <v>0</v>
          </cell>
          <cell r="AY198">
            <v>0</v>
          </cell>
          <cell r="AZ198">
            <v>0</v>
          </cell>
          <cell r="BA198">
            <v>24</v>
          </cell>
          <cell r="BB198">
            <v>0</v>
          </cell>
          <cell r="BC198">
            <v>0</v>
          </cell>
          <cell r="BD198">
            <v>0</v>
          </cell>
          <cell r="BE198">
            <v>0</v>
          </cell>
          <cell r="BF198">
            <v>0</v>
          </cell>
          <cell r="BG198">
            <v>192</v>
          </cell>
          <cell r="BH198">
            <v>3</v>
          </cell>
          <cell r="BI198">
            <v>3</v>
          </cell>
          <cell r="BJ198">
            <v>6</v>
          </cell>
          <cell r="BL198">
            <v>0</v>
          </cell>
          <cell r="BM198">
            <v>0</v>
          </cell>
          <cell r="BN198">
            <v>0</v>
          </cell>
          <cell r="BO198">
            <v>0</v>
          </cell>
          <cell r="BP198">
            <v>1.5</v>
          </cell>
          <cell r="BQ198">
            <v>0</v>
          </cell>
          <cell r="BR198">
            <v>0</v>
          </cell>
          <cell r="BS198">
            <v>4</v>
          </cell>
          <cell r="BT198">
            <v>4</v>
          </cell>
          <cell r="BU198">
            <v>4</v>
          </cell>
          <cell r="BV198">
            <v>0</v>
          </cell>
          <cell r="BW198">
            <v>3</v>
          </cell>
          <cell r="BX198">
            <v>3</v>
          </cell>
          <cell r="BY198">
            <v>3</v>
          </cell>
          <cell r="BZ198">
            <v>3</v>
          </cell>
          <cell r="CA198">
            <v>3</v>
          </cell>
          <cell r="CB198">
            <v>3</v>
          </cell>
          <cell r="CC198">
            <v>8</v>
          </cell>
          <cell r="CD198">
            <v>4</v>
          </cell>
          <cell r="CE198">
            <v>4</v>
          </cell>
          <cell r="CF198">
            <v>4</v>
          </cell>
          <cell r="CG198">
            <v>4</v>
          </cell>
          <cell r="CH198">
            <v>4</v>
          </cell>
          <cell r="CI198">
            <v>4</v>
          </cell>
          <cell r="CJ198">
            <v>0</v>
          </cell>
          <cell r="CK198">
            <v>3</v>
          </cell>
          <cell r="CL198">
            <v>3</v>
          </cell>
          <cell r="CM198">
            <v>3</v>
          </cell>
          <cell r="CR198">
            <v>0</v>
          </cell>
          <cell r="CS198">
            <v>0</v>
          </cell>
          <cell r="CT198">
            <v>64.5</v>
          </cell>
          <cell r="CU198">
            <v>8</v>
          </cell>
          <cell r="CV198">
            <v>0</v>
          </cell>
          <cell r="CZ198">
            <v>72.5</v>
          </cell>
        </row>
        <row r="199">
          <cell r="C199" t="str">
            <v>01921</v>
          </cell>
          <cell r="D199" t="str">
            <v>Trần Thị Bích Tuyền</v>
          </cell>
          <cell r="E199" t="str">
            <v>QC</v>
          </cell>
          <cell r="F199" t="str">
            <v>QC</v>
          </cell>
          <cell r="G199" t="str">
            <v>Worker</v>
          </cell>
          <cell r="H199">
            <v>43692</v>
          </cell>
          <cell r="I199" t="str">
            <v>TV</v>
          </cell>
          <cell r="J199" t="str">
            <v>TV</v>
          </cell>
          <cell r="K199" t="str">
            <v>TV</v>
          </cell>
          <cell r="L199" t="str">
            <v>TV</v>
          </cell>
          <cell r="M199" t="str">
            <v>TV</v>
          </cell>
          <cell r="N199" t="str">
            <v>TV</v>
          </cell>
          <cell r="O199" t="str">
            <v>TV</v>
          </cell>
          <cell r="P199" t="str">
            <v>TV</v>
          </cell>
          <cell r="Q199" t="str">
            <v>TV</v>
          </cell>
          <cell r="R199" t="str">
            <v>TV</v>
          </cell>
          <cell r="S199" t="str">
            <v>TV</v>
          </cell>
          <cell r="T199" t="str">
            <v>TV</v>
          </cell>
          <cell r="U199" t="str">
            <v>TV</v>
          </cell>
          <cell r="V199" t="str">
            <v>TV</v>
          </cell>
          <cell r="W199" t="str">
            <v>TV</v>
          </cell>
          <cell r="X199" t="str">
            <v>TV</v>
          </cell>
          <cell r="Y199" t="str">
            <v>TV</v>
          </cell>
          <cell r="Z199" t="str">
            <v>TV</v>
          </cell>
          <cell r="AA199" t="str">
            <v>TV</v>
          </cell>
          <cell r="AB199" t="str">
            <v>TV</v>
          </cell>
          <cell r="AC199" t="str">
            <v>TV</v>
          </cell>
          <cell r="AD199" t="str">
            <v>TV</v>
          </cell>
          <cell r="AE199" t="str">
            <v>TV</v>
          </cell>
          <cell r="AF199" t="str">
            <v>TV</v>
          </cell>
          <cell r="AG199" t="str">
            <v>TV</v>
          </cell>
          <cell r="AH199" t="str">
            <v>TV</v>
          </cell>
          <cell r="AI199" t="str">
            <v>TV</v>
          </cell>
          <cell r="AJ199" t="str">
            <v>TV</v>
          </cell>
          <cell r="AN199">
            <v>0</v>
          </cell>
          <cell r="AO199">
            <v>0</v>
          </cell>
          <cell r="AP199">
            <v>0</v>
          </cell>
          <cell r="AQ199">
            <v>0</v>
          </cell>
          <cell r="AR199">
            <v>0</v>
          </cell>
          <cell r="AS199">
            <v>0</v>
          </cell>
          <cell r="AT199">
            <v>0</v>
          </cell>
          <cell r="AU199">
            <v>0</v>
          </cell>
          <cell r="AV199">
            <v>0</v>
          </cell>
          <cell r="AW199">
            <v>0</v>
          </cell>
          <cell r="AX199">
            <v>0</v>
          </cell>
          <cell r="AY199">
            <v>0</v>
          </cell>
          <cell r="AZ199">
            <v>0</v>
          </cell>
          <cell r="BA199">
            <v>0</v>
          </cell>
          <cell r="BB199">
            <v>0</v>
          </cell>
          <cell r="BC199">
            <v>0</v>
          </cell>
          <cell r="BD199">
            <v>0</v>
          </cell>
          <cell r="BE199">
            <v>0</v>
          </cell>
          <cell r="BF199">
            <v>0</v>
          </cell>
          <cell r="BG199">
            <v>0</v>
          </cell>
          <cell r="BH199">
            <v>0</v>
          </cell>
          <cell r="BI199">
            <v>0</v>
          </cell>
          <cell r="BJ199">
            <v>-1.5</v>
          </cell>
          <cell r="BL199">
            <v>0</v>
          </cell>
          <cell r="BM199">
            <v>0</v>
          </cell>
          <cell r="BN199">
            <v>0</v>
          </cell>
          <cell r="BO199">
            <v>0</v>
          </cell>
          <cell r="BP199">
            <v>0</v>
          </cell>
          <cell r="BQ199">
            <v>0</v>
          </cell>
          <cell r="BR199">
            <v>0</v>
          </cell>
          <cell r="BS199">
            <v>0</v>
          </cell>
          <cell r="BT199">
            <v>0</v>
          </cell>
          <cell r="BU199">
            <v>0</v>
          </cell>
          <cell r="BV199">
            <v>0</v>
          </cell>
          <cell r="BW199">
            <v>0</v>
          </cell>
          <cell r="BX199">
            <v>0</v>
          </cell>
          <cell r="BY199">
            <v>0</v>
          </cell>
          <cell r="BZ199">
            <v>0</v>
          </cell>
          <cell r="CA199">
            <v>0</v>
          </cell>
          <cell r="CB199">
            <v>0</v>
          </cell>
          <cell r="CC199">
            <v>0</v>
          </cell>
          <cell r="CD199">
            <v>0</v>
          </cell>
          <cell r="CE199">
            <v>0</v>
          </cell>
          <cell r="CF199">
            <v>0</v>
          </cell>
          <cell r="CG199">
            <v>0</v>
          </cell>
          <cell r="CH199">
            <v>0</v>
          </cell>
          <cell r="CI199">
            <v>0</v>
          </cell>
          <cell r="CJ199">
            <v>0</v>
          </cell>
          <cell r="CK199">
            <v>0</v>
          </cell>
          <cell r="CL199">
            <v>0</v>
          </cell>
          <cell r="CM199">
            <v>0</v>
          </cell>
          <cell r="CR199">
            <v>0</v>
          </cell>
          <cell r="CS199">
            <v>0</v>
          </cell>
          <cell r="CT199">
            <v>0</v>
          </cell>
          <cell r="CU199">
            <v>0</v>
          </cell>
          <cell r="CV199">
            <v>0</v>
          </cell>
          <cell r="CZ199">
            <v>0</v>
          </cell>
        </row>
        <row r="200">
          <cell r="C200" t="str">
            <v>01928</v>
          </cell>
          <cell r="D200" t="str">
            <v>Trần Thủy Tiên</v>
          </cell>
          <cell r="E200" t="str">
            <v>Technical Development</v>
          </cell>
          <cell r="F200" t="str">
            <v>PD Sample</v>
          </cell>
          <cell r="G200" t="str">
            <v>Worker</v>
          </cell>
          <cell r="H200">
            <v>43698</v>
          </cell>
          <cell r="I200">
            <v>8</v>
          </cell>
          <cell r="J200">
            <v>8</v>
          </cell>
          <cell r="K200">
            <v>8</v>
          </cell>
          <cell r="L200" t="str">
            <v>CN</v>
          </cell>
          <cell r="M200">
            <v>8</v>
          </cell>
          <cell r="N200">
            <v>8</v>
          </cell>
          <cell r="O200">
            <v>8</v>
          </cell>
          <cell r="P200">
            <v>8</v>
          </cell>
          <cell r="Q200">
            <v>8</v>
          </cell>
          <cell r="R200">
            <v>8</v>
          </cell>
          <cell r="S200" t="str">
            <v>CN</v>
          </cell>
          <cell r="T200">
            <v>8</v>
          </cell>
          <cell r="U200">
            <v>8</v>
          </cell>
          <cell r="V200">
            <v>8</v>
          </cell>
          <cell r="W200">
            <v>8</v>
          </cell>
          <cell r="X200">
            <v>8</v>
          </cell>
          <cell r="Y200">
            <v>8</v>
          </cell>
          <cell r="Z200" t="str">
            <v>CN</v>
          </cell>
          <cell r="AA200">
            <v>8</v>
          </cell>
          <cell r="AB200">
            <v>8</v>
          </cell>
          <cell r="AC200">
            <v>8</v>
          </cell>
          <cell r="AD200">
            <v>8</v>
          </cell>
          <cell r="AE200">
            <v>8</v>
          </cell>
          <cell r="AF200">
            <v>8</v>
          </cell>
          <cell r="AG200" t="str">
            <v>CN</v>
          </cell>
          <cell r="AH200">
            <v>8</v>
          </cell>
          <cell r="AI200">
            <v>8</v>
          </cell>
          <cell r="AJ200">
            <v>8</v>
          </cell>
          <cell r="AN200">
            <v>0</v>
          </cell>
          <cell r="AO200">
            <v>192</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192</v>
          </cell>
          <cell r="BH200">
            <v>0</v>
          </cell>
          <cell r="BI200">
            <v>0</v>
          </cell>
          <cell r="BJ200">
            <v>4.5</v>
          </cell>
          <cell r="BL200">
            <v>3</v>
          </cell>
          <cell r="BM200">
            <v>3</v>
          </cell>
          <cell r="BN200">
            <v>0</v>
          </cell>
          <cell r="BO200">
            <v>0</v>
          </cell>
          <cell r="BP200">
            <v>3</v>
          </cell>
          <cell r="BQ200">
            <v>3</v>
          </cell>
          <cell r="BR200">
            <v>3</v>
          </cell>
          <cell r="BS200">
            <v>3</v>
          </cell>
          <cell r="BT200">
            <v>0</v>
          </cell>
          <cell r="BU200">
            <v>0</v>
          </cell>
          <cell r="BV200">
            <v>0</v>
          </cell>
          <cell r="BW200">
            <v>3</v>
          </cell>
          <cell r="BX200">
            <v>3</v>
          </cell>
          <cell r="BY200">
            <v>3</v>
          </cell>
          <cell r="BZ200">
            <v>3</v>
          </cell>
          <cell r="CA200">
            <v>0</v>
          </cell>
          <cell r="CB200">
            <v>0</v>
          </cell>
          <cell r="CC200">
            <v>0</v>
          </cell>
          <cell r="CD200">
            <v>3</v>
          </cell>
          <cell r="CE200">
            <v>3</v>
          </cell>
          <cell r="CF200">
            <v>0</v>
          </cell>
          <cell r="CG200">
            <v>3</v>
          </cell>
          <cell r="CH200">
            <v>3</v>
          </cell>
          <cell r="CI200">
            <v>0</v>
          </cell>
          <cell r="CJ200">
            <v>0</v>
          </cell>
          <cell r="CK200">
            <v>0</v>
          </cell>
          <cell r="CL200">
            <v>0</v>
          </cell>
          <cell r="CM200">
            <v>0</v>
          </cell>
          <cell r="CR200">
            <v>0</v>
          </cell>
          <cell r="CS200">
            <v>0</v>
          </cell>
          <cell r="CT200">
            <v>42</v>
          </cell>
          <cell r="CU200">
            <v>0</v>
          </cell>
          <cell r="CV200">
            <v>0</v>
          </cell>
          <cell r="CZ200">
            <v>42</v>
          </cell>
        </row>
        <row r="201">
          <cell r="C201" t="str">
            <v>01944</v>
          </cell>
          <cell r="D201" t="str">
            <v>Tống Vĩ Khang</v>
          </cell>
          <cell r="E201" t="str">
            <v>Warehouse</v>
          </cell>
          <cell r="F201" t="str">
            <v>FGS Warehouse</v>
          </cell>
          <cell r="G201" t="str">
            <v>Worker</v>
          </cell>
          <cell r="H201">
            <v>43705</v>
          </cell>
          <cell r="I201">
            <v>8</v>
          </cell>
          <cell r="J201">
            <v>8</v>
          </cell>
          <cell r="K201">
            <v>8</v>
          </cell>
          <cell r="L201" t="str">
            <v>CN</v>
          </cell>
          <cell r="M201">
            <v>8</v>
          </cell>
          <cell r="N201">
            <v>8</v>
          </cell>
          <cell r="O201">
            <v>8</v>
          </cell>
          <cell r="P201">
            <v>8</v>
          </cell>
          <cell r="Q201">
            <v>8</v>
          </cell>
          <cell r="R201">
            <v>8</v>
          </cell>
          <cell r="S201" t="str">
            <v>CN</v>
          </cell>
          <cell r="T201">
            <v>8</v>
          </cell>
          <cell r="U201">
            <v>8</v>
          </cell>
          <cell r="V201">
            <v>8</v>
          </cell>
          <cell r="W201" t="str">
            <v>AL8</v>
          </cell>
          <cell r="X201" t="str">
            <v>AL8</v>
          </cell>
          <cell r="Y201" t="str">
            <v>AL8</v>
          </cell>
          <cell r="Z201" t="str">
            <v>CN</v>
          </cell>
          <cell r="AA201">
            <v>8</v>
          </cell>
          <cell r="AB201">
            <v>8</v>
          </cell>
          <cell r="AC201">
            <v>8</v>
          </cell>
          <cell r="AD201">
            <v>8</v>
          </cell>
          <cell r="AE201" t="str">
            <v>AL4</v>
          </cell>
          <cell r="AF201">
            <v>8</v>
          </cell>
          <cell r="AG201" t="str">
            <v>CN</v>
          </cell>
          <cell r="AH201">
            <v>8</v>
          </cell>
          <cell r="AI201">
            <v>8</v>
          </cell>
          <cell r="AJ201">
            <v>8</v>
          </cell>
          <cell r="AN201">
            <v>0</v>
          </cell>
          <cell r="AO201">
            <v>164</v>
          </cell>
          <cell r="AP201">
            <v>4</v>
          </cell>
          <cell r="AQ201">
            <v>0</v>
          </cell>
          <cell r="AR201">
            <v>0</v>
          </cell>
          <cell r="AS201">
            <v>0</v>
          </cell>
          <cell r="AT201">
            <v>0</v>
          </cell>
          <cell r="AU201">
            <v>0</v>
          </cell>
          <cell r="AV201">
            <v>0</v>
          </cell>
          <cell r="AW201">
            <v>0</v>
          </cell>
          <cell r="AX201">
            <v>0</v>
          </cell>
          <cell r="AY201">
            <v>0</v>
          </cell>
          <cell r="AZ201">
            <v>0</v>
          </cell>
          <cell r="BA201">
            <v>28</v>
          </cell>
          <cell r="BB201">
            <v>0</v>
          </cell>
          <cell r="BC201">
            <v>0</v>
          </cell>
          <cell r="BD201">
            <v>0</v>
          </cell>
          <cell r="BE201">
            <v>0</v>
          </cell>
          <cell r="BF201">
            <v>0</v>
          </cell>
          <cell r="BG201">
            <v>192</v>
          </cell>
          <cell r="BH201">
            <v>3.5</v>
          </cell>
          <cell r="BI201">
            <v>3.5</v>
          </cell>
          <cell r="BJ201">
            <v>2.5</v>
          </cell>
          <cell r="BL201">
            <v>0</v>
          </cell>
          <cell r="BM201">
            <v>0</v>
          </cell>
          <cell r="BN201">
            <v>0</v>
          </cell>
          <cell r="BO201">
            <v>0</v>
          </cell>
          <cell r="BP201">
            <v>0</v>
          </cell>
          <cell r="BQ201">
            <v>3</v>
          </cell>
          <cell r="BR201">
            <v>0</v>
          </cell>
          <cell r="BS201">
            <v>3</v>
          </cell>
          <cell r="BT201">
            <v>0</v>
          </cell>
          <cell r="BU201">
            <v>0</v>
          </cell>
          <cell r="BV201">
            <v>0</v>
          </cell>
          <cell r="BW201">
            <v>3</v>
          </cell>
          <cell r="BX201">
            <v>0</v>
          </cell>
          <cell r="BY201">
            <v>0</v>
          </cell>
          <cell r="BZ201">
            <v>0</v>
          </cell>
          <cell r="CA201">
            <v>0</v>
          </cell>
          <cell r="CB201">
            <v>0</v>
          </cell>
          <cell r="CC201">
            <v>0</v>
          </cell>
          <cell r="CD201">
            <v>0</v>
          </cell>
          <cell r="CE201">
            <v>0</v>
          </cell>
          <cell r="CF201">
            <v>3</v>
          </cell>
          <cell r="CG201">
            <v>0</v>
          </cell>
          <cell r="CH201">
            <v>0</v>
          </cell>
          <cell r="CI201">
            <v>0</v>
          </cell>
          <cell r="CJ201">
            <v>8</v>
          </cell>
          <cell r="CK201">
            <v>0</v>
          </cell>
          <cell r="CL201">
            <v>0</v>
          </cell>
          <cell r="CM201">
            <v>0</v>
          </cell>
          <cell r="CR201">
            <v>0</v>
          </cell>
          <cell r="CS201">
            <v>0</v>
          </cell>
          <cell r="CT201">
            <v>12</v>
          </cell>
          <cell r="CU201">
            <v>8</v>
          </cell>
          <cell r="CV201">
            <v>0</v>
          </cell>
          <cell r="CZ201">
            <v>20</v>
          </cell>
        </row>
        <row r="202">
          <cell r="C202" t="str">
            <v>01946</v>
          </cell>
          <cell r="D202" t="str">
            <v>Thị Hồng Liên</v>
          </cell>
          <cell r="E202" t="str">
            <v>Production</v>
          </cell>
          <cell r="F202" t="str">
            <v>Die Cut</v>
          </cell>
          <cell r="G202" t="str">
            <v>Worker</v>
          </cell>
          <cell r="H202">
            <v>43707</v>
          </cell>
          <cell r="I202">
            <v>8</v>
          </cell>
          <cell r="J202">
            <v>8</v>
          </cell>
          <cell r="K202">
            <v>8</v>
          </cell>
          <cell r="L202" t="str">
            <v>CN</v>
          </cell>
          <cell r="M202" t="str">
            <v>Đ</v>
          </cell>
          <cell r="N202" t="str">
            <v>Đ</v>
          </cell>
          <cell r="O202" t="str">
            <v>Đ</v>
          </cell>
          <cell r="P202" t="str">
            <v>Đ</v>
          </cell>
          <cell r="Q202" t="str">
            <v>Đ</v>
          </cell>
          <cell r="R202" t="str">
            <v>Đ</v>
          </cell>
          <cell r="S202" t="str">
            <v>CN</v>
          </cell>
          <cell r="T202">
            <v>8</v>
          </cell>
          <cell r="U202">
            <v>8</v>
          </cell>
          <cell r="V202">
            <v>8</v>
          </cell>
          <cell r="W202">
            <v>8</v>
          </cell>
          <cell r="X202">
            <v>8</v>
          </cell>
          <cell r="Y202" t="str">
            <v>AL4</v>
          </cell>
          <cell r="Z202" t="str">
            <v>CN</v>
          </cell>
          <cell r="AA202">
            <v>8</v>
          </cell>
          <cell r="AB202">
            <v>8</v>
          </cell>
          <cell r="AC202">
            <v>8</v>
          </cell>
          <cell r="AD202">
            <v>8</v>
          </cell>
          <cell r="AE202">
            <v>8</v>
          </cell>
          <cell r="AF202">
            <v>8</v>
          </cell>
          <cell r="AG202" t="str">
            <v>CN</v>
          </cell>
          <cell r="AH202" t="str">
            <v>Đ</v>
          </cell>
          <cell r="AI202" t="str">
            <v>Đ</v>
          </cell>
          <cell r="AJ202" t="str">
            <v>Đ</v>
          </cell>
          <cell r="AN202">
            <v>72</v>
          </cell>
          <cell r="AO202">
            <v>116</v>
          </cell>
          <cell r="AP202">
            <v>4</v>
          </cell>
          <cell r="AQ202">
            <v>0</v>
          </cell>
          <cell r="AR202">
            <v>0</v>
          </cell>
          <cell r="AS202">
            <v>0</v>
          </cell>
          <cell r="AT202">
            <v>0</v>
          </cell>
          <cell r="AU202">
            <v>0</v>
          </cell>
          <cell r="AV202">
            <v>0</v>
          </cell>
          <cell r="AW202">
            <v>0</v>
          </cell>
          <cell r="AX202">
            <v>0</v>
          </cell>
          <cell r="AY202">
            <v>0</v>
          </cell>
          <cell r="AZ202">
            <v>0</v>
          </cell>
          <cell r="BA202">
            <v>4</v>
          </cell>
          <cell r="BB202">
            <v>0</v>
          </cell>
          <cell r="BC202">
            <v>0</v>
          </cell>
          <cell r="BD202">
            <v>0</v>
          </cell>
          <cell r="BE202">
            <v>0</v>
          </cell>
          <cell r="BF202">
            <v>0</v>
          </cell>
          <cell r="BG202">
            <v>192</v>
          </cell>
          <cell r="BH202">
            <v>0.5</v>
          </cell>
          <cell r="BI202">
            <v>0.5</v>
          </cell>
          <cell r="BJ202">
            <v>5</v>
          </cell>
          <cell r="BL202">
            <v>0</v>
          </cell>
          <cell r="BM202">
            <v>3</v>
          </cell>
          <cell r="BN202">
            <v>1.5</v>
          </cell>
          <cell r="BO202">
            <v>0</v>
          </cell>
          <cell r="BP202">
            <v>3</v>
          </cell>
          <cell r="BQ202">
            <v>0</v>
          </cell>
          <cell r="BR202">
            <v>0</v>
          </cell>
          <cell r="BS202">
            <v>3</v>
          </cell>
          <cell r="BT202">
            <v>0</v>
          </cell>
          <cell r="BU202">
            <v>0</v>
          </cell>
          <cell r="BV202">
            <v>0</v>
          </cell>
          <cell r="BW202">
            <v>4</v>
          </cell>
          <cell r="BX202">
            <v>0</v>
          </cell>
          <cell r="BY202">
            <v>0</v>
          </cell>
          <cell r="BZ202">
            <v>4</v>
          </cell>
          <cell r="CA202">
            <v>4</v>
          </cell>
          <cell r="CB202">
            <v>4</v>
          </cell>
          <cell r="CC202">
            <v>8</v>
          </cell>
          <cell r="CD202">
            <v>3</v>
          </cell>
          <cell r="CE202">
            <v>3</v>
          </cell>
          <cell r="CF202">
            <v>3</v>
          </cell>
          <cell r="CG202">
            <v>3</v>
          </cell>
          <cell r="CH202">
            <v>3</v>
          </cell>
          <cell r="CI202">
            <v>3</v>
          </cell>
          <cell r="CJ202">
            <v>8</v>
          </cell>
          <cell r="CK202">
            <v>4</v>
          </cell>
          <cell r="CL202">
            <v>4</v>
          </cell>
          <cell r="CM202">
            <v>4</v>
          </cell>
          <cell r="CR202">
            <v>0</v>
          </cell>
          <cell r="CS202">
            <v>0</v>
          </cell>
          <cell r="CT202">
            <v>56.5</v>
          </cell>
          <cell r="CU202">
            <v>16</v>
          </cell>
          <cell r="CV202">
            <v>0</v>
          </cell>
          <cell r="CZ202">
            <v>72.5</v>
          </cell>
        </row>
        <row r="203">
          <cell r="C203" t="str">
            <v>01956</v>
          </cell>
          <cell r="D203" t="str">
            <v>Lâm Phát Đạt</v>
          </cell>
          <cell r="E203" t="str">
            <v>Warehouse</v>
          </cell>
          <cell r="F203" t="str">
            <v>RM Warehouse</v>
          </cell>
          <cell r="G203" t="str">
            <v>Worker</v>
          </cell>
          <cell r="H203">
            <v>43720</v>
          </cell>
          <cell r="I203">
            <v>8</v>
          </cell>
          <cell r="J203">
            <v>8</v>
          </cell>
          <cell r="K203">
            <v>8</v>
          </cell>
          <cell r="L203" t="str">
            <v>CN</v>
          </cell>
          <cell r="M203">
            <v>8</v>
          </cell>
          <cell r="N203">
            <v>8</v>
          </cell>
          <cell r="O203">
            <v>8</v>
          </cell>
          <cell r="P203">
            <v>8</v>
          </cell>
          <cell r="Q203">
            <v>8</v>
          </cell>
          <cell r="R203">
            <v>8</v>
          </cell>
          <cell r="S203" t="str">
            <v>CN</v>
          </cell>
          <cell r="T203">
            <v>8</v>
          </cell>
          <cell r="U203">
            <v>8</v>
          </cell>
          <cell r="V203">
            <v>8</v>
          </cell>
          <cell r="W203">
            <v>8</v>
          </cell>
          <cell r="X203">
            <v>8</v>
          </cell>
          <cell r="Y203">
            <v>8</v>
          </cell>
          <cell r="Z203" t="str">
            <v>CN</v>
          </cell>
          <cell r="AA203">
            <v>8</v>
          </cell>
          <cell r="AB203" t="str">
            <v>AL4</v>
          </cell>
          <cell r="AC203" t="str">
            <v>AL8</v>
          </cell>
          <cell r="AD203">
            <v>8</v>
          </cell>
          <cell r="AE203">
            <v>8</v>
          </cell>
          <cell r="AF203">
            <v>8</v>
          </cell>
          <cell r="AG203" t="str">
            <v>CN</v>
          </cell>
          <cell r="AH203">
            <v>8</v>
          </cell>
          <cell r="AI203">
            <v>8</v>
          </cell>
          <cell r="AJ203">
            <v>8</v>
          </cell>
          <cell r="AN203">
            <v>0</v>
          </cell>
          <cell r="AO203">
            <v>180</v>
          </cell>
          <cell r="AP203">
            <v>4</v>
          </cell>
          <cell r="AQ203">
            <v>0</v>
          </cell>
          <cell r="AR203">
            <v>0</v>
          </cell>
          <cell r="AS203">
            <v>0</v>
          </cell>
          <cell r="AT203">
            <v>0</v>
          </cell>
          <cell r="AU203">
            <v>0</v>
          </cell>
          <cell r="AV203">
            <v>0</v>
          </cell>
          <cell r="AW203">
            <v>0</v>
          </cell>
          <cell r="AX203">
            <v>0</v>
          </cell>
          <cell r="AY203">
            <v>0</v>
          </cell>
          <cell r="AZ203">
            <v>0</v>
          </cell>
          <cell r="BA203">
            <v>12</v>
          </cell>
          <cell r="BB203">
            <v>0</v>
          </cell>
          <cell r="BC203">
            <v>0</v>
          </cell>
          <cell r="BD203">
            <v>0</v>
          </cell>
          <cell r="BE203">
            <v>0</v>
          </cell>
          <cell r="BF203">
            <v>0</v>
          </cell>
          <cell r="BG203">
            <v>192</v>
          </cell>
          <cell r="BH203">
            <v>1.5</v>
          </cell>
          <cell r="BI203">
            <v>1.5</v>
          </cell>
          <cell r="BJ203">
            <v>5</v>
          </cell>
          <cell r="BL203">
            <v>0</v>
          </cell>
          <cell r="BM203">
            <v>0</v>
          </cell>
          <cell r="BN203">
            <v>0</v>
          </cell>
          <cell r="BO203">
            <v>0</v>
          </cell>
          <cell r="BP203">
            <v>0</v>
          </cell>
          <cell r="BQ203">
            <v>0</v>
          </cell>
          <cell r="BR203">
            <v>0</v>
          </cell>
          <cell r="BS203">
            <v>3</v>
          </cell>
          <cell r="BT203">
            <v>0</v>
          </cell>
          <cell r="BU203">
            <v>0</v>
          </cell>
          <cell r="BV203">
            <v>0</v>
          </cell>
          <cell r="BW203">
            <v>0</v>
          </cell>
          <cell r="BX203">
            <v>0</v>
          </cell>
          <cell r="BY203">
            <v>0</v>
          </cell>
          <cell r="BZ203">
            <v>0</v>
          </cell>
          <cell r="CA203">
            <v>0</v>
          </cell>
          <cell r="CB203">
            <v>0</v>
          </cell>
          <cell r="CC203">
            <v>0</v>
          </cell>
          <cell r="CD203">
            <v>0</v>
          </cell>
          <cell r="CE203">
            <v>0</v>
          </cell>
          <cell r="CF203">
            <v>0</v>
          </cell>
          <cell r="CG203">
            <v>3</v>
          </cell>
          <cell r="CH203">
            <v>3</v>
          </cell>
          <cell r="CI203">
            <v>0</v>
          </cell>
          <cell r="CJ203">
            <v>0</v>
          </cell>
          <cell r="CK203">
            <v>0</v>
          </cell>
          <cell r="CL203">
            <v>0</v>
          </cell>
          <cell r="CM203">
            <v>0</v>
          </cell>
          <cell r="CR203">
            <v>0</v>
          </cell>
          <cell r="CS203">
            <v>0</v>
          </cell>
          <cell r="CT203">
            <v>9</v>
          </cell>
          <cell r="CU203">
            <v>0</v>
          </cell>
          <cell r="CV203">
            <v>0</v>
          </cell>
          <cell r="CZ203">
            <v>9</v>
          </cell>
        </row>
        <row r="204">
          <cell r="C204" t="str">
            <v>01959</v>
          </cell>
          <cell r="D204" t="str">
            <v>Nguyễn Thị Anh Thư</v>
          </cell>
          <cell r="E204" t="str">
            <v>Production</v>
          </cell>
          <cell r="F204" t="str">
            <v>Die Cut</v>
          </cell>
          <cell r="G204" t="str">
            <v>Worker</v>
          </cell>
          <cell r="H204">
            <v>43720</v>
          </cell>
          <cell r="I204" t="str">
            <v>AL8</v>
          </cell>
          <cell r="J204" t="str">
            <v>AL8</v>
          </cell>
          <cell r="K204" t="str">
            <v>Đ</v>
          </cell>
          <cell r="L204" t="str">
            <v>CN</v>
          </cell>
          <cell r="M204">
            <v>8</v>
          </cell>
          <cell r="N204">
            <v>8</v>
          </cell>
          <cell r="O204" t="str">
            <v>AL4</v>
          </cell>
          <cell r="P204">
            <v>8</v>
          </cell>
          <cell r="Q204">
            <v>8</v>
          </cell>
          <cell r="R204">
            <v>8</v>
          </cell>
          <cell r="S204" t="str">
            <v>CN</v>
          </cell>
          <cell r="T204" t="str">
            <v>Đ</v>
          </cell>
          <cell r="U204" t="str">
            <v>Đ</v>
          </cell>
          <cell r="V204" t="str">
            <v>Đ</v>
          </cell>
          <cell r="W204" t="str">
            <v>Đ</v>
          </cell>
          <cell r="X204" t="str">
            <v>Đ</v>
          </cell>
          <cell r="Y204" t="str">
            <v>Đ</v>
          </cell>
          <cell r="Z204" t="str">
            <v>CN</v>
          </cell>
          <cell r="AA204" t="str">
            <v>AL4</v>
          </cell>
          <cell r="AB204" t="str">
            <v>AL4</v>
          </cell>
          <cell r="AC204">
            <v>8</v>
          </cell>
          <cell r="AD204">
            <v>8</v>
          </cell>
          <cell r="AE204">
            <v>8</v>
          </cell>
          <cell r="AF204">
            <v>8</v>
          </cell>
          <cell r="AG204" t="str">
            <v>CN</v>
          </cell>
          <cell r="AH204" t="str">
            <v>Đ</v>
          </cell>
          <cell r="AI204" t="str">
            <v>Đ</v>
          </cell>
          <cell r="AJ204" t="str">
            <v>Đ</v>
          </cell>
          <cell r="AN204">
            <v>80</v>
          </cell>
          <cell r="AO204">
            <v>84</v>
          </cell>
          <cell r="AP204">
            <v>12</v>
          </cell>
          <cell r="AQ204">
            <v>0</v>
          </cell>
          <cell r="AR204">
            <v>0</v>
          </cell>
          <cell r="AS204">
            <v>0</v>
          </cell>
          <cell r="AT204">
            <v>0</v>
          </cell>
          <cell r="AU204">
            <v>0</v>
          </cell>
          <cell r="AV204">
            <v>0</v>
          </cell>
          <cell r="AW204">
            <v>0</v>
          </cell>
          <cell r="AX204">
            <v>0</v>
          </cell>
          <cell r="AY204">
            <v>0</v>
          </cell>
          <cell r="AZ204">
            <v>0</v>
          </cell>
          <cell r="BA204">
            <v>28</v>
          </cell>
          <cell r="BB204">
            <v>0</v>
          </cell>
          <cell r="BC204">
            <v>0</v>
          </cell>
          <cell r="BD204">
            <v>0</v>
          </cell>
          <cell r="BE204">
            <v>0</v>
          </cell>
          <cell r="BF204">
            <v>0</v>
          </cell>
          <cell r="BG204">
            <v>192</v>
          </cell>
          <cell r="BH204">
            <v>3.5</v>
          </cell>
          <cell r="BI204">
            <v>3.5</v>
          </cell>
          <cell r="BJ204">
            <v>-2</v>
          </cell>
          <cell r="BL204">
            <v>0</v>
          </cell>
          <cell r="BM204">
            <v>0</v>
          </cell>
          <cell r="BN204">
            <v>1.5</v>
          </cell>
          <cell r="BO204">
            <v>0</v>
          </cell>
          <cell r="BP204">
            <v>1.5</v>
          </cell>
          <cell r="BQ204">
            <v>0</v>
          </cell>
          <cell r="BR204">
            <v>0</v>
          </cell>
          <cell r="BS204">
            <v>3</v>
          </cell>
          <cell r="BT204">
            <v>3</v>
          </cell>
          <cell r="BU204">
            <v>3</v>
          </cell>
          <cell r="BV204">
            <v>0</v>
          </cell>
          <cell r="BW204">
            <v>4</v>
          </cell>
          <cell r="BX204">
            <v>4</v>
          </cell>
          <cell r="BY204">
            <v>4</v>
          </cell>
          <cell r="BZ204">
            <v>4</v>
          </cell>
          <cell r="CA204">
            <v>4</v>
          </cell>
          <cell r="CB204">
            <v>4</v>
          </cell>
          <cell r="CC204">
            <v>0</v>
          </cell>
          <cell r="CD204">
            <v>2</v>
          </cell>
          <cell r="CE204">
            <v>2</v>
          </cell>
          <cell r="CF204">
            <v>3</v>
          </cell>
          <cell r="CG204">
            <v>2.5</v>
          </cell>
          <cell r="CH204">
            <v>3</v>
          </cell>
          <cell r="CI204">
            <v>3</v>
          </cell>
          <cell r="CJ204">
            <v>8</v>
          </cell>
          <cell r="CK204">
            <v>4</v>
          </cell>
          <cell r="CL204">
            <v>4</v>
          </cell>
          <cell r="CM204">
            <v>4</v>
          </cell>
          <cell r="CR204">
            <v>0</v>
          </cell>
          <cell r="CS204">
            <v>0</v>
          </cell>
          <cell r="CT204">
            <v>63.5</v>
          </cell>
          <cell r="CU204">
            <v>8</v>
          </cell>
          <cell r="CV204">
            <v>0</v>
          </cell>
          <cell r="CZ204">
            <v>71.5</v>
          </cell>
        </row>
        <row r="205">
          <cell r="C205" t="str">
            <v>01964</v>
          </cell>
          <cell r="D205" t="str">
            <v>Đinh Hoàng Anh</v>
          </cell>
          <cell r="E205" t="str">
            <v>PD</v>
          </cell>
          <cell r="F205" t="str">
            <v>PD office</v>
          </cell>
          <cell r="G205" t="str">
            <v>Supervisor</v>
          </cell>
          <cell r="H205">
            <v>43724</v>
          </cell>
          <cell r="I205">
            <v>8</v>
          </cell>
          <cell r="J205">
            <v>8</v>
          </cell>
          <cell r="K205" t="str">
            <v>PO</v>
          </cell>
          <cell r="L205" t="str">
            <v>CN</v>
          </cell>
          <cell r="M205">
            <v>8</v>
          </cell>
          <cell r="N205">
            <v>8</v>
          </cell>
          <cell r="O205">
            <v>8</v>
          </cell>
          <cell r="P205">
            <v>8</v>
          </cell>
          <cell r="Q205" t="str">
            <v>PO</v>
          </cell>
          <cell r="R205" t="str">
            <v>PO</v>
          </cell>
          <cell r="S205" t="str">
            <v>CN</v>
          </cell>
          <cell r="T205">
            <v>8</v>
          </cell>
          <cell r="U205">
            <v>8</v>
          </cell>
          <cell r="V205">
            <v>8</v>
          </cell>
          <cell r="W205">
            <v>8</v>
          </cell>
          <cell r="X205">
            <v>8</v>
          </cell>
          <cell r="Y205" t="str">
            <v>PO</v>
          </cell>
          <cell r="Z205" t="str">
            <v>CN</v>
          </cell>
          <cell r="AA205">
            <v>8</v>
          </cell>
          <cell r="AB205">
            <v>8</v>
          </cell>
          <cell r="AC205">
            <v>8</v>
          </cell>
          <cell r="AD205">
            <v>8</v>
          </cell>
          <cell r="AE205">
            <v>8</v>
          </cell>
          <cell r="AF205" t="str">
            <v>PO</v>
          </cell>
          <cell r="AG205" t="str">
            <v>CN</v>
          </cell>
          <cell r="AH205">
            <v>8</v>
          </cell>
          <cell r="AI205">
            <v>8</v>
          </cell>
          <cell r="AJ205">
            <v>8</v>
          </cell>
          <cell r="AN205">
            <v>0</v>
          </cell>
          <cell r="AO205">
            <v>152</v>
          </cell>
          <cell r="AP205">
            <v>0</v>
          </cell>
          <cell r="AQ205">
            <v>0</v>
          </cell>
          <cell r="AR205">
            <v>0</v>
          </cell>
          <cell r="AS205">
            <v>0</v>
          </cell>
          <cell r="AT205">
            <v>0</v>
          </cell>
          <cell r="AU205">
            <v>0</v>
          </cell>
          <cell r="AV205">
            <v>40</v>
          </cell>
          <cell r="AW205">
            <v>0</v>
          </cell>
          <cell r="AX205">
            <v>0</v>
          </cell>
          <cell r="AY205">
            <v>0</v>
          </cell>
          <cell r="AZ205">
            <v>0</v>
          </cell>
          <cell r="BA205">
            <v>0</v>
          </cell>
          <cell r="BB205">
            <v>0</v>
          </cell>
          <cell r="BC205">
            <v>0</v>
          </cell>
          <cell r="BD205">
            <v>0</v>
          </cell>
          <cell r="BE205">
            <v>0</v>
          </cell>
          <cell r="BF205">
            <v>0</v>
          </cell>
          <cell r="BG205">
            <v>192</v>
          </cell>
          <cell r="BH205">
            <v>0</v>
          </cell>
          <cell r="BI205">
            <v>0</v>
          </cell>
          <cell r="BJ205">
            <v>12.5</v>
          </cell>
          <cell r="BL205">
            <v>0</v>
          </cell>
          <cell r="BM205">
            <v>0</v>
          </cell>
          <cell r="BN205">
            <v>0</v>
          </cell>
          <cell r="BO205">
            <v>0</v>
          </cell>
          <cell r="BP205">
            <v>0</v>
          </cell>
          <cell r="BQ205">
            <v>0</v>
          </cell>
          <cell r="BR205">
            <v>0</v>
          </cell>
          <cell r="BS205">
            <v>0</v>
          </cell>
          <cell r="BT205">
            <v>0</v>
          </cell>
          <cell r="BU205">
            <v>0</v>
          </cell>
          <cell r="BV205">
            <v>0</v>
          </cell>
          <cell r="BW205">
            <v>0</v>
          </cell>
          <cell r="BX205">
            <v>0</v>
          </cell>
          <cell r="BY205">
            <v>0</v>
          </cell>
          <cell r="BZ205">
            <v>0</v>
          </cell>
          <cell r="CA205">
            <v>0</v>
          </cell>
          <cell r="CB205">
            <v>0</v>
          </cell>
          <cell r="CC205">
            <v>0</v>
          </cell>
          <cell r="CD205">
            <v>0</v>
          </cell>
          <cell r="CE205">
            <v>0</v>
          </cell>
          <cell r="CF205">
            <v>0</v>
          </cell>
          <cell r="CG205">
            <v>0</v>
          </cell>
          <cell r="CH205">
            <v>0</v>
          </cell>
          <cell r="CI205">
            <v>0</v>
          </cell>
          <cell r="CJ205">
            <v>0</v>
          </cell>
          <cell r="CK205">
            <v>0</v>
          </cell>
          <cell r="CL205">
            <v>0</v>
          </cell>
          <cell r="CM205">
            <v>0</v>
          </cell>
          <cell r="CR205">
            <v>0</v>
          </cell>
          <cell r="CS205">
            <v>0</v>
          </cell>
          <cell r="CT205">
            <v>0</v>
          </cell>
          <cell r="CU205">
            <v>0</v>
          </cell>
          <cell r="CV205">
            <v>0</v>
          </cell>
          <cell r="CZ205">
            <v>0</v>
          </cell>
        </row>
        <row r="206">
          <cell r="C206" t="str">
            <v>01968</v>
          </cell>
          <cell r="D206" t="str">
            <v>Phạm Thị Hoàng Mai</v>
          </cell>
          <cell r="E206" t="str">
            <v>Production</v>
          </cell>
          <cell r="F206" t="str">
            <v>Packing</v>
          </cell>
          <cell r="G206" t="str">
            <v>Worker</v>
          </cell>
          <cell r="H206">
            <v>43724</v>
          </cell>
          <cell r="I206" t="str">
            <v>Đ</v>
          </cell>
          <cell r="J206" t="str">
            <v>Đ</v>
          </cell>
          <cell r="K206" t="str">
            <v>Đ</v>
          </cell>
          <cell r="L206" t="str">
            <v>CN</v>
          </cell>
          <cell r="M206">
            <v>8</v>
          </cell>
          <cell r="N206">
            <v>8</v>
          </cell>
          <cell r="O206">
            <v>8</v>
          </cell>
          <cell r="P206">
            <v>8</v>
          </cell>
          <cell r="Q206">
            <v>8</v>
          </cell>
          <cell r="R206">
            <v>8</v>
          </cell>
          <cell r="S206" t="str">
            <v>CN</v>
          </cell>
          <cell r="T206" t="str">
            <v>Đ</v>
          </cell>
          <cell r="U206" t="str">
            <v>Đ</v>
          </cell>
          <cell r="V206" t="str">
            <v>Đ</v>
          </cell>
          <cell r="W206" t="str">
            <v>Đ</v>
          </cell>
          <cell r="X206" t="str">
            <v>Đ</v>
          </cell>
          <cell r="Y206" t="str">
            <v>Đ</v>
          </cell>
          <cell r="Z206" t="str">
            <v>CN</v>
          </cell>
          <cell r="AA206">
            <v>8</v>
          </cell>
          <cell r="AB206">
            <v>8</v>
          </cell>
          <cell r="AC206">
            <v>8</v>
          </cell>
          <cell r="AD206">
            <v>8</v>
          </cell>
          <cell r="AE206">
            <v>8</v>
          </cell>
          <cell r="AF206">
            <v>8</v>
          </cell>
          <cell r="AG206" t="str">
            <v>CN</v>
          </cell>
          <cell r="AH206" t="str">
            <v>Đ</v>
          </cell>
          <cell r="AI206" t="str">
            <v>Đ</v>
          </cell>
          <cell r="AJ206" t="str">
            <v>Đ</v>
          </cell>
          <cell r="AN206">
            <v>96</v>
          </cell>
          <cell r="AO206">
            <v>96</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192</v>
          </cell>
          <cell r="BH206">
            <v>0</v>
          </cell>
          <cell r="BI206">
            <v>0</v>
          </cell>
          <cell r="BJ206">
            <v>6.5</v>
          </cell>
          <cell r="BL206">
            <v>1.5</v>
          </cell>
          <cell r="BM206">
            <v>4</v>
          </cell>
          <cell r="BN206">
            <v>0</v>
          </cell>
          <cell r="BO206">
            <v>0</v>
          </cell>
          <cell r="BP206">
            <v>1.5</v>
          </cell>
          <cell r="BQ206">
            <v>0</v>
          </cell>
          <cell r="BR206">
            <v>0</v>
          </cell>
          <cell r="BS206">
            <v>3</v>
          </cell>
          <cell r="BT206">
            <v>3</v>
          </cell>
          <cell r="BU206">
            <v>3</v>
          </cell>
          <cell r="BV206">
            <v>0</v>
          </cell>
          <cell r="BW206">
            <v>4</v>
          </cell>
          <cell r="BX206">
            <v>4</v>
          </cell>
          <cell r="BY206">
            <v>4</v>
          </cell>
          <cell r="BZ206">
            <v>4</v>
          </cell>
          <cell r="CA206">
            <v>4</v>
          </cell>
          <cell r="CB206">
            <v>4</v>
          </cell>
          <cell r="CC206">
            <v>0</v>
          </cell>
          <cell r="CD206">
            <v>3</v>
          </cell>
          <cell r="CE206">
            <v>3</v>
          </cell>
          <cell r="CF206">
            <v>3</v>
          </cell>
          <cell r="CG206">
            <v>3</v>
          </cell>
          <cell r="CH206">
            <v>3</v>
          </cell>
          <cell r="CI206">
            <v>3</v>
          </cell>
          <cell r="CJ206">
            <v>11</v>
          </cell>
          <cell r="CK206">
            <v>4</v>
          </cell>
          <cell r="CL206">
            <v>4</v>
          </cell>
          <cell r="CM206">
            <v>4</v>
          </cell>
          <cell r="CR206">
            <v>0</v>
          </cell>
          <cell r="CS206">
            <v>0</v>
          </cell>
          <cell r="CT206">
            <v>70</v>
          </cell>
          <cell r="CU206">
            <v>11</v>
          </cell>
          <cell r="CV206">
            <v>0</v>
          </cell>
          <cell r="CZ206">
            <v>81</v>
          </cell>
        </row>
        <row r="207">
          <cell r="C207" t="str">
            <v>01978</v>
          </cell>
          <cell r="D207" t="str">
            <v>Biện Công Bằng</v>
          </cell>
          <cell r="E207" t="str">
            <v>Lab</v>
          </cell>
          <cell r="F207" t="str">
            <v>Lab</v>
          </cell>
          <cell r="G207" t="str">
            <v>Worker</v>
          </cell>
          <cell r="H207">
            <v>43726</v>
          </cell>
          <cell r="I207">
            <v>8</v>
          </cell>
          <cell r="J207">
            <v>8</v>
          </cell>
          <cell r="K207">
            <v>8</v>
          </cell>
          <cell r="L207" t="str">
            <v>AL4</v>
          </cell>
          <cell r="M207">
            <v>8</v>
          </cell>
          <cell r="N207">
            <v>8</v>
          </cell>
          <cell r="O207" t="str">
            <v>CN</v>
          </cell>
          <cell r="P207">
            <v>8</v>
          </cell>
          <cell r="Q207">
            <v>8</v>
          </cell>
          <cell r="R207">
            <v>8</v>
          </cell>
          <cell r="S207">
            <v>8</v>
          </cell>
          <cell r="T207">
            <v>8</v>
          </cell>
          <cell r="U207">
            <v>8</v>
          </cell>
          <cell r="V207" t="str">
            <v>CN</v>
          </cell>
          <cell r="W207">
            <v>8</v>
          </cell>
          <cell r="X207">
            <v>8</v>
          </cell>
          <cell r="Y207">
            <v>8</v>
          </cell>
          <cell r="Z207">
            <v>8</v>
          </cell>
          <cell r="AA207">
            <v>8</v>
          </cell>
          <cell r="AB207">
            <v>8</v>
          </cell>
          <cell r="AC207" t="str">
            <v>CN</v>
          </cell>
          <cell r="AD207">
            <v>8</v>
          </cell>
          <cell r="AE207">
            <v>8</v>
          </cell>
          <cell r="AF207">
            <v>8</v>
          </cell>
          <cell r="AG207">
            <v>8</v>
          </cell>
          <cell r="AH207">
            <v>8</v>
          </cell>
          <cell r="AI207">
            <v>8</v>
          </cell>
          <cell r="AJ207" t="str">
            <v>CN</v>
          </cell>
          <cell r="AN207">
            <v>0</v>
          </cell>
          <cell r="AO207">
            <v>188</v>
          </cell>
          <cell r="AP207">
            <v>4</v>
          </cell>
          <cell r="AQ207">
            <v>0</v>
          </cell>
          <cell r="AR207">
            <v>0</v>
          </cell>
          <cell r="AS207">
            <v>0</v>
          </cell>
          <cell r="AT207">
            <v>0</v>
          </cell>
          <cell r="AU207">
            <v>0</v>
          </cell>
          <cell r="AV207">
            <v>0</v>
          </cell>
          <cell r="AW207">
            <v>0</v>
          </cell>
          <cell r="AX207">
            <v>0</v>
          </cell>
          <cell r="AY207">
            <v>0</v>
          </cell>
          <cell r="AZ207">
            <v>0</v>
          </cell>
          <cell r="BA207">
            <v>4</v>
          </cell>
          <cell r="BB207">
            <v>0</v>
          </cell>
          <cell r="BC207">
            <v>0</v>
          </cell>
          <cell r="BD207">
            <v>0</v>
          </cell>
          <cell r="BE207">
            <v>0</v>
          </cell>
          <cell r="BF207">
            <v>0</v>
          </cell>
          <cell r="BG207">
            <v>192</v>
          </cell>
          <cell r="BH207">
            <v>0.5</v>
          </cell>
          <cell r="BI207">
            <v>0.5</v>
          </cell>
          <cell r="BJ207">
            <v>1</v>
          </cell>
          <cell r="BL207">
            <v>4</v>
          </cell>
          <cell r="BM207">
            <v>2</v>
          </cell>
          <cell r="BN207">
            <v>0</v>
          </cell>
          <cell r="BO207">
            <v>0</v>
          </cell>
          <cell r="BP207">
            <v>0</v>
          </cell>
          <cell r="BQ207">
            <v>0</v>
          </cell>
          <cell r="BR207">
            <v>0</v>
          </cell>
          <cell r="BS207">
            <v>4</v>
          </cell>
          <cell r="BT207">
            <v>0</v>
          </cell>
          <cell r="BU207">
            <v>0</v>
          </cell>
          <cell r="BV207">
            <v>0</v>
          </cell>
          <cell r="BW207">
            <v>0</v>
          </cell>
          <cell r="BX207">
            <v>0</v>
          </cell>
          <cell r="BY207">
            <v>0</v>
          </cell>
          <cell r="BZ207">
            <v>4</v>
          </cell>
          <cell r="CA207">
            <v>2</v>
          </cell>
          <cell r="CB207">
            <v>2</v>
          </cell>
          <cell r="CC207">
            <v>3</v>
          </cell>
          <cell r="CD207">
            <v>0</v>
          </cell>
          <cell r="CE207">
            <v>0</v>
          </cell>
          <cell r="CF207">
            <v>0</v>
          </cell>
          <cell r="CG207">
            <v>4</v>
          </cell>
          <cell r="CH207">
            <v>0</v>
          </cell>
          <cell r="CI207">
            <v>0</v>
          </cell>
          <cell r="CJ207">
            <v>0</v>
          </cell>
          <cell r="CK207">
            <v>4</v>
          </cell>
          <cell r="CL207">
            <v>0</v>
          </cell>
          <cell r="CM207">
            <v>0</v>
          </cell>
          <cell r="CR207">
            <v>0</v>
          </cell>
          <cell r="CS207">
            <v>0</v>
          </cell>
          <cell r="CT207">
            <v>29</v>
          </cell>
          <cell r="CU207">
            <v>0</v>
          </cell>
          <cell r="CV207">
            <v>0</v>
          </cell>
          <cell r="CZ207">
            <v>29</v>
          </cell>
        </row>
        <row r="208">
          <cell r="C208" t="str">
            <v>01999</v>
          </cell>
          <cell r="D208" t="str">
            <v>Kim Thị Na Rinh</v>
          </cell>
          <cell r="E208" t="str">
            <v>Production</v>
          </cell>
          <cell r="F208" t="str">
            <v>Logo</v>
          </cell>
          <cell r="G208" t="str">
            <v>Worker</v>
          </cell>
          <cell r="H208">
            <v>43742</v>
          </cell>
          <cell r="I208" t="str">
            <v>Đ</v>
          </cell>
          <cell r="J208" t="str">
            <v>Đ</v>
          </cell>
          <cell r="K208" t="str">
            <v>Đ</v>
          </cell>
          <cell r="L208" t="str">
            <v>CN</v>
          </cell>
          <cell r="M208">
            <v>8</v>
          </cell>
          <cell r="N208">
            <v>8</v>
          </cell>
          <cell r="O208">
            <v>8</v>
          </cell>
          <cell r="P208">
            <v>8</v>
          </cell>
          <cell r="Q208">
            <v>8</v>
          </cell>
          <cell r="R208">
            <v>8</v>
          </cell>
          <cell r="S208" t="str">
            <v>CN</v>
          </cell>
          <cell r="T208" t="str">
            <v>Đ</v>
          </cell>
          <cell r="U208" t="str">
            <v>Đ</v>
          </cell>
          <cell r="V208" t="str">
            <v>Đ</v>
          </cell>
          <cell r="W208" t="str">
            <v>Đ</v>
          </cell>
          <cell r="X208" t="str">
            <v>Đ</v>
          </cell>
          <cell r="Y208" t="str">
            <v>Đ</v>
          </cell>
          <cell r="Z208" t="str">
            <v>CN</v>
          </cell>
          <cell r="AA208" t="str">
            <v>AL8</v>
          </cell>
          <cell r="AB208" t="str">
            <v>AL8</v>
          </cell>
          <cell r="AC208" t="str">
            <v>SL</v>
          </cell>
          <cell r="AD208">
            <v>8</v>
          </cell>
          <cell r="AE208">
            <v>8</v>
          </cell>
          <cell r="AF208">
            <v>8</v>
          </cell>
          <cell r="AG208" t="str">
            <v>CN</v>
          </cell>
          <cell r="AH208" t="str">
            <v>Đ</v>
          </cell>
          <cell r="AI208" t="str">
            <v>Đ</v>
          </cell>
          <cell r="AJ208" t="str">
            <v>Đ</v>
          </cell>
          <cell r="AN208">
            <v>96</v>
          </cell>
          <cell r="AO208">
            <v>72</v>
          </cell>
          <cell r="AP208">
            <v>0</v>
          </cell>
          <cell r="AQ208">
            <v>1</v>
          </cell>
          <cell r="AR208">
            <v>0</v>
          </cell>
          <cell r="AS208">
            <v>0</v>
          </cell>
          <cell r="AT208">
            <v>0</v>
          </cell>
          <cell r="AU208">
            <v>0</v>
          </cell>
          <cell r="AV208">
            <v>0</v>
          </cell>
          <cell r="AW208">
            <v>0</v>
          </cell>
          <cell r="AX208">
            <v>0</v>
          </cell>
          <cell r="AY208">
            <v>0</v>
          </cell>
          <cell r="AZ208">
            <v>0</v>
          </cell>
          <cell r="BA208">
            <v>16</v>
          </cell>
          <cell r="BB208">
            <v>0</v>
          </cell>
          <cell r="BC208">
            <v>0</v>
          </cell>
          <cell r="BD208">
            <v>0</v>
          </cell>
          <cell r="BE208">
            <v>0</v>
          </cell>
          <cell r="BF208">
            <v>0</v>
          </cell>
          <cell r="BG208">
            <v>184</v>
          </cell>
          <cell r="BH208">
            <v>2</v>
          </cell>
          <cell r="BI208">
            <v>2</v>
          </cell>
          <cell r="BJ208">
            <v>-1</v>
          </cell>
          <cell r="BL208">
            <v>1.5</v>
          </cell>
          <cell r="BM208">
            <v>1.5</v>
          </cell>
          <cell r="BN208">
            <v>1.5</v>
          </cell>
          <cell r="BO208">
            <v>0</v>
          </cell>
          <cell r="BP208">
            <v>1.5</v>
          </cell>
          <cell r="BQ208">
            <v>0</v>
          </cell>
          <cell r="BR208">
            <v>0</v>
          </cell>
          <cell r="BS208">
            <v>3</v>
          </cell>
          <cell r="BT208">
            <v>3</v>
          </cell>
          <cell r="BU208">
            <v>3</v>
          </cell>
          <cell r="BV208">
            <v>0</v>
          </cell>
          <cell r="BW208">
            <v>4</v>
          </cell>
          <cell r="BX208">
            <v>4</v>
          </cell>
          <cell r="BY208">
            <v>4</v>
          </cell>
          <cell r="BZ208">
            <v>4</v>
          </cell>
          <cell r="CA208">
            <v>4</v>
          </cell>
          <cell r="CB208">
            <v>0</v>
          </cell>
          <cell r="CC208">
            <v>0</v>
          </cell>
          <cell r="CD208">
            <v>0</v>
          </cell>
          <cell r="CE208">
            <v>0</v>
          </cell>
          <cell r="CF208">
            <v>0</v>
          </cell>
          <cell r="CG208">
            <v>3</v>
          </cell>
          <cell r="CH208">
            <v>3</v>
          </cell>
          <cell r="CI208">
            <v>3</v>
          </cell>
          <cell r="CJ208">
            <v>0</v>
          </cell>
          <cell r="CK208">
            <v>4</v>
          </cell>
          <cell r="CL208">
            <v>4</v>
          </cell>
          <cell r="CM208">
            <v>4</v>
          </cell>
          <cell r="CR208">
            <v>0</v>
          </cell>
          <cell r="CS208">
            <v>0</v>
          </cell>
          <cell r="CT208">
            <v>56</v>
          </cell>
          <cell r="CU208">
            <v>0</v>
          </cell>
          <cell r="CV208">
            <v>0</v>
          </cell>
          <cell r="CZ208">
            <v>56</v>
          </cell>
        </row>
        <row r="209">
          <cell r="C209" t="str">
            <v>02014</v>
          </cell>
          <cell r="D209" t="str">
            <v>Nguyễn Diễm My</v>
          </cell>
          <cell r="E209" t="str">
            <v>Production</v>
          </cell>
          <cell r="F209" t="str">
            <v>Packing</v>
          </cell>
          <cell r="G209" t="str">
            <v>Worker</v>
          </cell>
          <cell r="H209">
            <v>43756</v>
          </cell>
          <cell r="I209">
            <v>8</v>
          </cell>
          <cell r="J209">
            <v>8</v>
          </cell>
          <cell r="K209">
            <v>8</v>
          </cell>
          <cell r="L209" t="str">
            <v>CN</v>
          </cell>
          <cell r="M209" t="str">
            <v>Đ</v>
          </cell>
          <cell r="N209" t="str">
            <v>Đ</v>
          </cell>
          <cell r="O209" t="str">
            <v>Đ</v>
          </cell>
          <cell r="P209" t="str">
            <v>Đ</v>
          </cell>
          <cell r="Q209" t="str">
            <v>Đ</v>
          </cell>
          <cell r="R209" t="str">
            <v>Đ</v>
          </cell>
          <cell r="S209" t="str">
            <v>CN</v>
          </cell>
          <cell r="T209">
            <v>8</v>
          </cell>
          <cell r="U209">
            <v>8</v>
          </cell>
          <cell r="V209">
            <v>8</v>
          </cell>
          <cell r="W209">
            <v>8</v>
          </cell>
          <cell r="X209">
            <v>8</v>
          </cell>
          <cell r="Y209">
            <v>8</v>
          </cell>
          <cell r="Z209" t="str">
            <v>CN</v>
          </cell>
          <cell r="AA209" t="str">
            <v>Đ</v>
          </cell>
          <cell r="AB209" t="str">
            <v>Đ</v>
          </cell>
          <cell r="AC209" t="str">
            <v>Đ</v>
          </cell>
          <cell r="AD209" t="str">
            <v>Đ</v>
          </cell>
          <cell r="AE209" t="str">
            <v>Đ</v>
          </cell>
          <cell r="AF209" t="str">
            <v>Đ</v>
          </cell>
          <cell r="AG209" t="str">
            <v>CN</v>
          </cell>
          <cell r="AH209">
            <v>8</v>
          </cell>
          <cell r="AI209">
            <v>8</v>
          </cell>
          <cell r="AJ209">
            <v>8</v>
          </cell>
          <cell r="AN209">
            <v>96</v>
          </cell>
          <cell r="AO209">
            <v>96</v>
          </cell>
          <cell r="AP209">
            <v>0</v>
          </cell>
          <cell r="AQ209">
            <v>0</v>
          </cell>
          <cell r="AR209">
            <v>0</v>
          </cell>
          <cell r="AS209">
            <v>0</v>
          </cell>
          <cell r="AT209">
            <v>0</v>
          </cell>
          <cell r="AU209">
            <v>0</v>
          </cell>
          <cell r="AV209">
            <v>0</v>
          </cell>
          <cell r="AW209">
            <v>0</v>
          </cell>
          <cell r="AX209">
            <v>0</v>
          </cell>
          <cell r="AY209">
            <v>0</v>
          </cell>
          <cell r="AZ209">
            <v>0</v>
          </cell>
          <cell r="BA209">
            <v>0</v>
          </cell>
          <cell r="BB209">
            <v>0</v>
          </cell>
          <cell r="BC209">
            <v>0</v>
          </cell>
          <cell r="BD209">
            <v>0</v>
          </cell>
          <cell r="BE209">
            <v>0</v>
          </cell>
          <cell r="BF209">
            <v>0</v>
          </cell>
          <cell r="BG209">
            <v>192</v>
          </cell>
          <cell r="BH209">
            <v>0</v>
          </cell>
          <cell r="BI209">
            <v>0</v>
          </cell>
          <cell r="BJ209">
            <v>5</v>
          </cell>
          <cell r="BL209">
            <v>0</v>
          </cell>
          <cell r="BM209">
            <v>0</v>
          </cell>
          <cell r="BN209">
            <v>0</v>
          </cell>
          <cell r="BO209">
            <v>0</v>
          </cell>
          <cell r="BP209">
            <v>1.5</v>
          </cell>
          <cell r="BQ209">
            <v>3</v>
          </cell>
          <cell r="BR209">
            <v>0</v>
          </cell>
          <cell r="BS209">
            <v>3</v>
          </cell>
          <cell r="BT209">
            <v>3</v>
          </cell>
          <cell r="BU209">
            <v>0</v>
          </cell>
          <cell r="BV209">
            <v>0</v>
          </cell>
          <cell r="BW209">
            <v>3</v>
          </cell>
          <cell r="BX209">
            <v>4</v>
          </cell>
          <cell r="BY209">
            <v>4</v>
          </cell>
          <cell r="BZ209">
            <v>4</v>
          </cell>
          <cell r="CA209">
            <v>4</v>
          </cell>
          <cell r="CB209">
            <v>4</v>
          </cell>
          <cell r="CC209">
            <v>8</v>
          </cell>
          <cell r="CD209">
            <v>4</v>
          </cell>
          <cell r="CE209">
            <v>4</v>
          </cell>
          <cell r="CF209">
            <v>4</v>
          </cell>
          <cell r="CG209">
            <v>4</v>
          </cell>
          <cell r="CH209">
            <v>1.5</v>
          </cell>
          <cell r="CI209">
            <v>1.5</v>
          </cell>
          <cell r="CJ209">
            <v>0</v>
          </cell>
          <cell r="CK209">
            <v>1.5</v>
          </cell>
          <cell r="CL209">
            <v>1.5</v>
          </cell>
          <cell r="CM209">
            <v>1.5</v>
          </cell>
          <cell r="CR209">
            <v>0</v>
          </cell>
          <cell r="CS209">
            <v>0</v>
          </cell>
          <cell r="CT209">
            <v>57</v>
          </cell>
          <cell r="CU209">
            <v>8</v>
          </cell>
          <cell r="CV209">
            <v>0</v>
          </cell>
          <cell r="CZ209">
            <v>65</v>
          </cell>
        </row>
        <row r="210">
          <cell r="C210" t="str">
            <v>02017</v>
          </cell>
          <cell r="D210" t="str">
            <v>Phạm Văn Anh</v>
          </cell>
          <cell r="E210" t="str">
            <v xml:space="preserve">EHS &amp; Facilities </v>
          </cell>
          <cell r="F210" t="str">
            <v>Facility</v>
          </cell>
          <cell r="G210" t="str">
            <v>Senior Technician</v>
          </cell>
          <cell r="H210">
            <v>43759</v>
          </cell>
          <cell r="I210">
            <v>8</v>
          </cell>
          <cell r="J210">
            <v>8</v>
          </cell>
          <cell r="K210" t="str">
            <v>PO</v>
          </cell>
          <cell r="L210" t="str">
            <v>CN</v>
          </cell>
          <cell r="M210">
            <v>8</v>
          </cell>
          <cell r="N210">
            <v>8</v>
          </cell>
          <cell r="O210">
            <v>8</v>
          </cell>
          <cell r="P210">
            <v>8</v>
          </cell>
          <cell r="Q210" t="str">
            <v>PO</v>
          </cell>
          <cell r="R210" t="str">
            <v>PO</v>
          </cell>
          <cell r="S210" t="str">
            <v>CN</v>
          </cell>
          <cell r="T210">
            <v>8</v>
          </cell>
          <cell r="U210">
            <v>8</v>
          </cell>
          <cell r="V210">
            <v>8</v>
          </cell>
          <cell r="W210">
            <v>8</v>
          </cell>
          <cell r="X210">
            <v>8</v>
          </cell>
          <cell r="Y210" t="str">
            <v>PO</v>
          </cell>
          <cell r="Z210" t="str">
            <v>CN</v>
          </cell>
          <cell r="AA210">
            <v>8</v>
          </cell>
          <cell r="AB210">
            <v>8</v>
          </cell>
          <cell r="AC210">
            <v>8</v>
          </cell>
          <cell r="AD210">
            <v>8</v>
          </cell>
          <cell r="AE210">
            <v>8</v>
          </cell>
          <cell r="AF210" t="str">
            <v>PO</v>
          </cell>
          <cell r="AG210" t="str">
            <v>CN</v>
          </cell>
          <cell r="AH210">
            <v>8</v>
          </cell>
          <cell r="AI210">
            <v>8</v>
          </cell>
          <cell r="AJ210">
            <v>8</v>
          </cell>
          <cell r="AN210">
            <v>0</v>
          </cell>
          <cell r="AO210">
            <v>152</v>
          </cell>
          <cell r="AP210">
            <v>0</v>
          </cell>
          <cell r="AQ210">
            <v>0</v>
          </cell>
          <cell r="AR210">
            <v>0</v>
          </cell>
          <cell r="AS210">
            <v>0</v>
          </cell>
          <cell r="AT210">
            <v>0</v>
          </cell>
          <cell r="AU210">
            <v>0</v>
          </cell>
          <cell r="AV210">
            <v>40</v>
          </cell>
          <cell r="AW210">
            <v>0</v>
          </cell>
          <cell r="AX210">
            <v>0</v>
          </cell>
          <cell r="AY210">
            <v>0</v>
          </cell>
          <cell r="AZ210">
            <v>0</v>
          </cell>
          <cell r="BA210">
            <v>0</v>
          </cell>
          <cell r="BB210">
            <v>0</v>
          </cell>
          <cell r="BC210">
            <v>0</v>
          </cell>
          <cell r="BD210">
            <v>0</v>
          </cell>
          <cell r="BE210">
            <v>0</v>
          </cell>
          <cell r="BF210">
            <v>0</v>
          </cell>
          <cell r="BG210">
            <v>192</v>
          </cell>
          <cell r="BH210">
            <v>0</v>
          </cell>
          <cell r="BI210">
            <v>0</v>
          </cell>
          <cell r="BJ210">
            <v>9.5</v>
          </cell>
          <cell r="BL210">
            <v>0</v>
          </cell>
          <cell r="BM210">
            <v>0</v>
          </cell>
          <cell r="BN210">
            <v>0</v>
          </cell>
          <cell r="BO210">
            <v>0</v>
          </cell>
          <cell r="BP210">
            <v>0</v>
          </cell>
          <cell r="BQ210">
            <v>2</v>
          </cell>
          <cell r="BR210">
            <v>0</v>
          </cell>
          <cell r="BS210">
            <v>0</v>
          </cell>
          <cell r="BT210">
            <v>0</v>
          </cell>
          <cell r="BU210">
            <v>0</v>
          </cell>
          <cell r="BV210">
            <v>0</v>
          </cell>
          <cell r="BW210">
            <v>0</v>
          </cell>
          <cell r="BX210">
            <v>0</v>
          </cell>
          <cell r="BY210">
            <v>0</v>
          </cell>
          <cell r="BZ210">
            <v>0</v>
          </cell>
          <cell r="CA210">
            <v>0</v>
          </cell>
          <cell r="CB210">
            <v>0</v>
          </cell>
          <cell r="CC210">
            <v>0</v>
          </cell>
          <cell r="CD210">
            <v>0</v>
          </cell>
          <cell r="CE210">
            <v>0</v>
          </cell>
          <cell r="CF210">
            <v>0</v>
          </cell>
          <cell r="CG210">
            <v>0</v>
          </cell>
          <cell r="CH210">
            <v>0</v>
          </cell>
          <cell r="CI210">
            <v>0</v>
          </cell>
          <cell r="CJ210">
            <v>0</v>
          </cell>
          <cell r="CK210">
            <v>0</v>
          </cell>
          <cell r="CL210">
            <v>0</v>
          </cell>
          <cell r="CM210">
            <v>0</v>
          </cell>
          <cell r="CR210">
            <v>0</v>
          </cell>
          <cell r="CS210">
            <v>0</v>
          </cell>
          <cell r="CT210">
            <v>2</v>
          </cell>
          <cell r="CU210">
            <v>0</v>
          </cell>
          <cell r="CV210">
            <v>0</v>
          </cell>
          <cell r="CZ210">
            <v>2</v>
          </cell>
        </row>
        <row r="211">
          <cell r="C211" t="str">
            <v>02018</v>
          </cell>
          <cell r="D211" t="str">
            <v>Phạm Thị Hồng Diễm</v>
          </cell>
          <cell r="E211" t="str">
            <v>PPC</v>
          </cell>
          <cell r="F211" t="str">
            <v>PPC</v>
          </cell>
          <cell r="G211" t="str">
            <v>Supervisor</v>
          </cell>
          <cell r="H211">
            <v>43759</v>
          </cell>
          <cell r="I211">
            <v>8</v>
          </cell>
          <cell r="J211">
            <v>8</v>
          </cell>
          <cell r="K211" t="str">
            <v>PO</v>
          </cell>
          <cell r="L211" t="str">
            <v>CN</v>
          </cell>
          <cell r="M211" t="str">
            <v>AL4</v>
          </cell>
          <cell r="N211">
            <v>8</v>
          </cell>
          <cell r="O211" t="str">
            <v>SL</v>
          </cell>
          <cell r="P211">
            <v>8</v>
          </cell>
          <cell r="Q211" t="str">
            <v>PO</v>
          </cell>
          <cell r="R211" t="str">
            <v>PO</v>
          </cell>
          <cell r="S211" t="str">
            <v>CN</v>
          </cell>
          <cell r="T211">
            <v>8</v>
          </cell>
          <cell r="U211">
            <v>8</v>
          </cell>
          <cell r="V211">
            <v>8</v>
          </cell>
          <cell r="W211">
            <v>8</v>
          </cell>
          <cell r="X211">
            <v>8</v>
          </cell>
          <cell r="Y211" t="str">
            <v>PO</v>
          </cell>
          <cell r="Z211" t="str">
            <v>CN</v>
          </cell>
          <cell r="AA211">
            <v>8</v>
          </cell>
          <cell r="AB211">
            <v>8</v>
          </cell>
          <cell r="AC211" t="str">
            <v>AL4/WH4</v>
          </cell>
          <cell r="AD211">
            <v>8</v>
          </cell>
          <cell r="AE211">
            <v>8</v>
          </cell>
          <cell r="AF211" t="str">
            <v>PO</v>
          </cell>
          <cell r="AG211" t="str">
            <v>CN</v>
          </cell>
          <cell r="AH211">
            <v>8</v>
          </cell>
          <cell r="AI211">
            <v>8</v>
          </cell>
          <cell r="AJ211">
            <v>8</v>
          </cell>
          <cell r="AN211">
            <v>0</v>
          </cell>
          <cell r="AO211">
            <v>132</v>
          </cell>
          <cell r="AP211">
            <v>4</v>
          </cell>
          <cell r="AQ211">
            <v>1</v>
          </cell>
          <cell r="AR211">
            <v>0</v>
          </cell>
          <cell r="AS211">
            <v>0</v>
          </cell>
          <cell r="AT211">
            <v>0</v>
          </cell>
          <cell r="AU211">
            <v>0</v>
          </cell>
          <cell r="AV211">
            <v>40</v>
          </cell>
          <cell r="AW211">
            <v>0</v>
          </cell>
          <cell r="AX211">
            <v>0</v>
          </cell>
          <cell r="AY211">
            <v>0</v>
          </cell>
          <cell r="AZ211">
            <v>0</v>
          </cell>
          <cell r="BA211">
            <v>8</v>
          </cell>
          <cell r="BB211">
            <v>0</v>
          </cell>
          <cell r="BC211">
            <v>0</v>
          </cell>
          <cell r="BD211">
            <v>4</v>
          </cell>
          <cell r="BE211">
            <v>0</v>
          </cell>
          <cell r="BF211">
            <v>0</v>
          </cell>
          <cell r="BG211">
            <v>184</v>
          </cell>
          <cell r="BH211">
            <v>1</v>
          </cell>
          <cell r="BI211">
            <v>1</v>
          </cell>
          <cell r="BJ211">
            <v>2</v>
          </cell>
          <cell r="BL211">
            <v>1.75</v>
          </cell>
          <cell r="BM211">
            <v>0.5</v>
          </cell>
          <cell r="BN211">
            <v>0</v>
          </cell>
          <cell r="BO211">
            <v>0</v>
          </cell>
          <cell r="BP211">
            <v>2.5</v>
          </cell>
          <cell r="BQ211">
            <v>0</v>
          </cell>
          <cell r="BR211">
            <v>0</v>
          </cell>
          <cell r="BS211">
            <v>0.75</v>
          </cell>
          <cell r="BT211">
            <v>0</v>
          </cell>
          <cell r="BU211">
            <v>0</v>
          </cell>
          <cell r="BV211">
            <v>0</v>
          </cell>
          <cell r="BW211">
            <v>1.75</v>
          </cell>
          <cell r="BX211">
            <v>0</v>
          </cell>
          <cell r="BY211">
            <v>0</v>
          </cell>
          <cell r="BZ211">
            <v>0</v>
          </cell>
          <cell r="CA211">
            <v>0</v>
          </cell>
          <cell r="CB211">
            <v>0</v>
          </cell>
          <cell r="CC211">
            <v>0</v>
          </cell>
          <cell r="CD211">
            <v>1.25</v>
          </cell>
          <cell r="CE211">
            <v>0</v>
          </cell>
          <cell r="CF211">
            <v>0</v>
          </cell>
          <cell r="CG211">
            <v>0</v>
          </cell>
          <cell r="CH211">
            <v>0</v>
          </cell>
          <cell r="CI211">
            <v>0</v>
          </cell>
          <cell r="CJ211">
            <v>0</v>
          </cell>
          <cell r="CK211">
            <v>0</v>
          </cell>
          <cell r="CL211">
            <v>0</v>
          </cell>
          <cell r="CM211">
            <v>0</v>
          </cell>
          <cell r="CR211">
            <v>0</v>
          </cell>
          <cell r="CS211">
            <v>0</v>
          </cell>
          <cell r="CT211">
            <v>8.5</v>
          </cell>
          <cell r="CU211">
            <v>0</v>
          </cell>
          <cell r="CV211">
            <v>0</v>
          </cell>
          <cell r="CZ211">
            <v>8.5</v>
          </cell>
        </row>
        <row r="212">
          <cell r="C212" t="str">
            <v>02025</v>
          </cell>
          <cell r="D212" t="str">
            <v>Nguyễn Thị Loan</v>
          </cell>
          <cell r="E212" t="str">
            <v>Account - Financial</v>
          </cell>
          <cell r="F212" t="str">
            <v>O2 Accounting (HQ)</v>
          </cell>
          <cell r="G212" t="str">
            <v>Senior Staff</v>
          </cell>
          <cell r="H212">
            <v>43762</v>
          </cell>
          <cell r="I212">
            <v>8</v>
          </cell>
          <cell r="J212" t="str">
            <v>AL4</v>
          </cell>
          <cell r="K212" t="str">
            <v>PO</v>
          </cell>
          <cell r="L212" t="str">
            <v>CN</v>
          </cell>
          <cell r="M212">
            <v>8</v>
          </cell>
          <cell r="N212">
            <v>8</v>
          </cell>
          <cell r="O212">
            <v>8</v>
          </cell>
          <cell r="P212">
            <v>8</v>
          </cell>
          <cell r="Q212">
            <v>8</v>
          </cell>
          <cell r="R212" t="str">
            <v>PO</v>
          </cell>
          <cell r="S212" t="str">
            <v>CN</v>
          </cell>
          <cell r="T212">
            <v>8</v>
          </cell>
          <cell r="U212">
            <v>8</v>
          </cell>
          <cell r="V212">
            <v>8</v>
          </cell>
          <cell r="W212">
            <v>8</v>
          </cell>
          <cell r="X212">
            <v>8</v>
          </cell>
          <cell r="Y212" t="str">
            <v>PO</v>
          </cell>
          <cell r="Z212" t="str">
            <v>CN</v>
          </cell>
          <cell r="AA212">
            <v>8</v>
          </cell>
          <cell r="AB212" t="str">
            <v>AL4</v>
          </cell>
          <cell r="AC212">
            <v>8</v>
          </cell>
          <cell r="AD212">
            <v>8</v>
          </cell>
          <cell r="AE212">
            <v>8</v>
          </cell>
          <cell r="AF212" t="str">
            <v>PO</v>
          </cell>
          <cell r="AG212" t="str">
            <v>CN</v>
          </cell>
          <cell r="AH212">
            <v>8</v>
          </cell>
          <cell r="AI212">
            <v>8</v>
          </cell>
          <cell r="AJ212">
            <v>8</v>
          </cell>
          <cell r="AN212">
            <v>0</v>
          </cell>
          <cell r="AO212">
            <v>152</v>
          </cell>
          <cell r="AP212">
            <v>8</v>
          </cell>
          <cell r="AQ212">
            <v>0</v>
          </cell>
          <cell r="AR212">
            <v>0</v>
          </cell>
          <cell r="AS212">
            <v>0</v>
          </cell>
          <cell r="AT212">
            <v>0</v>
          </cell>
          <cell r="AU212">
            <v>0</v>
          </cell>
          <cell r="AV212">
            <v>32</v>
          </cell>
          <cell r="AW212">
            <v>0</v>
          </cell>
          <cell r="AX212">
            <v>0</v>
          </cell>
          <cell r="AY212">
            <v>0</v>
          </cell>
          <cell r="AZ212">
            <v>0</v>
          </cell>
          <cell r="BA212">
            <v>8</v>
          </cell>
          <cell r="BB212">
            <v>0</v>
          </cell>
          <cell r="BC212">
            <v>0</v>
          </cell>
          <cell r="BD212">
            <v>0</v>
          </cell>
          <cell r="BE212">
            <v>0</v>
          </cell>
          <cell r="BF212">
            <v>0</v>
          </cell>
          <cell r="BG212">
            <v>192</v>
          </cell>
          <cell r="BH212">
            <v>1</v>
          </cell>
          <cell r="BI212">
            <v>1</v>
          </cell>
          <cell r="BJ212">
            <v>6.5</v>
          </cell>
          <cell r="BL212">
            <v>0</v>
          </cell>
          <cell r="BM212">
            <v>0</v>
          </cell>
          <cell r="BN212">
            <v>0</v>
          </cell>
          <cell r="BO212">
            <v>0</v>
          </cell>
          <cell r="BP212">
            <v>3.5</v>
          </cell>
          <cell r="BQ212">
            <v>3</v>
          </cell>
          <cell r="BR212">
            <v>3</v>
          </cell>
          <cell r="BS212">
            <v>0</v>
          </cell>
          <cell r="BT212">
            <v>0</v>
          </cell>
          <cell r="BU212">
            <v>0</v>
          </cell>
          <cell r="BV212">
            <v>0</v>
          </cell>
          <cell r="BW212">
            <v>0</v>
          </cell>
          <cell r="BX212">
            <v>0</v>
          </cell>
          <cell r="BY212">
            <v>0</v>
          </cell>
          <cell r="BZ212">
            <v>0</v>
          </cell>
          <cell r="CA212">
            <v>0</v>
          </cell>
          <cell r="CB212">
            <v>0</v>
          </cell>
          <cell r="CC212">
            <v>0</v>
          </cell>
          <cell r="CD212">
            <v>0</v>
          </cell>
          <cell r="CE212">
            <v>0</v>
          </cell>
          <cell r="CF212">
            <v>0</v>
          </cell>
          <cell r="CG212">
            <v>0</v>
          </cell>
          <cell r="CH212">
            <v>0</v>
          </cell>
          <cell r="CI212">
            <v>0</v>
          </cell>
          <cell r="CJ212">
            <v>0</v>
          </cell>
          <cell r="CK212">
            <v>0</v>
          </cell>
          <cell r="CL212">
            <v>0</v>
          </cell>
          <cell r="CM212">
            <v>0</v>
          </cell>
          <cell r="CR212">
            <v>0</v>
          </cell>
          <cell r="CS212">
            <v>0</v>
          </cell>
          <cell r="CT212">
            <v>9.5</v>
          </cell>
          <cell r="CU212">
            <v>0</v>
          </cell>
          <cell r="CV212">
            <v>0</v>
          </cell>
          <cell r="CZ212">
            <v>9.5</v>
          </cell>
        </row>
        <row r="213">
          <cell r="C213" t="str">
            <v>02038</v>
          </cell>
          <cell r="D213" t="str">
            <v>Nguyễn Thị Minh Thuận</v>
          </cell>
          <cell r="E213" t="str">
            <v>Purchasing</v>
          </cell>
          <cell r="F213" t="str">
            <v>Purchasing</v>
          </cell>
          <cell r="G213" t="str">
            <v>Supervisor</v>
          </cell>
          <cell r="H213">
            <v>43775</v>
          </cell>
          <cell r="I213" t="str">
            <v>WH</v>
          </cell>
          <cell r="J213" t="str">
            <v>WH</v>
          </cell>
          <cell r="K213" t="str">
            <v>PO</v>
          </cell>
          <cell r="L213" t="str">
            <v>CN</v>
          </cell>
          <cell r="M213">
            <v>8</v>
          </cell>
          <cell r="N213">
            <v>8</v>
          </cell>
          <cell r="O213">
            <v>8</v>
          </cell>
          <cell r="P213">
            <v>8</v>
          </cell>
          <cell r="Q213" t="str">
            <v>PO</v>
          </cell>
          <cell r="R213" t="str">
            <v>PO</v>
          </cell>
          <cell r="S213" t="str">
            <v>CN</v>
          </cell>
          <cell r="T213">
            <v>8</v>
          </cell>
          <cell r="U213">
            <v>8</v>
          </cell>
          <cell r="V213">
            <v>8</v>
          </cell>
          <cell r="W213">
            <v>8</v>
          </cell>
          <cell r="X213" t="str">
            <v>WH</v>
          </cell>
          <cell r="Y213" t="str">
            <v>PO</v>
          </cell>
          <cell r="Z213" t="str">
            <v>CN</v>
          </cell>
          <cell r="AA213">
            <v>8</v>
          </cell>
          <cell r="AB213">
            <v>8</v>
          </cell>
          <cell r="AC213">
            <v>8</v>
          </cell>
          <cell r="AD213">
            <v>8</v>
          </cell>
          <cell r="AE213" t="str">
            <v>WH</v>
          </cell>
          <cell r="AF213" t="str">
            <v>PO</v>
          </cell>
          <cell r="AG213" t="str">
            <v>CN</v>
          </cell>
          <cell r="AH213">
            <v>8</v>
          </cell>
          <cell r="AI213">
            <v>8</v>
          </cell>
          <cell r="AJ213">
            <v>8</v>
          </cell>
          <cell r="AN213">
            <v>0</v>
          </cell>
          <cell r="AO213">
            <v>120</v>
          </cell>
          <cell r="AP213">
            <v>0</v>
          </cell>
          <cell r="AQ213">
            <v>0</v>
          </cell>
          <cell r="AR213">
            <v>0</v>
          </cell>
          <cell r="AS213">
            <v>0</v>
          </cell>
          <cell r="AT213">
            <v>0</v>
          </cell>
          <cell r="AU213">
            <v>0</v>
          </cell>
          <cell r="AV213">
            <v>40</v>
          </cell>
          <cell r="AW213">
            <v>0</v>
          </cell>
          <cell r="AX213">
            <v>0</v>
          </cell>
          <cell r="AY213">
            <v>0</v>
          </cell>
          <cell r="AZ213">
            <v>0</v>
          </cell>
          <cell r="BA213">
            <v>0</v>
          </cell>
          <cell r="BB213">
            <v>0</v>
          </cell>
          <cell r="BC213">
            <v>0</v>
          </cell>
          <cell r="BD213">
            <v>32</v>
          </cell>
          <cell r="BE213">
            <v>0</v>
          </cell>
          <cell r="BF213">
            <v>0</v>
          </cell>
          <cell r="BG213">
            <v>192</v>
          </cell>
          <cell r="BH213">
            <v>0</v>
          </cell>
          <cell r="BI213">
            <v>0</v>
          </cell>
          <cell r="BJ213">
            <v>8.5</v>
          </cell>
          <cell r="BL213">
            <v>0</v>
          </cell>
          <cell r="BM213">
            <v>0</v>
          </cell>
          <cell r="BN213">
            <v>0</v>
          </cell>
          <cell r="BO213">
            <v>0</v>
          </cell>
          <cell r="BP213">
            <v>4</v>
          </cell>
          <cell r="BQ213">
            <v>4</v>
          </cell>
          <cell r="BR213">
            <v>4</v>
          </cell>
          <cell r="BS213">
            <v>0</v>
          </cell>
          <cell r="BT213">
            <v>0</v>
          </cell>
          <cell r="BU213">
            <v>0</v>
          </cell>
          <cell r="BV213">
            <v>0</v>
          </cell>
          <cell r="BW213">
            <v>4</v>
          </cell>
          <cell r="BX213">
            <v>4</v>
          </cell>
          <cell r="BY213">
            <v>0</v>
          </cell>
          <cell r="BZ213">
            <v>0</v>
          </cell>
          <cell r="CA213">
            <v>0</v>
          </cell>
          <cell r="CB213">
            <v>0</v>
          </cell>
          <cell r="CC213">
            <v>0</v>
          </cell>
          <cell r="CD213">
            <v>4</v>
          </cell>
          <cell r="CE213">
            <v>4</v>
          </cell>
          <cell r="CF213">
            <v>4</v>
          </cell>
          <cell r="CG213">
            <v>0</v>
          </cell>
          <cell r="CH213">
            <v>0</v>
          </cell>
          <cell r="CI213">
            <v>0</v>
          </cell>
          <cell r="CJ213">
            <v>0</v>
          </cell>
          <cell r="CK213">
            <v>4</v>
          </cell>
          <cell r="CL213">
            <v>0</v>
          </cell>
          <cell r="CM213">
            <v>0</v>
          </cell>
          <cell r="CR213">
            <v>0</v>
          </cell>
          <cell r="CS213">
            <v>0</v>
          </cell>
          <cell r="CT213">
            <v>36</v>
          </cell>
          <cell r="CU213">
            <v>0</v>
          </cell>
          <cell r="CV213">
            <v>0</v>
          </cell>
          <cell r="CZ213">
            <v>36</v>
          </cell>
        </row>
        <row r="214">
          <cell r="C214" t="str">
            <v>02040</v>
          </cell>
          <cell r="D214" t="str">
            <v>Trương Thị Chúc Nhi</v>
          </cell>
          <cell r="E214" t="str">
            <v>Production</v>
          </cell>
          <cell r="F214" t="str">
            <v>Packing</v>
          </cell>
          <cell r="G214" t="str">
            <v>Worker</v>
          </cell>
          <cell r="H214">
            <v>43780</v>
          </cell>
          <cell r="I214" t="str">
            <v>Đ</v>
          </cell>
          <cell r="J214" t="str">
            <v>Đ</v>
          </cell>
          <cell r="K214" t="str">
            <v>Đ</v>
          </cell>
          <cell r="L214" t="str">
            <v>CN</v>
          </cell>
          <cell r="M214">
            <v>8</v>
          </cell>
          <cell r="N214">
            <v>8</v>
          </cell>
          <cell r="O214">
            <v>8</v>
          </cell>
          <cell r="P214">
            <v>8</v>
          </cell>
          <cell r="Q214">
            <v>8</v>
          </cell>
          <cell r="R214">
            <v>8</v>
          </cell>
          <cell r="S214" t="str">
            <v>CN</v>
          </cell>
          <cell r="T214" t="str">
            <v>Đ</v>
          </cell>
          <cell r="U214" t="str">
            <v>Đ</v>
          </cell>
          <cell r="V214" t="str">
            <v>Đ</v>
          </cell>
          <cell r="W214" t="str">
            <v>AL8</v>
          </cell>
          <cell r="X214" t="str">
            <v>Đ</v>
          </cell>
          <cell r="Y214" t="str">
            <v>Đ</v>
          </cell>
          <cell r="Z214" t="str">
            <v>CN</v>
          </cell>
          <cell r="AA214">
            <v>8</v>
          </cell>
          <cell r="AB214">
            <v>8</v>
          </cell>
          <cell r="AC214">
            <v>8</v>
          </cell>
          <cell r="AD214">
            <v>8</v>
          </cell>
          <cell r="AE214">
            <v>8</v>
          </cell>
          <cell r="AF214">
            <v>8</v>
          </cell>
          <cell r="AG214" t="str">
            <v>CN</v>
          </cell>
          <cell r="AH214" t="str">
            <v>Đ</v>
          </cell>
          <cell r="AI214" t="str">
            <v>Đ</v>
          </cell>
          <cell r="AJ214" t="str">
            <v>Đ</v>
          </cell>
          <cell r="AN214">
            <v>88</v>
          </cell>
          <cell r="AO214">
            <v>96</v>
          </cell>
          <cell r="AP214">
            <v>0</v>
          </cell>
          <cell r="AQ214">
            <v>0</v>
          </cell>
          <cell r="AR214">
            <v>0</v>
          </cell>
          <cell r="AS214">
            <v>0</v>
          </cell>
          <cell r="AT214">
            <v>0</v>
          </cell>
          <cell r="AU214">
            <v>0</v>
          </cell>
          <cell r="AV214">
            <v>0</v>
          </cell>
          <cell r="AW214">
            <v>0</v>
          </cell>
          <cell r="AX214">
            <v>0</v>
          </cell>
          <cell r="AY214">
            <v>0</v>
          </cell>
          <cell r="AZ214">
            <v>0</v>
          </cell>
          <cell r="BA214">
            <v>8</v>
          </cell>
          <cell r="BB214">
            <v>0</v>
          </cell>
          <cell r="BC214">
            <v>0</v>
          </cell>
          <cell r="BD214">
            <v>0</v>
          </cell>
          <cell r="BE214">
            <v>0</v>
          </cell>
          <cell r="BF214">
            <v>0</v>
          </cell>
          <cell r="BG214">
            <v>192</v>
          </cell>
          <cell r="BH214">
            <v>1</v>
          </cell>
          <cell r="BI214">
            <v>1</v>
          </cell>
          <cell r="BJ214">
            <v>3.5</v>
          </cell>
          <cell r="BL214">
            <v>1.5</v>
          </cell>
          <cell r="BM214">
            <v>1.5</v>
          </cell>
          <cell r="BN214">
            <v>1.5</v>
          </cell>
          <cell r="BO214">
            <v>0</v>
          </cell>
          <cell r="BP214">
            <v>1.5</v>
          </cell>
          <cell r="BQ214">
            <v>0</v>
          </cell>
          <cell r="BR214">
            <v>0</v>
          </cell>
          <cell r="BS214">
            <v>3</v>
          </cell>
          <cell r="BT214">
            <v>3</v>
          </cell>
          <cell r="BU214">
            <v>3</v>
          </cell>
          <cell r="BV214">
            <v>0</v>
          </cell>
          <cell r="BW214">
            <v>4</v>
          </cell>
          <cell r="BX214">
            <v>4</v>
          </cell>
          <cell r="BY214">
            <v>4</v>
          </cell>
          <cell r="BZ214">
            <v>0</v>
          </cell>
          <cell r="CA214">
            <v>4</v>
          </cell>
          <cell r="CB214">
            <v>4</v>
          </cell>
          <cell r="CC214">
            <v>0</v>
          </cell>
          <cell r="CD214">
            <v>3</v>
          </cell>
          <cell r="CE214">
            <v>3</v>
          </cell>
          <cell r="CF214">
            <v>3</v>
          </cell>
          <cell r="CG214">
            <v>3</v>
          </cell>
          <cell r="CH214">
            <v>3</v>
          </cell>
          <cell r="CI214">
            <v>3</v>
          </cell>
          <cell r="CJ214">
            <v>8</v>
          </cell>
          <cell r="CK214">
            <v>4</v>
          </cell>
          <cell r="CL214">
            <v>4</v>
          </cell>
          <cell r="CM214">
            <v>4</v>
          </cell>
          <cell r="CR214">
            <v>0</v>
          </cell>
          <cell r="CS214">
            <v>0</v>
          </cell>
          <cell r="CT214">
            <v>65</v>
          </cell>
          <cell r="CU214">
            <v>8</v>
          </cell>
          <cell r="CV214">
            <v>0</v>
          </cell>
          <cell r="CZ214">
            <v>73</v>
          </cell>
        </row>
        <row r="215">
          <cell r="C215" t="str">
            <v>02041</v>
          </cell>
          <cell r="D215" t="str">
            <v>Trần Viết Hãn</v>
          </cell>
          <cell r="E215" t="str">
            <v xml:space="preserve">EHS &amp; Facilities </v>
          </cell>
          <cell r="F215" t="str">
            <v>Maintenance</v>
          </cell>
          <cell r="G215" t="str">
            <v>Engineer</v>
          </cell>
          <cell r="H215">
            <v>43780</v>
          </cell>
          <cell r="I215">
            <v>8</v>
          </cell>
          <cell r="J215">
            <v>8</v>
          </cell>
          <cell r="K215">
            <v>8</v>
          </cell>
          <cell r="L215" t="str">
            <v>CN</v>
          </cell>
          <cell r="M215" t="str">
            <v>SL</v>
          </cell>
          <cell r="N215" t="str">
            <v>SL</v>
          </cell>
          <cell r="O215" t="str">
            <v>SL</v>
          </cell>
          <cell r="P215" t="str">
            <v>SL</v>
          </cell>
          <cell r="Q215" t="str">
            <v>SL</v>
          </cell>
          <cell r="R215" t="str">
            <v>SL</v>
          </cell>
          <cell r="S215" t="str">
            <v>CN</v>
          </cell>
          <cell r="T215">
            <v>8</v>
          </cell>
          <cell r="U215">
            <v>8</v>
          </cell>
          <cell r="V215">
            <v>8</v>
          </cell>
          <cell r="W215">
            <v>8</v>
          </cell>
          <cell r="X215">
            <v>8</v>
          </cell>
          <cell r="Y215" t="str">
            <v>AL8</v>
          </cell>
          <cell r="Z215" t="str">
            <v>CN</v>
          </cell>
          <cell r="AA215">
            <v>8</v>
          </cell>
          <cell r="AB215">
            <v>8</v>
          </cell>
          <cell r="AC215">
            <v>8</v>
          </cell>
          <cell r="AD215">
            <v>8</v>
          </cell>
          <cell r="AE215">
            <v>8</v>
          </cell>
          <cell r="AF215">
            <v>8</v>
          </cell>
          <cell r="AG215" t="str">
            <v>CN</v>
          </cell>
          <cell r="AH215">
            <v>8</v>
          </cell>
          <cell r="AI215">
            <v>8</v>
          </cell>
          <cell r="AJ215">
            <v>8</v>
          </cell>
          <cell r="AN215">
            <v>0</v>
          </cell>
          <cell r="AO215">
            <v>136</v>
          </cell>
          <cell r="AP215">
            <v>0</v>
          </cell>
          <cell r="AQ215">
            <v>6</v>
          </cell>
          <cell r="AR215">
            <v>0</v>
          </cell>
          <cell r="AS215">
            <v>0</v>
          </cell>
          <cell r="AT215">
            <v>0</v>
          </cell>
          <cell r="AU215">
            <v>0</v>
          </cell>
          <cell r="AV215">
            <v>0</v>
          </cell>
          <cell r="AW215">
            <v>0</v>
          </cell>
          <cell r="AX215">
            <v>0</v>
          </cell>
          <cell r="AY215">
            <v>0</v>
          </cell>
          <cell r="AZ215">
            <v>0</v>
          </cell>
          <cell r="BA215">
            <v>8</v>
          </cell>
          <cell r="BB215">
            <v>0</v>
          </cell>
          <cell r="BC215">
            <v>0</v>
          </cell>
          <cell r="BD215">
            <v>0</v>
          </cell>
          <cell r="BE215">
            <v>0</v>
          </cell>
          <cell r="BF215">
            <v>0</v>
          </cell>
          <cell r="BG215">
            <v>144</v>
          </cell>
          <cell r="BH215">
            <v>1</v>
          </cell>
          <cell r="BI215">
            <v>1</v>
          </cell>
          <cell r="BJ215">
            <v>1</v>
          </cell>
          <cell r="BL215">
            <v>0</v>
          </cell>
          <cell r="BM215">
            <v>0</v>
          </cell>
          <cell r="BN215">
            <v>0</v>
          </cell>
          <cell r="BO215">
            <v>0</v>
          </cell>
          <cell r="BP215">
            <v>0</v>
          </cell>
          <cell r="BQ215">
            <v>0</v>
          </cell>
          <cell r="BR215">
            <v>0</v>
          </cell>
          <cell r="BS215">
            <v>0</v>
          </cell>
          <cell r="BT215">
            <v>0</v>
          </cell>
          <cell r="BU215">
            <v>0</v>
          </cell>
          <cell r="BV215">
            <v>0</v>
          </cell>
          <cell r="BW215">
            <v>0</v>
          </cell>
          <cell r="BX215">
            <v>0</v>
          </cell>
          <cell r="BY215">
            <v>0</v>
          </cell>
          <cell r="BZ215">
            <v>0</v>
          </cell>
          <cell r="CA215">
            <v>0</v>
          </cell>
          <cell r="CB215">
            <v>0</v>
          </cell>
          <cell r="CC215">
            <v>0</v>
          </cell>
          <cell r="CD215">
            <v>0</v>
          </cell>
          <cell r="CE215">
            <v>3</v>
          </cell>
          <cell r="CF215">
            <v>2</v>
          </cell>
          <cell r="CG215">
            <v>0</v>
          </cell>
          <cell r="CH215">
            <v>0</v>
          </cell>
          <cell r="CI215">
            <v>0</v>
          </cell>
          <cell r="CJ215">
            <v>0</v>
          </cell>
          <cell r="CK215">
            <v>0</v>
          </cell>
          <cell r="CL215">
            <v>0</v>
          </cell>
          <cell r="CM215">
            <v>0</v>
          </cell>
          <cell r="CR215">
            <v>0</v>
          </cell>
          <cell r="CS215">
            <v>0</v>
          </cell>
          <cell r="CT215">
            <v>5</v>
          </cell>
          <cell r="CU215">
            <v>0</v>
          </cell>
          <cell r="CV215">
            <v>0</v>
          </cell>
          <cell r="CZ215">
            <v>5</v>
          </cell>
        </row>
        <row r="216">
          <cell r="C216" t="str">
            <v>02055</v>
          </cell>
          <cell r="D216" t="str">
            <v>Đỗ Thị Hồng Nga</v>
          </cell>
          <cell r="E216" t="str">
            <v>Production</v>
          </cell>
          <cell r="F216" t="str">
            <v>Packing</v>
          </cell>
          <cell r="G216" t="str">
            <v>Worker</v>
          </cell>
          <cell r="H216">
            <v>43790</v>
          </cell>
          <cell r="I216">
            <v>8</v>
          </cell>
          <cell r="J216">
            <v>8</v>
          </cell>
          <cell r="K216">
            <v>8</v>
          </cell>
          <cell r="L216" t="str">
            <v>CN</v>
          </cell>
          <cell r="M216" t="str">
            <v>Đ</v>
          </cell>
          <cell r="N216" t="str">
            <v>Đ</v>
          </cell>
          <cell r="O216" t="str">
            <v>Đ</v>
          </cell>
          <cell r="P216" t="str">
            <v>Đ</v>
          </cell>
          <cell r="Q216" t="str">
            <v>Đ</v>
          </cell>
          <cell r="R216" t="str">
            <v>Đ</v>
          </cell>
          <cell r="S216" t="str">
            <v>CN</v>
          </cell>
          <cell r="T216">
            <v>8</v>
          </cell>
          <cell r="U216">
            <v>8</v>
          </cell>
          <cell r="V216">
            <v>8</v>
          </cell>
          <cell r="W216">
            <v>8</v>
          </cell>
          <cell r="X216">
            <v>8</v>
          </cell>
          <cell r="Y216">
            <v>8</v>
          </cell>
          <cell r="Z216" t="str">
            <v>CN</v>
          </cell>
          <cell r="AA216" t="str">
            <v>Đ</v>
          </cell>
          <cell r="AB216" t="str">
            <v>Đ</v>
          </cell>
          <cell r="AC216" t="str">
            <v>Đ</v>
          </cell>
          <cell r="AD216" t="str">
            <v>Đ</v>
          </cell>
          <cell r="AE216" t="str">
            <v>Đ</v>
          </cell>
          <cell r="AF216" t="str">
            <v>Đ</v>
          </cell>
          <cell r="AG216" t="str">
            <v>CN</v>
          </cell>
          <cell r="AH216">
            <v>8</v>
          </cell>
          <cell r="AI216">
            <v>8</v>
          </cell>
          <cell r="AJ216">
            <v>8</v>
          </cell>
          <cell r="AN216">
            <v>96</v>
          </cell>
          <cell r="AO216">
            <v>96</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192</v>
          </cell>
          <cell r="BH216">
            <v>0</v>
          </cell>
          <cell r="BI216">
            <v>0</v>
          </cell>
          <cell r="BJ216">
            <v>5.5</v>
          </cell>
          <cell r="BL216">
            <v>0</v>
          </cell>
          <cell r="BM216">
            <v>3</v>
          </cell>
          <cell r="BN216">
            <v>1.5</v>
          </cell>
          <cell r="BO216">
            <v>0</v>
          </cell>
          <cell r="BP216">
            <v>1.5</v>
          </cell>
          <cell r="BQ216">
            <v>3</v>
          </cell>
          <cell r="BR216">
            <v>0</v>
          </cell>
          <cell r="BS216">
            <v>3</v>
          </cell>
          <cell r="BT216">
            <v>3</v>
          </cell>
          <cell r="BU216">
            <v>0</v>
          </cell>
          <cell r="BV216">
            <v>0</v>
          </cell>
          <cell r="BW216">
            <v>3</v>
          </cell>
          <cell r="BX216">
            <v>3</v>
          </cell>
          <cell r="BY216">
            <v>3</v>
          </cell>
          <cell r="BZ216">
            <v>3</v>
          </cell>
          <cell r="CA216">
            <v>3</v>
          </cell>
          <cell r="CB216">
            <v>3</v>
          </cell>
          <cell r="CC216">
            <v>8</v>
          </cell>
          <cell r="CD216">
            <v>4</v>
          </cell>
          <cell r="CE216">
            <v>4</v>
          </cell>
          <cell r="CF216">
            <v>4</v>
          </cell>
          <cell r="CG216">
            <v>4</v>
          </cell>
          <cell r="CH216">
            <v>4</v>
          </cell>
          <cell r="CI216">
            <v>4</v>
          </cell>
          <cell r="CJ216">
            <v>0</v>
          </cell>
          <cell r="CK216">
            <v>3</v>
          </cell>
          <cell r="CL216">
            <v>3</v>
          </cell>
          <cell r="CM216">
            <v>3</v>
          </cell>
          <cell r="CR216">
            <v>0</v>
          </cell>
          <cell r="CS216">
            <v>0</v>
          </cell>
          <cell r="CT216">
            <v>66</v>
          </cell>
          <cell r="CU216">
            <v>8</v>
          </cell>
          <cell r="CV216">
            <v>0</v>
          </cell>
          <cell r="CZ216">
            <v>74</v>
          </cell>
        </row>
        <row r="217">
          <cell r="C217" t="str">
            <v>02067</v>
          </cell>
          <cell r="D217" t="str">
            <v>Trương Văn Đạt</v>
          </cell>
          <cell r="E217" t="str">
            <v>Foaming</v>
          </cell>
          <cell r="F217" t="str">
            <v>FOAMING Splitting</v>
          </cell>
          <cell r="G217" t="str">
            <v>Operator</v>
          </cell>
          <cell r="H217">
            <v>43803</v>
          </cell>
          <cell r="I217" t="str">
            <v>Đ</v>
          </cell>
          <cell r="J217" t="str">
            <v>Đ</v>
          </cell>
          <cell r="K217" t="str">
            <v>Đ</v>
          </cell>
          <cell r="L217" t="str">
            <v>CN</v>
          </cell>
          <cell r="M217" t="str">
            <v>AL8</v>
          </cell>
          <cell r="N217" t="str">
            <v>AL8</v>
          </cell>
          <cell r="O217" t="str">
            <v>Đ</v>
          </cell>
          <cell r="P217" t="str">
            <v>Đ</v>
          </cell>
          <cell r="Q217" t="str">
            <v>Đ</v>
          </cell>
          <cell r="R217" t="str">
            <v>Đ</v>
          </cell>
          <cell r="S217" t="str">
            <v>CN</v>
          </cell>
          <cell r="T217" t="str">
            <v>Đ</v>
          </cell>
          <cell r="U217" t="str">
            <v>Đ</v>
          </cell>
          <cell r="V217" t="str">
            <v>Đ</v>
          </cell>
          <cell r="W217" t="str">
            <v>Đ</v>
          </cell>
          <cell r="X217" t="str">
            <v>Đ</v>
          </cell>
          <cell r="Y217" t="str">
            <v>Đ</v>
          </cell>
          <cell r="Z217" t="str">
            <v>CN</v>
          </cell>
          <cell r="AA217">
            <v>8</v>
          </cell>
          <cell r="AB217">
            <v>8</v>
          </cell>
          <cell r="AC217">
            <v>8</v>
          </cell>
          <cell r="AD217">
            <v>8</v>
          </cell>
          <cell r="AE217">
            <v>8</v>
          </cell>
          <cell r="AF217">
            <v>8</v>
          </cell>
          <cell r="AG217" t="str">
            <v>CN</v>
          </cell>
          <cell r="AH217">
            <v>8</v>
          </cell>
          <cell r="AI217">
            <v>8</v>
          </cell>
          <cell r="AJ217">
            <v>8</v>
          </cell>
          <cell r="AN217">
            <v>104</v>
          </cell>
          <cell r="AO217">
            <v>72</v>
          </cell>
          <cell r="AP217">
            <v>0</v>
          </cell>
          <cell r="AQ217">
            <v>0</v>
          </cell>
          <cell r="AR217">
            <v>0</v>
          </cell>
          <cell r="AS217">
            <v>0</v>
          </cell>
          <cell r="AT217">
            <v>0</v>
          </cell>
          <cell r="AU217">
            <v>0</v>
          </cell>
          <cell r="AV217">
            <v>0</v>
          </cell>
          <cell r="AW217">
            <v>0</v>
          </cell>
          <cell r="AX217">
            <v>0</v>
          </cell>
          <cell r="AY217">
            <v>0</v>
          </cell>
          <cell r="AZ217">
            <v>0</v>
          </cell>
          <cell r="BA217">
            <v>16</v>
          </cell>
          <cell r="BB217">
            <v>0</v>
          </cell>
          <cell r="BC217">
            <v>0</v>
          </cell>
          <cell r="BD217">
            <v>0</v>
          </cell>
          <cell r="BE217">
            <v>0</v>
          </cell>
          <cell r="BF217">
            <v>0</v>
          </cell>
          <cell r="BG217">
            <v>192</v>
          </cell>
          <cell r="BH217">
            <v>2</v>
          </cell>
          <cell r="BI217">
            <v>2</v>
          </cell>
          <cell r="BJ217">
            <v>-1.5</v>
          </cell>
          <cell r="BL217">
            <v>4</v>
          </cell>
          <cell r="BM217">
            <v>4</v>
          </cell>
          <cell r="BN217">
            <v>4</v>
          </cell>
          <cell r="BO217" t="str">
            <v>12Đ</v>
          </cell>
          <cell r="BP217">
            <v>0</v>
          </cell>
          <cell r="BQ217">
            <v>0</v>
          </cell>
          <cell r="BR217">
            <v>4</v>
          </cell>
          <cell r="BS217">
            <v>4</v>
          </cell>
          <cell r="BT217">
            <v>4</v>
          </cell>
          <cell r="BU217">
            <v>4</v>
          </cell>
          <cell r="BV217" t="str">
            <v>12Đ</v>
          </cell>
          <cell r="BW217">
            <v>4</v>
          </cell>
          <cell r="BX217">
            <v>4</v>
          </cell>
          <cell r="BY217">
            <v>4</v>
          </cell>
          <cell r="BZ217">
            <v>4</v>
          </cell>
          <cell r="CA217">
            <v>4</v>
          </cell>
          <cell r="CB217">
            <v>4</v>
          </cell>
          <cell r="CC217">
            <v>0</v>
          </cell>
          <cell r="CD217">
            <v>4</v>
          </cell>
          <cell r="CE217">
            <v>4</v>
          </cell>
          <cell r="CF217">
            <v>4</v>
          </cell>
          <cell r="CG217">
            <v>2</v>
          </cell>
          <cell r="CH217">
            <v>4</v>
          </cell>
          <cell r="CI217">
            <v>2</v>
          </cell>
          <cell r="CJ217">
            <v>12</v>
          </cell>
          <cell r="CK217">
            <v>4</v>
          </cell>
          <cell r="CL217">
            <v>0</v>
          </cell>
          <cell r="CM217">
            <v>4</v>
          </cell>
          <cell r="CR217">
            <v>0</v>
          </cell>
          <cell r="CS217">
            <v>0</v>
          </cell>
          <cell r="CT217">
            <v>80</v>
          </cell>
          <cell r="CU217">
            <v>20</v>
          </cell>
          <cell r="CV217">
            <v>16</v>
          </cell>
          <cell r="CZ217">
            <v>116</v>
          </cell>
        </row>
        <row r="218">
          <cell r="C218" t="str">
            <v>02069</v>
          </cell>
          <cell r="D218" t="str">
            <v>Nguyễn Chí Phương</v>
          </cell>
          <cell r="E218" t="str">
            <v>Foaming</v>
          </cell>
          <cell r="F218" t="str">
            <v>FOAMING Splitting</v>
          </cell>
          <cell r="G218" t="str">
            <v>Team Leader</v>
          </cell>
          <cell r="H218">
            <v>43803</v>
          </cell>
          <cell r="I218">
            <v>8</v>
          </cell>
          <cell r="J218">
            <v>8</v>
          </cell>
          <cell r="K218">
            <v>8</v>
          </cell>
          <cell r="L218" t="str">
            <v>CN</v>
          </cell>
          <cell r="M218">
            <v>8</v>
          </cell>
          <cell r="N218" t="str">
            <v>AL4</v>
          </cell>
          <cell r="O218" t="str">
            <v>AL8</v>
          </cell>
          <cell r="P218" t="str">
            <v>AL8</v>
          </cell>
          <cell r="Q218" t="str">
            <v>UP8</v>
          </cell>
          <cell r="R218" t="str">
            <v>UP8</v>
          </cell>
          <cell r="S218" t="str">
            <v>CN</v>
          </cell>
          <cell r="T218" t="str">
            <v>UP8</v>
          </cell>
          <cell r="U218" t="str">
            <v>UP8</v>
          </cell>
          <cell r="V218" t="str">
            <v>UP8</v>
          </cell>
          <cell r="W218" t="str">
            <v>UP8</v>
          </cell>
          <cell r="X218" t="str">
            <v>UP8</v>
          </cell>
          <cell r="Y218" t="str">
            <v>UP8</v>
          </cell>
          <cell r="Z218" t="str">
            <v>CN</v>
          </cell>
          <cell r="AA218" t="str">
            <v>UP8</v>
          </cell>
          <cell r="AB218" t="str">
            <v>UP8</v>
          </cell>
          <cell r="AC218" t="str">
            <v>TV</v>
          </cell>
          <cell r="AD218" t="str">
            <v>TV</v>
          </cell>
          <cell r="AE218" t="str">
            <v>TV</v>
          </cell>
          <cell r="AF218" t="str">
            <v>TV</v>
          </cell>
          <cell r="AG218" t="str">
            <v>TV</v>
          </cell>
          <cell r="AH218" t="str">
            <v>TV</v>
          </cell>
          <cell r="AI218" t="str">
            <v>TV</v>
          </cell>
          <cell r="AJ218" t="str">
            <v>TV</v>
          </cell>
          <cell r="AN218">
            <v>0</v>
          </cell>
          <cell r="AO218">
            <v>36</v>
          </cell>
          <cell r="AP218">
            <v>4</v>
          </cell>
          <cell r="AQ218">
            <v>0</v>
          </cell>
          <cell r="AR218">
            <v>0</v>
          </cell>
          <cell r="AS218">
            <v>80</v>
          </cell>
          <cell r="AT218">
            <v>0</v>
          </cell>
          <cell r="AU218">
            <v>0</v>
          </cell>
          <cell r="AV218">
            <v>0</v>
          </cell>
          <cell r="AW218">
            <v>0</v>
          </cell>
          <cell r="AX218">
            <v>0</v>
          </cell>
          <cell r="AY218">
            <v>0</v>
          </cell>
          <cell r="AZ218">
            <v>0</v>
          </cell>
          <cell r="BA218">
            <v>20</v>
          </cell>
          <cell r="BB218">
            <v>0</v>
          </cell>
          <cell r="BC218">
            <v>0</v>
          </cell>
          <cell r="BD218">
            <v>0</v>
          </cell>
          <cell r="BE218">
            <v>0</v>
          </cell>
          <cell r="BF218">
            <v>0</v>
          </cell>
          <cell r="BG218">
            <v>56</v>
          </cell>
          <cell r="BH218">
            <v>2.5</v>
          </cell>
          <cell r="BI218">
            <v>2.5</v>
          </cell>
          <cell r="BJ218">
            <v>1</v>
          </cell>
          <cell r="BL218">
            <v>4</v>
          </cell>
          <cell r="BM218">
            <v>4</v>
          </cell>
          <cell r="BN218">
            <v>4</v>
          </cell>
          <cell r="BO218">
            <v>12</v>
          </cell>
          <cell r="BP218">
            <v>0</v>
          </cell>
          <cell r="BQ218">
            <v>0</v>
          </cell>
          <cell r="BR218">
            <v>0</v>
          </cell>
          <cell r="BS218">
            <v>0</v>
          </cell>
          <cell r="BT218">
            <v>0</v>
          </cell>
          <cell r="BU218">
            <v>0</v>
          </cell>
          <cell r="BV218">
            <v>0</v>
          </cell>
          <cell r="BW218">
            <v>0</v>
          </cell>
          <cell r="BX218">
            <v>0</v>
          </cell>
          <cell r="BY218">
            <v>0</v>
          </cell>
          <cell r="BZ218">
            <v>0</v>
          </cell>
          <cell r="CA218">
            <v>0</v>
          </cell>
          <cell r="CB218">
            <v>0</v>
          </cell>
          <cell r="CC218">
            <v>0</v>
          </cell>
          <cell r="CD218">
            <v>0</v>
          </cell>
          <cell r="CE218">
            <v>0</v>
          </cell>
          <cell r="CF218">
            <v>0</v>
          </cell>
          <cell r="CG218">
            <v>0</v>
          </cell>
          <cell r="CH218">
            <v>0</v>
          </cell>
          <cell r="CI218">
            <v>0</v>
          </cell>
          <cell r="CJ218">
            <v>0</v>
          </cell>
          <cell r="CK218">
            <v>0</v>
          </cell>
          <cell r="CL218">
            <v>0</v>
          </cell>
          <cell r="CM218">
            <v>0</v>
          </cell>
          <cell r="CR218">
            <v>0</v>
          </cell>
          <cell r="CS218">
            <v>0</v>
          </cell>
          <cell r="CT218">
            <v>12</v>
          </cell>
          <cell r="CU218">
            <v>12</v>
          </cell>
          <cell r="CV218">
            <v>0</v>
          </cell>
          <cell r="CZ218">
            <v>24</v>
          </cell>
        </row>
        <row r="219">
          <cell r="C219" t="str">
            <v>02070</v>
          </cell>
          <cell r="D219" t="str">
            <v>Võ Văn Thanh</v>
          </cell>
          <cell r="E219" t="str">
            <v>Foaming</v>
          </cell>
          <cell r="F219" t="str">
            <v>FOAMING Rectangular</v>
          </cell>
          <cell r="G219" t="str">
            <v>Worker</v>
          </cell>
          <cell r="H219">
            <v>43803</v>
          </cell>
          <cell r="I219" t="str">
            <v>TV</v>
          </cell>
          <cell r="J219" t="str">
            <v>TV</v>
          </cell>
          <cell r="K219" t="str">
            <v>TV</v>
          </cell>
          <cell r="L219" t="str">
            <v>TV</v>
          </cell>
          <cell r="M219" t="str">
            <v>TV</v>
          </cell>
          <cell r="N219" t="str">
            <v>TV</v>
          </cell>
          <cell r="O219" t="str">
            <v>TV</v>
          </cell>
          <cell r="P219" t="str">
            <v>TV</v>
          </cell>
          <cell r="Q219" t="str">
            <v>TV</v>
          </cell>
          <cell r="R219" t="str">
            <v>TV</v>
          </cell>
          <cell r="S219" t="str">
            <v>TV</v>
          </cell>
          <cell r="T219" t="str">
            <v>TV</v>
          </cell>
          <cell r="U219" t="str">
            <v>TV</v>
          </cell>
          <cell r="V219" t="str">
            <v>TV</v>
          </cell>
          <cell r="W219" t="str">
            <v>TV</v>
          </cell>
          <cell r="X219" t="str">
            <v>TV</v>
          </cell>
          <cell r="Y219" t="str">
            <v>TV</v>
          </cell>
          <cell r="Z219" t="str">
            <v>TV</v>
          </cell>
          <cell r="AA219" t="str">
            <v>TV</v>
          </cell>
          <cell r="AB219" t="str">
            <v>TV</v>
          </cell>
          <cell r="AC219" t="str">
            <v>TV</v>
          </cell>
          <cell r="AD219" t="str">
            <v>TV</v>
          </cell>
          <cell r="AE219" t="str">
            <v>TV</v>
          </cell>
          <cell r="AF219" t="str">
            <v>TV</v>
          </cell>
          <cell r="AG219" t="str">
            <v>TV</v>
          </cell>
          <cell r="AH219" t="str">
            <v>TV</v>
          </cell>
          <cell r="AI219" t="str">
            <v>TV</v>
          </cell>
          <cell r="AJ219" t="str">
            <v>TV</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-4.5</v>
          </cell>
          <cell r="BL219">
            <v>0</v>
          </cell>
          <cell r="BM219">
            <v>0</v>
          </cell>
          <cell r="BN219">
            <v>0</v>
          </cell>
          <cell r="BO219">
            <v>0</v>
          </cell>
          <cell r="BP219">
            <v>0</v>
          </cell>
          <cell r="BQ219">
            <v>0</v>
          </cell>
          <cell r="BR219">
            <v>0</v>
          </cell>
          <cell r="BS219">
            <v>0</v>
          </cell>
          <cell r="BT219">
            <v>0</v>
          </cell>
          <cell r="BU219">
            <v>0</v>
          </cell>
          <cell r="BV219">
            <v>0</v>
          </cell>
          <cell r="BW219">
            <v>0</v>
          </cell>
          <cell r="BX219">
            <v>0</v>
          </cell>
          <cell r="BY219">
            <v>0</v>
          </cell>
          <cell r="BZ219">
            <v>0</v>
          </cell>
          <cell r="CA219">
            <v>0</v>
          </cell>
          <cell r="CB219">
            <v>0</v>
          </cell>
          <cell r="CC219">
            <v>0</v>
          </cell>
          <cell r="CD219">
            <v>0</v>
          </cell>
          <cell r="CE219">
            <v>0</v>
          </cell>
          <cell r="CF219">
            <v>0</v>
          </cell>
          <cell r="CG219">
            <v>0</v>
          </cell>
          <cell r="CH219">
            <v>0</v>
          </cell>
          <cell r="CI219">
            <v>0</v>
          </cell>
          <cell r="CJ219">
            <v>0</v>
          </cell>
          <cell r="CK219">
            <v>0</v>
          </cell>
          <cell r="CL219">
            <v>0</v>
          </cell>
          <cell r="CM219">
            <v>0</v>
          </cell>
          <cell r="CR219">
            <v>0</v>
          </cell>
          <cell r="CS219">
            <v>0</v>
          </cell>
          <cell r="CT219">
            <v>0</v>
          </cell>
          <cell r="CU219">
            <v>0</v>
          </cell>
          <cell r="CV219">
            <v>0</v>
          </cell>
          <cell r="CZ219">
            <v>0</v>
          </cell>
        </row>
        <row r="220">
          <cell r="C220" t="str">
            <v>02075</v>
          </cell>
          <cell r="D220" t="str">
            <v>Đinh Chí Linh</v>
          </cell>
          <cell r="E220" t="str">
            <v>Foaming</v>
          </cell>
          <cell r="F220" t="str">
            <v>FOAMING Rectangular</v>
          </cell>
          <cell r="G220" t="str">
            <v>Team Leader</v>
          </cell>
          <cell r="H220">
            <v>43808</v>
          </cell>
          <cell r="I220">
            <v>8</v>
          </cell>
          <cell r="J220">
            <v>8</v>
          </cell>
          <cell r="K220" t="str">
            <v>AL4</v>
          </cell>
          <cell r="L220" t="str">
            <v>CN</v>
          </cell>
          <cell r="M220">
            <v>8</v>
          </cell>
          <cell r="N220">
            <v>8</v>
          </cell>
          <cell r="O220" t="str">
            <v>Đ</v>
          </cell>
          <cell r="P220" t="str">
            <v>Đ</v>
          </cell>
          <cell r="Q220" t="str">
            <v>Đ</v>
          </cell>
          <cell r="R220" t="str">
            <v>Đ</v>
          </cell>
          <cell r="S220" t="str">
            <v>CN</v>
          </cell>
          <cell r="T220" t="str">
            <v>Đ</v>
          </cell>
          <cell r="U220" t="str">
            <v>Đ</v>
          </cell>
          <cell r="V220" t="str">
            <v>Đ</v>
          </cell>
          <cell r="W220" t="str">
            <v>Đ</v>
          </cell>
          <cell r="X220" t="str">
            <v>Đ</v>
          </cell>
          <cell r="Y220" t="str">
            <v>Đ</v>
          </cell>
          <cell r="Z220" t="str">
            <v>CN</v>
          </cell>
          <cell r="AA220" t="str">
            <v>Đ</v>
          </cell>
          <cell r="AB220" t="str">
            <v>Đ</v>
          </cell>
          <cell r="AC220" t="str">
            <v>Đ</v>
          </cell>
          <cell r="AD220" t="str">
            <v>Đ</v>
          </cell>
          <cell r="AE220" t="str">
            <v>Đ</v>
          </cell>
          <cell r="AF220" t="str">
            <v>Đ</v>
          </cell>
          <cell r="AG220" t="str">
            <v>CN</v>
          </cell>
          <cell r="AH220" t="str">
            <v>Đ</v>
          </cell>
          <cell r="AI220" t="str">
            <v>Đ</v>
          </cell>
          <cell r="AJ220" t="str">
            <v>Đ</v>
          </cell>
          <cell r="AN220">
            <v>152</v>
          </cell>
          <cell r="AO220">
            <v>36</v>
          </cell>
          <cell r="AP220">
            <v>4</v>
          </cell>
          <cell r="AQ220">
            <v>0</v>
          </cell>
          <cell r="AR220">
            <v>0</v>
          </cell>
          <cell r="AS220">
            <v>0</v>
          </cell>
          <cell r="AT220">
            <v>0</v>
          </cell>
          <cell r="AU220">
            <v>0</v>
          </cell>
          <cell r="AV220">
            <v>0</v>
          </cell>
          <cell r="AW220">
            <v>0</v>
          </cell>
          <cell r="AX220">
            <v>0</v>
          </cell>
          <cell r="AY220">
            <v>0</v>
          </cell>
          <cell r="AZ220">
            <v>0</v>
          </cell>
          <cell r="BA220">
            <v>4</v>
          </cell>
          <cell r="BB220">
            <v>0</v>
          </cell>
          <cell r="BC220">
            <v>0</v>
          </cell>
          <cell r="BD220">
            <v>0</v>
          </cell>
          <cell r="BE220">
            <v>0</v>
          </cell>
          <cell r="BF220">
            <v>0</v>
          </cell>
          <cell r="BG220">
            <v>192</v>
          </cell>
          <cell r="BH220">
            <v>0.5</v>
          </cell>
          <cell r="BI220">
            <v>0.5</v>
          </cell>
          <cell r="BJ220">
            <v>-1</v>
          </cell>
          <cell r="BL220">
            <v>0</v>
          </cell>
          <cell r="BM220">
            <v>4</v>
          </cell>
          <cell r="BN220">
            <v>0</v>
          </cell>
          <cell r="BO220">
            <v>4</v>
          </cell>
          <cell r="BP220">
            <v>0</v>
          </cell>
          <cell r="BQ220">
            <v>3</v>
          </cell>
          <cell r="BR220">
            <v>4</v>
          </cell>
          <cell r="BS220">
            <v>4</v>
          </cell>
          <cell r="BT220">
            <v>4</v>
          </cell>
          <cell r="BU220">
            <v>4</v>
          </cell>
          <cell r="BV220" t="str">
            <v>12Đ</v>
          </cell>
          <cell r="BW220">
            <v>4</v>
          </cell>
          <cell r="BX220">
            <v>4</v>
          </cell>
          <cell r="BY220">
            <v>4</v>
          </cell>
          <cell r="BZ220">
            <v>4</v>
          </cell>
          <cell r="CA220">
            <v>4</v>
          </cell>
          <cell r="CB220">
            <v>3</v>
          </cell>
          <cell r="CC220" t="str">
            <v>10Đ</v>
          </cell>
          <cell r="CD220">
            <v>4</v>
          </cell>
          <cell r="CE220">
            <v>4</v>
          </cell>
          <cell r="CF220">
            <v>4</v>
          </cell>
          <cell r="CG220">
            <v>4</v>
          </cell>
          <cell r="CH220">
            <v>4</v>
          </cell>
          <cell r="CI220">
            <v>4</v>
          </cell>
          <cell r="CJ220" t="str">
            <v>12Đ</v>
          </cell>
          <cell r="CK220">
            <v>4</v>
          </cell>
          <cell r="CL220">
            <v>4</v>
          </cell>
          <cell r="CM220">
            <v>2</v>
          </cell>
          <cell r="CR220">
            <v>0</v>
          </cell>
          <cell r="CS220">
            <v>0</v>
          </cell>
          <cell r="CT220">
            <v>80</v>
          </cell>
          <cell r="CU220">
            <v>14</v>
          </cell>
          <cell r="CV220">
            <v>24</v>
          </cell>
          <cell r="CZ220">
            <v>118</v>
          </cell>
        </row>
        <row r="221">
          <cell r="C221" t="str">
            <v>02076</v>
          </cell>
          <cell r="D221" t="str">
            <v>Hoàng Văn Tuấn</v>
          </cell>
          <cell r="E221" t="str">
            <v>Foaming</v>
          </cell>
          <cell r="F221" t="str">
            <v>FOAMING Splitting</v>
          </cell>
          <cell r="G221" t="str">
            <v>Operator</v>
          </cell>
          <cell r="H221">
            <v>43808</v>
          </cell>
          <cell r="I221">
            <v>8</v>
          </cell>
          <cell r="J221">
            <v>8</v>
          </cell>
          <cell r="K221">
            <v>8</v>
          </cell>
          <cell r="L221" t="str">
            <v>CN</v>
          </cell>
          <cell r="M221">
            <v>8</v>
          </cell>
          <cell r="N221">
            <v>8</v>
          </cell>
          <cell r="O221">
            <v>8</v>
          </cell>
          <cell r="P221">
            <v>8</v>
          </cell>
          <cell r="Q221">
            <v>8</v>
          </cell>
          <cell r="R221">
            <v>8</v>
          </cell>
          <cell r="S221" t="str">
            <v>CN</v>
          </cell>
          <cell r="T221">
            <v>8</v>
          </cell>
          <cell r="U221">
            <v>8</v>
          </cell>
          <cell r="V221">
            <v>8</v>
          </cell>
          <cell r="W221">
            <v>8</v>
          </cell>
          <cell r="X221">
            <v>8</v>
          </cell>
          <cell r="Y221">
            <v>8</v>
          </cell>
          <cell r="Z221" t="str">
            <v>CN</v>
          </cell>
          <cell r="AA221" t="str">
            <v>Đ</v>
          </cell>
          <cell r="AB221" t="str">
            <v>Đ</v>
          </cell>
          <cell r="AC221" t="str">
            <v>Đ</v>
          </cell>
          <cell r="AD221" t="str">
            <v>Đ</v>
          </cell>
          <cell r="AE221" t="str">
            <v>Đ</v>
          </cell>
          <cell r="AF221" t="str">
            <v>Đ</v>
          </cell>
          <cell r="AG221" t="str">
            <v>CN</v>
          </cell>
          <cell r="AH221" t="str">
            <v>Đ</v>
          </cell>
          <cell r="AI221" t="str">
            <v>Đ</v>
          </cell>
          <cell r="AJ221" t="str">
            <v>Đ</v>
          </cell>
          <cell r="AN221">
            <v>72</v>
          </cell>
          <cell r="AO221">
            <v>120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192</v>
          </cell>
          <cell r="BH221">
            <v>0</v>
          </cell>
          <cell r="BI221">
            <v>0</v>
          </cell>
          <cell r="BJ221">
            <v>5</v>
          </cell>
          <cell r="BL221">
            <v>4</v>
          </cell>
          <cell r="BM221">
            <v>4</v>
          </cell>
          <cell r="BN221">
            <v>4</v>
          </cell>
          <cell r="BO221">
            <v>12</v>
          </cell>
          <cell r="BP221">
            <v>0</v>
          </cell>
          <cell r="BQ221">
            <v>4</v>
          </cell>
          <cell r="BR221">
            <v>4</v>
          </cell>
          <cell r="BS221">
            <v>4</v>
          </cell>
          <cell r="BT221">
            <v>4</v>
          </cell>
          <cell r="BU221">
            <v>4</v>
          </cell>
          <cell r="BV221">
            <v>12</v>
          </cell>
          <cell r="BW221">
            <v>4</v>
          </cell>
          <cell r="BX221">
            <v>4</v>
          </cell>
          <cell r="BY221">
            <v>4</v>
          </cell>
          <cell r="BZ221">
            <v>4</v>
          </cell>
          <cell r="CA221">
            <v>4</v>
          </cell>
          <cell r="CB221">
            <v>4</v>
          </cell>
          <cell r="CC221" t="str">
            <v>12Đ</v>
          </cell>
          <cell r="CD221">
            <v>4</v>
          </cell>
          <cell r="CE221">
            <v>4</v>
          </cell>
          <cell r="CF221">
            <v>4</v>
          </cell>
          <cell r="CG221">
            <v>4</v>
          </cell>
          <cell r="CH221">
            <v>4</v>
          </cell>
          <cell r="CI221">
            <v>4</v>
          </cell>
          <cell r="CJ221" t="str">
            <v>12Đ</v>
          </cell>
          <cell r="CK221">
            <v>4</v>
          </cell>
          <cell r="CL221">
            <v>0</v>
          </cell>
          <cell r="CM221">
            <v>4</v>
          </cell>
          <cell r="CR221">
            <v>0</v>
          </cell>
          <cell r="CS221">
            <v>0</v>
          </cell>
          <cell r="CT221">
            <v>88</v>
          </cell>
          <cell r="CU221">
            <v>32</v>
          </cell>
          <cell r="CV221">
            <v>16</v>
          </cell>
          <cell r="CZ221">
            <v>136</v>
          </cell>
        </row>
        <row r="222">
          <cell r="C222" t="str">
            <v>02086</v>
          </cell>
          <cell r="D222" t="str">
            <v>Nguyễn Thị Kim Nhung</v>
          </cell>
          <cell r="E222" t="str">
            <v>PPC</v>
          </cell>
          <cell r="F222" t="str">
            <v>PPC</v>
          </cell>
          <cell r="G222" t="str">
            <v>Senior Staff</v>
          </cell>
          <cell r="H222">
            <v>43815</v>
          </cell>
          <cell r="I222">
            <v>8</v>
          </cell>
          <cell r="J222">
            <v>8</v>
          </cell>
          <cell r="K222" t="str">
            <v>PO</v>
          </cell>
          <cell r="L222" t="str">
            <v>CN</v>
          </cell>
          <cell r="M222">
            <v>8</v>
          </cell>
          <cell r="N222">
            <v>8</v>
          </cell>
          <cell r="O222">
            <v>8</v>
          </cell>
          <cell r="P222">
            <v>8</v>
          </cell>
          <cell r="Q222" t="str">
            <v>AL8</v>
          </cell>
          <cell r="R222" t="str">
            <v>PO</v>
          </cell>
          <cell r="S222" t="str">
            <v>CN</v>
          </cell>
          <cell r="T222">
            <v>8</v>
          </cell>
          <cell r="U222">
            <v>8</v>
          </cell>
          <cell r="V222">
            <v>8</v>
          </cell>
          <cell r="W222">
            <v>8</v>
          </cell>
          <cell r="X222">
            <v>8</v>
          </cell>
          <cell r="Y222" t="str">
            <v>PO</v>
          </cell>
          <cell r="Z222" t="str">
            <v>CN</v>
          </cell>
          <cell r="AA222">
            <v>8</v>
          </cell>
          <cell r="AB222">
            <v>8</v>
          </cell>
          <cell r="AC222">
            <v>8</v>
          </cell>
          <cell r="AD222">
            <v>8</v>
          </cell>
          <cell r="AE222">
            <v>8</v>
          </cell>
          <cell r="AF222" t="str">
            <v>PO</v>
          </cell>
          <cell r="AG222" t="str">
            <v>CN</v>
          </cell>
          <cell r="AH222">
            <v>8</v>
          </cell>
          <cell r="AI222">
            <v>8</v>
          </cell>
          <cell r="AJ222">
            <v>8</v>
          </cell>
          <cell r="AN222">
            <v>0</v>
          </cell>
          <cell r="AO222">
            <v>152</v>
          </cell>
          <cell r="AP222">
            <v>0</v>
          </cell>
          <cell r="AQ222">
            <v>0</v>
          </cell>
          <cell r="AR222">
            <v>0</v>
          </cell>
          <cell r="AS222">
            <v>0</v>
          </cell>
          <cell r="AT222">
            <v>0</v>
          </cell>
          <cell r="AU222">
            <v>0</v>
          </cell>
          <cell r="AV222">
            <v>32</v>
          </cell>
          <cell r="AW222">
            <v>0</v>
          </cell>
          <cell r="AX222">
            <v>0</v>
          </cell>
          <cell r="AY222">
            <v>0</v>
          </cell>
          <cell r="AZ222">
            <v>0</v>
          </cell>
          <cell r="BA222">
            <v>8</v>
          </cell>
          <cell r="BB222">
            <v>0</v>
          </cell>
          <cell r="BC222">
            <v>0</v>
          </cell>
          <cell r="BD222">
            <v>0</v>
          </cell>
          <cell r="BE222">
            <v>0</v>
          </cell>
          <cell r="BF222">
            <v>0</v>
          </cell>
          <cell r="BG222">
            <v>192</v>
          </cell>
          <cell r="BH222">
            <v>1</v>
          </cell>
          <cell r="BI222">
            <v>1</v>
          </cell>
          <cell r="BJ222">
            <v>10.5</v>
          </cell>
          <cell r="BL222">
            <v>0</v>
          </cell>
          <cell r="BM222">
            <v>0</v>
          </cell>
          <cell r="BN222">
            <v>0</v>
          </cell>
          <cell r="BO222">
            <v>0</v>
          </cell>
          <cell r="BP222">
            <v>0</v>
          </cell>
          <cell r="BQ222">
            <v>0</v>
          </cell>
          <cell r="BR222">
            <v>0</v>
          </cell>
          <cell r="BS222">
            <v>0</v>
          </cell>
          <cell r="BT222">
            <v>0</v>
          </cell>
          <cell r="BU222">
            <v>0</v>
          </cell>
          <cell r="BV222">
            <v>0</v>
          </cell>
          <cell r="BW222">
            <v>0</v>
          </cell>
          <cell r="BX222">
            <v>0</v>
          </cell>
          <cell r="BY222">
            <v>0</v>
          </cell>
          <cell r="BZ222">
            <v>0</v>
          </cell>
          <cell r="CA222">
            <v>0</v>
          </cell>
          <cell r="CB222">
            <v>0</v>
          </cell>
          <cell r="CC222">
            <v>0</v>
          </cell>
          <cell r="CD222">
            <v>0</v>
          </cell>
          <cell r="CE222">
            <v>0</v>
          </cell>
          <cell r="CF222">
            <v>0</v>
          </cell>
          <cell r="CG222">
            <v>0</v>
          </cell>
          <cell r="CH222">
            <v>0</v>
          </cell>
          <cell r="CI222">
            <v>0</v>
          </cell>
          <cell r="CJ222">
            <v>0</v>
          </cell>
          <cell r="CK222">
            <v>0</v>
          </cell>
          <cell r="CL222">
            <v>0</v>
          </cell>
          <cell r="CM222">
            <v>0</v>
          </cell>
          <cell r="CR222">
            <v>0</v>
          </cell>
          <cell r="CS222">
            <v>0</v>
          </cell>
          <cell r="CT222">
            <v>0</v>
          </cell>
          <cell r="CU222">
            <v>0</v>
          </cell>
          <cell r="CV222">
            <v>0</v>
          </cell>
          <cell r="CZ222">
            <v>0</v>
          </cell>
        </row>
        <row r="223">
          <cell r="C223" t="str">
            <v>02097</v>
          </cell>
          <cell r="D223" t="str">
            <v>Lâm Thị Ngọc Đầy</v>
          </cell>
          <cell r="E223" t="str">
            <v>QC</v>
          </cell>
          <cell r="F223" t="str">
            <v>QC</v>
          </cell>
          <cell r="G223" t="str">
            <v>Worker</v>
          </cell>
          <cell r="H223">
            <v>43829</v>
          </cell>
          <cell r="I223">
            <v>8</v>
          </cell>
          <cell r="J223">
            <v>8</v>
          </cell>
          <cell r="K223" t="str">
            <v>AL4</v>
          </cell>
          <cell r="L223" t="str">
            <v>CN</v>
          </cell>
          <cell r="M223" t="str">
            <v>AL4</v>
          </cell>
          <cell r="N223">
            <v>8</v>
          </cell>
          <cell r="O223">
            <v>8</v>
          </cell>
          <cell r="P223">
            <v>8</v>
          </cell>
          <cell r="Q223">
            <v>8</v>
          </cell>
          <cell r="R223">
            <v>8</v>
          </cell>
          <cell r="S223" t="str">
            <v>CN</v>
          </cell>
          <cell r="T223">
            <v>8</v>
          </cell>
          <cell r="U223">
            <v>8</v>
          </cell>
          <cell r="V223">
            <v>8</v>
          </cell>
          <cell r="W223">
            <v>8</v>
          </cell>
          <cell r="X223">
            <v>8</v>
          </cell>
          <cell r="Y223">
            <v>8</v>
          </cell>
          <cell r="Z223" t="str">
            <v>CN</v>
          </cell>
          <cell r="AA223">
            <v>8</v>
          </cell>
          <cell r="AB223">
            <v>8</v>
          </cell>
          <cell r="AC223">
            <v>8</v>
          </cell>
          <cell r="AD223">
            <v>8</v>
          </cell>
          <cell r="AE223">
            <v>8</v>
          </cell>
          <cell r="AF223">
            <v>8</v>
          </cell>
          <cell r="AG223" t="str">
            <v>CN</v>
          </cell>
          <cell r="AH223">
            <v>8</v>
          </cell>
          <cell r="AI223">
            <v>8</v>
          </cell>
          <cell r="AJ223">
            <v>8</v>
          </cell>
          <cell r="AN223">
            <v>0</v>
          </cell>
          <cell r="AO223">
            <v>184</v>
          </cell>
          <cell r="AP223">
            <v>8</v>
          </cell>
          <cell r="AQ223">
            <v>0</v>
          </cell>
          <cell r="AR223">
            <v>0</v>
          </cell>
          <cell r="AS223">
            <v>0</v>
          </cell>
          <cell r="AT223">
            <v>0</v>
          </cell>
          <cell r="AU223">
            <v>0</v>
          </cell>
          <cell r="AV223">
            <v>0</v>
          </cell>
          <cell r="AW223">
            <v>0</v>
          </cell>
          <cell r="AX223">
            <v>0</v>
          </cell>
          <cell r="AY223">
            <v>0</v>
          </cell>
          <cell r="AZ223">
            <v>0</v>
          </cell>
          <cell r="BA223">
            <v>8</v>
          </cell>
          <cell r="BB223">
            <v>0</v>
          </cell>
          <cell r="BC223">
            <v>0</v>
          </cell>
          <cell r="BD223">
            <v>0</v>
          </cell>
          <cell r="BE223">
            <v>0</v>
          </cell>
          <cell r="BF223">
            <v>0</v>
          </cell>
          <cell r="BG223">
            <v>192</v>
          </cell>
          <cell r="BH223">
            <v>1</v>
          </cell>
          <cell r="BI223">
            <v>1</v>
          </cell>
          <cell r="BJ223">
            <v>1</v>
          </cell>
          <cell r="BL223">
            <v>1</v>
          </cell>
          <cell r="BM223">
            <v>2</v>
          </cell>
          <cell r="BN223">
            <v>0</v>
          </cell>
          <cell r="BO223">
            <v>0</v>
          </cell>
          <cell r="BP223">
            <v>0</v>
          </cell>
          <cell r="BQ223">
            <v>2</v>
          </cell>
          <cell r="BR223">
            <v>2</v>
          </cell>
          <cell r="BS223">
            <v>2</v>
          </cell>
          <cell r="BT223">
            <v>2</v>
          </cell>
          <cell r="BU223">
            <v>1</v>
          </cell>
          <cell r="BV223">
            <v>8</v>
          </cell>
          <cell r="BW223">
            <v>1</v>
          </cell>
          <cell r="BX223">
            <v>0</v>
          </cell>
          <cell r="BY223">
            <v>1</v>
          </cell>
          <cell r="BZ223">
            <v>1</v>
          </cell>
          <cell r="CA223">
            <v>1</v>
          </cell>
          <cell r="CB223">
            <v>1</v>
          </cell>
          <cell r="CC223">
            <v>0</v>
          </cell>
          <cell r="CD223">
            <v>2</v>
          </cell>
          <cell r="CE223">
            <v>2</v>
          </cell>
          <cell r="CF223">
            <v>2</v>
          </cell>
          <cell r="CG223">
            <v>2</v>
          </cell>
          <cell r="CH223">
            <v>0</v>
          </cell>
          <cell r="CI223">
            <v>2</v>
          </cell>
          <cell r="CJ223">
            <v>8</v>
          </cell>
          <cell r="CK223">
            <v>3</v>
          </cell>
          <cell r="CL223">
            <v>2</v>
          </cell>
          <cell r="CM223">
            <v>2</v>
          </cell>
          <cell r="CR223">
            <v>0</v>
          </cell>
          <cell r="CS223">
            <v>0</v>
          </cell>
          <cell r="CT223">
            <v>34</v>
          </cell>
          <cell r="CU223">
            <v>16</v>
          </cell>
          <cell r="CV223">
            <v>0</v>
          </cell>
          <cell r="CZ223">
            <v>50</v>
          </cell>
        </row>
        <row r="224">
          <cell r="C224" t="str">
            <v>02098</v>
          </cell>
          <cell r="D224" t="str">
            <v>Nguyễn Vũ Tuất</v>
          </cell>
          <cell r="E224" t="str">
            <v>PD</v>
          </cell>
          <cell r="F224" t="str">
            <v>PD office</v>
          </cell>
          <cell r="G224" t="str">
            <v>Supervisor</v>
          </cell>
          <cell r="H224">
            <v>43833</v>
          </cell>
          <cell r="I224">
            <v>8</v>
          </cell>
          <cell r="J224" t="str">
            <v>BS</v>
          </cell>
          <cell r="K224" t="str">
            <v>PO</v>
          </cell>
          <cell r="L224" t="str">
            <v>CN</v>
          </cell>
          <cell r="M224">
            <v>8</v>
          </cell>
          <cell r="N224" t="str">
            <v>BS</v>
          </cell>
          <cell r="O224">
            <v>8</v>
          </cell>
          <cell r="P224">
            <v>8</v>
          </cell>
          <cell r="Q224" t="str">
            <v>PO</v>
          </cell>
          <cell r="R224" t="str">
            <v>PO</v>
          </cell>
          <cell r="S224" t="str">
            <v>CN</v>
          </cell>
          <cell r="T224">
            <v>8</v>
          </cell>
          <cell r="U224" t="str">
            <v>BS</v>
          </cell>
          <cell r="V224">
            <v>8</v>
          </cell>
          <cell r="W224">
            <v>8</v>
          </cell>
          <cell r="X224">
            <v>8</v>
          </cell>
          <cell r="Y224" t="str">
            <v>PO</v>
          </cell>
          <cell r="Z224" t="str">
            <v>CN</v>
          </cell>
          <cell r="AA224" t="str">
            <v>BS</v>
          </cell>
          <cell r="AB224">
            <v>8</v>
          </cell>
          <cell r="AC224">
            <v>8</v>
          </cell>
          <cell r="AD224">
            <v>8</v>
          </cell>
          <cell r="AE224" t="str">
            <v>BS</v>
          </cell>
          <cell r="AF224" t="str">
            <v>PO</v>
          </cell>
          <cell r="AG224" t="str">
            <v>CN</v>
          </cell>
          <cell r="AH224">
            <v>8</v>
          </cell>
          <cell r="AI224">
            <v>8</v>
          </cell>
          <cell r="AJ224">
            <v>8</v>
          </cell>
          <cell r="AN224">
            <v>0</v>
          </cell>
          <cell r="AO224">
            <v>112</v>
          </cell>
          <cell r="AP224">
            <v>0</v>
          </cell>
          <cell r="AQ224">
            <v>0</v>
          </cell>
          <cell r="AR224">
            <v>0</v>
          </cell>
          <cell r="AS224">
            <v>0</v>
          </cell>
          <cell r="AT224">
            <v>0</v>
          </cell>
          <cell r="AU224">
            <v>40</v>
          </cell>
          <cell r="AV224">
            <v>40</v>
          </cell>
          <cell r="AW224">
            <v>0</v>
          </cell>
          <cell r="AX224">
            <v>0</v>
          </cell>
          <cell r="AY224">
            <v>0</v>
          </cell>
          <cell r="AZ224">
            <v>0</v>
          </cell>
          <cell r="BA224">
            <v>0</v>
          </cell>
          <cell r="BB224">
            <v>0</v>
          </cell>
          <cell r="BC224">
            <v>0</v>
          </cell>
          <cell r="BD224">
            <v>0</v>
          </cell>
          <cell r="BE224">
            <v>0</v>
          </cell>
          <cell r="BF224">
            <v>0</v>
          </cell>
          <cell r="BG224">
            <v>192</v>
          </cell>
          <cell r="BH224">
            <v>0</v>
          </cell>
          <cell r="BI224">
            <v>0</v>
          </cell>
          <cell r="BJ224">
            <v>11.5</v>
          </cell>
          <cell r="BL224">
            <v>0</v>
          </cell>
          <cell r="BM224">
            <v>0</v>
          </cell>
          <cell r="BN224">
            <v>0</v>
          </cell>
          <cell r="BO224">
            <v>0</v>
          </cell>
          <cell r="BP224">
            <v>0</v>
          </cell>
          <cell r="BQ224">
            <v>0</v>
          </cell>
          <cell r="BR224">
            <v>0</v>
          </cell>
          <cell r="BS224">
            <v>0</v>
          </cell>
          <cell r="BT224">
            <v>0</v>
          </cell>
          <cell r="BU224">
            <v>0</v>
          </cell>
          <cell r="BV224">
            <v>0</v>
          </cell>
          <cell r="BW224">
            <v>0</v>
          </cell>
          <cell r="BX224">
            <v>0</v>
          </cell>
          <cell r="BY224">
            <v>0</v>
          </cell>
          <cell r="BZ224">
            <v>0</v>
          </cell>
          <cell r="CA224">
            <v>0</v>
          </cell>
          <cell r="CB224">
            <v>0</v>
          </cell>
          <cell r="CC224">
            <v>0</v>
          </cell>
          <cell r="CD224">
            <v>0</v>
          </cell>
          <cell r="CE224">
            <v>0</v>
          </cell>
          <cell r="CF224">
            <v>0</v>
          </cell>
          <cell r="CG224">
            <v>0</v>
          </cell>
          <cell r="CH224">
            <v>0</v>
          </cell>
          <cell r="CI224">
            <v>0</v>
          </cell>
          <cell r="CJ224">
            <v>0</v>
          </cell>
          <cell r="CK224">
            <v>0</v>
          </cell>
          <cell r="CL224">
            <v>0</v>
          </cell>
          <cell r="CM224">
            <v>0</v>
          </cell>
          <cell r="CR224">
            <v>0</v>
          </cell>
          <cell r="CS224">
            <v>0</v>
          </cell>
          <cell r="CT224">
            <v>0</v>
          </cell>
          <cell r="CU224">
            <v>0</v>
          </cell>
          <cell r="CV224">
            <v>0</v>
          </cell>
          <cell r="CZ224">
            <v>0</v>
          </cell>
        </row>
        <row r="225">
          <cell r="C225" t="str">
            <v>02101</v>
          </cell>
          <cell r="D225" t="str">
            <v>Nguyễn Văn Trọn</v>
          </cell>
          <cell r="E225" t="str">
            <v>Foaming</v>
          </cell>
          <cell r="F225" t="str">
            <v>FOAMING Splitting</v>
          </cell>
          <cell r="G225" t="str">
            <v>Worker</v>
          </cell>
          <cell r="H225">
            <v>43836</v>
          </cell>
          <cell r="I225">
            <v>8</v>
          </cell>
          <cell r="J225">
            <v>8</v>
          </cell>
          <cell r="K225">
            <v>8</v>
          </cell>
          <cell r="L225" t="str">
            <v>CN</v>
          </cell>
          <cell r="M225">
            <v>8</v>
          </cell>
          <cell r="N225" t="str">
            <v>AL8</v>
          </cell>
          <cell r="O225">
            <v>8</v>
          </cell>
          <cell r="P225">
            <v>8</v>
          </cell>
          <cell r="Q225">
            <v>8</v>
          </cell>
          <cell r="R225">
            <v>8</v>
          </cell>
          <cell r="S225" t="str">
            <v>CN</v>
          </cell>
          <cell r="T225">
            <v>8</v>
          </cell>
          <cell r="U225" t="str">
            <v>AL4</v>
          </cell>
          <cell r="V225">
            <v>8</v>
          </cell>
          <cell r="W225">
            <v>8</v>
          </cell>
          <cell r="X225">
            <v>8</v>
          </cell>
          <cell r="Y225">
            <v>8</v>
          </cell>
          <cell r="Z225" t="str">
            <v>CN</v>
          </cell>
          <cell r="AA225">
            <v>8</v>
          </cell>
          <cell r="AB225">
            <v>8</v>
          </cell>
          <cell r="AC225">
            <v>8</v>
          </cell>
          <cell r="AD225">
            <v>8</v>
          </cell>
          <cell r="AE225">
            <v>8</v>
          </cell>
          <cell r="AF225">
            <v>8</v>
          </cell>
          <cell r="AG225" t="str">
            <v>CN</v>
          </cell>
          <cell r="AH225">
            <v>8</v>
          </cell>
          <cell r="AI225">
            <v>8</v>
          </cell>
          <cell r="AJ225">
            <v>8</v>
          </cell>
          <cell r="AN225">
            <v>0</v>
          </cell>
          <cell r="AO225">
            <v>180</v>
          </cell>
          <cell r="AP225">
            <v>4</v>
          </cell>
          <cell r="AQ225">
            <v>0</v>
          </cell>
          <cell r="AR225">
            <v>0</v>
          </cell>
          <cell r="AS225">
            <v>0</v>
          </cell>
          <cell r="AT225">
            <v>0</v>
          </cell>
          <cell r="AU225">
            <v>0</v>
          </cell>
          <cell r="AV225">
            <v>0</v>
          </cell>
          <cell r="AW225">
            <v>0</v>
          </cell>
          <cell r="AX225">
            <v>0</v>
          </cell>
          <cell r="AY225">
            <v>0</v>
          </cell>
          <cell r="AZ225">
            <v>0</v>
          </cell>
          <cell r="BA225">
            <v>12</v>
          </cell>
          <cell r="BB225">
            <v>0</v>
          </cell>
          <cell r="BC225">
            <v>0</v>
          </cell>
          <cell r="BD225">
            <v>0</v>
          </cell>
          <cell r="BE225">
            <v>0</v>
          </cell>
          <cell r="BF225">
            <v>0</v>
          </cell>
          <cell r="BG225">
            <v>192</v>
          </cell>
          <cell r="BH225">
            <v>1.5</v>
          </cell>
          <cell r="BI225">
            <v>1.5</v>
          </cell>
          <cell r="BJ225">
            <v>-5.5</v>
          </cell>
          <cell r="BL225">
            <v>4</v>
          </cell>
          <cell r="BM225">
            <v>4</v>
          </cell>
          <cell r="BN225">
            <v>4</v>
          </cell>
          <cell r="BO225">
            <v>12</v>
          </cell>
          <cell r="BP225">
            <v>0</v>
          </cell>
          <cell r="BQ225">
            <v>0</v>
          </cell>
          <cell r="BR225">
            <v>4</v>
          </cell>
          <cell r="BS225">
            <v>4</v>
          </cell>
          <cell r="BT225">
            <v>4</v>
          </cell>
          <cell r="BU225">
            <v>4</v>
          </cell>
          <cell r="BV225">
            <v>12</v>
          </cell>
          <cell r="BW225">
            <v>4</v>
          </cell>
          <cell r="BX225">
            <v>4</v>
          </cell>
          <cell r="BY225">
            <v>4</v>
          </cell>
          <cell r="BZ225">
            <v>4</v>
          </cell>
          <cell r="CA225">
            <v>4</v>
          </cell>
          <cell r="CB225">
            <v>4</v>
          </cell>
          <cell r="CC225">
            <v>0</v>
          </cell>
          <cell r="CD225">
            <v>4</v>
          </cell>
          <cell r="CE225">
            <v>0</v>
          </cell>
          <cell r="CF225">
            <v>4</v>
          </cell>
          <cell r="CG225">
            <v>4</v>
          </cell>
          <cell r="CH225">
            <v>4</v>
          </cell>
          <cell r="CI225">
            <v>4</v>
          </cell>
          <cell r="CJ225">
            <v>12</v>
          </cell>
          <cell r="CK225">
            <v>4</v>
          </cell>
          <cell r="CL225">
            <v>4</v>
          </cell>
          <cell r="CM225">
            <v>4</v>
          </cell>
          <cell r="CR225">
            <v>0</v>
          </cell>
          <cell r="CS225">
            <v>0</v>
          </cell>
          <cell r="CT225">
            <v>84</v>
          </cell>
          <cell r="CU225">
            <v>36</v>
          </cell>
          <cell r="CV225">
            <v>0</v>
          </cell>
          <cell r="CZ225">
            <v>120</v>
          </cell>
        </row>
        <row r="226">
          <cell r="C226" t="str">
            <v>02107</v>
          </cell>
          <cell r="D226" t="str">
            <v xml:space="preserve">Nguyễn Vũ Em </v>
          </cell>
          <cell r="E226" t="str">
            <v>Foaming</v>
          </cell>
          <cell r="F226" t="str">
            <v>FOAMING Rectangular</v>
          </cell>
          <cell r="G226" t="str">
            <v>Worker</v>
          </cell>
          <cell r="H226">
            <v>43844</v>
          </cell>
          <cell r="I226">
            <v>8</v>
          </cell>
          <cell r="J226">
            <v>8</v>
          </cell>
          <cell r="K226">
            <v>8</v>
          </cell>
          <cell r="L226" t="str">
            <v>CN</v>
          </cell>
          <cell r="M226" t="str">
            <v>AL4Đ</v>
          </cell>
          <cell r="N226" t="str">
            <v>Đ</v>
          </cell>
          <cell r="O226" t="str">
            <v>Đ</v>
          </cell>
          <cell r="P226" t="str">
            <v>Đ</v>
          </cell>
          <cell r="Q226" t="str">
            <v>Đ</v>
          </cell>
          <cell r="R226" t="str">
            <v>Đ</v>
          </cell>
          <cell r="S226" t="str">
            <v>CN</v>
          </cell>
          <cell r="T226" t="str">
            <v>Đ</v>
          </cell>
          <cell r="U226" t="str">
            <v>Đ</v>
          </cell>
          <cell r="V226" t="str">
            <v>Đ</v>
          </cell>
          <cell r="W226" t="str">
            <v>Đ</v>
          </cell>
          <cell r="X226" t="str">
            <v>Đ</v>
          </cell>
          <cell r="Y226" t="str">
            <v>Đ</v>
          </cell>
          <cell r="Z226" t="str">
            <v>CN</v>
          </cell>
          <cell r="AA226">
            <v>8</v>
          </cell>
          <cell r="AB226">
            <v>8</v>
          </cell>
          <cell r="AC226">
            <v>8</v>
          </cell>
          <cell r="AD226">
            <v>8</v>
          </cell>
          <cell r="AE226">
            <v>8</v>
          </cell>
          <cell r="AF226">
            <v>8</v>
          </cell>
          <cell r="AG226" t="str">
            <v>CN</v>
          </cell>
          <cell r="AH226">
            <v>8</v>
          </cell>
          <cell r="AI226">
            <v>8</v>
          </cell>
          <cell r="AJ226">
            <v>8</v>
          </cell>
          <cell r="AN226">
            <v>92</v>
          </cell>
          <cell r="AO226">
            <v>96</v>
          </cell>
          <cell r="AP226">
            <v>0</v>
          </cell>
          <cell r="AQ226">
            <v>0</v>
          </cell>
          <cell r="AR226">
            <v>0</v>
          </cell>
          <cell r="AS226">
            <v>0</v>
          </cell>
          <cell r="AT226">
            <v>0</v>
          </cell>
          <cell r="AU226">
            <v>0</v>
          </cell>
          <cell r="AV226">
            <v>0</v>
          </cell>
          <cell r="AW226">
            <v>0</v>
          </cell>
          <cell r="AX226">
            <v>0</v>
          </cell>
          <cell r="AY226">
            <v>0</v>
          </cell>
          <cell r="AZ226">
            <v>0</v>
          </cell>
          <cell r="BA226">
            <v>4</v>
          </cell>
          <cell r="BB226">
            <v>0</v>
          </cell>
          <cell r="BC226">
            <v>0</v>
          </cell>
          <cell r="BD226">
            <v>0</v>
          </cell>
          <cell r="BE226">
            <v>0</v>
          </cell>
          <cell r="BF226">
            <v>0</v>
          </cell>
          <cell r="BG226">
            <v>192</v>
          </cell>
          <cell r="BH226">
            <v>0.5</v>
          </cell>
          <cell r="BI226">
            <v>0.5</v>
          </cell>
          <cell r="BJ226">
            <v>1.5</v>
          </cell>
          <cell r="BL226">
            <v>4</v>
          </cell>
          <cell r="BM226">
            <v>4</v>
          </cell>
          <cell r="BN226">
            <v>4</v>
          </cell>
          <cell r="BO226" t="str">
            <v>12Đ</v>
          </cell>
          <cell r="BP226">
            <v>2</v>
          </cell>
          <cell r="BQ226">
            <v>0</v>
          </cell>
          <cell r="BR226">
            <v>4</v>
          </cell>
          <cell r="BS226">
            <v>4</v>
          </cell>
          <cell r="BT226">
            <v>4</v>
          </cell>
          <cell r="BU226">
            <v>4</v>
          </cell>
          <cell r="BV226" t="str">
            <v>12Đ</v>
          </cell>
          <cell r="BW226">
            <v>4</v>
          </cell>
          <cell r="BX226">
            <v>4</v>
          </cell>
          <cell r="BY226">
            <v>4</v>
          </cell>
          <cell r="BZ226">
            <v>4</v>
          </cell>
          <cell r="CA226">
            <v>4</v>
          </cell>
          <cell r="CB226">
            <v>4</v>
          </cell>
          <cell r="CC226">
            <v>0</v>
          </cell>
          <cell r="CD226">
            <v>4</v>
          </cell>
          <cell r="CE226">
            <v>4</v>
          </cell>
          <cell r="CF226">
            <v>4</v>
          </cell>
          <cell r="CG226">
            <v>4</v>
          </cell>
          <cell r="CH226">
            <v>4</v>
          </cell>
          <cell r="CI226">
            <v>0</v>
          </cell>
          <cell r="CJ226">
            <v>12</v>
          </cell>
          <cell r="CK226">
            <v>4</v>
          </cell>
          <cell r="CL226">
            <v>4</v>
          </cell>
          <cell r="CM226">
            <v>4</v>
          </cell>
          <cell r="CR226">
            <v>0</v>
          </cell>
          <cell r="CS226">
            <v>0</v>
          </cell>
          <cell r="CT226">
            <v>86</v>
          </cell>
          <cell r="CU226">
            <v>20</v>
          </cell>
          <cell r="CV226">
            <v>16</v>
          </cell>
          <cell r="CZ226">
            <v>122</v>
          </cell>
        </row>
        <row r="227">
          <cell r="C227" t="str">
            <v>02108</v>
          </cell>
          <cell r="D227" t="str">
            <v>Nguyễn Văn Thịnh</v>
          </cell>
          <cell r="E227" t="str">
            <v>Foaming</v>
          </cell>
          <cell r="F227" t="str">
            <v>FOAMING Splitting</v>
          </cell>
          <cell r="G227" t="str">
            <v>Operator</v>
          </cell>
          <cell r="H227">
            <v>43844</v>
          </cell>
          <cell r="I227" t="str">
            <v>Đ</v>
          </cell>
          <cell r="J227" t="str">
            <v>Đ</v>
          </cell>
          <cell r="K227" t="str">
            <v>Đ</v>
          </cell>
          <cell r="L227" t="str">
            <v>CN</v>
          </cell>
          <cell r="M227" t="str">
            <v>Đ</v>
          </cell>
          <cell r="N227" t="str">
            <v>Đ</v>
          </cell>
          <cell r="O227" t="str">
            <v>Đ</v>
          </cell>
          <cell r="P227" t="str">
            <v>Đ</v>
          </cell>
          <cell r="Q227" t="str">
            <v>Đ</v>
          </cell>
          <cell r="R227" t="str">
            <v>Đ</v>
          </cell>
          <cell r="S227" t="str">
            <v>CN</v>
          </cell>
          <cell r="T227" t="str">
            <v>Đ</v>
          </cell>
          <cell r="U227" t="str">
            <v>Đ</v>
          </cell>
          <cell r="V227" t="str">
            <v>Đ</v>
          </cell>
          <cell r="W227" t="str">
            <v>Đ</v>
          </cell>
          <cell r="X227" t="str">
            <v>Đ</v>
          </cell>
          <cell r="Y227" t="str">
            <v>Đ</v>
          </cell>
          <cell r="Z227" t="str">
            <v>CN</v>
          </cell>
          <cell r="AA227">
            <v>8</v>
          </cell>
          <cell r="AB227">
            <v>8</v>
          </cell>
          <cell r="AC227">
            <v>8</v>
          </cell>
          <cell r="AD227">
            <v>8</v>
          </cell>
          <cell r="AE227">
            <v>8</v>
          </cell>
          <cell r="AF227">
            <v>8</v>
          </cell>
          <cell r="AG227" t="str">
            <v>CN</v>
          </cell>
          <cell r="AH227">
            <v>8</v>
          </cell>
          <cell r="AI227">
            <v>8</v>
          </cell>
          <cell r="AJ227">
            <v>8</v>
          </cell>
          <cell r="AN227">
            <v>120</v>
          </cell>
          <cell r="AO227">
            <v>72</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192</v>
          </cell>
          <cell r="BH227">
            <v>0</v>
          </cell>
          <cell r="BI227">
            <v>0</v>
          </cell>
          <cell r="BJ227">
            <v>2</v>
          </cell>
          <cell r="BL227">
            <v>4</v>
          </cell>
          <cell r="BM227">
            <v>4</v>
          </cell>
          <cell r="BN227">
            <v>4</v>
          </cell>
          <cell r="BO227" t="str">
            <v>12Đ</v>
          </cell>
          <cell r="BP227">
            <v>2</v>
          </cell>
          <cell r="BQ227">
            <v>4</v>
          </cell>
          <cell r="BR227">
            <v>4</v>
          </cell>
          <cell r="BS227">
            <v>4</v>
          </cell>
          <cell r="BT227">
            <v>4</v>
          </cell>
          <cell r="BU227">
            <v>4</v>
          </cell>
          <cell r="BV227" t="str">
            <v>12Đ</v>
          </cell>
          <cell r="BW227">
            <v>4</v>
          </cell>
          <cell r="BX227">
            <v>4</v>
          </cell>
          <cell r="BY227">
            <v>4</v>
          </cell>
          <cell r="BZ227">
            <v>4</v>
          </cell>
          <cell r="CA227">
            <v>4</v>
          </cell>
          <cell r="CB227">
            <v>4</v>
          </cell>
          <cell r="CC227">
            <v>0</v>
          </cell>
          <cell r="CD227">
            <v>4</v>
          </cell>
          <cell r="CE227">
            <v>4</v>
          </cell>
          <cell r="CF227">
            <v>4</v>
          </cell>
          <cell r="CG227">
            <v>2</v>
          </cell>
          <cell r="CH227">
            <v>4</v>
          </cell>
          <cell r="CI227">
            <v>2</v>
          </cell>
          <cell r="CJ227">
            <v>12</v>
          </cell>
          <cell r="CK227">
            <v>4</v>
          </cell>
          <cell r="CL227">
            <v>4</v>
          </cell>
          <cell r="CM227">
            <v>4</v>
          </cell>
          <cell r="CR227">
            <v>0</v>
          </cell>
          <cell r="CS227">
            <v>0</v>
          </cell>
          <cell r="CT227">
            <v>90</v>
          </cell>
          <cell r="CU227">
            <v>20</v>
          </cell>
          <cell r="CV227">
            <v>16</v>
          </cell>
          <cell r="CZ227">
            <v>126</v>
          </cell>
        </row>
        <row r="228">
          <cell r="C228" t="str">
            <v>02111</v>
          </cell>
          <cell r="D228" t="str">
            <v>Lâm Hoàng Đặng</v>
          </cell>
          <cell r="E228" t="str">
            <v>Foaming</v>
          </cell>
          <cell r="F228" t="str">
            <v>FOAMING Splitting</v>
          </cell>
          <cell r="G228" t="str">
            <v>Operator</v>
          </cell>
          <cell r="H228">
            <v>43846</v>
          </cell>
          <cell r="I228">
            <v>8</v>
          </cell>
          <cell r="J228">
            <v>8</v>
          </cell>
          <cell r="K228">
            <v>8</v>
          </cell>
          <cell r="L228" t="str">
            <v>CN</v>
          </cell>
          <cell r="M228">
            <v>8</v>
          </cell>
          <cell r="N228">
            <v>8</v>
          </cell>
          <cell r="O228" t="str">
            <v>AL8</v>
          </cell>
          <cell r="P228">
            <v>8</v>
          </cell>
          <cell r="Q228" t="str">
            <v>AL8</v>
          </cell>
          <cell r="R228">
            <v>8</v>
          </cell>
          <cell r="S228" t="str">
            <v>CN</v>
          </cell>
          <cell r="T228">
            <v>8</v>
          </cell>
          <cell r="U228">
            <v>8</v>
          </cell>
          <cell r="V228">
            <v>8</v>
          </cell>
          <cell r="W228" t="str">
            <v>AL8</v>
          </cell>
          <cell r="X228">
            <v>8</v>
          </cell>
          <cell r="Y228">
            <v>8</v>
          </cell>
          <cell r="Z228" t="str">
            <v>CN</v>
          </cell>
          <cell r="AA228" t="str">
            <v>Đ</v>
          </cell>
          <cell r="AB228" t="str">
            <v>Đ</v>
          </cell>
          <cell r="AC228" t="str">
            <v>Đ</v>
          </cell>
          <cell r="AD228" t="str">
            <v>Đ</v>
          </cell>
          <cell r="AE228" t="str">
            <v>Đ</v>
          </cell>
          <cell r="AF228" t="str">
            <v>Đ</v>
          </cell>
          <cell r="AG228" t="str">
            <v>CN</v>
          </cell>
          <cell r="AH228" t="str">
            <v>Đ</v>
          </cell>
          <cell r="AI228" t="str">
            <v>Đ</v>
          </cell>
          <cell r="AJ228" t="str">
            <v>Đ</v>
          </cell>
          <cell r="AN228">
            <v>72</v>
          </cell>
          <cell r="AO228">
            <v>96</v>
          </cell>
          <cell r="AP228">
            <v>0</v>
          </cell>
          <cell r="AQ228">
            <v>0</v>
          </cell>
          <cell r="AR228">
            <v>0</v>
          </cell>
          <cell r="AS228">
            <v>0</v>
          </cell>
          <cell r="AT228">
            <v>0</v>
          </cell>
          <cell r="AU228">
            <v>0</v>
          </cell>
          <cell r="AV228">
            <v>0</v>
          </cell>
          <cell r="AW228">
            <v>0</v>
          </cell>
          <cell r="AX228">
            <v>0</v>
          </cell>
          <cell r="AY228">
            <v>0</v>
          </cell>
          <cell r="AZ228">
            <v>0</v>
          </cell>
          <cell r="BA228">
            <v>24</v>
          </cell>
          <cell r="BB228">
            <v>0</v>
          </cell>
          <cell r="BC228">
            <v>0</v>
          </cell>
          <cell r="BD228">
            <v>0</v>
          </cell>
          <cell r="BE228">
            <v>0</v>
          </cell>
          <cell r="BF228">
            <v>0</v>
          </cell>
          <cell r="BG228">
            <v>192</v>
          </cell>
          <cell r="BH228">
            <v>3</v>
          </cell>
          <cell r="BI228">
            <v>3</v>
          </cell>
          <cell r="BJ228">
            <v>0</v>
          </cell>
          <cell r="BL228">
            <v>4</v>
          </cell>
          <cell r="BM228">
            <v>4</v>
          </cell>
          <cell r="BN228">
            <v>4</v>
          </cell>
          <cell r="BO228">
            <v>12</v>
          </cell>
          <cell r="BP228">
            <v>0</v>
          </cell>
          <cell r="BQ228">
            <v>4</v>
          </cell>
          <cell r="BR228">
            <v>0</v>
          </cell>
          <cell r="BS228">
            <v>4</v>
          </cell>
          <cell r="BT228">
            <v>0</v>
          </cell>
          <cell r="BU228">
            <v>4</v>
          </cell>
          <cell r="BV228">
            <v>12</v>
          </cell>
          <cell r="BW228">
            <v>4</v>
          </cell>
          <cell r="BX228">
            <v>4</v>
          </cell>
          <cell r="BY228">
            <v>4</v>
          </cell>
          <cell r="BZ228">
            <v>0</v>
          </cell>
          <cell r="CA228">
            <v>4</v>
          </cell>
          <cell r="CB228">
            <v>4</v>
          </cell>
          <cell r="CC228" t="str">
            <v>12Đ</v>
          </cell>
          <cell r="CD228">
            <v>4</v>
          </cell>
          <cell r="CE228">
            <v>4</v>
          </cell>
          <cell r="CF228">
            <v>4</v>
          </cell>
          <cell r="CG228">
            <v>4</v>
          </cell>
          <cell r="CH228">
            <v>4</v>
          </cell>
          <cell r="CI228">
            <v>4</v>
          </cell>
          <cell r="CJ228" t="str">
            <v>12Đ</v>
          </cell>
          <cell r="CK228">
            <v>4</v>
          </cell>
          <cell r="CL228">
            <v>0</v>
          </cell>
          <cell r="CM228">
            <v>4</v>
          </cell>
          <cell r="CR228">
            <v>0</v>
          </cell>
          <cell r="CS228">
            <v>0</v>
          </cell>
          <cell r="CT228">
            <v>76</v>
          </cell>
          <cell r="CU228">
            <v>32</v>
          </cell>
          <cell r="CV228">
            <v>16</v>
          </cell>
          <cell r="CZ228">
            <v>124</v>
          </cell>
        </row>
        <row r="229">
          <cell r="C229" t="str">
            <v>02126</v>
          </cell>
          <cell r="D229" t="str">
            <v>Lê Cao Tài</v>
          </cell>
          <cell r="E229" t="str">
            <v>Foaming</v>
          </cell>
          <cell r="F229" t="str">
            <v>FOAMING Rectangular</v>
          </cell>
          <cell r="G229" t="str">
            <v>Worker</v>
          </cell>
          <cell r="H229">
            <v>43867</v>
          </cell>
          <cell r="I229">
            <v>8</v>
          </cell>
          <cell r="J229">
            <v>8</v>
          </cell>
          <cell r="K229">
            <v>8</v>
          </cell>
          <cell r="L229" t="str">
            <v>CN</v>
          </cell>
          <cell r="M229">
            <v>8</v>
          </cell>
          <cell r="N229">
            <v>8</v>
          </cell>
          <cell r="O229">
            <v>8</v>
          </cell>
          <cell r="P229">
            <v>8</v>
          </cell>
          <cell r="Q229">
            <v>8</v>
          </cell>
          <cell r="R229">
            <v>8</v>
          </cell>
          <cell r="S229" t="str">
            <v>CN</v>
          </cell>
          <cell r="T229">
            <v>8</v>
          </cell>
          <cell r="U229">
            <v>8</v>
          </cell>
          <cell r="V229">
            <v>8</v>
          </cell>
          <cell r="W229">
            <v>8</v>
          </cell>
          <cell r="X229">
            <v>8</v>
          </cell>
          <cell r="Y229">
            <v>8</v>
          </cell>
          <cell r="Z229" t="str">
            <v>CN</v>
          </cell>
          <cell r="AA229">
            <v>8</v>
          </cell>
          <cell r="AB229">
            <v>8</v>
          </cell>
          <cell r="AC229">
            <v>8</v>
          </cell>
          <cell r="AD229">
            <v>8</v>
          </cell>
          <cell r="AE229" t="str">
            <v>AL8</v>
          </cell>
          <cell r="AF229" t="str">
            <v>AL8</v>
          </cell>
          <cell r="AG229" t="str">
            <v>CN</v>
          </cell>
          <cell r="AH229">
            <v>8</v>
          </cell>
          <cell r="AI229">
            <v>8</v>
          </cell>
          <cell r="AJ229">
            <v>8</v>
          </cell>
          <cell r="AN229">
            <v>0</v>
          </cell>
          <cell r="AO229">
            <v>176</v>
          </cell>
          <cell r="AP229">
            <v>0</v>
          </cell>
          <cell r="AQ229">
            <v>0</v>
          </cell>
          <cell r="AR229">
            <v>0</v>
          </cell>
          <cell r="AS229">
            <v>0</v>
          </cell>
          <cell r="AT229">
            <v>0</v>
          </cell>
          <cell r="AU229">
            <v>0</v>
          </cell>
          <cell r="AV229">
            <v>0</v>
          </cell>
          <cell r="AW229">
            <v>0</v>
          </cell>
          <cell r="AX229">
            <v>0</v>
          </cell>
          <cell r="AY229">
            <v>0</v>
          </cell>
          <cell r="AZ229">
            <v>0</v>
          </cell>
          <cell r="BA229">
            <v>16</v>
          </cell>
          <cell r="BB229">
            <v>0</v>
          </cell>
          <cell r="BC229">
            <v>0</v>
          </cell>
          <cell r="BD229">
            <v>0</v>
          </cell>
          <cell r="BE229">
            <v>0</v>
          </cell>
          <cell r="BF229">
            <v>0</v>
          </cell>
          <cell r="BG229">
            <v>192</v>
          </cell>
          <cell r="BH229">
            <v>2</v>
          </cell>
          <cell r="BI229">
            <v>2</v>
          </cell>
          <cell r="BJ229">
            <v>3.5</v>
          </cell>
          <cell r="BL229">
            <v>3</v>
          </cell>
          <cell r="BM229">
            <v>4</v>
          </cell>
          <cell r="BN229">
            <v>3</v>
          </cell>
          <cell r="BO229">
            <v>0</v>
          </cell>
          <cell r="BP229">
            <v>2</v>
          </cell>
          <cell r="BQ229">
            <v>3</v>
          </cell>
          <cell r="BR229">
            <v>3</v>
          </cell>
          <cell r="BS229">
            <v>3</v>
          </cell>
          <cell r="BT229">
            <v>3</v>
          </cell>
          <cell r="BU229">
            <v>3</v>
          </cell>
          <cell r="BV229">
            <v>0</v>
          </cell>
          <cell r="BW229">
            <v>4</v>
          </cell>
          <cell r="BX229">
            <v>4</v>
          </cell>
          <cell r="BY229">
            <v>4</v>
          </cell>
          <cell r="BZ229">
            <v>4</v>
          </cell>
          <cell r="CA229">
            <v>4</v>
          </cell>
          <cell r="CB229">
            <v>4</v>
          </cell>
          <cell r="CC229">
            <v>0</v>
          </cell>
          <cell r="CD229">
            <v>3</v>
          </cell>
          <cell r="CE229">
            <v>3</v>
          </cell>
          <cell r="CF229">
            <v>3</v>
          </cell>
          <cell r="CG229">
            <v>3</v>
          </cell>
          <cell r="CH229">
            <v>0</v>
          </cell>
          <cell r="CI229">
            <v>0</v>
          </cell>
          <cell r="CJ229">
            <v>12</v>
          </cell>
          <cell r="CK229">
            <v>4</v>
          </cell>
          <cell r="CL229">
            <v>4</v>
          </cell>
          <cell r="CM229">
            <v>4</v>
          </cell>
          <cell r="CR229">
            <v>0</v>
          </cell>
          <cell r="CS229">
            <v>0</v>
          </cell>
          <cell r="CT229">
            <v>75</v>
          </cell>
          <cell r="CU229">
            <v>12</v>
          </cell>
          <cell r="CV229">
            <v>0</v>
          </cell>
          <cell r="CZ229">
            <v>87</v>
          </cell>
        </row>
        <row r="230">
          <cell r="C230" t="str">
            <v>02130</v>
          </cell>
          <cell r="D230" t="str">
            <v>Phạm Tuấn Dũ</v>
          </cell>
          <cell r="E230" t="str">
            <v>Foaming</v>
          </cell>
          <cell r="F230" t="str">
            <v>FOAMING Rectangular</v>
          </cell>
          <cell r="G230" t="str">
            <v>Operator</v>
          </cell>
          <cell r="H230">
            <v>43867</v>
          </cell>
          <cell r="I230">
            <v>8</v>
          </cell>
          <cell r="J230" t="str">
            <v>AL4</v>
          </cell>
          <cell r="K230">
            <v>8</v>
          </cell>
          <cell r="L230" t="str">
            <v>CN</v>
          </cell>
          <cell r="M230" t="str">
            <v>Đ</v>
          </cell>
          <cell r="N230" t="str">
            <v>Đ</v>
          </cell>
          <cell r="O230" t="str">
            <v>Đ</v>
          </cell>
          <cell r="P230" t="str">
            <v>Đ</v>
          </cell>
          <cell r="Q230" t="str">
            <v>Đ</v>
          </cell>
          <cell r="R230" t="str">
            <v>Đ</v>
          </cell>
          <cell r="S230" t="str">
            <v>CN</v>
          </cell>
          <cell r="T230" t="str">
            <v>Đ</v>
          </cell>
          <cell r="U230" t="str">
            <v>Đ</v>
          </cell>
          <cell r="V230" t="str">
            <v>Đ</v>
          </cell>
          <cell r="W230" t="str">
            <v>Đ</v>
          </cell>
          <cell r="X230" t="str">
            <v>Đ</v>
          </cell>
          <cell r="Y230" t="str">
            <v>Đ</v>
          </cell>
          <cell r="Z230" t="str">
            <v>CN</v>
          </cell>
          <cell r="AA230">
            <v>8</v>
          </cell>
          <cell r="AB230">
            <v>8</v>
          </cell>
          <cell r="AC230">
            <v>8</v>
          </cell>
          <cell r="AD230">
            <v>8</v>
          </cell>
          <cell r="AE230">
            <v>8</v>
          </cell>
          <cell r="AF230">
            <v>8</v>
          </cell>
          <cell r="AG230" t="str">
            <v>CN</v>
          </cell>
          <cell r="AH230">
            <v>8</v>
          </cell>
          <cell r="AI230">
            <v>8</v>
          </cell>
          <cell r="AJ230">
            <v>8</v>
          </cell>
          <cell r="AN230">
            <v>96</v>
          </cell>
          <cell r="AO230">
            <v>92</v>
          </cell>
          <cell r="AP230">
            <v>4</v>
          </cell>
          <cell r="AQ230">
            <v>0</v>
          </cell>
          <cell r="AR230">
            <v>0</v>
          </cell>
          <cell r="AS230">
            <v>0</v>
          </cell>
          <cell r="AT230">
            <v>0</v>
          </cell>
          <cell r="AU230">
            <v>0</v>
          </cell>
          <cell r="AV230">
            <v>0</v>
          </cell>
          <cell r="AW230">
            <v>0</v>
          </cell>
          <cell r="AX230">
            <v>0</v>
          </cell>
          <cell r="AY230">
            <v>0</v>
          </cell>
          <cell r="AZ230">
            <v>0</v>
          </cell>
          <cell r="BA230">
            <v>4</v>
          </cell>
          <cell r="BB230">
            <v>0</v>
          </cell>
          <cell r="BC230">
            <v>0</v>
          </cell>
          <cell r="BD230">
            <v>0</v>
          </cell>
          <cell r="BE230">
            <v>0</v>
          </cell>
          <cell r="BF230">
            <v>0</v>
          </cell>
          <cell r="BG230">
            <v>192</v>
          </cell>
          <cell r="BH230">
            <v>0.5</v>
          </cell>
          <cell r="BI230">
            <v>0.5</v>
          </cell>
          <cell r="BJ230">
            <v>2</v>
          </cell>
          <cell r="BL230">
            <v>4</v>
          </cell>
          <cell r="BM230">
            <v>4</v>
          </cell>
          <cell r="BN230">
            <v>4</v>
          </cell>
          <cell r="BO230" t="str">
            <v>12Đ</v>
          </cell>
          <cell r="BP230">
            <v>0</v>
          </cell>
          <cell r="BQ230">
            <v>4</v>
          </cell>
          <cell r="BR230">
            <v>4</v>
          </cell>
          <cell r="BS230">
            <v>4</v>
          </cell>
          <cell r="BT230">
            <v>3</v>
          </cell>
          <cell r="BU230">
            <v>4</v>
          </cell>
          <cell r="BV230" t="str">
            <v>12Đ</v>
          </cell>
          <cell r="BW230">
            <v>4</v>
          </cell>
          <cell r="BX230">
            <v>4</v>
          </cell>
          <cell r="BY230">
            <v>4</v>
          </cell>
          <cell r="BZ230">
            <v>4</v>
          </cell>
          <cell r="CA230">
            <v>4</v>
          </cell>
          <cell r="CB230">
            <v>4</v>
          </cell>
          <cell r="CC230">
            <v>0</v>
          </cell>
          <cell r="CD230">
            <v>4</v>
          </cell>
          <cell r="CE230">
            <v>4</v>
          </cell>
          <cell r="CF230">
            <v>4</v>
          </cell>
          <cell r="CG230">
            <v>4</v>
          </cell>
          <cell r="CH230">
            <v>4</v>
          </cell>
          <cell r="CI230">
            <v>4</v>
          </cell>
          <cell r="CJ230">
            <v>12</v>
          </cell>
          <cell r="CK230">
            <v>4</v>
          </cell>
          <cell r="CL230">
            <v>4</v>
          </cell>
          <cell r="CM230">
            <v>4</v>
          </cell>
          <cell r="CR230">
            <v>0</v>
          </cell>
          <cell r="CS230">
            <v>0</v>
          </cell>
          <cell r="CT230">
            <v>91</v>
          </cell>
          <cell r="CU230">
            <v>20</v>
          </cell>
          <cell r="CV230">
            <v>16</v>
          </cell>
          <cell r="CZ230">
            <v>127</v>
          </cell>
        </row>
        <row r="231">
          <cell r="C231" t="str">
            <v>02132</v>
          </cell>
          <cell r="D231" t="str">
            <v>Cao Thanh Ngọc</v>
          </cell>
          <cell r="E231" t="str">
            <v>Foaming</v>
          </cell>
          <cell r="F231" t="str">
            <v>FOAMING Splitting</v>
          </cell>
          <cell r="G231" t="str">
            <v>Operator</v>
          </cell>
          <cell r="H231">
            <v>43867</v>
          </cell>
          <cell r="I231">
            <v>8</v>
          </cell>
          <cell r="J231">
            <v>8</v>
          </cell>
          <cell r="K231">
            <v>8</v>
          </cell>
          <cell r="L231" t="str">
            <v>CN</v>
          </cell>
          <cell r="M231">
            <v>8</v>
          </cell>
          <cell r="N231">
            <v>8</v>
          </cell>
          <cell r="O231">
            <v>8</v>
          </cell>
          <cell r="P231">
            <v>8</v>
          </cell>
          <cell r="Q231">
            <v>8</v>
          </cell>
          <cell r="R231">
            <v>8</v>
          </cell>
          <cell r="S231" t="str">
            <v>CN</v>
          </cell>
          <cell r="T231">
            <v>8</v>
          </cell>
          <cell r="U231">
            <v>8</v>
          </cell>
          <cell r="V231">
            <v>8</v>
          </cell>
          <cell r="W231">
            <v>8</v>
          </cell>
          <cell r="X231">
            <v>8</v>
          </cell>
          <cell r="Y231">
            <v>8</v>
          </cell>
          <cell r="Z231" t="str">
            <v>CN</v>
          </cell>
          <cell r="AA231" t="str">
            <v>Đ</v>
          </cell>
          <cell r="AB231" t="str">
            <v>Đ</v>
          </cell>
          <cell r="AC231" t="str">
            <v>Đ</v>
          </cell>
          <cell r="AD231" t="str">
            <v>Đ</v>
          </cell>
          <cell r="AE231" t="str">
            <v>Đ</v>
          </cell>
          <cell r="AF231" t="str">
            <v>AL8</v>
          </cell>
          <cell r="AG231" t="str">
            <v>CN</v>
          </cell>
          <cell r="AH231" t="str">
            <v>Đ</v>
          </cell>
          <cell r="AI231" t="str">
            <v>Đ</v>
          </cell>
          <cell r="AJ231" t="str">
            <v>Đ</v>
          </cell>
          <cell r="AN231">
            <v>64</v>
          </cell>
          <cell r="AO231">
            <v>120</v>
          </cell>
          <cell r="AP231">
            <v>0</v>
          </cell>
          <cell r="AQ231">
            <v>0</v>
          </cell>
          <cell r="AR231">
            <v>0</v>
          </cell>
          <cell r="AS231">
            <v>0</v>
          </cell>
          <cell r="AT231">
            <v>0</v>
          </cell>
          <cell r="AU231">
            <v>0</v>
          </cell>
          <cell r="AV231">
            <v>0</v>
          </cell>
          <cell r="AW231">
            <v>0</v>
          </cell>
          <cell r="AX231">
            <v>0</v>
          </cell>
          <cell r="AY231">
            <v>0</v>
          </cell>
          <cell r="AZ231">
            <v>0</v>
          </cell>
          <cell r="BA231">
            <v>8</v>
          </cell>
          <cell r="BB231">
            <v>0</v>
          </cell>
          <cell r="BC231">
            <v>0</v>
          </cell>
          <cell r="BD231">
            <v>0</v>
          </cell>
          <cell r="BE231">
            <v>0</v>
          </cell>
          <cell r="BF231">
            <v>0</v>
          </cell>
          <cell r="BG231">
            <v>192</v>
          </cell>
          <cell r="BH231">
            <v>1</v>
          </cell>
          <cell r="BI231">
            <v>1</v>
          </cell>
          <cell r="BJ231">
            <v>-0.5</v>
          </cell>
          <cell r="BL231">
            <v>4</v>
          </cell>
          <cell r="BM231">
            <v>4</v>
          </cell>
          <cell r="BN231">
            <v>4</v>
          </cell>
          <cell r="BO231">
            <v>12</v>
          </cell>
          <cell r="BP231">
            <v>0</v>
          </cell>
          <cell r="BQ231">
            <v>4</v>
          </cell>
          <cell r="BR231">
            <v>4</v>
          </cell>
          <cell r="BS231">
            <v>4</v>
          </cell>
          <cell r="BT231">
            <v>4</v>
          </cell>
          <cell r="BU231">
            <v>4</v>
          </cell>
          <cell r="BV231">
            <v>12</v>
          </cell>
          <cell r="BW231">
            <v>4</v>
          </cell>
          <cell r="BX231">
            <v>4</v>
          </cell>
          <cell r="BY231">
            <v>4</v>
          </cell>
          <cell r="BZ231">
            <v>4</v>
          </cell>
          <cell r="CA231">
            <v>4</v>
          </cell>
          <cell r="CB231">
            <v>4</v>
          </cell>
          <cell r="CC231" t="str">
            <v>12Đ</v>
          </cell>
          <cell r="CD231">
            <v>4</v>
          </cell>
          <cell r="CE231">
            <v>4</v>
          </cell>
          <cell r="CF231">
            <v>4</v>
          </cell>
          <cell r="CG231">
            <v>4</v>
          </cell>
          <cell r="CH231">
            <v>4</v>
          </cell>
          <cell r="CI231">
            <v>0</v>
          </cell>
          <cell r="CJ231" t="str">
            <v>12Đ</v>
          </cell>
          <cell r="CK231">
            <v>4</v>
          </cell>
          <cell r="CL231">
            <v>0</v>
          </cell>
          <cell r="CM231">
            <v>4</v>
          </cell>
          <cell r="CR231">
            <v>0</v>
          </cell>
          <cell r="CS231">
            <v>0</v>
          </cell>
          <cell r="CT231">
            <v>84</v>
          </cell>
          <cell r="CU231">
            <v>32</v>
          </cell>
          <cell r="CV231">
            <v>16</v>
          </cell>
          <cell r="CZ231">
            <v>132</v>
          </cell>
        </row>
        <row r="232">
          <cell r="C232" t="str">
            <v>02133</v>
          </cell>
          <cell r="D232" t="str">
            <v>Đặng Minh Dương</v>
          </cell>
          <cell r="E232" t="str">
            <v>Foaming</v>
          </cell>
          <cell r="F232" t="str">
            <v>FOAMING Splitting</v>
          </cell>
          <cell r="G232" t="str">
            <v>Team Leader</v>
          </cell>
          <cell r="H232">
            <v>43867</v>
          </cell>
          <cell r="I232" t="str">
            <v>Đ</v>
          </cell>
          <cell r="J232" t="str">
            <v>Đ</v>
          </cell>
          <cell r="K232" t="str">
            <v>Đ</v>
          </cell>
          <cell r="L232" t="str">
            <v>CN</v>
          </cell>
          <cell r="M232" t="str">
            <v>Đ</v>
          </cell>
          <cell r="N232" t="str">
            <v>Đ</v>
          </cell>
          <cell r="O232" t="str">
            <v>Đ</v>
          </cell>
          <cell r="P232" t="str">
            <v>Đ</v>
          </cell>
          <cell r="Q232" t="str">
            <v>Đ</v>
          </cell>
          <cell r="R232" t="str">
            <v>Đ</v>
          </cell>
          <cell r="S232" t="str">
            <v>CN</v>
          </cell>
          <cell r="T232" t="str">
            <v>Đ</v>
          </cell>
          <cell r="U232" t="str">
            <v>Đ</v>
          </cell>
          <cell r="V232" t="str">
            <v>Đ</v>
          </cell>
          <cell r="W232" t="str">
            <v>Đ</v>
          </cell>
          <cell r="X232" t="str">
            <v>Đ</v>
          </cell>
          <cell r="Y232" t="str">
            <v>Đ</v>
          </cell>
          <cell r="Z232" t="str">
            <v>CN</v>
          </cell>
          <cell r="AA232">
            <v>8</v>
          </cell>
          <cell r="AB232">
            <v>8</v>
          </cell>
          <cell r="AC232">
            <v>8</v>
          </cell>
          <cell r="AD232">
            <v>8</v>
          </cell>
          <cell r="AE232">
            <v>8</v>
          </cell>
          <cell r="AF232">
            <v>8</v>
          </cell>
          <cell r="AG232" t="str">
            <v>CN</v>
          </cell>
          <cell r="AH232">
            <v>8</v>
          </cell>
          <cell r="AI232">
            <v>8</v>
          </cell>
          <cell r="AJ232">
            <v>8</v>
          </cell>
          <cell r="AN232">
            <v>120</v>
          </cell>
          <cell r="AO232">
            <v>72</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192</v>
          </cell>
          <cell r="BH232">
            <v>0</v>
          </cell>
          <cell r="BI232">
            <v>0</v>
          </cell>
          <cell r="BJ232">
            <v>-1.5</v>
          </cell>
          <cell r="BL232">
            <v>4</v>
          </cell>
          <cell r="BM232">
            <v>4</v>
          </cell>
          <cell r="BN232">
            <v>4</v>
          </cell>
          <cell r="BO232" t="str">
            <v>12Đ</v>
          </cell>
          <cell r="BP232">
            <v>2</v>
          </cell>
          <cell r="BQ232">
            <v>4</v>
          </cell>
          <cell r="BR232">
            <v>4</v>
          </cell>
          <cell r="BS232">
            <v>4</v>
          </cell>
          <cell r="BT232">
            <v>4</v>
          </cell>
          <cell r="BU232">
            <v>4</v>
          </cell>
          <cell r="BV232" t="str">
            <v>12Đ</v>
          </cell>
          <cell r="BW232">
            <v>4</v>
          </cell>
          <cell r="BX232">
            <v>4</v>
          </cell>
          <cell r="BY232">
            <v>4</v>
          </cell>
          <cell r="BZ232">
            <v>4</v>
          </cell>
          <cell r="CA232">
            <v>4</v>
          </cell>
          <cell r="CB232">
            <v>4</v>
          </cell>
          <cell r="CC232">
            <v>0</v>
          </cell>
          <cell r="CD232">
            <v>4</v>
          </cell>
          <cell r="CE232">
            <v>4</v>
          </cell>
          <cell r="CF232">
            <v>4</v>
          </cell>
          <cell r="CG232">
            <v>2</v>
          </cell>
          <cell r="CH232">
            <v>4</v>
          </cell>
          <cell r="CI232">
            <v>2</v>
          </cell>
          <cell r="CJ232">
            <v>12</v>
          </cell>
          <cell r="CK232">
            <v>4</v>
          </cell>
          <cell r="CL232">
            <v>4</v>
          </cell>
          <cell r="CM232">
            <v>2</v>
          </cell>
          <cell r="CR232">
            <v>0</v>
          </cell>
          <cell r="CS232">
            <v>0</v>
          </cell>
          <cell r="CT232">
            <v>88</v>
          </cell>
          <cell r="CU232">
            <v>20</v>
          </cell>
          <cell r="CV232">
            <v>16</v>
          </cell>
          <cell r="CZ232">
            <v>124</v>
          </cell>
        </row>
        <row r="233">
          <cell r="C233" t="str">
            <v>02139</v>
          </cell>
          <cell r="D233" t="str">
            <v>Đặng Thị Diễm My</v>
          </cell>
          <cell r="E233" t="str">
            <v>Foaming</v>
          </cell>
          <cell r="F233" t="str">
            <v>FOAMING Production control</v>
          </cell>
          <cell r="G233" t="str">
            <v>Senior Staff</v>
          </cell>
          <cell r="H233">
            <v>43871</v>
          </cell>
          <cell r="I233">
            <v>8</v>
          </cell>
          <cell r="J233">
            <v>8</v>
          </cell>
          <cell r="K233" t="str">
            <v>PO</v>
          </cell>
          <cell r="L233" t="str">
            <v>CN</v>
          </cell>
          <cell r="M233">
            <v>8</v>
          </cell>
          <cell r="N233">
            <v>8</v>
          </cell>
          <cell r="O233">
            <v>8</v>
          </cell>
          <cell r="P233">
            <v>8</v>
          </cell>
          <cell r="Q233">
            <v>8</v>
          </cell>
          <cell r="R233" t="str">
            <v>PO</v>
          </cell>
          <cell r="S233" t="str">
            <v>CN</v>
          </cell>
          <cell r="T233">
            <v>8</v>
          </cell>
          <cell r="U233">
            <v>8</v>
          </cell>
          <cell r="V233">
            <v>8</v>
          </cell>
          <cell r="W233">
            <v>8</v>
          </cell>
          <cell r="X233">
            <v>8</v>
          </cell>
          <cell r="Y233" t="str">
            <v>PO</v>
          </cell>
          <cell r="Z233" t="str">
            <v>CN</v>
          </cell>
          <cell r="AA233">
            <v>8</v>
          </cell>
          <cell r="AB233" t="str">
            <v>AL8</v>
          </cell>
          <cell r="AC233">
            <v>8</v>
          </cell>
          <cell r="AD233">
            <v>8</v>
          </cell>
          <cell r="AE233">
            <v>8</v>
          </cell>
          <cell r="AF233" t="str">
            <v>PO</v>
          </cell>
          <cell r="AG233" t="str">
            <v>CN</v>
          </cell>
          <cell r="AH233">
            <v>8</v>
          </cell>
          <cell r="AI233">
            <v>8</v>
          </cell>
          <cell r="AJ233">
            <v>8</v>
          </cell>
          <cell r="AN233">
            <v>0</v>
          </cell>
          <cell r="AO233">
            <v>152</v>
          </cell>
          <cell r="AP233">
            <v>0</v>
          </cell>
          <cell r="AQ233">
            <v>0</v>
          </cell>
          <cell r="AR233">
            <v>0</v>
          </cell>
          <cell r="AS233">
            <v>0</v>
          </cell>
          <cell r="AT233">
            <v>0</v>
          </cell>
          <cell r="AU233">
            <v>0</v>
          </cell>
          <cell r="AV233">
            <v>32</v>
          </cell>
          <cell r="AW233">
            <v>0</v>
          </cell>
          <cell r="AX233">
            <v>0</v>
          </cell>
          <cell r="AY233">
            <v>0</v>
          </cell>
          <cell r="AZ233">
            <v>0</v>
          </cell>
          <cell r="BA233">
            <v>8</v>
          </cell>
          <cell r="BB233">
            <v>0</v>
          </cell>
          <cell r="BC233">
            <v>0</v>
          </cell>
          <cell r="BD233">
            <v>0</v>
          </cell>
          <cell r="BE233">
            <v>0</v>
          </cell>
          <cell r="BF233">
            <v>0</v>
          </cell>
          <cell r="BG233">
            <v>192</v>
          </cell>
          <cell r="BH233">
            <v>1</v>
          </cell>
          <cell r="BI233">
            <v>1</v>
          </cell>
          <cell r="BJ233">
            <v>7.5</v>
          </cell>
          <cell r="BL233">
            <v>0</v>
          </cell>
          <cell r="BM233">
            <v>1.5</v>
          </cell>
          <cell r="BN233">
            <v>0</v>
          </cell>
          <cell r="BO233">
            <v>0</v>
          </cell>
          <cell r="BP233">
            <v>2</v>
          </cell>
          <cell r="BQ233">
            <v>0</v>
          </cell>
          <cell r="BR233">
            <v>0</v>
          </cell>
          <cell r="BS233">
            <v>0</v>
          </cell>
          <cell r="BT233">
            <v>0</v>
          </cell>
          <cell r="BU233">
            <v>0</v>
          </cell>
          <cell r="BV233">
            <v>0</v>
          </cell>
          <cell r="BW233">
            <v>0</v>
          </cell>
          <cell r="BX233">
            <v>0</v>
          </cell>
          <cell r="BY233">
            <v>0</v>
          </cell>
          <cell r="BZ233">
            <v>0</v>
          </cell>
          <cell r="CA233">
            <v>0</v>
          </cell>
          <cell r="CB233">
            <v>0</v>
          </cell>
          <cell r="CC233">
            <v>0</v>
          </cell>
          <cell r="CD233">
            <v>0</v>
          </cell>
          <cell r="CE233">
            <v>0</v>
          </cell>
          <cell r="CF233">
            <v>0</v>
          </cell>
          <cell r="CG233">
            <v>0</v>
          </cell>
          <cell r="CH233">
            <v>0</v>
          </cell>
          <cell r="CI233">
            <v>0</v>
          </cell>
          <cell r="CJ233">
            <v>0</v>
          </cell>
          <cell r="CK233">
            <v>1.5</v>
          </cell>
          <cell r="CL233">
            <v>0</v>
          </cell>
          <cell r="CM233">
            <v>0</v>
          </cell>
          <cell r="CR233">
            <v>0</v>
          </cell>
          <cell r="CS233">
            <v>0</v>
          </cell>
          <cell r="CT233">
            <v>5</v>
          </cell>
          <cell r="CU233">
            <v>0</v>
          </cell>
          <cell r="CV233">
            <v>0</v>
          </cell>
          <cell r="CZ233">
            <v>5</v>
          </cell>
        </row>
        <row r="234">
          <cell r="C234" t="str">
            <v>02140</v>
          </cell>
          <cell r="D234" t="str">
            <v>Phan Thị Vân</v>
          </cell>
          <cell r="E234" t="str">
            <v>CS</v>
          </cell>
          <cell r="F234" t="str">
            <v>KIO</v>
          </cell>
          <cell r="G234" t="str">
            <v>Staff</v>
          </cell>
          <cell r="H234">
            <v>43871</v>
          </cell>
          <cell r="I234" t="str">
            <v>WH</v>
          </cell>
          <cell r="J234" t="str">
            <v>WH</v>
          </cell>
          <cell r="K234" t="str">
            <v>PO</v>
          </cell>
          <cell r="L234" t="str">
            <v>CN</v>
          </cell>
          <cell r="M234">
            <v>8</v>
          </cell>
          <cell r="N234">
            <v>8</v>
          </cell>
          <cell r="O234">
            <v>8</v>
          </cell>
          <cell r="P234">
            <v>8</v>
          </cell>
          <cell r="Q234">
            <v>8</v>
          </cell>
          <cell r="R234" t="str">
            <v>PO</v>
          </cell>
          <cell r="S234" t="str">
            <v>CN</v>
          </cell>
          <cell r="T234">
            <v>8</v>
          </cell>
          <cell r="U234">
            <v>8</v>
          </cell>
          <cell r="V234">
            <v>8</v>
          </cell>
          <cell r="W234">
            <v>8</v>
          </cell>
          <cell r="X234">
            <v>8</v>
          </cell>
          <cell r="Y234" t="str">
            <v>PO</v>
          </cell>
          <cell r="Z234" t="str">
            <v>CN</v>
          </cell>
          <cell r="AA234">
            <v>8</v>
          </cell>
          <cell r="AB234">
            <v>8</v>
          </cell>
          <cell r="AC234">
            <v>8</v>
          </cell>
          <cell r="AD234">
            <v>8</v>
          </cell>
          <cell r="AE234">
            <v>8</v>
          </cell>
          <cell r="AF234" t="str">
            <v>PO</v>
          </cell>
          <cell r="AG234" t="str">
            <v>CN</v>
          </cell>
          <cell r="AH234">
            <v>8</v>
          </cell>
          <cell r="AI234">
            <v>8</v>
          </cell>
          <cell r="AJ234">
            <v>8</v>
          </cell>
          <cell r="AN234">
            <v>0</v>
          </cell>
          <cell r="AO234">
            <v>144</v>
          </cell>
          <cell r="AP234">
            <v>0</v>
          </cell>
          <cell r="AQ234">
            <v>0</v>
          </cell>
          <cell r="AR234">
            <v>0</v>
          </cell>
          <cell r="AS234">
            <v>0</v>
          </cell>
          <cell r="AT234">
            <v>0</v>
          </cell>
          <cell r="AU234">
            <v>0</v>
          </cell>
          <cell r="AV234">
            <v>32</v>
          </cell>
          <cell r="AW234">
            <v>0</v>
          </cell>
          <cell r="AX234">
            <v>0</v>
          </cell>
          <cell r="AY234">
            <v>0</v>
          </cell>
          <cell r="AZ234">
            <v>0</v>
          </cell>
          <cell r="BA234">
            <v>0</v>
          </cell>
          <cell r="BB234">
            <v>0</v>
          </cell>
          <cell r="BC234">
            <v>0</v>
          </cell>
          <cell r="BD234">
            <v>16</v>
          </cell>
          <cell r="BE234">
            <v>0</v>
          </cell>
          <cell r="BF234">
            <v>0</v>
          </cell>
          <cell r="BG234">
            <v>192</v>
          </cell>
          <cell r="BH234">
            <v>0</v>
          </cell>
          <cell r="BI234">
            <v>0</v>
          </cell>
          <cell r="BJ234">
            <v>4</v>
          </cell>
          <cell r="BL234">
            <v>0</v>
          </cell>
          <cell r="BM234">
            <v>0</v>
          </cell>
          <cell r="BN234">
            <v>0</v>
          </cell>
          <cell r="BO234">
            <v>0</v>
          </cell>
          <cell r="BP234">
            <v>4</v>
          </cell>
          <cell r="BQ234">
            <v>0</v>
          </cell>
          <cell r="BR234">
            <v>0</v>
          </cell>
          <cell r="BS234">
            <v>2.75</v>
          </cell>
          <cell r="BT234">
            <v>0</v>
          </cell>
          <cell r="BU234">
            <v>0</v>
          </cell>
          <cell r="BV234">
            <v>0</v>
          </cell>
          <cell r="BW234">
            <v>2.25</v>
          </cell>
          <cell r="BX234">
            <v>2.5</v>
          </cell>
          <cell r="BY234">
            <v>3</v>
          </cell>
          <cell r="BZ234">
            <v>3.25</v>
          </cell>
          <cell r="CA234">
            <v>0</v>
          </cell>
          <cell r="CB234">
            <v>0</v>
          </cell>
          <cell r="CC234">
            <v>0</v>
          </cell>
          <cell r="CD234">
            <v>2.5</v>
          </cell>
          <cell r="CE234">
            <v>2.25</v>
          </cell>
          <cell r="CF234">
            <v>0</v>
          </cell>
          <cell r="CG234">
            <v>1.5</v>
          </cell>
          <cell r="CH234">
            <v>0</v>
          </cell>
          <cell r="CI234">
            <v>0</v>
          </cell>
          <cell r="CJ234">
            <v>0</v>
          </cell>
          <cell r="CK234">
            <v>0</v>
          </cell>
          <cell r="CL234">
            <v>2.5</v>
          </cell>
          <cell r="CM234">
            <v>0</v>
          </cell>
          <cell r="CR234">
            <v>0</v>
          </cell>
          <cell r="CS234">
            <v>0</v>
          </cell>
          <cell r="CT234">
            <v>26.5</v>
          </cell>
          <cell r="CU234">
            <v>0</v>
          </cell>
          <cell r="CV234">
            <v>0</v>
          </cell>
          <cell r="CZ234">
            <v>26.5</v>
          </cell>
        </row>
        <row r="235">
          <cell r="C235" t="str">
            <v>02142</v>
          </cell>
          <cell r="D235" t="str">
            <v>Nguyễn Thế Vinh</v>
          </cell>
          <cell r="E235" t="str">
            <v>Technical Development</v>
          </cell>
          <cell r="F235" t="str">
            <v>PD Sample</v>
          </cell>
          <cell r="G235" t="str">
            <v>Staff</v>
          </cell>
          <cell r="H235">
            <v>43871</v>
          </cell>
          <cell r="I235">
            <v>8</v>
          </cell>
          <cell r="J235">
            <v>8</v>
          </cell>
          <cell r="K235" t="str">
            <v>PO</v>
          </cell>
          <cell r="L235" t="str">
            <v>CN</v>
          </cell>
          <cell r="M235">
            <v>8</v>
          </cell>
          <cell r="N235">
            <v>8</v>
          </cell>
          <cell r="O235">
            <v>8</v>
          </cell>
          <cell r="P235">
            <v>8</v>
          </cell>
          <cell r="Q235">
            <v>8</v>
          </cell>
          <cell r="R235" t="str">
            <v>PO</v>
          </cell>
          <cell r="S235" t="str">
            <v>CN</v>
          </cell>
          <cell r="T235">
            <v>8</v>
          </cell>
          <cell r="U235">
            <v>8</v>
          </cell>
          <cell r="V235">
            <v>8</v>
          </cell>
          <cell r="W235">
            <v>8</v>
          </cell>
          <cell r="X235">
            <v>8</v>
          </cell>
          <cell r="Y235" t="str">
            <v>PO</v>
          </cell>
          <cell r="Z235" t="str">
            <v>CN</v>
          </cell>
          <cell r="AA235">
            <v>8</v>
          </cell>
          <cell r="AB235">
            <v>8</v>
          </cell>
          <cell r="AC235">
            <v>8</v>
          </cell>
          <cell r="AD235">
            <v>8</v>
          </cell>
          <cell r="AE235">
            <v>8</v>
          </cell>
          <cell r="AF235" t="str">
            <v>PO</v>
          </cell>
          <cell r="AG235" t="str">
            <v>CN</v>
          </cell>
          <cell r="AH235">
            <v>8</v>
          </cell>
          <cell r="AI235">
            <v>8</v>
          </cell>
          <cell r="AJ235">
            <v>8</v>
          </cell>
          <cell r="AN235">
            <v>0</v>
          </cell>
          <cell r="AO235">
            <v>160</v>
          </cell>
          <cell r="AP235">
            <v>0</v>
          </cell>
          <cell r="AQ235">
            <v>0</v>
          </cell>
          <cell r="AR235">
            <v>0</v>
          </cell>
          <cell r="AS235">
            <v>0</v>
          </cell>
          <cell r="AT235">
            <v>0</v>
          </cell>
          <cell r="AU235">
            <v>0</v>
          </cell>
          <cell r="AV235">
            <v>32</v>
          </cell>
          <cell r="AW235">
            <v>0</v>
          </cell>
          <cell r="AX235">
            <v>0</v>
          </cell>
          <cell r="AY235">
            <v>0</v>
          </cell>
          <cell r="AZ235">
            <v>0</v>
          </cell>
          <cell r="BA235">
            <v>0</v>
          </cell>
          <cell r="BB235">
            <v>0</v>
          </cell>
          <cell r="BC235">
            <v>0</v>
          </cell>
          <cell r="BD235">
            <v>0</v>
          </cell>
          <cell r="BE235">
            <v>0</v>
          </cell>
          <cell r="BF235">
            <v>0</v>
          </cell>
          <cell r="BG235">
            <v>192</v>
          </cell>
          <cell r="BH235">
            <v>0</v>
          </cell>
          <cell r="BI235">
            <v>0</v>
          </cell>
          <cell r="BJ235">
            <v>7.5</v>
          </cell>
          <cell r="BL235">
            <v>0</v>
          </cell>
          <cell r="BM235">
            <v>0</v>
          </cell>
          <cell r="BN235">
            <v>0</v>
          </cell>
          <cell r="BO235">
            <v>0</v>
          </cell>
          <cell r="BP235">
            <v>0</v>
          </cell>
          <cell r="BQ235">
            <v>0</v>
          </cell>
          <cell r="BR235">
            <v>0</v>
          </cell>
          <cell r="BS235">
            <v>0</v>
          </cell>
          <cell r="BT235">
            <v>0</v>
          </cell>
          <cell r="BU235">
            <v>0</v>
          </cell>
          <cell r="BV235">
            <v>0</v>
          </cell>
          <cell r="BW235">
            <v>0</v>
          </cell>
          <cell r="BX235">
            <v>0</v>
          </cell>
          <cell r="BY235">
            <v>0</v>
          </cell>
          <cell r="BZ235">
            <v>0</v>
          </cell>
          <cell r="CA235">
            <v>0</v>
          </cell>
          <cell r="CB235">
            <v>0</v>
          </cell>
          <cell r="CC235">
            <v>0</v>
          </cell>
          <cell r="CD235">
            <v>0</v>
          </cell>
          <cell r="CE235">
            <v>0</v>
          </cell>
          <cell r="CF235">
            <v>0</v>
          </cell>
          <cell r="CG235">
            <v>0</v>
          </cell>
          <cell r="CH235">
            <v>0</v>
          </cell>
          <cell r="CI235">
            <v>0</v>
          </cell>
          <cell r="CJ235">
            <v>0</v>
          </cell>
          <cell r="CK235">
            <v>0</v>
          </cell>
          <cell r="CL235">
            <v>0</v>
          </cell>
          <cell r="CM235">
            <v>0</v>
          </cell>
          <cell r="CR235">
            <v>0</v>
          </cell>
          <cell r="CS235">
            <v>0</v>
          </cell>
          <cell r="CT235">
            <v>0</v>
          </cell>
          <cell r="CU235">
            <v>0</v>
          </cell>
          <cell r="CV235">
            <v>0</v>
          </cell>
          <cell r="CZ235">
            <v>0</v>
          </cell>
        </row>
        <row r="236">
          <cell r="C236" t="str">
            <v>02150</v>
          </cell>
          <cell r="D236" t="str">
            <v>Võ Thị Hồng Quy</v>
          </cell>
          <cell r="E236" t="str">
            <v>Foaming</v>
          </cell>
          <cell r="F236" t="str">
            <v>FOAMING Splitting</v>
          </cell>
          <cell r="G236" t="str">
            <v>Team Leader</v>
          </cell>
          <cell r="H236">
            <v>43871</v>
          </cell>
          <cell r="I236" t="str">
            <v>AL4</v>
          </cell>
          <cell r="J236">
            <v>8</v>
          </cell>
          <cell r="K236" t="str">
            <v>AL4</v>
          </cell>
          <cell r="L236" t="str">
            <v>CN</v>
          </cell>
          <cell r="M236">
            <v>8</v>
          </cell>
          <cell r="N236">
            <v>8</v>
          </cell>
          <cell r="O236">
            <v>8</v>
          </cell>
          <cell r="P236">
            <v>8</v>
          </cell>
          <cell r="Q236">
            <v>8</v>
          </cell>
          <cell r="R236">
            <v>8</v>
          </cell>
          <cell r="S236" t="str">
            <v>CN</v>
          </cell>
          <cell r="T236">
            <v>8</v>
          </cell>
          <cell r="U236">
            <v>8</v>
          </cell>
          <cell r="V236">
            <v>8</v>
          </cell>
          <cell r="W236">
            <v>8</v>
          </cell>
          <cell r="X236">
            <v>8</v>
          </cell>
          <cell r="Y236">
            <v>8</v>
          </cell>
          <cell r="Z236" t="str">
            <v>CN</v>
          </cell>
          <cell r="AA236">
            <v>8</v>
          </cell>
          <cell r="AB236">
            <v>8</v>
          </cell>
          <cell r="AC236">
            <v>8</v>
          </cell>
          <cell r="AD236">
            <v>8</v>
          </cell>
          <cell r="AE236">
            <v>8</v>
          </cell>
          <cell r="AF236">
            <v>8</v>
          </cell>
          <cell r="AG236" t="str">
            <v>CN</v>
          </cell>
          <cell r="AH236">
            <v>8</v>
          </cell>
          <cell r="AI236">
            <v>8</v>
          </cell>
          <cell r="AJ236">
            <v>8</v>
          </cell>
          <cell r="AN236">
            <v>0</v>
          </cell>
          <cell r="AO236">
            <v>184</v>
          </cell>
          <cell r="AP236">
            <v>8</v>
          </cell>
          <cell r="AQ236">
            <v>0</v>
          </cell>
          <cell r="AR236">
            <v>0</v>
          </cell>
          <cell r="AS236">
            <v>0</v>
          </cell>
          <cell r="AT236">
            <v>0</v>
          </cell>
          <cell r="AU236">
            <v>0</v>
          </cell>
          <cell r="AV236">
            <v>0</v>
          </cell>
          <cell r="AW236">
            <v>0</v>
          </cell>
          <cell r="AX236">
            <v>0</v>
          </cell>
          <cell r="AY236">
            <v>0</v>
          </cell>
          <cell r="AZ236">
            <v>0</v>
          </cell>
          <cell r="BA236">
            <v>8</v>
          </cell>
          <cell r="BB236">
            <v>0</v>
          </cell>
          <cell r="BC236">
            <v>0</v>
          </cell>
          <cell r="BD236">
            <v>0</v>
          </cell>
          <cell r="BE236">
            <v>0</v>
          </cell>
          <cell r="BF236">
            <v>0</v>
          </cell>
          <cell r="BG236">
            <v>192</v>
          </cell>
          <cell r="BH236">
            <v>1</v>
          </cell>
          <cell r="BI236">
            <v>1</v>
          </cell>
          <cell r="BJ236">
            <v>4</v>
          </cell>
          <cell r="BL236">
            <v>1</v>
          </cell>
          <cell r="BM236">
            <v>1.5</v>
          </cell>
          <cell r="BN236">
            <v>0</v>
          </cell>
          <cell r="BO236">
            <v>11</v>
          </cell>
          <cell r="BP236">
            <v>0</v>
          </cell>
          <cell r="BQ236">
            <v>4</v>
          </cell>
          <cell r="BR236">
            <v>4</v>
          </cell>
          <cell r="BS236">
            <v>4</v>
          </cell>
          <cell r="BT236">
            <v>4</v>
          </cell>
          <cell r="BU236">
            <v>4</v>
          </cell>
          <cell r="BV236">
            <v>12</v>
          </cell>
          <cell r="BW236">
            <v>4</v>
          </cell>
          <cell r="BX236">
            <v>3</v>
          </cell>
          <cell r="BY236">
            <v>3</v>
          </cell>
          <cell r="BZ236">
            <v>4</v>
          </cell>
          <cell r="CA236">
            <v>4</v>
          </cell>
          <cell r="CB236">
            <v>4</v>
          </cell>
          <cell r="CC236">
            <v>0</v>
          </cell>
          <cell r="CD236">
            <v>4</v>
          </cell>
          <cell r="CE236">
            <v>2</v>
          </cell>
          <cell r="CF236">
            <v>4</v>
          </cell>
          <cell r="CG236">
            <v>4</v>
          </cell>
          <cell r="CH236">
            <v>4</v>
          </cell>
          <cell r="CI236">
            <v>4</v>
          </cell>
          <cell r="CJ236">
            <v>12</v>
          </cell>
          <cell r="CK236">
            <v>4</v>
          </cell>
          <cell r="CL236">
            <v>2</v>
          </cell>
          <cell r="CM236">
            <v>4</v>
          </cell>
          <cell r="CR236">
            <v>0</v>
          </cell>
          <cell r="CS236">
            <v>0</v>
          </cell>
          <cell r="CT236">
            <v>76.5</v>
          </cell>
          <cell r="CU236">
            <v>35</v>
          </cell>
          <cell r="CV236">
            <v>0</v>
          </cell>
          <cell r="CZ236">
            <v>111.5</v>
          </cell>
        </row>
        <row r="237">
          <cell r="C237" t="str">
            <v>02152</v>
          </cell>
          <cell r="D237" t="str">
            <v>Nguyễn Thị Thùy Linh</v>
          </cell>
          <cell r="E237" t="str">
            <v>Production</v>
          </cell>
          <cell r="F237" t="str">
            <v>Prefitting</v>
          </cell>
          <cell r="G237" t="str">
            <v>Worker</v>
          </cell>
          <cell r="H237">
            <v>43871</v>
          </cell>
          <cell r="I237" t="str">
            <v>AL8</v>
          </cell>
          <cell r="J237" t="str">
            <v>Đ</v>
          </cell>
          <cell r="K237" t="str">
            <v>Đ</v>
          </cell>
          <cell r="L237" t="str">
            <v>CN</v>
          </cell>
          <cell r="M237">
            <v>8</v>
          </cell>
          <cell r="N237">
            <v>8</v>
          </cell>
          <cell r="O237">
            <v>8</v>
          </cell>
          <cell r="P237">
            <v>8</v>
          </cell>
          <cell r="Q237">
            <v>8</v>
          </cell>
          <cell r="R237">
            <v>8</v>
          </cell>
          <cell r="S237" t="str">
            <v>CN</v>
          </cell>
          <cell r="T237" t="str">
            <v>Đ</v>
          </cell>
          <cell r="U237" t="str">
            <v>Đ</v>
          </cell>
          <cell r="V237" t="str">
            <v>Đ</v>
          </cell>
          <cell r="W237" t="str">
            <v>Đ</v>
          </cell>
          <cell r="X237" t="str">
            <v>Đ</v>
          </cell>
          <cell r="Y237" t="str">
            <v>Đ</v>
          </cell>
          <cell r="Z237" t="str">
            <v>CN</v>
          </cell>
          <cell r="AA237">
            <v>8</v>
          </cell>
          <cell r="AB237">
            <v>8</v>
          </cell>
          <cell r="AC237" t="str">
            <v>CN</v>
          </cell>
          <cell r="AD237" t="str">
            <v>Đ</v>
          </cell>
          <cell r="AE237" t="str">
            <v>Đ</v>
          </cell>
          <cell r="AF237" t="str">
            <v>Đ</v>
          </cell>
          <cell r="AG237" t="str">
            <v>Đ</v>
          </cell>
          <cell r="AH237" t="str">
            <v>Đ</v>
          </cell>
          <cell r="AI237" t="str">
            <v>Đ</v>
          </cell>
          <cell r="AJ237" t="str">
            <v>CN</v>
          </cell>
          <cell r="AN237">
            <v>112</v>
          </cell>
          <cell r="AO237">
            <v>64</v>
          </cell>
          <cell r="AP237">
            <v>0</v>
          </cell>
          <cell r="AQ237">
            <v>0</v>
          </cell>
          <cell r="AR237">
            <v>0</v>
          </cell>
          <cell r="AS237">
            <v>0</v>
          </cell>
          <cell r="AT237">
            <v>0</v>
          </cell>
          <cell r="AU237">
            <v>0</v>
          </cell>
          <cell r="AV237">
            <v>0</v>
          </cell>
          <cell r="AW237">
            <v>0</v>
          </cell>
          <cell r="AX237">
            <v>0</v>
          </cell>
          <cell r="AY237">
            <v>0</v>
          </cell>
          <cell r="AZ237">
            <v>0</v>
          </cell>
          <cell r="BA237">
            <v>8</v>
          </cell>
          <cell r="BB237">
            <v>0</v>
          </cell>
          <cell r="BC237">
            <v>0</v>
          </cell>
          <cell r="BD237">
            <v>0</v>
          </cell>
          <cell r="BE237">
            <v>0</v>
          </cell>
          <cell r="BF237">
            <v>0</v>
          </cell>
          <cell r="BG237">
            <v>184</v>
          </cell>
          <cell r="BH237">
            <v>1</v>
          </cell>
          <cell r="BI237">
            <v>1</v>
          </cell>
          <cell r="BJ237">
            <v>2</v>
          </cell>
          <cell r="BL237">
            <v>0</v>
          </cell>
          <cell r="BM237">
            <v>0</v>
          </cell>
          <cell r="BN237">
            <v>0</v>
          </cell>
          <cell r="BO237">
            <v>0</v>
          </cell>
          <cell r="BP237">
            <v>4</v>
          </cell>
          <cell r="BQ237">
            <v>0</v>
          </cell>
          <cell r="BR237">
            <v>0</v>
          </cell>
          <cell r="BS237">
            <v>0</v>
          </cell>
          <cell r="BT237">
            <v>0</v>
          </cell>
          <cell r="BU237">
            <v>4</v>
          </cell>
          <cell r="BV237">
            <v>0</v>
          </cell>
          <cell r="BW237">
            <v>0</v>
          </cell>
          <cell r="BX237">
            <v>0</v>
          </cell>
          <cell r="BY237">
            <v>4</v>
          </cell>
          <cell r="BZ237">
            <v>0</v>
          </cell>
          <cell r="CA237">
            <v>4</v>
          </cell>
          <cell r="CB237">
            <v>4</v>
          </cell>
          <cell r="CC237">
            <v>0</v>
          </cell>
          <cell r="CD237">
            <v>0</v>
          </cell>
          <cell r="CE237">
            <v>0</v>
          </cell>
          <cell r="CF237">
            <v>0</v>
          </cell>
          <cell r="CG237">
            <v>4</v>
          </cell>
          <cell r="CH237">
            <v>4</v>
          </cell>
          <cell r="CI237">
            <v>4</v>
          </cell>
          <cell r="CJ237">
            <v>4</v>
          </cell>
          <cell r="CK237">
            <v>0</v>
          </cell>
          <cell r="CL237">
            <v>4</v>
          </cell>
          <cell r="CM237">
            <v>0</v>
          </cell>
          <cell r="CR237">
            <v>0</v>
          </cell>
          <cell r="CS237">
            <v>0</v>
          </cell>
          <cell r="CT237">
            <v>40</v>
          </cell>
          <cell r="CU237">
            <v>0</v>
          </cell>
          <cell r="CV237">
            <v>0</v>
          </cell>
          <cell r="CZ237">
            <v>40</v>
          </cell>
        </row>
        <row r="238">
          <cell r="C238" t="str">
            <v>02157</v>
          </cell>
          <cell r="D238" t="str">
            <v>Tạ Lan Viên</v>
          </cell>
          <cell r="E238" t="str">
            <v>CS</v>
          </cell>
          <cell r="F238" t="str">
            <v>KIO</v>
          </cell>
          <cell r="G238" t="str">
            <v xml:space="preserve"> Staff</v>
          </cell>
          <cell r="H238">
            <v>43872</v>
          </cell>
          <cell r="I238">
            <v>8</v>
          </cell>
          <cell r="J238">
            <v>8</v>
          </cell>
          <cell r="K238" t="str">
            <v>PO</v>
          </cell>
          <cell r="L238" t="str">
            <v>CN</v>
          </cell>
          <cell r="M238">
            <v>8</v>
          </cell>
          <cell r="N238">
            <v>8</v>
          </cell>
          <cell r="O238">
            <v>8</v>
          </cell>
          <cell r="P238">
            <v>8</v>
          </cell>
          <cell r="Q238">
            <v>8</v>
          </cell>
          <cell r="R238" t="str">
            <v>PO</v>
          </cell>
          <cell r="S238" t="str">
            <v>CN</v>
          </cell>
          <cell r="T238">
            <v>8</v>
          </cell>
          <cell r="U238">
            <v>8</v>
          </cell>
          <cell r="V238">
            <v>8</v>
          </cell>
          <cell r="W238">
            <v>8</v>
          </cell>
          <cell r="X238">
            <v>8</v>
          </cell>
          <cell r="Y238" t="str">
            <v>PO</v>
          </cell>
          <cell r="Z238" t="str">
            <v>CN</v>
          </cell>
          <cell r="AA238">
            <v>8</v>
          </cell>
          <cell r="AB238">
            <v>8</v>
          </cell>
          <cell r="AC238">
            <v>8</v>
          </cell>
          <cell r="AD238">
            <v>8</v>
          </cell>
          <cell r="AE238">
            <v>8</v>
          </cell>
          <cell r="AF238" t="str">
            <v>PO</v>
          </cell>
          <cell r="AG238" t="str">
            <v>CN</v>
          </cell>
          <cell r="AH238">
            <v>8</v>
          </cell>
          <cell r="AI238">
            <v>8</v>
          </cell>
          <cell r="AJ238" t="str">
            <v>AL8</v>
          </cell>
          <cell r="AN238">
            <v>0</v>
          </cell>
          <cell r="AO238">
            <v>152</v>
          </cell>
          <cell r="AP238">
            <v>0</v>
          </cell>
          <cell r="AQ238">
            <v>0</v>
          </cell>
          <cell r="AR238">
            <v>0</v>
          </cell>
          <cell r="AS238">
            <v>0</v>
          </cell>
          <cell r="AT238">
            <v>0</v>
          </cell>
          <cell r="AU238">
            <v>0</v>
          </cell>
          <cell r="AV238">
            <v>32</v>
          </cell>
          <cell r="AW238">
            <v>0</v>
          </cell>
          <cell r="AX238">
            <v>0</v>
          </cell>
          <cell r="AY238">
            <v>0</v>
          </cell>
          <cell r="AZ238">
            <v>0</v>
          </cell>
          <cell r="BA238">
            <v>8</v>
          </cell>
          <cell r="BB238">
            <v>0</v>
          </cell>
          <cell r="BC238">
            <v>0</v>
          </cell>
          <cell r="BD238">
            <v>0</v>
          </cell>
          <cell r="BE238">
            <v>0</v>
          </cell>
          <cell r="BF238">
            <v>0</v>
          </cell>
          <cell r="BG238">
            <v>192</v>
          </cell>
          <cell r="BH238">
            <v>1</v>
          </cell>
          <cell r="BI238">
            <v>1</v>
          </cell>
          <cell r="BJ238">
            <v>1.5</v>
          </cell>
          <cell r="BL238">
            <v>0.75</v>
          </cell>
          <cell r="BM238">
            <v>0</v>
          </cell>
          <cell r="BN238">
            <v>0</v>
          </cell>
          <cell r="BO238">
            <v>0</v>
          </cell>
          <cell r="BP238">
            <v>1</v>
          </cell>
          <cell r="BQ238">
            <v>0</v>
          </cell>
          <cell r="BR238">
            <v>1.5</v>
          </cell>
          <cell r="BS238">
            <v>0.5</v>
          </cell>
          <cell r="BT238">
            <v>1.25</v>
          </cell>
          <cell r="BU238">
            <v>0</v>
          </cell>
          <cell r="BV238">
            <v>0</v>
          </cell>
          <cell r="BW238">
            <v>0</v>
          </cell>
          <cell r="BX238">
            <v>0</v>
          </cell>
          <cell r="BY238">
            <v>0</v>
          </cell>
          <cell r="BZ238">
            <v>0</v>
          </cell>
          <cell r="CA238">
            <v>0</v>
          </cell>
          <cell r="CB238">
            <v>0</v>
          </cell>
          <cell r="CC238">
            <v>0</v>
          </cell>
          <cell r="CD238">
            <v>0</v>
          </cell>
          <cell r="CE238">
            <v>0</v>
          </cell>
          <cell r="CF238">
            <v>0</v>
          </cell>
          <cell r="CG238">
            <v>0</v>
          </cell>
          <cell r="CH238">
            <v>0</v>
          </cell>
          <cell r="CI238">
            <v>0</v>
          </cell>
          <cell r="CJ238">
            <v>0</v>
          </cell>
          <cell r="CK238">
            <v>0</v>
          </cell>
          <cell r="CL238">
            <v>0</v>
          </cell>
          <cell r="CM238">
            <v>0</v>
          </cell>
          <cell r="CR238">
            <v>0</v>
          </cell>
          <cell r="CS238">
            <v>0</v>
          </cell>
          <cell r="CT238">
            <v>5</v>
          </cell>
          <cell r="CU238">
            <v>0</v>
          </cell>
          <cell r="CV238">
            <v>0</v>
          </cell>
          <cell r="CZ238">
            <v>5</v>
          </cell>
        </row>
        <row r="239">
          <cell r="C239" t="str">
            <v>02163</v>
          </cell>
          <cell r="D239" t="str">
            <v>Trần Văn Nhựt</v>
          </cell>
          <cell r="E239" t="str">
            <v>Foaming</v>
          </cell>
          <cell r="F239" t="str">
            <v>FOAMING Splitting</v>
          </cell>
          <cell r="G239" t="str">
            <v>Operator</v>
          </cell>
          <cell r="H239">
            <v>43875</v>
          </cell>
          <cell r="I239" t="str">
            <v>Đ</v>
          </cell>
          <cell r="J239" t="str">
            <v>Đ</v>
          </cell>
          <cell r="K239" t="str">
            <v>Đ</v>
          </cell>
          <cell r="L239" t="str">
            <v>CN</v>
          </cell>
          <cell r="M239" t="str">
            <v>Đ</v>
          </cell>
          <cell r="N239" t="str">
            <v>Đ</v>
          </cell>
          <cell r="O239" t="str">
            <v>Đ</v>
          </cell>
          <cell r="P239" t="str">
            <v>Đ</v>
          </cell>
          <cell r="Q239" t="str">
            <v>Đ</v>
          </cell>
          <cell r="R239" t="str">
            <v>Đ</v>
          </cell>
          <cell r="S239" t="str">
            <v>CN</v>
          </cell>
          <cell r="T239" t="str">
            <v>Đ</v>
          </cell>
          <cell r="U239" t="str">
            <v>Đ</v>
          </cell>
          <cell r="V239" t="str">
            <v>Đ</v>
          </cell>
          <cell r="W239" t="str">
            <v>Đ</v>
          </cell>
          <cell r="X239" t="str">
            <v>Đ</v>
          </cell>
          <cell r="Y239" t="str">
            <v>Đ</v>
          </cell>
          <cell r="Z239" t="str">
            <v>CN</v>
          </cell>
          <cell r="AA239" t="str">
            <v>AL8</v>
          </cell>
          <cell r="AB239">
            <v>8</v>
          </cell>
          <cell r="AC239">
            <v>8</v>
          </cell>
          <cell r="AD239">
            <v>8</v>
          </cell>
          <cell r="AE239">
            <v>8</v>
          </cell>
          <cell r="AF239">
            <v>8</v>
          </cell>
          <cell r="AG239" t="str">
            <v>CN</v>
          </cell>
          <cell r="AH239">
            <v>8</v>
          </cell>
          <cell r="AI239">
            <v>8</v>
          </cell>
          <cell r="AJ239">
            <v>8</v>
          </cell>
          <cell r="AN239">
            <v>120</v>
          </cell>
          <cell r="AO239">
            <v>64</v>
          </cell>
          <cell r="AP239">
            <v>0</v>
          </cell>
          <cell r="AQ239">
            <v>0</v>
          </cell>
          <cell r="AR239">
            <v>0</v>
          </cell>
          <cell r="AS239">
            <v>0</v>
          </cell>
          <cell r="AT239">
            <v>0</v>
          </cell>
          <cell r="AU239">
            <v>0</v>
          </cell>
          <cell r="AV239">
            <v>0</v>
          </cell>
          <cell r="AW239">
            <v>0</v>
          </cell>
          <cell r="AX239">
            <v>0</v>
          </cell>
          <cell r="AY239">
            <v>0</v>
          </cell>
          <cell r="AZ239">
            <v>0</v>
          </cell>
          <cell r="BA239">
            <v>8</v>
          </cell>
          <cell r="BB239">
            <v>0</v>
          </cell>
          <cell r="BC239">
            <v>0</v>
          </cell>
          <cell r="BD239">
            <v>0</v>
          </cell>
          <cell r="BE239">
            <v>0</v>
          </cell>
          <cell r="BF239">
            <v>0</v>
          </cell>
          <cell r="BG239">
            <v>192</v>
          </cell>
          <cell r="BH239">
            <v>1</v>
          </cell>
          <cell r="BI239">
            <v>1</v>
          </cell>
          <cell r="BJ239">
            <v>-1</v>
          </cell>
          <cell r="BL239">
            <v>4</v>
          </cell>
          <cell r="BM239">
            <v>4</v>
          </cell>
          <cell r="BN239">
            <v>4</v>
          </cell>
          <cell r="BO239" t="str">
            <v>12Đ</v>
          </cell>
          <cell r="BP239">
            <v>2</v>
          </cell>
          <cell r="BQ239">
            <v>4</v>
          </cell>
          <cell r="BR239">
            <v>4</v>
          </cell>
          <cell r="BS239">
            <v>4</v>
          </cell>
          <cell r="BT239">
            <v>4</v>
          </cell>
          <cell r="BU239">
            <v>4</v>
          </cell>
          <cell r="BV239" t="str">
            <v>10Đ</v>
          </cell>
          <cell r="BW239">
            <v>4</v>
          </cell>
          <cell r="BX239">
            <v>4</v>
          </cell>
          <cell r="BY239">
            <v>4</v>
          </cell>
          <cell r="BZ239">
            <v>4</v>
          </cell>
          <cell r="CA239">
            <v>4</v>
          </cell>
          <cell r="CB239">
            <v>4</v>
          </cell>
          <cell r="CC239">
            <v>0</v>
          </cell>
          <cell r="CD239">
            <v>0</v>
          </cell>
          <cell r="CE239">
            <v>4</v>
          </cell>
          <cell r="CF239">
            <v>4</v>
          </cell>
          <cell r="CG239">
            <v>2</v>
          </cell>
          <cell r="CH239">
            <v>4</v>
          </cell>
          <cell r="CI239">
            <v>2</v>
          </cell>
          <cell r="CJ239">
            <v>10</v>
          </cell>
          <cell r="CK239">
            <v>4</v>
          </cell>
          <cell r="CL239">
            <v>0</v>
          </cell>
          <cell r="CM239">
            <v>4</v>
          </cell>
          <cell r="CR239">
            <v>0</v>
          </cell>
          <cell r="CS239">
            <v>0</v>
          </cell>
          <cell r="CT239">
            <v>82</v>
          </cell>
          <cell r="CU239">
            <v>16</v>
          </cell>
          <cell r="CV239">
            <v>16</v>
          </cell>
          <cell r="CZ239">
            <v>114</v>
          </cell>
        </row>
        <row r="240">
          <cell r="C240" t="str">
            <v>02165</v>
          </cell>
          <cell r="D240" t="str">
            <v>Trần Kim Giàu</v>
          </cell>
          <cell r="E240" t="str">
            <v>Foaming</v>
          </cell>
          <cell r="F240" t="str">
            <v>FOAMING Rectangular</v>
          </cell>
          <cell r="G240" t="str">
            <v>Worker</v>
          </cell>
          <cell r="H240">
            <v>43875</v>
          </cell>
          <cell r="I240" t="str">
            <v>Đ</v>
          </cell>
          <cell r="J240" t="str">
            <v>Đ</v>
          </cell>
          <cell r="K240" t="str">
            <v>Đ</v>
          </cell>
          <cell r="L240" t="str">
            <v>CN</v>
          </cell>
          <cell r="M240" t="str">
            <v>Đ</v>
          </cell>
          <cell r="N240" t="str">
            <v>Đ</v>
          </cell>
          <cell r="O240" t="str">
            <v>Đ</v>
          </cell>
          <cell r="P240" t="str">
            <v>Đ</v>
          </cell>
          <cell r="Q240" t="str">
            <v>AL8</v>
          </cell>
          <cell r="R240" t="str">
            <v>Đ</v>
          </cell>
          <cell r="S240" t="str">
            <v>CN</v>
          </cell>
          <cell r="T240" t="str">
            <v>Đ</v>
          </cell>
          <cell r="U240" t="str">
            <v>Đ</v>
          </cell>
          <cell r="V240" t="str">
            <v>Đ</v>
          </cell>
          <cell r="W240" t="str">
            <v>Đ</v>
          </cell>
          <cell r="X240" t="str">
            <v>UP2Đ</v>
          </cell>
          <cell r="Y240" t="str">
            <v>Đ</v>
          </cell>
          <cell r="Z240" t="str">
            <v>CN</v>
          </cell>
          <cell r="AA240" t="str">
            <v>AL4</v>
          </cell>
          <cell r="AB240">
            <v>8</v>
          </cell>
          <cell r="AC240">
            <v>8</v>
          </cell>
          <cell r="AD240">
            <v>8</v>
          </cell>
          <cell r="AE240">
            <v>8</v>
          </cell>
          <cell r="AF240">
            <v>8</v>
          </cell>
          <cell r="AG240" t="str">
            <v>CN</v>
          </cell>
          <cell r="AH240">
            <v>8</v>
          </cell>
          <cell r="AI240">
            <v>8</v>
          </cell>
          <cell r="AJ240">
            <v>8</v>
          </cell>
          <cell r="AN240">
            <v>106</v>
          </cell>
          <cell r="AO240">
            <v>68</v>
          </cell>
          <cell r="AP240">
            <v>4</v>
          </cell>
          <cell r="AQ240">
            <v>0</v>
          </cell>
          <cell r="AR240">
            <v>0</v>
          </cell>
          <cell r="AS240">
            <v>0</v>
          </cell>
          <cell r="AT240">
            <v>0</v>
          </cell>
          <cell r="AU240">
            <v>0</v>
          </cell>
          <cell r="AV240">
            <v>0</v>
          </cell>
          <cell r="AW240">
            <v>0</v>
          </cell>
          <cell r="AX240">
            <v>0</v>
          </cell>
          <cell r="AY240">
            <v>0</v>
          </cell>
          <cell r="AZ240">
            <v>0</v>
          </cell>
          <cell r="BA240">
            <v>12</v>
          </cell>
          <cell r="BB240">
            <v>0</v>
          </cell>
          <cell r="BC240">
            <v>0</v>
          </cell>
          <cell r="BD240">
            <v>0</v>
          </cell>
          <cell r="BE240">
            <v>0</v>
          </cell>
          <cell r="BF240">
            <v>0</v>
          </cell>
          <cell r="BG240">
            <v>186</v>
          </cell>
          <cell r="BH240">
            <v>1.5</v>
          </cell>
          <cell r="BI240">
            <v>1.5</v>
          </cell>
          <cell r="BJ240">
            <v>-1</v>
          </cell>
          <cell r="BL240">
            <v>4</v>
          </cell>
          <cell r="BM240">
            <v>4</v>
          </cell>
          <cell r="BN240">
            <v>4</v>
          </cell>
          <cell r="BO240" t="str">
            <v>12Đ</v>
          </cell>
          <cell r="BP240">
            <v>2</v>
          </cell>
          <cell r="BQ240">
            <v>2</v>
          </cell>
          <cell r="BR240">
            <v>4</v>
          </cell>
          <cell r="BS240">
            <v>4</v>
          </cell>
          <cell r="BT240">
            <v>0</v>
          </cell>
          <cell r="BU240">
            <v>4</v>
          </cell>
          <cell r="BV240" t="str">
            <v>12Đ</v>
          </cell>
          <cell r="BW240">
            <v>4</v>
          </cell>
          <cell r="BX240">
            <v>4</v>
          </cell>
          <cell r="BY240">
            <v>4</v>
          </cell>
          <cell r="BZ240">
            <v>4</v>
          </cell>
          <cell r="CA240">
            <v>0</v>
          </cell>
          <cell r="CB240">
            <v>4</v>
          </cell>
          <cell r="CC240">
            <v>0</v>
          </cell>
          <cell r="CD240">
            <v>0</v>
          </cell>
          <cell r="CE240">
            <v>4</v>
          </cell>
          <cell r="CF240">
            <v>4</v>
          </cell>
          <cell r="CG240">
            <v>4</v>
          </cell>
          <cell r="CH240">
            <v>4</v>
          </cell>
          <cell r="CI240">
            <v>2</v>
          </cell>
          <cell r="CJ240">
            <v>12</v>
          </cell>
          <cell r="CK240">
            <v>4</v>
          </cell>
          <cell r="CL240">
            <v>4</v>
          </cell>
          <cell r="CM240">
            <v>4</v>
          </cell>
          <cell r="CR240">
            <v>0</v>
          </cell>
          <cell r="CS240">
            <v>0</v>
          </cell>
          <cell r="CT240">
            <v>78</v>
          </cell>
          <cell r="CU240">
            <v>20</v>
          </cell>
          <cell r="CV240">
            <v>16</v>
          </cell>
          <cell r="CZ240">
            <v>114</v>
          </cell>
        </row>
        <row r="241">
          <cell r="C241" t="str">
            <v>02166</v>
          </cell>
          <cell r="D241" t="str">
            <v>Nguyễn Văn Hưởng</v>
          </cell>
          <cell r="E241" t="str">
            <v>Foaming</v>
          </cell>
          <cell r="F241" t="str">
            <v>FOAMING Splitting</v>
          </cell>
          <cell r="G241" t="str">
            <v>Team Leader</v>
          </cell>
          <cell r="H241">
            <v>43875</v>
          </cell>
          <cell r="I241">
            <v>8</v>
          </cell>
          <cell r="J241">
            <v>8</v>
          </cell>
          <cell r="K241">
            <v>8</v>
          </cell>
          <cell r="L241" t="str">
            <v>CN</v>
          </cell>
          <cell r="M241">
            <v>8</v>
          </cell>
          <cell r="N241">
            <v>8</v>
          </cell>
          <cell r="O241">
            <v>8</v>
          </cell>
          <cell r="P241">
            <v>8</v>
          </cell>
          <cell r="Q241" t="str">
            <v>PO</v>
          </cell>
          <cell r="R241">
            <v>8</v>
          </cell>
          <cell r="S241" t="str">
            <v>CN</v>
          </cell>
          <cell r="T241">
            <v>8</v>
          </cell>
          <cell r="U241">
            <v>8</v>
          </cell>
          <cell r="V241">
            <v>8</v>
          </cell>
          <cell r="W241">
            <v>8</v>
          </cell>
          <cell r="X241">
            <v>8</v>
          </cell>
          <cell r="Y241">
            <v>8</v>
          </cell>
          <cell r="Z241" t="str">
            <v>CN</v>
          </cell>
          <cell r="AA241">
            <v>8</v>
          </cell>
          <cell r="AB241">
            <v>8</v>
          </cell>
          <cell r="AC241">
            <v>8</v>
          </cell>
          <cell r="AD241">
            <v>8</v>
          </cell>
          <cell r="AE241">
            <v>8</v>
          </cell>
          <cell r="AF241">
            <v>8</v>
          </cell>
          <cell r="AG241" t="str">
            <v>CN</v>
          </cell>
          <cell r="AH241">
            <v>8</v>
          </cell>
          <cell r="AI241">
            <v>8</v>
          </cell>
          <cell r="AJ241">
            <v>8</v>
          </cell>
          <cell r="AN241">
            <v>0</v>
          </cell>
          <cell r="AO241">
            <v>184</v>
          </cell>
          <cell r="AP241">
            <v>0</v>
          </cell>
          <cell r="AQ241">
            <v>0</v>
          </cell>
          <cell r="AR241">
            <v>0</v>
          </cell>
          <cell r="AS241">
            <v>0</v>
          </cell>
          <cell r="AT241">
            <v>0</v>
          </cell>
          <cell r="AU241">
            <v>0</v>
          </cell>
          <cell r="AV241">
            <v>8</v>
          </cell>
          <cell r="AW241">
            <v>0</v>
          </cell>
          <cell r="AX241">
            <v>0</v>
          </cell>
          <cell r="AY241">
            <v>0</v>
          </cell>
          <cell r="AZ241">
            <v>0</v>
          </cell>
          <cell r="BA241">
            <v>0</v>
          </cell>
          <cell r="BB241">
            <v>0</v>
          </cell>
          <cell r="BC241">
            <v>0</v>
          </cell>
          <cell r="BD241">
            <v>0</v>
          </cell>
          <cell r="BE241">
            <v>0</v>
          </cell>
          <cell r="BF241">
            <v>0</v>
          </cell>
          <cell r="BG241">
            <v>192</v>
          </cell>
          <cell r="BH241">
            <v>0</v>
          </cell>
          <cell r="BI241">
            <v>0</v>
          </cell>
          <cell r="BJ241">
            <v>5.5</v>
          </cell>
          <cell r="BL241">
            <v>4</v>
          </cell>
          <cell r="BM241">
            <v>4</v>
          </cell>
          <cell r="BN241">
            <v>4</v>
          </cell>
          <cell r="BO241">
            <v>12</v>
          </cell>
          <cell r="BP241">
            <v>0</v>
          </cell>
          <cell r="BQ241">
            <v>4</v>
          </cell>
          <cell r="BR241">
            <v>4</v>
          </cell>
          <cell r="BS241">
            <v>4</v>
          </cell>
          <cell r="BT241">
            <v>0</v>
          </cell>
          <cell r="BU241">
            <v>3</v>
          </cell>
          <cell r="BV241">
            <v>12</v>
          </cell>
          <cell r="BW241">
            <v>4</v>
          </cell>
          <cell r="BX241">
            <v>4</v>
          </cell>
          <cell r="BY241">
            <v>4</v>
          </cell>
          <cell r="BZ241">
            <v>4</v>
          </cell>
          <cell r="CA241">
            <v>3</v>
          </cell>
          <cell r="CB241">
            <v>3</v>
          </cell>
          <cell r="CC241">
            <v>0</v>
          </cell>
          <cell r="CD241">
            <v>4</v>
          </cell>
          <cell r="CE241">
            <v>3</v>
          </cell>
          <cell r="CF241">
            <v>4</v>
          </cell>
          <cell r="CG241">
            <v>2</v>
          </cell>
          <cell r="CH241">
            <v>4</v>
          </cell>
          <cell r="CI241">
            <v>2</v>
          </cell>
          <cell r="CJ241">
            <v>12</v>
          </cell>
          <cell r="CK241">
            <v>4</v>
          </cell>
          <cell r="CL241">
            <v>0</v>
          </cell>
          <cell r="CM241">
            <v>4</v>
          </cell>
          <cell r="CR241">
            <v>0</v>
          </cell>
          <cell r="CS241">
            <v>0</v>
          </cell>
          <cell r="CT241">
            <v>76</v>
          </cell>
          <cell r="CU241">
            <v>36</v>
          </cell>
          <cell r="CV241">
            <v>0</v>
          </cell>
          <cell r="CZ241">
            <v>112</v>
          </cell>
        </row>
        <row r="242">
          <cell r="C242" t="str">
            <v>02167</v>
          </cell>
          <cell r="D242" t="str">
            <v>Võ Hửu Nghi</v>
          </cell>
          <cell r="E242" t="str">
            <v>Foaming</v>
          </cell>
          <cell r="F242" t="str">
            <v>FOAMING Rectangular</v>
          </cell>
          <cell r="G242" t="str">
            <v>Team Leader</v>
          </cell>
          <cell r="H242">
            <v>43875</v>
          </cell>
          <cell r="I242">
            <v>8</v>
          </cell>
          <cell r="J242">
            <v>8</v>
          </cell>
          <cell r="K242">
            <v>8</v>
          </cell>
          <cell r="L242" t="str">
            <v>CN</v>
          </cell>
          <cell r="M242">
            <v>8</v>
          </cell>
          <cell r="N242">
            <v>8</v>
          </cell>
          <cell r="O242">
            <v>8</v>
          </cell>
          <cell r="P242">
            <v>8</v>
          </cell>
          <cell r="Q242">
            <v>8</v>
          </cell>
          <cell r="R242">
            <v>8</v>
          </cell>
          <cell r="S242" t="str">
            <v>CN</v>
          </cell>
          <cell r="T242" t="str">
            <v>Đ</v>
          </cell>
          <cell r="U242" t="str">
            <v>Đ</v>
          </cell>
          <cell r="V242" t="str">
            <v>Đ</v>
          </cell>
          <cell r="W242" t="str">
            <v>AL8</v>
          </cell>
          <cell r="X242" t="str">
            <v>AL8</v>
          </cell>
          <cell r="Y242" t="str">
            <v>Đ</v>
          </cell>
          <cell r="Z242" t="str">
            <v>CN</v>
          </cell>
          <cell r="AA242" t="str">
            <v>Đ</v>
          </cell>
          <cell r="AB242" t="str">
            <v>Đ</v>
          </cell>
          <cell r="AC242" t="str">
            <v>Đ</v>
          </cell>
          <cell r="AD242" t="str">
            <v>Đ</v>
          </cell>
          <cell r="AE242" t="str">
            <v>Đ</v>
          </cell>
          <cell r="AF242" t="str">
            <v>Đ</v>
          </cell>
          <cell r="AG242" t="str">
            <v>CN</v>
          </cell>
          <cell r="AH242">
            <v>8</v>
          </cell>
          <cell r="AI242">
            <v>8</v>
          </cell>
          <cell r="AJ242">
            <v>8</v>
          </cell>
          <cell r="AN242">
            <v>80</v>
          </cell>
          <cell r="AO242">
            <v>96</v>
          </cell>
          <cell r="AP242">
            <v>0</v>
          </cell>
          <cell r="AQ242">
            <v>0</v>
          </cell>
          <cell r="AR242">
            <v>0</v>
          </cell>
          <cell r="AS242">
            <v>0</v>
          </cell>
          <cell r="AT242">
            <v>0</v>
          </cell>
          <cell r="AU242">
            <v>0</v>
          </cell>
          <cell r="AV242">
            <v>0</v>
          </cell>
          <cell r="AW242">
            <v>0</v>
          </cell>
          <cell r="AX242">
            <v>0</v>
          </cell>
          <cell r="AY242">
            <v>0</v>
          </cell>
          <cell r="AZ242">
            <v>0</v>
          </cell>
          <cell r="BA242">
            <v>16</v>
          </cell>
          <cell r="BB242">
            <v>0</v>
          </cell>
          <cell r="BC242">
            <v>0</v>
          </cell>
          <cell r="BD242">
            <v>0</v>
          </cell>
          <cell r="BE242">
            <v>0</v>
          </cell>
          <cell r="BF242">
            <v>0</v>
          </cell>
          <cell r="BG242">
            <v>192</v>
          </cell>
          <cell r="BH242">
            <v>2</v>
          </cell>
          <cell r="BI242">
            <v>2</v>
          </cell>
          <cell r="BJ242">
            <v>-8.5</v>
          </cell>
          <cell r="BL242">
            <v>3</v>
          </cell>
          <cell r="BM242">
            <v>3</v>
          </cell>
          <cell r="BN242">
            <v>1</v>
          </cell>
          <cell r="BO242">
            <v>12</v>
          </cell>
          <cell r="BP242">
            <v>0</v>
          </cell>
          <cell r="BQ242">
            <v>2</v>
          </cell>
          <cell r="BR242">
            <v>0</v>
          </cell>
          <cell r="BS242">
            <v>4</v>
          </cell>
          <cell r="BT242">
            <v>4</v>
          </cell>
          <cell r="BU242">
            <v>4</v>
          </cell>
          <cell r="BV242" t="str">
            <v>12Đ</v>
          </cell>
          <cell r="BW242">
            <v>4</v>
          </cell>
          <cell r="BX242">
            <v>4</v>
          </cell>
          <cell r="BY242">
            <v>0</v>
          </cell>
          <cell r="BZ242">
            <v>0</v>
          </cell>
          <cell r="CA242">
            <v>0</v>
          </cell>
          <cell r="CB242">
            <v>0</v>
          </cell>
          <cell r="CC242" t="str">
            <v>12Đ</v>
          </cell>
          <cell r="CD242">
            <v>4</v>
          </cell>
          <cell r="CE242">
            <v>4</v>
          </cell>
          <cell r="CF242">
            <v>4</v>
          </cell>
          <cell r="CG242">
            <v>4</v>
          </cell>
          <cell r="CH242">
            <v>4</v>
          </cell>
          <cell r="CI242">
            <v>4</v>
          </cell>
          <cell r="CJ242">
            <v>0</v>
          </cell>
          <cell r="CK242">
            <v>4</v>
          </cell>
          <cell r="CL242">
            <v>4</v>
          </cell>
          <cell r="CM242">
            <v>4</v>
          </cell>
          <cell r="CR242">
            <v>0</v>
          </cell>
          <cell r="CS242">
            <v>0</v>
          </cell>
          <cell r="CT242">
            <v>65</v>
          </cell>
          <cell r="CU242">
            <v>20</v>
          </cell>
          <cell r="CV242">
            <v>16</v>
          </cell>
          <cell r="CZ242">
            <v>101</v>
          </cell>
        </row>
        <row r="243">
          <cell r="C243" t="str">
            <v>02174</v>
          </cell>
          <cell r="D243" t="str">
            <v>Nguyễn Hữu Diện</v>
          </cell>
          <cell r="E243" t="str">
            <v>Foaming</v>
          </cell>
          <cell r="F243" t="str">
            <v>FOAMING Splitting</v>
          </cell>
          <cell r="G243" t="str">
            <v>Operator</v>
          </cell>
          <cell r="H243">
            <v>43875</v>
          </cell>
          <cell r="I243" t="str">
            <v>Đ</v>
          </cell>
          <cell r="J243" t="str">
            <v>Đ</v>
          </cell>
          <cell r="K243" t="str">
            <v>Đ</v>
          </cell>
          <cell r="L243" t="str">
            <v>CN</v>
          </cell>
          <cell r="M243" t="str">
            <v>Đ</v>
          </cell>
          <cell r="N243" t="str">
            <v>Đ</v>
          </cell>
          <cell r="O243" t="str">
            <v>Đ</v>
          </cell>
          <cell r="P243" t="str">
            <v>Đ</v>
          </cell>
          <cell r="Q243" t="str">
            <v>Đ</v>
          </cell>
          <cell r="R243" t="str">
            <v>Đ</v>
          </cell>
          <cell r="S243" t="str">
            <v>CN</v>
          </cell>
          <cell r="T243" t="str">
            <v>Đ</v>
          </cell>
          <cell r="U243" t="str">
            <v>Đ</v>
          </cell>
          <cell r="V243" t="str">
            <v>Đ</v>
          </cell>
          <cell r="W243" t="str">
            <v>Đ</v>
          </cell>
          <cell r="X243" t="str">
            <v>Đ</v>
          </cell>
          <cell r="Y243" t="str">
            <v>Đ</v>
          </cell>
          <cell r="Z243" t="str">
            <v>CN</v>
          </cell>
          <cell r="AA243">
            <v>8</v>
          </cell>
          <cell r="AB243">
            <v>8</v>
          </cell>
          <cell r="AC243">
            <v>8</v>
          </cell>
          <cell r="AD243">
            <v>8</v>
          </cell>
          <cell r="AE243">
            <v>8</v>
          </cell>
          <cell r="AF243">
            <v>8</v>
          </cell>
          <cell r="AG243" t="str">
            <v>CN</v>
          </cell>
          <cell r="AH243">
            <v>8</v>
          </cell>
          <cell r="AI243">
            <v>8</v>
          </cell>
          <cell r="AJ243">
            <v>8</v>
          </cell>
          <cell r="AN243">
            <v>120</v>
          </cell>
          <cell r="AO243">
            <v>72</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192</v>
          </cell>
          <cell r="BH243">
            <v>0</v>
          </cell>
          <cell r="BI243">
            <v>0</v>
          </cell>
          <cell r="BJ243">
            <v>-0.5</v>
          </cell>
          <cell r="BL243">
            <v>4</v>
          </cell>
          <cell r="BM243">
            <v>4</v>
          </cell>
          <cell r="BN243">
            <v>4</v>
          </cell>
          <cell r="BO243" t="str">
            <v>12Đ</v>
          </cell>
          <cell r="BP243">
            <v>2</v>
          </cell>
          <cell r="BQ243">
            <v>4</v>
          </cell>
          <cell r="BR243">
            <v>4</v>
          </cell>
          <cell r="BS243">
            <v>4</v>
          </cell>
          <cell r="BT243">
            <v>4</v>
          </cell>
          <cell r="BU243">
            <v>4</v>
          </cell>
          <cell r="BV243" t="str">
            <v>12Đ</v>
          </cell>
          <cell r="BW243">
            <v>4</v>
          </cell>
          <cell r="BX243">
            <v>4</v>
          </cell>
          <cell r="BY243">
            <v>4</v>
          </cell>
          <cell r="BZ243">
            <v>4</v>
          </cell>
          <cell r="CA243">
            <v>4</v>
          </cell>
          <cell r="CB243">
            <v>4</v>
          </cell>
          <cell r="CC243">
            <v>0</v>
          </cell>
          <cell r="CD243">
            <v>4</v>
          </cell>
          <cell r="CE243">
            <v>4</v>
          </cell>
          <cell r="CF243">
            <v>4</v>
          </cell>
          <cell r="CG243">
            <v>2</v>
          </cell>
          <cell r="CH243">
            <v>4</v>
          </cell>
          <cell r="CI243">
            <v>2</v>
          </cell>
          <cell r="CJ243">
            <v>12</v>
          </cell>
          <cell r="CK243">
            <v>4</v>
          </cell>
          <cell r="CL243">
            <v>0</v>
          </cell>
          <cell r="CM243">
            <v>4</v>
          </cell>
          <cell r="CR243">
            <v>0</v>
          </cell>
          <cell r="CS243">
            <v>0</v>
          </cell>
          <cell r="CT243">
            <v>86</v>
          </cell>
          <cell r="CU243">
            <v>20</v>
          </cell>
          <cell r="CV243">
            <v>16</v>
          </cell>
          <cell r="CZ243">
            <v>122</v>
          </cell>
        </row>
        <row r="244">
          <cell r="C244" t="str">
            <v>02175</v>
          </cell>
          <cell r="D244" t="str">
            <v>Nguyễn Việt Khang</v>
          </cell>
          <cell r="E244" t="str">
            <v>Warehouse</v>
          </cell>
          <cell r="F244" t="str">
            <v>RM Warehouse</v>
          </cell>
          <cell r="G244" t="str">
            <v>Worker</v>
          </cell>
          <cell r="H244">
            <v>43875</v>
          </cell>
          <cell r="I244">
            <v>8</v>
          </cell>
          <cell r="J244">
            <v>8</v>
          </cell>
          <cell r="K244">
            <v>8</v>
          </cell>
          <cell r="L244" t="str">
            <v>CN</v>
          </cell>
          <cell r="M244">
            <v>8</v>
          </cell>
          <cell r="N244">
            <v>8</v>
          </cell>
          <cell r="O244">
            <v>8</v>
          </cell>
          <cell r="P244">
            <v>8</v>
          </cell>
          <cell r="Q244">
            <v>8</v>
          </cell>
          <cell r="R244" t="str">
            <v>AL8</v>
          </cell>
          <cell r="S244" t="str">
            <v>CN</v>
          </cell>
          <cell r="T244">
            <v>8</v>
          </cell>
          <cell r="U244">
            <v>8</v>
          </cell>
          <cell r="V244">
            <v>8</v>
          </cell>
          <cell r="W244">
            <v>8</v>
          </cell>
          <cell r="X244">
            <v>8</v>
          </cell>
          <cell r="Y244">
            <v>8</v>
          </cell>
          <cell r="Z244" t="str">
            <v>CN</v>
          </cell>
          <cell r="AA244">
            <v>8</v>
          </cell>
          <cell r="AB244">
            <v>8</v>
          </cell>
          <cell r="AC244">
            <v>8</v>
          </cell>
          <cell r="AD244">
            <v>8</v>
          </cell>
          <cell r="AE244">
            <v>8</v>
          </cell>
          <cell r="AF244">
            <v>8</v>
          </cell>
          <cell r="AG244" t="str">
            <v>CN</v>
          </cell>
          <cell r="AH244">
            <v>8</v>
          </cell>
          <cell r="AI244">
            <v>8</v>
          </cell>
          <cell r="AJ244">
            <v>8</v>
          </cell>
          <cell r="AN244">
            <v>0</v>
          </cell>
          <cell r="AO244">
            <v>184</v>
          </cell>
          <cell r="AP244">
            <v>0</v>
          </cell>
          <cell r="AQ244">
            <v>0</v>
          </cell>
          <cell r="AR244">
            <v>0</v>
          </cell>
          <cell r="AS244">
            <v>0</v>
          </cell>
          <cell r="AT244">
            <v>0</v>
          </cell>
          <cell r="AU244">
            <v>0</v>
          </cell>
          <cell r="AV244">
            <v>0</v>
          </cell>
          <cell r="AW244">
            <v>0</v>
          </cell>
          <cell r="AX244">
            <v>0</v>
          </cell>
          <cell r="AY244">
            <v>0</v>
          </cell>
          <cell r="AZ244">
            <v>0</v>
          </cell>
          <cell r="BA244">
            <v>8</v>
          </cell>
          <cell r="BB244">
            <v>0</v>
          </cell>
          <cell r="BC244">
            <v>0</v>
          </cell>
          <cell r="BD244">
            <v>0</v>
          </cell>
          <cell r="BE244">
            <v>0</v>
          </cell>
          <cell r="BF244">
            <v>0</v>
          </cell>
          <cell r="BG244">
            <v>192</v>
          </cell>
          <cell r="BH244">
            <v>1</v>
          </cell>
          <cell r="BI244">
            <v>1</v>
          </cell>
          <cell r="BJ244">
            <v>9</v>
          </cell>
          <cell r="BL244">
            <v>0</v>
          </cell>
          <cell r="BM244">
            <v>0</v>
          </cell>
          <cell r="BN244">
            <v>0</v>
          </cell>
          <cell r="BO244">
            <v>0</v>
          </cell>
          <cell r="BP244">
            <v>3</v>
          </cell>
          <cell r="BQ244">
            <v>0</v>
          </cell>
          <cell r="BR244">
            <v>0</v>
          </cell>
          <cell r="BS244">
            <v>0</v>
          </cell>
          <cell r="BT244">
            <v>0</v>
          </cell>
          <cell r="BU244">
            <v>0</v>
          </cell>
          <cell r="BV244">
            <v>0</v>
          </cell>
          <cell r="BW244">
            <v>0</v>
          </cell>
          <cell r="BX244">
            <v>3</v>
          </cell>
          <cell r="BY244">
            <v>0</v>
          </cell>
          <cell r="BZ244">
            <v>3</v>
          </cell>
          <cell r="CA244">
            <v>0</v>
          </cell>
          <cell r="CB244">
            <v>0</v>
          </cell>
          <cell r="CC244">
            <v>0</v>
          </cell>
          <cell r="CD244">
            <v>0</v>
          </cell>
          <cell r="CE244">
            <v>3</v>
          </cell>
          <cell r="CF244">
            <v>0</v>
          </cell>
          <cell r="CG244">
            <v>0</v>
          </cell>
          <cell r="CH244">
            <v>0</v>
          </cell>
          <cell r="CI244">
            <v>0</v>
          </cell>
          <cell r="CJ244">
            <v>8</v>
          </cell>
          <cell r="CK244">
            <v>0</v>
          </cell>
          <cell r="CL244">
            <v>0</v>
          </cell>
          <cell r="CM244">
            <v>0</v>
          </cell>
          <cell r="CR244">
            <v>0</v>
          </cell>
          <cell r="CS244">
            <v>0</v>
          </cell>
          <cell r="CT244">
            <v>12</v>
          </cell>
          <cell r="CU244">
            <v>8</v>
          </cell>
          <cell r="CV244">
            <v>0</v>
          </cell>
          <cell r="CZ244">
            <v>20</v>
          </cell>
        </row>
        <row r="245">
          <cell r="C245" t="str">
            <v>02178</v>
          </cell>
          <cell r="D245" t="str">
            <v>Phạm Thị Kim Duyên</v>
          </cell>
          <cell r="E245" t="str">
            <v>Production</v>
          </cell>
          <cell r="F245" t="str">
            <v>Packing</v>
          </cell>
          <cell r="G245" t="str">
            <v>Worker</v>
          </cell>
          <cell r="H245">
            <v>43875</v>
          </cell>
          <cell r="I245" t="str">
            <v>Đ</v>
          </cell>
          <cell r="J245" t="str">
            <v>Đ</v>
          </cell>
          <cell r="K245" t="str">
            <v>Đ</v>
          </cell>
          <cell r="L245" t="str">
            <v>CN</v>
          </cell>
          <cell r="M245">
            <v>8</v>
          </cell>
          <cell r="N245">
            <v>8</v>
          </cell>
          <cell r="O245">
            <v>8</v>
          </cell>
          <cell r="P245">
            <v>8</v>
          </cell>
          <cell r="Q245">
            <v>8</v>
          </cell>
          <cell r="R245">
            <v>8</v>
          </cell>
          <cell r="S245" t="str">
            <v>CN</v>
          </cell>
          <cell r="T245" t="str">
            <v>Đ</v>
          </cell>
          <cell r="U245" t="str">
            <v>Đ</v>
          </cell>
          <cell r="V245" t="str">
            <v>Đ</v>
          </cell>
          <cell r="W245" t="str">
            <v>Đ</v>
          </cell>
          <cell r="X245" t="str">
            <v>Đ</v>
          </cell>
          <cell r="Y245" t="str">
            <v>Đ</v>
          </cell>
          <cell r="Z245" t="str">
            <v>CN</v>
          </cell>
          <cell r="AA245">
            <v>8</v>
          </cell>
          <cell r="AB245">
            <v>8</v>
          </cell>
          <cell r="AC245">
            <v>8</v>
          </cell>
          <cell r="AD245">
            <v>8</v>
          </cell>
          <cell r="AE245">
            <v>8</v>
          </cell>
          <cell r="AF245">
            <v>8</v>
          </cell>
          <cell r="AG245" t="str">
            <v>CN</v>
          </cell>
          <cell r="AH245" t="str">
            <v>Đ</v>
          </cell>
          <cell r="AI245" t="str">
            <v>Đ</v>
          </cell>
          <cell r="AJ245" t="str">
            <v>Đ</v>
          </cell>
          <cell r="AN245">
            <v>96</v>
          </cell>
          <cell r="AO245">
            <v>96</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192</v>
          </cell>
          <cell r="BH245">
            <v>0</v>
          </cell>
          <cell r="BI245">
            <v>0</v>
          </cell>
          <cell r="BJ245">
            <v>3.5</v>
          </cell>
          <cell r="BL245">
            <v>0</v>
          </cell>
          <cell r="BM245">
            <v>4</v>
          </cell>
          <cell r="BN245">
            <v>0</v>
          </cell>
          <cell r="BO245">
            <v>0</v>
          </cell>
          <cell r="BP245">
            <v>1.5</v>
          </cell>
          <cell r="BQ245">
            <v>0</v>
          </cell>
          <cell r="BR245">
            <v>0</v>
          </cell>
          <cell r="BS245">
            <v>3</v>
          </cell>
          <cell r="BT245">
            <v>3</v>
          </cell>
          <cell r="BU245">
            <v>3</v>
          </cell>
          <cell r="BV245">
            <v>0</v>
          </cell>
          <cell r="BW245">
            <v>4</v>
          </cell>
          <cell r="BX245">
            <v>4</v>
          </cell>
          <cell r="BY245">
            <v>4</v>
          </cell>
          <cell r="BZ245">
            <v>4</v>
          </cell>
          <cell r="CA245">
            <v>4</v>
          </cell>
          <cell r="CB245">
            <v>4</v>
          </cell>
          <cell r="CC245">
            <v>0</v>
          </cell>
          <cell r="CD245">
            <v>3</v>
          </cell>
          <cell r="CE245">
            <v>3</v>
          </cell>
          <cell r="CF245">
            <v>3</v>
          </cell>
          <cell r="CG245">
            <v>3</v>
          </cell>
          <cell r="CH245">
            <v>3</v>
          </cell>
          <cell r="CI245">
            <v>3</v>
          </cell>
          <cell r="CJ245">
            <v>11</v>
          </cell>
          <cell r="CK245">
            <v>4</v>
          </cell>
          <cell r="CL245">
            <v>4</v>
          </cell>
          <cell r="CM245">
            <v>4</v>
          </cell>
          <cell r="CR245">
            <v>0</v>
          </cell>
          <cell r="CS245">
            <v>0</v>
          </cell>
          <cell r="CT245">
            <v>68.5</v>
          </cell>
          <cell r="CU245">
            <v>11</v>
          </cell>
          <cell r="CV245">
            <v>0</v>
          </cell>
          <cell r="CZ245">
            <v>79.5</v>
          </cell>
        </row>
        <row r="246">
          <cell r="C246" t="str">
            <v>02180</v>
          </cell>
          <cell r="D246" t="str">
            <v>Nguyễn Thị Thu</v>
          </cell>
          <cell r="E246" t="str">
            <v>Production</v>
          </cell>
          <cell r="F246" t="str">
            <v>Packing</v>
          </cell>
          <cell r="G246" t="str">
            <v>Worker</v>
          </cell>
          <cell r="H246">
            <v>43875</v>
          </cell>
          <cell r="I246">
            <v>8</v>
          </cell>
          <cell r="J246">
            <v>8</v>
          </cell>
          <cell r="K246">
            <v>8</v>
          </cell>
          <cell r="L246" t="str">
            <v>CN</v>
          </cell>
          <cell r="M246" t="str">
            <v>Đ</v>
          </cell>
          <cell r="N246" t="str">
            <v>Đ</v>
          </cell>
          <cell r="O246" t="str">
            <v>Đ</v>
          </cell>
          <cell r="P246" t="str">
            <v>Đ</v>
          </cell>
          <cell r="Q246" t="str">
            <v>Đ</v>
          </cell>
          <cell r="R246" t="str">
            <v>Đ</v>
          </cell>
          <cell r="S246" t="str">
            <v>CN</v>
          </cell>
          <cell r="T246">
            <v>8</v>
          </cell>
          <cell r="U246">
            <v>8</v>
          </cell>
          <cell r="V246">
            <v>8</v>
          </cell>
          <cell r="W246">
            <v>8</v>
          </cell>
          <cell r="X246">
            <v>8</v>
          </cell>
          <cell r="Y246">
            <v>8</v>
          </cell>
          <cell r="Z246" t="str">
            <v>CN</v>
          </cell>
          <cell r="AA246" t="str">
            <v>Đ</v>
          </cell>
          <cell r="AB246" t="str">
            <v>Đ</v>
          </cell>
          <cell r="AC246" t="str">
            <v>Đ</v>
          </cell>
          <cell r="AD246" t="str">
            <v>Đ</v>
          </cell>
          <cell r="AE246" t="str">
            <v>Đ</v>
          </cell>
          <cell r="AF246" t="str">
            <v>Đ</v>
          </cell>
          <cell r="AG246" t="str">
            <v>CN</v>
          </cell>
          <cell r="AH246">
            <v>8</v>
          </cell>
          <cell r="AI246">
            <v>8</v>
          </cell>
          <cell r="AJ246">
            <v>8</v>
          </cell>
          <cell r="AN246">
            <v>96</v>
          </cell>
          <cell r="AO246">
            <v>96</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192</v>
          </cell>
          <cell r="BH246">
            <v>0</v>
          </cell>
          <cell r="BI246">
            <v>0</v>
          </cell>
          <cell r="BJ246">
            <v>1.5</v>
          </cell>
          <cell r="BL246">
            <v>1.5</v>
          </cell>
          <cell r="BM246">
            <v>1.5</v>
          </cell>
          <cell r="BN246">
            <v>0</v>
          </cell>
          <cell r="BO246">
            <v>0</v>
          </cell>
          <cell r="BP246">
            <v>1.5</v>
          </cell>
          <cell r="BQ246">
            <v>0</v>
          </cell>
          <cell r="BR246">
            <v>0</v>
          </cell>
          <cell r="BS246">
            <v>4</v>
          </cell>
          <cell r="BT246">
            <v>3</v>
          </cell>
          <cell r="BU246">
            <v>4</v>
          </cell>
          <cell r="BV246">
            <v>0</v>
          </cell>
          <cell r="BW246">
            <v>3</v>
          </cell>
          <cell r="BX246">
            <v>3</v>
          </cell>
          <cell r="BY246">
            <v>3</v>
          </cell>
          <cell r="BZ246">
            <v>3</v>
          </cell>
          <cell r="CA246">
            <v>3</v>
          </cell>
          <cell r="CB246">
            <v>3</v>
          </cell>
          <cell r="CC246">
            <v>8</v>
          </cell>
          <cell r="CD246">
            <v>4</v>
          </cell>
          <cell r="CE246">
            <v>4</v>
          </cell>
          <cell r="CF246">
            <v>4</v>
          </cell>
          <cell r="CG246">
            <v>4</v>
          </cell>
          <cell r="CH246">
            <v>4</v>
          </cell>
          <cell r="CI246">
            <v>4</v>
          </cell>
          <cell r="CJ246">
            <v>0</v>
          </cell>
          <cell r="CK246">
            <v>3</v>
          </cell>
          <cell r="CL246">
            <v>3</v>
          </cell>
          <cell r="CM246">
            <v>3</v>
          </cell>
          <cell r="CR246">
            <v>0</v>
          </cell>
          <cell r="CS246">
            <v>0</v>
          </cell>
          <cell r="CT246">
            <v>66.5</v>
          </cell>
          <cell r="CU246">
            <v>8</v>
          </cell>
          <cell r="CV246">
            <v>0</v>
          </cell>
          <cell r="CZ246">
            <v>74.5</v>
          </cell>
        </row>
        <row r="247">
          <cell r="C247" t="str">
            <v>02182</v>
          </cell>
          <cell r="D247" t="str">
            <v>Nguyễn Đức Huy Thịnh</v>
          </cell>
          <cell r="E247" t="str">
            <v xml:space="preserve">EHS &amp; Facilities </v>
          </cell>
          <cell r="F247" t="str">
            <v>Facility</v>
          </cell>
          <cell r="G247" t="str">
            <v>Supervisor</v>
          </cell>
          <cell r="H247">
            <v>43878</v>
          </cell>
          <cell r="I247">
            <v>8</v>
          </cell>
          <cell r="J247">
            <v>8</v>
          </cell>
          <cell r="K247" t="str">
            <v>PO</v>
          </cell>
          <cell r="L247" t="str">
            <v>CN</v>
          </cell>
          <cell r="M247">
            <v>8</v>
          </cell>
          <cell r="N247">
            <v>8</v>
          </cell>
          <cell r="O247">
            <v>8</v>
          </cell>
          <cell r="P247">
            <v>8</v>
          </cell>
          <cell r="Q247" t="str">
            <v>PO</v>
          </cell>
          <cell r="R247" t="str">
            <v>PO</v>
          </cell>
          <cell r="S247" t="str">
            <v>CN</v>
          </cell>
          <cell r="T247">
            <v>8</v>
          </cell>
          <cell r="U247">
            <v>8</v>
          </cell>
          <cell r="V247">
            <v>8</v>
          </cell>
          <cell r="W247">
            <v>8</v>
          </cell>
          <cell r="X247">
            <v>8</v>
          </cell>
          <cell r="Y247" t="str">
            <v>PO</v>
          </cell>
          <cell r="Z247" t="str">
            <v>CN</v>
          </cell>
          <cell r="AA247">
            <v>8</v>
          </cell>
          <cell r="AB247">
            <v>8</v>
          </cell>
          <cell r="AC247" t="str">
            <v>WH</v>
          </cell>
          <cell r="AD247">
            <v>8</v>
          </cell>
          <cell r="AE247">
            <v>8</v>
          </cell>
          <cell r="AF247" t="str">
            <v>PO</v>
          </cell>
          <cell r="AG247" t="str">
            <v>CN</v>
          </cell>
          <cell r="AH247">
            <v>8</v>
          </cell>
          <cell r="AI247">
            <v>8</v>
          </cell>
          <cell r="AJ247">
            <v>8</v>
          </cell>
          <cell r="AN247">
            <v>0</v>
          </cell>
          <cell r="AO247">
            <v>144</v>
          </cell>
          <cell r="AP247">
            <v>0</v>
          </cell>
          <cell r="AQ247">
            <v>0</v>
          </cell>
          <cell r="AR247">
            <v>0</v>
          </cell>
          <cell r="AS247">
            <v>0</v>
          </cell>
          <cell r="AT247">
            <v>0</v>
          </cell>
          <cell r="AU247">
            <v>0</v>
          </cell>
          <cell r="AV247">
            <v>40</v>
          </cell>
          <cell r="AW247">
            <v>0</v>
          </cell>
          <cell r="AX247">
            <v>0</v>
          </cell>
          <cell r="AY247">
            <v>0</v>
          </cell>
          <cell r="AZ247">
            <v>0</v>
          </cell>
          <cell r="BA247">
            <v>0</v>
          </cell>
          <cell r="BB247">
            <v>0</v>
          </cell>
          <cell r="BC247">
            <v>0</v>
          </cell>
          <cell r="BD247">
            <v>8</v>
          </cell>
          <cell r="BE247">
            <v>0</v>
          </cell>
          <cell r="BF247">
            <v>0</v>
          </cell>
          <cell r="BG247">
            <v>192</v>
          </cell>
          <cell r="BH247">
            <v>0</v>
          </cell>
          <cell r="BI247">
            <v>0</v>
          </cell>
          <cell r="BJ247">
            <v>6.5</v>
          </cell>
          <cell r="BL247">
            <v>0</v>
          </cell>
          <cell r="BM247">
            <v>0</v>
          </cell>
          <cell r="BN247">
            <v>0</v>
          </cell>
          <cell r="BO247">
            <v>0</v>
          </cell>
          <cell r="BP247">
            <v>0</v>
          </cell>
          <cell r="BQ247">
            <v>0</v>
          </cell>
          <cell r="BR247">
            <v>0</v>
          </cell>
          <cell r="BS247">
            <v>0</v>
          </cell>
          <cell r="BT247">
            <v>0</v>
          </cell>
          <cell r="BU247">
            <v>0</v>
          </cell>
          <cell r="BV247">
            <v>0</v>
          </cell>
          <cell r="BW247">
            <v>0</v>
          </cell>
          <cell r="BX247">
            <v>0</v>
          </cell>
          <cell r="BY247">
            <v>0</v>
          </cell>
          <cell r="BZ247">
            <v>0</v>
          </cell>
          <cell r="CA247">
            <v>0</v>
          </cell>
          <cell r="CB247">
            <v>0</v>
          </cell>
          <cell r="CC247">
            <v>0</v>
          </cell>
          <cell r="CD247">
            <v>0</v>
          </cell>
          <cell r="CE247">
            <v>0</v>
          </cell>
          <cell r="CF247">
            <v>0</v>
          </cell>
          <cell r="CG247">
            <v>0</v>
          </cell>
          <cell r="CH247">
            <v>0</v>
          </cell>
          <cell r="CI247">
            <v>0</v>
          </cell>
          <cell r="CJ247">
            <v>0</v>
          </cell>
          <cell r="CK247">
            <v>0</v>
          </cell>
          <cell r="CL247">
            <v>0</v>
          </cell>
          <cell r="CM247">
            <v>0</v>
          </cell>
          <cell r="CR247">
            <v>0</v>
          </cell>
          <cell r="CS247">
            <v>0</v>
          </cell>
          <cell r="CT247">
            <v>0</v>
          </cell>
          <cell r="CU247">
            <v>0</v>
          </cell>
          <cell r="CV247">
            <v>0</v>
          </cell>
          <cell r="CZ247">
            <v>0</v>
          </cell>
        </row>
        <row r="248">
          <cell r="C248" t="str">
            <v>02184</v>
          </cell>
          <cell r="D248" t="str">
            <v>Lý Hồng Nhung</v>
          </cell>
          <cell r="E248" t="str">
            <v>HR &amp; Admin</v>
          </cell>
          <cell r="F248" t="str">
            <v>Admin</v>
          </cell>
          <cell r="G248" t="str">
            <v>Associate Specialist</v>
          </cell>
          <cell r="H248">
            <v>43879</v>
          </cell>
          <cell r="I248">
            <v>8</v>
          </cell>
          <cell r="J248">
            <v>8</v>
          </cell>
          <cell r="K248" t="str">
            <v>PO</v>
          </cell>
          <cell r="L248" t="str">
            <v>CN</v>
          </cell>
          <cell r="M248">
            <v>8</v>
          </cell>
          <cell r="N248" t="str">
            <v>AL4</v>
          </cell>
          <cell r="O248" t="str">
            <v>AL4</v>
          </cell>
          <cell r="P248">
            <v>8</v>
          </cell>
          <cell r="Q248" t="str">
            <v>PO</v>
          </cell>
          <cell r="R248" t="str">
            <v>PO</v>
          </cell>
          <cell r="S248" t="str">
            <v>CN</v>
          </cell>
          <cell r="T248">
            <v>8</v>
          </cell>
          <cell r="U248">
            <v>8</v>
          </cell>
          <cell r="V248">
            <v>8</v>
          </cell>
          <cell r="W248">
            <v>8</v>
          </cell>
          <cell r="X248">
            <v>8</v>
          </cell>
          <cell r="Y248" t="str">
            <v>PO</v>
          </cell>
          <cell r="Z248" t="str">
            <v>CN</v>
          </cell>
          <cell r="AA248">
            <v>8</v>
          </cell>
          <cell r="AB248">
            <v>8</v>
          </cell>
          <cell r="AC248">
            <v>8</v>
          </cell>
          <cell r="AD248">
            <v>8</v>
          </cell>
          <cell r="AE248" t="str">
            <v>AL4</v>
          </cell>
          <cell r="AF248" t="str">
            <v>PO</v>
          </cell>
          <cell r="AG248" t="str">
            <v>CN</v>
          </cell>
          <cell r="AH248">
            <v>8</v>
          </cell>
          <cell r="AI248">
            <v>8</v>
          </cell>
          <cell r="AJ248">
            <v>8</v>
          </cell>
          <cell r="AN248">
            <v>0</v>
          </cell>
          <cell r="AO248">
            <v>140</v>
          </cell>
          <cell r="AP248">
            <v>12</v>
          </cell>
          <cell r="AQ248">
            <v>0</v>
          </cell>
          <cell r="AR248">
            <v>0</v>
          </cell>
          <cell r="AS248">
            <v>0</v>
          </cell>
          <cell r="AT248">
            <v>0</v>
          </cell>
          <cell r="AU248">
            <v>0</v>
          </cell>
          <cell r="AV248">
            <v>40</v>
          </cell>
          <cell r="AW248">
            <v>0</v>
          </cell>
          <cell r="AX248">
            <v>0</v>
          </cell>
          <cell r="AY248">
            <v>0</v>
          </cell>
          <cell r="AZ248">
            <v>0</v>
          </cell>
          <cell r="BA248">
            <v>12</v>
          </cell>
          <cell r="BB248">
            <v>0</v>
          </cell>
          <cell r="BC248">
            <v>0</v>
          </cell>
          <cell r="BD248">
            <v>0</v>
          </cell>
          <cell r="BE248">
            <v>0</v>
          </cell>
          <cell r="BF248">
            <v>0</v>
          </cell>
          <cell r="BG248">
            <v>192</v>
          </cell>
          <cell r="BH248">
            <v>1.5</v>
          </cell>
          <cell r="BI248">
            <v>1.5</v>
          </cell>
          <cell r="BJ248">
            <v>2.5</v>
          </cell>
          <cell r="BL248">
            <v>0</v>
          </cell>
          <cell r="BM248">
            <v>0</v>
          </cell>
          <cell r="BN248">
            <v>0</v>
          </cell>
          <cell r="BO248">
            <v>0</v>
          </cell>
          <cell r="BP248">
            <v>0</v>
          </cell>
          <cell r="BQ248">
            <v>0</v>
          </cell>
          <cell r="BR248">
            <v>0</v>
          </cell>
          <cell r="BS248">
            <v>0</v>
          </cell>
          <cell r="BT248">
            <v>0</v>
          </cell>
          <cell r="BU248">
            <v>0</v>
          </cell>
          <cell r="BV248">
            <v>0</v>
          </cell>
          <cell r="BW248">
            <v>0</v>
          </cell>
          <cell r="BX248">
            <v>0</v>
          </cell>
          <cell r="BY248">
            <v>0</v>
          </cell>
          <cell r="BZ248">
            <v>0</v>
          </cell>
          <cell r="CA248">
            <v>0</v>
          </cell>
          <cell r="CB248">
            <v>0</v>
          </cell>
          <cell r="CC248">
            <v>0</v>
          </cell>
          <cell r="CD248">
            <v>0</v>
          </cell>
          <cell r="CE248">
            <v>0</v>
          </cell>
          <cell r="CF248">
            <v>0</v>
          </cell>
          <cell r="CG248">
            <v>0</v>
          </cell>
          <cell r="CH248">
            <v>0</v>
          </cell>
          <cell r="CI248">
            <v>0</v>
          </cell>
          <cell r="CJ248">
            <v>0</v>
          </cell>
          <cell r="CK248">
            <v>0</v>
          </cell>
          <cell r="CL248">
            <v>0</v>
          </cell>
          <cell r="CM248">
            <v>0</v>
          </cell>
          <cell r="CR248">
            <v>0</v>
          </cell>
          <cell r="CS248">
            <v>0</v>
          </cell>
          <cell r="CT248">
            <v>0</v>
          </cell>
          <cell r="CU248">
            <v>0</v>
          </cell>
          <cell r="CV248">
            <v>0</v>
          </cell>
          <cell r="CZ248">
            <v>0</v>
          </cell>
        </row>
        <row r="249">
          <cell r="C249" t="str">
            <v>02186</v>
          </cell>
          <cell r="D249" t="str">
            <v>Nguyễn Thị Thanh Thúy</v>
          </cell>
          <cell r="E249" t="str">
            <v>Sales</v>
          </cell>
          <cell r="F249" t="str">
            <v>Sales</v>
          </cell>
          <cell r="G249" t="str">
            <v xml:space="preserve">Associate specialist </v>
          </cell>
          <cell r="H249">
            <v>43880</v>
          </cell>
          <cell r="I249">
            <v>8</v>
          </cell>
          <cell r="J249">
            <v>8</v>
          </cell>
          <cell r="K249" t="str">
            <v>PO</v>
          </cell>
          <cell r="L249" t="str">
            <v>CN</v>
          </cell>
          <cell r="M249">
            <v>8</v>
          </cell>
          <cell r="N249">
            <v>8</v>
          </cell>
          <cell r="O249">
            <v>8</v>
          </cell>
          <cell r="P249">
            <v>8</v>
          </cell>
          <cell r="Q249">
            <v>8</v>
          </cell>
          <cell r="R249" t="str">
            <v>PO</v>
          </cell>
          <cell r="S249" t="str">
            <v>CN</v>
          </cell>
          <cell r="T249">
            <v>8</v>
          </cell>
          <cell r="U249">
            <v>8</v>
          </cell>
          <cell r="V249">
            <v>8</v>
          </cell>
          <cell r="W249">
            <v>8</v>
          </cell>
          <cell r="X249">
            <v>8</v>
          </cell>
          <cell r="Y249" t="str">
            <v>PO</v>
          </cell>
          <cell r="Z249" t="str">
            <v>CN</v>
          </cell>
          <cell r="AA249">
            <v>8</v>
          </cell>
          <cell r="AB249">
            <v>8</v>
          </cell>
          <cell r="AC249">
            <v>8</v>
          </cell>
          <cell r="AD249">
            <v>8</v>
          </cell>
          <cell r="AE249">
            <v>8</v>
          </cell>
          <cell r="AF249" t="str">
            <v>PO</v>
          </cell>
          <cell r="AG249" t="str">
            <v>CN</v>
          </cell>
          <cell r="AH249">
            <v>8</v>
          </cell>
          <cell r="AI249">
            <v>8</v>
          </cell>
          <cell r="AJ249">
            <v>8</v>
          </cell>
          <cell r="AN249">
            <v>0</v>
          </cell>
          <cell r="AO249">
            <v>160</v>
          </cell>
          <cell r="AP249">
            <v>0</v>
          </cell>
          <cell r="AQ249">
            <v>0</v>
          </cell>
          <cell r="AR249">
            <v>0</v>
          </cell>
          <cell r="AS249">
            <v>0</v>
          </cell>
          <cell r="AT249">
            <v>0</v>
          </cell>
          <cell r="AU249">
            <v>0</v>
          </cell>
          <cell r="AV249">
            <v>32</v>
          </cell>
          <cell r="AW249">
            <v>0</v>
          </cell>
          <cell r="AX249">
            <v>0</v>
          </cell>
          <cell r="AY249">
            <v>0</v>
          </cell>
          <cell r="AZ249">
            <v>0</v>
          </cell>
          <cell r="BA249">
            <v>0</v>
          </cell>
          <cell r="BB249">
            <v>0</v>
          </cell>
          <cell r="BC249">
            <v>0</v>
          </cell>
          <cell r="BD249">
            <v>0</v>
          </cell>
          <cell r="BE249">
            <v>0</v>
          </cell>
          <cell r="BF249">
            <v>0</v>
          </cell>
          <cell r="BG249">
            <v>192</v>
          </cell>
          <cell r="BH249">
            <v>0</v>
          </cell>
          <cell r="BI249">
            <v>0</v>
          </cell>
          <cell r="BJ249">
            <v>10.5</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R249">
            <v>0</v>
          </cell>
          <cell r="CS249">
            <v>0</v>
          </cell>
          <cell r="CT249">
            <v>0</v>
          </cell>
          <cell r="CU249">
            <v>0</v>
          </cell>
          <cell r="CV249">
            <v>0</v>
          </cell>
          <cell r="CZ249">
            <v>0</v>
          </cell>
        </row>
        <row r="250">
          <cell r="C250" t="str">
            <v>02187</v>
          </cell>
          <cell r="D250" t="str">
            <v>Huỳnh Nhật Đăng Khoa</v>
          </cell>
          <cell r="E250" t="str">
            <v>Technical Development</v>
          </cell>
          <cell r="F250" t="str">
            <v>PD Technical</v>
          </cell>
          <cell r="G250" t="str">
            <v>Group Leader</v>
          </cell>
          <cell r="H250">
            <v>43880</v>
          </cell>
          <cell r="I250">
            <v>8</v>
          </cell>
          <cell r="J250">
            <v>8</v>
          </cell>
          <cell r="K250" t="str">
            <v>PO</v>
          </cell>
          <cell r="L250" t="str">
            <v>CN</v>
          </cell>
          <cell r="M250">
            <v>8</v>
          </cell>
          <cell r="N250">
            <v>8</v>
          </cell>
          <cell r="O250">
            <v>8</v>
          </cell>
          <cell r="P250">
            <v>8</v>
          </cell>
          <cell r="Q250" t="str">
            <v>PO</v>
          </cell>
          <cell r="R250" t="str">
            <v>PO</v>
          </cell>
          <cell r="S250" t="str">
            <v>CN</v>
          </cell>
          <cell r="T250">
            <v>8</v>
          </cell>
          <cell r="U250">
            <v>8</v>
          </cell>
          <cell r="V250">
            <v>8</v>
          </cell>
          <cell r="W250">
            <v>8</v>
          </cell>
          <cell r="X250">
            <v>8</v>
          </cell>
          <cell r="Y250" t="str">
            <v>PO</v>
          </cell>
          <cell r="Z250" t="str">
            <v>CN</v>
          </cell>
          <cell r="AA250">
            <v>8</v>
          </cell>
          <cell r="AB250">
            <v>8</v>
          </cell>
          <cell r="AC250">
            <v>8</v>
          </cell>
          <cell r="AD250">
            <v>8</v>
          </cell>
          <cell r="AE250">
            <v>8</v>
          </cell>
          <cell r="AF250" t="str">
            <v>PO</v>
          </cell>
          <cell r="AG250" t="str">
            <v>CN</v>
          </cell>
          <cell r="AH250">
            <v>8</v>
          </cell>
          <cell r="AI250">
            <v>8</v>
          </cell>
          <cell r="AJ250" t="str">
            <v>BS</v>
          </cell>
          <cell r="AN250">
            <v>0</v>
          </cell>
          <cell r="AO250">
            <v>144</v>
          </cell>
          <cell r="AP250">
            <v>0</v>
          </cell>
          <cell r="AQ250">
            <v>0</v>
          </cell>
          <cell r="AR250">
            <v>0</v>
          </cell>
          <cell r="AS250">
            <v>0</v>
          </cell>
          <cell r="AT250">
            <v>0</v>
          </cell>
          <cell r="AU250">
            <v>8</v>
          </cell>
          <cell r="AV250">
            <v>40</v>
          </cell>
          <cell r="AW250">
            <v>0</v>
          </cell>
          <cell r="AX250">
            <v>0</v>
          </cell>
          <cell r="AY250">
            <v>0</v>
          </cell>
          <cell r="AZ250">
            <v>0</v>
          </cell>
          <cell r="BA250">
            <v>0</v>
          </cell>
          <cell r="BB250">
            <v>0</v>
          </cell>
          <cell r="BC250">
            <v>0</v>
          </cell>
          <cell r="BD250">
            <v>0</v>
          </cell>
          <cell r="BE250">
            <v>0</v>
          </cell>
          <cell r="BF250">
            <v>0</v>
          </cell>
          <cell r="BG250">
            <v>192</v>
          </cell>
          <cell r="BH250">
            <v>0</v>
          </cell>
          <cell r="BI250">
            <v>0</v>
          </cell>
          <cell r="BJ250">
            <v>8.5</v>
          </cell>
          <cell r="BL250">
            <v>0</v>
          </cell>
          <cell r="BM250">
            <v>0</v>
          </cell>
          <cell r="BN250">
            <v>0</v>
          </cell>
          <cell r="BO250">
            <v>0</v>
          </cell>
          <cell r="BP250">
            <v>0</v>
          </cell>
          <cell r="BQ250">
            <v>0</v>
          </cell>
          <cell r="BR250">
            <v>0</v>
          </cell>
          <cell r="BS250">
            <v>0</v>
          </cell>
          <cell r="BT250">
            <v>0</v>
          </cell>
          <cell r="BU250">
            <v>0</v>
          </cell>
          <cell r="BV250">
            <v>0</v>
          </cell>
          <cell r="BW250">
            <v>0</v>
          </cell>
          <cell r="BX250">
            <v>0</v>
          </cell>
          <cell r="BY250">
            <v>0</v>
          </cell>
          <cell r="BZ250">
            <v>0</v>
          </cell>
          <cell r="CA250">
            <v>0</v>
          </cell>
          <cell r="CB250">
            <v>0</v>
          </cell>
          <cell r="CC250">
            <v>0</v>
          </cell>
          <cell r="CD250">
            <v>0</v>
          </cell>
          <cell r="CE250">
            <v>0</v>
          </cell>
          <cell r="CF250">
            <v>0</v>
          </cell>
          <cell r="CG250">
            <v>0</v>
          </cell>
          <cell r="CH250">
            <v>0</v>
          </cell>
          <cell r="CI250">
            <v>0</v>
          </cell>
          <cell r="CJ250">
            <v>0</v>
          </cell>
          <cell r="CK250">
            <v>0</v>
          </cell>
          <cell r="CL250">
            <v>0</v>
          </cell>
          <cell r="CM250">
            <v>0</v>
          </cell>
          <cell r="CR250">
            <v>0</v>
          </cell>
          <cell r="CS250">
            <v>0</v>
          </cell>
          <cell r="CT250">
            <v>0</v>
          </cell>
          <cell r="CU250">
            <v>0</v>
          </cell>
          <cell r="CV250">
            <v>0</v>
          </cell>
          <cell r="CZ250">
            <v>0</v>
          </cell>
        </row>
        <row r="251">
          <cell r="C251" t="str">
            <v>02190</v>
          </cell>
          <cell r="D251" t="str">
            <v>Nguyễn Bảo Lăng</v>
          </cell>
          <cell r="E251" t="str">
            <v>Foaming</v>
          </cell>
          <cell r="F251" t="str">
            <v>FOAMING Splitting</v>
          </cell>
          <cell r="G251" t="str">
            <v>Worker</v>
          </cell>
          <cell r="H251">
            <v>43881</v>
          </cell>
          <cell r="I251" t="str">
            <v>Đ</v>
          </cell>
          <cell r="J251" t="str">
            <v>Đ</v>
          </cell>
          <cell r="K251" t="str">
            <v>Đ</v>
          </cell>
          <cell r="L251" t="str">
            <v>CN</v>
          </cell>
          <cell r="M251" t="str">
            <v>Đ</v>
          </cell>
          <cell r="N251" t="str">
            <v>Đ</v>
          </cell>
          <cell r="O251" t="str">
            <v>Đ</v>
          </cell>
          <cell r="P251" t="str">
            <v>Đ</v>
          </cell>
          <cell r="Q251" t="str">
            <v>Đ</v>
          </cell>
          <cell r="R251" t="str">
            <v>Đ</v>
          </cell>
          <cell r="S251" t="str">
            <v>CN</v>
          </cell>
          <cell r="T251" t="str">
            <v>Đ</v>
          </cell>
          <cell r="U251" t="str">
            <v>Đ</v>
          </cell>
          <cell r="V251" t="str">
            <v>Đ</v>
          </cell>
          <cell r="W251" t="str">
            <v>Đ</v>
          </cell>
          <cell r="X251" t="str">
            <v>Đ</v>
          </cell>
          <cell r="Y251" t="str">
            <v>Đ</v>
          </cell>
          <cell r="Z251" t="str">
            <v>CN</v>
          </cell>
          <cell r="AA251">
            <v>8</v>
          </cell>
          <cell r="AB251">
            <v>8</v>
          </cell>
          <cell r="AC251">
            <v>8</v>
          </cell>
          <cell r="AD251">
            <v>8</v>
          </cell>
          <cell r="AE251">
            <v>8</v>
          </cell>
          <cell r="AF251">
            <v>8</v>
          </cell>
          <cell r="AG251" t="str">
            <v>CN</v>
          </cell>
          <cell r="AH251">
            <v>8</v>
          </cell>
          <cell r="AI251">
            <v>8</v>
          </cell>
          <cell r="AJ251">
            <v>8</v>
          </cell>
          <cell r="AN251">
            <v>120</v>
          </cell>
          <cell r="AO251">
            <v>72</v>
          </cell>
          <cell r="AP251">
            <v>0</v>
          </cell>
          <cell r="AQ251">
            <v>0</v>
          </cell>
          <cell r="AR251">
            <v>0</v>
          </cell>
          <cell r="AS251">
            <v>0</v>
          </cell>
          <cell r="AT251">
            <v>0</v>
          </cell>
          <cell r="AU251">
            <v>0</v>
          </cell>
          <cell r="AV251">
            <v>0</v>
          </cell>
          <cell r="AW251">
            <v>0</v>
          </cell>
          <cell r="AX251">
            <v>0</v>
          </cell>
          <cell r="AY251">
            <v>0</v>
          </cell>
          <cell r="AZ251">
            <v>0</v>
          </cell>
          <cell r="BA251">
            <v>0</v>
          </cell>
          <cell r="BB251">
            <v>0</v>
          </cell>
          <cell r="BC251">
            <v>0</v>
          </cell>
          <cell r="BD251">
            <v>0</v>
          </cell>
          <cell r="BE251">
            <v>0</v>
          </cell>
          <cell r="BF251">
            <v>0</v>
          </cell>
          <cell r="BG251">
            <v>192</v>
          </cell>
          <cell r="BH251">
            <v>0</v>
          </cell>
          <cell r="BI251">
            <v>0</v>
          </cell>
          <cell r="BJ251">
            <v>0.5</v>
          </cell>
          <cell r="BL251">
            <v>4</v>
          </cell>
          <cell r="BM251">
            <v>4</v>
          </cell>
          <cell r="BN251">
            <v>4</v>
          </cell>
          <cell r="BO251" t="str">
            <v>12Đ</v>
          </cell>
          <cell r="BP251">
            <v>2</v>
          </cell>
          <cell r="BQ251">
            <v>4</v>
          </cell>
          <cell r="BR251">
            <v>4</v>
          </cell>
          <cell r="BS251">
            <v>4</v>
          </cell>
          <cell r="BT251">
            <v>4</v>
          </cell>
          <cell r="BU251">
            <v>4</v>
          </cell>
          <cell r="BV251" t="str">
            <v>12Đ</v>
          </cell>
          <cell r="BW251">
            <v>4</v>
          </cell>
          <cell r="BX251">
            <v>4</v>
          </cell>
          <cell r="BY251">
            <v>4</v>
          </cell>
          <cell r="BZ251">
            <v>4</v>
          </cell>
          <cell r="CA251">
            <v>4</v>
          </cell>
          <cell r="CB251">
            <v>4</v>
          </cell>
          <cell r="CC251">
            <v>0</v>
          </cell>
          <cell r="CD251">
            <v>4</v>
          </cell>
          <cell r="CE251">
            <v>4</v>
          </cell>
          <cell r="CF251">
            <v>4</v>
          </cell>
          <cell r="CG251">
            <v>2</v>
          </cell>
          <cell r="CH251">
            <v>4</v>
          </cell>
          <cell r="CI251">
            <v>2</v>
          </cell>
          <cell r="CJ251">
            <v>12</v>
          </cell>
          <cell r="CK251">
            <v>4</v>
          </cell>
          <cell r="CL251">
            <v>0</v>
          </cell>
          <cell r="CM251">
            <v>4</v>
          </cell>
          <cell r="CR251">
            <v>0</v>
          </cell>
          <cell r="CS251">
            <v>0</v>
          </cell>
          <cell r="CT251">
            <v>86</v>
          </cell>
          <cell r="CU251">
            <v>20</v>
          </cell>
          <cell r="CV251">
            <v>16</v>
          </cell>
          <cell r="CZ251">
            <v>122</v>
          </cell>
        </row>
        <row r="252">
          <cell r="C252" t="str">
            <v>02207</v>
          </cell>
          <cell r="D252" t="str">
            <v>Dương Hoàng Lân</v>
          </cell>
          <cell r="E252" t="str">
            <v>Production</v>
          </cell>
          <cell r="F252" t="str">
            <v>Lamination</v>
          </cell>
          <cell r="G252" t="str">
            <v>Operator</v>
          </cell>
          <cell r="H252">
            <v>43885</v>
          </cell>
          <cell r="I252">
            <v>8</v>
          </cell>
          <cell r="J252" t="str">
            <v>CN</v>
          </cell>
          <cell r="K252">
            <v>8</v>
          </cell>
          <cell r="L252" t="str">
            <v>Đ</v>
          </cell>
          <cell r="M252" t="str">
            <v>Đ</v>
          </cell>
          <cell r="N252" t="str">
            <v>Đ</v>
          </cell>
          <cell r="O252" t="str">
            <v>Đ</v>
          </cell>
          <cell r="P252" t="str">
            <v>Đ</v>
          </cell>
          <cell r="Q252" t="str">
            <v>CN</v>
          </cell>
          <cell r="R252">
            <v>8</v>
          </cell>
          <cell r="S252">
            <v>8</v>
          </cell>
          <cell r="T252">
            <v>8</v>
          </cell>
          <cell r="U252" t="str">
            <v>AL4</v>
          </cell>
          <cell r="V252">
            <v>8</v>
          </cell>
          <cell r="W252">
            <v>8</v>
          </cell>
          <cell r="X252" t="str">
            <v>CN</v>
          </cell>
          <cell r="Y252">
            <v>8</v>
          </cell>
          <cell r="Z252" t="str">
            <v>Đ</v>
          </cell>
          <cell r="AA252" t="str">
            <v>Đ</v>
          </cell>
          <cell r="AB252" t="str">
            <v>Đ</v>
          </cell>
          <cell r="AC252" t="str">
            <v>Đ</v>
          </cell>
          <cell r="AD252" t="str">
            <v>Đ</v>
          </cell>
          <cell r="AE252" t="str">
            <v>CN</v>
          </cell>
          <cell r="AF252">
            <v>8</v>
          </cell>
          <cell r="AG252" t="str">
            <v>Đ</v>
          </cell>
          <cell r="AH252" t="str">
            <v>Đ</v>
          </cell>
          <cell r="AI252" t="str">
            <v>Đ</v>
          </cell>
          <cell r="AJ252" t="str">
            <v>Đ</v>
          </cell>
          <cell r="AN252">
            <v>112</v>
          </cell>
          <cell r="AO252">
            <v>76</v>
          </cell>
          <cell r="AP252">
            <v>4</v>
          </cell>
          <cell r="AQ252">
            <v>0</v>
          </cell>
          <cell r="AR252">
            <v>0</v>
          </cell>
          <cell r="AS252">
            <v>0</v>
          </cell>
          <cell r="AT252">
            <v>0</v>
          </cell>
          <cell r="AU252">
            <v>0</v>
          </cell>
          <cell r="AV252">
            <v>0</v>
          </cell>
          <cell r="AW252">
            <v>0</v>
          </cell>
          <cell r="AX252">
            <v>0</v>
          </cell>
          <cell r="AY252">
            <v>0</v>
          </cell>
          <cell r="AZ252">
            <v>0</v>
          </cell>
          <cell r="BA252">
            <v>4</v>
          </cell>
          <cell r="BB252">
            <v>0</v>
          </cell>
          <cell r="BC252">
            <v>0</v>
          </cell>
          <cell r="BD252">
            <v>0</v>
          </cell>
          <cell r="BE252">
            <v>0</v>
          </cell>
          <cell r="BF252">
            <v>0</v>
          </cell>
          <cell r="BG252">
            <v>192</v>
          </cell>
          <cell r="BH252">
            <v>0.5</v>
          </cell>
          <cell r="BI252">
            <v>0.5</v>
          </cell>
          <cell r="BJ252">
            <v>4</v>
          </cell>
          <cell r="BL252">
            <v>0</v>
          </cell>
          <cell r="BM252">
            <v>0</v>
          </cell>
          <cell r="BN252">
            <v>3</v>
          </cell>
          <cell r="BO252">
            <v>4</v>
          </cell>
          <cell r="BP252">
            <v>0</v>
          </cell>
          <cell r="BQ252">
            <v>0</v>
          </cell>
          <cell r="BR252">
            <v>0</v>
          </cell>
          <cell r="BS252">
            <v>0</v>
          </cell>
          <cell r="BT252">
            <v>0</v>
          </cell>
          <cell r="BU252">
            <v>4</v>
          </cell>
          <cell r="BV252">
            <v>4</v>
          </cell>
          <cell r="BW252">
            <v>0</v>
          </cell>
          <cell r="BX252">
            <v>0</v>
          </cell>
          <cell r="BY252">
            <v>4</v>
          </cell>
          <cell r="BZ252">
            <v>0</v>
          </cell>
          <cell r="CA252">
            <v>0</v>
          </cell>
          <cell r="CB252">
            <v>4</v>
          </cell>
          <cell r="CC252">
            <v>4</v>
          </cell>
          <cell r="CD252">
            <v>0</v>
          </cell>
          <cell r="CE252">
            <v>4</v>
          </cell>
          <cell r="CF252">
            <v>4</v>
          </cell>
          <cell r="CG252">
            <v>4</v>
          </cell>
          <cell r="CH252">
            <v>0</v>
          </cell>
          <cell r="CI252">
            <v>4</v>
          </cell>
          <cell r="CJ252">
            <v>4</v>
          </cell>
          <cell r="CK252">
            <v>4</v>
          </cell>
          <cell r="CL252">
            <v>0</v>
          </cell>
          <cell r="CM252">
            <v>0</v>
          </cell>
          <cell r="CR252">
            <v>0</v>
          </cell>
          <cell r="CS252">
            <v>0</v>
          </cell>
          <cell r="CT252">
            <v>51</v>
          </cell>
          <cell r="CU252">
            <v>0</v>
          </cell>
          <cell r="CV252">
            <v>0</v>
          </cell>
          <cell r="CZ252">
            <v>51</v>
          </cell>
        </row>
        <row r="253">
          <cell r="C253" t="str">
            <v>02214</v>
          </cell>
          <cell r="D253" t="str">
            <v>Lưu Thị Hoàng Nguyên</v>
          </cell>
          <cell r="E253" t="str">
            <v>Production</v>
          </cell>
          <cell r="F253" t="str">
            <v>Packing</v>
          </cell>
          <cell r="G253" t="str">
            <v>Worker</v>
          </cell>
          <cell r="H253">
            <v>43889</v>
          </cell>
          <cell r="I253">
            <v>8</v>
          </cell>
          <cell r="J253">
            <v>8</v>
          </cell>
          <cell r="K253">
            <v>8</v>
          </cell>
          <cell r="L253" t="str">
            <v>CN</v>
          </cell>
          <cell r="M253" t="str">
            <v>Đ</v>
          </cell>
          <cell r="N253" t="str">
            <v>Đ</v>
          </cell>
          <cell r="O253" t="str">
            <v>Đ</v>
          </cell>
          <cell r="P253" t="str">
            <v>Đ</v>
          </cell>
          <cell r="Q253" t="str">
            <v>Đ</v>
          </cell>
          <cell r="R253" t="str">
            <v>Đ</v>
          </cell>
          <cell r="S253" t="str">
            <v>CN</v>
          </cell>
          <cell r="T253">
            <v>8</v>
          </cell>
          <cell r="U253">
            <v>8</v>
          </cell>
          <cell r="V253">
            <v>8</v>
          </cell>
          <cell r="W253">
            <v>8</v>
          </cell>
          <cell r="X253">
            <v>8</v>
          </cell>
          <cell r="Y253">
            <v>8</v>
          </cell>
          <cell r="Z253" t="str">
            <v>CN</v>
          </cell>
          <cell r="AA253" t="str">
            <v>Đ</v>
          </cell>
          <cell r="AB253" t="str">
            <v>Đ</v>
          </cell>
          <cell r="AC253" t="str">
            <v>Đ</v>
          </cell>
          <cell r="AD253" t="str">
            <v>Đ</v>
          </cell>
          <cell r="AE253" t="str">
            <v>Đ</v>
          </cell>
          <cell r="AF253" t="str">
            <v>Đ</v>
          </cell>
          <cell r="AG253" t="str">
            <v>CN</v>
          </cell>
          <cell r="AH253">
            <v>8</v>
          </cell>
          <cell r="AI253">
            <v>8</v>
          </cell>
          <cell r="AJ253">
            <v>8</v>
          </cell>
          <cell r="AN253">
            <v>96</v>
          </cell>
          <cell r="AO253">
            <v>96</v>
          </cell>
          <cell r="AP253">
            <v>0</v>
          </cell>
          <cell r="AQ253">
            <v>0</v>
          </cell>
          <cell r="AR253">
            <v>0</v>
          </cell>
          <cell r="AS253">
            <v>0</v>
          </cell>
          <cell r="AT253">
            <v>0</v>
          </cell>
          <cell r="AU253">
            <v>0</v>
          </cell>
          <cell r="AV253">
            <v>0</v>
          </cell>
          <cell r="AW253">
            <v>0</v>
          </cell>
          <cell r="AX253">
            <v>0</v>
          </cell>
          <cell r="AY253">
            <v>0</v>
          </cell>
          <cell r="AZ253">
            <v>0</v>
          </cell>
          <cell r="BA253">
            <v>0</v>
          </cell>
          <cell r="BB253">
            <v>0</v>
          </cell>
          <cell r="BC253">
            <v>0</v>
          </cell>
          <cell r="BD253">
            <v>0</v>
          </cell>
          <cell r="BE253">
            <v>0</v>
          </cell>
          <cell r="BF253">
            <v>0</v>
          </cell>
          <cell r="BG253">
            <v>192</v>
          </cell>
          <cell r="BH253">
            <v>0</v>
          </cell>
          <cell r="BI253">
            <v>0</v>
          </cell>
          <cell r="BJ253">
            <v>2.5</v>
          </cell>
          <cell r="BL253">
            <v>1.5</v>
          </cell>
          <cell r="BM253">
            <v>0</v>
          </cell>
          <cell r="BN253">
            <v>1.5</v>
          </cell>
          <cell r="BO253">
            <v>0</v>
          </cell>
          <cell r="BP253">
            <v>1.5</v>
          </cell>
          <cell r="BQ253">
            <v>0</v>
          </cell>
          <cell r="BR253">
            <v>0</v>
          </cell>
          <cell r="BS253">
            <v>4</v>
          </cell>
          <cell r="BT253">
            <v>4</v>
          </cell>
          <cell r="BU253">
            <v>3</v>
          </cell>
          <cell r="BV253">
            <v>0</v>
          </cell>
          <cell r="BW253">
            <v>3</v>
          </cell>
          <cell r="BX253">
            <v>3</v>
          </cell>
          <cell r="BY253">
            <v>3</v>
          </cell>
          <cell r="BZ253">
            <v>3</v>
          </cell>
          <cell r="CA253">
            <v>2</v>
          </cell>
          <cell r="CB253">
            <v>3</v>
          </cell>
          <cell r="CC253">
            <v>8</v>
          </cell>
          <cell r="CD253">
            <v>4</v>
          </cell>
          <cell r="CE253">
            <v>4</v>
          </cell>
          <cell r="CF253">
            <v>4</v>
          </cell>
          <cell r="CG253">
            <v>4</v>
          </cell>
          <cell r="CH253">
            <v>4</v>
          </cell>
          <cell r="CI253">
            <v>4</v>
          </cell>
          <cell r="CJ253">
            <v>0</v>
          </cell>
          <cell r="CK253">
            <v>3</v>
          </cell>
          <cell r="CL253">
            <v>3</v>
          </cell>
          <cell r="CM253">
            <v>3</v>
          </cell>
          <cell r="CR253">
            <v>0</v>
          </cell>
          <cell r="CS253">
            <v>0</v>
          </cell>
          <cell r="CT253">
            <v>65.5</v>
          </cell>
          <cell r="CU253">
            <v>8</v>
          </cell>
          <cell r="CV253">
            <v>0</v>
          </cell>
          <cell r="CZ253">
            <v>73.5</v>
          </cell>
        </row>
        <row r="254">
          <cell r="C254" t="str">
            <v>02218</v>
          </cell>
          <cell r="D254" t="str">
            <v>Bùi Thị Thảo My</v>
          </cell>
          <cell r="E254" t="str">
            <v>CS</v>
          </cell>
          <cell r="F254" t="str">
            <v>CS</v>
          </cell>
          <cell r="G254" t="str">
            <v>Group Leader</v>
          </cell>
          <cell r="H254">
            <v>43894</v>
          </cell>
          <cell r="I254">
            <v>8</v>
          </cell>
          <cell r="J254">
            <v>8</v>
          </cell>
          <cell r="K254" t="str">
            <v>PO</v>
          </cell>
          <cell r="L254" t="str">
            <v>CN</v>
          </cell>
          <cell r="M254">
            <v>8</v>
          </cell>
          <cell r="N254">
            <v>8</v>
          </cell>
          <cell r="O254">
            <v>8</v>
          </cell>
          <cell r="P254">
            <v>8</v>
          </cell>
          <cell r="Q254" t="str">
            <v>AL8</v>
          </cell>
          <cell r="R254" t="str">
            <v>PO</v>
          </cell>
          <cell r="S254" t="str">
            <v>CN</v>
          </cell>
          <cell r="T254">
            <v>8</v>
          </cell>
          <cell r="U254">
            <v>8</v>
          </cell>
          <cell r="V254">
            <v>8</v>
          </cell>
          <cell r="W254">
            <v>8</v>
          </cell>
          <cell r="X254">
            <v>8</v>
          </cell>
          <cell r="Y254" t="str">
            <v>PO</v>
          </cell>
          <cell r="Z254" t="str">
            <v>CN</v>
          </cell>
          <cell r="AA254">
            <v>8</v>
          </cell>
          <cell r="AB254">
            <v>8</v>
          </cell>
          <cell r="AC254">
            <v>8</v>
          </cell>
          <cell r="AD254">
            <v>8</v>
          </cell>
          <cell r="AE254">
            <v>8</v>
          </cell>
          <cell r="AF254" t="str">
            <v>PO</v>
          </cell>
          <cell r="AG254" t="str">
            <v>CN</v>
          </cell>
          <cell r="AH254">
            <v>8</v>
          </cell>
          <cell r="AI254">
            <v>8</v>
          </cell>
          <cell r="AJ254">
            <v>8</v>
          </cell>
          <cell r="AN254">
            <v>0</v>
          </cell>
          <cell r="AO254">
            <v>152</v>
          </cell>
          <cell r="AP254">
            <v>0</v>
          </cell>
          <cell r="AQ254">
            <v>0</v>
          </cell>
          <cell r="AR254">
            <v>0</v>
          </cell>
          <cell r="AS254">
            <v>0</v>
          </cell>
          <cell r="AT254">
            <v>0</v>
          </cell>
          <cell r="AU254">
            <v>0</v>
          </cell>
          <cell r="AV254">
            <v>32</v>
          </cell>
          <cell r="AW254">
            <v>0</v>
          </cell>
          <cell r="AX254">
            <v>0</v>
          </cell>
          <cell r="AY254">
            <v>0</v>
          </cell>
          <cell r="AZ254">
            <v>0</v>
          </cell>
          <cell r="BA254">
            <v>8</v>
          </cell>
          <cell r="BB254">
            <v>0</v>
          </cell>
          <cell r="BC254">
            <v>0</v>
          </cell>
          <cell r="BD254">
            <v>0</v>
          </cell>
          <cell r="BE254">
            <v>0</v>
          </cell>
          <cell r="BF254">
            <v>0</v>
          </cell>
          <cell r="BG254">
            <v>192</v>
          </cell>
          <cell r="BH254">
            <v>1</v>
          </cell>
          <cell r="BI254">
            <v>1</v>
          </cell>
          <cell r="BJ254">
            <v>6.5</v>
          </cell>
          <cell r="BL254">
            <v>0</v>
          </cell>
          <cell r="BM254">
            <v>0</v>
          </cell>
          <cell r="BN254">
            <v>0</v>
          </cell>
          <cell r="BO254">
            <v>0</v>
          </cell>
          <cell r="BP254">
            <v>0</v>
          </cell>
          <cell r="BQ254">
            <v>0</v>
          </cell>
          <cell r="BR254">
            <v>0</v>
          </cell>
          <cell r="BS254">
            <v>0</v>
          </cell>
          <cell r="BT254">
            <v>0</v>
          </cell>
          <cell r="BU254">
            <v>0</v>
          </cell>
          <cell r="BV254">
            <v>0</v>
          </cell>
          <cell r="BW254">
            <v>0</v>
          </cell>
          <cell r="BX254">
            <v>2</v>
          </cell>
          <cell r="BY254">
            <v>2</v>
          </cell>
          <cell r="BZ254">
            <v>2.5</v>
          </cell>
          <cell r="CA254">
            <v>0</v>
          </cell>
          <cell r="CB254">
            <v>0</v>
          </cell>
          <cell r="CC254">
            <v>0</v>
          </cell>
          <cell r="CD254">
            <v>2</v>
          </cell>
          <cell r="CE254">
            <v>0</v>
          </cell>
          <cell r="CF254">
            <v>2</v>
          </cell>
          <cell r="CG254">
            <v>0</v>
          </cell>
          <cell r="CH254">
            <v>2</v>
          </cell>
          <cell r="CI254">
            <v>0</v>
          </cell>
          <cell r="CJ254">
            <v>0</v>
          </cell>
          <cell r="CK254">
            <v>0</v>
          </cell>
          <cell r="CL254">
            <v>2</v>
          </cell>
          <cell r="CM254">
            <v>0</v>
          </cell>
          <cell r="CR254">
            <v>0</v>
          </cell>
          <cell r="CS254">
            <v>0</v>
          </cell>
          <cell r="CT254">
            <v>14.5</v>
          </cell>
          <cell r="CU254">
            <v>0</v>
          </cell>
          <cell r="CV254">
            <v>0</v>
          </cell>
          <cell r="CZ254">
            <v>14.5</v>
          </cell>
        </row>
        <row r="255">
          <cell r="C255" t="str">
            <v>02234</v>
          </cell>
          <cell r="D255" t="str">
            <v>Trần Nguyễn Hoàng Oanh</v>
          </cell>
          <cell r="E255" t="str">
            <v>CS</v>
          </cell>
          <cell r="F255" t="str">
            <v>CS</v>
          </cell>
          <cell r="G255" t="str">
            <v>Senior Staff</v>
          </cell>
          <cell r="H255">
            <v>43900</v>
          </cell>
          <cell r="I255">
            <v>8</v>
          </cell>
          <cell r="J255">
            <v>8</v>
          </cell>
          <cell r="K255" t="str">
            <v>PO</v>
          </cell>
          <cell r="L255" t="str">
            <v>CN</v>
          </cell>
          <cell r="M255">
            <v>8</v>
          </cell>
          <cell r="N255">
            <v>8</v>
          </cell>
          <cell r="O255">
            <v>8</v>
          </cell>
          <cell r="P255">
            <v>8</v>
          </cell>
          <cell r="Q255">
            <v>8</v>
          </cell>
          <cell r="R255" t="str">
            <v>PO</v>
          </cell>
          <cell r="S255" t="str">
            <v>CN</v>
          </cell>
          <cell r="T255">
            <v>8</v>
          </cell>
          <cell r="U255">
            <v>8</v>
          </cell>
          <cell r="V255">
            <v>8</v>
          </cell>
          <cell r="W255">
            <v>8</v>
          </cell>
          <cell r="X255">
            <v>8</v>
          </cell>
          <cell r="Y255" t="str">
            <v>PO</v>
          </cell>
          <cell r="Z255" t="str">
            <v>CN</v>
          </cell>
          <cell r="AA255">
            <v>8</v>
          </cell>
          <cell r="AB255">
            <v>8</v>
          </cell>
          <cell r="AC255">
            <v>8</v>
          </cell>
          <cell r="AD255">
            <v>8</v>
          </cell>
          <cell r="AE255">
            <v>8</v>
          </cell>
          <cell r="AF255" t="str">
            <v>PO</v>
          </cell>
          <cell r="AG255" t="str">
            <v>CN</v>
          </cell>
          <cell r="AH255">
            <v>8</v>
          </cell>
          <cell r="AI255">
            <v>8</v>
          </cell>
          <cell r="AJ255">
            <v>8</v>
          </cell>
          <cell r="AN255">
            <v>0</v>
          </cell>
          <cell r="AO255">
            <v>160</v>
          </cell>
          <cell r="AP255">
            <v>0</v>
          </cell>
          <cell r="AQ255">
            <v>0</v>
          </cell>
          <cell r="AR255">
            <v>0</v>
          </cell>
          <cell r="AS255">
            <v>0</v>
          </cell>
          <cell r="AT255">
            <v>0</v>
          </cell>
          <cell r="AU255">
            <v>0</v>
          </cell>
          <cell r="AV255">
            <v>32</v>
          </cell>
          <cell r="AW255">
            <v>0</v>
          </cell>
          <cell r="AX255">
            <v>0</v>
          </cell>
          <cell r="AY255">
            <v>0</v>
          </cell>
          <cell r="AZ255">
            <v>0</v>
          </cell>
          <cell r="BA255">
            <v>0</v>
          </cell>
          <cell r="BB255">
            <v>0</v>
          </cell>
          <cell r="BC255">
            <v>0</v>
          </cell>
          <cell r="BD255">
            <v>0</v>
          </cell>
          <cell r="BE255">
            <v>0</v>
          </cell>
          <cell r="BF255">
            <v>0</v>
          </cell>
          <cell r="BG255">
            <v>192</v>
          </cell>
          <cell r="BH255">
            <v>0</v>
          </cell>
          <cell r="BI255">
            <v>0</v>
          </cell>
          <cell r="BJ255">
            <v>6</v>
          </cell>
          <cell r="BL255">
            <v>2.5</v>
          </cell>
          <cell r="BM255">
            <v>1.5</v>
          </cell>
          <cell r="BN255">
            <v>0</v>
          </cell>
          <cell r="BO255">
            <v>0</v>
          </cell>
          <cell r="BP255">
            <v>3</v>
          </cell>
          <cell r="BQ255">
            <v>2.25</v>
          </cell>
          <cell r="BR255">
            <v>3</v>
          </cell>
          <cell r="BS255">
            <v>2.75</v>
          </cell>
          <cell r="BT255">
            <v>0</v>
          </cell>
          <cell r="BU255">
            <v>0</v>
          </cell>
          <cell r="BV255">
            <v>0</v>
          </cell>
          <cell r="BW255">
            <v>2.5</v>
          </cell>
          <cell r="BX255">
            <v>2.5</v>
          </cell>
          <cell r="BY255">
            <v>3</v>
          </cell>
          <cell r="BZ255">
            <v>1.75</v>
          </cell>
          <cell r="CA255">
            <v>2.25</v>
          </cell>
          <cell r="CB255">
            <v>0</v>
          </cell>
          <cell r="CC255">
            <v>0</v>
          </cell>
          <cell r="CD255">
            <v>0</v>
          </cell>
          <cell r="CE255">
            <v>2.25</v>
          </cell>
          <cell r="CF255">
            <v>2.75</v>
          </cell>
          <cell r="CG255">
            <v>1</v>
          </cell>
          <cell r="CH255">
            <v>1</v>
          </cell>
          <cell r="CI255">
            <v>0</v>
          </cell>
          <cell r="CJ255">
            <v>0</v>
          </cell>
          <cell r="CK255">
            <v>1.5</v>
          </cell>
          <cell r="CL255">
            <v>1.5</v>
          </cell>
          <cell r="CM255">
            <v>0</v>
          </cell>
          <cell r="CR255">
            <v>0</v>
          </cell>
          <cell r="CS255">
            <v>0</v>
          </cell>
          <cell r="CT255">
            <v>37</v>
          </cell>
          <cell r="CU255">
            <v>0</v>
          </cell>
          <cell r="CV255">
            <v>0</v>
          </cell>
          <cell r="CZ255">
            <v>37</v>
          </cell>
        </row>
        <row r="256">
          <cell r="C256" t="str">
            <v>02239</v>
          </cell>
          <cell r="D256" t="str">
            <v>Lê Phong Nhã</v>
          </cell>
          <cell r="E256" t="str">
            <v>Foaming</v>
          </cell>
          <cell r="F256" t="str">
            <v>FOAMING Production control</v>
          </cell>
          <cell r="G256" t="str">
            <v>Group Leader</v>
          </cell>
          <cell r="H256">
            <v>43903</v>
          </cell>
          <cell r="I256">
            <v>8</v>
          </cell>
          <cell r="J256">
            <v>8</v>
          </cell>
          <cell r="K256" t="str">
            <v>PO</v>
          </cell>
          <cell r="L256" t="str">
            <v>CN</v>
          </cell>
          <cell r="M256">
            <v>8</v>
          </cell>
          <cell r="N256">
            <v>8</v>
          </cell>
          <cell r="O256">
            <v>8</v>
          </cell>
          <cell r="P256">
            <v>8</v>
          </cell>
          <cell r="Q256" t="str">
            <v>PO</v>
          </cell>
          <cell r="R256" t="str">
            <v>PO</v>
          </cell>
          <cell r="S256" t="str">
            <v>CN</v>
          </cell>
          <cell r="T256">
            <v>8</v>
          </cell>
          <cell r="U256">
            <v>8</v>
          </cell>
          <cell r="V256">
            <v>8</v>
          </cell>
          <cell r="W256">
            <v>8</v>
          </cell>
          <cell r="X256">
            <v>8</v>
          </cell>
          <cell r="Y256" t="str">
            <v>PO</v>
          </cell>
          <cell r="Z256" t="str">
            <v>CN</v>
          </cell>
          <cell r="AA256">
            <v>8</v>
          </cell>
          <cell r="AB256">
            <v>8</v>
          </cell>
          <cell r="AC256">
            <v>8</v>
          </cell>
          <cell r="AD256">
            <v>8</v>
          </cell>
          <cell r="AE256">
            <v>8</v>
          </cell>
          <cell r="AF256" t="str">
            <v>PO</v>
          </cell>
          <cell r="AG256" t="str">
            <v>CN</v>
          </cell>
          <cell r="AH256">
            <v>8</v>
          </cell>
          <cell r="AI256">
            <v>8</v>
          </cell>
          <cell r="AJ256">
            <v>8</v>
          </cell>
          <cell r="AN256">
            <v>0</v>
          </cell>
          <cell r="AO256">
            <v>152</v>
          </cell>
          <cell r="AP256">
            <v>0</v>
          </cell>
          <cell r="AQ256">
            <v>0</v>
          </cell>
          <cell r="AR256">
            <v>0</v>
          </cell>
          <cell r="AS256">
            <v>0</v>
          </cell>
          <cell r="AT256">
            <v>0</v>
          </cell>
          <cell r="AU256">
            <v>0</v>
          </cell>
          <cell r="AV256">
            <v>40</v>
          </cell>
          <cell r="AW256">
            <v>0</v>
          </cell>
          <cell r="AX256">
            <v>0</v>
          </cell>
          <cell r="AY256">
            <v>0</v>
          </cell>
          <cell r="AZ256">
            <v>0</v>
          </cell>
          <cell r="BA256">
            <v>0</v>
          </cell>
          <cell r="BB256">
            <v>0</v>
          </cell>
          <cell r="BC256">
            <v>0</v>
          </cell>
          <cell r="BD256">
            <v>0</v>
          </cell>
          <cell r="BE256">
            <v>0</v>
          </cell>
          <cell r="BF256">
            <v>0</v>
          </cell>
          <cell r="BG256">
            <v>192</v>
          </cell>
          <cell r="BH256">
            <v>0</v>
          </cell>
          <cell r="BI256">
            <v>0</v>
          </cell>
          <cell r="BJ256">
            <v>8.5</v>
          </cell>
          <cell r="BL256">
            <v>0</v>
          </cell>
          <cell r="BM256">
            <v>0</v>
          </cell>
          <cell r="BN256">
            <v>0</v>
          </cell>
          <cell r="BO256">
            <v>0</v>
          </cell>
          <cell r="BP256">
            <v>0</v>
          </cell>
          <cell r="BQ256">
            <v>0</v>
          </cell>
          <cell r="BR256">
            <v>0.5</v>
          </cell>
          <cell r="BS256">
            <v>0</v>
          </cell>
          <cell r="BT256">
            <v>0</v>
          </cell>
          <cell r="BU256">
            <v>0</v>
          </cell>
          <cell r="BV256">
            <v>0</v>
          </cell>
          <cell r="BW256">
            <v>0</v>
          </cell>
          <cell r="BX256">
            <v>0</v>
          </cell>
          <cell r="BY256">
            <v>0</v>
          </cell>
          <cell r="BZ256">
            <v>0</v>
          </cell>
          <cell r="CA256">
            <v>0</v>
          </cell>
          <cell r="CB256">
            <v>0</v>
          </cell>
          <cell r="CC256">
            <v>0</v>
          </cell>
          <cell r="CD256">
            <v>0</v>
          </cell>
          <cell r="CE256">
            <v>0</v>
          </cell>
          <cell r="CF256">
            <v>0.5</v>
          </cell>
          <cell r="CG256">
            <v>0</v>
          </cell>
          <cell r="CH256">
            <v>0</v>
          </cell>
          <cell r="CI256">
            <v>0</v>
          </cell>
          <cell r="CJ256">
            <v>0</v>
          </cell>
          <cell r="CK256">
            <v>0</v>
          </cell>
          <cell r="CL256">
            <v>0</v>
          </cell>
          <cell r="CM256">
            <v>0</v>
          </cell>
          <cell r="CR256">
            <v>0</v>
          </cell>
          <cell r="CS256">
            <v>0</v>
          </cell>
          <cell r="CT256">
            <v>1</v>
          </cell>
          <cell r="CU256">
            <v>0</v>
          </cell>
          <cell r="CV256">
            <v>0</v>
          </cell>
          <cell r="CZ256">
            <v>1</v>
          </cell>
        </row>
        <row r="257">
          <cell r="C257" t="str">
            <v>02244</v>
          </cell>
          <cell r="D257" t="str">
            <v>Danh Xà Phện</v>
          </cell>
          <cell r="E257" t="str">
            <v>Production</v>
          </cell>
          <cell r="F257" t="str">
            <v>Die Cut</v>
          </cell>
          <cell r="G257" t="str">
            <v>Worker</v>
          </cell>
          <cell r="H257">
            <v>43903</v>
          </cell>
          <cell r="I257" t="str">
            <v>Đ</v>
          </cell>
          <cell r="J257" t="str">
            <v>Đ</v>
          </cell>
          <cell r="K257" t="str">
            <v>Đ</v>
          </cell>
          <cell r="L257" t="str">
            <v>CN</v>
          </cell>
          <cell r="M257">
            <v>8</v>
          </cell>
          <cell r="N257" t="str">
            <v>AL8</v>
          </cell>
          <cell r="O257">
            <v>8</v>
          </cell>
          <cell r="P257">
            <v>8</v>
          </cell>
          <cell r="Q257">
            <v>8</v>
          </cell>
          <cell r="R257">
            <v>8</v>
          </cell>
          <cell r="S257" t="str">
            <v>CN</v>
          </cell>
          <cell r="T257" t="str">
            <v>Đ</v>
          </cell>
          <cell r="U257" t="str">
            <v>Đ</v>
          </cell>
          <cell r="V257" t="str">
            <v>Đ</v>
          </cell>
          <cell r="W257" t="str">
            <v>Đ</v>
          </cell>
          <cell r="X257" t="str">
            <v>AL8</v>
          </cell>
          <cell r="Y257" t="str">
            <v>AL4/UP4</v>
          </cell>
          <cell r="Z257" t="str">
            <v>CN</v>
          </cell>
          <cell r="AA257">
            <v>8</v>
          </cell>
          <cell r="AB257">
            <v>8</v>
          </cell>
          <cell r="AC257">
            <v>8</v>
          </cell>
          <cell r="AD257">
            <v>8</v>
          </cell>
          <cell r="AE257">
            <v>8</v>
          </cell>
          <cell r="AF257">
            <v>8</v>
          </cell>
          <cell r="AG257" t="str">
            <v>CN</v>
          </cell>
          <cell r="AH257" t="str">
            <v>Đ</v>
          </cell>
          <cell r="AI257" t="str">
            <v>Đ</v>
          </cell>
          <cell r="AJ257" t="str">
            <v>Đ</v>
          </cell>
          <cell r="AN257">
            <v>80</v>
          </cell>
          <cell r="AO257">
            <v>88</v>
          </cell>
          <cell r="AP257">
            <v>0</v>
          </cell>
          <cell r="AQ257">
            <v>0</v>
          </cell>
          <cell r="AR257">
            <v>0</v>
          </cell>
          <cell r="AS257">
            <v>4</v>
          </cell>
          <cell r="AT257">
            <v>0</v>
          </cell>
          <cell r="AU257">
            <v>0</v>
          </cell>
          <cell r="AV257">
            <v>0</v>
          </cell>
          <cell r="AW257">
            <v>0</v>
          </cell>
          <cell r="AX257">
            <v>0</v>
          </cell>
          <cell r="AY257">
            <v>0</v>
          </cell>
          <cell r="AZ257">
            <v>0</v>
          </cell>
          <cell r="BA257">
            <v>20</v>
          </cell>
          <cell r="BB257">
            <v>0</v>
          </cell>
          <cell r="BC257">
            <v>0</v>
          </cell>
          <cell r="BD257">
            <v>0</v>
          </cell>
          <cell r="BE257">
            <v>0</v>
          </cell>
          <cell r="BF257">
            <v>0</v>
          </cell>
          <cell r="BG257">
            <v>188</v>
          </cell>
          <cell r="BH257">
            <v>2.5</v>
          </cell>
          <cell r="BI257">
            <v>2.5</v>
          </cell>
          <cell r="BJ257">
            <v>0</v>
          </cell>
          <cell r="BL257">
            <v>1.5</v>
          </cell>
          <cell r="BM257">
            <v>1.5</v>
          </cell>
          <cell r="BN257">
            <v>1.5</v>
          </cell>
          <cell r="BO257">
            <v>0</v>
          </cell>
          <cell r="BP257">
            <v>1.5</v>
          </cell>
          <cell r="BQ257">
            <v>2</v>
          </cell>
          <cell r="BR257">
            <v>0</v>
          </cell>
          <cell r="BS257">
            <v>3</v>
          </cell>
          <cell r="BT257">
            <v>3</v>
          </cell>
          <cell r="BU257">
            <v>2.5</v>
          </cell>
          <cell r="BV257">
            <v>0</v>
          </cell>
          <cell r="BW257">
            <v>4</v>
          </cell>
          <cell r="BX257">
            <v>4</v>
          </cell>
          <cell r="BY257">
            <v>4</v>
          </cell>
          <cell r="BZ257">
            <v>4</v>
          </cell>
          <cell r="CA257">
            <v>0</v>
          </cell>
          <cell r="CB257">
            <v>0</v>
          </cell>
          <cell r="CC257">
            <v>0</v>
          </cell>
          <cell r="CD257">
            <v>3</v>
          </cell>
          <cell r="CE257">
            <v>3</v>
          </cell>
          <cell r="CF257">
            <v>3</v>
          </cell>
          <cell r="CG257">
            <v>3</v>
          </cell>
          <cell r="CH257">
            <v>3</v>
          </cell>
          <cell r="CI257">
            <v>3</v>
          </cell>
          <cell r="CJ257">
            <v>8</v>
          </cell>
          <cell r="CK257">
            <v>4</v>
          </cell>
          <cell r="CL257">
            <v>4</v>
          </cell>
          <cell r="CM257">
            <v>4</v>
          </cell>
          <cell r="CR257">
            <v>0</v>
          </cell>
          <cell r="CS257">
            <v>0</v>
          </cell>
          <cell r="CT257">
            <v>62.5</v>
          </cell>
          <cell r="CU257">
            <v>8</v>
          </cell>
          <cell r="CV257">
            <v>0</v>
          </cell>
          <cell r="CZ257">
            <v>70.5</v>
          </cell>
        </row>
        <row r="258">
          <cell r="C258" t="str">
            <v>02249</v>
          </cell>
          <cell r="D258" t="str">
            <v>Đỗ Thị Cẩm Hường</v>
          </cell>
          <cell r="E258" t="str">
            <v>Production</v>
          </cell>
          <cell r="F258" t="str">
            <v>Die Cut</v>
          </cell>
          <cell r="G258" t="str">
            <v>Worker</v>
          </cell>
          <cell r="H258">
            <v>43916</v>
          </cell>
          <cell r="I258">
            <v>8</v>
          </cell>
          <cell r="J258">
            <v>8</v>
          </cell>
          <cell r="K258">
            <v>8</v>
          </cell>
          <cell r="L258" t="str">
            <v>CN</v>
          </cell>
          <cell r="M258" t="str">
            <v>Đ</v>
          </cell>
          <cell r="N258" t="str">
            <v>Đ</v>
          </cell>
          <cell r="O258" t="str">
            <v>Đ</v>
          </cell>
          <cell r="P258" t="str">
            <v>Đ</v>
          </cell>
          <cell r="Q258" t="str">
            <v>Đ</v>
          </cell>
          <cell r="R258" t="str">
            <v>Đ</v>
          </cell>
          <cell r="S258" t="str">
            <v>CN</v>
          </cell>
          <cell r="T258">
            <v>8</v>
          </cell>
          <cell r="U258">
            <v>8</v>
          </cell>
          <cell r="V258">
            <v>8</v>
          </cell>
          <cell r="W258">
            <v>8</v>
          </cell>
          <cell r="X258">
            <v>8</v>
          </cell>
          <cell r="Y258">
            <v>8</v>
          </cell>
          <cell r="Z258" t="str">
            <v>CN</v>
          </cell>
          <cell r="AA258" t="str">
            <v>SL</v>
          </cell>
          <cell r="AB258" t="str">
            <v>SL</v>
          </cell>
          <cell r="AC258" t="str">
            <v>SL</v>
          </cell>
          <cell r="AD258" t="str">
            <v>SL</v>
          </cell>
          <cell r="AE258" t="str">
            <v>SL</v>
          </cell>
          <cell r="AF258" t="str">
            <v>SL</v>
          </cell>
          <cell r="AG258" t="str">
            <v>CN</v>
          </cell>
          <cell r="AH258" t="str">
            <v>SL</v>
          </cell>
          <cell r="AI258" t="str">
            <v>SL</v>
          </cell>
          <cell r="AJ258" t="str">
            <v>SL</v>
          </cell>
          <cell r="AN258">
            <v>48</v>
          </cell>
          <cell r="AO258">
            <v>72</v>
          </cell>
          <cell r="AP258">
            <v>0</v>
          </cell>
          <cell r="AQ258">
            <v>9</v>
          </cell>
          <cell r="AR258">
            <v>0</v>
          </cell>
          <cell r="AS258">
            <v>0</v>
          </cell>
          <cell r="AT258">
            <v>0</v>
          </cell>
          <cell r="AU258">
            <v>0</v>
          </cell>
          <cell r="AV258">
            <v>0</v>
          </cell>
          <cell r="AW258">
            <v>0</v>
          </cell>
          <cell r="AX258">
            <v>0</v>
          </cell>
          <cell r="AY258">
            <v>0</v>
          </cell>
          <cell r="AZ258">
            <v>0</v>
          </cell>
          <cell r="BA258">
            <v>0</v>
          </cell>
          <cell r="BB258">
            <v>0</v>
          </cell>
          <cell r="BC258">
            <v>0</v>
          </cell>
          <cell r="BD258">
            <v>0</v>
          </cell>
          <cell r="BE258">
            <v>0</v>
          </cell>
          <cell r="BF258">
            <v>0</v>
          </cell>
          <cell r="BG258">
            <v>120</v>
          </cell>
          <cell r="BH258">
            <v>0</v>
          </cell>
          <cell r="BI258">
            <v>0</v>
          </cell>
          <cell r="BJ258">
            <v>3.5</v>
          </cell>
          <cell r="BL258">
            <v>0</v>
          </cell>
          <cell r="BM258">
            <v>0</v>
          </cell>
          <cell r="BN258">
            <v>1.5</v>
          </cell>
          <cell r="BO258">
            <v>0</v>
          </cell>
          <cell r="BP258">
            <v>1.5</v>
          </cell>
          <cell r="BQ258">
            <v>3</v>
          </cell>
          <cell r="BR258">
            <v>0</v>
          </cell>
          <cell r="BS258">
            <v>3</v>
          </cell>
          <cell r="BT258">
            <v>3</v>
          </cell>
          <cell r="BU258">
            <v>0</v>
          </cell>
          <cell r="BV258">
            <v>0</v>
          </cell>
          <cell r="BW258">
            <v>3</v>
          </cell>
          <cell r="BX258">
            <v>3</v>
          </cell>
          <cell r="BY258">
            <v>3</v>
          </cell>
          <cell r="BZ258">
            <v>3</v>
          </cell>
          <cell r="CA258">
            <v>3</v>
          </cell>
          <cell r="CB258">
            <v>3</v>
          </cell>
          <cell r="CC258">
            <v>8</v>
          </cell>
          <cell r="CD258">
            <v>0</v>
          </cell>
          <cell r="CE258">
            <v>0</v>
          </cell>
          <cell r="CF258">
            <v>0</v>
          </cell>
          <cell r="CG258">
            <v>0</v>
          </cell>
          <cell r="CH258">
            <v>0</v>
          </cell>
          <cell r="CI258">
            <v>0</v>
          </cell>
          <cell r="CJ258">
            <v>0</v>
          </cell>
          <cell r="CK258">
            <v>0</v>
          </cell>
          <cell r="CL258">
            <v>0</v>
          </cell>
          <cell r="CM258">
            <v>0</v>
          </cell>
          <cell r="CR258">
            <v>0</v>
          </cell>
          <cell r="CS258">
            <v>0</v>
          </cell>
          <cell r="CT258">
            <v>30</v>
          </cell>
          <cell r="CU258">
            <v>8</v>
          </cell>
          <cell r="CV258">
            <v>0</v>
          </cell>
          <cell r="CZ258">
            <v>38</v>
          </cell>
        </row>
        <row r="259">
          <cell r="C259" t="str">
            <v>02260</v>
          </cell>
          <cell r="D259" t="str">
            <v>Nguyễn Thị Kim Anh</v>
          </cell>
          <cell r="E259" t="str">
            <v>Purchasing</v>
          </cell>
          <cell r="F259" t="str">
            <v>Purchasing</v>
          </cell>
          <cell r="G259" t="str">
            <v>Senior Staff</v>
          </cell>
          <cell r="H259">
            <v>43927</v>
          </cell>
          <cell r="I259">
            <v>8</v>
          </cell>
          <cell r="J259">
            <v>8</v>
          </cell>
          <cell r="K259" t="str">
            <v>PO</v>
          </cell>
          <cell r="L259" t="str">
            <v>CN</v>
          </cell>
          <cell r="M259">
            <v>8</v>
          </cell>
          <cell r="N259">
            <v>8</v>
          </cell>
          <cell r="O259">
            <v>8</v>
          </cell>
          <cell r="P259">
            <v>8</v>
          </cell>
          <cell r="Q259">
            <v>8</v>
          </cell>
          <cell r="R259" t="str">
            <v>PO</v>
          </cell>
          <cell r="S259" t="str">
            <v>CN</v>
          </cell>
          <cell r="T259">
            <v>8</v>
          </cell>
          <cell r="U259">
            <v>8</v>
          </cell>
          <cell r="V259">
            <v>8</v>
          </cell>
          <cell r="W259" t="str">
            <v>WH</v>
          </cell>
          <cell r="X259">
            <v>8</v>
          </cell>
          <cell r="Y259" t="str">
            <v>PO</v>
          </cell>
          <cell r="Z259" t="str">
            <v>CN</v>
          </cell>
          <cell r="AA259">
            <v>8</v>
          </cell>
          <cell r="AB259">
            <v>8</v>
          </cell>
          <cell r="AC259">
            <v>8</v>
          </cell>
          <cell r="AD259">
            <v>8</v>
          </cell>
          <cell r="AE259">
            <v>8</v>
          </cell>
          <cell r="AF259" t="str">
            <v>PO</v>
          </cell>
          <cell r="AG259" t="str">
            <v>CN</v>
          </cell>
          <cell r="AH259">
            <v>8</v>
          </cell>
          <cell r="AI259">
            <v>8</v>
          </cell>
          <cell r="AJ259">
            <v>8</v>
          </cell>
          <cell r="AN259">
            <v>0</v>
          </cell>
          <cell r="AO259">
            <v>152</v>
          </cell>
          <cell r="AP259">
            <v>0</v>
          </cell>
          <cell r="AQ259">
            <v>0</v>
          </cell>
          <cell r="AR259">
            <v>0</v>
          </cell>
          <cell r="AS259">
            <v>0</v>
          </cell>
          <cell r="AT259">
            <v>0</v>
          </cell>
          <cell r="AU259">
            <v>0</v>
          </cell>
          <cell r="AV259">
            <v>32</v>
          </cell>
          <cell r="AW259">
            <v>0</v>
          </cell>
          <cell r="AX259">
            <v>0</v>
          </cell>
          <cell r="AY259">
            <v>0</v>
          </cell>
          <cell r="AZ259">
            <v>0</v>
          </cell>
          <cell r="BA259">
            <v>0</v>
          </cell>
          <cell r="BB259">
            <v>0</v>
          </cell>
          <cell r="BC259">
            <v>0</v>
          </cell>
          <cell r="BD259">
            <v>8</v>
          </cell>
          <cell r="BE259">
            <v>0</v>
          </cell>
          <cell r="BF259">
            <v>0</v>
          </cell>
          <cell r="BG259">
            <v>192</v>
          </cell>
          <cell r="BH259">
            <v>0</v>
          </cell>
          <cell r="BI259">
            <v>0</v>
          </cell>
          <cell r="BJ259">
            <v>8</v>
          </cell>
          <cell r="BL259">
            <v>0</v>
          </cell>
          <cell r="BM259">
            <v>0</v>
          </cell>
          <cell r="BN259">
            <v>0</v>
          </cell>
          <cell r="BO259">
            <v>0</v>
          </cell>
          <cell r="BP259">
            <v>4</v>
          </cell>
          <cell r="BQ259">
            <v>4</v>
          </cell>
          <cell r="BR259">
            <v>4</v>
          </cell>
          <cell r="BS259">
            <v>0</v>
          </cell>
          <cell r="BT259">
            <v>0</v>
          </cell>
          <cell r="BU259">
            <v>0</v>
          </cell>
          <cell r="BV259">
            <v>0</v>
          </cell>
          <cell r="BW259">
            <v>4</v>
          </cell>
          <cell r="BX259">
            <v>4</v>
          </cell>
          <cell r="BY259">
            <v>0</v>
          </cell>
          <cell r="BZ259">
            <v>0</v>
          </cell>
          <cell r="CA259">
            <v>4</v>
          </cell>
          <cell r="CB259">
            <v>0</v>
          </cell>
          <cell r="CC259">
            <v>0</v>
          </cell>
          <cell r="CD259">
            <v>4</v>
          </cell>
          <cell r="CE259">
            <v>4</v>
          </cell>
          <cell r="CF259">
            <v>3</v>
          </cell>
          <cell r="CG259">
            <v>0.5</v>
          </cell>
          <cell r="CH259">
            <v>0</v>
          </cell>
          <cell r="CI259">
            <v>0</v>
          </cell>
          <cell r="CJ259">
            <v>0</v>
          </cell>
          <cell r="CK259">
            <v>0</v>
          </cell>
          <cell r="CL259">
            <v>0</v>
          </cell>
          <cell r="CM259">
            <v>0</v>
          </cell>
          <cell r="CR259">
            <v>0</v>
          </cell>
          <cell r="CS259">
            <v>0</v>
          </cell>
          <cell r="CT259">
            <v>35.5</v>
          </cell>
          <cell r="CU259">
            <v>0</v>
          </cell>
          <cell r="CV259">
            <v>0</v>
          </cell>
          <cell r="CZ259">
            <v>35.5</v>
          </cell>
        </row>
        <row r="260">
          <cell r="C260" t="str">
            <v>02262</v>
          </cell>
          <cell r="D260" t="str">
            <v>Nguyễn Văn Thủy</v>
          </cell>
          <cell r="E260" t="str">
            <v xml:space="preserve">EHS &amp; Facilities </v>
          </cell>
          <cell r="F260" t="str">
            <v>EHS</v>
          </cell>
          <cell r="G260" t="str">
            <v>Staff</v>
          </cell>
          <cell r="H260">
            <v>43929</v>
          </cell>
          <cell r="I260">
            <v>8</v>
          </cell>
          <cell r="J260">
            <v>8</v>
          </cell>
          <cell r="K260" t="str">
            <v>PO</v>
          </cell>
          <cell r="L260" t="str">
            <v>CN</v>
          </cell>
          <cell r="M260">
            <v>8</v>
          </cell>
          <cell r="N260">
            <v>8</v>
          </cell>
          <cell r="O260">
            <v>8</v>
          </cell>
          <cell r="P260">
            <v>8</v>
          </cell>
          <cell r="Q260">
            <v>8</v>
          </cell>
          <cell r="R260" t="str">
            <v>PO</v>
          </cell>
          <cell r="S260" t="str">
            <v>CN</v>
          </cell>
          <cell r="T260">
            <v>8</v>
          </cell>
          <cell r="U260">
            <v>8</v>
          </cell>
          <cell r="V260">
            <v>8</v>
          </cell>
          <cell r="W260">
            <v>8</v>
          </cell>
          <cell r="X260">
            <v>8</v>
          </cell>
          <cell r="Y260" t="str">
            <v>PO</v>
          </cell>
          <cell r="Z260" t="str">
            <v>CN</v>
          </cell>
          <cell r="AA260">
            <v>8</v>
          </cell>
          <cell r="AB260">
            <v>8</v>
          </cell>
          <cell r="AC260">
            <v>8</v>
          </cell>
          <cell r="AD260">
            <v>8</v>
          </cell>
          <cell r="AE260">
            <v>8</v>
          </cell>
          <cell r="AF260" t="str">
            <v>PO</v>
          </cell>
          <cell r="AG260" t="str">
            <v>CN</v>
          </cell>
          <cell r="AH260">
            <v>8</v>
          </cell>
          <cell r="AI260">
            <v>8</v>
          </cell>
          <cell r="AJ260">
            <v>8</v>
          </cell>
          <cell r="AN260">
            <v>0</v>
          </cell>
          <cell r="AO260">
            <v>160</v>
          </cell>
          <cell r="AP260">
            <v>0</v>
          </cell>
          <cell r="AQ260">
            <v>0</v>
          </cell>
          <cell r="AR260">
            <v>0</v>
          </cell>
          <cell r="AS260">
            <v>0</v>
          </cell>
          <cell r="AT260">
            <v>0</v>
          </cell>
          <cell r="AU260">
            <v>0</v>
          </cell>
          <cell r="AV260">
            <v>32</v>
          </cell>
          <cell r="AW260">
            <v>0</v>
          </cell>
          <cell r="AX260">
            <v>0</v>
          </cell>
          <cell r="AY260">
            <v>0</v>
          </cell>
          <cell r="AZ260">
            <v>0</v>
          </cell>
          <cell r="BA260">
            <v>0</v>
          </cell>
          <cell r="BB260">
            <v>0</v>
          </cell>
          <cell r="BC260">
            <v>0</v>
          </cell>
          <cell r="BD260">
            <v>0</v>
          </cell>
          <cell r="BE260">
            <v>0</v>
          </cell>
          <cell r="BF260">
            <v>0</v>
          </cell>
          <cell r="BG260">
            <v>192</v>
          </cell>
          <cell r="BH260">
            <v>0</v>
          </cell>
          <cell r="BI260">
            <v>0</v>
          </cell>
          <cell r="BJ260">
            <v>11.5</v>
          </cell>
          <cell r="BL260">
            <v>0</v>
          </cell>
          <cell r="BM260">
            <v>0</v>
          </cell>
          <cell r="BN260">
            <v>0</v>
          </cell>
          <cell r="BO260">
            <v>0</v>
          </cell>
          <cell r="BP260">
            <v>0</v>
          </cell>
          <cell r="BQ260">
            <v>0</v>
          </cell>
          <cell r="BR260">
            <v>0</v>
          </cell>
          <cell r="BS260">
            <v>0</v>
          </cell>
          <cell r="BT260">
            <v>0</v>
          </cell>
          <cell r="BU260">
            <v>0</v>
          </cell>
          <cell r="BV260">
            <v>0</v>
          </cell>
          <cell r="BW260">
            <v>0</v>
          </cell>
          <cell r="BX260">
            <v>0</v>
          </cell>
          <cell r="BY260">
            <v>0</v>
          </cell>
          <cell r="BZ260">
            <v>0</v>
          </cell>
          <cell r="CA260">
            <v>0</v>
          </cell>
          <cell r="CB260">
            <v>0</v>
          </cell>
          <cell r="CC260">
            <v>0</v>
          </cell>
          <cell r="CD260">
            <v>0</v>
          </cell>
          <cell r="CE260">
            <v>0</v>
          </cell>
          <cell r="CF260">
            <v>0</v>
          </cell>
          <cell r="CG260">
            <v>0</v>
          </cell>
          <cell r="CH260">
            <v>0</v>
          </cell>
          <cell r="CI260">
            <v>0</v>
          </cell>
          <cell r="CJ260">
            <v>0</v>
          </cell>
          <cell r="CK260">
            <v>0</v>
          </cell>
          <cell r="CL260">
            <v>0</v>
          </cell>
          <cell r="CM260">
            <v>0</v>
          </cell>
          <cell r="CR260">
            <v>0</v>
          </cell>
          <cell r="CS260">
            <v>0</v>
          </cell>
          <cell r="CT260">
            <v>0</v>
          </cell>
          <cell r="CU260">
            <v>0</v>
          </cell>
          <cell r="CV260">
            <v>0</v>
          </cell>
          <cell r="CZ260">
            <v>0</v>
          </cell>
        </row>
        <row r="261">
          <cell r="C261" t="str">
            <v>02265</v>
          </cell>
          <cell r="D261" t="str">
            <v>Nguyễn Ngọc Liên</v>
          </cell>
          <cell r="E261" t="str">
            <v>Production</v>
          </cell>
          <cell r="F261" t="str">
            <v>Packing</v>
          </cell>
          <cell r="G261" t="str">
            <v>Worker</v>
          </cell>
          <cell r="H261">
            <v>43934</v>
          </cell>
          <cell r="I261">
            <v>8</v>
          </cell>
          <cell r="J261">
            <v>8</v>
          </cell>
          <cell r="K261" t="str">
            <v>AL4</v>
          </cell>
          <cell r="L261" t="str">
            <v>CN</v>
          </cell>
          <cell r="M261" t="str">
            <v>AL8</v>
          </cell>
          <cell r="N261">
            <v>8</v>
          </cell>
          <cell r="O261">
            <v>8</v>
          </cell>
          <cell r="P261" t="str">
            <v>BS</v>
          </cell>
          <cell r="Q261">
            <v>8</v>
          </cell>
          <cell r="R261">
            <v>8</v>
          </cell>
          <cell r="S261" t="str">
            <v>CN</v>
          </cell>
          <cell r="T261" t="str">
            <v>BS</v>
          </cell>
          <cell r="U261" t="str">
            <v>BS</v>
          </cell>
          <cell r="V261" t="str">
            <v>BS</v>
          </cell>
          <cell r="W261" t="str">
            <v>BS</v>
          </cell>
          <cell r="X261" t="str">
            <v>BS</v>
          </cell>
          <cell r="Y261">
            <v>8</v>
          </cell>
          <cell r="Z261" t="str">
            <v>CN</v>
          </cell>
          <cell r="AA261">
            <v>8</v>
          </cell>
          <cell r="AB261">
            <v>8</v>
          </cell>
          <cell r="AC261">
            <v>8</v>
          </cell>
          <cell r="AD261">
            <v>8</v>
          </cell>
          <cell r="AE261" t="str">
            <v>BS</v>
          </cell>
          <cell r="AF261">
            <v>8</v>
          </cell>
          <cell r="AG261" t="str">
            <v>CN</v>
          </cell>
          <cell r="AH261" t="str">
            <v>BS</v>
          </cell>
          <cell r="AI261">
            <v>8</v>
          </cell>
          <cell r="AJ261" t="str">
            <v>BS</v>
          </cell>
          <cell r="AN261">
            <v>0</v>
          </cell>
          <cell r="AO261">
            <v>108</v>
          </cell>
          <cell r="AP261">
            <v>4</v>
          </cell>
          <cell r="AQ261">
            <v>0</v>
          </cell>
          <cell r="AR261">
            <v>0</v>
          </cell>
          <cell r="AS261">
            <v>0</v>
          </cell>
          <cell r="AT261">
            <v>0</v>
          </cell>
          <cell r="AU261">
            <v>72</v>
          </cell>
          <cell r="AV261">
            <v>0</v>
          </cell>
          <cell r="AW261">
            <v>0</v>
          </cell>
          <cell r="AX261">
            <v>0</v>
          </cell>
          <cell r="AY261">
            <v>0</v>
          </cell>
          <cell r="AZ261">
            <v>0</v>
          </cell>
          <cell r="BA261">
            <v>12</v>
          </cell>
          <cell r="BB261">
            <v>0</v>
          </cell>
          <cell r="BC261">
            <v>0</v>
          </cell>
          <cell r="BD261">
            <v>0</v>
          </cell>
          <cell r="BE261">
            <v>0</v>
          </cell>
          <cell r="BF261">
            <v>0</v>
          </cell>
          <cell r="BG261">
            <v>192</v>
          </cell>
          <cell r="BH261">
            <v>1.5</v>
          </cell>
          <cell r="BI261">
            <v>1.5</v>
          </cell>
          <cell r="BJ261">
            <v>6.5</v>
          </cell>
          <cell r="BL261">
            <v>0</v>
          </cell>
          <cell r="BM261">
            <v>1.5</v>
          </cell>
          <cell r="BN261">
            <v>0</v>
          </cell>
          <cell r="BO261">
            <v>0</v>
          </cell>
          <cell r="BP261">
            <v>0</v>
          </cell>
          <cell r="BQ261">
            <v>1.5</v>
          </cell>
          <cell r="BR261">
            <v>0</v>
          </cell>
          <cell r="BS261">
            <v>1</v>
          </cell>
          <cell r="BT261">
            <v>3</v>
          </cell>
          <cell r="BU261">
            <v>3</v>
          </cell>
          <cell r="BV261">
            <v>0</v>
          </cell>
          <cell r="BW261">
            <v>0</v>
          </cell>
          <cell r="BX261">
            <v>0</v>
          </cell>
          <cell r="BY261">
            <v>0</v>
          </cell>
          <cell r="BZ261">
            <v>0</v>
          </cell>
          <cell r="CA261">
            <v>0</v>
          </cell>
          <cell r="CB261">
            <v>3</v>
          </cell>
          <cell r="CC261">
            <v>8</v>
          </cell>
          <cell r="CD261">
            <v>3</v>
          </cell>
          <cell r="CE261">
            <v>3</v>
          </cell>
          <cell r="CF261">
            <v>3</v>
          </cell>
          <cell r="CG261">
            <v>3</v>
          </cell>
          <cell r="CH261">
            <v>0</v>
          </cell>
          <cell r="CI261">
            <v>3</v>
          </cell>
          <cell r="CJ261">
            <v>8</v>
          </cell>
          <cell r="CK261">
            <v>0</v>
          </cell>
          <cell r="CL261">
            <v>3</v>
          </cell>
          <cell r="CM261">
            <v>0</v>
          </cell>
          <cell r="CR261">
            <v>0</v>
          </cell>
          <cell r="CS261">
            <v>0</v>
          </cell>
          <cell r="CT261">
            <v>31</v>
          </cell>
          <cell r="CU261">
            <v>16</v>
          </cell>
          <cell r="CV261">
            <v>0</v>
          </cell>
          <cell r="CZ261">
            <v>47</v>
          </cell>
        </row>
        <row r="262">
          <cell r="C262" t="str">
            <v>02266</v>
          </cell>
          <cell r="D262" t="str">
            <v>Nguyễn Như Huỳnh</v>
          </cell>
          <cell r="E262" t="str">
            <v>Production</v>
          </cell>
          <cell r="F262" t="str">
            <v>Packing</v>
          </cell>
          <cell r="G262" t="str">
            <v>Worker</v>
          </cell>
          <cell r="H262">
            <v>43935</v>
          </cell>
          <cell r="I262">
            <v>8</v>
          </cell>
          <cell r="J262">
            <v>8</v>
          </cell>
          <cell r="K262">
            <v>8</v>
          </cell>
          <cell r="L262" t="str">
            <v>CN</v>
          </cell>
          <cell r="M262">
            <v>8</v>
          </cell>
          <cell r="N262">
            <v>8</v>
          </cell>
          <cell r="O262">
            <v>8</v>
          </cell>
          <cell r="P262">
            <v>8</v>
          </cell>
          <cell r="Q262" t="str">
            <v>PO</v>
          </cell>
          <cell r="R262" t="str">
            <v>AL8</v>
          </cell>
          <cell r="S262" t="str">
            <v>CN</v>
          </cell>
          <cell r="T262">
            <v>8</v>
          </cell>
          <cell r="U262">
            <v>8</v>
          </cell>
          <cell r="V262">
            <v>8</v>
          </cell>
          <cell r="W262">
            <v>8</v>
          </cell>
          <cell r="X262">
            <v>8</v>
          </cell>
          <cell r="Y262">
            <v>8</v>
          </cell>
          <cell r="Z262" t="str">
            <v>CN</v>
          </cell>
          <cell r="AA262">
            <v>8</v>
          </cell>
          <cell r="AB262">
            <v>8</v>
          </cell>
          <cell r="AC262">
            <v>8</v>
          </cell>
          <cell r="AD262">
            <v>8</v>
          </cell>
          <cell r="AE262">
            <v>8</v>
          </cell>
          <cell r="AF262">
            <v>8</v>
          </cell>
          <cell r="AG262" t="str">
            <v>CN</v>
          </cell>
          <cell r="AH262">
            <v>8</v>
          </cell>
          <cell r="AI262">
            <v>8</v>
          </cell>
          <cell r="AJ262">
            <v>8</v>
          </cell>
          <cell r="AN262">
            <v>0</v>
          </cell>
          <cell r="AO262">
            <v>176</v>
          </cell>
          <cell r="AP262">
            <v>0</v>
          </cell>
          <cell r="AQ262">
            <v>0</v>
          </cell>
          <cell r="AR262">
            <v>0</v>
          </cell>
          <cell r="AS262">
            <v>0</v>
          </cell>
          <cell r="AT262">
            <v>0</v>
          </cell>
          <cell r="AU262">
            <v>0</v>
          </cell>
          <cell r="AV262">
            <v>8</v>
          </cell>
          <cell r="AW262">
            <v>0</v>
          </cell>
          <cell r="AX262">
            <v>0</v>
          </cell>
          <cell r="AY262">
            <v>0</v>
          </cell>
          <cell r="AZ262">
            <v>0</v>
          </cell>
          <cell r="BA262">
            <v>8</v>
          </cell>
          <cell r="BB262">
            <v>0</v>
          </cell>
          <cell r="BC262">
            <v>0</v>
          </cell>
          <cell r="BD262">
            <v>0</v>
          </cell>
          <cell r="BE262">
            <v>0</v>
          </cell>
          <cell r="BF262">
            <v>0</v>
          </cell>
          <cell r="BG262">
            <v>192</v>
          </cell>
          <cell r="BH262">
            <v>1</v>
          </cell>
          <cell r="BI262">
            <v>1</v>
          </cell>
          <cell r="BJ262">
            <v>0</v>
          </cell>
          <cell r="BL262">
            <v>0</v>
          </cell>
          <cell r="BM262">
            <v>1.5</v>
          </cell>
          <cell r="BN262">
            <v>0</v>
          </cell>
          <cell r="BO262">
            <v>0</v>
          </cell>
          <cell r="BP262">
            <v>0</v>
          </cell>
          <cell r="BQ262">
            <v>0</v>
          </cell>
          <cell r="BR262">
            <v>0</v>
          </cell>
          <cell r="BS262">
            <v>0</v>
          </cell>
          <cell r="BT262">
            <v>0</v>
          </cell>
          <cell r="BU262">
            <v>0</v>
          </cell>
          <cell r="BV262">
            <v>0</v>
          </cell>
          <cell r="BW262">
            <v>0</v>
          </cell>
          <cell r="BX262">
            <v>0</v>
          </cell>
          <cell r="BY262">
            <v>0</v>
          </cell>
          <cell r="BZ262">
            <v>0</v>
          </cell>
          <cell r="CA262">
            <v>0</v>
          </cell>
          <cell r="CB262">
            <v>0</v>
          </cell>
          <cell r="CC262">
            <v>0</v>
          </cell>
          <cell r="CD262">
            <v>0</v>
          </cell>
          <cell r="CE262">
            <v>0</v>
          </cell>
          <cell r="CF262">
            <v>0</v>
          </cell>
          <cell r="CG262">
            <v>0</v>
          </cell>
          <cell r="CH262">
            <v>0</v>
          </cell>
          <cell r="CI262">
            <v>0</v>
          </cell>
          <cell r="CJ262">
            <v>0</v>
          </cell>
          <cell r="CK262">
            <v>0</v>
          </cell>
          <cell r="CL262">
            <v>0</v>
          </cell>
          <cell r="CM262">
            <v>0</v>
          </cell>
          <cell r="CR262">
            <v>0</v>
          </cell>
          <cell r="CS262">
            <v>0</v>
          </cell>
          <cell r="CT262">
            <v>1.5</v>
          </cell>
          <cell r="CU262">
            <v>0</v>
          </cell>
          <cell r="CV262">
            <v>0</v>
          </cell>
          <cell r="CZ262">
            <v>1.5</v>
          </cell>
        </row>
        <row r="263">
          <cell r="C263" t="str">
            <v>02269</v>
          </cell>
          <cell r="D263" t="str">
            <v>Lê Văn Nghĩa</v>
          </cell>
          <cell r="E263" t="str">
            <v xml:space="preserve">EHS &amp; Facilities </v>
          </cell>
          <cell r="F263" t="str">
            <v>Maintenance</v>
          </cell>
          <cell r="G263" t="str">
            <v>Technician</v>
          </cell>
          <cell r="H263">
            <v>43938</v>
          </cell>
          <cell r="I263" t="str">
            <v>Đ</v>
          </cell>
          <cell r="J263" t="str">
            <v>CN</v>
          </cell>
          <cell r="K263">
            <v>8</v>
          </cell>
          <cell r="L263">
            <v>8</v>
          </cell>
          <cell r="M263">
            <v>8</v>
          </cell>
          <cell r="N263">
            <v>8</v>
          </cell>
          <cell r="O263">
            <v>8</v>
          </cell>
          <cell r="P263">
            <v>8</v>
          </cell>
          <cell r="Q263" t="str">
            <v>CN</v>
          </cell>
          <cell r="R263">
            <v>8</v>
          </cell>
          <cell r="S263">
            <v>8</v>
          </cell>
          <cell r="T263">
            <v>8</v>
          </cell>
          <cell r="U263">
            <v>8</v>
          </cell>
          <cell r="V263">
            <v>8</v>
          </cell>
          <cell r="W263">
            <v>8</v>
          </cell>
          <cell r="X263" t="str">
            <v>CN</v>
          </cell>
          <cell r="Y263" t="str">
            <v>Đ</v>
          </cell>
          <cell r="Z263" t="str">
            <v>Đ</v>
          </cell>
          <cell r="AA263" t="str">
            <v>Đ</v>
          </cell>
          <cell r="AB263" t="str">
            <v>Đ</v>
          </cell>
          <cell r="AC263" t="str">
            <v>Đ</v>
          </cell>
          <cell r="AD263" t="str">
            <v>Đ</v>
          </cell>
          <cell r="AE263" t="str">
            <v>CN</v>
          </cell>
          <cell r="AF263">
            <v>8</v>
          </cell>
          <cell r="AG263">
            <v>8</v>
          </cell>
          <cell r="AH263">
            <v>8</v>
          </cell>
          <cell r="AI263">
            <v>8</v>
          </cell>
          <cell r="AJ263">
            <v>8</v>
          </cell>
          <cell r="AN263">
            <v>56</v>
          </cell>
          <cell r="AO263">
            <v>136</v>
          </cell>
          <cell r="AP263">
            <v>0</v>
          </cell>
          <cell r="AQ263">
            <v>0</v>
          </cell>
          <cell r="AR263">
            <v>0</v>
          </cell>
          <cell r="AS263">
            <v>0</v>
          </cell>
          <cell r="AT263">
            <v>0</v>
          </cell>
          <cell r="AU263">
            <v>0</v>
          </cell>
          <cell r="AV263">
            <v>0</v>
          </cell>
          <cell r="AW263">
            <v>0</v>
          </cell>
          <cell r="AX263">
            <v>0</v>
          </cell>
          <cell r="AY263">
            <v>0</v>
          </cell>
          <cell r="AZ263">
            <v>0</v>
          </cell>
          <cell r="BA263">
            <v>0</v>
          </cell>
          <cell r="BB263">
            <v>0</v>
          </cell>
          <cell r="BC263">
            <v>0</v>
          </cell>
          <cell r="BD263">
            <v>0</v>
          </cell>
          <cell r="BE263">
            <v>0</v>
          </cell>
          <cell r="BF263">
            <v>0</v>
          </cell>
          <cell r="BG263">
            <v>192</v>
          </cell>
          <cell r="BH263">
            <v>0</v>
          </cell>
          <cell r="BI263">
            <v>0</v>
          </cell>
          <cell r="BJ263">
            <v>2</v>
          </cell>
          <cell r="BL263">
            <v>2</v>
          </cell>
          <cell r="BM263">
            <v>0</v>
          </cell>
          <cell r="BN263">
            <v>0</v>
          </cell>
          <cell r="BO263">
            <v>0</v>
          </cell>
          <cell r="BP263">
            <v>0</v>
          </cell>
          <cell r="BQ263">
            <v>0</v>
          </cell>
          <cell r="BR263">
            <v>4</v>
          </cell>
          <cell r="BS263">
            <v>4</v>
          </cell>
          <cell r="BT263">
            <v>0</v>
          </cell>
          <cell r="BU263">
            <v>4</v>
          </cell>
          <cell r="BV263">
            <v>4</v>
          </cell>
          <cell r="BW263">
            <v>0</v>
          </cell>
          <cell r="BX263">
            <v>0</v>
          </cell>
          <cell r="BY263">
            <v>2.5</v>
          </cell>
          <cell r="BZ263">
            <v>0</v>
          </cell>
          <cell r="CA263">
            <v>0</v>
          </cell>
          <cell r="CB263">
            <v>4</v>
          </cell>
          <cell r="CC263">
            <v>0</v>
          </cell>
          <cell r="CD263">
            <v>0</v>
          </cell>
          <cell r="CE263">
            <v>0</v>
          </cell>
          <cell r="CF263">
            <v>0</v>
          </cell>
          <cell r="CG263">
            <v>0</v>
          </cell>
          <cell r="CH263">
            <v>0</v>
          </cell>
          <cell r="CI263">
            <v>0</v>
          </cell>
          <cell r="CJ263">
            <v>0</v>
          </cell>
          <cell r="CK263">
            <v>0</v>
          </cell>
          <cell r="CL263">
            <v>0</v>
          </cell>
          <cell r="CM263">
            <v>0</v>
          </cell>
          <cell r="CQ263">
            <v>4</v>
          </cell>
          <cell r="CR263">
            <v>0</v>
          </cell>
          <cell r="CS263">
            <v>0</v>
          </cell>
          <cell r="CT263">
            <v>24.5</v>
          </cell>
          <cell r="CU263">
            <v>0</v>
          </cell>
          <cell r="CV263">
            <v>0</v>
          </cell>
          <cell r="CZ263">
            <v>28.5</v>
          </cell>
        </row>
        <row r="264">
          <cell r="C264" t="str">
            <v>02271</v>
          </cell>
          <cell r="D264" t="str">
            <v>Nguyễn Hoài Nam</v>
          </cell>
          <cell r="E264" t="str">
            <v>Foaming</v>
          </cell>
          <cell r="F264" t="str">
            <v>FOAMING Production control</v>
          </cell>
          <cell r="G264" t="str">
            <v>Associate Specialist</v>
          </cell>
          <cell r="H264">
            <v>43964</v>
          </cell>
          <cell r="I264">
            <v>8</v>
          </cell>
          <cell r="J264">
            <v>8</v>
          </cell>
          <cell r="K264" t="str">
            <v>PO</v>
          </cell>
          <cell r="L264" t="str">
            <v>CN</v>
          </cell>
          <cell r="M264">
            <v>8</v>
          </cell>
          <cell r="N264">
            <v>8</v>
          </cell>
          <cell r="O264">
            <v>8</v>
          </cell>
          <cell r="P264">
            <v>8</v>
          </cell>
          <cell r="Q264" t="str">
            <v>PO</v>
          </cell>
          <cell r="R264" t="str">
            <v>PO</v>
          </cell>
          <cell r="S264" t="str">
            <v>CN</v>
          </cell>
          <cell r="T264">
            <v>8</v>
          </cell>
          <cell r="U264">
            <v>8</v>
          </cell>
          <cell r="V264">
            <v>8</v>
          </cell>
          <cell r="W264">
            <v>8</v>
          </cell>
          <cell r="X264">
            <v>8</v>
          </cell>
          <cell r="Y264" t="str">
            <v>PO</v>
          </cell>
          <cell r="Z264" t="str">
            <v>CN</v>
          </cell>
          <cell r="AA264">
            <v>8</v>
          </cell>
          <cell r="AB264">
            <v>8</v>
          </cell>
          <cell r="AC264">
            <v>8</v>
          </cell>
          <cell r="AD264">
            <v>8</v>
          </cell>
          <cell r="AE264">
            <v>8</v>
          </cell>
          <cell r="AF264" t="str">
            <v>PO</v>
          </cell>
          <cell r="AG264" t="str">
            <v>CN</v>
          </cell>
          <cell r="AH264">
            <v>8</v>
          </cell>
          <cell r="AI264">
            <v>8</v>
          </cell>
          <cell r="AJ264">
            <v>8</v>
          </cell>
          <cell r="AN264">
            <v>0</v>
          </cell>
          <cell r="AO264">
            <v>152</v>
          </cell>
          <cell r="AP264">
            <v>0</v>
          </cell>
          <cell r="AQ264">
            <v>0</v>
          </cell>
          <cell r="AR264">
            <v>0</v>
          </cell>
          <cell r="AS264">
            <v>0</v>
          </cell>
          <cell r="AT264">
            <v>0</v>
          </cell>
          <cell r="AU264">
            <v>0</v>
          </cell>
          <cell r="AV264">
            <v>40</v>
          </cell>
          <cell r="AW264">
            <v>0</v>
          </cell>
          <cell r="AX264">
            <v>0</v>
          </cell>
          <cell r="AY264">
            <v>0</v>
          </cell>
          <cell r="AZ264">
            <v>0</v>
          </cell>
          <cell r="BA264">
            <v>0</v>
          </cell>
          <cell r="BB264">
            <v>0</v>
          </cell>
          <cell r="BC264">
            <v>0</v>
          </cell>
          <cell r="BD264">
            <v>0</v>
          </cell>
          <cell r="BE264">
            <v>0</v>
          </cell>
          <cell r="BF264">
            <v>0</v>
          </cell>
          <cell r="BG264">
            <v>192</v>
          </cell>
          <cell r="BH264">
            <v>0</v>
          </cell>
          <cell r="BI264">
            <v>0</v>
          </cell>
          <cell r="BJ264">
            <v>8</v>
          </cell>
          <cell r="BL264">
            <v>0</v>
          </cell>
          <cell r="BM264">
            <v>2</v>
          </cell>
          <cell r="BN264">
            <v>0</v>
          </cell>
          <cell r="BO264">
            <v>0</v>
          </cell>
          <cell r="BP264">
            <v>0</v>
          </cell>
          <cell r="BQ264">
            <v>0</v>
          </cell>
          <cell r="BR264">
            <v>0</v>
          </cell>
          <cell r="BS264">
            <v>0</v>
          </cell>
          <cell r="BT264">
            <v>0</v>
          </cell>
          <cell r="BU264">
            <v>0</v>
          </cell>
          <cell r="BV264">
            <v>0</v>
          </cell>
          <cell r="BW264">
            <v>0</v>
          </cell>
          <cell r="BX264">
            <v>0</v>
          </cell>
          <cell r="BY264">
            <v>0</v>
          </cell>
          <cell r="BZ264">
            <v>0</v>
          </cell>
          <cell r="CA264">
            <v>0</v>
          </cell>
          <cell r="CB264">
            <v>0</v>
          </cell>
          <cell r="CC264">
            <v>0</v>
          </cell>
          <cell r="CD264">
            <v>2</v>
          </cell>
          <cell r="CE264">
            <v>0</v>
          </cell>
          <cell r="CF264">
            <v>0</v>
          </cell>
          <cell r="CG264">
            <v>1.75</v>
          </cell>
          <cell r="CH264">
            <v>1.5</v>
          </cell>
          <cell r="CI264">
            <v>0</v>
          </cell>
          <cell r="CJ264">
            <v>0</v>
          </cell>
          <cell r="CK264">
            <v>0</v>
          </cell>
          <cell r="CL264">
            <v>0</v>
          </cell>
          <cell r="CM264">
            <v>0</v>
          </cell>
          <cell r="CR264">
            <v>0</v>
          </cell>
          <cell r="CS264">
            <v>0</v>
          </cell>
          <cell r="CT264">
            <v>7.25</v>
          </cell>
          <cell r="CU264">
            <v>0</v>
          </cell>
          <cell r="CV264">
            <v>0</v>
          </cell>
          <cell r="CZ264">
            <v>7.25</v>
          </cell>
        </row>
        <row r="265">
          <cell r="C265" t="str">
            <v>02284</v>
          </cell>
          <cell r="D265" t="str">
            <v>Nguyễn Thị Thúy Kiều</v>
          </cell>
          <cell r="E265" t="str">
            <v>Production</v>
          </cell>
          <cell r="F265" t="str">
            <v>Molding</v>
          </cell>
          <cell r="G265" t="str">
            <v>Vice Leader</v>
          </cell>
          <cell r="H265">
            <v>44019</v>
          </cell>
          <cell r="I265">
            <v>8</v>
          </cell>
          <cell r="J265">
            <v>8</v>
          </cell>
          <cell r="K265">
            <v>8</v>
          </cell>
          <cell r="L265" t="str">
            <v>CN</v>
          </cell>
          <cell r="M265">
            <v>8</v>
          </cell>
          <cell r="N265">
            <v>8</v>
          </cell>
          <cell r="O265">
            <v>8</v>
          </cell>
          <cell r="P265">
            <v>8</v>
          </cell>
          <cell r="Q265" t="str">
            <v>Đ</v>
          </cell>
          <cell r="R265" t="str">
            <v>Đ</v>
          </cell>
          <cell r="S265" t="str">
            <v>CN</v>
          </cell>
          <cell r="T265">
            <v>8</v>
          </cell>
          <cell r="U265">
            <v>8</v>
          </cell>
          <cell r="V265" t="str">
            <v>AL8</v>
          </cell>
          <cell r="W265">
            <v>8</v>
          </cell>
          <cell r="X265">
            <v>8</v>
          </cell>
          <cell r="Y265">
            <v>8</v>
          </cell>
          <cell r="Z265" t="str">
            <v>CN</v>
          </cell>
          <cell r="AA265">
            <v>8</v>
          </cell>
          <cell r="AB265">
            <v>8</v>
          </cell>
          <cell r="AC265">
            <v>8</v>
          </cell>
          <cell r="AD265">
            <v>8</v>
          </cell>
          <cell r="AE265" t="str">
            <v>Đ</v>
          </cell>
          <cell r="AF265" t="str">
            <v>Đ</v>
          </cell>
          <cell r="AG265" t="str">
            <v>CN</v>
          </cell>
          <cell r="AH265">
            <v>8</v>
          </cell>
          <cell r="AI265">
            <v>8</v>
          </cell>
          <cell r="AJ265">
            <v>8</v>
          </cell>
          <cell r="AN265">
            <v>32</v>
          </cell>
          <cell r="AO265">
            <v>152</v>
          </cell>
          <cell r="AP265">
            <v>0</v>
          </cell>
          <cell r="AQ265">
            <v>0</v>
          </cell>
          <cell r="AR265">
            <v>0</v>
          </cell>
          <cell r="AS265">
            <v>0</v>
          </cell>
          <cell r="AT265">
            <v>0</v>
          </cell>
          <cell r="AU265">
            <v>0</v>
          </cell>
          <cell r="AV265">
            <v>0</v>
          </cell>
          <cell r="AW265">
            <v>0</v>
          </cell>
          <cell r="AX265">
            <v>0</v>
          </cell>
          <cell r="AY265">
            <v>0</v>
          </cell>
          <cell r="AZ265">
            <v>0</v>
          </cell>
          <cell r="BA265">
            <v>8</v>
          </cell>
          <cell r="BB265">
            <v>0</v>
          </cell>
          <cell r="BC265">
            <v>0</v>
          </cell>
          <cell r="BD265">
            <v>0</v>
          </cell>
          <cell r="BE265">
            <v>0</v>
          </cell>
          <cell r="BF265">
            <v>0</v>
          </cell>
          <cell r="BG265">
            <v>192</v>
          </cell>
          <cell r="BH265">
            <v>1</v>
          </cell>
          <cell r="BI265">
            <v>1</v>
          </cell>
          <cell r="BJ265">
            <v>4.5</v>
          </cell>
          <cell r="BL265">
            <v>0</v>
          </cell>
          <cell r="BM265">
            <v>4</v>
          </cell>
          <cell r="BN265">
            <v>4</v>
          </cell>
          <cell r="BO265">
            <v>0</v>
          </cell>
          <cell r="BP265">
            <v>0</v>
          </cell>
          <cell r="BQ265">
            <v>0</v>
          </cell>
          <cell r="BR265">
            <v>0</v>
          </cell>
          <cell r="BS265">
            <v>0</v>
          </cell>
          <cell r="BT265">
            <v>4</v>
          </cell>
          <cell r="BU265">
            <v>4</v>
          </cell>
          <cell r="BV265">
            <v>0</v>
          </cell>
          <cell r="BW265">
            <v>0</v>
          </cell>
          <cell r="BX265">
            <v>0</v>
          </cell>
          <cell r="BY265">
            <v>0</v>
          </cell>
          <cell r="BZ265">
            <v>0</v>
          </cell>
          <cell r="CA265">
            <v>4</v>
          </cell>
          <cell r="CB265">
            <v>4</v>
          </cell>
          <cell r="CC265">
            <v>0</v>
          </cell>
          <cell r="CD265">
            <v>0</v>
          </cell>
          <cell r="CE265">
            <v>0</v>
          </cell>
          <cell r="CF265">
            <v>0</v>
          </cell>
          <cell r="CG265">
            <v>0</v>
          </cell>
          <cell r="CH265">
            <v>4</v>
          </cell>
          <cell r="CI265">
            <v>4</v>
          </cell>
          <cell r="CJ265">
            <v>0</v>
          </cell>
          <cell r="CK265">
            <v>0</v>
          </cell>
          <cell r="CL265">
            <v>0</v>
          </cell>
          <cell r="CM265">
            <v>0</v>
          </cell>
          <cell r="CR265">
            <v>0</v>
          </cell>
          <cell r="CS265">
            <v>0</v>
          </cell>
          <cell r="CT265">
            <v>32</v>
          </cell>
          <cell r="CU265">
            <v>0</v>
          </cell>
          <cell r="CV265">
            <v>0</v>
          </cell>
          <cell r="CZ265">
            <v>32</v>
          </cell>
        </row>
        <row r="266">
          <cell r="C266" t="str">
            <v>02286</v>
          </cell>
          <cell r="D266" t="str">
            <v>Nguyễn Thị Trúc Ly</v>
          </cell>
          <cell r="E266" t="str">
            <v>Production</v>
          </cell>
          <cell r="F266" t="str">
            <v>Molding</v>
          </cell>
          <cell r="G266" t="str">
            <v>Worker</v>
          </cell>
          <cell r="H266">
            <v>44019</v>
          </cell>
          <cell r="I266">
            <v>8</v>
          </cell>
          <cell r="J266">
            <v>8</v>
          </cell>
          <cell r="K266">
            <v>8</v>
          </cell>
          <cell r="L266" t="str">
            <v>CN</v>
          </cell>
          <cell r="M266">
            <v>8</v>
          </cell>
          <cell r="N266">
            <v>8</v>
          </cell>
          <cell r="O266">
            <v>8</v>
          </cell>
          <cell r="P266">
            <v>8</v>
          </cell>
          <cell r="Q266" t="str">
            <v>Đ</v>
          </cell>
          <cell r="R266" t="str">
            <v>Đ</v>
          </cell>
          <cell r="S266" t="str">
            <v>CN</v>
          </cell>
          <cell r="T266">
            <v>8</v>
          </cell>
          <cell r="U266">
            <v>8</v>
          </cell>
          <cell r="V266">
            <v>8</v>
          </cell>
          <cell r="W266">
            <v>8</v>
          </cell>
          <cell r="X266">
            <v>8</v>
          </cell>
          <cell r="Y266">
            <v>8</v>
          </cell>
          <cell r="Z266" t="str">
            <v>CN</v>
          </cell>
          <cell r="AA266">
            <v>8</v>
          </cell>
          <cell r="AB266">
            <v>8</v>
          </cell>
          <cell r="AC266">
            <v>8</v>
          </cell>
          <cell r="AD266">
            <v>8</v>
          </cell>
          <cell r="AE266" t="str">
            <v>Đ</v>
          </cell>
          <cell r="AF266" t="str">
            <v>Đ</v>
          </cell>
          <cell r="AG266" t="str">
            <v>CN</v>
          </cell>
          <cell r="AH266" t="str">
            <v>AL8</v>
          </cell>
          <cell r="AI266">
            <v>8</v>
          </cell>
          <cell r="AJ266">
            <v>8</v>
          </cell>
          <cell r="AN266">
            <v>32</v>
          </cell>
          <cell r="AO266">
            <v>152</v>
          </cell>
          <cell r="AP266">
            <v>0</v>
          </cell>
          <cell r="AQ266">
            <v>0</v>
          </cell>
          <cell r="AR266">
            <v>0</v>
          </cell>
          <cell r="AS266">
            <v>0</v>
          </cell>
          <cell r="AT266">
            <v>0</v>
          </cell>
          <cell r="AU266">
            <v>0</v>
          </cell>
          <cell r="AV266">
            <v>0</v>
          </cell>
          <cell r="AW266">
            <v>0</v>
          </cell>
          <cell r="AX266">
            <v>0</v>
          </cell>
          <cell r="AY266">
            <v>0</v>
          </cell>
          <cell r="AZ266">
            <v>0</v>
          </cell>
          <cell r="BA266">
            <v>8</v>
          </cell>
          <cell r="BB266">
            <v>0</v>
          </cell>
          <cell r="BC266">
            <v>0</v>
          </cell>
          <cell r="BD266">
            <v>0</v>
          </cell>
          <cell r="BE266">
            <v>0</v>
          </cell>
          <cell r="BF266">
            <v>0</v>
          </cell>
          <cell r="BG266">
            <v>192</v>
          </cell>
          <cell r="BH266">
            <v>1</v>
          </cell>
          <cell r="BI266">
            <v>1</v>
          </cell>
          <cell r="BJ266">
            <v>0.5</v>
          </cell>
          <cell r="BL266">
            <v>0</v>
          </cell>
          <cell r="BM266">
            <v>4</v>
          </cell>
          <cell r="BN266">
            <v>4</v>
          </cell>
          <cell r="BO266">
            <v>0</v>
          </cell>
          <cell r="BP266">
            <v>0</v>
          </cell>
          <cell r="BQ266">
            <v>0</v>
          </cell>
          <cell r="BR266">
            <v>0</v>
          </cell>
          <cell r="BS266">
            <v>0</v>
          </cell>
          <cell r="BT266">
            <v>4</v>
          </cell>
          <cell r="BU266">
            <v>4</v>
          </cell>
          <cell r="BV266">
            <v>0</v>
          </cell>
          <cell r="BW266">
            <v>0</v>
          </cell>
          <cell r="BX266">
            <v>0</v>
          </cell>
          <cell r="BY266">
            <v>0</v>
          </cell>
          <cell r="BZ266">
            <v>0</v>
          </cell>
          <cell r="CA266">
            <v>4</v>
          </cell>
          <cell r="CB266">
            <v>4</v>
          </cell>
          <cell r="CC266">
            <v>0</v>
          </cell>
          <cell r="CD266">
            <v>0</v>
          </cell>
          <cell r="CE266">
            <v>0</v>
          </cell>
          <cell r="CF266">
            <v>0</v>
          </cell>
          <cell r="CG266">
            <v>0</v>
          </cell>
          <cell r="CH266">
            <v>4</v>
          </cell>
          <cell r="CI266">
            <v>4</v>
          </cell>
          <cell r="CJ266">
            <v>0</v>
          </cell>
          <cell r="CK266">
            <v>0</v>
          </cell>
          <cell r="CL266">
            <v>0</v>
          </cell>
          <cell r="CM266">
            <v>0</v>
          </cell>
          <cell r="CR266">
            <v>0</v>
          </cell>
          <cell r="CS266">
            <v>0</v>
          </cell>
          <cell r="CT266">
            <v>32</v>
          </cell>
          <cell r="CU266">
            <v>0</v>
          </cell>
          <cell r="CV266">
            <v>0</v>
          </cell>
          <cell r="CZ266">
            <v>32</v>
          </cell>
        </row>
        <row r="267">
          <cell r="C267" t="str">
            <v>02289</v>
          </cell>
          <cell r="D267" t="str">
            <v>Thái Thị Trúc Ly</v>
          </cell>
          <cell r="E267" t="str">
            <v>Foaming</v>
          </cell>
          <cell r="F267" t="str">
            <v>FOAMING Splitting</v>
          </cell>
          <cell r="G267" t="str">
            <v>Worker</v>
          </cell>
          <cell r="H267">
            <v>44019</v>
          </cell>
          <cell r="I267" t="str">
            <v>Đ</v>
          </cell>
          <cell r="J267" t="str">
            <v>Đ</v>
          </cell>
          <cell r="K267" t="str">
            <v>Đ</v>
          </cell>
          <cell r="L267" t="str">
            <v>CN</v>
          </cell>
          <cell r="M267" t="str">
            <v>Đ</v>
          </cell>
          <cell r="N267" t="str">
            <v>Đ</v>
          </cell>
          <cell r="O267" t="str">
            <v>Đ</v>
          </cell>
          <cell r="P267" t="str">
            <v>Đ</v>
          </cell>
          <cell r="Q267" t="str">
            <v>Đ</v>
          </cell>
          <cell r="R267" t="str">
            <v>Đ</v>
          </cell>
          <cell r="S267" t="str">
            <v>CN</v>
          </cell>
          <cell r="T267" t="str">
            <v>Đ</v>
          </cell>
          <cell r="U267" t="str">
            <v>Đ</v>
          </cell>
          <cell r="V267" t="str">
            <v>Đ</v>
          </cell>
          <cell r="W267" t="str">
            <v>Đ</v>
          </cell>
          <cell r="X267" t="str">
            <v>Đ</v>
          </cell>
          <cell r="Y267" t="str">
            <v>Đ</v>
          </cell>
          <cell r="Z267" t="str">
            <v>CN</v>
          </cell>
          <cell r="AA267">
            <v>8</v>
          </cell>
          <cell r="AB267">
            <v>8</v>
          </cell>
          <cell r="AC267">
            <v>8</v>
          </cell>
          <cell r="AD267">
            <v>8</v>
          </cell>
          <cell r="AE267">
            <v>8</v>
          </cell>
          <cell r="AF267">
            <v>8</v>
          </cell>
          <cell r="AG267" t="str">
            <v>CN</v>
          </cell>
          <cell r="AH267">
            <v>8</v>
          </cell>
          <cell r="AI267">
            <v>8</v>
          </cell>
          <cell r="AJ267">
            <v>8</v>
          </cell>
          <cell r="AN267">
            <v>120</v>
          </cell>
          <cell r="AO267">
            <v>72</v>
          </cell>
          <cell r="AP267">
            <v>0</v>
          </cell>
          <cell r="AQ267">
            <v>0</v>
          </cell>
          <cell r="AR267">
            <v>0</v>
          </cell>
          <cell r="AS267">
            <v>0</v>
          </cell>
          <cell r="AT267">
            <v>0</v>
          </cell>
          <cell r="AU267">
            <v>0</v>
          </cell>
          <cell r="AV267">
            <v>0</v>
          </cell>
          <cell r="AW267">
            <v>0</v>
          </cell>
          <cell r="AX267">
            <v>0</v>
          </cell>
          <cell r="AY267">
            <v>0</v>
          </cell>
          <cell r="AZ267">
            <v>0</v>
          </cell>
          <cell r="BA267">
            <v>0</v>
          </cell>
          <cell r="BB267">
            <v>0</v>
          </cell>
          <cell r="BC267">
            <v>0</v>
          </cell>
          <cell r="BD267">
            <v>0</v>
          </cell>
          <cell r="BE267">
            <v>0</v>
          </cell>
          <cell r="BF267">
            <v>0</v>
          </cell>
          <cell r="BG267">
            <v>192</v>
          </cell>
          <cell r="BH267">
            <v>0</v>
          </cell>
          <cell r="BI267">
            <v>0</v>
          </cell>
          <cell r="BJ267">
            <v>0</v>
          </cell>
          <cell r="BL267">
            <v>4</v>
          </cell>
          <cell r="BM267">
            <v>4</v>
          </cell>
          <cell r="BN267">
            <v>4</v>
          </cell>
          <cell r="BO267" t="str">
            <v>12Đ</v>
          </cell>
          <cell r="BP267">
            <v>2</v>
          </cell>
          <cell r="BQ267">
            <v>4</v>
          </cell>
          <cell r="BR267">
            <v>4</v>
          </cell>
          <cell r="BS267">
            <v>4</v>
          </cell>
          <cell r="BT267">
            <v>4</v>
          </cell>
          <cell r="BU267">
            <v>4</v>
          </cell>
          <cell r="BV267" t="str">
            <v>12Đ</v>
          </cell>
          <cell r="BW267">
            <v>4</v>
          </cell>
          <cell r="BX267">
            <v>4</v>
          </cell>
          <cell r="BY267">
            <v>4</v>
          </cell>
          <cell r="BZ267">
            <v>4</v>
          </cell>
          <cell r="CA267">
            <v>4</v>
          </cell>
          <cell r="CB267">
            <v>4</v>
          </cell>
          <cell r="CC267">
            <v>0</v>
          </cell>
          <cell r="CD267">
            <v>4</v>
          </cell>
          <cell r="CE267">
            <v>4</v>
          </cell>
          <cell r="CF267">
            <v>4</v>
          </cell>
          <cell r="CG267">
            <v>2</v>
          </cell>
          <cell r="CH267">
            <v>4</v>
          </cell>
          <cell r="CI267">
            <v>2</v>
          </cell>
          <cell r="CJ267">
            <v>12</v>
          </cell>
          <cell r="CK267">
            <v>4</v>
          </cell>
          <cell r="CL267">
            <v>0</v>
          </cell>
          <cell r="CM267">
            <v>4</v>
          </cell>
          <cell r="CR267">
            <v>0</v>
          </cell>
          <cell r="CS267">
            <v>0</v>
          </cell>
          <cell r="CT267">
            <v>86</v>
          </cell>
          <cell r="CU267">
            <v>20</v>
          </cell>
          <cell r="CV267">
            <v>16</v>
          </cell>
          <cell r="CZ267">
            <v>122</v>
          </cell>
        </row>
        <row r="268">
          <cell r="C268" t="str">
            <v>02301</v>
          </cell>
          <cell r="D268" t="str">
            <v>Võ Thị Thu Hiền</v>
          </cell>
          <cell r="E268" t="str">
            <v>Technical Development</v>
          </cell>
          <cell r="F268" t="str">
            <v>PD Technical</v>
          </cell>
          <cell r="G268" t="str">
            <v>Senior Technician</v>
          </cell>
          <cell r="H268">
            <v>44025</v>
          </cell>
          <cell r="I268" t="str">
            <v>AL8</v>
          </cell>
          <cell r="J268">
            <v>8</v>
          </cell>
          <cell r="K268" t="str">
            <v>PO</v>
          </cell>
          <cell r="L268" t="str">
            <v>CN</v>
          </cell>
          <cell r="M268">
            <v>8</v>
          </cell>
          <cell r="N268">
            <v>8</v>
          </cell>
          <cell r="O268">
            <v>8</v>
          </cell>
          <cell r="P268">
            <v>8</v>
          </cell>
          <cell r="Q268">
            <v>8</v>
          </cell>
          <cell r="R268" t="str">
            <v>PO</v>
          </cell>
          <cell r="S268" t="str">
            <v>CN</v>
          </cell>
          <cell r="T268">
            <v>8</v>
          </cell>
          <cell r="U268">
            <v>8</v>
          </cell>
          <cell r="V268">
            <v>8</v>
          </cell>
          <cell r="W268">
            <v>8</v>
          </cell>
          <cell r="X268">
            <v>8</v>
          </cell>
          <cell r="Y268" t="str">
            <v>PO</v>
          </cell>
          <cell r="Z268" t="str">
            <v>CN</v>
          </cell>
          <cell r="AA268">
            <v>8</v>
          </cell>
          <cell r="AB268">
            <v>8</v>
          </cell>
          <cell r="AC268">
            <v>8</v>
          </cell>
          <cell r="AD268">
            <v>8</v>
          </cell>
          <cell r="AE268">
            <v>8</v>
          </cell>
          <cell r="AF268" t="str">
            <v>PO</v>
          </cell>
          <cell r="AG268" t="str">
            <v>CN</v>
          </cell>
          <cell r="AH268">
            <v>8</v>
          </cell>
          <cell r="AI268">
            <v>8</v>
          </cell>
          <cell r="AJ268">
            <v>8</v>
          </cell>
          <cell r="AN268">
            <v>0</v>
          </cell>
          <cell r="AO268">
            <v>152</v>
          </cell>
          <cell r="AP268">
            <v>0</v>
          </cell>
          <cell r="AQ268">
            <v>0</v>
          </cell>
          <cell r="AR268">
            <v>0</v>
          </cell>
          <cell r="AS268">
            <v>0</v>
          </cell>
          <cell r="AT268">
            <v>0</v>
          </cell>
          <cell r="AU268">
            <v>0</v>
          </cell>
          <cell r="AV268">
            <v>32</v>
          </cell>
          <cell r="AW268">
            <v>0</v>
          </cell>
          <cell r="AX268">
            <v>0</v>
          </cell>
          <cell r="AY268">
            <v>0</v>
          </cell>
          <cell r="AZ268">
            <v>0</v>
          </cell>
          <cell r="BA268">
            <v>8</v>
          </cell>
          <cell r="BB268">
            <v>0</v>
          </cell>
          <cell r="BC268">
            <v>0</v>
          </cell>
          <cell r="BD268">
            <v>0</v>
          </cell>
          <cell r="BE268">
            <v>0</v>
          </cell>
          <cell r="BF268">
            <v>0</v>
          </cell>
          <cell r="BG268">
            <v>192</v>
          </cell>
          <cell r="BH268">
            <v>1</v>
          </cell>
          <cell r="BI268">
            <v>1</v>
          </cell>
          <cell r="BJ268">
            <v>2</v>
          </cell>
          <cell r="BL268">
            <v>0</v>
          </cell>
          <cell r="BM268">
            <v>0</v>
          </cell>
          <cell r="BN268">
            <v>0</v>
          </cell>
          <cell r="BO268">
            <v>0</v>
          </cell>
          <cell r="BP268">
            <v>0</v>
          </cell>
          <cell r="BQ268">
            <v>0</v>
          </cell>
          <cell r="BR268">
            <v>0</v>
          </cell>
          <cell r="BS268">
            <v>0</v>
          </cell>
          <cell r="BT268">
            <v>0</v>
          </cell>
          <cell r="BU268">
            <v>0</v>
          </cell>
          <cell r="BV268">
            <v>0</v>
          </cell>
          <cell r="BW268">
            <v>0</v>
          </cell>
          <cell r="BX268">
            <v>0</v>
          </cell>
          <cell r="BY268">
            <v>0</v>
          </cell>
          <cell r="BZ268">
            <v>0</v>
          </cell>
          <cell r="CA268">
            <v>0</v>
          </cell>
          <cell r="CB268">
            <v>0</v>
          </cell>
          <cell r="CC268">
            <v>0</v>
          </cell>
          <cell r="CD268">
            <v>0</v>
          </cell>
          <cell r="CE268">
            <v>0</v>
          </cell>
          <cell r="CF268">
            <v>0</v>
          </cell>
          <cell r="CG268">
            <v>0</v>
          </cell>
          <cell r="CH268">
            <v>0</v>
          </cell>
          <cell r="CI268">
            <v>0</v>
          </cell>
          <cell r="CJ268">
            <v>0</v>
          </cell>
          <cell r="CK268">
            <v>0</v>
          </cell>
          <cell r="CL268">
            <v>0</v>
          </cell>
          <cell r="CM268">
            <v>0</v>
          </cell>
          <cell r="CR268">
            <v>0</v>
          </cell>
          <cell r="CS268">
            <v>0</v>
          </cell>
          <cell r="CT268">
            <v>0</v>
          </cell>
          <cell r="CU268">
            <v>0</v>
          </cell>
          <cell r="CV268">
            <v>0</v>
          </cell>
          <cell r="CZ268">
            <v>0</v>
          </cell>
        </row>
        <row r="269">
          <cell r="C269" t="str">
            <v>02303</v>
          </cell>
          <cell r="D269" t="str">
            <v>Lê Đình Hùng</v>
          </cell>
          <cell r="E269" t="str">
            <v>IT</v>
          </cell>
          <cell r="F269" t="str">
            <v>IT</v>
          </cell>
          <cell r="G269" t="str">
            <v>Associate Engineer</v>
          </cell>
          <cell r="H269">
            <v>44025</v>
          </cell>
          <cell r="I269" t="str">
            <v>AL8</v>
          </cell>
          <cell r="J269">
            <v>8</v>
          </cell>
          <cell r="K269" t="str">
            <v>PO</v>
          </cell>
          <cell r="L269" t="str">
            <v>CN</v>
          </cell>
          <cell r="M269">
            <v>8</v>
          </cell>
          <cell r="N269">
            <v>8</v>
          </cell>
          <cell r="O269">
            <v>8</v>
          </cell>
          <cell r="P269">
            <v>8</v>
          </cell>
          <cell r="Q269" t="str">
            <v>PO</v>
          </cell>
          <cell r="R269" t="str">
            <v>PO</v>
          </cell>
          <cell r="S269" t="str">
            <v>CN</v>
          </cell>
          <cell r="T269">
            <v>8</v>
          </cell>
          <cell r="U269">
            <v>8</v>
          </cell>
          <cell r="V269">
            <v>8</v>
          </cell>
          <cell r="W269">
            <v>8</v>
          </cell>
          <cell r="X269">
            <v>8</v>
          </cell>
          <cell r="Y269" t="str">
            <v>PO</v>
          </cell>
          <cell r="Z269" t="str">
            <v>CN</v>
          </cell>
          <cell r="AA269">
            <v>8</v>
          </cell>
          <cell r="AB269">
            <v>8</v>
          </cell>
          <cell r="AC269">
            <v>8</v>
          </cell>
          <cell r="AD269">
            <v>8</v>
          </cell>
          <cell r="AE269">
            <v>8</v>
          </cell>
          <cell r="AF269" t="str">
            <v>PO</v>
          </cell>
          <cell r="AG269" t="str">
            <v>CN</v>
          </cell>
          <cell r="AH269" t="str">
            <v>AL8</v>
          </cell>
          <cell r="AI269">
            <v>8</v>
          </cell>
          <cell r="AJ269">
            <v>8</v>
          </cell>
          <cell r="AN269">
            <v>0</v>
          </cell>
          <cell r="AO269">
            <v>136</v>
          </cell>
          <cell r="AP269">
            <v>0</v>
          </cell>
          <cell r="AQ269">
            <v>0</v>
          </cell>
          <cell r="AR269">
            <v>0</v>
          </cell>
          <cell r="AS269">
            <v>0</v>
          </cell>
          <cell r="AT269">
            <v>0</v>
          </cell>
          <cell r="AU269">
            <v>0</v>
          </cell>
          <cell r="AV269">
            <v>40</v>
          </cell>
          <cell r="AW269">
            <v>0</v>
          </cell>
          <cell r="AX269">
            <v>0</v>
          </cell>
          <cell r="AY269">
            <v>0</v>
          </cell>
          <cell r="AZ269">
            <v>0</v>
          </cell>
          <cell r="BA269">
            <v>16</v>
          </cell>
          <cell r="BB269">
            <v>0</v>
          </cell>
          <cell r="BC269">
            <v>0</v>
          </cell>
          <cell r="BD269">
            <v>0</v>
          </cell>
          <cell r="BE269">
            <v>0</v>
          </cell>
          <cell r="BF269">
            <v>0</v>
          </cell>
          <cell r="BG269">
            <v>192</v>
          </cell>
          <cell r="BH269">
            <v>2</v>
          </cell>
          <cell r="BI269">
            <v>2</v>
          </cell>
          <cell r="BJ269">
            <v>0.5</v>
          </cell>
          <cell r="BL269">
            <v>0</v>
          </cell>
          <cell r="BM269">
            <v>0</v>
          </cell>
          <cell r="BN269">
            <v>0</v>
          </cell>
          <cell r="BO269">
            <v>0</v>
          </cell>
          <cell r="BP269">
            <v>0</v>
          </cell>
          <cell r="BQ269">
            <v>0</v>
          </cell>
          <cell r="BR269">
            <v>0</v>
          </cell>
          <cell r="BS269">
            <v>3.5</v>
          </cell>
          <cell r="BT269">
            <v>0</v>
          </cell>
          <cell r="BU269">
            <v>0</v>
          </cell>
          <cell r="BV269">
            <v>0</v>
          </cell>
          <cell r="BW269">
            <v>0</v>
          </cell>
          <cell r="BX269">
            <v>0</v>
          </cell>
          <cell r="BY269">
            <v>0</v>
          </cell>
          <cell r="BZ269">
            <v>0</v>
          </cell>
          <cell r="CA269">
            <v>2</v>
          </cell>
          <cell r="CB269">
            <v>0</v>
          </cell>
          <cell r="CC269">
            <v>0</v>
          </cell>
          <cell r="CD269">
            <v>0</v>
          </cell>
          <cell r="CE269">
            <v>0</v>
          </cell>
          <cell r="CF269">
            <v>0</v>
          </cell>
          <cell r="CG269">
            <v>0</v>
          </cell>
          <cell r="CH269">
            <v>0</v>
          </cell>
          <cell r="CI269">
            <v>0</v>
          </cell>
          <cell r="CJ269">
            <v>0</v>
          </cell>
          <cell r="CK269">
            <v>0</v>
          </cell>
          <cell r="CL269">
            <v>0</v>
          </cell>
          <cell r="CM269">
            <v>0</v>
          </cell>
          <cell r="CR269">
            <v>0</v>
          </cell>
          <cell r="CS269">
            <v>0</v>
          </cell>
          <cell r="CT269">
            <v>5.5</v>
          </cell>
          <cell r="CU269">
            <v>0</v>
          </cell>
          <cell r="CV269">
            <v>0</v>
          </cell>
          <cell r="CZ269">
            <v>5.5</v>
          </cell>
        </row>
        <row r="270">
          <cell r="C270" t="str">
            <v>02312</v>
          </cell>
          <cell r="D270" t="str">
            <v>Nguyễn Thị Mỹ</v>
          </cell>
          <cell r="E270" t="str">
            <v>Production</v>
          </cell>
          <cell r="F270" t="str">
            <v>Molding</v>
          </cell>
          <cell r="G270" t="str">
            <v>Worker</v>
          </cell>
          <cell r="H270">
            <v>44025</v>
          </cell>
          <cell r="I270" t="str">
            <v>Đ</v>
          </cell>
          <cell r="J270" t="str">
            <v>Đ</v>
          </cell>
          <cell r="K270" t="str">
            <v>CN</v>
          </cell>
          <cell r="L270">
            <v>8</v>
          </cell>
          <cell r="M270">
            <v>8</v>
          </cell>
          <cell r="N270">
            <v>8</v>
          </cell>
          <cell r="O270">
            <v>8</v>
          </cell>
          <cell r="P270">
            <v>8</v>
          </cell>
          <cell r="Q270">
            <v>8</v>
          </cell>
          <cell r="R270" t="str">
            <v>CN</v>
          </cell>
          <cell r="S270" t="str">
            <v>Đ</v>
          </cell>
          <cell r="T270" t="str">
            <v>Đ</v>
          </cell>
          <cell r="U270" t="str">
            <v>Đ</v>
          </cell>
          <cell r="V270" t="str">
            <v>Đ</v>
          </cell>
          <cell r="W270" t="str">
            <v>Đ</v>
          </cell>
          <cell r="X270" t="str">
            <v>Đ</v>
          </cell>
          <cell r="Y270" t="str">
            <v>CN</v>
          </cell>
          <cell r="Z270">
            <v>8</v>
          </cell>
          <cell r="AA270">
            <v>8</v>
          </cell>
          <cell r="AB270">
            <v>8</v>
          </cell>
          <cell r="AC270">
            <v>8</v>
          </cell>
          <cell r="AD270">
            <v>8</v>
          </cell>
          <cell r="AE270">
            <v>8</v>
          </cell>
          <cell r="AF270" t="str">
            <v>CN</v>
          </cell>
          <cell r="AG270" t="str">
            <v>Đ</v>
          </cell>
          <cell r="AH270" t="str">
            <v>Đ</v>
          </cell>
          <cell r="AI270" t="str">
            <v>Đ</v>
          </cell>
          <cell r="AJ270" t="str">
            <v>Đ</v>
          </cell>
          <cell r="AN270">
            <v>96</v>
          </cell>
          <cell r="AO270">
            <v>96</v>
          </cell>
          <cell r="AP270">
            <v>0</v>
          </cell>
          <cell r="AQ270">
            <v>0</v>
          </cell>
          <cell r="AR270">
            <v>0</v>
          </cell>
          <cell r="AS270">
            <v>0</v>
          </cell>
          <cell r="AT270">
            <v>0</v>
          </cell>
          <cell r="AU270">
            <v>0</v>
          </cell>
          <cell r="AV270">
            <v>0</v>
          </cell>
          <cell r="AW270">
            <v>0</v>
          </cell>
          <cell r="AX270">
            <v>0</v>
          </cell>
          <cell r="AY270">
            <v>0</v>
          </cell>
          <cell r="AZ270">
            <v>0</v>
          </cell>
          <cell r="BA270">
            <v>0</v>
          </cell>
          <cell r="BB270">
            <v>0</v>
          </cell>
          <cell r="BC270">
            <v>0</v>
          </cell>
          <cell r="BD270">
            <v>0</v>
          </cell>
          <cell r="BE270">
            <v>0</v>
          </cell>
          <cell r="BF270">
            <v>0</v>
          </cell>
          <cell r="BG270">
            <v>192</v>
          </cell>
          <cell r="BH270">
            <v>0</v>
          </cell>
          <cell r="BI270">
            <v>0</v>
          </cell>
          <cell r="BJ270">
            <v>0.5</v>
          </cell>
          <cell r="BL270">
            <v>0</v>
          </cell>
          <cell r="BM270">
            <v>4</v>
          </cell>
          <cell r="BN270">
            <v>0</v>
          </cell>
          <cell r="BO270">
            <v>4</v>
          </cell>
          <cell r="BP270">
            <v>0</v>
          </cell>
          <cell r="BQ270">
            <v>0</v>
          </cell>
          <cell r="BR270">
            <v>0</v>
          </cell>
          <cell r="BS270">
            <v>0</v>
          </cell>
          <cell r="BT270">
            <v>4</v>
          </cell>
          <cell r="BU270">
            <v>0</v>
          </cell>
          <cell r="BV270">
            <v>4</v>
          </cell>
          <cell r="BW270">
            <v>0</v>
          </cell>
          <cell r="BX270">
            <v>0</v>
          </cell>
          <cell r="BY270">
            <v>0</v>
          </cell>
          <cell r="BZ270">
            <v>0</v>
          </cell>
          <cell r="CA270">
            <v>4</v>
          </cell>
          <cell r="CB270">
            <v>0</v>
          </cell>
          <cell r="CC270">
            <v>4</v>
          </cell>
          <cell r="CD270">
            <v>0</v>
          </cell>
          <cell r="CE270">
            <v>0</v>
          </cell>
          <cell r="CF270">
            <v>4</v>
          </cell>
          <cell r="CG270">
            <v>0</v>
          </cell>
          <cell r="CH270">
            <v>4</v>
          </cell>
          <cell r="CI270">
            <v>0</v>
          </cell>
          <cell r="CJ270">
            <v>4</v>
          </cell>
          <cell r="CK270">
            <v>0</v>
          </cell>
          <cell r="CL270">
            <v>0</v>
          </cell>
          <cell r="CM270">
            <v>0</v>
          </cell>
          <cell r="CR270">
            <v>0</v>
          </cell>
          <cell r="CS270">
            <v>0</v>
          </cell>
          <cell r="CT270">
            <v>36</v>
          </cell>
          <cell r="CU270">
            <v>0</v>
          </cell>
          <cell r="CV270">
            <v>0</v>
          </cell>
          <cell r="CZ270">
            <v>36</v>
          </cell>
        </row>
        <row r="271">
          <cell r="C271" t="str">
            <v>02314</v>
          </cell>
          <cell r="D271" t="str">
            <v>Lý Nhựt Nguyệt</v>
          </cell>
          <cell r="E271" t="str">
            <v>Production</v>
          </cell>
          <cell r="F271" t="str">
            <v>Skiving</v>
          </cell>
          <cell r="G271" t="str">
            <v>Worker</v>
          </cell>
          <cell r="H271">
            <v>44025</v>
          </cell>
          <cell r="I271">
            <v>8</v>
          </cell>
          <cell r="J271">
            <v>8</v>
          </cell>
          <cell r="K271">
            <v>8</v>
          </cell>
          <cell r="L271" t="str">
            <v>CN</v>
          </cell>
          <cell r="M271" t="str">
            <v>Đ</v>
          </cell>
          <cell r="N271" t="str">
            <v>Đ</v>
          </cell>
          <cell r="O271" t="str">
            <v>Đ</v>
          </cell>
          <cell r="P271" t="str">
            <v>Đ</v>
          </cell>
          <cell r="Q271" t="str">
            <v>AL8</v>
          </cell>
          <cell r="R271" t="str">
            <v>AL8</v>
          </cell>
          <cell r="S271" t="str">
            <v>CN</v>
          </cell>
          <cell r="T271">
            <v>8</v>
          </cell>
          <cell r="U271">
            <v>8</v>
          </cell>
          <cell r="V271">
            <v>8</v>
          </cell>
          <cell r="W271">
            <v>8</v>
          </cell>
          <cell r="X271">
            <v>8</v>
          </cell>
          <cell r="Y271">
            <v>8</v>
          </cell>
          <cell r="Z271" t="str">
            <v>CN</v>
          </cell>
          <cell r="AA271" t="str">
            <v>UP8</v>
          </cell>
          <cell r="AB271" t="str">
            <v>Đ</v>
          </cell>
          <cell r="AC271" t="str">
            <v>Đ</v>
          </cell>
          <cell r="AD271" t="str">
            <v>Đ</v>
          </cell>
          <cell r="AE271" t="str">
            <v>Đ</v>
          </cell>
          <cell r="AF271" t="str">
            <v>Đ</v>
          </cell>
          <cell r="AG271" t="str">
            <v>CN</v>
          </cell>
          <cell r="AH271">
            <v>8</v>
          </cell>
          <cell r="AI271">
            <v>8</v>
          </cell>
          <cell r="AJ271">
            <v>8</v>
          </cell>
          <cell r="AN271">
            <v>72</v>
          </cell>
          <cell r="AO271">
            <v>96</v>
          </cell>
          <cell r="AP271">
            <v>0</v>
          </cell>
          <cell r="AQ271">
            <v>0</v>
          </cell>
          <cell r="AR271">
            <v>0</v>
          </cell>
          <cell r="AS271">
            <v>8</v>
          </cell>
          <cell r="AT271">
            <v>0</v>
          </cell>
          <cell r="AU271">
            <v>0</v>
          </cell>
          <cell r="AV271">
            <v>0</v>
          </cell>
          <cell r="AW271">
            <v>0</v>
          </cell>
          <cell r="AX271">
            <v>0</v>
          </cell>
          <cell r="AY271">
            <v>0</v>
          </cell>
          <cell r="AZ271">
            <v>0</v>
          </cell>
          <cell r="BA271">
            <v>16</v>
          </cell>
          <cell r="BB271">
            <v>0</v>
          </cell>
          <cell r="BC271">
            <v>0</v>
          </cell>
          <cell r="BD271">
            <v>0</v>
          </cell>
          <cell r="BE271">
            <v>0</v>
          </cell>
          <cell r="BF271">
            <v>0</v>
          </cell>
          <cell r="BG271">
            <v>184</v>
          </cell>
          <cell r="BH271">
            <v>2</v>
          </cell>
          <cell r="BI271">
            <v>2</v>
          </cell>
          <cell r="BJ271">
            <v>-1</v>
          </cell>
          <cell r="BL271">
            <v>0</v>
          </cell>
          <cell r="BM271">
            <v>0</v>
          </cell>
          <cell r="BN271">
            <v>0</v>
          </cell>
          <cell r="BO271">
            <v>0</v>
          </cell>
          <cell r="BP271">
            <v>1.5</v>
          </cell>
          <cell r="BQ271">
            <v>3</v>
          </cell>
          <cell r="BR271">
            <v>0</v>
          </cell>
          <cell r="BS271">
            <v>3</v>
          </cell>
          <cell r="BT271">
            <v>0</v>
          </cell>
          <cell r="BU271">
            <v>0</v>
          </cell>
          <cell r="BV271">
            <v>0</v>
          </cell>
          <cell r="BW271">
            <v>0</v>
          </cell>
          <cell r="BX271">
            <v>3</v>
          </cell>
          <cell r="BY271">
            <v>3</v>
          </cell>
          <cell r="BZ271">
            <v>3</v>
          </cell>
          <cell r="CA271">
            <v>3</v>
          </cell>
          <cell r="CB271">
            <v>3</v>
          </cell>
          <cell r="CC271">
            <v>8</v>
          </cell>
          <cell r="CD271">
            <v>3</v>
          </cell>
          <cell r="CE271">
            <v>3</v>
          </cell>
          <cell r="CF271">
            <v>3</v>
          </cell>
          <cell r="CG271">
            <v>3</v>
          </cell>
          <cell r="CH271">
            <v>1.5</v>
          </cell>
          <cell r="CI271">
            <v>1.5</v>
          </cell>
          <cell r="CJ271">
            <v>0</v>
          </cell>
          <cell r="CK271">
            <v>1.5</v>
          </cell>
          <cell r="CL271">
            <v>3</v>
          </cell>
          <cell r="CM271">
            <v>1.5</v>
          </cell>
          <cell r="CR271">
            <v>0</v>
          </cell>
          <cell r="CS271">
            <v>0</v>
          </cell>
          <cell r="CT271">
            <v>43.5</v>
          </cell>
          <cell r="CU271">
            <v>8</v>
          </cell>
          <cell r="CV271">
            <v>0</v>
          </cell>
          <cell r="CZ271">
            <v>51.5</v>
          </cell>
        </row>
        <row r="272">
          <cell r="C272" t="str">
            <v>02320</v>
          </cell>
          <cell r="D272" t="str">
            <v>Nguyễn Thị Ngọc Lan</v>
          </cell>
          <cell r="E272" t="str">
            <v>Foaming</v>
          </cell>
          <cell r="F272" t="str">
            <v>FOAMING Splitting</v>
          </cell>
          <cell r="G272" t="str">
            <v>Worker</v>
          </cell>
          <cell r="H272">
            <v>44025</v>
          </cell>
          <cell r="I272">
            <v>8</v>
          </cell>
          <cell r="J272">
            <v>8</v>
          </cell>
          <cell r="K272">
            <v>8</v>
          </cell>
          <cell r="L272" t="str">
            <v>CN</v>
          </cell>
          <cell r="M272">
            <v>8</v>
          </cell>
          <cell r="N272">
            <v>8</v>
          </cell>
          <cell r="O272">
            <v>8</v>
          </cell>
          <cell r="P272" t="str">
            <v>AL8</v>
          </cell>
          <cell r="Q272">
            <v>8</v>
          </cell>
          <cell r="R272">
            <v>8</v>
          </cell>
          <cell r="S272" t="str">
            <v>CN</v>
          </cell>
          <cell r="T272">
            <v>8</v>
          </cell>
          <cell r="U272">
            <v>8</v>
          </cell>
          <cell r="V272">
            <v>8</v>
          </cell>
          <cell r="W272">
            <v>8</v>
          </cell>
          <cell r="X272">
            <v>8</v>
          </cell>
          <cell r="Y272">
            <v>8</v>
          </cell>
          <cell r="Z272" t="str">
            <v>CN</v>
          </cell>
          <cell r="AA272" t="str">
            <v>Đ</v>
          </cell>
          <cell r="AB272" t="str">
            <v>Đ</v>
          </cell>
          <cell r="AC272" t="str">
            <v>Đ</v>
          </cell>
          <cell r="AD272" t="str">
            <v>Đ</v>
          </cell>
          <cell r="AE272" t="str">
            <v>Đ</v>
          </cell>
          <cell r="AF272" t="str">
            <v>Đ</v>
          </cell>
          <cell r="AG272" t="str">
            <v>CN</v>
          </cell>
          <cell r="AH272" t="str">
            <v>Đ</v>
          </cell>
          <cell r="AI272" t="str">
            <v>Đ</v>
          </cell>
          <cell r="AJ272" t="str">
            <v>Đ</v>
          </cell>
          <cell r="AN272">
            <v>72</v>
          </cell>
          <cell r="AO272">
            <v>112</v>
          </cell>
          <cell r="AP272">
            <v>0</v>
          </cell>
          <cell r="AQ272">
            <v>0</v>
          </cell>
          <cell r="AR272">
            <v>0</v>
          </cell>
          <cell r="AS272">
            <v>0</v>
          </cell>
          <cell r="AT272">
            <v>0</v>
          </cell>
          <cell r="AU272">
            <v>0</v>
          </cell>
          <cell r="AV272">
            <v>0</v>
          </cell>
          <cell r="AW272">
            <v>0</v>
          </cell>
          <cell r="AX272">
            <v>0</v>
          </cell>
          <cell r="AY272">
            <v>0</v>
          </cell>
          <cell r="AZ272">
            <v>0</v>
          </cell>
          <cell r="BA272">
            <v>8</v>
          </cell>
          <cell r="BB272">
            <v>0</v>
          </cell>
          <cell r="BC272">
            <v>0</v>
          </cell>
          <cell r="BD272">
            <v>0</v>
          </cell>
          <cell r="BE272">
            <v>0</v>
          </cell>
          <cell r="BF272">
            <v>0</v>
          </cell>
          <cell r="BG272">
            <v>192</v>
          </cell>
          <cell r="BH272">
            <v>1</v>
          </cell>
          <cell r="BI272">
            <v>1</v>
          </cell>
          <cell r="BJ272">
            <v>1</v>
          </cell>
          <cell r="BL272">
            <v>4</v>
          </cell>
          <cell r="BM272">
            <v>4</v>
          </cell>
          <cell r="BN272">
            <v>0</v>
          </cell>
          <cell r="BO272">
            <v>12</v>
          </cell>
          <cell r="BP272">
            <v>0</v>
          </cell>
          <cell r="BQ272">
            <v>4</v>
          </cell>
          <cell r="BR272">
            <v>4</v>
          </cell>
          <cell r="BS272">
            <v>0</v>
          </cell>
          <cell r="BT272">
            <v>4</v>
          </cell>
          <cell r="BU272">
            <v>4</v>
          </cell>
          <cell r="BV272">
            <v>12</v>
          </cell>
          <cell r="BW272">
            <v>4</v>
          </cell>
          <cell r="BX272">
            <v>4</v>
          </cell>
          <cell r="BY272">
            <v>4</v>
          </cell>
          <cell r="BZ272">
            <v>4</v>
          </cell>
          <cell r="CA272">
            <v>4</v>
          </cell>
          <cell r="CB272">
            <v>4</v>
          </cell>
          <cell r="CC272" t="str">
            <v>12Đ</v>
          </cell>
          <cell r="CD272">
            <v>4</v>
          </cell>
          <cell r="CE272">
            <v>4</v>
          </cell>
          <cell r="CF272">
            <v>4</v>
          </cell>
          <cell r="CG272">
            <v>4</v>
          </cell>
          <cell r="CH272">
            <v>4</v>
          </cell>
          <cell r="CI272">
            <v>4</v>
          </cell>
          <cell r="CJ272" t="str">
            <v>12Đ</v>
          </cell>
          <cell r="CK272">
            <v>4</v>
          </cell>
          <cell r="CL272">
            <v>0</v>
          </cell>
          <cell r="CM272">
            <v>4</v>
          </cell>
          <cell r="CR272">
            <v>0</v>
          </cell>
          <cell r="CS272">
            <v>0</v>
          </cell>
          <cell r="CT272">
            <v>80</v>
          </cell>
          <cell r="CU272">
            <v>32</v>
          </cell>
          <cell r="CV272">
            <v>16</v>
          </cell>
          <cell r="CZ272">
            <v>128</v>
          </cell>
        </row>
        <row r="273">
          <cell r="C273" t="str">
            <v>02322</v>
          </cell>
          <cell r="D273" t="str">
            <v>Lâm Thị Tú Phương</v>
          </cell>
          <cell r="E273" t="str">
            <v>Foaming</v>
          </cell>
          <cell r="F273" t="str">
            <v>FOAMING Splitting</v>
          </cell>
          <cell r="G273" t="str">
            <v>Worker</v>
          </cell>
          <cell r="H273">
            <v>44025</v>
          </cell>
          <cell r="I273" t="str">
            <v>Đ</v>
          </cell>
          <cell r="J273" t="str">
            <v>Đ</v>
          </cell>
          <cell r="K273" t="str">
            <v>Đ</v>
          </cell>
          <cell r="L273" t="str">
            <v>CN</v>
          </cell>
          <cell r="M273" t="str">
            <v>Đ</v>
          </cell>
          <cell r="N273" t="str">
            <v>Đ</v>
          </cell>
          <cell r="O273" t="str">
            <v>Đ</v>
          </cell>
          <cell r="P273" t="str">
            <v>Đ</v>
          </cell>
          <cell r="Q273" t="str">
            <v>Đ</v>
          </cell>
          <cell r="R273" t="str">
            <v>Đ</v>
          </cell>
          <cell r="S273" t="str">
            <v>CN</v>
          </cell>
          <cell r="T273" t="str">
            <v>Đ</v>
          </cell>
          <cell r="U273" t="str">
            <v>Đ</v>
          </cell>
          <cell r="V273" t="str">
            <v>Đ</v>
          </cell>
          <cell r="W273" t="str">
            <v>Đ</v>
          </cell>
          <cell r="X273" t="str">
            <v>Đ</v>
          </cell>
          <cell r="Y273" t="str">
            <v>Đ</v>
          </cell>
          <cell r="Z273" t="str">
            <v>CN</v>
          </cell>
          <cell r="AA273">
            <v>8</v>
          </cell>
          <cell r="AB273">
            <v>8</v>
          </cell>
          <cell r="AC273">
            <v>8</v>
          </cell>
          <cell r="AD273">
            <v>8</v>
          </cell>
          <cell r="AE273">
            <v>8</v>
          </cell>
          <cell r="AF273">
            <v>8</v>
          </cell>
          <cell r="AG273" t="str">
            <v>CN</v>
          </cell>
          <cell r="AH273">
            <v>8</v>
          </cell>
          <cell r="AI273">
            <v>8</v>
          </cell>
          <cell r="AJ273">
            <v>8</v>
          </cell>
          <cell r="AN273">
            <v>120</v>
          </cell>
          <cell r="AO273">
            <v>72</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192</v>
          </cell>
          <cell r="BH273">
            <v>0</v>
          </cell>
          <cell r="BI273">
            <v>0</v>
          </cell>
          <cell r="BJ273">
            <v>0.5</v>
          </cell>
          <cell r="BL273">
            <v>4</v>
          </cell>
          <cell r="BM273">
            <v>4</v>
          </cell>
          <cell r="BN273">
            <v>4</v>
          </cell>
          <cell r="BO273" t="str">
            <v>12Đ</v>
          </cell>
          <cell r="BP273">
            <v>2</v>
          </cell>
          <cell r="BQ273">
            <v>4</v>
          </cell>
          <cell r="BR273">
            <v>4</v>
          </cell>
          <cell r="BS273">
            <v>4</v>
          </cell>
          <cell r="BT273">
            <v>4</v>
          </cell>
          <cell r="BU273">
            <v>4</v>
          </cell>
          <cell r="BV273" t="str">
            <v>12Đ</v>
          </cell>
          <cell r="BW273">
            <v>4</v>
          </cell>
          <cell r="BX273">
            <v>4</v>
          </cell>
          <cell r="BY273">
            <v>4</v>
          </cell>
          <cell r="BZ273">
            <v>4</v>
          </cell>
          <cell r="CA273">
            <v>4</v>
          </cell>
          <cell r="CB273">
            <v>4</v>
          </cell>
          <cell r="CC273">
            <v>0</v>
          </cell>
          <cell r="CD273">
            <v>4</v>
          </cell>
          <cell r="CE273">
            <v>4</v>
          </cell>
          <cell r="CF273">
            <v>4</v>
          </cell>
          <cell r="CG273">
            <v>2</v>
          </cell>
          <cell r="CH273">
            <v>4</v>
          </cell>
          <cell r="CI273">
            <v>2</v>
          </cell>
          <cell r="CJ273">
            <v>12</v>
          </cell>
          <cell r="CK273">
            <v>4</v>
          </cell>
          <cell r="CL273">
            <v>0</v>
          </cell>
          <cell r="CM273">
            <v>4</v>
          </cell>
          <cell r="CR273">
            <v>0</v>
          </cell>
          <cell r="CS273">
            <v>0</v>
          </cell>
          <cell r="CT273">
            <v>86</v>
          </cell>
          <cell r="CU273">
            <v>20</v>
          </cell>
          <cell r="CV273">
            <v>16</v>
          </cell>
          <cell r="CZ273">
            <v>122</v>
          </cell>
        </row>
        <row r="274">
          <cell r="C274" t="str">
            <v>02328</v>
          </cell>
          <cell r="D274" t="str">
            <v>Biện Công Phúc Vy</v>
          </cell>
          <cell r="E274" t="str">
            <v>Foaming</v>
          </cell>
          <cell r="F274" t="str">
            <v>FOAMING Rectangular</v>
          </cell>
          <cell r="G274" t="str">
            <v>Operator</v>
          </cell>
          <cell r="H274">
            <v>44029</v>
          </cell>
          <cell r="I274" t="str">
            <v>Đ</v>
          </cell>
          <cell r="J274" t="str">
            <v>Đ</v>
          </cell>
          <cell r="K274" t="str">
            <v>Đ</v>
          </cell>
          <cell r="L274" t="str">
            <v>CN</v>
          </cell>
          <cell r="M274" t="str">
            <v>Đ</v>
          </cell>
          <cell r="N274" t="str">
            <v>Đ</v>
          </cell>
          <cell r="O274" t="str">
            <v>Đ</v>
          </cell>
          <cell r="P274" t="str">
            <v>Đ</v>
          </cell>
          <cell r="Q274" t="str">
            <v>Đ</v>
          </cell>
          <cell r="R274" t="str">
            <v>Đ</v>
          </cell>
          <cell r="S274" t="str">
            <v>CN</v>
          </cell>
          <cell r="T274" t="str">
            <v>Đ</v>
          </cell>
          <cell r="U274" t="str">
            <v>Đ</v>
          </cell>
          <cell r="V274" t="str">
            <v>Đ</v>
          </cell>
          <cell r="W274" t="str">
            <v>Đ</v>
          </cell>
          <cell r="X274" t="str">
            <v>Đ</v>
          </cell>
          <cell r="Y274" t="str">
            <v>Đ</v>
          </cell>
          <cell r="Z274" t="str">
            <v>CN</v>
          </cell>
          <cell r="AA274" t="str">
            <v>AL8</v>
          </cell>
          <cell r="AB274">
            <v>8</v>
          </cell>
          <cell r="AC274">
            <v>8</v>
          </cell>
          <cell r="AD274">
            <v>8</v>
          </cell>
          <cell r="AE274">
            <v>8</v>
          </cell>
          <cell r="AF274">
            <v>8</v>
          </cell>
          <cell r="AG274" t="str">
            <v>CN</v>
          </cell>
          <cell r="AH274">
            <v>8</v>
          </cell>
          <cell r="AI274">
            <v>8</v>
          </cell>
          <cell r="AJ274">
            <v>8</v>
          </cell>
          <cell r="AN274">
            <v>120</v>
          </cell>
          <cell r="AO274">
            <v>64</v>
          </cell>
          <cell r="AP274">
            <v>0</v>
          </cell>
          <cell r="AQ274">
            <v>0</v>
          </cell>
          <cell r="AR274">
            <v>0</v>
          </cell>
          <cell r="AS274">
            <v>0</v>
          </cell>
          <cell r="AT274">
            <v>0</v>
          </cell>
          <cell r="AU274">
            <v>0</v>
          </cell>
          <cell r="AV274">
            <v>0</v>
          </cell>
          <cell r="AW274">
            <v>0</v>
          </cell>
          <cell r="AX274">
            <v>0</v>
          </cell>
          <cell r="AY274">
            <v>0</v>
          </cell>
          <cell r="AZ274">
            <v>0</v>
          </cell>
          <cell r="BA274">
            <v>8</v>
          </cell>
          <cell r="BB274">
            <v>0</v>
          </cell>
          <cell r="BC274">
            <v>0</v>
          </cell>
          <cell r="BD274">
            <v>0</v>
          </cell>
          <cell r="BE274">
            <v>0</v>
          </cell>
          <cell r="BF274">
            <v>0</v>
          </cell>
          <cell r="BG274">
            <v>192</v>
          </cell>
          <cell r="BH274">
            <v>1</v>
          </cell>
          <cell r="BI274">
            <v>1</v>
          </cell>
          <cell r="BJ274">
            <v>1</v>
          </cell>
          <cell r="BL274">
            <v>4</v>
          </cell>
          <cell r="BM274">
            <v>4</v>
          </cell>
          <cell r="BN274">
            <v>4</v>
          </cell>
          <cell r="BO274" t="str">
            <v>12Đ</v>
          </cell>
          <cell r="BP274">
            <v>0</v>
          </cell>
          <cell r="BQ274">
            <v>4</v>
          </cell>
          <cell r="BR274">
            <v>4</v>
          </cell>
          <cell r="BS274">
            <v>4</v>
          </cell>
          <cell r="BT274">
            <v>4</v>
          </cell>
          <cell r="BU274">
            <v>4</v>
          </cell>
          <cell r="BV274" t="str">
            <v>12Đ</v>
          </cell>
          <cell r="BW274">
            <v>4</v>
          </cell>
          <cell r="BX274">
            <v>4</v>
          </cell>
          <cell r="BY274">
            <v>4</v>
          </cell>
          <cell r="BZ274">
            <v>4</v>
          </cell>
          <cell r="CA274">
            <v>4</v>
          </cell>
          <cell r="CB274">
            <v>4</v>
          </cell>
          <cell r="CC274">
            <v>0</v>
          </cell>
          <cell r="CD274">
            <v>0</v>
          </cell>
          <cell r="CE274">
            <v>4</v>
          </cell>
          <cell r="CF274">
            <v>4</v>
          </cell>
          <cell r="CG274">
            <v>4</v>
          </cell>
          <cell r="CH274">
            <v>4</v>
          </cell>
          <cell r="CI274">
            <v>4</v>
          </cell>
          <cell r="CJ274">
            <v>12</v>
          </cell>
          <cell r="CK274">
            <v>0</v>
          </cell>
          <cell r="CL274">
            <v>4</v>
          </cell>
          <cell r="CM274">
            <v>4</v>
          </cell>
          <cell r="CR274">
            <v>0</v>
          </cell>
          <cell r="CS274">
            <v>0</v>
          </cell>
          <cell r="CT274">
            <v>84</v>
          </cell>
          <cell r="CU274">
            <v>20</v>
          </cell>
          <cell r="CV274">
            <v>16</v>
          </cell>
          <cell r="CZ274">
            <v>120</v>
          </cell>
        </row>
        <row r="275">
          <cell r="C275" t="str">
            <v>02334</v>
          </cell>
          <cell r="D275" t="str">
            <v>Y Nhung</v>
          </cell>
          <cell r="E275" t="str">
            <v>Production</v>
          </cell>
          <cell r="F275" t="str">
            <v>Molding</v>
          </cell>
          <cell r="G275" t="str">
            <v>Worker</v>
          </cell>
          <cell r="H275">
            <v>44029</v>
          </cell>
          <cell r="I275">
            <v>8</v>
          </cell>
          <cell r="J275" t="str">
            <v>CN</v>
          </cell>
          <cell r="K275" t="str">
            <v>Đ</v>
          </cell>
          <cell r="L275" t="str">
            <v>Đ</v>
          </cell>
          <cell r="M275" t="str">
            <v>Đ</v>
          </cell>
          <cell r="N275" t="str">
            <v>Đ</v>
          </cell>
          <cell r="O275" t="str">
            <v>Đ</v>
          </cell>
          <cell r="P275" t="str">
            <v>Đ</v>
          </cell>
          <cell r="Q275" t="str">
            <v>CN</v>
          </cell>
          <cell r="R275">
            <v>8</v>
          </cell>
          <cell r="S275">
            <v>8</v>
          </cell>
          <cell r="T275">
            <v>8</v>
          </cell>
          <cell r="U275">
            <v>8</v>
          </cell>
          <cell r="V275">
            <v>8</v>
          </cell>
          <cell r="W275">
            <v>8</v>
          </cell>
          <cell r="X275" t="str">
            <v>CN</v>
          </cell>
          <cell r="Y275" t="str">
            <v>Đ</v>
          </cell>
          <cell r="Z275" t="str">
            <v>Đ</v>
          </cell>
          <cell r="AA275" t="str">
            <v>Đ</v>
          </cell>
          <cell r="AB275" t="str">
            <v>Đ</v>
          </cell>
          <cell r="AC275" t="str">
            <v>Đ</v>
          </cell>
          <cell r="AD275" t="str">
            <v>Đ</v>
          </cell>
          <cell r="AE275" t="str">
            <v>CN</v>
          </cell>
          <cell r="AF275">
            <v>8</v>
          </cell>
          <cell r="AG275">
            <v>8</v>
          </cell>
          <cell r="AH275">
            <v>8</v>
          </cell>
          <cell r="AI275">
            <v>8</v>
          </cell>
          <cell r="AJ275">
            <v>8</v>
          </cell>
          <cell r="AN275">
            <v>96</v>
          </cell>
          <cell r="AO275">
            <v>96</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192</v>
          </cell>
          <cell r="BH275">
            <v>0</v>
          </cell>
          <cell r="BI275">
            <v>0</v>
          </cell>
          <cell r="BJ275">
            <v>4</v>
          </cell>
          <cell r="BL275">
            <v>0</v>
          </cell>
          <cell r="BM275">
            <v>0</v>
          </cell>
          <cell r="BN275">
            <v>4</v>
          </cell>
          <cell r="BO275">
            <v>4</v>
          </cell>
          <cell r="BP275">
            <v>0</v>
          </cell>
          <cell r="BQ275">
            <v>0</v>
          </cell>
          <cell r="BR275">
            <v>0</v>
          </cell>
          <cell r="BS275">
            <v>0</v>
          </cell>
          <cell r="BT275">
            <v>0</v>
          </cell>
          <cell r="BU275">
            <v>4</v>
          </cell>
          <cell r="BV275">
            <v>4</v>
          </cell>
          <cell r="BW275">
            <v>0</v>
          </cell>
          <cell r="BX275">
            <v>0</v>
          </cell>
          <cell r="BY275">
            <v>0</v>
          </cell>
          <cell r="BZ275">
            <v>0</v>
          </cell>
          <cell r="CA275">
            <v>0</v>
          </cell>
          <cell r="CB275">
            <v>4</v>
          </cell>
          <cell r="CC275">
            <v>4</v>
          </cell>
          <cell r="CD275">
            <v>0</v>
          </cell>
          <cell r="CE275">
            <v>0</v>
          </cell>
          <cell r="CF275">
            <v>0</v>
          </cell>
          <cell r="CG275">
            <v>0</v>
          </cell>
          <cell r="CH275">
            <v>0</v>
          </cell>
          <cell r="CI275">
            <v>4</v>
          </cell>
          <cell r="CJ275">
            <v>4</v>
          </cell>
          <cell r="CK275">
            <v>0</v>
          </cell>
          <cell r="CL275">
            <v>0</v>
          </cell>
          <cell r="CM275">
            <v>0</v>
          </cell>
          <cell r="CR275">
            <v>0</v>
          </cell>
          <cell r="CS275">
            <v>0</v>
          </cell>
          <cell r="CT275">
            <v>32</v>
          </cell>
          <cell r="CU275">
            <v>0</v>
          </cell>
          <cell r="CV275">
            <v>0</v>
          </cell>
          <cell r="CZ275">
            <v>32</v>
          </cell>
        </row>
        <row r="276">
          <cell r="C276" t="str">
            <v>02336</v>
          </cell>
          <cell r="D276" t="str">
            <v xml:space="preserve">Phạm Hoàng Nam </v>
          </cell>
          <cell r="E276" t="str">
            <v>Foaming</v>
          </cell>
          <cell r="F276" t="str">
            <v>FOAMING Splitting</v>
          </cell>
          <cell r="G276" t="str">
            <v>Worker</v>
          </cell>
          <cell r="H276">
            <v>44033</v>
          </cell>
          <cell r="I276" t="str">
            <v>Đ</v>
          </cell>
          <cell r="J276" t="str">
            <v>Đ</v>
          </cell>
          <cell r="K276" t="str">
            <v>Đ</v>
          </cell>
          <cell r="L276" t="str">
            <v>CN</v>
          </cell>
          <cell r="M276" t="str">
            <v>Đ</v>
          </cell>
          <cell r="N276" t="str">
            <v>Đ</v>
          </cell>
          <cell r="O276" t="str">
            <v>Đ</v>
          </cell>
          <cell r="P276" t="str">
            <v>Đ</v>
          </cell>
          <cell r="Q276" t="str">
            <v>Đ</v>
          </cell>
          <cell r="R276" t="str">
            <v>Đ</v>
          </cell>
          <cell r="S276" t="str">
            <v>CN</v>
          </cell>
          <cell r="T276" t="str">
            <v>Đ</v>
          </cell>
          <cell r="U276" t="str">
            <v>Đ</v>
          </cell>
          <cell r="V276" t="str">
            <v>Đ</v>
          </cell>
          <cell r="W276" t="str">
            <v>Đ</v>
          </cell>
          <cell r="X276" t="str">
            <v>Đ</v>
          </cell>
          <cell r="Y276" t="str">
            <v>Đ</v>
          </cell>
          <cell r="Z276" t="str">
            <v>CN</v>
          </cell>
          <cell r="AA276">
            <v>8</v>
          </cell>
          <cell r="AB276">
            <v>8</v>
          </cell>
          <cell r="AC276">
            <v>8</v>
          </cell>
          <cell r="AD276">
            <v>8</v>
          </cell>
          <cell r="AE276">
            <v>8</v>
          </cell>
          <cell r="AF276">
            <v>8</v>
          </cell>
          <cell r="AG276" t="str">
            <v>CN</v>
          </cell>
          <cell r="AH276">
            <v>8</v>
          </cell>
          <cell r="AI276">
            <v>8</v>
          </cell>
          <cell r="AJ276">
            <v>8</v>
          </cell>
          <cell r="AN276">
            <v>120</v>
          </cell>
          <cell r="AO276">
            <v>72</v>
          </cell>
          <cell r="AP276">
            <v>0</v>
          </cell>
          <cell r="AQ276">
            <v>0</v>
          </cell>
          <cell r="AR276">
            <v>0</v>
          </cell>
          <cell r="AS276">
            <v>0</v>
          </cell>
          <cell r="AT276">
            <v>0</v>
          </cell>
          <cell r="AU276">
            <v>0</v>
          </cell>
          <cell r="AV276">
            <v>0</v>
          </cell>
          <cell r="AW276">
            <v>0</v>
          </cell>
          <cell r="AX276">
            <v>0</v>
          </cell>
          <cell r="AY276">
            <v>0</v>
          </cell>
          <cell r="AZ276">
            <v>0</v>
          </cell>
          <cell r="BA276">
            <v>0</v>
          </cell>
          <cell r="BB276">
            <v>0</v>
          </cell>
          <cell r="BC276">
            <v>0</v>
          </cell>
          <cell r="BD276">
            <v>0</v>
          </cell>
          <cell r="BE276">
            <v>0</v>
          </cell>
          <cell r="BF276">
            <v>0</v>
          </cell>
          <cell r="BG276">
            <v>192</v>
          </cell>
          <cell r="BH276">
            <v>0</v>
          </cell>
          <cell r="BI276">
            <v>0</v>
          </cell>
          <cell r="BJ276">
            <v>-0.5</v>
          </cell>
          <cell r="BL276">
            <v>4</v>
          </cell>
          <cell r="BM276">
            <v>4</v>
          </cell>
          <cell r="BN276">
            <v>4</v>
          </cell>
          <cell r="BO276" t="str">
            <v>12Đ</v>
          </cell>
          <cell r="BP276">
            <v>2</v>
          </cell>
          <cell r="BQ276">
            <v>4</v>
          </cell>
          <cell r="BR276">
            <v>4</v>
          </cell>
          <cell r="BS276">
            <v>4</v>
          </cell>
          <cell r="BT276">
            <v>4</v>
          </cell>
          <cell r="BU276">
            <v>4</v>
          </cell>
          <cell r="BV276" t="str">
            <v>12Đ</v>
          </cell>
          <cell r="BW276">
            <v>4</v>
          </cell>
          <cell r="BX276">
            <v>4</v>
          </cell>
          <cell r="BY276">
            <v>4</v>
          </cell>
          <cell r="BZ276">
            <v>4</v>
          </cell>
          <cell r="CA276">
            <v>4</v>
          </cell>
          <cell r="CB276">
            <v>4</v>
          </cell>
          <cell r="CC276">
            <v>0</v>
          </cell>
          <cell r="CD276">
            <v>4</v>
          </cell>
          <cell r="CE276">
            <v>4</v>
          </cell>
          <cell r="CF276">
            <v>4</v>
          </cell>
          <cell r="CG276">
            <v>2</v>
          </cell>
          <cell r="CH276">
            <v>4</v>
          </cell>
          <cell r="CI276">
            <v>2</v>
          </cell>
          <cell r="CJ276">
            <v>12</v>
          </cell>
          <cell r="CK276">
            <v>4</v>
          </cell>
          <cell r="CL276">
            <v>0</v>
          </cell>
          <cell r="CM276">
            <v>4</v>
          </cell>
          <cell r="CR276">
            <v>0</v>
          </cell>
          <cell r="CS276">
            <v>0</v>
          </cell>
          <cell r="CT276">
            <v>86</v>
          </cell>
          <cell r="CU276">
            <v>20</v>
          </cell>
          <cell r="CV276">
            <v>16</v>
          </cell>
          <cell r="CZ276">
            <v>122</v>
          </cell>
        </row>
        <row r="277">
          <cell r="C277" t="str">
            <v>02342</v>
          </cell>
          <cell r="D277" t="str">
            <v xml:space="preserve">Bùi Thị Trang </v>
          </cell>
          <cell r="E277" t="str">
            <v>Production</v>
          </cell>
          <cell r="F277" t="str">
            <v>Die Cut</v>
          </cell>
          <cell r="G277" t="str">
            <v>Worker</v>
          </cell>
          <cell r="H277">
            <v>44033</v>
          </cell>
          <cell r="I277" t="str">
            <v>Đ</v>
          </cell>
          <cell r="J277" t="str">
            <v>Đ</v>
          </cell>
          <cell r="K277" t="str">
            <v>Đ</v>
          </cell>
          <cell r="L277" t="str">
            <v>CN</v>
          </cell>
          <cell r="M277">
            <v>8</v>
          </cell>
          <cell r="N277">
            <v>8</v>
          </cell>
          <cell r="O277">
            <v>8</v>
          </cell>
          <cell r="P277">
            <v>8</v>
          </cell>
          <cell r="Q277">
            <v>8</v>
          </cell>
          <cell r="R277">
            <v>8</v>
          </cell>
          <cell r="S277" t="str">
            <v>CN</v>
          </cell>
          <cell r="T277" t="str">
            <v>Đ</v>
          </cell>
          <cell r="U277" t="str">
            <v>Đ</v>
          </cell>
          <cell r="V277" t="str">
            <v>Đ</v>
          </cell>
          <cell r="W277" t="str">
            <v>Đ</v>
          </cell>
          <cell r="X277" t="str">
            <v>Đ</v>
          </cell>
          <cell r="Y277" t="str">
            <v>Đ</v>
          </cell>
          <cell r="Z277" t="str">
            <v>CN</v>
          </cell>
          <cell r="AA277">
            <v>8</v>
          </cell>
          <cell r="AB277">
            <v>8</v>
          </cell>
          <cell r="AC277">
            <v>8</v>
          </cell>
          <cell r="AD277">
            <v>8</v>
          </cell>
          <cell r="AE277">
            <v>8</v>
          </cell>
          <cell r="AF277">
            <v>8</v>
          </cell>
          <cell r="AG277" t="str">
            <v>CN</v>
          </cell>
          <cell r="AH277" t="str">
            <v>Đ</v>
          </cell>
          <cell r="AI277" t="str">
            <v>Đ</v>
          </cell>
          <cell r="AJ277" t="str">
            <v>Đ</v>
          </cell>
          <cell r="AN277">
            <v>96</v>
          </cell>
          <cell r="AO277">
            <v>96</v>
          </cell>
          <cell r="AP277">
            <v>0</v>
          </cell>
          <cell r="AQ277">
            <v>0</v>
          </cell>
          <cell r="AR277">
            <v>0</v>
          </cell>
          <cell r="AS277">
            <v>0</v>
          </cell>
          <cell r="AT277">
            <v>0</v>
          </cell>
          <cell r="AU277">
            <v>0</v>
          </cell>
          <cell r="AV277">
            <v>0</v>
          </cell>
          <cell r="AW277">
            <v>0</v>
          </cell>
          <cell r="AX277">
            <v>0</v>
          </cell>
          <cell r="AY277">
            <v>0</v>
          </cell>
          <cell r="AZ277">
            <v>0</v>
          </cell>
          <cell r="BA277">
            <v>0</v>
          </cell>
          <cell r="BB277">
            <v>0</v>
          </cell>
          <cell r="BC277">
            <v>0</v>
          </cell>
          <cell r="BD277">
            <v>0</v>
          </cell>
          <cell r="BE277">
            <v>0</v>
          </cell>
          <cell r="BF277">
            <v>0</v>
          </cell>
          <cell r="BG277">
            <v>192</v>
          </cell>
          <cell r="BH277">
            <v>0</v>
          </cell>
          <cell r="BI277">
            <v>0</v>
          </cell>
          <cell r="BJ277">
            <v>2</v>
          </cell>
          <cell r="BL277">
            <v>1.5</v>
          </cell>
          <cell r="BM277">
            <v>1.5</v>
          </cell>
          <cell r="BN277">
            <v>1.5</v>
          </cell>
          <cell r="BO277">
            <v>0</v>
          </cell>
          <cell r="BP277">
            <v>1.5</v>
          </cell>
          <cell r="BQ277">
            <v>0</v>
          </cell>
          <cell r="BR277">
            <v>0</v>
          </cell>
          <cell r="BS277">
            <v>0</v>
          </cell>
          <cell r="BT277">
            <v>3</v>
          </cell>
          <cell r="BU277">
            <v>3</v>
          </cell>
          <cell r="BV277">
            <v>0</v>
          </cell>
          <cell r="BW277">
            <v>4</v>
          </cell>
          <cell r="BX277">
            <v>4</v>
          </cell>
          <cell r="BY277">
            <v>4</v>
          </cell>
          <cell r="BZ277">
            <v>4</v>
          </cell>
          <cell r="CA277">
            <v>4</v>
          </cell>
          <cell r="CB277">
            <v>4</v>
          </cell>
          <cell r="CC277">
            <v>0</v>
          </cell>
          <cell r="CD277">
            <v>3</v>
          </cell>
          <cell r="CE277">
            <v>3</v>
          </cell>
          <cell r="CF277">
            <v>3</v>
          </cell>
          <cell r="CG277">
            <v>3</v>
          </cell>
          <cell r="CH277">
            <v>3</v>
          </cell>
          <cell r="CI277">
            <v>3</v>
          </cell>
          <cell r="CJ277">
            <v>8</v>
          </cell>
          <cell r="CK277">
            <v>4</v>
          </cell>
          <cell r="CL277">
            <v>4</v>
          </cell>
          <cell r="CM277">
            <v>4</v>
          </cell>
          <cell r="CR277">
            <v>0</v>
          </cell>
          <cell r="CS277">
            <v>0</v>
          </cell>
          <cell r="CT277">
            <v>66</v>
          </cell>
          <cell r="CU277">
            <v>8</v>
          </cell>
          <cell r="CV277">
            <v>0</v>
          </cell>
          <cell r="CZ277">
            <v>74</v>
          </cell>
        </row>
        <row r="278">
          <cell r="C278" t="str">
            <v>02352</v>
          </cell>
          <cell r="D278" t="str">
            <v>Nguyễn Văn Khánh</v>
          </cell>
          <cell r="E278" t="str">
            <v>Foaming</v>
          </cell>
          <cell r="F278" t="str">
            <v>FOAMING Rectangular</v>
          </cell>
          <cell r="G278" t="str">
            <v>Skilled worker</v>
          </cell>
          <cell r="H278">
            <v>44043</v>
          </cell>
          <cell r="I278" t="str">
            <v>AL8</v>
          </cell>
          <cell r="J278" t="str">
            <v>Đ</v>
          </cell>
          <cell r="K278" t="str">
            <v>Đ</v>
          </cell>
          <cell r="L278" t="str">
            <v>CN</v>
          </cell>
          <cell r="M278" t="str">
            <v>Đ</v>
          </cell>
          <cell r="N278" t="str">
            <v>Đ</v>
          </cell>
          <cell r="O278" t="str">
            <v>Đ</v>
          </cell>
          <cell r="P278" t="str">
            <v>Đ</v>
          </cell>
          <cell r="Q278" t="str">
            <v>Đ</v>
          </cell>
          <cell r="R278" t="str">
            <v>Đ</v>
          </cell>
          <cell r="S278" t="str">
            <v>CN</v>
          </cell>
          <cell r="T278" t="str">
            <v>Đ</v>
          </cell>
          <cell r="U278" t="str">
            <v>Đ</v>
          </cell>
          <cell r="V278" t="str">
            <v>Đ</v>
          </cell>
          <cell r="W278" t="str">
            <v>Đ</v>
          </cell>
          <cell r="X278" t="str">
            <v>Đ</v>
          </cell>
          <cell r="Y278" t="str">
            <v>Đ</v>
          </cell>
          <cell r="Z278" t="str">
            <v>CN</v>
          </cell>
          <cell r="AA278">
            <v>8</v>
          </cell>
          <cell r="AB278">
            <v>8</v>
          </cell>
          <cell r="AC278">
            <v>8</v>
          </cell>
          <cell r="AD278">
            <v>8</v>
          </cell>
          <cell r="AE278">
            <v>8</v>
          </cell>
          <cell r="AF278">
            <v>8</v>
          </cell>
          <cell r="AG278" t="str">
            <v>CN</v>
          </cell>
          <cell r="AH278">
            <v>8</v>
          </cell>
          <cell r="AI278">
            <v>8</v>
          </cell>
          <cell r="AJ278">
            <v>8</v>
          </cell>
          <cell r="AN278">
            <v>112</v>
          </cell>
          <cell r="AO278">
            <v>72</v>
          </cell>
          <cell r="AP278">
            <v>0</v>
          </cell>
          <cell r="AQ278">
            <v>0</v>
          </cell>
          <cell r="AR278">
            <v>0</v>
          </cell>
          <cell r="AS278">
            <v>0</v>
          </cell>
          <cell r="AT278">
            <v>0</v>
          </cell>
          <cell r="AU278">
            <v>0</v>
          </cell>
          <cell r="AV278">
            <v>0</v>
          </cell>
          <cell r="AW278">
            <v>0</v>
          </cell>
          <cell r="AX278">
            <v>0</v>
          </cell>
          <cell r="AY278">
            <v>0</v>
          </cell>
          <cell r="AZ278">
            <v>0</v>
          </cell>
          <cell r="BA278">
            <v>8</v>
          </cell>
          <cell r="BB278">
            <v>0</v>
          </cell>
          <cell r="BC278">
            <v>0</v>
          </cell>
          <cell r="BD278">
            <v>0</v>
          </cell>
          <cell r="BE278">
            <v>0</v>
          </cell>
          <cell r="BF278">
            <v>0</v>
          </cell>
          <cell r="BG278">
            <v>192</v>
          </cell>
          <cell r="BH278">
            <v>1</v>
          </cell>
          <cell r="BI278">
            <v>1</v>
          </cell>
          <cell r="BJ278">
            <v>2</v>
          </cell>
          <cell r="BL278">
            <v>0</v>
          </cell>
          <cell r="BM278">
            <v>0</v>
          </cell>
          <cell r="BN278">
            <v>4</v>
          </cell>
          <cell r="BO278" t="str">
            <v>12Đ</v>
          </cell>
          <cell r="BP278">
            <v>2</v>
          </cell>
          <cell r="BQ278">
            <v>4</v>
          </cell>
          <cell r="BR278">
            <v>3</v>
          </cell>
          <cell r="BS278">
            <v>4</v>
          </cell>
          <cell r="BT278">
            <v>4</v>
          </cell>
          <cell r="BU278">
            <v>4</v>
          </cell>
          <cell r="BV278" t="str">
            <v>12Đ</v>
          </cell>
          <cell r="BW278">
            <v>4</v>
          </cell>
          <cell r="BX278">
            <v>4</v>
          </cell>
          <cell r="BY278">
            <v>4</v>
          </cell>
          <cell r="BZ278">
            <v>4</v>
          </cell>
          <cell r="CA278">
            <v>4</v>
          </cell>
          <cell r="CB278">
            <v>4</v>
          </cell>
          <cell r="CC278">
            <v>0</v>
          </cell>
          <cell r="CD278">
            <v>4</v>
          </cell>
          <cell r="CE278">
            <v>4</v>
          </cell>
          <cell r="CF278">
            <v>4</v>
          </cell>
          <cell r="CG278">
            <v>4</v>
          </cell>
          <cell r="CH278">
            <v>4</v>
          </cell>
          <cell r="CI278">
            <v>4</v>
          </cell>
          <cell r="CJ278">
            <v>12</v>
          </cell>
          <cell r="CK278">
            <v>4</v>
          </cell>
          <cell r="CL278">
            <v>4</v>
          </cell>
          <cell r="CM278">
            <v>0</v>
          </cell>
          <cell r="CR278">
            <v>0</v>
          </cell>
          <cell r="CS278">
            <v>0</v>
          </cell>
          <cell r="CT278">
            <v>81</v>
          </cell>
          <cell r="CU278">
            <v>20</v>
          </cell>
          <cell r="CV278">
            <v>16</v>
          </cell>
          <cell r="CZ278">
            <v>117</v>
          </cell>
        </row>
        <row r="279">
          <cell r="C279" t="str">
            <v>02356</v>
          </cell>
          <cell r="D279" t="str">
            <v>Nguyễn Thị Thúy Hằng</v>
          </cell>
          <cell r="E279" t="str">
            <v>QC</v>
          </cell>
          <cell r="F279" t="str">
            <v>QC</v>
          </cell>
          <cell r="G279" t="str">
            <v>Worker</v>
          </cell>
          <cell r="H279">
            <v>44043</v>
          </cell>
          <cell r="I279" t="str">
            <v>Đ</v>
          </cell>
          <cell r="J279" t="str">
            <v>Đ</v>
          </cell>
          <cell r="K279" t="str">
            <v>Đ</v>
          </cell>
          <cell r="L279" t="str">
            <v>CN</v>
          </cell>
          <cell r="M279" t="str">
            <v>Đ</v>
          </cell>
          <cell r="N279" t="str">
            <v>Đ</v>
          </cell>
          <cell r="O279" t="str">
            <v>Đ</v>
          </cell>
          <cell r="P279" t="str">
            <v>Đ</v>
          </cell>
          <cell r="Q279" t="str">
            <v>Đ</v>
          </cell>
          <cell r="R279" t="str">
            <v>Đ</v>
          </cell>
          <cell r="S279" t="str">
            <v>CN</v>
          </cell>
          <cell r="T279" t="str">
            <v>Đ</v>
          </cell>
          <cell r="U279" t="str">
            <v>Đ</v>
          </cell>
          <cell r="V279" t="str">
            <v>Đ</v>
          </cell>
          <cell r="W279" t="str">
            <v>Đ</v>
          </cell>
          <cell r="X279" t="str">
            <v>Đ</v>
          </cell>
          <cell r="Y279" t="str">
            <v>Đ</v>
          </cell>
          <cell r="Z279" t="str">
            <v>CN</v>
          </cell>
          <cell r="AA279">
            <v>8</v>
          </cell>
          <cell r="AB279">
            <v>8</v>
          </cell>
          <cell r="AC279">
            <v>8</v>
          </cell>
          <cell r="AD279">
            <v>8</v>
          </cell>
          <cell r="AE279">
            <v>8</v>
          </cell>
          <cell r="AF279">
            <v>8</v>
          </cell>
          <cell r="AG279" t="str">
            <v>CN</v>
          </cell>
          <cell r="AH279">
            <v>8</v>
          </cell>
          <cell r="AI279">
            <v>8</v>
          </cell>
          <cell r="AJ279">
            <v>8</v>
          </cell>
          <cell r="AN279">
            <v>120</v>
          </cell>
          <cell r="AO279">
            <v>72</v>
          </cell>
          <cell r="AP279">
            <v>0</v>
          </cell>
          <cell r="AQ279">
            <v>0</v>
          </cell>
          <cell r="AR279">
            <v>0</v>
          </cell>
          <cell r="AS279">
            <v>0</v>
          </cell>
          <cell r="AT279">
            <v>0</v>
          </cell>
          <cell r="AU279">
            <v>0</v>
          </cell>
          <cell r="AV279">
            <v>0</v>
          </cell>
          <cell r="AW279">
            <v>0</v>
          </cell>
          <cell r="AX279">
            <v>0</v>
          </cell>
          <cell r="AY279">
            <v>0</v>
          </cell>
          <cell r="AZ279">
            <v>0</v>
          </cell>
          <cell r="BA279">
            <v>0</v>
          </cell>
          <cell r="BB279">
            <v>0</v>
          </cell>
          <cell r="BC279">
            <v>0</v>
          </cell>
          <cell r="BD279">
            <v>0</v>
          </cell>
          <cell r="BE279">
            <v>0</v>
          </cell>
          <cell r="BF279">
            <v>0</v>
          </cell>
          <cell r="BG279">
            <v>192</v>
          </cell>
          <cell r="BH279">
            <v>0</v>
          </cell>
          <cell r="BI279">
            <v>0</v>
          </cell>
          <cell r="BJ279">
            <v>2.5</v>
          </cell>
          <cell r="BL279">
            <v>2</v>
          </cell>
          <cell r="BM279">
            <v>2</v>
          </cell>
          <cell r="BN279">
            <v>2</v>
          </cell>
          <cell r="BO279" t="str">
            <v>12Đ</v>
          </cell>
          <cell r="BP279">
            <v>2</v>
          </cell>
          <cell r="BQ279">
            <v>2</v>
          </cell>
          <cell r="BR279">
            <v>1</v>
          </cell>
          <cell r="BS279">
            <v>1</v>
          </cell>
          <cell r="BT279">
            <v>2</v>
          </cell>
          <cell r="BU279">
            <v>2</v>
          </cell>
          <cell r="BV279" t="str">
            <v>10Đ</v>
          </cell>
          <cell r="BW279">
            <v>2</v>
          </cell>
          <cell r="BX279">
            <v>3</v>
          </cell>
          <cell r="BY279">
            <v>3</v>
          </cell>
          <cell r="BZ279">
            <v>3</v>
          </cell>
          <cell r="CA279">
            <v>2</v>
          </cell>
          <cell r="CB279">
            <v>0</v>
          </cell>
          <cell r="CC279">
            <v>0</v>
          </cell>
          <cell r="CD279">
            <v>3</v>
          </cell>
          <cell r="CE279">
            <v>3</v>
          </cell>
          <cell r="CF279">
            <v>3</v>
          </cell>
          <cell r="CG279">
            <v>2</v>
          </cell>
          <cell r="CH279">
            <v>2</v>
          </cell>
          <cell r="CI279">
            <v>2</v>
          </cell>
          <cell r="CJ279">
            <v>10</v>
          </cell>
          <cell r="CK279">
            <v>0</v>
          </cell>
          <cell r="CL279">
            <v>0</v>
          </cell>
          <cell r="CM279">
            <v>2</v>
          </cell>
          <cell r="CR279">
            <v>0</v>
          </cell>
          <cell r="CS279">
            <v>0</v>
          </cell>
          <cell r="CT279">
            <v>46</v>
          </cell>
          <cell r="CU279">
            <v>16</v>
          </cell>
          <cell r="CV279">
            <v>16</v>
          </cell>
          <cell r="CZ279">
            <v>78</v>
          </cell>
        </row>
        <row r="280">
          <cell r="C280" t="str">
            <v>02363</v>
          </cell>
          <cell r="D280" t="str">
            <v>Nguyễn Thị Diểm</v>
          </cell>
          <cell r="E280" t="str">
            <v>Production</v>
          </cell>
          <cell r="F280" t="str">
            <v>Lamination</v>
          </cell>
          <cell r="G280" t="str">
            <v>Worker</v>
          </cell>
          <cell r="H280">
            <v>44043</v>
          </cell>
          <cell r="I280">
            <v>8</v>
          </cell>
          <cell r="J280">
            <v>8</v>
          </cell>
          <cell r="K280">
            <v>8</v>
          </cell>
          <cell r="L280" t="str">
            <v>CN</v>
          </cell>
          <cell r="M280">
            <v>8</v>
          </cell>
          <cell r="N280">
            <v>8</v>
          </cell>
          <cell r="O280">
            <v>8</v>
          </cell>
          <cell r="P280">
            <v>8</v>
          </cell>
          <cell r="Q280">
            <v>8</v>
          </cell>
          <cell r="R280">
            <v>8</v>
          </cell>
          <cell r="S280" t="str">
            <v>CN</v>
          </cell>
          <cell r="T280" t="str">
            <v>Đ</v>
          </cell>
          <cell r="U280" t="str">
            <v>Đ</v>
          </cell>
          <cell r="V280" t="str">
            <v>Đ</v>
          </cell>
          <cell r="W280" t="str">
            <v>Đ</v>
          </cell>
          <cell r="X280" t="str">
            <v>Đ</v>
          </cell>
          <cell r="Y280" t="str">
            <v>Đ</v>
          </cell>
          <cell r="Z280" t="str">
            <v>CN</v>
          </cell>
          <cell r="AA280" t="str">
            <v>Đ</v>
          </cell>
          <cell r="AB280" t="str">
            <v>Đ</v>
          </cell>
          <cell r="AC280" t="str">
            <v>Đ</v>
          </cell>
          <cell r="AD280" t="str">
            <v>Đ</v>
          </cell>
          <cell r="AE280" t="str">
            <v>CN</v>
          </cell>
          <cell r="AF280">
            <v>8</v>
          </cell>
          <cell r="AG280" t="str">
            <v>Đ</v>
          </cell>
          <cell r="AH280" t="str">
            <v>Đ</v>
          </cell>
          <cell r="AI280" t="str">
            <v>Đ</v>
          </cell>
          <cell r="AJ280" t="str">
            <v>Đ</v>
          </cell>
          <cell r="AN280">
            <v>112</v>
          </cell>
          <cell r="AO280">
            <v>80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192</v>
          </cell>
          <cell r="BH280">
            <v>0</v>
          </cell>
          <cell r="BI280">
            <v>0</v>
          </cell>
          <cell r="BJ280">
            <v>3</v>
          </cell>
          <cell r="BL280">
            <v>0</v>
          </cell>
          <cell r="BM280">
            <v>4</v>
          </cell>
          <cell r="BN280">
            <v>0</v>
          </cell>
          <cell r="BO280">
            <v>0</v>
          </cell>
          <cell r="BP280">
            <v>0</v>
          </cell>
          <cell r="BQ280">
            <v>0</v>
          </cell>
          <cell r="BR280">
            <v>4</v>
          </cell>
          <cell r="BS280">
            <v>0</v>
          </cell>
          <cell r="BT280">
            <v>4</v>
          </cell>
          <cell r="BU280">
            <v>4</v>
          </cell>
          <cell r="BV280">
            <v>0</v>
          </cell>
          <cell r="BW280">
            <v>2</v>
          </cell>
          <cell r="BX280">
            <v>0</v>
          </cell>
          <cell r="BY280">
            <v>4</v>
          </cell>
          <cell r="BZ280">
            <v>0</v>
          </cell>
          <cell r="CA280">
            <v>4</v>
          </cell>
          <cell r="CB280">
            <v>0</v>
          </cell>
          <cell r="CC280">
            <v>0</v>
          </cell>
          <cell r="CD280">
            <v>0</v>
          </cell>
          <cell r="CE280">
            <v>4</v>
          </cell>
          <cell r="CF280">
            <v>0</v>
          </cell>
          <cell r="CG280">
            <v>0</v>
          </cell>
          <cell r="CH280">
            <v>0</v>
          </cell>
          <cell r="CI280">
            <v>4</v>
          </cell>
          <cell r="CJ280">
            <v>4</v>
          </cell>
          <cell r="CK280">
            <v>0</v>
          </cell>
          <cell r="CL280">
            <v>4</v>
          </cell>
          <cell r="CM280">
            <v>0</v>
          </cell>
          <cell r="CR280">
            <v>0</v>
          </cell>
          <cell r="CS280">
            <v>0</v>
          </cell>
          <cell r="CT280">
            <v>42</v>
          </cell>
          <cell r="CU280">
            <v>0</v>
          </cell>
          <cell r="CV280">
            <v>0</v>
          </cell>
          <cell r="CZ280">
            <v>42</v>
          </cell>
        </row>
        <row r="281">
          <cell r="C281" t="str">
            <v>02364</v>
          </cell>
          <cell r="D281" t="str">
            <v>Huỳnh Thị Ngọc Quyền</v>
          </cell>
          <cell r="E281" t="str">
            <v>Production</v>
          </cell>
          <cell r="F281" t="str">
            <v>Packing</v>
          </cell>
          <cell r="G281" t="str">
            <v>Worker</v>
          </cell>
          <cell r="H281">
            <v>44043</v>
          </cell>
          <cell r="I281">
            <v>8</v>
          </cell>
          <cell r="J281">
            <v>8</v>
          </cell>
          <cell r="K281">
            <v>8</v>
          </cell>
          <cell r="L281" t="str">
            <v>CN</v>
          </cell>
          <cell r="M281" t="str">
            <v>Đ</v>
          </cell>
          <cell r="N281" t="str">
            <v>Đ</v>
          </cell>
          <cell r="O281" t="str">
            <v>Đ</v>
          </cell>
          <cell r="P281" t="str">
            <v>Đ</v>
          </cell>
          <cell r="Q281" t="str">
            <v>Đ</v>
          </cell>
          <cell r="R281" t="str">
            <v>Đ</v>
          </cell>
          <cell r="S281" t="str">
            <v>CN</v>
          </cell>
          <cell r="T281">
            <v>8</v>
          </cell>
          <cell r="U281">
            <v>8</v>
          </cell>
          <cell r="V281">
            <v>8</v>
          </cell>
          <cell r="W281">
            <v>8</v>
          </cell>
          <cell r="X281">
            <v>8</v>
          </cell>
          <cell r="Y281">
            <v>8</v>
          </cell>
          <cell r="Z281" t="str">
            <v>CN</v>
          </cell>
          <cell r="AA281" t="str">
            <v>Đ</v>
          </cell>
          <cell r="AB281" t="str">
            <v>Đ</v>
          </cell>
          <cell r="AC281" t="str">
            <v>Đ</v>
          </cell>
          <cell r="AD281" t="str">
            <v>Đ</v>
          </cell>
          <cell r="AE281" t="str">
            <v>Đ</v>
          </cell>
          <cell r="AF281" t="str">
            <v>Đ</v>
          </cell>
          <cell r="AG281" t="str">
            <v>CN</v>
          </cell>
          <cell r="AH281">
            <v>8</v>
          </cell>
          <cell r="AI281">
            <v>8</v>
          </cell>
          <cell r="AJ281">
            <v>8</v>
          </cell>
          <cell r="AN281">
            <v>96</v>
          </cell>
          <cell r="AO281">
            <v>96</v>
          </cell>
          <cell r="AP281">
            <v>0</v>
          </cell>
          <cell r="AQ281">
            <v>0</v>
          </cell>
          <cell r="AR281">
            <v>0</v>
          </cell>
          <cell r="AS281">
            <v>0</v>
          </cell>
          <cell r="AT281">
            <v>0</v>
          </cell>
          <cell r="AU281">
            <v>0</v>
          </cell>
          <cell r="AV281">
            <v>0</v>
          </cell>
          <cell r="AW281">
            <v>0</v>
          </cell>
          <cell r="AX281">
            <v>0</v>
          </cell>
          <cell r="AY281">
            <v>0</v>
          </cell>
          <cell r="AZ281">
            <v>0</v>
          </cell>
          <cell r="BA281">
            <v>0</v>
          </cell>
          <cell r="BB281">
            <v>0</v>
          </cell>
          <cell r="BC281">
            <v>0</v>
          </cell>
          <cell r="BD281">
            <v>0</v>
          </cell>
          <cell r="BE281">
            <v>0</v>
          </cell>
          <cell r="BF281">
            <v>0</v>
          </cell>
          <cell r="BG281">
            <v>192</v>
          </cell>
          <cell r="BH281">
            <v>0</v>
          </cell>
          <cell r="BI281">
            <v>0</v>
          </cell>
          <cell r="BJ281">
            <v>2.5</v>
          </cell>
          <cell r="BL281">
            <v>0</v>
          </cell>
          <cell r="BM281">
            <v>0</v>
          </cell>
          <cell r="BN281">
            <v>0</v>
          </cell>
          <cell r="BO281">
            <v>0</v>
          </cell>
          <cell r="BP281">
            <v>1.5</v>
          </cell>
          <cell r="BQ281">
            <v>3</v>
          </cell>
          <cell r="BR281">
            <v>0</v>
          </cell>
          <cell r="BS281">
            <v>3</v>
          </cell>
          <cell r="BT281">
            <v>3</v>
          </cell>
          <cell r="BU281">
            <v>0</v>
          </cell>
          <cell r="BV281">
            <v>0</v>
          </cell>
          <cell r="BW281">
            <v>3</v>
          </cell>
          <cell r="BX281">
            <v>3</v>
          </cell>
          <cell r="BY281">
            <v>3</v>
          </cell>
          <cell r="BZ281">
            <v>3</v>
          </cell>
          <cell r="CA281">
            <v>3</v>
          </cell>
          <cell r="CB281">
            <v>3</v>
          </cell>
          <cell r="CC281">
            <v>8</v>
          </cell>
          <cell r="CD281">
            <v>4</v>
          </cell>
          <cell r="CE281">
            <v>4</v>
          </cell>
          <cell r="CF281">
            <v>4</v>
          </cell>
          <cell r="CG281">
            <v>4</v>
          </cell>
          <cell r="CH281">
            <v>1.5</v>
          </cell>
          <cell r="CI281">
            <v>1.5</v>
          </cell>
          <cell r="CJ281">
            <v>0</v>
          </cell>
          <cell r="CK281">
            <v>1.5</v>
          </cell>
          <cell r="CL281">
            <v>1.5</v>
          </cell>
          <cell r="CM281">
            <v>1.5</v>
          </cell>
          <cell r="CR281">
            <v>0</v>
          </cell>
          <cell r="CS281">
            <v>0</v>
          </cell>
          <cell r="CT281">
            <v>52</v>
          </cell>
          <cell r="CU281">
            <v>8</v>
          </cell>
          <cell r="CV281">
            <v>0</v>
          </cell>
          <cell r="CZ281">
            <v>60</v>
          </cell>
        </row>
        <row r="282">
          <cell r="C282" t="str">
            <v>02414</v>
          </cell>
          <cell r="D282" t="str">
            <v xml:space="preserve">Phan Hữu Anh </v>
          </cell>
          <cell r="E282" t="str">
            <v>Production</v>
          </cell>
          <cell r="F282" t="str">
            <v>Die Cut</v>
          </cell>
          <cell r="G282" t="str">
            <v>Vice Leader</v>
          </cell>
          <cell r="H282">
            <v>44053</v>
          </cell>
          <cell r="I282">
            <v>8</v>
          </cell>
          <cell r="J282">
            <v>8</v>
          </cell>
          <cell r="K282">
            <v>8</v>
          </cell>
          <cell r="L282" t="str">
            <v>CN</v>
          </cell>
          <cell r="M282" t="str">
            <v>UP8</v>
          </cell>
          <cell r="N282" t="str">
            <v>UP8</v>
          </cell>
          <cell r="O282" t="str">
            <v>UP8</v>
          </cell>
          <cell r="P282" t="str">
            <v>UP8</v>
          </cell>
          <cell r="Q282" t="str">
            <v>UP8</v>
          </cell>
          <cell r="R282" t="str">
            <v>UP8</v>
          </cell>
          <cell r="S282" t="str">
            <v>CN</v>
          </cell>
          <cell r="T282" t="str">
            <v>UP8</v>
          </cell>
          <cell r="U282" t="str">
            <v>UP8</v>
          </cell>
          <cell r="V282" t="str">
            <v>UP8</v>
          </cell>
          <cell r="W282">
            <v>8</v>
          </cell>
          <cell r="X282">
            <v>8</v>
          </cell>
          <cell r="Y282">
            <v>8</v>
          </cell>
          <cell r="Z282" t="str">
            <v>CN</v>
          </cell>
          <cell r="AA282" t="str">
            <v>Đ</v>
          </cell>
          <cell r="AB282" t="str">
            <v>Đ</v>
          </cell>
          <cell r="AC282" t="str">
            <v>Đ</v>
          </cell>
          <cell r="AD282" t="str">
            <v>Đ</v>
          </cell>
          <cell r="AE282" t="str">
            <v>Đ</v>
          </cell>
          <cell r="AF282" t="str">
            <v>Đ</v>
          </cell>
          <cell r="AG282" t="str">
            <v>CN</v>
          </cell>
          <cell r="AH282">
            <v>8</v>
          </cell>
          <cell r="AI282">
            <v>8</v>
          </cell>
          <cell r="AJ282">
            <v>8</v>
          </cell>
          <cell r="AN282">
            <v>48</v>
          </cell>
          <cell r="AO282">
            <v>72</v>
          </cell>
          <cell r="AP282">
            <v>0</v>
          </cell>
          <cell r="AQ282">
            <v>0</v>
          </cell>
          <cell r="AR282">
            <v>0</v>
          </cell>
          <cell r="AS282">
            <v>72</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120</v>
          </cell>
          <cell r="BH282">
            <v>0</v>
          </cell>
          <cell r="BI282">
            <v>0</v>
          </cell>
          <cell r="BJ282">
            <v>2.5</v>
          </cell>
          <cell r="BL282">
            <v>0</v>
          </cell>
          <cell r="BM282">
            <v>0</v>
          </cell>
          <cell r="BN282">
            <v>1.5</v>
          </cell>
          <cell r="BO282">
            <v>0</v>
          </cell>
          <cell r="BP282">
            <v>0</v>
          </cell>
          <cell r="BQ282">
            <v>0</v>
          </cell>
          <cell r="BR282">
            <v>0</v>
          </cell>
          <cell r="BS282">
            <v>0</v>
          </cell>
          <cell r="BT282">
            <v>0</v>
          </cell>
          <cell r="BU282">
            <v>0</v>
          </cell>
          <cell r="BV282">
            <v>0</v>
          </cell>
          <cell r="BW282">
            <v>0</v>
          </cell>
          <cell r="BX282">
            <v>0</v>
          </cell>
          <cell r="BY282">
            <v>0</v>
          </cell>
          <cell r="BZ282">
            <v>1</v>
          </cell>
          <cell r="CA282">
            <v>3</v>
          </cell>
          <cell r="CB282">
            <v>3</v>
          </cell>
          <cell r="CC282">
            <v>8</v>
          </cell>
          <cell r="CD282">
            <v>4</v>
          </cell>
          <cell r="CE282">
            <v>4</v>
          </cell>
          <cell r="CF282">
            <v>4</v>
          </cell>
          <cell r="CG282">
            <v>4</v>
          </cell>
          <cell r="CH282">
            <v>1.5</v>
          </cell>
          <cell r="CI282">
            <v>4</v>
          </cell>
          <cell r="CJ282">
            <v>0</v>
          </cell>
          <cell r="CK282">
            <v>1.5</v>
          </cell>
          <cell r="CL282">
            <v>2</v>
          </cell>
          <cell r="CM282">
            <v>2</v>
          </cell>
          <cell r="CR282">
            <v>0</v>
          </cell>
          <cell r="CS282">
            <v>0</v>
          </cell>
          <cell r="CT282">
            <v>35.5</v>
          </cell>
          <cell r="CU282">
            <v>8</v>
          </cell>
          <cell r="CV282">
            <v>0</v>
          </cell>
          <cell r="CZ282">
            <v>43.5</v>
          </cell>
        </row>
        <row r="283">
          <cell r="C283" t="str">
            <v>02415</v>
          </cell>
          <cell r="D283" t="str">
            <v>Hoàng Xuân Chính</v>
          </cell>
          <cell r="E283" t="str">
            <v>Production</v>
          </cell>
          <cell r="F283" t="str">
            <v>Prefitting</v>
          </cell>
          <cell r="G283" t="str">
            <v>Worker</v>
          </cell>
          <cell r="H283">
            <v>44053</v>
          </cell>
          <cell r="I283">
            <v>8</v>
          </cell>
          <cell r="J283">
            <v>8</v>
          </cell>
          <cell r="K283">
            <v>8</v>
          </cell>
          <cell r="L283" t="str">
            <v>CN</v>
          </cell>
          <cell r="M283" t="str">
            <v>Đ</v>
          </cell>
          <cell r="N283" t="str">
            <v>Đ</v>
          </cell>
          <cell r="O283" t="str">
            <v>Đ</v>
          </cell>
          <cell r="P283" t="str">
            <v>Đ</v>
          </cell>
          <cell r="Q283" t="str">
            <v>Đ</v>
          </cell>
          <cell r="R283" t="str">
            <v>Đ</v>
          </cell>
          <cell r="S283" t="str">
            <v>CN</v>
          </cell>
          <cell r="T283">
            <v>8</v>
          </cell>
          <cell r="U283">
            <v>8</v>
          </cell>
          <cell r="V283">
            <v>8</v>
          </cell>
          <cell r="W283">
            <v>8</v>
          </cell>
          <cell r="X283">
            <v>8</v>
          </cell>
          <cell r="Y283">
            <v>8</v>
          </cell>
          <cell r="Z283" t="str">
            <v>CN</v>
          </cell>
          <cell r="AA283">
            <v>8</v>
          </cell>
          <cell r="AB283">
            <v>8</v>
          </cell>
          <cell r="AC283">
            <v>8</v>
          </cell>
          <cell r="AD283">
            <v>8</v>
          </cell>
          <cell r="AE283">
            <v>8</v>
          </cell>
          <cell r="AF283">
            <v>8</v>
          </cell>
          <cell r="AG283" t="str">
            <v>CN</v>
          </cell>
          <cell r="AH283">
            <v>8</v>
          </cell>
          <cell r="AI283">
            <v>8</v>
          </cell>
          <cell r="AJ283">
            <v>8</v>
          </cell>
          <cell r="AN283">
            <v>48</v>
          </cell>
          <cell r="AO283">
            <v>144</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192</v>
          </cell>
          <cell r="BH283">
            <v>0</v>
          </cell>
          <cell r="BI283">
            <v>0</v>
          </cell>
          <cell r="BJ283">
            <v>1.5</v>
          </cell>
          <cell r="BL283">
            <v>0</v>
          </cell>
          <cell r="BM283">
            <v>0</v>
          </cell>
          <cell r="BN283">
            <v>0</v>
          </cell>
          <cell r="BO283">
            <v>0</v>
          </cell>
          <cell r="BP283">
            <v>0</v>
          </cell>
          <cell r="BQ283">
            <v>0</v>
          </cell>
          <cell r="BR283">
            <v>0</v>
          </cell>
          <cell r="BS283">
            <v>0</v>
          </cell>
          <cell r="BT283">
            <v>0</v>
          </cell>
          <cell r="BU283">
            <v>0</v>
          </cell>
          <cell r="BV283">
            <v>0</v>
          </cell>
          <cell r="BW283">
            <v>0</v>
          </cell>
          <cell r="BX283">
            <v>0</v>
          </cell>
          <cell r="BY283">
            <v>0</v>
          </cell>
          <cell r="BZ283">
            <v>0</v>
          </cell>
          <cell r="CA283">
            <v>0</v>
          </cell>
          <cell r="CB283">
            <v>0</v>
          </cell>
          <cell r="CC283">
            <v>0</v>
          </cell>
          <cell r="CD283">
            <v>0</v>
          </cell>
          <cell r="CE283">
            <v>0</v>
          </cell>
          <cell r="CF283">
            <v>0</v>
          </cell>
          <cell r="CG283">
            <v>0</v>
          </cell>
          <cell r="CH283">
            <v>0</v>
          </cell>
          <cell r="CI283">
            <v>4</v>
          </cell>
          <cell r="CJ283">
            <v>0</v>
          </cell>
          <cell r="CK283">
            <v>0</v>
          </cell>
          <cell r="CL283">
            <v>0</v>
          </cell>
          <cell r="CM283">
            <v>0</v>
          </cell>
          <cell r="CR283">
            <v>0</v>
          </cell>
          <cell r="CS283">
            <v>0</v>
          </cell>
          <cell r="CT283">
            <v>4</v>
          </cell>
          <cell r="CU283">
            <v>0</v>
          </cell>
          <cell r="CV283">
            <v>0</v>
          </cell>
          <cell r="CZ283">
            <v>4</v>
          </cell>
        </row>
        <row r="284">
          <cell r="C284" t="str">
            <v>02426</v>
          </cell>
          <cell r="D284" t="str">
            <v>Nguyễn Văn Huy</v>
          </cell>
          <cell r="E284" t="str">
            <v>Production</v>
          </cell>
          <cell r="F284" t="str">
            <v>Prefitting</v>
          </cell>
          <cell r="G284" t="str">
            <v>Group Leader</v>
          </cell>
          <cell r="H284">
            <v>44060</v>
          </cell>
          <cell r="I284">
            <v>8</v>
          </cell>
          <cell r="J284">
            <v>8</v>
          </cell>
          <cell r="K284">
            <v>8</v>
          </cell>
          <cell r="L284" t="str">
            <v>CN</v>
          </cell>
          <cell r="M284" t="str">
            <v>AL4</v>
          </cell>
          <cell r="N284">
            <v>8</v>
          </cell>
          <cell r="O284">
            <v>8</v>
          </cell>
          <cell r="P284">
            <v>8</v>
          </cell>
          <cell r="Q284" t="str">
            <v>PO</v>
          </cell>
          <cell r="R284" t="str">
            <v>AL8</v>
          </cell>
          <cell r="S284" t="str">
            <v>CN</v>
          </cell>
          <cell r="T284">
            <v>8</v>
          </cell>
          <cell r="U284">
            <v>8</v>
          </cell>
          <cell r="V284">
            <v>8</v>
          </cell>
          <cell r="W284">
            <v>8</v>
          </cell>
          <cell r="X284">
            <v>8</v>
          </cell>
          <cell r="Y284">
            <v>8</v>
          </cell>
          <cell r="Z284" t="str">
            <v>CN</v>
          </cell>
          <cell r="AA284">
            <v>8</v>
          </cell>
          <cell r="AB284">
            <v>8</v>
          </cell>
          <cell r="AC284">
            <v>8</v>
          </cell>
          <cell r="AD284">
            <v>8</v>
          </cell>
          <cell r="AE284">
            <v>8</v>
          </cell>
          <cell r="AF284">
            <v>8</v>
          </cell>
          <cell r="AG284" t="str">
            <v>CN</v>
          </cell>
          <cell r="AH284">
            <v>8</v>
          </cell>
          <cell r="AI284">
            <v>8</v>
          </cell>
          <cell r="AJ284">
            <v>8</v>
          </cell>
          <cell r="AN284">
            <v>0</v>
          </cell>
          <cell r="AO284">
            <v>172</v>
          </cell>
          <cell r="AP284">
            <v>4</v>
          </cell>
          <cell r="AQ284">
            <v>0</v>
          </cell>
          <cell r="AR284">
            <v>0</v>
          </cell>
          <cell r="AS284">
            <v>0</v>
          </cell>
          <cell r="AT284">
            <v>0</v>
          </cell>
          <cell r="AU284">
            <v>0</v>
          </cell>
          <cell r="AV284">
            <v>8</v>
          </cell>
          <cell r="AW284">
            <v>0</v>
          </cell>
          <cell r="AX284">
            <v>0</v>
          </cell>
          <cell r="AY284">
            <v>0</v>
          </cell>
          <cell r="AZ284">
            <v>0</v>
          </cell>
          <cell r="BA284">
            <v>12</v>
          </cell>
          <cell r="BB284">
            <v>0</v>
          </cell>
          <cell r="BC284">
            <v>0</v>
          </cell>
          <cell r="BD284">
            <v>0</v>
          </cell>
          <cell r="BE284">
            <v>0</v>
          </cell>
          <cell r="BF284">
            <v>0</v>
          </cell>
          <cell r="BG284">
            <v>192</v>
          </cell>
          <cell r="BH284">
            <v>1.5</v>
          </cell>
          <cell r="BI284">
            <v>1.5</v>
          </cell>
          <cell r="BJ284">
            <v>2.5</v>
          </cell>
          <cell r="BL284">
            <v>0</v>
          </cell>
          <cell r="BM284">
            <v>0</v>
          </cell>
          <cell r="BN284">
            <v>0</v>
          </cell>
          <cell r="BO284">
            <v>0</v>
          </cell>
          <cell r="BP284">
            <v>0</v>
          </cell>
          <cell r="BQ284">
            <v>0</v>
          </cell>
          <cell r="BR284">
            <v>0</v>
          </cell>
          <cell r="BS284">
            <v>0</v>
          </cell>
          <cell r="BT284">
            <v>0</v>
          </cell>
          <cell r="BU284">
            <v>0</v>
          </cell>
          <cell r="BV284">
            <v>0</v>
          </cell>
          <cell r="BW284">
            <v>0</v>
          </cell>
          <cell r="BX284">
            <v>2</v>
          </cell>
          <cell r="BY284">
            <v>2</v>
          </cell>
          <cell r="BZ284">
            <v>2</v>
          </cell>
          <cell r="CA284">
            <v>2</v>
          </cell>
          <cell r="CB284">
            <v>0</v>
          </cell>
          <cell r="CC284">
            <v>0</v>
          </cell>
          <cell r="CD284">
            <v>2</v>
          </cell>
          <cell r="CE284">
            <v>0</v>
          </cell>
          <cell r="CF284">
            <v>0</v>
          </cell>
          <cell r="CG284">
            <v>3</v>
          </cell>
          <cell r="CH284">
            <v>0</v>
          </cell>
          <cell r="CI284">
            <v>2.5</v>
          </cell>
          <cell r="CJ284">
            <v>0</v>
          </cell>
          <cell r="CK284">
            <v>2.5</v>
          </cell>
          <cell r="CL284">
            <v>2.5</v>
          </cell>
          <cell r="CM284">
            <v>2</v>
          </cell>
          <cell r="CR284">
            <v>0</v>
          </cell>
          <cell r="CS284">
            <v>0</v>
          </cell>
          <cell r="CT284">
            <v>22.5</v>
          </cell>
          <cell r="CU284">
            <v>0</v>
          </cell>
          <cell r="CV284">
            <v>0</v>
          </cell>
          <cell r="CZ284">
            <v>22.5</v>
          </cell>
        </row>
        <row r="285">
          <cell r="C285" t="str">
            <v>02434</v>
          </cell>
          <cell r="D285" t="str">
            <v>Lê Thị Hiền</v>
          </cell>
          <cell r="E285" t="str">
            <v>Production</v>
          </cell>
          <cell r="F285" t="str">
            <v>Logo</v>
          </cell>
          <cell r="G285" t="str">
            <v>Worker</v>
          </cell>
          <cell r="H285">
            <v>44060</v>
          </cell>
          <cell r="I285">
            <v>8</v>
          </cell>
          <cell r="J285">
            <v>8</v>
          </cell>
          <cell r="K285">
            <v>8</v>
          </cell>
          <cell r="L285" t="str">
            <v>CN</v>
          </cell>
          <cell r="M285" t="str">
            <v>Đ</v>
          </cell>
          <cell r="N285" t="str">
            <v>Đ</v>
          </cell>
          <cell r="O285" t="str">
            <v>Đ</v>
          </cell>
          <cell r="P285" t="str">
            <v>Đ</v>
          </cell>
          <cell r="Q285" t="str">
            <v>Đ</v>
          </cell>
          <cell r="R285" t="str">
            <v>Đ</v>
          </cell>
          <cell r="S285" t="str">
            <v>CN</v>
          </cell>
          <cell r="T285">
            <v>8</v>
          </cell>
          <cell r="U285">
            <v>8</v>
          </cell>
          <cell r="V285">
            <v>8</v>
          </cell>
          <cell r="W285">
            <v>8</v>
          </cell>
          <cell r="X285">
            <v>8</v>
          </cell>
          <cell r="Y285">
            <v>8</v>
          </cell>
          <cell r="Z285" t="str">
            <v>CN</v>
          </cell>
          <cell r="AA285" t="str">
            <v>Đ</v>
          </cell>
          <cell r="AB285" t="str">
            <v>Đ</v>
          </cell>
          <cell r="AC285" t="str">
            <v>Đ</v>
          </cell>
          <cell r="AD285" t="str">
            <v>Đ</v>
          </cell>
          <cell r="AE285" t="str">
            <v>Đ</v>
          </cell>
          <cell r="AF285" t="str">
            <v>Đ</v>
          </cell>
          <cell r="AG285" t="str">
            <v>CN</v>
          </cell>
          <cell r="AH285">
            <v>8</v>
          </cell>
          <cell r="AI285">
            <v>8</v>
          </cell>
          <cell r="AJ285">
            <v>8</v>
          </cell>
          <cell r="AN285">
            <v>96</v>
          </cell>
          <cell r="AO285">
            <v>96</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192</v>
          </cell>
          <cell r="BH285">
            <v>0</v>
          </cell>
          <cell r="BI285">
            <v>0</v>
          </cell>
          <cell r="BJ285">
            <v>3.5</v>
          </cell>
          <cell r="BL285">
            <v>0</v>
          </cell>
          <cell r="BM285">
            <v>0</v>
          </cell>
          <cell r="BN285">
            <v>0</v>
          </cell>
          <cell r="BO285">
            <v>0</v>
          </cell>
          <cell r="BP285">
            <v>1.5</v>
          </cell>
          <cell r="BQ285">
            <v>3</v>
          </cell>
          <cell r="BR285">
            <v>0</v>
          </cell>
          <cell r="BS285">
            <v>3</v>
          </cell>
          <cell r="BT285">
            <v>3</v>
          </cell>
          <cell r="BU285">
            <v>0</v>
          </cell>
          <cell r="BV285">
            <v>0</v>
          </cell>
          <cell r="BW285">
            <v>3</v>
          </cell>
          <cell r="BX285">
            <v>3</v>
          </cell>
          <cell r="BY285">
            <v>3</v>
          </cell>
          <cell r="BZ285">
            <v>3</v>
          </cell>
          <cell r="CA285">
            <v>3</v>
          </cell>
          <cell r="CB285">
            <v>3</v>
          </cell>
          <cell r="CC285">
            <v>8</v>
          </cell>
          <cell r="CD285">
            <v>4</v>
          </cell>
          <cell r="CE285">
            <v>4</v>
          </cell>
          <cell r="CF285">
            <v>4</v>
          </cell>
          <cell r="CG285">
            <v>4</v>
          </cell>
          <cell r="CH285">
            <v>1.5</v>
          </cell>
          <cell r="CI285">
            <v>4</v>
          </cell>
          <cell r="CJ285">
            <v>0</v>
          </cell>
          <cell r="CK285">
            <v>1.5</v>
          </cell>
          <cell r="CL285">
            <v>1.5</v>
          </cell>
          <cell r="CM285">
            <v>1.5</v>
          </cell>
          <cell r="CR285">
            <v>0</v>
          </cell>
          <cell r="CS285">
            <v>0</v>
          </cell>
          <cell r="CT285">
            <v>54.5</v>
          </cell>
          <cell r="CU285">
            <v>8</v>
          </cell>
          <cell r="CV285">
            <v>0</v>
          </cell>
          <cell r="CZ285">
            <v>62.5</v>
          </cell>
        </row>
        <row r="286">
          <cell r="C286" t="str">
            <v>02439</v>
          </cell>
          <cell r="D286" t="str">
            <v>Vòong Kim Tài</v>
          </cell>
          <cell r="E286" t="str">
            <v>Production</v>
          </cell>
          <cell r="F286" t="str">
            <v>Prefitting</v>
          </cell>
          <cell r="G286" t="str">
            <v>Worker</v>
          </cell>
          <cell r="H286">
            <v>44062</v>
          </cell>
          <cell r="I286" t="str">
            <v>Đ</v>
          </cell>
          <cell r="J286" t="str">
            <v>Đ</v>
          </cell>
          <cell r="K286" t="str">
            <v>Đ</v>
          </cell>
          <cell r="L286" t="str">
            <v>CN</v>
          </cell>
          <cell r="M286">
            <v>8</v>
          </cell>
          <cell r="N286">
            <v>8</v>
          </cell>
          <cell r="O286">
            <v>8</v>
          </cell>
          <cell r="P286">
            <v>8</v>
          </cell>
          <cell r="Q286">
            <v>8</v>
          </cell>
          <cell r="R286">
            <v>8</v>
          </cell>
          <cell r="S286" t="str">
            <v>CN</v>
          </cell>
          <cell r="T286">
            <v>8</v>
          </cell>
          <cell r="U286">
            <v>8</v>
          </cell>
          <cell r="V286">
            <v>8</v>
          </cell>
          <cell r="W286">
            <v>8</v>
          </cell>
          <cell r="X286">
            <v>8</v>
          </cell>
          <cell r="Y286">
            <v>8</v>
          </cell>
          <cell r="Z286" t="str">
            <v>CN</v>
          </cell>
          <cell r="AA286" t="str">
            <v>Đ</v>
          </cell>
          <cell r="AB286" t="str">
            <v>Đ</v>
          </cell>
          <cell r="AC286" t="str">
            <v>Đ</v>
          </cell>
          <cell r="AD286" t="str">
            <v>Đ</v>
          </cell>
          <cell r="AE286" t="str">
            <v>Đ</v>
          </cell>
          <cell r="AF286" t="str">
            <v>Đ</v>
          </cell>
          <cell r="AG286" t="str">
            <v>CN</v>
          </cell>
          <cell r="AH286">
            <v>8</v>
          </cell>
          <cell r="AI286">
            <v>8</v>
          </cell>
          <cell r="AJ286">
            <v>8</v>
          </cell>
          <cell r="AN286">
            <v>72</v>
          </cell>
          <cell r="AO286">
            <v>120</v>
          </cell>
          <cell r="AP286">
            <v>0</v>
          </cell>
          <cell r="AQ286">
            <v>0</v>
          </cell>
          <cell r="AR286">
            <v>0</v>
          </cell>
          <cell r="AS286">
            <v>0</v>
          </cell>
          <cell r="AT286">
            <v>0</v>
          </cell>
          <cell r="AU286">
            <v>0</v>
          </cell>
          <cell r="AV286">
            <v>0</v>
          </cell>
          <cell r="AW286">
            <v>0</v>
          </cell>
          <cell r="AX286">
            <v>0</v>
          </cell>
          <cell r="AY286">
            <v>0</v>
          </cell>
          <cell r="AZ286">
            <v>0</v>
          </cell>
          <cell r="BA286">
            <v>0</v>
          </cell>
          <cell r="BB286">
            <v>0</v>
          </cell>
          <cell r="BC286">
            <v>0</v>
          </cell>
          <cell r="BD286">
            <v>0</v>
          </cell>
          <cell r="BE286">
            <v>0</v>
          </cell>
          <cell r="BF286">
            <v>0</v>
          </cell>
          <cell r="BG286">
            <v>192</v>
          </cell>
          <cell r="BH286">
            <v>0</v>
          </cell>
          <cell r="BI286">
            <v>0</v>
          </cell>
          <cell r="BJ286">
            <v>7</v>
          </cell>
          <cell r="BL286">
            <v>0</v>
          </cell>
          <cell r="BM286">
            <v>4</v>
          </cell>
          <cell r="BN286">
            <v>0</v>
          </cell>
          <cell r="BO286">
            <v>0</v>
          </cell>
          <cell r="BP286">
            <v>0</v>
          </cell>
          <cell r="BQ286">
            <v>0</v>
          </cell>
          <cell r="BR286">
            <v>0</v>
          </cell>
          <cell r="BS286">
            <v>0</v>
          </cell>
          <cell r="BT286">
            <v>0</v>
          </cell>
          <cell r="BU286">
            <v>0</v>
          </cell>
          <cell r="BV286">
            <v>0</v>
          </cell>
          <cell r="BW286">
            <v>0</v>
          </cell>
          <cell r="BX286">
            <v>0</v>
          </cell>
          <cell r="BY286">
            <v>0</v>
          </cell>
          <cell r="BZ286">
            <v>0</v>
          </cell>
          <cell r="CA286">
            <v>4</v>
          </cell>
          <cell r="CB286">
            <v>4</v>
          </cell>
          <cell r="CC286">
            <v>0</v>
          </cell>
          <cell r="CD286">
            <v>0</v>
          </cell>
          <cell r="CE286">
            <v>0</v>
          </cell>
          <cell r="CF286">
            <v>0</v>
          </cell>
          <cell r="CG286">
            <v>0</v>
          </cell>
          <cell r="CH286">
            <v>4</v>
          </cell>
          <cell r="CI286">
            <v>4</v>
          </cell>
          <cell r="CJ286">
            <v>0</v>
          </cell>
          <cell r="CK286">
            <v>0</v>
          </cell>
          <cell r="CL286">
            <v>0</v>
          </cell>
          <cell r="CM286">
            <v>0</v>
          </cell>
          <cell r="CR286">
            <v>0</v>
          </cell>
          <cell r="CS286">
            <v>0</v>
          </cell>
          <cell r="CT286">
            <v>20</v>
          </cell>
          <cell r="CU286">
            <v>0</v>
          </cell>
          <cell r="CV286">
            <v>0</v>
          </cell>
          <cell r="CZ286">
            <v>20</v>
          </cell>
        </row>
        <row r="287">
          <cell r="C287" t="str">
            <v>02444</v>
          </cell>
          <cell r="D287" t="str">
            <v>Nguyễn Thị Đặng</v>
          </cell>
          <cell r="E287" t="str">
            <v>Production</v>
          </cell>
          <cell r="F287" t="str">
            <v>Logo</v>
          </cell>
          <cell r="G287" t="str">
            <v>Worker</v>
          </cell>
          <cell r="H287">
            <v>44062</v>
          </cell>
          <cell r="I287">
            <v>8</v>
          </cell>
          <cell r="J287">
            <v>8</v>
          </cell>
          <cell r="K287">
            <v>8</v>
          </cell>
          <cell r="L287" t="str">
            <v>CN</v>
          </cell>
          <cell r="M287" t="str">
            <v>AL8</v>
          </cell>
          <cell r="N287" t="str">
            <v>AL8</v>
          </cell>
          <cell r="O287" t="str">
            <v>AL8</v>
          </cell>
          <cell r="P287" t="str">
            <v>Đ</v>
          </cell>
          <cell r="Q287" t="str">
            <v>Đ</v>
          </cell>
          <cell r="R287" t="str">
            <v>Đ</v>
          </cell>
          <cell r="S287" t="str">
            <v>CN</v>
          </cell>
          <cell r="T287">
            <v>8</v>
          </cell>
          <cell r="U287">
            <v>8</v>
          </cell>
          <cell r="V287">
            <v>8</v>
          </cell>
          <cell r="W287">
            <v>8</v>
          </cell>
          <cell r="X287">
            <v>8</v>
          </cell>
          <cell r="Y287">
            <v>8</v>
          </cell>
          <cell r="Z287" t="str">
            <v>CN</v>
          </cell>
          <cell r="AA287" t="str">
            <v>Đ</v>
          </cell>
          <cell r="AB287" t="str">
            <v>Đ</v>
          </cell>
          <cell r="AC287" t="str">
            <v>Đ</v>
          </cell>
          <cell r="AD287" t="str">
            <v>Đ</v>
          </cell>
          <cell r="AE287" t="str">
            <v>Đ</v>
          </cell>
          <cell r="AF287" t="str">
            <v>Đ</v>
          </cell>
          <cell r="AG287" t="str">
            <v>CN</v>
          </cell>
          <cell r="AH287">
            <v>8</v>
          </cell>
          <cell r="AI287">
            <v>8</v>
          </cell>
          <cell r="AJ287" t="str">
            <v>AL4</v>
          </cell>
          <cell r="AN287">
            <v>72</v>
          </cell>
          <cell r="AO287">
            <v>92</v>
          </cell>
          <cell r="AP287">
            <v>4</v>
          </cell>
          <cell r="AQ287">
            <v>0</v>
          </cell>
          <cell r="AR287">
            <v>0</v>
          </cell>
          <cell r="AS287">
            <v>0</v>
          </cell>
          <cell r="AT287">
            <v>0</v>
          </cell>
          <cell r="AU287">
            <v>0</v>
          </cell>
          <cell r="AV287">
            <v>0</v>
          </cell>
          <cell r="AW287">
            <v>0</v>
          </cell>
          <cell r="AX287">
            <v>0</v>
          </cell>
          <cell r="AY287">
            <v>0</v>
          </cell>
          <cell r="AZ287">
            <v>0</v>
          </cell>
          <cell r="BA287">
            <v>28</v>
          </cell>
          <cell r="BB287">
            <v>0</v>
          </cell>
          <cell r="BC287">
            <v>0</v>
          </cell>
          <cell r="BD287">
            <v>0</v>
          </cell>
          <cell r="BE287">
            <v>0</v>
          </cell>
          <cell r="BF287">
            <v>0</v>
          </cell>
          <cell r="BG287">
            <v>192</v>
          </cell>
          <cell r="BH287">
            <v>3.5</v>
          </cell>
          <cell r="BI287">
            <v>3.5</v>
          </cell>
          <cell r="BJ287">
            <v>6</v>
          </cell>
          <cell r="BL287">
            <v>1.5</v>
          </cell>
          <cell r="BM287">
            <v>1.5</v>
          </cell>
          <cell r="BN287">
            <v>1.5</v>
          </cell>
          <cell r="BO287">
            <v>0</v>
          </cell>
          <cell r="BP287">
            <v>0</v>
          </cell>
          <cell r="BQ287">
            <v>0</v>
          </cell>
          <cell r="BR287">
            <v>0</v>
          </cell>
          <cell r="BS287">
            <v>4</v>
          </cell>
          <cell r="BT287">
            <v>4</v>
          </cell>
          <cell r="BU287">
            <v>4</v>
          </cell>
          <cell r="BV287">
            <v>0</v>
          </cell>
          <cell r="BW287">
            <v>3</v>
          </cell>
          <cell r="BX287">
            <v>3</v>
          </cell>
          <cell r="BY287">
            <v>3</v>
          </cell>
          <cell r="BZ287">
            <v>3</v>
          </cell>
          <cell r="CA287">
            <v>3</v>
          </cell>
          <cell r="CB287">
            <v>3</v>
          </cell>
          <cell r="CC287">
            <v>8</v>
          </cell>
          <cell r="CD287">
            <v>4</v>
          </cell>
          <cell r="CE287">
            <v>4</v>
          </cell>
          <cell r="CF287">
            <v>4</v>
          </cell>
          <cell r="CG287">
            <v>4</v>
          </cell>
          <cell r="CH287">
            <v>4</v>
          </cell>
          <cell r="CI287">
            <v>4</v>
          </cell>
          <cell r="CJ287">
            <v>0</v>
          </cell>
          <cell r="CK287">
            <v>3</v>
          </cell>
          <cell r="CL287">
            <v>3</v>
          </cell>
          <cell r="CM287">
            <v>2</v>
          </cell>
          <cell r="CR287">
            <v>0</v>
          </cell>
          <cell r="CS287">
            <v>0</v>
          </cell>
          <cell r="CT287">
            <v>66.5</v>
          </cell>
          <cell r="CU287">
            <v>8</v>
          </cell>
          <cell r="CV287">
            <v>0</v>
          </cell>
          <cell r="CZ287">
            <v>74.5</v>
          </cell>
        </row>
        <row r="288">
          <cell r="C288" t="str">
            <v>02458</v>
          </cell>
          <cell r="D288" t="str">
            <v>Nguyễn Thị Thu Hoa</v>
          </cell>
          <cell r="E288" t="str">
            <v>PPC</v>
          </cell>
          <cell r="F288" t="str">
            <v>PPC</v>
          </cell>
          <cell r="G288" t="str">
            <v>Senior Staff</v>
          </cell>
          <cell r="H288">
            <v>44064</v>
          </cell>
          <cell r="I288">
            <v>8</v>
          </cell>
          <cell r="J288">
            <v>8</v>
          </cell>
          <cell r="K288" t="str">
            <v>PO</v>
          </cell>
          <cell r="L288" t="str">
            <v>CN</v>
          </cell>
          <cell r="M288">
            <v>8</v>
          </cell>
          <cell r="N288">
            <v>8</v>
          </cell>
          <cell r="O288" t="str">
            <v>AL8</v>
          </cell>
          <cell r="P288">
            <v>8</v>
          </cell>
          <cell r="Q288" t="str">
            <v>WH4/PO4</v>
          </cell>
          <cell r="R288" t="str">
            <v>PO</v>
          </cell>
          <cell r="S288" t="str">
            <v>CN</v>
          </cell>
          <cell r="T288">
            <v>8</v>
          </cell>
          <cell r="U288">
            <v>8</v>
          </cell>
          <cell r="V288">
            <v>8</v>
          </cell>
          <cell r="W288">
            <v>8</v>
          </cell>
          <cell r="X288">
            <v>8</v>
          </cell>
          <cell r="Y288" t="str">
            <v>PO</v>
          </cell>
          <cell r="Z288" t="str">
            <v>CN</v>
          </cell>
          <cell r="AA288">
            <v>8</v>
          </cell>
          <cell r="AB288">
            <v>8</v>
          </cell>
          <cell r="AC288">
            <v>8</v>
          </cell>
          <cell r="AD288">
            <v>8</v>
          </cell>
          <cell r="AE288">
            <v>8</v>
          </cell>
          <cell r="AF288" t="str">
            <v>PO</v>
          </cell>
          <cell r="AG288" t="str">
            <v>CN</v>
          </cell>
          <cell r="AH288">
            <v>8</v>
          </cell>
          <cell r="AI288">
            <v>8</v>
          </cell>
          <cell r="AJ288">
            <v>8</v>
          </cell>
          <cell r="AN288">
            <v>0</v>
          </cell>
          <cell r="AO288">
            <v>144</v>
          </cell>
          <cell r="AP288">
            <v>0</v>
          </cell>
          <cell r="AQ288">
            <v>0</v>
          </cell>
          <cell r="AR288">
            <v>0</v>
          </cell>
          <cell r="AS288">
            <v>0</v>
          </cell>
          <cell r="AT288">
            <v>0</v>
          </cell>
          <cell r="AU288">
            <v>0</v>
          </cell>
          <cell r="AV288">
            <v>36</v>
          </cell>
          <cell r="AW288">
            <v>0</v>
          </cell>
          <cell r="AX288">
            <v>0</v>
          </cell>
          <cell r="AY288">
            <v>0</v>
          </cell>
          <cell r="AZ288">
            <v>0</v>
          </cell>
          <cell r="BA288">
            <v>8</v>
          </cell>
          <cell r="BB288">
            <v>0</v>
          </cell>
          <cell r="BC288">
            <v>0</v>
          </cell>
          <cell r="BD288">
            <v>4</v>
          </cell>
          <cell r="BE288">
            <v>0</v>
          </cell>
          <cell r="BF288">
            <v>0</v>
          </cell>
          <cell r="BG288">
            <v>192</v>
          </cell>
          <cell r="BH288">
            <v>1</v>
          </cell>
          <cell r="BI288">
            <v>1</v>
          </cell>
          <cell r="BJ288">
            <v>9</v>
          </cell>
          <cell r="BL288">
            <v>0</v>
          </cell>
          <cell r="BM288">
            <v>0</v>
          </cell>
          <cell r="BN288">
            <v>0</v>
          </cell>
          <cell r="BO288">
            <v>0</v>
          </cell>
          <cell r="BP288">
            <v>0</v>
          </cell>
          <cell r="BQ288">
            <v>0</v>
          </cell>
          <cell r="BR288">
            <v>0</v>
          </cell>
          <cell r="BS288">
            <v>0</v>
          </cell>
          <cell r="BT288">
            <v>0</v>
          </cell>
          <cell r="BU288">
            <v>0</v>
          </cell>
          <cell r="BV288">
            <v>0</v>
          </cell>
          <cell r="BW288">
            <v>0</v>
          </cell>
          <cell r="BX288">
            <v>0</v>
          </cell>
          <cell r="BY288">
            <v>0</v>
          </cell>
          <cell r="BZ288">
            <v>0</v>
          </cell>
          <cell r="CA288">
            <v>0</v>
          </cell>
          <cell r="CB288">
            <v>0</v>
          </cell>
          <cell r="CC288">
            <v>0</v>
          </cell>
          <cell r="CD288">
            <v>0</v>
          </cell>
          <cell r="CE288">
            <v>0</v>
          </cell>
          <cell r="CF288">
            <v>0</v>
          </cell>
          <cell r="CG288">
            <v>0</v>
          </cell>
          <cell r="CH288">
            <v>0</v>
          </cell>
          <cell r="CI288">
            <v>0</v>
          </cell>
          <cell r="CJ288">
            <v>0</v>
          </cell>
          <cell r="CK288">
            <v>0</v>
          </cell>
          <cell r="CL288">
            <v>0</v>
          </cell>
          <cell r="CM288">
            <v>0</v>
          </cell>
          <cell r="CR288">
            <v>0</v>
          </cell>
          <cell r="CS288">
            <v>0</v>
          </cell>
          <cell r="CT288">
            <v>0</v>
          </cell>
          <cell r="CU288">
            <v>0</v>
          </cell>
          <cell r="CV288">
            <v>0</v>
          </cell>
          <cell r="CZ288">
            <v>0</v>
          </cell>
        </row>
        <row r="289">
          <cell r="C289" t="str">
            <v>02466</v>
          </cell>
          <cell r="D289" t="str">
            <v>Hồ Nhì Tầy</v>
          </cell>
          <cell r="E289" t="str">
            <v>Warehouse</v>
          </cell>
          <cell r="F289" t="str">
            <v>RM Warehouse</v>
          </cell>
          <cell r="G289" t="str">
            <v>Worker</v>
          </cell>
          <cell r="H289">
            <v>44071</v>
          </cell>
          <cell r="I289">
            <v>8</v>
          </cell>
          <cell r="J289">
            <v>8</v>
          </cell>
          <cell r="K289">
            <v>8</v>
          </cell>
          <cell r="L289" t="str">
            <v>CN</v>
          </cell>
          <cell r="M289">
            <v>8</v>
          </cell>
          <cell r="N289">
            <v>8</v>
          </cell>
          <cell r="O289">
            <v>8</v>
          </cell>
          <cell r="P289">
            <v>8</v>
          </cell>
          <cell r="Q289">
            <v>8</v>
          </cell>
          <cell r="R289">
            <v>8</v>
          </cell>
          <cell r="S289" t="str">
            <v>CN</v>
          </cell>
          <cell r="T289">
            <v>8</v>
          </cell>
          <cell r="U289">
            <v>8</v>
          </cell>
          <cell r="V289">
            <v>8</v>
          </cell>
          <cell r="W289">
            <v>8</v>
          </cell>
          <cell r="X289">
            <v>8</v>
          </cell>
          <cell r="Y289">
            <v>8</v>
          </cell>
          <cell r="Z289" t="str">
            <v>CN</v>
          </cell>
          <cell r="AA289">
            <v>8</v>
          </cell>
          <cell r="AB289">
            <v>8</v>
          </cell>
          <cell r="AC289">
            <v>8</v>
          </cell>
          <cell r="AD289">
            <v>8</v>
          </cell>
          <cell r="AE289">
            <v>8</v>
          </cell>
          <cell r="AF289">
            <v>8</v>
          </cell>
          <cell r="AG289" t="str">
            <v>CN</v>
          </cell>
          <cell r="AH289">
            <v>8</v>
          </cell>
          <cell r="AI289">
            <v>8</v>
          </cell>
          <cell r="AJ289">
            <v>8</v>
          </cell>
          <cell r="AN289">
            <v>0</v>
          </cell>
          <cell r="AO289">
            <v>192</v>
          </cell>
          <cell r="AP289">
            <v>0</v>
          </cell>
          <cell r="AQ289">
            <v>0</v>
          </cell>
          <cell r="AR289">
            <v>0</v>
          </cell>
          <cell r="AS289">
            <v>0</v>
          </cell>
          <cell r="AT289">
            <v>0</v>
          </cell>
          <cell r="AU289">
            <v>0</v>
          </cell>
          <cell r="AV289">
            <v>0</v>
          </cell>
          <cell r="AW289">
            <v>0</v>
          </cell>
          <cell r="AX289">
            <v>0</v>
          </cell>
          <cell r="AY289">
            <v>0</v>
          </cell>
          <cell r="AZ289">
            <v>0</v>
          </cell>
          <cell r="BA289">
            <v>0</v>
          </cell>
          <cell r="BB289">
            <v>0</v>
          </cell>
          <cell r="BC289">
            <v>0</v>
          </cell>
          <cell r="BD289">
            <v>0</v>
          </cell>
          <cell r="BE289">
            <v>0</v>
          </cell>
          <cell r="BF289">
            <v>0</v>
          </cell>
          <cell r="BG289">
            <v>192</v>
          </cell>
          <cell r="BH289">
            <v>0</v>
          </cell>
          <cell r="BI289">
            <v>0</v>
          </cell>
          <cell r="BJ289">
            <v>2</v>
          </cell>
          <cell r="BL289">
            <v>0</v>
          </cell>
          <cell r="BM289">
            <v>0</v>
          </cell>
          <cell r="BN289">
            <v>0</v>
          </cell>
          <cell r="BO289">
            <v>0</v>
          </cell>
          <cell r="BP289">
            <v>0</v>
          </cell>
          <cell r="BQ289">
            <v>0</v>
          </cell>
          <cell r="BR289">
            <v>0</v>
          </cell>
          <cell r="BS289">
            <v>0</v>
          </cell>
          <cell r="BT289">
            <v>0</v>
          </cell>
          <cell r="BU289">
            <v>0</v>
          </cell>
          <cell r="BV289">
            <v>0</v>
          </cell>
          <cell r="BW289">
            <v>3</v>
          </cell>
          <cell r="BX289">
            <v>3</v>
          </cell>
          <cell r="BY289">
            <v>0</v>
          </cell>
          <cell r="BZ289">
            <v>3</v>
          </cell>
          <cell r="CA289">
            <v>0</v>
          </cell>
          <cell r="CB289">
            <v>0</v>
          </cell>
          <cell r="CC289">
            <v>0</v>
          </cell>
          <cell r="CD289">
            <v>0</v>
          </cell>
          <cell r="CE289">
            <v>3</v>
          </cell>
          <cell r="CF289">
            <v>0</v>
          </cell>
          <cell r="CG289">
            <v>3</v>
          </cell>
          <cell r="CH289">
            <v>3</v>
          </cell>
          <cell r="CI289">
            <v>0</v>
          </cell>
          <cell r="CJ289">
            <v>0</v>
          </cell>
          <cell r="CK289">
            <v>0</v>
          </cell>
          <cell r="CL289">
            <v>0</v>
          </cell>
          <cell r="CM289">
            <v>0</v>
          </cell>
          <cell r="CR289">
            <v>0</v>
          </cell>
          <cell r="CS289">
            <v>0</v>
          </cell>
          <cell r="CT289">
            <v>18</v>
          </cell>
          <cell r="CU289">
            <v>0</v>
          </cell>
          <cell r="CV289">
            <v>0</v>
          </cell>
          <cell r="CZ289">
            <v>18</v>
          </cell>
        </row>
        <row r="290">
          <cell r="C290" t="str">
            <v>02474</v>
          </cell>
          <cell r="D290" t="str">
            <v>Nguyễn  Anh Tú</v>
          </cell>
          <cell r="E290" t="str">
            <v>Foaming</v>
          </cell>
          <cell r="F290" t="str">
            <v>FOAMING Rectangular</v>
          </cell>
          <cell r="G290" t="str">
            <v>Operator</v>
          </cell>
          <cell r="H290">
            <v>44077</v>
          </cell>
          <cell r="I290" t="str">
            <v>Đ</v>
          </cell>
          <cell r="J290" t="str">
            <v>Đ</v>
          </cell>
          <cell r="K290" t="str">
            <v>Đ</v>
          </cell>
          <cell r="L290" t="str">
            <v>CN</v>
          </cell>
          <cell r="M290">
            <v>8</v>
          </cell>
          <cell r="N290">
            <v>8</v>
          </cell>
          <cell r="O290" t="str">
            <v>AL8</v>
          </cell>
          <cell r="P290" t="str">
            <v>AL8</v>
          </cell>
          <cell r="Q290" t="str">
            <v>AL4</v>
          </cell>
          <cell r="R290">
            <v>8</v>
          </cell>
          <cell r="S290" t="str">
            <v>CN</v>
          </cell>
          <cell r="T290">
            <v>8</v>
          </cell>
          <cell r="U290">
            <v>8</v>
          </cell>
          <cell r="V290">
            <v>8</v>
          </cell>
          <cell r="W290">
            <v>8</v>
          </cell>
          <cell r="X290">
            <v>8</v>
          </cell>
          <cell r="Y290">
            <v>8</v>
          </cell>
          <cell r="Z290" t="str">
            <v>CN</v>
          </cell>
          <cell r="AA290" t="str">
            <v>Đ</v>
          </cell>
          <cell r="AB290" t="str">
            <v>Đ</v>
          </cell>
          <cell r="AC290" t="str">
            <v>Đ</v>
          </cell>
          <cell r="AD290" t="str">
            <v>Đ</v>
          </cell>
          <cell r="AE290" t="str">
            <v>Đ</v>
          </cell>
          <cell r="AF290" t="str">
            <v>Đ</v>
          </cell>
          <cell r="AG290" t="str">
            <v>CN</v>
          </cell>
          <cell r="AH290" t="str">
            <v>Đ</v>
          </cell>
          <cell r="AI290" t="str">
            <v>Đ</v>
          </cell>
          <cell r="AJ290" t="str">
            <v>Đ</v>
          </cell>
          <cell r="AN290">
            <v>96</v>
          </cell>
          <cell r="AO290">
            <v>76</v>
          </cell>
          <cell r="AP290">
            <v>4</v>
          </cell>
          <cell r="AQ290">
            <v>0</v>
          </cell>
          <cell r="AR290">
            <v>0</v>
          </cell>
          <cell r="AS290">
            <v>0</v>
          </cell>
          <cell r="AT290">
            <v>0</v>
          </cell>
          <cell r="AU290">
            <v>0</v>
          </cell>
          <cell r="AV290">
            <v>0</v>
          </cell>
          <cell r="AW290">
            <v>0</v>
          </cell>
          <cell r="AX290">
            <v>0</v>
          </cell>
          <cell r="AY290">
            <v>0</v>
          </cell>
          <cell r="AZ290">
            <v>0</v>
          </cell>
          <cell r="BA290">
            <v>20</v>
          </cell>
          <cell r="BB290">
            <v>0</v>
          </cell>
          <cell r="BC290">
            <v>0</v>
          </cell>
          <cell r="BD290">
            <v>0</v>
          </cell>
          <cell r="BE290">
            <v>0</v>
          </cell>
          <cell r="BF290">
            <v>0</v>
          </cell>
          <cell r="BG290">
            <v>192</v>
          </cell>
          <cell r="BH290">
            <v>2.5</v>
          </cell>
          <cell r="BI290">
            <v>2.5</v>
          </cell>
          <cell r="BJ290">
            <v>-2.5</v>
          </cell>
          <cell r="BL290">
            <v>4</v>
          </cell>
          <cell r="BM290">
            <v>4</v>
          </cell>
          <cell r="BN290">
            <v>4</v>
          </cell>
          <cell r="BO290">
            <v>0</v>
          </cell>
          <cell r="BP290">
            <v>0</v>
          </cell>
          <cell r="BQ290">
            <v>0</v>
          </cell>
          <cell r="BR290">
            <v>0</v>
          </cell>
          <cell r="BS290">
            <v>0</v>
          </cell>
          <cell r="BT290">
            <v>4</v>
          </cell>
          <cell r="BU290">
            <v>4</v>
          </cell>
          <cell r="BV290">
            <v>12</v>
          </cell>
          <cell r="BW290">
            <v>4</v>
          </cell>
          <cell r="BX290">
            <v>0</v>
          </cell>
          <cell r="BY290">
            <v>4</v>
          </cell>
          <cell r="BZ290">
            <v>4</v>
          </cell>
          <cell r="CA290">
            <v>4</v>
          </cell>
          <cell r="CB290">
            <v>4</v>
          </cell>
          <cell r="CC290" t="str">
            <v>12Đ</v>
          </cell>
          <cell r="CD290">
            <v>4</v>
          </cell>
          <cell r="CE290">
            <v>4</v>
          </cell>
          <cell r="CF290">
            <v>2</v>
          </cell>
          <cell r="CG290">
            <v>4</v>
          </cell>
          <cell r="CH290">
            <v>4</v>
          </cell>
          <cell r="CI290">
            <v>4</v>
          </cell>
          <cell r="CJ290" t="str">
            <v>12Đ</v>
          </cell>
          <cell r="CK290">
            <v>0</v>
          </cell>
          <cell r="CL290">
            <v>4</v>
          </cell>
          <cell r="CM290">
            <v>4</v>
          </cell>
          <cell r="CR290">
            <v>0</v>
          </cell>
          <cell r="CS290">
            <v>0</v>
          </cell>
          <cell r="CT290">
            <v>70</v>
          </cell>
          <cell r="CU290">
            <v>20</v>
          </cell>
          <cell r="CV290">
            <v>16</v>
          </cell>
          <cell r="CZ290">
            <v>106</v>
          </cell>
        </row>
        <row r="291">
          <cell r="C291" t="str">
            <v>02486</v>
          </cell>
          <cell r="D291" t="str">
            <v>Nguyễn Bá Phục</v>
          </cell>
          <cell r="E291" t="str">
            <v>Production</v>
          </cell>
          <cell r="F291" t="str">
            <v>Die Cut</v>
          </cell>
          <cell r="G291" t="str">
            <v>Worker</v>
          </cell>
          <cell r="H291">
            <v>44077</v>
          </cell>
          <cell r="I291">
            <v>8</v>
          </cell>
          <cell r="J291">
            <v>8</v>
          </cell>
          <cell r="K291">
            <v>8</v>
          </cell>
          <cell r="L291" t="str">
            <v>CN</v>
          </cell>
          <cell r="M291" t="str">
            <v>AL8</v>
          </cell>
          <cell r="N291" t="str">
            <v>AL8</v>
          </cell>
          <cell r="O291" t="str">
            <v>AL8</v>
          </cell>
          <cell r="P291" t="str">
            <v>Đ</v>
          </cell>
          <cell r="Q291" t="str">
            <v>Đ</v>
          </cell>
          <cell r="R291" t="str">
            <v>Đ</v>
          </cell>
          <cell r="S291" t="str">
            <v>CN</v>
          </cell>
          <cell r="T291">
            <v>8</v>
          </cell>
          <cell r="U291">
            <v>8</v>
          </cell>
          <cell r="V291">
            <v>8</v>
          </cell>
          <cell r="W291">
            <v>8</v>
          </cell>
          <cell r="X291">
            <v>8</v>
          </cell>
          <cell r="Y291">
            <v>8</v>
          </cell>
          <cell r="Z291" t="str">
            <v>CN</v>
          </cell>
          <cell r="AA291" t="str">
            <v>Đ</v>
          </cell>
          <cell r="AB291" t="str">
            <v>Đ</v>
          </cell>
          <cell r="AC291" t="str">
            <v>Đ</v>
          </cell>
          <cell r="AD291" t="str">
            <v>Đ</v>
          </cell>
          <cell r="AE291" t="str">
            <v>Đ</v>
          </cell>
          <cell r="AF291" t="str">
            <v>Đ</v>
          </cell>
          <cell r="AG291" t="str">
            <v>CN</v>
          </cell>
          <cell r="AH291">
            <v>8</v>
          </cell>
          <cell r="AI291">
            <v>8</v>
          </cell>
          <cell r="AJ291" t="str">
            <v>AL4</v>
          </cell>
          <cell r="AN291">
            <v>72</v>
          </cell>
          <cell r="AO291">
            <v>92</v>
          </cell>
          <cell r="AP291">
            <v>4</v>
          </cell>
          <cell r="AQ291">
            <v>0</v>
          </cell>
          <cell r="AR291">
            <v>0</v>
          </cell>
          <cell r="AS291">
            <v>0</v>
          </cell>
          <cell r="AT291">
            <v>0</v>
          </cell>
          <cell r="AU291">
            <v>0</v>
          </cell>
          <cell r="AV291">
            <v>0</v>
          </cell>
          <cell r="AW291">
            <v>0</v>
          </cell>
          <cell r="AX291">
            <v>0</v>
          </cell>
          <cell r="AY291">
            <v>0</v>
          </cell>
          <cell r="AZ291">
            <v>0</v>
          </cell>
          <cell r="BA291">
            <v>28</v>
          </cell>
          <cell r="BB291">
            <v>0</v>
          </cell>
          <cell r="BC291">
            <v>0</v>
          </cell>
          <cell r="BD291">
            <v>0</v>
          </cell>
          <cell r="BE291">
            <v>0</v>
          </cell>
          <cell r="BF291">
            <v>0</v>
          </cell>
          <cell r="BG291">
            <v>192</v>
          </cell>
          <cell r="BH291">
            <v>3.5</v>
          </cell>
          <cell r="BI291">
            <v>3.5</v>
          </cell>
          <cell r="BJ291">
            <v>6</v>
          </cell>
          <cell r="BL291">
            <v>1.5</v>
          </cell>
          <cell r="BM291">
            <v>1.5</v>
          </cell>
          <cell r="BN291">
            <v>1.5</v>
          </cell>
          <cell r="BO291">
            <v>0</v>
          </cell>
          <cell r="BP291">
            <v>0</v>
          </cell>
          <cell r="BQ291">
            <v>0</v>
          </cell>
          <cell r="BR291">
            <v>0</v>
          </cell>
          <cell r="BS291">
            <v>4</v>
          </cell>
          <cell r="BT291">
            <v>4</v>
          </cell>
          <cell r="BU291">
            <v>4</v>
          </cell>
          <cell r="BV291">
            <v>0</v>
          </cell>
          <cell r="BW291">
            <v>3</v>
          </cell>
          <cell r="BX291">
            <v>3</v>
          </cell>
          <cell r="BY291">
            <v>3</v>
          </cell>
          <cell r="BZ291">
            <v>3</v>
          </cell>
          <cell r="CA291">
            <v>3</v>
          </cell>
          <cell r="CB291">
            <v>3</v>
          </cell>
          <cell r="CC291">
            <v>8</v>
          </cell>
          <cell r="CD291">
            <v>4</v>
          </cell>
          <cell r="CE291">
            <v>4</v>
          </cell>
          <cell r="CF291">
            <v>4</v>
          </cell>
          <cell r="CG291">
            <v>4</v>
          </cell>
          <cell r="CH291">
            <v>4</v>
          </cell>
          <cell r="CI291">
            <v>4</v>
          </cell>
          <cell r="CJ291">
            <v>0</v>
          </cell>
          <cell r="CK291">
            <v>3</v>
          </cell>
          <cell r="CL291">
            <v>3</v>
          </cell>
          <cell r="CM291">
            <v>2</v>
          </cell>
          <cell r="CR291">
            <v>0</v>
          </cell>
          <cell r="CS291">
            <v>0</v>
          </cell>
          <cell r="CT291">
            <v>66.5</v>
          </cell>
          <cell r="CU291">
            <v>8</v>
          </cell>
          <cell r="CV291">
            <v>0</v>
          </cell>
          <cell r="CZ291">
            <v>74.5</v>
          </cell>
        </row>
        <row r="292">
          <cell r="C292" t="str">
            <v>02492</v>
          </cell>
          <cell r="D292" t="str">
            <v>Phạm Thị Phượng Hằng</v>
          </cell>
          <cell r="E292" t="str">
            <v>Production</v>
          </cell>
          <cell r="F292" t="str">
            <v>Skiving</v>
          </cell>
          <cell r="G292" t="str">
            <v>Worker</v>
          </cell>
          <cell r="H292">
            <v>44081</v>
          </cell>
          <cell r="I292" t="str">
            <v>Đ</v>
          </cell>
          <cell r="J292" t="str">
            <v>Đ</v>
          </cell>
          <cell r="K292" t="str">
            <v>Đ</v>
          </cell>
          <cell r="L292" t="str">
            <v>CN</v>
          </cell>
          <cell r="M292">
            <v>8</v>
          </cell>
          <cell r="N292">
            <v>8</v>
          </cell>
          <cell r="O292">
            <v>8</v>
          </cell>
          <cell r="P292">
            <v>8</v>
          </cell>
          <cell r="Q292">
            <v>8</v>
          </cell>
          <cell r="R292">
            <v>8</v>
          </cell>
          <cell r="S292" t="str">
            <v>CN</v>
          </cell>
          <cell r="T292" t="str">
            <v>Đ</v>
          </cell>
          <cell r="U292" t="str">
            <v>Đ</v>
          </cell>
          <cell r="V292" t="str">
            <v>Đ</v>
          </cell>
          <cell r="W292" t="str">
            <v>Đ</v>
          </cell>
          <cell r="X292" t="str">
            <v>Đ</v>
          </cell>
          <cell r="Y292" t="str">
            <v>Đ</v>
          </cell>
          <cell r="Z292" t="str">
            <v>CN</v>
          </cell>
          <cell r="AA292">
            <v>8</v>
          </cell>
          <cell r="AB292">
            <v>8</v>
          </cell>
          <cell r="AC292">
            <v>8</v>
          </cell>
          <cell r="AD292">
            <v>8</v>
          </cell>
          <cell r="AE292">
            <v>8</v>
          </cell>
          <cell r="AF292">
            <v>8</v>
          </cell>
          <cell r="AG292" t="str">
            <v>CN</v>
          </cell>
          <cell r="AH292" t="str">
            <v>Đ</v>
          </cell>
          <cell r="AI292" t="str">
            <v>Đ</v>
          </cell>
          <cell r="AJ292" t="str">
            <v>Đ</v>
          </cell>
          <cell r="AN292">
            <v>96</v>
          </cell>
          <cell r="AO292">
            <v>96</v>
          </cell>
          <cell r="AP292">
            <v>0</v>
          </cell>
          <cell r="AQ292">
            <v>0</v>
          </cell>
          <cell r="AR292">
            <v>0</v>
          </cell>
          <cell r="AS292">
            <v>0</v>
          </cell>
          <cell r="AT292">
            <v>0</v>
          </cell>
          <cell r="AU292">
            <v>0</v>
          </cell>
          <cell r="AV292">
            <v>0</v>
          </cell>
          <cell r="AW292">
            <v>0</v>
          </cell>
          <cell r="AX292">
            <v>0</v>
          </cell>
          <cell r="AY292">
            <v>0</v>
          </cell>
          <cell r="AZ292">
            <v>0</v>
          </cell>
          <cell r="BA292">
            <v>0</v>
          </cell>
          <cell r="BB292">
            <v>0</v>
          </cell>
          <cell r="BC292">
            <v>0</v>
          </cell>
          <cell r="BD292">
            <v>0</v>
          </cell>
          <cell r="BE292">
            <v>0</v>
          </cell>
          <cell r="BF292">
            <v>0</v>
          </cell>
          <cell r="BG292">
            <v>192</v>
          </cell>
          <cell r="BH292">
            <v>0</v>
          </cell>
          <cell r="BI292">
            <v>0</v>
          </cell>
          <cell r="BJ292">
            <v>9.5</v>
          </cell>
          <cell r="BL292">
            <v>0</v>
          </cell>
          <cell r="BM292">
            <v>0</v>
          </cell>
          <cell r="BN292">
            <v>0</v>
          </cell>
          <cell r="BO292">
            <v>0</v>
          </cell>
          <cell r="BP292">
            <v>1.5</v>
          </cell>
          <cell r="BQ292">
            <v>3</v>
          </cell>
          <cell r="BR292">
            <v>0</v>
          </cell>
          <cell r="BS292">
            <v>3</v>
          </cell>
          <cell r="BT292">
            <v>3</v>
          </cell>
          <cell r="BU292">
            <v>0</v>
          </cell>
          <cell r="BV292">
            <v>0</v>
          </cell>
          <cell r="BW292">
            <v>3</v>
          </cell>
          <cell r="BX292">
            <v>4</v>
          </cell>
          <cell r="BY292">
            <v>4</v>
          </cell>
          <cell r="BZ292">
            <v>4</v>
          </cell>
          <cell r="CA292">
            <v>4</v>
          </cell>
          <cell r="CB292">
            <v>4</v>
          </cell>
          <cell r="CC292">
            <v>0</v>
          </cell>
          <cell r="CD292">
            <v>3</v>
          </cell>
          <cell r="CE292">
            <v>3</v>
          </cell>
          <cell r="CF292">
            <v>3</v>
          </cell>
          <cell r="CG292">
            <v>3</v>
          </cell>
          <cell r="CH292">
            <v>1.5</v>
          </cell>
          <cell r="CI292">
            <v>1.5</v>
          </cell>
          <cell r="CJ292">
            <v>8</v>
          </cell>
          <cell r="CK292">
            <v>1.5</v>
          </cell>
          <cell r="CL292">
            <v>1.5</v>
          </cell>
          <cell r="CM292">
            <v>1.5</v>
          </cell>
          <cell r="CR292">
            <v>0</v>
          </cell>
          <cell r="CS292">
            <v>0</v>
          </cell>
          <cell r="CT292">
            <v>53</v>
          </cell>
          <cell r="CU292">
            <v>8</v>
          </cell>
          <cell r="CV292">
            <v>0</v>
          </cell>
          <cell r="CZ292">
            <v>61</v>
          </cell>
        </row>
        <row r="293">
          <cell r="C293" t="str">
            <v>02502</v>
          </cell>
          <cell r="D293" t="str">
            <v>Trương Văn Hậu</v>
          </cell>
          <cell r="E293" t="str">
            <v>Production</v>
          </cell>
          <cell r="F293" t="str">
            <v>Die Cut</v>
          </cell>
          <cell r="G293" t="str">
            <v>Operator</v>
          </cell>
          <cell r="H293">
            <v>44081</v>
          </cell>
          <cell r="I293" t="str">
            <v>Đ</v>
          </cell>
          <cell r="J293" t="str">
            <v>Đ</v>
          </cell>
          <cell r="K293" t="str">
            <v>Đ</v>
          </cell>
          <cell r="L293" t="str">
            <v>CN</v>
          </cell>
          <cell r="M293">
            <v>8</v>
          </cell>
          <cell r="N293">
            <v>8</v>
          </cell>
          <cell r="O293">
            <v>8</v>
          </cell>
          <cell r="P293">
            <v>8</v>
          </cell>
          <cell r="Q293">
            <v>8</v>
          </cell>
          <cell r="R293">
            <v>8</v>
          </cell>
          <cell r="S293" t="str">
            <v>CN</v>
          </cell>
          <cell r="T293" t="str">
            <v>Đ</v>
          </cell>
          <cell r="U293" t="str">
            <v>Đ</v>
          </cell>
          <cell r="V293" t="str">
            <v>Đ</v>
          </cell>
          <cell r="W293" t="str">
            <v>Đ</v>
          </cell>
          <cell r="X293" t="str">
            <v>Đ</v>
          </cell>
          <cell r="Y293" t="str">
            <v>Đ</v>
          </cell>
          <cell r="Z293" t="str">
            <v>CN</v>
          </cell>
          <cell r="AA293">
            <v>8</v>
          </cell>
          <cell r="AB293">
            <v>8</v>
          </cell>
          <cell r="AC293">
            <v>8</v>
          </cell>
          <cell r="AD293">
            <v>8</v>
          </cell>
          <cell r="AE293">
            <v>8</v>
          </cell>
          <cell r="AF293">
            <v>8</v>
          </cell>
          <cell r="AG293" t="str">
            <v>CN</v>
          </cell>
          <cell r="AH293" t="str">
            <v>Đ</v>
          </cell>
          <cell r="AI293" t="str">
            <v>Đ</v>
          </cell>
          <cell r="AJ293" t="str">
            <v>Đ</v>
          </cell>
          <cell r="AN293">
            <v>96</v>
          </cell>
          <cell r="AO293">
            <v>96</v>
          </cell>
          <cell r="AP293">
            <v>0</v>
          </cell>
          <cell r="AQ293">
            <v>0</v>
          </cell>
          <cell r="AR293">
            <v>0</v>
          </cell>
          <cell r="AS293">
            <v>0</v>
          </cell>
          <cell r="AT293">
            <v>0</v>
          </cell>
          <cell r="AU293">
            <v>0</v>
          </cell>
          <cell r="AV293">
            <v>0</v>
          </cell>
          <cell r="AW293">
            <v>0</v>
          </cell>
          <cell r="AX293">
            <v>0</v>
          </cell>
          <cell r="AY293">
            <v>0</v>
          </cell>
          <cell r="AZ293">
            <v>0</v>
          </cell>
          <cell r="BA293">
            <v>0</v>
          </cell>
          <cell r="BB293">
            <v>0</v>
          </cell>
          <cell r="BC293">
            <v>0</v>
          </cell>
          <cell r="BD293">
            <v>0</v>
          </cell>
          <cell r="BE293">
            <v>0</v>
          </cell>
          <cell r="BF293">
            <v>0</v>
          </cell>
          <cell r="BG293">
            <v>192</v>
          </cell>
          <cell r="BH293">
            <v>0</v>
          </cell>
          <cell r="BI293">
            <v>0</v>
          </cell>
          <cell r="BJ293">
            <v>4</v>
          </cell>
          <cell r="BL293">
            <v>0</v>
          </cell>
          <cell r="BM293">
            <v>1.5</v>
          </cell>
          <cell r="BN293">
            <v>1.5</v>
          </cell>
          <cell r="BO293">
            <v>0</v>
          </cell>
          <cell r="BP293">
            <v>1.5</v>
          </cell>
          <cell r="BQ293">
            <v>3</v>
          </cell>
          <cell r="BR293">
            <v>0</v>
          </cell>
          <cell r="BS293">
            <v>3</v>
          </cell>
          <cell r="BT293">
            <v>0</v>
          </cell>
          <cell r="BU293">
            <v>0</v>
          </cell>
          <cell r="BV293">
            <v>0</v>
          </cell>
          <cell r="BW293">
            <v>1.5</v>
          </cell>
          <cell r="BX293">
            <v>4</v>
          </cell>
          <cell r="BY293">
            <v>4</v>
          </cell>
          <cell r="BZ293">
            <v>4</v>
          </cell>
          <cell r="CA293">
            <v>4</v>
          </cell>
          <cell r="CB293">
            <v>4</v>
          </cell>
          <cell r="CC293">
            <v>0</v>
          </cell>
          <cell r="CD293">
            <v>4</v>
          </cell>
          <cell r="CE293">
            <v>4</v>
          </cell>
          <cell r="CF293">
            <v>4</v>
          </cell>
          <cell r="CG293">
            <v>4</v>
          </cell>
          <cell r="CH293">
            <v>0</v>
          </cell>
          <cell r="CI293">
            <v>0</v>
          </cell>
          <cell r="CJ293">
            <v>8</v>
          </cell>
          <cell r="CK293">
            <v>1.5</v>
          </cell>
          <cell r="CL293">
            <v>1.5</v>
          </cell>
          <cell r="CM293">
            <v>0</v>
          </cell>
          <cell r="CR293">
            <v>0</v>
          </cell>
          <cell r="CS293">
            <v>0</v>
          </cell>
          <cell r="CT293">
            <v>51</v>
          </cell>
          <cell r="CU293">
            <v>8</v>
          </cell>
          <cell r="CV293">
            <v>0</v>
          </cell>
          <cell r="CZ293">
            <v>59</v>
          </cell>
        </row>
        <row r="294">
          <cell r="C294" t="str">
            <v>02504</v>
          </cell>
          <cell r="D294" t="str">
            <v>Lê Phước Lộc</v>
          </cell>
          <cell r="E294" t="str">
            <v>Production</v>
          </cell>
          <cell r="F294" t="str">
            <v>Lamination</v>
          </cell>
          <cell r="G294" t="str">
            <v>Worker</v>
          </cell>
          <cell r="H294">
            <v>44085</v>
          </cell>
          <cell r="I294">
            <v>8</v>
          </cell>
          <cell r="J294">
            <v>8</v>
          </cell>
          <cell r="K294">
            <v>8</v>
          </cell>
          <cell r="L294" t="str">
            <v>CN</v>
          </cell>
          <cell r="M294">
            <v>8</v>
          </cell>
          <cell r="N294">
            <v>8</v>
          </cell>
          <cell r="O294">
            <v>8</v>
          </cell>
          <cell r="P294">
            <v>8</v>
          </cell>
          <cell r="Q294">
            <v>8</v>
          </cell>
          <cell r="R294">
            <v>8</v>
          </cell>
          <cell r="S294" t="str">
            <v>CN</v>
          </cell>
          <cell r="T294" t="str">
            <v>Đ</v>
          </cell>
          <cell r="U294" t="str">
            <v>Đ</v>
          </cell>
          <cell r="V294" t="str">
            <v>Đ</v>
          </cell>
          <cell r="W294" t="str">
            <v>Đ</v>
          </cell>
          <cell r="X294" t="str">
            <v>Đ</v>
          </cell>
          <cell r="Y294" t="str">
            <v>Đ</v>
          </cell>
          <cell r="Z294" t="str">
            <v>CN</v>
          </cell>
          <cell r="AA294" t="str">
            <v>AL8</v>
          </cell>
          <cell r="AB294" t="str">
            <v>AL8</v>
          </cell>
          <cell r="AC294" t="str">
            <v>Đ</v>
          </cell>
          <cell r="AD294" t="str">
            <v>Đ</v>
          </cell>
          <cell r="AE294" t="str">
            <v>CN</v>
          </cell>
          <cell r="AF294">
            <v>8</v>
          </cell>
          <cell r="AG294" t="str">
            <v>Đ</v>
          </cell>
          <cell r="AH294" t="str">
            <v>Đ</v>
          </cell>
          <cell r="AI294" t="str">
            <v>Đ</v>
          </cell>
          <cell r="AJ294" t="str">
            <v>Đ</v>
          </cell>
          <cell r="AN294">
            <v>96</v>
          </cell>
          <cell r="AO294">
            <v>80</v>
          </cell>
          <cell r="AP294">
            <v>0</v>
          </cell>
          <cell r="AQ294">
            <v>0</v>
          </cell>
          <cell r="AR294">
            <v>0</v>
          </cell>
          <cell r="AS294">
            <v>0</v>
          </cell>
          <cell r="AT294">
            <v>0</v>
          </cell>
          <cell r="AU294">
            <v>0</v>
          </cell>
          <cell r="AV294">
            <v>0</v>
          </cell>
          <cell r="AW294">
            <v>0</v>
          </cell>
          <cell r="AX294">
            <v>0</v>
          </cell>
          <cell r="AY294">
            <v>0</v>
          </cell>
          <cell r="AZ294">
            <v>0</v>
          </cell>
          <cell r="BA294">
            <v>16</v>
          </cell>
          <cell r="BB294">
            <v>0</v>
          </cell>
          <cell r="BC294">
            <v>0</v>
          </cell>
          <cell r="BD294">
            <v>0</v>
          </cell>
          <cell r="BE294">
            <v>0</v>
          </cell>
          <cell r="BF294">
            <v>0</v>
          </cell>
          <cell r="BG294">
            <v>192</v>
          </cell>
          <cell r="BH294">
            <v>2</v>
          </cell>
          <cell r="BI294">
            <v>2</v>
          </cell>
          <cell r="BJ294">
            <v>13</v>
          </cell>
          <cell r="BL294">
            <v>0</v>
          </cell>
          <cell r="BM294">
            <v>4</v>
          </cell>
          <cell r="BN294">
            <v>0</v>
          </cell>
          <cell r="BO294">
            <v>0</v>
          </cell>
          <cell r="BP294">
            <v>4</v>
          </cell>
          <cell r="BQ294">
            <v>0</v>
          </cell>
          <cell r="BR294">
            <v>0</v>
          </cell>
          <cell r="BS294">
            <v>0</v>
          </cell>
          <cell r="BT294">
            <v>4</v>
          </cell>
          <cell r="BU294">
            <v>4</v>
          </cell>
          <cell r="BV294">
            <v>0</v>
          </cell>
          <cell r="BW294">
            <v>0</v>
          </cell>
          <cell r="BX294">
            <v>0</v>
          </cell>
          <cell r="BY294">
            <v>4</v>
          </cell>
          <cell r="BZ294">
            <v>0</v>
          </cell>
          <cell r="CA294">
            <v>4</v>
          </cell>
          <cell r="CB294">
            <v>4</v>
          </cell>
          <cell r="CC294">
            <v>0</v>
          </cell>
          <cell r="CD294">
            <v>0</v>
          </cell>
          <cell r="CE294">
            <v>0</v>
          </cell>
          <cell r="CF294">
            <v>0</v>
          </cell>
          <cell r="CG294">
            <v>0</v>
          </cell>
          <cell r="CH294">
            <v>0</v>
          </cell>
          <cell r="CI294">
            <v>4</v>
          </cell>
          <cell r="CJ294">
            <v>4</v>
          </cell>
          <cell r="CK294">
            <v>4</v>
          </cell>
          <cell r="CL294">
            <v>0</v>
          </cell>
          <cell r="CM294">
            <v>0</v>
          </cell>
          <cell r="CR294">
            <v>0</v>
          </cell>
          <cell r="CS294">
            <v>0</v>
          </cell>
          <cell r="CT294">
            <v>40</v>
          </cell>
          <cell r="CU294">
            <v>0</v>
          </cell>
          <cell r="CV294">
            <v>0</v>
          </cell>
          <cell r="CZ294">
            <v>40</v>
          </cell>
        </row>
        <row r="295">
          <cell r="C295" t="str">
            <v>02506</v>
          </cell>
          <cell r="D295" t="str">
            <v>Lục Thị Bền</v>
          </cell>
          <cell r="E295" t="str">
            <v>Production</v>
          </cell>
          <cell r="F295" t="str">
            <v>Skiving</v>
          </cell>
          <cell r="G295" t="str">
            <v>Worker</v>
          </cell>
          <cell r="H295">
            <v>44085</v>
          </cell>
          <cell r="I295">
            <v>8</v>
          </cell>
          <cell r="J295">
            <v>8</v>
          </cell>
          <cell r="K295">
            <v>8</v>
          </cell>
          <cell r="L295" t="str">
            <v>CN</v>
          </cell>
          <cell r="M295" t="str">
            <v>Đ</v>
          </cell>
          <cell r="N295" t="str">
            <v>Đ</v>
          </cell>
          <cell r="O295" t="str">
            <v>Đ</v>
          </cell>
          <cell r="P295" t="str">
            <v>Đ</v>
          </cell>
          <cell r="Q295" t="str">
            <v>Đ</v>
          </cell>
          <cell r="R295" t="str">
            <v>Đ</v>
          </cell>
          <cell r="S295" t="str">
            <v>CN</v>
          </cell>
          <cell r="T295">
            <v>8</v>
          </cell>
          <cell r="U295">
            <v>8</v>
          </cell>
          <cell r="V295" t="str">
            <v>UP4</v>
          </cell>
          <cell r="W295">
            <v>8</v>
          </cell>
          <cell r="X295">
            <v>8</v>
          </cell>
          <cell r="Y295">
            <v>8</v>
          </cell>
          <cell r="Z295" t="str">
            <v>CN</v>
          </cell>
          <cell r="AA295" t="str">
            <v>Đ</v>
          </cell>
          <cell r="AB295" t="str">
            <v>Đ</v>
          </cell>
          <cell r="AC295" t="str">
            <v>Đ</v>
          </cell>
          <cell r="AD295" t="str">
            <v>Đ</v>
          </cell>
          <cell r="AE295" t="str">
            <v>Đ</v>
          </cell>
          <cell r="AF295" t="str">
            <v>Đ</v>
          </cell>
          <cell r="AG295" t="str">
            <v>CN</v>
          </cell>
          <cell r="AH295">
            <v>8</v>
          </cell>
          <cell r="AI295">
            <v>8</v>
          </cell>
          <cell r="AJ295">
            <v>8</v>
          </cell>
          <cell r="AN295">
            <v>96</v>
          </cell>
          <cell r="AO295">
            <v>92</v>
          </cell>
          <cell r="AP295">
            <v>0</v>
          </cell>
          <cell r="AQ295">
            <v>0</v>
          </cell>
          <cell r="AR295">
            <v>4</v>
          </cell>
          <cell r="AS295">
            <v>4</v>
          </cell>
          <cell r="AT295">
            <v>0</v>
          </cell>
          <cell r="AU295">
            <v>0</v>
          </cell>
          <cell r="AV295">
            <v>0</v>
          </cell>
          <cell r="AW295">
            <v>0</v>
          </cell>
          <cell r="AX295">
            <v>0</v>
          </cell>
          <cell r="AY295">
            <v>0</v>
          </cell>
          <cell r="AZ295">
            <v>0</v>
          </cell>
          <cell r="BA295">
            <v>0</v>
          </cell>
          <cell r="BB295">
            <v>0</v>
          </cell>
          <cell r="BC295">
            <v>0</v>
          </cell>
          <cell r="BD295">
            <v>0</v>
          </cell>
          <cell r="BE295">
            <v>0</v>
          </cell>
          <cell r="BF295">
            <v>0</v>
          </cell>
          <cell r="BG295">
            <v>188</v>
          </cell>
          <cell r="BH295">
            <v>0</v>
          </cell>
          <cell r="BI295">
            <v>0</v>
          </cell>
          <cell r="BJ295">
            <v>1.5</v>
          </cell>
          <cell r="BL295">
            <v>0</v>
          </cell>
          <cell r="BM295">
            <v>0</v>
          </cell>
          <cell r="BN295">
            <v>0</v>
          </cell>
          <cell r="BO295">
            <v>0</v>
          </cell>
          <cell r="BP295">
            <v>1.5</v>
          </cell>
          <cell r="BQ295">
            <v>3</v>
          </cell>
          <cell r="BR295">
            <v>0</v>
          </cell>
          <cell r="BS295">
            <v>3</v>
          </cell>
          <cell r="BT295">
            <v>3</v>
          </cell>
          <cell r="BU295">
            <v>0</v>
          </cell>
          <cell r="BV295">
            <v>0</v>
          </cell>
          <cell r="BW295">
            <v>3</v>
          </cell>
          <cell r="BX295">
            <v>3</v>
          </cell>
          <cell r="BY295">
            <v>2</v>
          </cell>
          <cell r="BZ295">
            <v>3</v>
          </cell>
          <cell r="CA295">
            <v>3</v>
          </cell>
          <cell r="CB295">
            <v>3</v>
          </cell>
          <cell r="CC295">
            <v>8</v>
          </cell>
          <cell r="CD295">
            <v>4</v>
          </cell>
          <cell r="CE295">
            <v>4</v>
          </cell>
          <cell r="CF295">
            <v>4</v>
          </cell>
          <cell r="CG295">
            <v>4</v>
          </cell>
          <cell r="CH295">
            <v>1.5</v>
          </cell>
          <cell r="CI295">
            <v>1.5</v>
          </cell>
          <cell r="CJ295">
            <v>0</v>
          </cell>
          <cell r="CK295">
            <v>1.5</v>
          </cell>
          <cell r="CL295">
            <v>1.5</v>
          </cell>
          <cell r="CM295">
            <v>1.5</v>
          </cell>
          <cell r="CR295">
            <v>0</v>
          </cell>
          <cell r="CS295">
            <v>0</v>
          </cell>
          <cell r="CT295">
            <v>51</v>
          </cell>
          <cell r="CU295">
            <v>8</v>
          </cell>
          <cell r="CV295">
            <v>0</v>
          </cell>
          <cell r="CZ295">
            <v>59</v>
          </cell>
        </row>
        <row r="296">
          <cell r="C296" t="str">
            <v>02514</v>
          </cell>
          <cell r="D296" t="str">
            <v>Nguyễn Hà Trang</v>
          </cell>
          <cell r="E296" t="str">
            <v>Foaming</v>
          </cell>
          <cell r="F296" t="str">
            <v>FOAMING Splitting</v>
          </cell>
          <cell r="G296" t="str">
            <v>Worker</v>
          </cell>
          <cell r="H296">
            <v>44085</v>
          </cell>
          <cell r="I296" t="str">
            <v>Đ</v>
          </cell>
          <cell r="J296" t="str">
            <v>Đ</v>
          </cell>
          <cell r="K296" t="str">
            <v>Đ</v>
          </cell>
          <cell r="L296" t="str">
            <v>CN</v>
          </cell>
          <cell r="M296" t="str">
            <v>Đ</v>
          </cell>
          <cell r="N296" t="str">
            <v>Đ</v>
          </cell>
          <cell r="O296" t="str">
            <v>Đ</v>
          </cell>
          <cell r="P296" t="str">
            <v>Đ</v>
          </cell>
          <cell r="Q296" t="str">
            <v>Đ</v>
          </cell>
          <cell r="R296" t="str">
            <v>Đ</v>
          </cell>
          <cell r="S296" t="str">
            <v>CN</v>
          </cell>
          <cell r="T296" t="str">
            <v>Đ</v>
          </cell>
          <cell r="U296" t="str">
            <v>Đ</v>
          </cell>
          <cell r="V296" t="str">
            <v>Đ</v>
          </cell>
          <cell r="W296" t="str">
            <v>Đ</v>
          </cell>
          <cell r="X296" t="str">
            <v>Đ</v>
          </cell>
          <cell r="Y296" t="str">
            <v>Đ</v>
          </cell>
          <cell r="Z296" t="str">
            <v>CN</v>
          </cell>
          <cell r="AA296">
            <v>8</v>
          </cell>
          <cell r="AB296">
            <v>8</v>
          </cell>
          <cell r="AC296">
            <v>8</v>
          </cell>
          <cell r="AD296">
            <v>8</v>
          </cell>
          <cell r="AE296">
            <v>8</v>
          </cell>
          <cell r="AF296">
            <v>8</v>
          </cell>
          <cell r="AG296" t="str">
            <v>CN</v>
          </cell>
          <cell r="AH296">
            <v>8</v>
          </cell>
          <cell r="AI296">
            <v>8</v>
          </cell>
          <cell r="AJ296">
            <v>8</v>
          </cell>
          <cell r="AN296">
            <v>120</v>
          </cell>
          <cell r="AO296">
            <v>72</v>
          </cell>
          <cell r="AP296">
            <v>0</v>
          </cell>
          <cell r="AQ296">
            <v>0</v>
          </cell>
          <cell r="AR296">
            <v>0</v>
          </cell>
          <cell r="AS296">
            <v>0</v>
          </cell>
          <cell r="AT296">
            <v>0</v>
          </cell>
          <cell r="AU296">
            <v>0</v>
          </cell>
          <cell r="AV296">
            <v>0</v>
          </cell>
          <cell r="AW296">
            <v>0</v>
          </cell>
          <cell r="AX296">
            <v>0</v>
          </cell>
          <cell r="AY296">
            <v>0</v>
          </cell>
          <cell r="AZ296">
            <v>0</v>
          </cell>
          <cell r="BA296">
            <v>0</v>
          </cell>
          <cell r="BB296">
            <v>0</v>
          </cell>
          <cell r="BC296">
            <v>0</v>
          </cell>
          <cell r="BD296">
            <v>0</v>
          </cell>
          <cell r="BE296">
            <v>0</v>
          </cell>
          <cell r="BF296">
            <v>0</v>
          </cell>
          <cell r="BG296">
            <v>192</v>
          </cell>
          <cell r="BH296">
            <v>0</v>
          </cell>
          <cell r="BI296">
            <v>0</v>
          </cell>
          <cell r="BJ296">
            <v>-3</v>
          </cell>
          <cell r="BL296">
            <v>4</v>
          </cell>
          <cell r="BM296">
            <v>4</v>
          </cell>
          <cell r="BN296">
            <v>4</v>
          </cell>
          <cell r="BO296" t="str">
            <v>12Đ</v>
          </cell>
          <cell r="BP296">
            <v>2</v>
          </cell>
          <cell r="BQ296">
            <v>4</v>
          </cell>
          <cell r="BR296">
            <v>4</v>
          </cell>
          <cell r="BS296">
            <v>4</v>
          </cell>
          <cell r="BT296">
            <v>4</v>
          </cell>
          <cell r="BU296">
            <v>4</v>
          </cell>
          <cell r="BV296" t="str">
            <v>12Đ</v>
          </cell>
          <cell r="BW296">
            <v>4</v>
          </cell>
          <cell r="BX296">
            <v>4</v>
          </cell>
          <cell r="BY296">
            <v>4</v>
          </cell>
          <cell r="BZ296">
            <v>4</v>
          </cell>
          <cell r="CA296">
            <v>4</v>
          </cell>
          <cell r="CB296">
            <v>4</v>
          </cell>
          <cell r="CC296">
            <v>0</v>
          </cell>
          <cell r="CD296">
            <v>4</v>
          </cell>
          <cell r="CE296">
            <v>4</v>
          </cell>
          <cell r="CF296">
            <v>4</v>
          </cell>
          <cell r="CG296">
            <v>2</v>
          </cell>
          <cell r="CH296">
            <v>4</v>
          </cell>
          <cell r="CI296">
            <v>2</v>
          </cell>
          <cell r="CJ296">
            <v>12</v>
          </cell>
          <cell r="CK296">
            <v>4</v>
          </cell>
          <cell r="CL296">
            <v>0</v>
          </cell>
          <cell r="CM296">
            <v>4</v>
          </cell>
          <cell r="CR296">
            <v>0</v>
          </cell>
          <cell r="CS296">
            <v>0</v>
          </cell>
          <cell r="CT296">
            <v>86</v>
          </cell>
          <cell r="CU296">
            <v>20</v>
          </cell>
          <cell r="CV296">
            <v>16</v>
          </cell>
          <cell r="CZ296">
            <v>122</v>
          </cell>
        </row>
        <row r="297">
          <cell r="C297" t="str">
            <v>02521</v>
          </cell>
          <cell r="D297" t="str">
            <v>Bùi Văn Ngọc</v>
          </cell>
          <cell r="E297" t="str">
            <v>Production</v>
          </cell>
          <cell r="F297" t="str">
            <v>Die Cut</v>
          </cell>
          <cell r="G297" t="str">
            <v>Operator</v>
          </cell>
          <cell r="H297">
            <v>44090</v>
          </cell>
          <cell r="I297">
            <v>8</v>
          </cell>
          <cell r="J297">
            <v>8</v>
          </cell>
          <cell r="K297">
            <v>8</v>
          </cell>
          <cell r="L297" t="str">
            <v>CN</v>
          </cell>
          <cell r="M297" t="str">
            <v>Đ</v>
          </cell>
          <cell r="N297" t="str">
            <v>Đ</v>
          </cell>
          <cell r="O297" t="str">
            <v>Đ</v>
          </cell>
          <cell r="P297" t="str">
            <v>Đ</v>
          </cell>
          <cell r="Q297" t="str">
            <v>Đ</v>
          </cell>
          <cell r="R297" t="str">
            <v>Đ</v>
          </cell>
          <cell r="S297" t="str">
            <v>CN</v>
          </cell>
          <cell r="T297" t="str">
            <v>AL4</v>
          </cell>
          <cell r="U297">
            <v>8</v>
          </cell>
          <cell r="V297">
            <v>8</v>
          </cell>
          <cell r="W297">
            <v>8</v>
          </cell>
          <cell r="X297">
            <v>8</v>
          </cell>
          <cell r="Y297" t="str">
            <v>AL8</v>
          </cell>
          <cell r="Z297" t="str">
            <v>CN</v>
          </cell>
          <cell r="AA297" t="str">
            <v>Đ</v>
          </cell>
          <cell r="AB297" t="str">
            <v>Đ</v>
          </cell>
          <cell r="AC297" t="str">
            <v>Đ</v>
          </cell>
          <cell r="AD297" t="str">
            <v>Đ</v>
          </cell>
          <cell r="AE297" t="str">
            <v>Đ</v>
          </cell>
          <cell r="AF297" t="str">
            <v>Đ</v>
          </cell>
          <cell r="AG297" t="str">
            <v>CN</v>
          </cell>
          <cell r="AH297">
            <v>8</v>
          </cell>
          <cell r="AI297">
            <v>8</v>
          </cell>
          <cell r="AJ297">
            <v>8</v>
          </cell>
          <cell r="AN297">
            <v>96</v>
          </cell>
          <cell r="AO297">
            <v>84</v>
          </cell>
          <cell r="AP297">
            <v>4</v>
          </cell>
          <cell r="AQ297">
            <v>0</v>
          </cell>
          <cell r="AR297">
            <v>0</v>
          </cell>
          <cell r="AS297">
            <v>0</v>
          </cell>
          <cell r="AT297">
            <v>0</v>
          </cell>
          <cell r="AU297">
            <v>0</v>
          </cell>
          <cell r="AV297">
            <v>0</v>
          </cell>
          <cell r="AW297">
            <v>0</v>
          </cell>
          <cell r="AX297">
            <v>0</v>
          </cell>
          <cell r="AY297">
            <v>0</v>
          </cell>
          <cell r="AZ297">
            <v>0</v>
          </cell>
          <cell r="BA297">
            <v>12</v>
          </cell>
          <cell r="BB297">
            <v>0</v>
          </cell>
          <cell r="BC297">
            <v>0</v>
          </cell>
          <cell r="BD297">
            <v>0</v>
          </cell>
          <cell r="BE297">
            <v>0</v>
          </cell>
          <cell r="BF297">
            <v>0</v>
          </cell>
          <cell r="BG297">
            <v>192</v>
          </cell>
          <cell r="BH297">
            <v>1.5</v>
          </cell>
          <cell r="BI297">
            <v>1.5</v>
          </cell>
          <cell r="BJ297">
            <v>-0.5</v>
          </cell>
          <cell r="BL297">
            <v>0</v>
          </cell>
          <cell r="BM297">
            <v>1.5</v>
          </cell>
          <cell r="BN297">
            <v>1.5</v>
          </cell>
          <cell r="BO297">
            <v>0</v>
          </cell>
          <cell r="BP297">
            <v>1.5</v>
          </cell>
          <cell r="BQ297">
            <v>3</v>
          </cell>
          <cell r="BR297">
            <v>0</v>
          </cell>
          <cell r="BS297">
            <v>3</v>
          </cell>
          <cell r="BT297">
            <v>3</v>
          </cell>
          <cell r="BU297">
            <v>0</v>
          </cell>
          <cell r="BV297">
            <v>0</v>
          </cell>
          <cell r="BW297">
            <v>0</v>
          </cell>
          <cell r="BX297">
            <v>3</v>
          </cell>
          <cell r="BY297">
            <v>3</v>
          </cell>
          <cell r="BZ297">
            <v>3</v>
          </cell>
          <cell r="CA297">
            <v>3</v>
          </cell>
          <cell r="CB297">
            <v>0</v>
          </cell>
          <cell r="CC297">
            <v>8</v>
          </cell>
          <cell r="CD297">
            <v>1.5</v>
          </cell>
          <cell r="CE297">
            <v>4</v>
          </cell>
          <cell r="CF297">
            <v>4</v>
          </cell>
          <cell r="CG297">
            <v>4</v>
          </cell>
          <cell r="CH297">
            <v>1.5</v>
          </cell>
          <cell r="CI297">
            <v>1.5</v>
          </cell>
          <cell r="CJ297">
            <v>0</v>
          </cell>
          <cell r="CK297">
            <v>1.5</v>
          </cell>
          <cell r="CL297">
            <v>3</v>
          </cell>
          <cell r="CM297">
            <v>1.5</v>
          </cell>
          <cell r="CR297">
            <v>0</v>
          </cell>
          <cell r="CS297">
            <v>0</v>
          </cell>
          <cell r="CT297">
            <v>48</v>
          </cell>
          <cell r="CU297">
            <v>8</v>
          </cell>
          <cell r="CV297">
            <v>0</v>
          </cell>
          <cell r="CZ297">
            <v>56</v>
          </cell>
        </row>
        <row r="298">
          <cell r="C298" t="str">
            <v>02538</v>
          </cell>
          <cell r="D298" t="str">
            <v>Nguyễn Thị Bích Duyên</v>
          </cell>
          <cell r="E298" t="str">
            <v>Foaming</v>
          </cell>
          <cell r="F298" t="str">
            <v>FOAMING Splitting</v>
          </cell>
          <cell r="G298" t="str">
            <v>Worker</v>
          </cell>
          <cell r="H298">
            <v>44090</v>
          </cell>
          <cell r="I298">
            <v>8</v>
          </cell>
          <cell r="J298">
            <v>8</v>
          </cell>
          <cell r="K298" t="str">
            <v>BS</v>
          </cell>
          <cell r="L298" t="str">
            <v>CN</v>
          </cell>
          <cell r="M298">
            <v>8</v>
          </cell>
          <cell r="N298">
            <v>8</v>
          </cell>
          <cell r="O298">
            <v>8</v>
          </cell>
          <cell r="P298">
            <v>8</v>
          </cell>
          <cell r="Q298">
            <v>8</v>
          </cell>
          <cell r="R298">
            <v>8</v>
          </cell>
          <cell r="S298" t="str">
            <v>CN</v>
          </cell>
          <cell r="T298">
            <v>8</v>
          </cell>
          <cell r="U298">
            <v>8</v>
          </cell>
          <cell r="V298">
            <v>8</v>
          </cell>
          <cell r="W298">
            <v>8</v>
          </cell>
          <cell r="X298">
            <v>8</v>
          </cell>
          <cell r="Y298">
            <v>8</v>
          </cell>
          <cell r="Z298" t="str">
            <v>CN</v>
          </cell>
          <cell r="AA298">
            <v>8</v>
          </cell>
          <cell r="AB298">
            <v>8</v>
          </cell>
          <cell r="AC298">
            <v>8</v>
          </cell>
          <cell r="AD298">
            <v>8</v>
          </cell>
          <cell r="AE298">
            <v>8</v>
          </cell>
          <cell r="AF298">
            <v>8</v>
          </cell>
          <cell r="AG298" t="str">
            <v>CN</v>
          </cell>
          <cell r="AH298">
            <v>8</v>
          </cell>
          <cell r="AI298">
            <v>8</v>
          </cell>
          <cell r="AJ298">
            <v>8</v>
          </cell>
          <cell r="AN298">
            <v>0</v>
          </cell>
          <cell r="AO298">
            <v>184</v>
          </cell>
          <cell r="AP298">
            <v>0</v>
          </cell>
          <cell r="AQ298">
            <v>0</v>
          </cell>
          <cell r="AR298">
            <v>0</v>
          </cell>
          <cell r="AS298">
            <v>0</v>
          </cell>
          <cell r="AT298">
            <v>0</v>
          </cell>
          <cell r="AU298">
            <v>8</v>
          </cell>
          <cell r="AV298">
            <v>0</v>
          </cell>
          <cell r="AW298">
            <v>0</v>
          </cell>
          <cell r="AX298">
            <v>0</v>
          </cell>
          <cell r="AY298">
            <v>0</v>
          </cell>
          <cell r="AZ298">
            <v>0</v>
          </cell>
          <cell r="BA298">
            <v>0</v>
          </cell>
          <cell r="BB298">
            <v>0</v>
          </cell>
          <cell r="BC298">
            <v>0</v>
          </cell>
          <cell r="BD298">
            <v>0</v>
          </cell>
          <cell r="BE298">
            <v>0</v>
          </cell>
          <cell r="BF298">
            <v>0</v>
          </cell>
          <cell r="BG298">
            <v>192</v>
          </cell>
          <cell r="BH298">
            <v>0</v>
          </cell>
          <cell r="BI298">
            <v>0</v>
          </cell>
          <cell r="BJ298">
            <v>3</v>
          </cell>
          <cell r="BL298">
            <v>1</v>
          </cell>
          <cell r="BM298">
            <v>1</v>
          </cell>
          <cell r="BN298">
            <v>0</v>
          </cell>
          <cell r="BO298">
            <v>12</v>
          </cell>
          <cell r="BP298">
            <v>0</v>
          </cell>
          <cell r="BQ298">
            <v>4</v>
          </cell>
          <cell r="BR298">
            <v>3</v>
          </cell>
          <cell r="BS298">
            <v>4</v>
          </cell>
          <cell r="BT298">
            <v>4</v>
          </cell>
          <cell r="BU298">
            <v>4</v>
          </cell>
          <cell r="BV298">
            <v>12</v>
          </cell>
          <cell r="BW298">
            <v>2</v>
          </cell>
          <cell r="BX298">
            <v>4</v>
          </cell>
          <cell r="BY298">
            <v>4</v>
          </cell>
          <cell r="BZ298">
            <v>4</v>
          </cell>
          <cell r="CA298">
            <v>4</v>
          </cell>
          <cell r="CB298">
            <v>4</v>
          </cell>
          <cell r="CC298">
            <v>0</v>
          </cell>
          <cell r="CD298">
            <v>0</v>
          </cell>
          <cell r="CE298">
            <v>1</v>
          </cell>
          <cell r="CF298">
            <v>1</v>
          </cell>
          <cell r="CG298">
            <v>1</v>
          </cell>
          <cell r="CH298">
            <v>1</v>
          </cell>
          <cell r="CI298">
            <v>1</v>
          </cell>
          <cell r="CJ298">
            <v>8</v>
          </cell>
          <cell r="CK298">
            <v>1</v>
          </cell>
          <cell r="CL298">
            <v>0</v>
          </cell>
          <cell r="CM298">
            <v>0</v>
          </cell>
          <cell r="CR298">
            <v>0</v>
          </cell>
          <cell r="CS298">
            <v>0</v>
          </cell>
          <cell r="CT298">
            <v>49</v>
          </cell>
          <cell r="CU298">
            <v>32</v>
          </cell>
          <cell r="CV298">
            <v>0</v>
          </cell>
          <cell r="CZ298">
            <v>81</v>
          </cell>
        </row>
        <row r="299">
          <cell r="C299" t="str">
            <v>02544</v>
          </cell>
          <cell r="D299" t="str">
            <v>Thạch Thị Rim</v>
          </cell>
          <cell r="E299" t="str">
            <v>Production</v>
          </cell>
          <cell r="F299" t="str">
            <v>Die Cut</v>
          </cell>
          <cell r="G299" t="str">
            <v>Worker</v>
          </cell>
          <cell r="H299" t="str">
            <v>18/09/2020</v>
          </cell>
          <cell r="I299" t="str">
            <v>Đ</v>
          </cell>
          <cell r="J299" t="str">
            <v>Đ</v>
          </cell>
          <cell r="K299" t="str">
            <v>Đ</v>
          </cell>
          <cell r="L299" t="str">
            <v>CN</v>
          </cell>
          <cell r="M299">
            <v>8</v>
          </cell>
          <cell r="N299">
            <v>8</v>
          </cell>
          <cell r="O299" t="str">
            <v>AL8</v>
          </cell>
          <cell r="P299">
            <v>8</v>
          </cell>
          <cell r="Q299">
            <v>8</v>
          </cell>
          <cell r="R299">
            <v>8</v>
          </cell>
          <cell r="S299" t="str">
            <v>CN</v>
          </cell>
          <cell r="T299" t="str">
            <v>Đ</v>
          </cell>
          <cell r="U299" t="str">
            <v>Đ</v>
          </cell>
          <cell r="V299" t="str">
            <v>Đ</v>
          </cell>
          <cell r="W299" t="str">
            <v>Đ</v>
          </cell>
          <cell r="X299" t="str">
            <v>Đ</v>
          </cell>
          <cell r="Y299" t="str">
            <v>Đ</v>
          </cell>
          <cell r="Z299" t="str">
            <v>CN</v>
          </cell>
          <cell r="AA299">
            <v>8</v>
          </cell>
          <cell r="AB299">
            <v>8</v>
          </cell>
          <cell r="AC299">
            <v>8</v>
          </cell>
          <cell r="AD299">
            <v>8</v>
          </cell>
          <cell r="AE299">
            <v>8</v>
          </cell>
          <cell r="AF299">
            <v>8</v>
          </cell>
          <cell r="AG299" t="str">
            <v>CN</v>
          </cell>
          <cell r="AH299" t="str">
            <v>Đ</v>
          </cell>
          <cell r="AI299" t="str">
            <v>Đ</v>
          </cell>
          <cell r="AJ299" t="str">
            <v>Đ</v>
          </cell>
          <cell r="AN299">
            <v>96</v>
          </cell>
          <cell r="AO299">
            <v>88</v>
          </cell>
          <cell r="AP299">
            <v>0</v>
          </cell>
          <cell r="AQ299">
            <v>0</v>
          </cell>
          <cell r="AR299">
            <v>0</v>
          </cell>
          <cell r="AS299">
            <v>0</v>
          </cell>
          <cell r="AT299">
            <v>0</v>
          </cell>
          <cell r="AU299">
            <v>0</v>
          </cell>
          <cell r="AV299">
            <v>0</v>
          </cell>
          <cell r="AW299">
            <v>0</v>
          </cell>
          <cell r="AX299">
            <v>0</v>
          </cell>
          <cell r="AY299">
            <v>0</v>
          </cell>
          <cell r="AZ299">
            <v>0</v>
          </cell>
          <cell r="BA299">
            <v>8</v>
          </cell>
          <cell r="BB299">
            <v>0</v>
          </cell>
          <cell r="BC299">
            <v>0</v>
          </cell>
          <cell r="BD299">
            <v>0</v>
          </cell>
          <cell r="BE299">
            <v>0</v>
          </cell>
          <cell r="BF299">
            <v>0</v>
          </cell>
          <cell r="BG299">
            <v>192</v>
          </cell>
          <cell r="BH299">
            <v>1</v>
          </cell>
          <cell r="BI299">
            <v>1</v>
          </cell>
          <cell r="BJ299">
            <v>2.5</v>
          </cell>
          <cell r="BL299">
            <v>1.5</v>
          </cell>
          <cell r="BM299">
            <v>1.5</v>
          </cell>
          <cell r="BN299">
            <v>1.5</v>
          </cell>
          <cell r="BO299">
            <v>0</v>
          </cell>
          <cell r="BP299">
            <v>1.5</v>
          </cell>
          <cell r="BQ299">
            <v>0</v>
          </cell>
          <cell r="BR299">
            <v>0</v>
          </cell>
          <cell r="BS299">
            <v>0</v>
          </cell>
          <cell r="BT299">
            <v>0</v>
          </cell>
          <cell r="BU299">
            <v>3</v>
          </cell>
          <cell r="BV299">
            <v>0</v>
          </cell>
          <cell r="BW299">
            <v>4</v>
          </cell>
          <cell r="BX299">
            <v>4</v>
          </cell>
          <cell r="BY299">
            <v>4</v>
          </cell>
          <cell r="BZ299">
            <v>4</v>
          </cell>
          <cell r="CA299">
            <v>4</v>
          </cell>
          <cell r="CB299">
            <v>4</v>
          </cell>
          <cell r="CC299">
            <v>0</v>
          </cell>
          <cell r="CD299">
            <v>3</v>
          </cell>
          <cell r="CE299">
            <v>0</v>
          </cell>
          <cell r="CF299">
            <v>3</v>
          </cell>
          <cell r="CG299">
            <v>3</v>
          </cell>
          <cell r="CH299">
            <v>3</v>
          </cell>
          <cell r="CI299">
            <v>3</v>
          </cell>
          <cell r="CJ299">
            <v>8</v>
          </cell>
          <cell r="CK299">
            <v>4</v>
          </cell>
          <cell r="CL299">
            <v>4</v>
          </cell>
          <cell r="CM299">
            <v>4</v>
          </cell>
          <cell r="CR299">
            <v>0</v>
          </cell>
          <cell r="CS299">
            <v>0</v>
          </cell>
          <cell r="CT299">
            <v>60</v>
          </cell>
          <cell r="CU299">
            <v>8</v>
          </cell>
          <cell r="CV299">
            <v>0</v>
          </cell>
          <cell r="CZ299">
            <v>68</v>
          </cell>
        </row>
        <row r="300">
          <cell r="C300" t="str">
            <v>02547</v>
          </cell>
          <cell r="D300" t="str">
            <v>Nguyễn Thị Kỳ Anh</v>
          </cell>
          <cell r="E300" t="str">
            <v>Production</v>
          </cell>
          <cell r="F300" t="str">
            <v>Molding</v>
          </cell>
          <cell r="G300" t="str">
            <v>Worker</v>
          </cell>
          <cell r="H300" t="str">
            <v>18/09/2020</v>
          </cell>
          <cell r="I300">
            <v>8</v>
          </cell>
          <cell r="J300" t="str">
            <v>CN</v>
          </cell>
          <cell r="K300" t="str">
            <v>Đ</v>
          </cell>
          <cell r="L300" t="str">
            <v>Đ</v>
          </cell>
          <cell r="M300" t="str">
            <v>Đ</v>
          </cell>
          <cell r="N300" t="str">
            <v>Đ</v>
          </cell>
          <cell r="O300" t="str">
            <v>Đ</v>
          </cell>
          <cell r="P300" t="str">
            <v>Đ</v>
          </cell>
          <cell r="Q300" t="str">
            <v>CN</v>
          </cell>
          <cell r="R300">
            <v>8</v>
          </cell>
          <cell r="S300">
            <v>8</v>
          </cell>
          <cell r="T300">
            <v>8</v>
          </cell>
          <cell r="U300">
            <v>8</v>
          </cell>
          <cell r="V300">
            <v>8</v>
          </cell>
          <cell r="W300">
            <v>8</v>
          </cell>
          <cell r="X300" t="str">
            <v>CN</v>
          </cell>
          <cell r="Y300" t="str">
            <v>Đ</v>
          </cell>
          <cell r="Z300" t="str">
            <v>Đ</v>
          </cell>
          <cell r="AA300" t="str">
            <v>Đ</v>
          </cell>
          <cell r="AB300" t="str">
            <v>Đ</v>
          </cell>
          <cell r="AC300" t="str">
            <v>UP8</v>
          </cell>
          <cell r="AD300" t="str">
            <v>UP8</v>
          </cell>
          <cell r="AE300" t="str">
            <v>CN</v>
          </cell>
          <cell r="AF300" t="str">
            <v>CĐ</v>
          </cell>
          <cell r="AG300" t="str">
            <v>CĐ</v>
          </cell>
          <cell r="AH300" t="str">
            <v>CĐ</v>
          </cell>
          <cell r="AI300" t="str">
            <v>UP8</v>
          </cell>
          <cell r="AJ300" t="str">
            <v>UP8</v>
          </cell>
          <cell r="AN300">
            <v>80</v>
          </cell>
          <cell r="AO300">
            <v>56</v>
          </cell>
          <cell r="AP300">
            <v>0</v>
          </cell>
          <cell r="AQ300">
            <v>0</v>
          </cell>
          <cell r="AR300">
            <v>0</v>
          </cell>
          <cell r="AS300">
            <v>32</v>
          </cell>
          <cell r="AT300">
            <v>0</v>
          </cell>
          <cell r="AU300">
            <v>0</v>
          </cell>
          <cell r="AV300">
            <v>0</v>
          </cell>
          <cell r="AW300">
            <v>0</v>
          </cell>
          <cell r="AX300">
            <v>0</v>
          </cell>
          <cell r="AY300">
            <v>0</v>
          </cell>
          <cell r="AZ300">
            <v>24</v>
          </cell>
          <cell r="BA300">
            <v>0</v>
          </cell>
          <cell r="BB300">
            <v>0</v>
          </cell>
          <cell r="BC300">
            <v>0</v>
          </cell>
          <cell r="BD300">
            <v>0</v>
          </cell>
          <cell r="BE300">
            <v>0</v>
          </cell>
          <cell r="BF300">
            <v>0</v>
          </cell>
          <cell r="BG300">
            <v>160</v>
          </cell>
          <cell r="BH300">
            <v>0</v>
          </cell>
          <cell r="BI300">
            <v>0</v>
          </cell>
          <cell r="BJ300">
            <v>0.5</v>
          </cell>
          <cell r="BL300">
            <v>0</v>
          </cell>
          <cell r="BM300">
            <v>0</v>
          </cell>
          <cell r="BN300">
            <v>4</v>
          </cell>
          <cell r="BO300">
            <v>4</v>
          </cell>
          <cell r="BP300">
            <v>0</v>
          </cell>
          <cell r="BQ300">
            <v>0</v>
          </cell>
          <cell r="BR300">
            <v>0</v>
          </cell>
          <cell r="BS300">
            <v>0</v>
          </cell>
          <cell r="BT300">
            <v>0</v>
          </cell>
          <cell r="BU300">
            <v>4</v>
          </cell>
          <cell r="BV300">
            <v>4</v>
          </cell>
          <cell r="BW300">
            <v>0</v>
          </cell>
          <cell r="BX300">
            <v>0</v>
          </cell>
          <cell r="BY300">
            <v>0</v>
          </cell>
          <cell r="BZ300">
            <v>0</v>
          </cell>
          <cell r="CA300">
            <v>0</v>
          </cell>
          <cell r="CB300">
            <v>4</v>
          </cell>
          <cell r="CC300">
            <v>4</v>
          </cell>
          <cell r="CD300">
            <v>0</v>
          </cell>
          <cell r="CE300">
            <v>0</v>
          </cell>
          <cell r="CF300">
            <v>0</v>
          </cell>
          <cell r="CG300">
            <v>0</v>
          </cell>
          <cell r="CH300">
            <v>0</v>
          </cell>
          <cell r="CI300">
            <v>0</v>
          </cell>
          <cell r="CJ300">
            <v>0</v>
          </cell>
          <cell r="CK300">
            <v>0</v>
          </cell>
          <cell r="CL300">
            <v>0</v>
          </cell>
          <cell r="CM300">
            <v>0</v>
          </cell>
          <cell r="CR300">
            <v>0</v>
          </cell>
          <cell r="CS300">
            <v>0</v>
          </cell>
          <cell r="CT300">
            <v>24</v>
          </cell>
          <cell r="CU300">
            <v>0</v>
          </cell>
          <cell r="CV300">
            <v>0</v>
          </cell>
          <cell r="CZ300">
            <v>24</v>
          </cell>
        </row>
        <row r="301">
          <cell r="C301" t="str">
            <v>02552</v>
          </cell>
          <cell r="D301" t="str">
            <v>Lê Thị Lan Anh</v>
          </cell>
          <cell r="E301" t="str">
            <v>Production</v>
          </cell>
          <cell r="F301" t="str">
            <v>Molding</v>
          </cell>
          <cell r="G301" t="str">
            <v>Worker</v>
          </cell>
          <cell r="H301" t="str">
            <v>21/09/2020</v>
          </cell>
          <cell r="I301" t="str">
            <v>AL8</v>
          </cell>
          <cell r="J301" t="str">
            <v>CN</v>
          </cell>
          <cell r="K301" t="str">
            <v>Đ</v>
          </cell>
          <cell r="L301" t="str">
            <v>Đ</v>
          </cell>
          <cell r="M301" t="str">
            <v>Đ</v>
          </cell>
          <cell r="N301" t="str">
            <v>Đ</v>
          </cell>
          <cell r="O301" t="str">
            <v>Đ</v>
          </cell>
          <cell r="P301" t="str">
            <v>Đ</v>
          </cell>
          <cell r="Q301" t="str">
            <v>CN</v>
          </cell>
          <cell r="R301">
            <v>8</v>
          </cell>
          <cell r="S301">
            <v>8</v>
          </cell>
          <cell r="T301">
            <v>8</v>
          </cell>
          <cell r="U301">
            <v>8</v>
          </cell>
          <cell r="V301">
            <v>8</v>
          </cell>
          <cell r="W301" t="str">
            <v>AL8</v>
          </cell>
          <cell r="X301" t="str">
            <v>CN</v>
          </cell>
          <cell r="Y301" t="str">
            <v>Đ</v>
          </cell>
          <cell r="Z301" t="str">
            <v>Đ</v>
          </cell>
          <cell r="AA301" t="str">
            <v>Đ</v>
          </cell>
          <cell r="AB301" t="str">
            <v>Đ</v>
          </cell>
          <cell r="AC301" t="str">
            <v>Đ</v>
          </cell>
          <cell r="AD301" t="str">
            <v>Đ</v>
          </cell>
          <cell r="AE301" t="str">
            <v>CN</v>
          </cell>
          <cell r="AF301">
            <v>8</v>
          </cell>
          <cell r="AG301">
            <v>8</v>
          </cell>
          <cell r="AH301">
            <v>8</v>
          </cell>
          <cell r="AI301">
            <v>8</v>
          </cell>
          <cell r="AJ301">
            <v>8</v>
          </cell>
          <cell r="AN301">
            <v>96</v>
          </cell>
          <cell r="AO301">
            <v>80</v>
          </cell>
          <cell r="AP301">
            <v>0</v>
          </cell>
          <cell r="AQ301">
            <v>0</v>
          </cell>
          <cell r="AR301">
            <v>0</v>
          </cell>
          <cell r="AS301">
            <v>0</v>
          </cell>
          <cell r="AT301">
            <v>0</v>
          </cell>
          <cell r="AU301">
            <v>0</v>
          </cell>
          <cell r="AV301">
            <v>0</v>
          </cell>
          <cell r="AW301">
            <v>0</v>
          </cell>
          <cell r="AX301">
            <v>0</v>
          </cell>
          <cell r="AY301">
            <v>0</v>
          </cell>
          <cell r="AZ301">
            <v>0</v>
          </cell>
          <cell r="BA301">
            <v>16</v>
          </cell>
          <cell r="BB301">
            <v>0</v>
          </cell>
          <cell r="BC301">
            <v>0</v>
          </cell>
          <cell r="BD301">
            <v>0</v>
          </cell>
          <cell r="BE301">
            <v>0</v>
          </cell>
          <cell r="BF301">
            <v>0</v>
          </cell>
          <cell r="BG301">
            <v>192</v>
          </cell>
          <cell r="BH301">
            <v>2</v>
          </cell>
          <cell r="BI301">
            <v>2</v>
          </cell>
          <cell r="BJ301">
            <v>-2.5</v>
          </cell>
          <cell r="BL301">
            <v>0</v>
          </cell>
          <cell r="BM301">
            <v>0</v>
          </cell>
          <cell r="BN301">
            <v>4</v>
          </cell>
          <cell r="BO301">
            <v>4</v>
          </cell>
          <cell r="BP301">
            <v>0</v>
          </cell>
          <cell r="BQ301">
            <v>0</v>
          </cell>
          <cell r="BR301">
            <v>0</v>
          </cell>
          <cell r="BS301">
            <v>0</v>
          </cell>
          <cell r="BT301">
            <v>0</v>
          </cell>
          <cell r="BU301">
            <v>4</v>
          </cell>
          <cell r="BV301">
            <v>4</v>
          </cell>
          <cell r="BW301">
            <v>0</v>
          </cell>
          <cell r="BX301">
            <v>0</v>
          </cell>
          <cell r="BY301">
            <v>0</v>
          </cell>
          <cell r="BZ301">
            <v>0</v>
          </cell>
          <cell r="CA301">
            <v>0</v>
          </cell>
          <cell r="CB301">
            <v>4</v>
          </cell>
          <cell r="CC301">
            <v>4</v>
          </cell>
          <cell r="CD301">
            <v>4</v>
          </cell>
          <cell r="CE301">
            <v>0</v>
          </cell>
          <cell r="CF301">
            <v>0</v>
          </cell>
          <cell r="CG301">
            <v>0</v>
          </cell>
          <cell r="CH301">
            <v>0</v>
          </cell>
          <cell r="CI301">
            <v>4</v>
          </cell>
          <cell r="CJ301">
            <v>4</v>
          </cell>
          <cell r="CK301">
            <v>0</v>
          </cell>
          <cell r="CL301">
            <v>0</v>
          </cell>
          <cell r="CM301">
            <v>0</v>
          </cell>
          <cell r="CR301">
            <v>0</v>
          </cell>
          <cell r="CS301">
            <v>0</v>
          </cell>
          <cell r="CT301">
            <v>36</v>
          </cell>
          <cell r="CU301">
            <v>0</v>
          </cell>
          <cell r="CV301">
            <v>0</v>
          </cell>
          <cell r="CZ301">
            <v>36</v>
          </cell>
        </row>
        <row r="302">
          <cell r="C302" t="str">
            <v>02559</v>
          </cell>
          <cell r="D302" t="str">
            <v>Nguyễn Hoàng Trung</v>
          </cell>
          <cell r="E302" t="str">
            <v>Production</v>
          </cell>
          <cell r="F302" t="str">
            <v>Packing</v>
          </cell>
          <cell r="G302" t="str">
            <v>Worker</v>
          </cell>
          <cell r="H302" t="str">
            <v>22/09/2020</v>
          </cell>
          <cell r="I302">
            <v>8</v>
          </cell>
          <cell r="J302">
            <v>8</v>
          </cell>
          <cell r="K302">
            <v>8</v>
          </cell>
          <cell r="L302" t="str">
            <v>CN</v>
          </cell>
          <cell r="M302" t="str">
            <v>Đ</v>
          </cell>
          <cell r="N302" t="str">
            <v>Đ</v>
          </cell>
          <cell r="O302" t="str">
            <v>Đ</v>
          </cell>
          <cell r="P302" t="str">
            <v>Đ</v>
          </cell>
          <cell r="Q302" t="str">
            <v>Đ</v>
          </cell>
          <cell r="R302" t="str">
            <v>Đ</v>
          </cell>
          <cell r="S302" t="str">
            <v>CN</v>
          </cell>
          <cell r="T302">
            <v>8</v>
          </cell>
          <cell r="U302">
            <v>8</v>
          </cell>
          <cell r="V302">
            <v>8</v>
          </cell>
          <cell r="W302">
            <v>8</v>
          </cell>
          <cell r="X302">
            <v>8</v>
          </cell>
          <cell r="Y302">
            <v>8</v>
          </cell>
          <cell r="Z302" t="str">
            <v>CN</v>
          </cell>
          <cell r="AA302" t="str">
            <v>Đ</v>
          </cell>
          <cell r="AB302" t="str">
            <v>Đ</v>
          </cell>
          <cell r="AC302" t="str">
            <v>Đ</v>
          </cell>
          <cell r="AD302" t="str">
            <v>Đ</v>
          </cell>
          <cell r="AE302" t="str">
            <v>Đ</v>
          </cell>
          <cell r="AF302" t="str">
            <v>Đ</v>
          </cell>
          <cell r="AG302" t="str">
            <v>CN</v>
          </cell>
          <cell r="AH302" t="str">
            <v>AL8</v>
          </cell>
          <cell r="AI302">
            <v>8</v>
          </cell>
          <cell r="AJ302">
            <v>8</v>
          </cell>
          <cell r="AN302">
            <v>96</v>
          </cell>
          <cell r="AO302">
            <v>88</v>
          </cell>
          <cell r="AP302">
            <v>0</v>
          </cell>
          <cell r="AQ302">
            <v>0</v>
          </cell>
          <cell r="AR302">
            <v>0</v>
          </cell>
          <cell r="AS302">
            <v>0</v>
          </cell>
          <cell r="AT302">
            <v>0</v>
          </cell>
          <cell r="AU302">
            <v>0</v>
          </cell>
          <cell r="AV302">
            <v>0</v>
          </cell>
          <cell r="AW302">
            <v>0</v>
          </cell>
          <cell r="AX302">
            <v>0</v>
          </cell>
          <cell r="AY302">
            <v>0</v>
          </cell>
          <cell r="AZ302">
            <v>0</v>
          </cell>
          <cell r="BA302">
            <v>8</v>
          </cell>
          <cell r="BB302">
            <v>0</v>
          </cell>
          <cell r="BC302">
            <v>0</v>
          </cell>
          <cell r="BD302">
            <v>0</v>
          </cell>
          <cell r="BE302">
            <v>0</v>
          </cell>
          <cell r="BF302">
            <v>0</v>
          </cell>
          <cell r="BG302">
            <v>192</v>
          </cell>
          <cell r="BH302">
            <v>1</v>
          </cell>
          <cell r="BI302">
            <v>1</v>
          </cell>
          <cell r="BJ302">
            <v>3</v>
          </cell>
          <cell r="BL302">
            <v>1.5</v>
          </cell>
          <cell r="BM302">
            <v>1.5</v>
          </cell>
          <cell r="BN302">
            <v>1.5</v>
          </cell>
          <cell r="BO302">
            <v>0</v>
          </cell>
          <cell r="BP302">
            <v>1.5</v>
          </cell>
          <cell r="BQ302">
            <v>0</v>
          </cell>
          <cell r="BR302">
            <v>0</v>
          </cell>
          <cell r="BS302">
            <v>4</v>
          </cell>
          <cell r="BT302">
            <v>4</v>
          </cell>
          <cell r="BU302">
            <v>4</v>
          </cell>
          <cell r="BV302">
            <v>0</v>
          </cell>
          <cell r="BW302">
            <v>3</v>
          </cell>
          <cell r="BX302">
            <v>3</v>
          </cell>
          <cell r="BY302">
            <v>3</v>
          </cell>
          <cell r="BZ302">
            <v>3</v>
          </cell>
          <cell r="CA302">
            <v>3</v>
          </cell>
          <cell r="CB302">
            <v>3</v>
          </cell>
          <cell r="CC302">
            <v>8</v>
          </cell>
          <cell r="CD302">
            <v>4</v>
          </cell>
          <cell r="CE302">
            <v>4</v>
          </cell>
          <cell r="CF302">
            <v>4</v>
          </cell>
          <cell r="CG302">
            <v>4</v>
          </cell>
          <cell r="CH302">
            <v>4</v>
          </cell>
          <cell r="CI302">
            <v>4</v>
          </cell>
          <cell r="CJ302">
            <v>0</v>
          </cell>
          <cell r="CK302">
            <v>0</v>
          </cell>
          <cell r="CL302">
            <v>0</v>
          </cell>
          <cell r="CM302">
            <v>0</v>
          </cell>
          <cell r="CR302">
            <v>0</v>
          </cell>
          <cell r="CS302">
            <v>0</v>
          </cell>
          <cell r="CT302">
            <v>60</v>
          </cell>
          <cell r="CU302">
            <v>8</v>
          </cell>
          <cell r="CV302">
            <v>0</v>
          </cell>
          <cell r="CZ302">
            <v>68</v>
          </cell>
        </row>
        <row r="303">
          <cell r="C303" t="str">
            <v>02564</v>
          </cell>
          <cell r="D303" t="str">
            <v>Huỳnh Kim Chuyền</v>
          </cell>
          <cell r="E303" t="str">
            <v>Production</v>
          </cell>
          <cell r="F303" t="str">
            <v>Molding</v>
          </cell>
          <cell r="G303" t="str">
            <v>Worker</v>
          </cell>
          <cell r="H303" t="str">
            <v>22/09/2020</v>
          </cell>
          <cell r="I303">
            <v>8</v>
          </cell>
          <cell r="J303">
            <v>8</v>
          </cell>
          <cell r="K303">
            <v>8</v>
          </cell>
          <cell r="L303" t="str">
            <v>CN</v>
          </cell>
          <cell r="M303">
            <v>8</v>
          </cell>
          <cell r="N303">
            <v>8</v>
          </cell>
          <cell r="O303">
            <v>8</v>
          </cell>
          <cell r="P303">
            <v>8</v>
          </cell>
          <cell r="Q303" t="str">
            <v>Đ</v>
          </cell>
          <cell r="R303" t="str">
            <v>Đ</v>
          </cell>
          <cell r="S303" t="str">
            <v>CN</v>
          </cell>
          <cell r="T303">
            <v>8</v>
          </cell>
          <cell r="U303">
            <v>8</v>
          </cell>
          <cell r="V303" t="str">
            <v>AL8</v>
          </cell>
          <cell r="W303">
            <v>8</v>
          </cell>
          <cell r="X303">
            <v>8</v>
          </cell>
          <cell r="Y303">
            <v>8</v>
          </cell>
          <cell r="Z303" t="str">
            <v>CN</v>
          </cell>
          <cell r="AA303">
            <v>8</v>
          </cell>
          <cell r="AB303">
            <v>8</v>
          </cell>
          <cell r="AC303">
            <v>8</v>
          </cell>
          <cell r="AD303">
            <v>8</v>
          </cell>
          <cell r="AE303" t="str">
            <v>Đ</v>
          </cell>
          <cell r="AF303" t="str">
            <v>Đ</v>
          </cell>
          <cell r="AG303" t="str">
            <v>CN</v>
          </cell>
          <cell r="AH303">
            <v>8</v>
          </cell>
          <cell r="AI303">
            <v>8</v>
          </cell>
          <cell r="AJ303">
            <v>8</v>
          </cell>
          <cell r="AN303">
            <v>32</v>
          </cell>
          <cell r="AO303">
            <v>152</v>
          </cell>
          <cell r="AP303">
            <v>0</v>
          </cell>
          <cell r="AQ303">
            <v>0</v>
          </cell>
          <cell r="AR303">
            <v>0</v>
          </cell>
          <cell r="AS303">
            <v>0</v>
          </cell>
          <cell r="AT303">
            <v>0</v>
          </cell>
          <cell r="AU303">
            <v>0</v>
          </cell>
          <cell r="AV303">
            <v>0</v>
          </cell>
          <cell r="AW303">
            <v>0</v>
          </cell>
          <cell r="AX303">
            <v>0</v>
          </cell>
          <cell r="AY303">
            <v>0</v>
          </cell>
          <cell r="AZ303">
            <v>0</v>
          </cell>
          <cell r="BA303">
            <v>8</v>
          </cell>
          <cell r="BB303">
            <v>0</v>
          </cell>
          <cell r="BC303">
            <v>0</v>
          </cell>
          <cell r="BD303">
            <v>0</v>
          </cell>
          <cell r="BE303">
            <v>0</v>
          </cell>
          <cell r="BF303">
            <v>0</v>
          </cell>
          <cell r="BG303">
            <v>192</v>
          </cell>
          <cell r="BH303">
            <v>1</v>
          </cell>
          <cell r="BI303">
            <v>1</v>
          </cell>
          <cell r="BJ303">
            <v>3</v>
          </cell>
          <cell r="BL303">
            <v>0</v>
          </cell>
          <cell r="BM303">
            <v>4</v>
          </cell>
          <cell r="BN303">
            <v>4</v>
          </cell>
          <cell r="BO303">
            <v>0</v>
          </cell>
          <cell r="BP303">
            <v>0</v>
          </cell>
          <cell r="BQ303">
            <v>0</v>
          </cell>
          <cell r="BR303">
            <v>4</v>
          </cell>
          <cell r="BS303">
            <v>0</v>
          </cell>
          <cell r="BT303">
            <v>3</v>
          </cell>
          <cell r="BU303">
            <v>4</v>
          </cell>
          <cell r="BV303">
            <v>0</v>
          </cell>
          <cell r="BW303">
            <v>0</v>
          </cell>
          <cell r="BX303">
            <v>0</v>
          </cell>
          <cell r="BY303">
            <v>0</v>
          </cell>
          <cell r="BZ303">
            <v>0</v>
          </cell>
          <cell r="CA303">
            <v>4</v>
          </cell>
          <cell r="CB303">
            <v>4</v>
          </cell>
          <cell r="CC303">
            <v>0</v>
          </cell>
          <cell r="CD303">
            <v>0</v>
          </cell>
          <cell r="CE303">
            <v>0</v>
          </cell>
          <cell r="CF303">
            <v>4</v>
          </cell>
          <cell r="CG303">
            <v>0</v>
          </cell>
          <cell r="CH303">
            <v>4</v>
          </cell>
          <cell r="CI303">
            <v>4</v>
          </cell>
          <cell r="CJ303">
            <v>0</v>
          </cell>
          <cell r="CK303">
            <v>4</v>
          </cell>
          <cell r="CL303">
            <v>0</v>
          </cell>
          <cell r="CM303">
            <v>0</v>
          </cell>
          <cell r="CR303">
            <v>0</v>
          </cell>
          <cell r="CS303">
            <v>0</v>
          </cell>
          <cell r="CT303">
            <v>43</v>
          </cell>
          <cell r="CU303">
            <v>0</v>
          </cell>
          <cell r="CV303">
            <v>0</v>
          </cell>
          <cell r="CZ303">
            <v>43</v>
          </cell>
        </row>
        <row r="304">
          <cell r="C304" t="str">
            <v>02565</v>
          </cell>
          <cell r="D304" t="str">
            <v>Phạm Thị Bích Hạnh</v>
          </cell>
          <cell r="E304" t="str">
            <v>Production</v>
          </cell>
          <cell r="F304" t="str">
            <v>Molding</v>
          </cell>
          <cell r="G304" t="str">
            <v>Worker</v>
          </cell>
          <cell r="H304" t="str">
            <v>22/09/2020</v>
          </cell>
          <cell r="I304" t="str">
            <v>Đ</v>
          </cell>
          <cell r="J304" t="str">
            <v>Đ</v>
          </cell>
          <cell r="K304" t="str">
            <v>CN</v>
          </cell>
          <cell r="L304">
            <v>8</v>
          </cell>
          <cell r="M304">
            <v>8</v>
          </cell>
          <cell r="N304">
            <v>8</v>
          </cell>
          <cell r="O304">
            <v>8</v>
          </cell>
          <cell r="P304">
            <v>8</v>
          </cell>
          <cell r="Q304">
            <v>8</v>
          </cell>
          <cell r="R304" t="str">
            <v>CN</v>
          </cell>
          <cell r="S304" t="str">
            <v>Đ</v>
          </cell>
          <cell r="T304" t="str">
            <v>Đ</v>
          </cell>
          <cell r="U304" t="str">
            <v>Đ</v>
          </cell>
          <cell r="V304" t="str">
            <v>Đ</v>
          </cell>
          <cell r="W304" t="str">
            <v>Đ</v>
          </cell>
          <cell r="X304" t="str">
            <v>Đ</v>
          </cell>
          <cell r="Y304" t="str">
            <v>CN</v>
          </cell>
          <cell r="Z304">
            <v>8</v>
          </cell>
          <cell r="AA304">
            <v>8</v>
          </cell>
          <cell r="AB304">
            <v>8</v>
          </cell>
          <cell r="AC304">
            <v>8</v>
          </cell>
          <cell r="AD304">
            <v>8</v>
          </cell>
          <cell r="AE304">
            <v>8</v>
          </cell>
          <cell r="AF304" t="str">
            <v>CN</v>
          </cell>
          <cell r="AG304" t="str">
            <v>Đ</v>
          </cell>
          <cell r="AH304" t="str">
            <v>Đ</v>
          </cell>
          <cell r="AI304" t="str">
            <v>Đ</v>
          </cell>
          <cell r="AJ304" t="str">
            <v>Đ</v>
          </cell>
          <cell r="AN304">
            <v>96</v>
          </cell>
          <cell r="AO304">
            <v>96</v>
          </cell>
          <cell r="AP304">
            <v>0</v>
          </cell>
          <cell r="AQ304">
            <v>0</v>
          </cell>
          <cell r="AR304">
            <v>0</v>
          </cell>
          <cell r="AS304">
            <v>0</v>
          </cell>
          <cell r="AT304">
            <v>0</v>
          </cell>
          <cell r="AU304">
            <v>0</v>
          </cell>
          <cell r="AV304">
            <v>0</v>
          </cell>
          <cell r="AW304">
            <v>0</v>
          </cell>
          <cell r="AX304">
            <v>0</v>
          </cell>
          <cell r="AY304">
            <v>0</v>
          </cell>
          <cell r="AZ304">
            <v>0</v>
          </cell>
          <cell r="BA304">
            <v>0</v>
          </cell>
          <cell r="BB304">
            <v>0</v>
          </cell>
          <cell r="BC304">
            <v>0</v>
          </cell>
          <cell r="BD304">
            <v>0</v>
          </cell>
          <cell r="BE304">
            <v>0</v>
          </cell>
          <cell r="BF304">
            <v>0</v>
          </cell>
          <cell r="BG304">
            <v>192</v>
          </cell>
          <cell r="BH304">
            <v>0</v>
          </cell>
          <cell r="BI304">
            <v>0</v>
          </cell>
          <cell r="BJ304">
            <v>2</v>
          </cell>
          <cell r="BL304">
            <v>0</v>
          </cell>
          <cell r="BM304">
            <v>4</v>
          </cell>
          <cell r="BN304">
            <v>0</v>
          </cell>
          <cell r="BO304">
            <v>4</v>
          </cell>
          <cell r="BP304">
            <v>0</v>
          </cell>
          <cell r="BQ304">
            <v>2</v>
          </cell>
          <cell r="BR304">
            <v>0</v>
          </cell>
          <cell r="BS304">
            <v>0</v>
          </cell>
          <cell r="BT304">
            <v>0</v>
          </cell>
          <cell r="BU304">
            <v>0</v>
          </cell>
          <cell r="BV304">
            <v>4</v>
          </cell>
          <cell r="BW304">
            <v>0</v>
          </cell>
          <cell r="BX304">
            <v>0</v>
          </cell>
          <cell r="BY304">
            <v>0</v>
          </cell>
          <cell r="BZ304">
            <v>0</v>
          </cell>
          <cell r="CA304">
            <v>4</v>
          </cell>
          <cell r="CB304">
            <v>0</v>
          </cell>
          <cell r="CC304">
            <v>4</v>
          </cell>
          <cell r="CD304">
            <v>0</v>
          </cell>
          <cell r="CE304">
            <v>0</v>
          </cell>
          <cell r="CF304">
            <v>0</v>
          </cell>
          <cell r="CG304">
            <v>4</v>
          </cell>
          <cell r="CH304">
            <v>4</v>
          </cell>
          <cell r="CI304">
            <v>0</v>
          </cell>
          <cell r="CJ304">
            <v>4</v>
          </cell>
          <cell r="CK304">
            <v>0</v>
          </cell>
          <cell r="CL304">
            <v>0</v>
          </cell>
          <cell r="CM304">
            <v>0</v>
          </cell>
          <cell r="CR304">
            <v>0</v>
          </cell>
          <cell r="CS304">
            <v>0</v>
          </cell>
          <cell r="CT304">
            <v>34</v>
          </cell>
          <cell r="CU304">
            <v>0</v>
          </cell>
          <cell r="CV304">
            <v>0</v>
          </cell>
          <cell r="CZ304">
            <v>34</v>
          </cell>
        </row>
        <row r="305">
          <cell r="C305" t="str">
            <v>02575</v>
          </cell>
          <cell r="D305" t="str">
            <v>Phạm Thị Hồng Tươi</v>
          </cell>
          <cell r="E305" t="str">
            <v>Production</v>
          </cell>
          <cell r="F305" t="str">
            <v>Die Cut</v>
          </cell>
          <cell r="G305" t="str">
            <v>Worker</v>
          </cell>
          <cell r="H305">
            <v>44105</v>
          </cell>
          <cell r="I305" t="str">
            <v>Đ</v>
          </cell>
          <cell r="J305" t="str">
            <v>Đ</v>
          </cell>
          <cell r="K305" t="str">
            <v>Đ</v>
          </cell>
          <cell r="L305" t="str">
            <v>CN</v>
          </cell>
          <cell r="M305">
            <v>8</v>
          </cell>
          <cell r="N305">
            <v>8</v>
          </cell>
          <cell r="O305">
            <v>8</v>
          </cell>
          <cell r="P305">
            <v>8</v>
          </cell>
          <cell r="Q305">
            <v>8</v>
          </cell>
          <cell r="R305">
            <v>8</v>
          </cell>
          <cell r="S305" t="str">
            <v>CN</v>
          </cell>
          <cell r="T305" t="str">
            <v>Đ</v>
          </cell>
          <cell r="U305" t="str">
            <v>Đ</v>
          </cell>
          <cell r="V305" t="str">
            <v>Đ</v>
          </cell>
          <cell r="W305" t="str">
            <v>Đ</v>
          </cell>
          <cell r="X305" t="str">
            <v>Đ</v>
          </cell>
          <cell r="Y305" t="str">
            <v>Đ</v>
          </cell>
          <cell r="Z305" t="str">
            <v>CN</v>
          </cell>
          <cell r="AA305">
            <v>8</v>
          </cell>
          <cell r="AB305">
            <v>8</v>
          </cell>
          <cell r="AC305">
            <v>8</v>
          </cell>
          <cell r="AD305">
            <v>8</v>
          </cell>
          <cell r="AE305">
            <v>8</v>
          </cell>
          <cell r="AF305" t="str">
            <v>AL4</v>
          </cell>
          <cell r="AG305" t="str">
            <v>CN</v>
          </cell>
          <cell r="AH305" t="str">
            <v>Đ</v>
          </cell>
          <cell r="AI305" t="str">
            <v>Đ</v>
          </cell>
          <cell r="AJ305" t="str">
            <v>Đ</v>
          </cell>
          <cell r="AN305">
            <v>96</v>
          </cell>
          <cell r="AO305">
            <v>92</v>
          </cell>
          <cell r="AP305">
            <v>4</v>
          </cell>
          <cell r="AQ305">
            <v>0</v>
          </cell>
          <cell r="AR305">
            <v>0</v>
          </cell>
          <cell r="AS305">
            <v>0</v>
          </cell>
          <cell r="AT305">
            <v>0</v>
          </cell>
          <cell r="AU305">
            <v>0</v>
          </cell>
          <cell r="AV305">
            <v>0</v>
          </cell>
          <cell r="AW305">
            <v>0</v>
          </cell>
          <cell r="AX305">
            <v>0</v>
          </cell>
          <cell r="AY305">
            <v>0</v>
          </cell>
          <cell r="AZ305">
            <v>0</v>
          </cell>
          <cell r="BA305">
            <v>4</v>
          </cell>
          <cell r="BB305">
            <v>0</v>
          </cell>
          <cell r="BC305">
            <v>0</v>
          </cell>
          <cell r="BD305">
            <v>0</v>
          </cell>
          <cell r="BE305">
            <v>0</v>
          </cell>
          <cell r="BF305">
            <v>0</v>
          </cell>
          <cell r="BG305">
            <v>192</v>
          </cell>
          <cell r="BH305">
            <v>0.5</v>
          </cell>
          <cell r="BI305">
            <v>0.5</v>
          </cell>
          <cell r="BJ305">
            <v>1</v>
          </cell>
          <cell r="BL305">
            <v>1.5</v>
          </cell>
          <cell r="BM305">
            <v>1.5</v>
          </cell>
          <cell r="BN305">
            <v>1.5</v>
          </cell>
          <cell r="BO305">
            <v>0</v>
          </cell>
          <cell r="BP305">
            <v>1.5</v>
          </cell>
          <cell r="BQ305">
            <v>0</v>
          </cell>
          <cell r="BR305">
            <v>0</v>
          </cell>
          <cell r="BS305">
            <v>0</v>
          </cell>
          <cell r="BT305">
            <v>3</v>
          </cell>
          <cell r="BU305">
            <v>3</v>
          </cell>
          <cell r="BV305">
            <v>0</v>
          </cell>
          <cell r="BW305">
            <v>4</v>
          </cell>
          <cell r="BX305">
            <v>4</v>
          </cell>
          <cell r="BY305">
            <v>4</v>
          </cell>
          <cell r="BZ305">
            <v>4</v>
          </cell>
          <cell r="CA305">
            <v>4</v>
          </cell>
          <cell r="CB305">
            <v>4</v>
          </cell>
          <cell r="CC305">
            <v>0</v>
          </cell>
          <cell r="CD305">
            <v>3</v>
          </cell>
          <cell r="CE305">
            <v>3</v>
          </cell>
          <cell r="CF305">
            <v>3</v>
          </cell>
          <cell r="CG305">
            <v>3</v>
          </cell>
          <cell r="CH305">
            <v>3</v>
          </cell>
          <cell r="CI305">
            <v>2</v>
          </cell>
          <cell r="CJ305">
            <v>0</v>
          </cell>
          <cell r="CK305">
            <v>4</v>
          </cell>
          <cell r="CL305">
            <v>4</v>
          </cell>
          <cell r="CM305">
            <v>4</v>
          </cell>
          <cell r="CR305">
            <v>0</v>
          </cell>
          <cell r="CS305">
            <v>0</v>
          </cell>
          <cell r="CT305">
            <v>65</v>
          </cell>
          <cell r="CU305">
            <v>0</v>
          </cell>
          <cell r="CV305">
            <v>0</v>
          </cell>
          <cell r="CZ305">
            <v>65</v>
          </cell>
        </row>
        <row r="306">
          <cell r="C306" t="str">
            <v>02583</v>
          </cell>
          <cell r="D306" t="str">
            <v>Nguyễn Văn Trường</v>
          </cell>
          <cell r="E306" t="str">
            <v>Technical Development</v>
          </cell>
          <cell r="F306" t="str">
            <v>PD Technical</v>
          </cell>
          <cell r="G306" t="str">
            <v>Technician</v>
          </cell>
          <cell r="H306">
            <v>44109</v>
          </cell>
          <cell r="I306">
            <v>8</v>
          </cell>
          <cell r="J306">
            <v>8</v>
          </cell>
          <cell r="K306" t="str">
            <v>PO</v>
          </cell>
          <cell r="L306" t="str">
            <v>CN</v>
          </cell>
          <cell r="M306">
            <v>8</v>
          </cell>
          <cell r="N306">
            <v>8</v>
          </cell>
          <cell r="O306">
            <v>8</v>
          </cell>
          <cell r="P306">
            <v>8</v>
          </cell>
          <cell r="Q306" t="str">
            <v>AL8</v>
          </cell>
          <cell r="R306" t="str">
            <v>PO</v>
          </cell>
          <cell r="S306" t="str">
            <v>CN</v>
          </cell>
          <cell r="T306">
            <v>8</v>
          </cell>
          <cell r="U306">
            <v>8</v>
          </cell>
          <cell r="V306">
            <v>8</v>
          </cell>
          <cell r="W306">
            <v>8</v>
          </cell>
          <cell r="X306">
            <v>8</v>
          </cell>
          <cell r="Y306" t="str">
            <v>PO</v>
          </cell>
          <cell r="Z306" t="str">
            <v>CN</v>
          </cell>
          <cell r="AA306">
            <v>8</v>
          </cell>
          <cell r="AB306">
            <v>8</v>
          </cell>
          <cell r="AC306">
            <v>8</v>
          </cell>
          <cell r="AD306">
            <v>8</v>
          </cell>
          <cell r="AE306">
            <v>8</v>
          </cell>
          <cell r="AF306" t="str">
            <v>PO</v>
          </cell>
          <cell r="AG306" t="str">
            <v>CN</v>
          </cell>
          <cell r="AH306">
            <v>8</v>
          </cell>
          <cell r="AI306">
            <v>8</v>
          </cell>
          <cell r="AJ306">
            <v>8</v>
          </cell>
          <cell r="AN306">
            <v>0</v>
          </cell>
          <cell r="AO306">
            <v>152</v>
          </cell>
          <cell r="AP306">
            <v>0</v>
          </cell>
          <cell r="AQ306">
            <v>0</v>
          </cell>
          <cell r="AR306">
            <v>0</v>
          </cell>
          <cell r="AS306">
            <v>0</v>
          </cell>
          <cell r="AT306">
            <v>0</v>
          </cell>
          <cell r="AU306">
            <v>0</v>
          </cell>
          <cell r="AV306">
            <v>32</v>
          </cell>
          <cell r="AW306">
            <v>0</v>
          </cell>
          <cell r="AX306">
            <v>0</v>
          </cell>
          <cell r="AY306">
            <v>0</v>
          </cell>
          <cell r="AZ306">
            <v>0</v>
          </cell>
          <cell r="BA306">
            <v>8</v>
          </cell>
          <cell r="BB306">
            <v>0</v>
          </cell>
          <cell r="BC306">
            <v>0</v>
          </cell>
          <cell r="BD306">
            <v>0</v>
          </cell>
          <cell r="BE306">
            <v>0</v>
          </cell>
          <cell r="BF306">
            <v>0</v>
          </cell>
          <cell r="BG306">
            <v>192</v>
          </cell>
          <cell r="BH306">
            <v>1</v>
          </cell>
          <cell r="BI306">
            <v>1</v>
          </cell>
          <cell r="BJ306">
            <v>2.5</v>
          </cell>
          <cell r="BL306">
            <v>0</v>
          </cell>
          <cell r="BM306">
            <v>0</v>
          </cell>
          <cell r="BN306">
            <v>0</v>
          </cell>
          <cell r="BO306">
            <v>0</v>
          </cell>
          <cell r="BP306">
            <v>0</v>
          </cell>
          <cell r="BQ306">
            <v>0</v>
          </cell>
          <cell r="BR306">
            <v>0</v>
          </cell>
          <cell r="BS306">
            <v>0</v>
          </cell>
          <cell r="BT306">
            <v>0</v>
          </cell>
          <cell r="BU306">
            <v>0</v>
          </cell>
          <cell r="BV306">
            <v>0</v>
          </cell>
          <cell r="BW306">
            <v>0</v>
          </cell>
          <cell r="BX306">
            <v>0</v>
          </cell>
          <cell r="BY306">
            <v>0</v>
          </cell>
          <cell r="BZ306">
            <v>0</v>
          </cell>
          <cell r="CA306">
            <v>0</v>
          </cell>
          <cell r="CB306">
            <v>0</v>
          </cell>
          <cell r="CC306">
            <v>0</v>
          </cell>
          <cell r="CD306">
            <v>0</v>
          </cell>
          <cell r="CE306">
            <v>0</v>
          </cell>
          <cell r="CF306">
            <v>0</v>
          </cell>
          <cell r="CG306">
            <v>0</v>
          </cell>
          <cell r="CH306">
            <v>0</v>
          </cell>
          <cell r="CI306">
            <v>0</v>
          </cell>
          <cell r="CJ306">
            <v>0</v>
          </cell>
          <cell r="CK306">
            <v>0</v>
          </cell>
          <cell r="CL306">
            <v>0</v>
          </cell>
          <cell r="CM306">
            <v>0</v>
          </cell>
          <cell r="CR306">
            <v>0</v>
          </cell>
          <cell r="CS306">
            <v>0</v>
          </cell>
          <cell r="CT306">
            <v>0</v>
          </cell>
          <cell r="CU306">
            <v>0</v>
          </cell>
          <cell r="CV306">
            <v>0</v>
          </cell>
          <cell r="CZ306">
            <v>0</v>
          </cell>
        </row>
        <row r="307">
          <cell r="C307" t="str">
            <v>02593</v>
          </cell>
          <cell r="D307" t="str">
            <v>Nguyễn Thị Giúp</v>
          </cell>
          <cell r="E307" t="str">
            <v>Production</v>
          </cell>
          <cell r="F307" t="str">
            <v>Skiving</v>
          </cell>
          <cell r="G307" t="str">
            <v>Worker</v>
          </cell>
          <cell r="H307">
            <v>44112</v>
          </cell>
          <cell r="I307" t="str">
            <v>Đ</v>
          </cell>
          <cell r="J307" t="str">
            <v>Đ</v>
          </cell>
          <cell r="K307" t="str">
            <v>Đ</v>
          </cell>
          <cell r="L307" t="str">
            <v>CN</v>
          </cell>
          <cell r="M307" t="str">
            <v>AL8</v>
          </cell>
          <cell r="N307">
            <v>8</v>
          </cell>
          <cell r="O307">
            <v>8</v>
          </cell>
          <cell r="P307">
            <v>8</v>
          </cell>
          <cell r="Q307">
            <v>8</v>
          </cell>
          <cell r="R307">
            <v>8</v>
          </cell>
          <cell r="S307" t="str">
            <v>CN</v>
          </cell>
          <cell r="T307" t="str">
            <v>Đ</v>
          </cell>
          <cell r="U307" t="str">
            <v>Đ</v>
          </cell>
          <cell r="V307" t="str">
            <v>Đ</v>
          </cell>
          <cell r="W307" t="str">
            <v>Đ</v>
          </cell>
          <cell r="X307" t="str">
            <v>Đ</v>
          </cell>
          <cell r="Y307" t="str">
            <v>Đ</v>
          </cell>
          <cell r="Z307" t="str">
            <v>CN</v>
          </cell>
          <cell r="AA307" t="str">
            <v>AL4</v>
          </cell>
          <cell r="AB307" t="str">
            <v>AL8</v>
          </cell>
          <cell r="AC307">
            <v>8</v>
          </cell>
          <cell r="AD307">
            <v>8</v>
          </cell>
          <cell r="AE307">
            <v>8</v>
          </cell>
          <cell r="AF307">
            <v>8</v>
          </cell>
          <cell r="AG307" t="str">
            <v>CN</v>
          </cell>
          <cell r="AH307" t="str">
            <v>Đ</v>
          </cell>
          <cell r="AI307" t="str">
            <v>Đ</v>
          </cell>
          <cell r="AJ307" t="str">
            <v>Đ</v>
          </cell>
          <cell r="AN307">
            <v>96</v>
          </cell>
          <cell r="AO307">
            <v>76</v>
          </cell>
          <cell r="AP307">
            <v>4</v>
          </cell>
          <cell r="AQ307">
            <v>0</v>
          </cell>
          <cell r="AR307">
            <v>0</v>
          </cell>
          <cell r="AS307">
            <v>0</v>
          </cell>
          <cell r="AT307">
            <v>0</v>
          </cell>
          <cell r="AU307">
            <v>0</v>
          </cell>
          <cell r="AV307">
            <v>0</v>
          </cell>
          <cell r="AW307">
            <v>0</v>
          </cell>
          <cell r="AX307">
            <v>0</v>
          </cell>
          <cell r="AY307">
            <v>0</v>
          </cell>
          <cell r="AZ307">
            <v>0</v>
          </cell>
          <cell r="BA307">
            <v>20</v>
          </cell>
          <cell r="BB307">
            <v>0</v>
          </cell>
          <cell r="BC307">
            <v>0</v>
          </cell>
          <cell r="BD307">
            <v>0</v>
          </cell>
          <cell r="BE307">
            <v>0</v>
          </cell>
          <cell r="BF307">
            <v>0</v>
          </cell>
          <cell r="BG307">
            <v>192</v>
          </cell>
          <cell r="BH307">
            <v>2.5</v>
          </cell>
          <cell r="BI307">
            <v>2.5</v>
          </cell>
          <cell r="BJ307">
            <v>-1.5</v>
          </cell>
          <cell r="BL307">
            <v>0</v>
          </cell>
          <cell r="BM307">
            <v>0</v>
          </cell>
          <cell r="BN307">
            <v>0</v>
          </cell>
          <cell r="BO307">
            <v>0</v>
          </cell>
          <cell r="BP307">
            <v>0</v>
          </cell>
          <cell r="BQ307">
            <v>3</v>
          </cell>
          <cell r="BR307">
            <v>0</v>
          </cell>
          <cell r="BS307">
            <v>3</v>
          </cell>
          <cell r="BT307">
            <v>3</v>
          </cell>
          <cell r="BU307">
            <v>0</v>
          </cell>
          <cell r="BV307">
            <v>0</v>
          </cell>
          <cell r="BW307">
            <v>3</v>
          </cell>
          <cell r="BX307">
            <v>4</v>
          </cell>
          <cell r="BY307">
            <v>4</v>
          </cell>
          <cell r="BZ307">
            <v>4</v>
          </cell>
          <cell r="CA307">
            <v>4</v>
          </cell>
          <cell r="CB307">
            <v>3</v>
          </cell>
          <cell r="CC307">
            <v>0</v>
          </cell>
          <cell r="CD307">
            <v>1.5</v>
          </cell>
          <cell r="CE307">
            <v>0</v>
          </cell>
          <cell r="CF307">
            <v>3</v>
          </cell>
          <cell r="CG307">
            <v>3</v>
          </cell>
          <cell r="CH307">
            <v>1.5</v>
          </cell>
          <cell r="CI307">
            <v>1.5</v>
          </cell>
          <cell r="CJ307">
            <v>8</v>
          </cell>
          <cell r="CK307">
            <v>1.5</v>
          </cell>
          <cell r="CL307">
            <v>4</v>
          </cell>
          <cell r="CM307">
            <v>1.5</v>
          </cell>
          <cell r="CR307">
            <v>0</v>
          </cell>
          <cell r="CS307">
            <v>0</v>
          </cell>
          <cell r="CT307">
            <v>48.5</v>
          </cell>
          <cell r="CU307">
            <v>8</v>
          </cell>
          <cell r="CV307">
            <v>0</v>
          </cell>
          <cell r="CZ307">
            <v>56.5</v>
          </cell>
        </row>
        <row r="308">
          <cell r="C308" t="str">
            <v>02594</v>
          </cell>
          <cell r="D308" t="str">
            <v>Trương Thị Cẩm Nhung</v>
          </cell>
          <cell r="E308" t="str">
            <v>Production</v>
          </cell>
          <cell r="F308" t="str">
            <v>Logo</v>
          </cell>
          <cell r="G308" t="str">
            <v>Vice Leader</v>
          </cell>
          <cell r="H308">
            <v>44112</v>
          </cell>
          <cell r="I308" t="str">
            <v>Đ</v>
          </cell>
          <cell r="J308" t="str">
            <v>Đ</v>
          </cell>
          <cell r="K308" t="str">
            <v>Đ</v>
          </cell>
          <cell r="L308" t="str">
            <v>CN</v>
          </cell>
          <cell r="M308">
            <v>8</v>
          </cell>
          <cell r="N308">
            <v>8</v>
          </cell>
          <cell r="O308">
            <v>8</v>
          </cell>
          <cell r="P308">
            <v>8</v>
          </cell>
          <cell r="Q308">
            <v>8</v>
          </cell>
          <cell r="R308">
            <v>8</v>
          </cell>
          <cell r="S308" t="str">
            <v>CN</v>
          </cell>
          <cell r="T308" t="str">
            <v>Đ</v>
          </cell>
          <cell r="U308" t="str">
            <v>Đ</v>
          </cell>
          <cell r="V308" t="str">
            <v>Đ</v>
          </cell>
          <cell r="W308" t="str">
            <v>Đ</v>
          </cell>
          <cell r="X308" t="str">
            <v>Đ</v>
          </cell>
          <cell r="Y308" t="str">
            <v>Đ</v>
          </cell>
          <cell r="Z308" t="str">
            <v>CN</v>
          </cell>
          <cell r="AA308">
            <v>8</v>
          </cell>
          <cell r="AB308">
            <v>8</v>
          </cell>
          <cell r="AC308">
            <v>8</v>
          </cell>
          <cell r="AD308">
            <v>8</v>
          </cell>
          <cell r="AE308">
            <v>8</v>
          </cell>
          <cell r="AF308">
            <v>8</v>
          </cell>
          <cell r="AG308" t="str">
            <v>CN</v>
          </cell>
          <cell r="AH308" t="str">
            <v>Đ</v>
          </cell>
          <cell r="AI308" t="str">
            <v>Đ</v>
          </cell>
          <cell r="AJ308" t="str">
            <v>Đ</v>
          </cell>
          <cell r="AN308">
            <v>96</v>
          </cell>
          <cell r="AO308">
            <v>96</v>
          </cell>
          <cell r="AP308">
            <v>0</v>
          </cell>
          <cell r="AQ308">
            <v>0</v>
          </cell>
          <cell r="AR308">
            <v>0</v>
          </cell>
          <cell r="AS308">
            <v>0</v>
          </cell>
          <cell r="AT308">
            <v>0</v>
          </cell>
          <cell r="AU308">
            <v>0</v>
          </cell>
          <cell r="AV308">
            <v>0</v>
          </cell>
          <cell r="AW308">
            <v>0</v>
          </cell>
          <cell r="AX308">
            <v>0</v>
          </cell>
          <cell r="AY308">
            <v>0</v>
          </cell>
          <cell r="AZ308">
            <v>0</v>
          </cell>
          <cell r="BA308">
            <v>0</v>
          </cell>
          <cell r="BB308">
            <v>0</v>
          </cell>
          <cell r="BC308">
            <v>0</v>
          </cell>
          <cell r="BD308">
            <v>0</v>
          </cell>
          <cell r="BE308">
            <v>0</v>
          </cell>
          <cell r="BF308">
            <v>0</v>
          </cell>
          <cell r="BG308">
            <v>192</v>
          </cell>
          <cell r="BH308">
            <v>0</v>
          </cell>
          <cell r="BI308">
            <v>0</v>
          </cell>
          <cell r="BJ308">
            <v>5.5</v>
          </cell>
          <cell r="BL308">
            <v>1.5</v>
          </cell>
          <cell r="BM308">
            <v>1.5</v>
          </cell>
          <cell r="BN308">
            <v>1.5</v>
          </cell>
          <cell r="BO308">
            <v>0</v>
          </cell>
          <cell r="BP308">
            <v>1.5</v>
          </cell>
          <cell r="BQ308">
            <v>0</v>
          </cell>
          <cell r="BR308">
            <v>0</v>
          </cell>
          <cell r="BS308">
            <v>3</v>
          </cell>
          <cell r="BT308">
            <v>3</v>
          </cell>
          <cell r="BU308">
            <v>3</v>
          </cell>
          <cell r="BV308">
            <v>0</v>
          </cell>
          <cell r="BW308">
            <v>4</v>
          </cell>
          <cell r="BX308">
            <v>4</v>
          </cell>
          <cell r="BY308">
            <v>4</v>
          </cell>
          <cell r="BZ308">
            <v>4</v>
          </cell>
          <cell r="CA308">
            <v>4</v>
          </cell>
          <cell r="CB308">
            <v>4</v>
          </cell>
          <cell r="CC308">
            <v>0</v>
          </cell>
          <cell r="CD308">
            <v>3</v>
          </cell>
          <cell r="CE308">
            <v>3</v>
          </cell>
          <cell r="CF308">
            <v>3</v>
          </cell>
          <cell r="CG308">
            <v>3</v>
          </cell>
          <cell r="CH308">
            <v>3</v>
          </cell>
          <cell r="CI308">
            <v>3</v>
          </cell>
          <cell r="CJ308">
            <v>8.5</v>
          </cell>
          <cell r="CK308">
            <v>4</v>
          </cell>
          <cell r="CL308">
            <v>4</v>
          </cell>
          <cell r="CM308">
            <v>4</v>
          </cell>
          <cell r="CR308">
            <v>0</v>
          </cell>
          <cell r="CS308">
            <v>0</v>
          </cell>
          <cell r="CT308">
            <v>69</v>
          </cell>
          <cell r="CU308">
            <v>8.5</v>
          </cell>
          <cell r="CV308">
            <v>0</v>
          </cell>
          <cell r="CZ308">
            <v>77.5</v>
          </cell>
        </row>
        <row r="309">
          <cell r="C309" t="str">
            <v>02603</v>
          </cell>
          <cell r="D309" t="str">
            <v>Nguyễn Văn Thảo</v>
          </cell>
          <cell r="E309" t="str">
            <v>Foaming</v>
          </cell>
          <cell r="F309" t="str">
            <v>FOAMING Splitting</v>
          </cell>
          <cell r="G309" t="str">
            <v>Team Leader</v>
          </cell>
          <cell r="H309">
            <v>44118</v>
          </cell>
          <cell r="I309" t="str">
            <v>UP4</v>
          </cell>
          <cell r="J309">
            <v>8</v>
          </cell>
          <cell r="K309">
            <v>8</v>
          </cell>
          <cell r="L309" t="str">
            <v>CN</v>
          </cell>
          <cell r="M309">
            <v>8</v>
          </cell>
          <cell r="N309">
            <v>8</v>
          </cell>
          <cell r="O309">
            <v>8</v>
          </cell>
          <cell r="P309">
            <v>8</v>
          </cell>
          <cell r="Q309" t="str">
            <v>PO</v>
          </cell>
          <cell r="R309">
            <v>8</v>
          </cell>
          <cell r="S309" t="str">
            <v>CN</v>
          </cell>
          <cell r="T309">
            <v>8</v>
          </cell>
          <cell r="U309">
            <v>8</v>
          </cell>
          <cell r="V309">
            <v>8</v>
          </cell>
          <cell r="W309">
            <v>8</v>
          </cell>
          <cell r="X309">
            <v>8</v>
          </cell>
          <cell r="Y309">
            <v>8</v>
          </cell>
          <cell r="Z309" t="str">
            <v>CN</v>
          </cell>
          <cell r="AA309">
            <v>8</v>
          </cell>
          <cell r="AB309">
            <v>8</v>
          </cell>
          <cell r="AC309">
            <v>8</v>
          </cell>
          <cell r="AD309">
            <v>8</v>
          </cell>
          <cell r="AE309">
            <v>8</v>
          </cell>
          <cell r="AF309">
            <v>8</v>
          </cell>
          <cell r="AG309" t="str">
            <v>CN</v>
          </cell>
          <cell r="AH309">
            <v>8</v>
          </cell>
          <cell r="AI309">
            <v>8</v>
          </cell>
          <cell r="AJ309">
            <v>8</v>
          </cell>
          <cell r="AN309">
            <v>0</v>
          </cell>
          <cell r="AO309">
            <v>180</v>
          </cell>
          <cell r="AP309">
            <v>0</v>
          </cell>
          <cell r="AQ309">
            <v>0</v>
          </cell>
          <cell r="AR309">
            <v>4</v>
          </cell>
          <cell r="AS309">
            <v>4</v>
          </cell>
          <cell r="AT309">
            <v>0</v>
          </cell>
          <cell r="AU309">
            <v>0</v>
          </cell>
          <cell r="AV309">
            <v>8</v>
          </cell>
          <cell r="AW309">
            <v>0</v>
          </cell>
          <cell r="AX309">
            <v>0</v>
          </cell>
          <cell r="AY309">
            <v>0</v>
          </cell>
          <cell r="AZ309">
            <v>0</v>
          </cell>
          <cell r="BA309">
            <v>0</v>
          </cell>
          <cell r="BB309">
            <v>0</v>
          </cell>
          <cell r="BC309">
            <v>0</v>
          </cell>
          <cell r="BD309">
            <v>0</v>
          </cell>
          <cell r="BE309">
            <v>0</v>
          </cell>
          <cell r="BF309">
            <v>0</v>
          </cell>
          <cell r="BG309">
            <v>188</v>
          </cell>
          <cell r="BH309">
            <v>0</v>
          </cell>
          <cell r="BI309">
            <v>0</v>
          </cell>
          <cell r="BJ309">
            <v>1</v>
          </cell>
          <cell r="BL309">
            <v>0</v>
          </cell>
          <cell r="BM309">
            <v>4</v>
          </cell>
          <cell r="BN309">
            <v>3</v>
          </cell>
          <cell r="BO309">
            <v>8</v>
          </cell>
          <cell r="BP309">
            <v>0</v>
          </cell>
          <cell r="BQ309">
            <v>4</v>
          </cell>
          <cell r="BR309">
            <v>4</v>
          </cell>
          <cell r="BS309">
            <v>4</v>
          </cell>
          <cell r="BT309">
            <v>0</v>
          </cell>
          <cell r="BU309">
            <v>3</v>
          </cell>
          <cell r="BV309">
            <v>12</v>
          </cell>
          <cell r="BW309">
            <v>4</v>
          </cell>
          <cell r="BX309">
            <v>3</v>
          </cell>
          <cell r="BY309">
            <v>3</v>
          </cell>
          <cell r="BZ309">
            <v>4</v>
          </cell>
          <cell r="CA309">
            <v>3</v>
          </cell>
          <cell r="CB309">
            <v>3</v>
          </cell>
          <cell r="CC309">
            <v>0</v>
          </cell>
          <cell r="CD309">
            <v>4</v>
          </cell>
          <cell r="CE309">
            <v>4</v>
          </cell>
          <cell r="CF309">
            <v>4</v>
          </cell>
          <cell r="CG309">
            <v>4</v>
          </cell>
          <cell r="CH309">
            <v>4</v>
          </cell>
          <cell r="CI309">
            <v>4</v>
          </cell>
          <cell r="CJ309">
            <v>12</v>
          </cell>
          <cell r="CK309">
            <v>4</v>
          </cell>
          <cell r="CL309">
            <v>2</v>
          </cell>
          <cell r="CM309">
            <v>4</v>
          </cell>
          <cell r="CR309">
            <v>0</v>
          </cell>
          <cell r="CS309">
            <v>0</v>
          </cell>
          <cell r="CT309">
            <v>76</v>
          </cell>
          <cell r="CU309">
            <v>32</v>
          </cell>
          <cell r="CV309">
            <v>0</v>
          </cell>
          <cell r="CZ309">
            <v>108</v>
          </cell>
        </row>
        <row r="310">
          <cell r="C310" t="str">
            <v>02604</v>
          </cell>
          <cell r="D310" t="str">
            <v>Nguyễn Xuân Tiến</v>
          </cell>
          <cell r="E310" t="str">
            <v>Foaming</v>
          </cell>
          <cell r="F310" t="str">
            <v>FOAMING Splitting</v>
          </cell>
          <cell r="G310" t="str">
            <v>Operator</v>
          </cell>
          <cell r="H310">
            <v>44118</v>
          </cell>
          <cell r="I310" t="str">
            <v>Đ</v>
          </cell>
          <cell r="J310" t="str">
            <v>Đ</v>
          </cell>
          <cell r="K310" t="str">
            <v>Đ</v>
          </cell>
          <cell r="L310" t="str">
            <v>CN</v>
          </cell>
          <cell r="M310" t="str">
            <v>Đ</v>
          </cell>
          <cell r="N310" t="str">
            <v>Đ</v>
          </cell>
          <cell r="O310" t="str">
            <v>Đ</v>
          </cell>
          <cell r="P310" t="str">
            <v>Đ</v>
          </cell>
          <cell r="Q310" t="str">
            <v>Đ</v>
          </cell>
          <cell r="R310" t="str">
            <v>Đ</v>
          </cell>
          <cell r="S310" t="str">
            <v>CN</v>
          </cell>
          <cell r="T310" t="str">
            <v>Đ</v>
          </cell>
          <cell r="U310" t="str">
            <v>Đ</v>
          </cell>
          <cell r="V310" t="str">
            <v>Đ</v>
          </cell>
          <cell r="W310" t="str">
            <v>Đ</v>
          </cell>
          <cell r="X310" t="str">
            <v>Đ</v>
          </cell>
          <cell r="Y310" t="str">
            <v>Đ</v>
          </cell>
          <cell r="Z310" t="str">
            <v>CN</v>
          </cell>
          <cell r="AA310">
            <v>8</v>
          </cell>
          <cell r="AB310">
            <v>8</v>
          </cell>
          <cell r="AC310">
            <v>8</v>
          </cell>
          <cell r="AD310">
            <v>8</v>
          </cell>
          <cell r="AE310">
            <v>8</v>
          </cell>
          <cell r="AF310">
            <v>8</v>
          </cell>
          <cell r="AG310" t="str">
            <v>CN</v>
          </cell>
          <cell r="AH310">
            <v>8</v>
          </cell>
          <cell r="AI310">
            <v>8</v>
          </cell>
          <cell r="AJ310">
            <v>8</v>
          </cell>
          <cell r="AN310">
            <v>120</v>
          </cell>
          <cell r="AO310">
            <v>72</v>
          </cell>
          <cell r="AP310">
            <v>0</v>
          </cell>
          <cell r="AQ310">
            <v>0</v>
          </cell>
          <cell r="AR310">
            <v>0</v>
          </cell>
          <cell r="AS310">
            <v>0</v>
          </cell>
          <cell r="AT310">
            <v>0</v>
          </cell>
          <cell r="AU310">
            <v>0</v>
          </cell>
          <cell r="AV310">
            <v>0</v>
          </cell>
          <cell r="AW310">
            <v>0</v>
          </cell>
          <cell r="AX310">
            <v>0</v>
          </cell>
          <cell r="AY310">
            <v>0</v>
          </cell>
          <cell r="AZ310">
            <v>0</v>
          </cell>
          <cell r="BA310">
            <v>0</v>
          </cell>
          <cell r="BB310">
            <v>0</v>
          </cell>
          <cell r="BC310">
            <v>0</v>
          </cell>
          <cell r="BD310">
            <v>0</v>
          </cell>
          <cell r="BE310">
            <v>0</v>
          </cell>
          <cell r="BF310">
            <v>0</v>
          </cell>
          <cell r="BG310">
            <v>192</v>
          </cell>
          <cell r="BH310">
            <v>0</v>
          </cell>
          <cell r="BI310">
            <v>0</v>
          </cell>
          <cell r="BJ310">
            <v>1</v>
          </cell>
          <cell r="BL310">
            <v>4</v>
          </cell>
          <cell r="BM310">
            <v>4</v>
          </cell>
          <cell r="BN310">
            <v>4</v>
          </cell>
          <cell r="BO310" t="str">
            <v>12Đ</v>
          </cell>
          <cell r="BP310">
            <v>2</v>
          </cell>
          <cell r="BQ310">
            <v>4</v>
          </cell>
          <cell r="BR310">
            <v>4</v>
          </cell>
          <cell r="BS310">
            <v>4</v>
          </cell>
          <cell r="BT310">
            <v>4</v>
          </cell>
          <cell r="BU310">
            <v>4</v>
          </cell>
          <cell r="BV310" t="str">
            <v>12Đ</v>
          </cell>
          <cell r="BW310">
            <v>4</v>
          </cell>
          <cell r="BX310">
            <v>4</v>
          </cell>
          <cell r="BY310">
            <v>4</v>
          </cell>
          <cell r="BZ310">
            <v>4</v>
          </cell>
          <cell r="CA310">
            <v>4</v>
          </cell>
          <cell r="CB310">
            <v>4</v>
          </cell>
          <cell r="CC310">
            <v>0</v>
          </cell>
          <cell r="CD310">
            <v>4</v>
          </cell>
          <cell r="CE310">
            <v>4</v>
          </cell>
          <cell r="CF310">
            <v>4</v>
          </cell>
          <cell r="CG310">
            <v>2</v>
          </cell>
          <cell r="CH310">
            <v>4</v>
          </cell>
          <cell r="CI310">
            <v>2</v>
          </cell>
          <cell r="CJ310">
            <v>12</v>
          </cell>
          <cell r="CK310">
            <v>3</v>
          </cell>
          <cell r="CL310">
            <v>0</v>
          </cell>
          <cell r="CM310">
            <v>4</v>
          </cell>
          <cell r="CR310">
            <v>0</v>
          </cell>
          <cell r="CS310">
            <v>0</v>
          </cell>
          <cell r="CT310">
            <v>85</v>
          </cell>
          <cell r="CU310">
            <v>20</v>
          </cell>
          <cell r="CV310">
            <v>16</v>
          </cell>
          <cell r="CZ310">
            <v>121</v>
          </cell>
        </row>
        <row r="311">
          <cell r="C311" t="str">
            <v>02606</v>
          </cell>
          <cell r="D311" t="str">
            <v>Lý Thị Bích</v>
          </cell>
          <cell r="E311" t="str">
            <v>Production</v>
          </cell>
          <cell r="F311" t="str">
            <v>Skiving</v>
          </cell>
          <cell r="G311" t="str">
            <v>Worker</v>
          </cell>
          <cell r="H311">
            <v>44118</v>
          </cell>
          <cell r="I311" t="str">
            <v>Đ</v>
          </cell>
          <cell r="J311" t="str">
            <v>Đ</v>
          </cell>
          <cell r="K311" t="str">
            <v>Đ</v>
          </cell>
          <cell r="L311" t="str">
            <v>CN</v>
          </cell>
          <cell r="M311">
            <v>8</v>
          </cell>
          <cell r="N311">
            <v>8</v>
          </cell>
          <cell r="O311">
            <v>8</v>
          </cell>
          <cell r="P311">
            <v>8</v>
          </cell>
          <cell r="Q311">
            <v>8</v>
          </cell>
          <cell r="R311">
            <v>8</v>
          </cell>
          <cell r="S311" t="str">
            <v>CN</v>
          </cell>
          <cell r="T311" t="str">
            <v>Đ</v>
          </cell>
          <cell r="U311" t="str">
            <v>Đ</v>
          </cell>
          <cell r="V311" t="str">
            <v>Đ</v>
          </cell>
          <cell r="W311" t="str">
            <v>Đ</v>
          </cell>
          <cell r="X311" t="str">
            <v>Đ</v>
          </cell>
          <cell r="Y311" t="str">
            <v>Đ</v>
          </cell>
          <cell r="Z311" t="str">
            <v>CN</v>
          </cell>
          <cell r="AA311">
            <v>8</v>
          </cell>
          <cell r="AB311">
            <v>8</v>
          </cell>
          <cell r="AC311">
            <v>8</v>
          </cell>
          <cell r="AD311">
            <v>8</v>
          </cell>
          <cell r="AE311">
            <v>8</v>
          </cell>
          <cell r="AF311">
            <v>8</v>
          </cell>
          <cell r="AG311" t="str">
            <v>CN</v>
          </cell>
          <cell r="AH311" t="str">
            <v>Đ</v>
          </cell>
          <cell r="AI311" t="str">
            <v>Đ</v>
          </cell>
          <cell r="AJ311" t="str">
            <v>Đ</v>
          </cell>
          <cell r="AN311">
            <v>96</v>
          </cell>
          <cell r="AO311">
            <v>96</v>
          </cell>
          <cell r="AP311">
            <v>0</v>
          </cell>
          <cell r="AQ311">
            <v>0</v>
          </cell>
          <cell r="AR311">
            <v>0</v>
          </cell>
          <cell r="AS311">
            <v>0</v>
          </cell>
          <cell r="AT311">
            <v>0</v>
          </cell>
          <cell r="AU311">
            <v>0</v>
          </cell>
          <cell r="AV311">
            <v>0</v>
          </cell>
          <cell r="AW311">
            <v>0</v>
          </cell>
          <cell r="AX311">
            <v>0</v>
          </cell>
          <cell r="AY311">
            <v>0</v>
          </cell>
          <cell r="AZ311">
            <v>0</v>
          </cell>
          <cell r="BA311">
            <v>0</v>
          </cell>
          <cell r="BB311">
            <v>0</v>
          </cell>
          <cell r="BC311">
            <v>0</v>
          </cell>
          <cell r="BD311">
            <v>0</v>
          </cell>
          <cell r="BE311">
            <v>0</v>
          </cell>
          <cell r="BF311">
            <v>0</v>
          </cell>
          <cell r="BG311">
            <v>192</v>
          </cell>
          <cell r="BH311">
            <v>0</v>
          </cell>
          <cell r="BI311">
            <v>0</v>
          </cell>
          <cell r="BJ311">
            <v>5</v>
          </cell>
          <cell r="BL311">
            <v>0</v>
          </cell>
          <cell r="BM311">
            <v>0</v>
          </cell>
          <cell r="BN311">
            <v>0</v>
          </cell>
          <cell r="BO311">
            <v>0</v>
          </cell>
          <cell r="BP311">
            <v>1.5</v>
          </cell>
          <cell r="BQ311">
            <v>3</v>
          </cell>
          <cell r="BR311">
            <v>0</v>
          </cell>
          <cell r="BS311">
            <v>3</v>
          </cell>
          <cell r="BT311">
            <v>0</v>
          </cell>
          <cell r="BU311">
            <v>0</v>
          </cell>
          <cell r="BV311">
            <v>0</v>
          </cell>
          <cell r="BW311">
            <v>3</v>
          </cell>
          <cell r="BX311">
            <v>4</v>
          </cell>
          <cell r="BY311">
            <v>4</v>
          </cell>
          <cell r="BZ311">
            <v>4</v>
          </cell>
          <cell r="CA311">
            <v>4</v>
          </cell>
          <cell r="CB311">
            <v>4</v>
          </cell>
          <cell r="CC311">
            <v>0</v>
          </cell>
          <cell r="CD311">
            <v>3</v>
          </cell>
          <cell r="CE311">
            <v>3</v>
          </cell>
          <cell r="CF311">
            <v>3</v>
          </cell>
          <cell r="CG311">
            <v>3</v>
          </cell>
          <cell r="CH311">
            <v>1.5</v>
          </cell>
          <cell r="CI311">
            <v>1.5</v>
          </cell>
          <cell r="CJ311">
            <v>0</v>
          </cell>
          <cell r="CK311">
            <v>1.5</v>
          </cell>
          <cell r="CL311">
            <v>1.5</v>
          </cell>
          <cell r="CM311">
            <v>1.5</v>
          </cell>
          <cell r="CR311">
            <v>0</v>
          </cell>
          <cell r="CS311">
            <v>0</v>
          </cell>
          <cell r="CT311">
            <v>50</v>
          </cell>
          <cell r="CU311">
            <v>0</v>
          </cell>
          <cell r="CV311">
            <v>0</v>
          </cell>
          <cell r="CZ311">
            <v>50</v>
          </cell>
        </row>
        <row r="312">
          <cell r="C312" t="str">
            <v>02607</v>
          </cell>
          <cell r="D312" t="str">
            <v>Hồ Công Lịnh</v>
          </cell>
          <cell r="E312" t="str">
            <v>Production</v>
          </cell>
          <cell r="F312" t="str">
            <v>Die Cut</v>
          </cell>
          <cell r="G312" t="str">
            <v>Worker</v>
          </cell>
          <cell r="H312">
            <v>44118</v>
          </cell>
          <cell r="I312">
            <v>8</v>
          </cell>
          <cell r="J312">
            <v>8</v>
          </cell>
          <cell r="K312">
            <v>8</v>
          </cell>
          <cell r="L312" t="str">
            <v>CN</v>
          </cell>
          <cell r="M312" t="str">
            <v>Đ</v>
          </cell>
          <cell r="N312" t="str">
            <v>Đ</v>
          </cell>
          <cell r="O312" t="str">
            <v>Đ</v>
          </cell>
          <cell r="P312" t="str">
            <v>Đ</v>
          </cell>
          <cell r="Q312" t="str">
            <v>Đ</v>
          </cell>
          <cell r="R312" t="str">
            <v>Đ</v>
          </cell>
          <cell r="S312" t="str">
            <v>CN</v>
          </cell>
          <cell r="T312">
            <v>8</v>
          </cell>
          <cell r="U312">
            <v>8</v>
          </cell>
          <cell r="V312">
            <v>8</v>
          </cell>
          <cell r="W312">
            <v>8</v>
          </cell>
          <cell r="X312">
            <v>8</v>
          </cell>
          <cell r="Y312">
            <v>8</v>
          </cell>
          <cell r="Z312" t="str">
            <v>CN</v>
          </cell>
          <cell r="AA312" t="str">
            <v>Đ</v>
          </cell>
          <cell r="AB312" t="str">
            <v>Đ</v>
          </cell>
          <cell r="AC312" t="str">
            <v>Đ</v>
          </cell>
          <cell r="AD312" t="str">
            <v>Đ</v>
          </cell>
          <cell r="AE312" t="str">
            <v>Đ</v>
          </cell>
          <cell r="AF312" t="str">
            <v>Đ</v>
          </cell>
          <cell r="AG312" t="str">
            <v>CN</v>
          </cell>
          <cell r="AH312">
            <v>8</v>
          </cell>
          <cell r="AI312">
            <v>8</v>
          </cell>
          <cell r="AJ312">
            <v>8</v>
          </cell>
          <cell r="AN312">
            <v>96</v>
          </cell>
          <cell r="AO312">
            <v>96</v>
          </cell>
          <cell r="AP312">
            <v>0</v>
          </cell>
          <cell r="AQ312">
            <v>0</v>
          </cell>
          <cell r="AR312">
            <v>0</v>
          </cell>
          <cell r="AS312">
            <v>0</v>
          </cell>
          <cell r="AT312">
            <v>0</v>
          </cell>
          <cell r="AU312">
            <v>0</v>
          </cell>
          <cell r="AV312">
            <v>0</v>
          </cell>
          <cell r="AW312">
            <v>0</v>
          </cell>
          <cell r="AX312">
            <v>0</v>
          </cell>
          <cell r="AY312">
            <v>0</v>
          </cell>
          <cell r="AZ312">
            <v>0</v>
          </cell>
          <cell r="BA312">
            <v>0</v>
          </cell>
          <cell r="BB312">
            <v>0</v>
          </cell>
          <cell r="BC312">
            <v>0</v>
          </cell>
          <cell r="BD312">
            <v>0</v>
          </cell>
          <cell r="BE312">
            <v>0</v>
          </cell>
          <cell r="BF312">
            <v>0</v>
          </cell>
          <cell r="BG312">
            <v>192</v>
          </cell>
          <cell r="BH312">
            <v>0</v>
          </cell>
          <cell r="BI312">
            <v>0</v>
          </cell>
          <cell r="BJ312">
            <v>2</v>
          </cell>
          <cell r="BL312">
            <v>0</v>
          </cell>
          <cell r="BM312">
            <v>1.5</v>
          </cell>
          <cell r="BN312">
            <v>1.5</v>
          </cell>
          <cell r="BO312">
            <v>0</v>
          </cell>
          <cell r="BP312">
            <v>1.5</v>
          </cell>
          <cell r="BQ312">
            <v>3</v>
          </cell>
          <cell r="BR312">
            <v>0</v>
          </cell>
          <cell r="BS312">
            <v>3</v>
          </cell>
          <cell r="BT312">
            <v>0</v>
          </cell>
          <cell r="BU312">
            <v>0</v>
          </cell>
          <cell r="BV312">
            <v>0</v>
          </cell>
          <cell r="BW312">
            <v>3</v>
          </cell>
          <cell r="BX312">
            <v>3</v>
          </cell>
          <cell r="BY312">
            <v>3</v>
          </cell>
          <cell r="BZ312">
            <v>3</v>
          </cell>
          <cell r="CA312">
            <v>3</v>
          </cell>
          <cell r="CB312">
            <v>3</v>
          </cell>
          <cell r="CC312">
            <v>8</v>
          </cell>
          <cell r="CD312">
            <v>4</v>
          </cell>
          <cell r="CE312">
            <v>4</v>
          </cell>
          <cell r="CF312">
            <v>4</v>
          </cell>
          <cell r="CG312">
            <v>4</v>
          </cell>
          <cell r="CH312">
            <v>1.5</v>
          </cell>
          <cell r="CI312">
            <v>1.5</v>
          </cell>
          <cell r="CJ312">
            <v>0</v>
          </cell>
          <cell r="CK312">
            <v>1.5</v>
          </cell>
          <cell r="CL312">
            <v>1.5</v>
          </cell>
          <cell r="CM312">
            <v>1.5</v>
          </cell>
          <cell r="CR312">
            <v>0</v>
          </cell>
          <cell r="CS312">
            <v>0</v>
          </cell>
          <cell r="CT312">
            <v>52</v>
          </cell>
          <cell r="CU312">
            <v>8</v>
          </cell>
          <cell r="CV312">
            <v>0</v>
          </cell>
          <cell r="CZ312">
            <v>60</v>
          </cell>
        </row>
        <row r="313">
          <cell r="C313" t="str">
            <v>02609</v>
          </cell>
          <cell r="D313" t="str">
            <v>Nguyễn Hồng Yến</v>
          </cell>
          <cell r="E313" t="str">
            <v>Production</v>
          </cell>
          <cell r="F313" t="str">
            <v>Packing</v>
          </cell>
          <cell r="G313" t="str">
            <v>Worker</v>
          </cell>
          <cell r="H313">
            <v>44118</v>
          </cell>
          <cell r="I313">
            <v>8</v>
          </cell>
          <cell r="J313">
            <v>8</v>
          </cell>
          <cell r="K313">
            <v>8</v>
          </cell>
          <cell r="L313" t="str">
            <v>CN</v>
          </cell>
          <cell r="M313" t="str">
            <v>Đ</v>
          </cell>
          <cell r="N313" t="str">
            <v>Đ</v>
          </cell>
          <cell r="O313" t="str">
            <v>Đ</v>
          </cell>
          <cell r="P313" t="str">
            <v>Đ</v>
          </cell>
          <cell r="Q313" t="str">
            <v>Đ</v>
          </cell>
          <cell r="R313" t="str">
            <v>Đ</v>
          </cell>
          <cell r="S313" t="str">
            <v>CN</v>
          </cell>
          <cell r="T313" t="str">
            <v>Đ</v>
          </cell>
          <cell r="U313" t="str">
            <v>Đ</v>
          </cell>
          <cell r="V313" t="str">
            <v>Đ</v>
          </cell>
          <cell r="W313" t="str">
            <v>Đ</v>
          </cell>
          <cell r="X313" t="str">
            <v>Đ</v>
          </cell>
          <cell r="Y313" t="str">
            <v>Đ</v>
          </cell>
          <cell r="Z313" t="str">
            <v>CN</v>
          </cell>
          <cell r="AA313">
            <v>8</v>
          </cell>
          <cell r="AB313">
            <v>8</v>
          </cell>
          <cell r="AC313">
            <v>8</v>
          </cell>
          <cell r="AD313">
            <v>8</v>
          </cell>
          <cell r="AE313">
            <v>8</v>
          </cell>
          <cell r="AF313">
            <v>8</v>
          </cell>
          <cell r="AG313" t="str">
            <v>CN</v>
          </cell>
          <cell r="AH313" t="str">
            <v>Đ</v>
          </cell>
          <cell r="AI313" t="str">
            <v>Đ</v>
          </cell>
          <cell r="AJ313" t="str">
            <v>Đ</v>
          </cell>
          <cell r="AN313">
            <v>120</v>
          </cell>
          <cell r="AO313">
            <v>72</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192</v>
          </cell>
          <cell r="BH313">
            <v>0</v>
          </cell>
          <cell r="BI313">
            <v>0</v>
          </cell>
          <cell r="BJ313">
            <v>6</v>
          </cell>
          <cell r="BL313">
            <v>4</v>
          </cell>
          <cell r="BM313">
            <v>1.5</v>
          </cell>
          <cell r="BN313">
            <v>0</v>
          </cell>
          <cell r="BO313">
            <v>0</v>
          </cell>
          <cell r="BP313">
            <v>1.5</v>
          </cell>
          <cell r="BQ313">
            <v>3</v>
          </cell>
          <cell r="BR313">
            <v>0</v>
          </cell>
          <cell r="BS313">
            <v>3</v>
          </cell>
          <cell r="BT313">
            <v>3</v>
          </cell>
          <cell r="BU313">
            <v>0</v>
          </cell>
          <cell r="BV313">
            <v>0</v>
          </cell>
          <cell r="BW313">
            <v>3</v>
          </cell>
          <cell r="BX313">
            <v>3</v>
          </cell>
          <cell r="BY313">
            <v>4</v>
          </cell>
          <cell r="BZ313">
            <v>4</v>
          </cell>
          <cell r="CA313">
            <v>4</v>
          </cell>
          <cell r="CB313">
            <v>4</v>
          </cell>
          <cell r="CC313">
            <v>0</v>
          </cell>
          <cell r="CD313">
            <v>3</v>
          </cell>
          <cell r="CE313">
            <v>3</v>
          </cell>
          <cell r="CF313">
            <v>3</v>
          </cell>
          <cell r="CG313">
            <v>3</v>
          </cell>
          <cell r="CH313">
            <v>3</v>
          </cell>
          <cell r="CI313">
            <v>3</v>
          </cell>
          <cell r="CJ313">
            <v>8</v>
          </cell>
          <cell r="CK313">
            <v>4</v>
          </cell>
          <cell r="CL313">
            <v>4</v>
          </cell>
          <cell r="CM313">
            <v>4</v>
          </cell>
          <cell r="CR313">
            <v>0</v>
          </cell>
          <cell r="CS313">
            <v>0</v>
          </cell>
          <cell r="CT313">
            <v>68</v>
          </cell>
          <cell r="CU313">
            <v>8</v>
          </cell>
          <cell r="CV313">
            <v>0</v>
          </cell>
          <cell r="CZ313">
            <v>76</v>
          </cell>
        </row>
        <row r="314">
          <cell r="C314" t="str">
            <v>02618</v>
          </cell>
          <cell r="D314" t="str">
            <v>Phạm Anh Tuân</v>
          </cell>
          <cell r="E314" t="str">
            <v>Production</v>
          </cell>
          <cell r="F314" t="str">
            <v>Logo</v>
          </cell>
          <cell r="G314" t="str">
            <v>Team Leader</v>
          </cell>
          <cell r="H314">
            <v>44123</v>
          </cell>
          <cell r="I314" t="str">
            <v>Đ</v>
          </cell>
          <cell r="J314" t="str">
            <v>Đ</v>
          </cell>
          <cell r="K314" t="str">
            <v>Đ</v>
          </cell>
          <cell r="L314" t="str">
            <v>CN</v>
          </cell>
          <cell r="M314" t="str">
            <v>Đ</v>
          </cell>
          <cell r="N314" t="str">
            <v>Đ</v>
          </cell>
          <cell r="O314" t="str">
            <v>AL8</v>
          </cell>
          <cell r="P314" t="str">
            <v>Đ</v>
          </cell>
          <cell r="Q314" t="str">
            <v>Đ</v>
          </cell>
          <cell r="R314" t="str">
            <v>Đ</v>
          </cell>
          <cell r="S314" t="str">
            <v>CN</v>
          </cell>
          <cell r="T314" t="str">
            <v>Đ</v>
          </cell>
          <cell r="U314" t="str">
            <v>Đ</v>
          </cell>
          <cell r="V314" t="str">
            <v>UP8</v>
          </cell>
          <cell r="W314" t="str">
            <v>Đ</v>
          </cell>
          <cell r="X314" t="str">
            <v>Đ</v>
          </cell>
          <cell r="Y314" t="str">
            <v>UP8</v>
          </cell>
          <cell r="Z314" t="str">
            <v>CN</v>
          </cell>
          <cell r="AA314">
            <v>8</v>
          </cell>
          <cell r="AB314">
            <v>8</v>
          </cell>
          <cell r="AC314" t="str">
            <v>UP8</v>
          </cell>
          <cell r="AD314">
            <v>8</v>
          </cell>
          <cell r="AE314">
            <v>8</v>
          </cell>
          <cell r="AF314">
            <v>8</v>
          </cell>
          <cell r="AG314" t="str">
            <v>CN</v>
          </cell>
          <cell r="AH314" t="str">
            <v>Đ</v>
          </cell>
          <cell r="AI314" t="str">
            <v>Đ</v>
          </cell>
          <cell r="AJ314" t="str">
            <v>Đ</v>
          </cell>
          <cell r="AN314">
            <v>120</v>
          </cell>
          <cell r="AO314">
            <v>40</v>
          </cell>
          <cell r="AP314">
            <v>0</v>
          </cell>
          <cell r="AQ314">
            <v>0</v>
          </cell>
          <cell r="AR314">
            <v>0</v>
          </cell>
          <cell r="AS314">
            <v>24</v>
          </cell>
          <cell r="AT314">
            <v>0</v>
          </cell>
          <cell r="AU314">
            <v>0</v>
          </cell>
          <cell r="AV314">
            <v>0</v>
          </cell>
          <cell r="AW314">
            <v>0</v>
          </cell>
          <cell r="AX314">
            <v>0</v>
          </cell>
          <cell r="AY314">
            <v>0</v>
          </cell>
          <cell r="AZ314">
            <v>0</v>
          </cell>
          <cell r="BA314">
            <v>8</v>
          </cell>
          <cell r="BB314">
            <v>0</v>
          </cell>
          <cell r="BC314">
            <v>0</v>
          </cell>
          <cell r="BD314">
            <v>0</v>
          </cell>
          <cell r="BE314">
            <v>0</v>
          </cell>
          <cell r="BF314">
            <v>0</v>
          </cell>
          <cell r="BG314">
            <v>168</v>
          </cell>
          <cell r="BH314">
            <v>1</v>
          </cell>
          <cell r="BI314">
            <v>1</v>
          </cell>
          <cell r="BJ314">
            <v>0.5</v>
          </cell>
          <cell r="BL314">
            <v>0</v>
          </cell>
          <cell r="BM314">
            <v>0</v>
          </cell>
          <cell r="BN314">
            <v>1.5</v>
          </cell>
          <cell r="BO314">
            <v>0</v>
          </cell>
          <cell r="BP314">
            <v>1.5</v>
          </cell>
          <cell r="BQ314">
            <v>3</v>
          </cell>
          <cell r="BR314">
            <v>0</v>
          </cell>
          <cell r="BS314">
            <v>3</v>
          </cell>
          <cell r="BT314">
            <v>3</v>
          </cell>
          <cell r="BU314">
            <v>0</v>
          </cell>
          <cell r="BV314">
            <v>0</v>
          </cell>
          <cell r="BW314">
            <v>3</v>
          </cell>
          <cell r="BX314">
            <v>4</v>
          </cell>
          <cell r="BY314">
            <v>4</v>
          </cell>
          <cell r="BZ314">
            <v>4</v>
          </cell>
          <cell r="CA314">
            <v>4</v>
          </cell>
          <cell r="CB314">
            <v>0</v>
          </cell>
          <cell r="CC314">
            <v>0</v>
          </cell>
          <cell r="CD314">
            <v>3</v>
          </cell>
          <cell r="CE314">
            <v>3</v>
          </cell>
          <cell r="CF314">
            <v>0</v>
          </cell>
          <cell r="CG314">
            <v>0</v>
          </cell>
          <cell r="CH314">
            <v>0</v>
          </cell>
          <cell r="CI314">
            <v>0</v>
          </cell>
          <cell r="CJ314">
            <v>8</v>
          </cell>
          <cell r="CK314">
            <v>0</v>
          </cell>
          <cell r="CL314">
            <v>1.5</v>
          </cell>
          <cell r="CM314">
            <v>4</v>
          </cell>
          <cell r="CR314">
            <v>0</v>
          </cell>
          <cell r="CS314">
            <v>0</v>
          </cell>
          <cell r="CT314">
            <v>42.5</v>
          </cell>
          <cell r="CU314">
            <v>8</v>
          </cell>
          <cell r="CV314">
            <v>0</v>
          </cell>
          <cell r="CZ314">
            <v>50.5</v>
          </cell>
        </row>
        <row r="315">
          <cell r="C315" t="str">
            <v>02622</v>
          </cell>
          <cell r="D315" t="str">
            <v>Nguyễn Tấn Thường</v>
          </cell>
          <cell r="E315" t="str">
            <v>Production</v>
          </cell>
          <cell r="F315" t="str">
            <v>Skiving</v>
          </cell>
          <cell r="G315" t="str">
            <v>Worker</v>
          </cell>
          <cell r="H315">
            <v>44127</v>
          </cell>
          <cell r="I315">
            <v>8</v>
          </cell>
          <cell r="J315">
            <v>8</v>
          </cell>
          <cell r="K315">
            <v>8</v>
          </cell>
          <cell r="L315" t="str">
            <v>CN</v>
          </cell>
          <cell r="M315" t="str">
            <v>Đ</v>
          </cell>
          <cell r="N315" t="str">
            <v>Đ</v>
          </cell>
          <cell r="O315" t="str">
            <v>Đ</v>
          </cell>
          <cell r="P315" t="str">
            <v>Đ</v>
          </cell>
          <cell r="Q315" t="str">
            <v>Đ</v>
          </cell>
          <cell r="R315" t="str">
            <v>Đ</v>
          </cell>
          <cell r="S315" t="str">
            <v>CN</v>
          </cell>
          <cell r="T315">
            <v>8</v>
          </cell>
          <cell r="U315">
            <v>8</v>
          </cell>
          <cell r="V315">
            <v>8</v>
          </cell>
          <cell r="W315">
            <v>8</v>
          </cell>
          <cell r="X315" t="str">
            <v>AL8</v>
          </cell>
          <cell r="Y315">
            <v>8</v>
          </cell>
          <cell r="Z315" t="str">
            <v>CN</v>
          </cell>
          <cell r="AA315" t="str">
            <v>Đ</v>
          </cell>
          <cell r="AB315" t="str">
            <v>Đ</v>
          </cell>
          <cell r="AC315" t="str">
            <v>Đ</v>
          </cell>
          <cell r="AD315" t="str">
            <v>Đ</v>
          </cell>
          <cell r="AE315" t="str">
            <v>Đ</v>
          </cell>
          <cell r="AF315" t="str">
            <v>Đ</v>
          </cell>
          <cell r="AG315" t="str">
            <v>CN</v>
          </cell>
          <cell r="AH315">
            <v>8</v>
          </cell>
          <cell r="AI315">
            <v>8</v>
          </cell>
          <cell r="AJ315">
            <v>8</v>
          </cell>
          <cell r="AN315">
            <v>96</v>
          </cell>
          <cell r="AO315">
            <v>88</v>
          </cell>
          <cell r="AP315">
            <v>0</v>
          </cell>
          <cell r="AQ315">
            <v>0</v>
          </cell>
          <cell r="AR315">
            <v>0</v>
          </cell>
          <cell r="AS315">
            <v>0</v>
          </cell>
          <cell r="AT315">
            <v>0</v>
          </cell>
          <cell r="AU315">
            <v>0</v>
          </cell>
          <cell r="AV315">
            <v>0</v>
          </cell>
          <cell r="AW315">
            <v>0</v>
          </cell>
          <cell r="AX315">
            <v>0</v>
          </cell>
          <cell r="AY315">
            <v>0</v>
          </cell>
          <cell r="AZ315">
            <v>0</v>
          </cell>
          <cell r="BA315">
            <v>8</v>
          </cell>
          <cell r="BB315">
            <v>0</v>
          </cell>
          <cell r="BC315">
            <v>0</v>
          </cell>
          <cell r="BD315">
            <v>0</v>
          </cell>
          <cell r="BE315">
            <v>0</v>
          </cell>
          <cell r="BF315">
            <v>0</v>
          </cell>
          <cell r="BG315">
            <v>192</v>
          </cell>
          <cell r="BH315">
            <v>1</v>
          </cell>
          <cell r="BI315">
            <v>1</v>
          </cell>
          <cell r="BJ315">
            <v>3</v>
          </cell>
          <cell r="BL315">
            <v>0</v>
          </cell>
          <cell r="BM315">
            <v>0</v>
          </cell>
          <cell r="BN315">
            <v>0</v>
          </cell>
          <cell r="BO315">
            <v>0</v>
          </cell>
          <cell r="BP315">
            <v>1.5</v>
          </cell>
          <cell r="BQ315">
            <v>3</v>
          </cell>
          <cell r="BR315">
            <v>0</v>
          </cell>
          <cell r="BS315">
            <v>3</v>
          </cell>
          <cell r="BT315">
            <v>3</v>
          </cell>
          <cell r="BU315">
            <v>0</v>
          </cell>
          <cell r="BV315">
            <v>0</v>
          </cell>
          <cell r="BW315">
            <v>3</v>
          </cell>
          <cell r="BX315">
            <v>3</v>
          </cell>
          <cell r="BY315">
            <v>3</v>
          </cell>
          <cell r="BZ315">
            <v>3</v>
          </cell>
          <cell r="CA315">
            <v>0</v>
          </cell>
          <cell r="CB315">
            <v>3</v>
          </cell>
          <cell r="CC315">
            <v>8</v>
          </cell>
          <cell r="CD315">
            <v>1.5</v>
          </cell>
          <cell r="CE315">
            <v>4</v>
          </cell>
          <cell r="CF315">
            <v>4</v>
          </cell>
          <cell r="CG315">
            <v>4</v>
          </cell>
          <cell r="CH315">
            <v>1.5</v>
          </cell>
          <cell r="CI315">
            <v>1.5</v>
          </cell>
          <cell r="CJ315">
            <v>0</v>
          </cell>
          <cell r="CK315">
            <v>1.5</v>
          </cell>
          <cell r="CL315">
            <v>3</v>
          </cell>
          <cell r="CM315">
            <v>1.5</v>
          </cell>
          <cell r="CR315">
            <v>0</v>
          </cell>
          <cell r="CS315">
            <v>0</v>
          </cell>
          <cell r="CT315">
            <v>48</v>
          </cell>
          <cell r="CU315">
            <v>8</v>
          </cell>
          <cell r="CV315">
            <v>0</v>
          </cell>
          <cell r="CZ315">
            <v>56</v>
          </cell>
        </row>
        <row r="316">
          <cell r="C316" t="str">
            <v>02626</v>
          </cell>
          <cell r="D316" t="str">
            <v>Nguyễn Thị Kim Vàng</v>
          </cell>
          <cell r="E316" t="str">
            <v>Production</v>
          </cell>
          <cell r="F316" t="str">
            <v>Logo</v>
          </cell>
          <cell r="G316" t="str">
            <v>Worker</v>
          </cell>
          <cell r="H316">
            <v>44127</v>
          </cell>
          <cell r="I316">
            <v>8</v>
          </cell>
          <cell r="J316">
            <v>8</v>
          </cell>
          <cell r="K316">
            <v>8</v>
          </cell>
          <cell r="L316" t="str">
            <v>CN</v>
          </cell>
          <cell r="M316" t="str">
            <v>Đ</v>
          </cell>
          <cell r="N316" t="str">
            <v>Đ</v>
          </cell>
          <cell r="O316" t="str">
            <v>Đ</v>
          </cell>
          <cell r="P316" t="str">
            <v>Đ</v>
          </cell>
          <cell r="Q316" t="str">
            <v>Đ</v>
          </cell>
          <cell r="R316" t="str">
            <v>Đ</v>
          </cell>
          <cell r="S316" t="str">
            <v>CN</v>
          </cell>
          <cell r="T316">
            <v>8</v>
          </cell>
          <cell r="U316">
            <v>8</v>
          </cell>
          <cell r="V316">
            <v>8</v>
          </cell>
          <cell r="W316">
            <v>8</v>
          </cell>
          <cell r="X316">
            <v>8</v>
          </cell>
          <cell r="Y316">
            <v>8</v>
          </cell>
          <cell r="Z316" t="str">
            <v>CN</v>
          </cell>
          <cell r="AA316" t="str">
            <v>Đ</v>
          </cell>
          <cell r="AB316" t="str">
            <v>Đ</v>
          </cell>
          <cell r="AC316" t="str">
            <v>Đ</v>
          </cell>
          <cell r="AD316" t="str">
            <v>Đ</v>
          </cell>
          <cell r="AE316" t="str">
            <v>Đ</v>
          </cell>
          <cell r="AF316" t="str">
            <v>Đ</v>
          </cell>
          <cell r="AG316" t="str">
            <v>CN</v>
          </cell>
          <cell r="AH316">
            <v>8</v>
          </cell>
          <cell r="AI316">
            <v>8</v>
          </cell>
          <cell r="AJ316">
            <v>8</v>
          </cell>
          <cell r="AN316">
            <v>96</v>
          </cell>
          <cell r="AO316">
            <v>96</v>
          </cell>
          <cell r="AP316">
            <v>0</v>
          </cell>
          <cell r="AQ316">
            <v>0</v>
          </cell>
          <cell r="AR316">
            <v>0</v>
          </cell>
          <cell r="AS316">
            <v>0</v>
          </cell>
          <cell r="AT316">
            <v>0</v>
          </cell>
          <cell r="AU316">
            <v>0</v>
          </cell>
          <cell r="AV316">
            <v>0</v>
          </cell>
          <cell r="AW316">
            <v>0</v>
          </cell>
          <cell r="AX316">
            <v>0</v>
          </cell>
          <cell r="AY316">
            <v>0</v>
          </cell>
          <cell r="AZ316">
            <v>0</v>
          </cell>
          <cell r="BA316">
            <v>0</v>
          </cell>
          <cell r="BB316">
            <v>0</v>
          </cell>
          <cell r="BC316">
            <v>0</v>
          </cell>
          <cell r="BD316">
            <v>0</v>
          </cell>
          <cell r="BE316">
            <v>0</v>
          </cell>
          <cell r="BF316">
            <v>0</v>
          </cell>
          <cell r="BG316">
            <v>192</v>
          </cell>
          <cell r="BH316">
            <v>0</v>
          </cell>
          <cell r="BI316">
            <v>0</v>
          </cell>
          <cell r="BJ316">
            <v>3.5</v>
          </cell>
          <cell r="BL316">
            <v>0</v>
          </cell>
          <cell r="BM316">
            <v>0</v>
          </cell>
          <cell r="BN316">
            <v>0</v>
          </cell>
          <cell r="BO316">
            <v>0</v>
          </cell>
          <cell r="BP316">
            <v>1.5</v>
          </cell>
          <cell r="BQ316">
            <v>3</v>
          </cell>
          <cell r="BR316">
            <v>0</v>
          </cell>
          <cell r="BS316">
            <v>3</v>
          </cell>
          <cell r="BT316">
            <v>3</v>
          </cell>
          <cell r="BU316">
            <v>0</v>
          </cell>
          <cell r="BV316">
            <v>0</v>
          </cell>
          <cell r="BW316">
            <v>3</v>
          </cell>
          <cell r="BX316">
            <v>3</v>
          </cell>
          <cell r="BY316">
            <v>3</v>
          </cell>
          <cell r="BZ316">
            <v>3</v>
          </cell>
          <cell r="CA316">
            <v>3</v>
          </cell>
          <cell r="CB316">
            <v>3</v>
          </cell>
          <cell r="CC316">
            <v>8</v>
          </cell>
          <cell r="CD316">
            <v>1.5</v>
          </cell>
          <cell r="CE316">
            <v>4</v>
          </cell>
          <cell r="CF316">
            <v>4</v>
          </cell>
          <cell r="CG316">
            <v>4</v>
          </cell>
          <cell r="CH316">
            <v>1.5</v>
          </cell>
          <cell r="CI316">
            <v>1.5</v>
          </cell>
          <cell r="CJ316">
            <v>0</v>
          </cell>
          <cell r="CK316">
            <v>1.5</v>
          </cell>
          <cell r="CL316">
            <v>3</v>
          </cell>
          <cell r="CM316">
            <v>1.5</v>
          </cell>
          <cell r="CR316">
            <v>0</v>
          </cell>
          <cell r="CS316">
            <v>0</v>
          </cell>
          <cell r="CT316">
            <v>51</v>
          </cell>
          <cell r="CU316">
            <v>8</v>
          </cell>
          <cell r="CV316">
            <v>0</v>
          </cell>
          <cell r="CZ316">
            <v>59</v>
          </cell>
        </row>
        <row r="317">
          <cell r="C317" t="str">
            <v>02629</v>
          </cell>
          <cell r="D317" t="str">
            <v>Nguyễn Minh Khôi</v>
          </cell>
          <cell r="E317" t="str">
            <v>Warehouse</v>
          </cell>
          <cell r="F317" t="str">
            <v>FGS+ RM Warehouse</v>
          </cell>
          <cell r="G317" t="str">
            <v xml:space="preserve"> Supervisor</v>
          </cell>
          <cell r="H317" t="str">
            <v>26/10/2020</v>
          </cell>
          <cell r="I317">
            <v>8</v>
          </cell>
          <cell r="J317">
            <v>8</v>
          </cell>
          <cell r="K317" t="str">
            <v>PO</v>
          </cell>
          <cell r="L317" t="str">
            <v>CN</v>
          </cell>
          <cell r="M317">
            <v>8</v>
          </cell>
          <cell r="N317">
            <v>8</v>
          </cell>
          <cell r="O317">
            <v>8</v>
          </cell>
          <cell r="P317" t="str">
            <v>AL8</v>
          </cell>
          <cell r="Q317" t="str">
            <v>PO</v>
          </cell>
          <cell r="R317" t="str">
            <v>PO</v>
          </cell>
          <cell r="S317" t="str">
            <v>CN</v>
          </cell>
          <cell r="T317">
            <v>8</v>
          </cell>
          <cell r="U317">
            <v>8</v>
          </cell>
          <cell r="V317">
            <v>8</v>
          </cell>
          <cell r="W317">
            <v>8</v>
          </cell>
          <cell r="X317">
            <v>8</v>
          </cell>
          <cell r="Y317" t="str">
            <v>PO</v>
          </cell>
          <cell r="Z317" t="str">
            <v>CN</v>
          </cell>
          <cell r="AA317">
            <v>8</v>
          </cell>
          <cell r="AB317">
            <v>8</v>
          </cell>
          <cell r="AC317">
            <v>8</v>
          </cell>
          <cell r="AD317">
            <v>8</v>
          </cell>
          <cell r="AE317">
            <v>8</v>
          </cell>
          <cell r="AF317" t="str">
            <v>PO</v>
          </cell>
          <cell r="AG317" t="str">
            <v>CN</v>
          </cell>
          <cell r="AH317">
            <v>8</v>
          </cell>
          <cell r="AI317" t="str">
            <v>AL8</v>
          </cell>
          <cell r="AJ317">
            <v>8</v>
          </cell>
          <cell r="AN317">
            <v>0</v>
          </cell>
          <cell r="AO317">
            <v>136</v>
          </cell>
          <cell r="AP317">
            <v>0</v>
          </cell>
          <cell r="AQ317">
            <v>0</v>
          </cell>
          <cell r="AR317">
            <v>0</v>
          </cell>
          <cell r="AS317">
            <v>0</v>
          </cell>
          <cell r="AT317">
            <v>0</v>
          </cell>
          <cell r="AU317">
            <v>0</v>
          </cell>
          <cell r="AV317">
            <v>40</v>
          </cell>
          <cell r="AW317">
            <v>0</v>
          </cell>
          <cell r="AX317">
            <v>0</v>
          </cell>
          <cell r="AY317">
            <v>0</v>
          </cell>
          <cell r="AZ317">
            <v>0</v>
          </cell>
          <cell r="BA317">
            <v>16</v>
          </cell>
          <cell r="BB317">
            <v>0</v>
          </cell>
          <cell r="BC317">
            <v>0</v>
          </cell>
          <cell r="BD317">
            <v>0</v>
          </cell>
          <cell r="BE317">
            <v>0</v>
          </cell>
          <cell r="BF317">
            <v>0</v>
          </cell>
          <cell r="BG317">
            <v>192</v>
          </cell>
          <cell r="BH317">
            <v>2</v>
          </cell>
          <cell r="BI317">
            <v>2</v>
          </cell>
          <cell r="BJ317">
            <v>7.5</v>
          </cell>
          <cell r="BL317">
            <v>0</v>
          </cell>
          <cell r="BM317">
            <v>0</v>
          </cell>
          <cell r="BN317">
            <v>0</v>
          </cell>
          <cell r="BO317">
            <v>0</v>
          </cell>
          <cell r="BP317">
            <v>0</v>
          </cell>
          <cell r="BQ317">
            <v>0</v>
          </cell>
          <cell r="BR317">
            <v>0</v>
          </cell>
          <cell r="BS317">
            <v>0</v>
          </cell>
          <cell r="BT317">
            <v>0</v>
          </cell>
          <cell r="BU317">
            <v>0</v>
          </cell>
          <cell r="BV317">
            <v>0</v>
          </cell>
          <cell r="BW317">
            <v>0</v>
          </cell>
          <cell r="BX317">
            <v>0</v>
          </cell>
          <cell r="BY317">
            <v>0</v>
          </cell>
          <cell r="BZ317">
            <v>0</v>
          </cell>
          <cell r="CA317">
            <v>0</v>
          </cell>
          <cell r="CB317">
            <v>0</v>
          </cell>
          <cell r="CC317">
            <v>0</v>
          </cell>
          <cell r="CD317">
            <v>0</v>
          </cell>
          <cell r="CE317">
            <v>0</v>
          </cell>
          <cell r="CF317">
            <v>0</v>
          </cell>
          <cell r="CG317">
            <v>0</v>
          </cell>
          <cell r="CH317">
            <v>0</v>
          </cell>
          <cell r="CI317">
            <v>0</v>
          </cell>
          <cell r="CJ317">
            <v>0</v>
          </cell>
          <cell r="CK317">
            <v>0</v>
          </cell>
          <cell r="CL317">
            <v>0</v>
          </cell>
          <cell r="CM317">
            <v>0</v>
          </cell>
          <cell r="CR317">
            <v>0</v>
          </cell>
          <cell r="CS317">
            <v>0</v>
          </cell>
          <cell r="CT317">
            <v>0</v>
          </cell>
          <cell r="CU317">
            <v>0</v>
          </cell>
          <cell r="CV317">
            <v>0</v>
          </cell>
          <cell r="CZ317">
            <v>0</v>
          </cell>
        </row>
        <row r="318">
          <cell r="C318" t="str">
            <v>02641</v>
          </cell>
          <cell r="D318" t="str">
            <v>Cao Thanh Tuyền</v>
          </cell>
          <cell r="E318" t="str">
            <v>Technical Development</v>
          </cell>
          <cell r="F318" t="str">
            <v>PD Sample</v>
          </cell>
          <cell r="G318" t="str">
            <v>Staff</v>
          </cell>
          <cell r="H318">
            <v>44139</v>
          </cell>
          <cell r="I318">
            <v>8</v>
          </cell>
          <cell r="J318">
            <v>8</v>
          </cell>
          <cell r="K318" t="str">
            <v>PO</v>
          </cell>
          <cell r="L318" t="str">
            <v>CN</v>
          </cell>
          <cell r="M318">
            <v>8</v>
          </cell>
          <cell r="N318">
            <v>8</v>
          </cell>
          <cell r="O318">
            <v>8</v>
          </cell>
          <cell r="P318">
            <v>8</v>
          </cell>
          <cell r="Q318">
            <v>8</v>
          </cell>
          <cell r="R318" t="str">
            <v>PO</v>
          </cell>
          <cell r="S318" t="str">
            <v>CN</v>
          </cell>
          <cell r="T318">
            <v>8</v>
          </cell>
          <cell r="U318">
            <v>8</v>
          </cell>
          <cell r="V318">
            <v>8</v>
          </cell>
          <cell r="W318">
            <v>8</v>
          </cell>
          <cell r="X318">
            <v>8</v>
          </cell>
          <cell r="Y318" t="str">
            <v>PO</v>
          </cell>
          <cell r="Z318" t="str">
            <v>CN</v>
          </cell>
          <cell r="AA318">
            <v>8</v>
          </cell>
          <cell r="AB318">
            <v>8</v>
          </cell>
          <cell r="AC318">
            <v>8</v>
          </cell>
          <cell r="AD318">
            <v>8</v>
          </cell>
          <cell r="AE318">
            <v>8</v>
          </cell>
          <cell r="AF318" t="str">
            <v>PO</v>
          </cell>
          <cell r="AG318" t="str">
            <v>CN</v>
          </cell>
          <cell r="AH318">
            <v>8</v>
          </cell>
          <cell r="AI318">
            <v>8</v>
          </cell>
          <cell r="AJ318">
            <v>8</v>
          </cell>
          <cell r="AN318">
            <v>0</v>
          </cell>
          <cell r="AO318">
            <v>160</v>
          </cell>
          <cell r="AP318">
            <v>0</v>
          </cell>
          <cell r="AQ318">
            <v>0</v>
          </cell>
          <cell r="AR318">
            <v>0</v>
          </cell>
          <cell r="AS318">
            <v>0</v>
          </cell>
          <cell r="AT318">
            <v>0</v>
          </cell>
          <cell r="AU318">
            <v>0</v>
          </cell>
          <cell r="AV318">
            <v>32</v>
          </cell>
          <cell r="AW318">
            <v>0</v>
          </cell>
          <cell r="AX318">
            <v>0</v>
          </cell>
          <cell r="AY318">
            <v>0</v>
          </cell>
          <cell r="AZ318">
            <v>0</v>
          </cell>
          <cell r="BA318">
            <v>0</v>
          </cell>
          <cell r="BB318">
            <v>0</v>
          </cell>
          <cell r="BC318">
            <v>0</v>
          </cell>
          <cell r="BD318">
            <v>0</v>
          </cell>
          <cell r="BE318">
            <v>0</v>
          </cell>
          <cell r="BF318">
            <v>0</v>
          </cell>
          <cell r="BG318">
            <v>192</v>
          </cell>
          <cell r="BH318">
            <v>0</v>
          </cell>
          <cell r="BI318">
            <v>0</v>
          </cell>
          <cell r="BJ318">
            <v>8</v>
          </cell>
          <cell r="BL318">
            <v>0</v>
          </cell>
          <cell r="BM318">
            <v>0</v>
          </cell>
          <cell r="BN318">
            <v>0</v>
          </cell>
          <cell r="BO318">
            <v>0</v>
          </cell>
          <cell r="BP318">
            <v>0</v>
          </cell>
          <cell r="BQ318">
            <v>0</v>
          </cell>
          <cell r="BR318">
            <v>2.25</v>
          </cell>
          <cell r="BS318">
            <v>0</v>
          </cell>
          <cell r="BT318">
            <v>0</v>
          </cell>
          <cell r="BU318">
            <v>0</v>
          </cell>
          <cell r="BV318">
            <v>0</v>
          </cell>
          <cell r="BW318">
            <v>0</v>
          </cell>
          <cell r="BX318">
            <v>3.25</v>
          </cell>
          <cell r="BY318">
            <v>2.75</v>
          </cell>
          <cell r="BZ318">
            <v>0</v>
          </cell>
          <cell r="CA318">
            <v>0</v>
          </cell>
          <cell r="CB318">
            <v>0</v>
          </cell>
          <cell r="CC318">
            <v>0</v>
          </cell>
          <cell r="CD318">
            <v>0</v>
          </cell>
          <cell r="CE318">
            <v>0</v>
          </cell>
          <cell r="CF318">
            <v>0</v>
          </cell>
          <cell r="CG318">
            <v>0</v>
          </cell>
          <cell r="CH318">
            <v>0</v>
          </cell>
          <cell r="CI318">
            <v>0</v>
          </cell>
          <cell r="CJ318">
            <v>0</v>
          </cell>
          <cell r="CK318">
            <v>0</v>
          </cell>
          <cell r="CL318">
            <v>0</v>
          </cell>
          <cell r="CM318">
            <v>0</v>
          </cell>
          <cell r="CR318">
            <v>0</v>
          </cell>
          <cell r="CS318">
            <v>0</v>
          </cell>
          <cell r="CT318">
            <v>8.25</v>
          </cell>
          <cell r="CU318">
            <v>0</v>
          </cell>
          <cell r="CV318">
            <v>0</v>
          </cell>
          <cell r="CZ318">
            <v>8.25</v>
          </cell>
        </row>
        <row r="319">
          <cell r="C319" t="str">
            <v>02643</v>
          </cell>
          <cell r="D319" t="str">
            <v>Võ Chiến Thắng</v>
          </cell>
          <cell r="E319" t="str">
            <v>Production</v>
          </cell>
          <cell r="F319" t="str">
            <v>Packing</v>
          </cell>
          <cell r="G319" t="str">
            <v>Worker</v>
          </cell>
          <cell r="H319">
            <v>44140</v>
          </cell>
          <cell r="I319" t="str">
            <v>Đ</v>
          </cell>
          <cell r="J319" t="str">
            <v>Đ</v>
          </cell>
          <cell r="K319" t="str">
            <v>Đ</v>
          </cell>
          <cell r="L319" t="str">
            <v>CN</v>
          </cell>
          <cell r="M319" t="str">
            <v>AL4</v>
          </cell>
          <cell r="N319">
            <v>8</v>
          </cell>
          <cell r="O319">
            <v>8</v>
          </cell>
          <cell r="P319">
            <v>8</v>
          </cell>
          <cell r="Q319">
            <v>8</v>
          </cell>
          <cell r="R319">
            <v>8</v>
          </cell>
          <cell r="S319" t="str">
            <v>CN</v>
          </cell>
          <cell r="T319" t="str">
            <v>Đ</v>
          </cell>
          <cell r="U319" t="str">
            <v>Đ</v>
          </cell>
          <cell r="V319" t="str">
            <v>Đ</v>
          </cell>
          <cell r="W319" t="str">
            <v>Đ</v>
          </cell>
          <cell r="X319" t="str">
            <v>Đ</v>
          </cell>
          <cell r="Y319" t="str">
            <v>Đ</v>
          </cell>
          <cell r="Z319" t="str">
            <v>CN</v>
          </cell>
          <cell r="AA319">
            <v>8</v>
          </cell>
          <cell r="AB319">
            <v>8</v>
          </cell>
          <cell r="AC319">
            <v>8</v>
          </cell>
          <cell r="AD319">
            <v>8</v>
          </cell>
          <cell r="AE319">
            <v>8</v>
          </cell>
          <cell r="AF319">
            <v>8</v>
          </cell>
          <cell r="AG319" t="str">
            <v>CN</v>
          </cell>
          <cell r="AH319">
            <v>8</v>
          </cell>
          <cell r="AI319">
            <v>8</v>
          </cell>
          <cell r="AJ319">
            <v>8</v>
          </cell>
          <cell r="AN319">
            <v>72</v>
          </cell>
          <cell r="AO319">
            <v>116</v>
          </cell>
          <cell r="AP319">
            <v>4</v>
          </cell>
          <cell r="AQ319">
            <v>0</v>
          </cell>
          <cell r="AR319">
            <v>0</v>
          </cell>
          <cell r="AS319">
            <v>0</v>
          </cell>
          <cell r="AT319">
            <v>0</v>
          </cell>
          <cell r="AU319">
            <v>0</v>
          </cell>
          <cell r="AV319">
            <v>0</v>
          </cell>
          <cell r="AW319">
            <v>0</v>
          </cell>
          <cell r="AX319">
            <v>0</v>
          </cell>
          <cell r="AY319">
            <v>0</v>
          </cell>
          <cell r="AZ319">
            <v>0</v>
          </cell>
          <cell r="BA319">
            <v>4</v>
          </cell>
          <cell r="BB319">
            <v>0</v>
          </cell>
          <cell r="BC319">
            <v>0</v>
          </cell>
          <cell r="BD319">
            <v>0</v>
          </cell>
          <cell r="BE319">
            <v>0</v>
          </cell>
          <cell r="BF319">
            <v>0</v>
          </cell>
          <cell r="BG319">
            <v>192</v>
          </cell>
          <cell r="BH319">
            <v>0.5</v>
          </cell>
          <cell r="BI319">
            <v>0.5</v>
          </cell>
          <cell r="BJ319">
            <v>2</v>
          </cell>
          <cell r="BL319">
            <v>1.5</v>
          </cell>
          <cell r="BM319">
            <v>1.5</v>
          </cell>
          <cell r="BN319">
            <v>1.5</v>
          </cell>
          <cell r="BO319">
            <v>0</v>
          </cell>
          <cell r="BP319">
            <v>1.5</v>
          </cell>
          <cell r="BQ319">
            <v>0</v>
          </cell>
          <cell r="BR319">
            <v>0</v>
          </cell>
          <cell r="BS319">
            <v>3</v>
          </cell>
          <cell r="BT319">
            <v>3</v>
          </cell>
          <cell r="BU319">
            <v>3</v>
          </cell>
          <cell r="BV319">
            <v>0</v>
          </cell>
          <cell r="BW319">
            <v>4</v>
          </cell>
          <cell r="BX319">
            <v>4</v>
          </cell>
          <cell r="BY319">
            <v>0</v>
          </cell>
          <cell r="BZ319">
            <v>4</v>
          </cell>
          <cell r="CA319">
            <v>4</v>
          </cell>
          <cell r="CB319">
            <v>4</v>
          </cell>
          <cell r="CC319">
            <v>0</v>
          </cell>
          <cell r="CD319">
            <v>3</v>
          </cell>
          <cell r="CE319">
            <v>3</v>
          </cell>
          <cell r="CF319">
            <v>3</v>
          </cell>
          <cell r="CG319">
            <v>3</v>
          </cell>
          <cell r="CH319">
            <v>3</v>
          </cell>
          <cell r="CI319">
            <v>0</v>
          </cell>
          <cell r="CJ319">
            <v>0</v>
          </cell>
          <cell r="CK319">
            <v>0</v>
          </cell>
          <cell r="CL319">
            <v>0</v>
          </cell>
          <cell r="CM319">
            <v>0</v>
          </cell>
          <cell r="CR319">
            <v>0</v>
          </cell>
          <cell r="CS319">
            <v>0</v>
          </cell>
          <cell r="CT319">
            <v>50</v>
          </cell>
          <cell r="CU319">
            <v>0</v>
          </cell>
          <cell r="CV319">
            <v>0</v>
          </cell>
          <cell r="CZ319">
            <v>50</v>
          </cell>
        </row>
        <row r="320">
          <cell r="C320" t="str">
            <v>02648</v>
          </cell>
          <cell r="D320" t="str">
            <v>Lê Thị Mãi</v>
          </cell>
          <cell r="E320" t="str">
            <v>QC</v>
          </cell>
          <cell r="F320" t="str">
            <v>QC</v>
          </cell>
          <cell r="G320" t="str">
            <v>Worker</v>
          </cell>
          <cell r="H320">
            <v>44147</v>
          </cell>
          <cell r="I320" t="str">
            <v>Đ</v>
          </cell>
          <cell r="J320" t="str">
            <v>Đ</v>
          </cell>
          <cell r="K320" t="str">
            <v>Đ</v>
          </cell>
          <cell r="L320" t="str">
            <v>CN</v>
          </cell>
          <cell r="M320">
            <v>8</v>
          </cell>
          <cell r="N320">
            <v>8</v>
          </cell>
          <cell r="O320">
            <v>8</v>
          </cell>
          <cell r="P320">
            <v>8</v>
          </cell>
          <cell r="Q320">
            <v>8</v>
          </cell>
          <cell r="R320">
            <v>8</v>
          </cell>
          <cell r="S320" t="str">
            <v>CN</v>
          </cell>
          <cell r="T320" t="str">
            <v>Đ</v>
          </cell>
          <cell r="U320" t="str">
            <v>Đ</v>
          </cell>
          <cell r="V320" t="str">
            <v>Đ</v>
          </cell>
          <cell r="W320" t="str">
            <v>Đ</v>
          </cell>
          <cell r="X320" t="str">
            <v>Đ</v>
          </cell>
          <cell r="Y320" t="str">
            <v>Đ</v>
          </cell>
          <cell r="Z320" t="str">
            <v>CN</v>
          </cell>
          <cell r="AA320">
            <v>8</v>
          </cell>
          <cell r="AB320">
            <v>8</v>
          </cell>
          <cell r="AC320">
            <v>8</v>
          </cell>
          <cell r="AD320">
            <v>8</v>
          </cell>
          <cell r="AE320">
            <v>8</v>
          </cell>
          <cell r="AF320">
            <v>8</v>
          </cell>
          <cell r="AG320" t="str">
            <v>CN</v>
          </cell>
          <cell r="AH320" t="str">
            <v>Đ</v>
          </cell>
          <cell r="AI320" t="str">
            <v>Đ</v>
          </cell>
          <cell r="AJ320" t="str">
            <v>Đ</v>
          </cell>
          <cell r="AN320">
            <v>96</v>
          </cell>
          <cell r="AO320">
            <v>96</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192</v>
          </cell>
          <cell r="BH320">
            <v>0</v>
          </cell>
          <cell r="BI320">
            <v>0</v>
          </cell>
          <cell r="BJ320">
            <v>-0.5</v>
          </cell>
          <cell r="BL320">
            <v>1.5</v>
          </cell>
          <cell r="BM320">
            <v>1.5</v>
          </cell>
          <cell r="BN320">
            <v>1.5</v>
          </cell>
          <cell r="BO320">
            <v>0</v>
          </cell>
          <cell r="BP320">
            <v>1.5</v>
          </cell>
          <cell r="BQ320">
            <v>1.5</v>
          </cell>
          <cell r="BR320">
            <v>0</v>
          </cell>
          <cell r="BS320">
            <v>0</v>
          </cell>
          <cell r="BT320">
            <v>3</v>
          </cell>
          <cell r="BU320">
            <v>3</v>
          </cell>
          <cell r="BV320">
            <v>0</v>
          </cell>
          <cell r="BW320">
            <v>3</v>
          </cell>
          <cell r="BX320">
            <v>4</v>
          </cell>
          <cell r="BY320">
            <v>4</v>
          </cell>
          <cell r="BZ320">
            <v>4</v>
          </cell>
          <cell r="CA320">
            <v>4</v>
          </cell>
          <cell r="CB320">
            <v>4</v>
          </cell>
          <cell r="CC320">
            <v>0</v>
          </cell>
          <cell r="CD320">
            <v>3</v>
          </cell>
          <cell r="CE320">
            <v>3</v>
          </cell>
          <cell r="CF320">
            <v>2</v>
          </cell>
          <cell r="CG320">
            <v>3</v>
          </cell>
          <cell r="CH320">
            <v>3</v>
          </cell>
          <cell r="CI320">
            <v>3</v>
          </cell>
          <cell r="CJ320">
            <v>0</v>
          </cell>
          <cell r="CK320">
            <v>0</v>
          </cell>
          <cell r="CL320">
            <v>0</v>
          </cell>
          <cell r="CM320">
            <v>1.5</v>
          </cell>
          <cell r="CR320">
            <v>0</v>
          </cell>
          <cell r="CS320">
            <v>0</v>
          </cell>
          <cell r="CT320">
            <v>55</v>
          </cell>
          <cell r="CU320">
            <v>0</v>
          </cell>
          <cell r="CV320">
            <v>0</v>
          </cell>
          <cell r="CZ320">
            <v>55</v>
          </cell>
        </row>
        <row r="321">
          <cell r="C321" t="str">
            <v>02656</v>
          </cell>
          <cell r="D321" t="str">
            <v>Nguyễn Thị Lan Anh</v>
          </cell>
          <cell r="E321" t="str">
            <v>QC</v>
          </cell>
          <cell r="F321" t="str">
            <v>QC</v>
          </cell>
          <cell r="G321" t="str">
            <v>Worker</v>
          </cell>
          <cell r="H321">
            <v>44154</v>
          </cell>
          <cell r="I321">
            <v>8</v>
          </cell>
          <cell r="J321">
            <v>8</v>
          </cell>
          <cell r="K321">
            <v>8</v>
          </cell>
          <cell r="L321" t="str">
            <v>CN</v>
          </cell>
          <cell r="M321">
            <v>8</v>
          </cell>
          <cell r="N321">
            <v>8</v>
          </cell>
          <cell r="O321">
            <v>8</v>
          </cell>
          <cell r="P321">
            <v>8</v>
          </cell>
          <cell r="Q321">
            <v>8</v>
          </cell>
          <cell r="R321">
            <v>8</v>
          </cell>
          <cell r="S321" t="str">
            <v>CN</v>
          </cell>
          <cell r="T321">
            <v>8</v>
          </cell>
          <cell r="U321">
            <v>8</v>
          </cell>
          <cell r="V321">
            <v>8</v>
          </cell>
          <cell r="W321">
            <v>8</v>
          </cell>
          <cell r="X321">
            <v>8</v>
          </cell>
          <cell r="Y321" t="str">
            <v>AL8</v>
          </cell>
          <cell r="Z321" t="str">
            <v>CN</v>
          </cell>
          <cell r="AA321">
            <v>8</v>
          </cell>
          <cell r="AB321">
            <v>8</v>
          </cell>
          <cell r="AC321">
            <v>8</v>
          </cell>
          <cell r="AD321">
            <v>8</v>
          </cell>
          <cell r="AE321">
            <v>8</v>
          </cell>
          <cell r="AF321">
            <v>8</v>
          </cell>
          <cell r="AG321" t="str">
            <v>CN</v>
          </cell>
          <cell r="AH321">
            <v>8</v>
          </cell>
          <cell r="AI321">
            <v>8</v>
          </cell>
          <cell r="AJ321">
            <v>8</v>
          </cell>
          <cell r="AN321">
            <v>0</v>
          </cell>
          <cell r="AO321">
            <v>184</v>
          </cell>
          <cell r="AP321">
            <v>0</v>
          </cell>
          <cell r="AQ321">
            <v>0</v>
          </cell>
          <cell r="AR321">
            <v>0</v>
          </cell>
          <cell r="AS321">
            <v>0</v>
          </cell>
          <cell r="AT321">
            <v>0</v>
          </cell>
          <cell r="AU321">
            <v>0</v>
          </cell>
          <cell r="AV321">
            <v>0</v>
          </cell>
          <cell r="AW321">
            <v>0</v>
          </cell>
          <cell r="AX321">
            <v>0</v>
          </cell>
          <cell r="AY321">
            <v>0</v>
          </cell>
          <cell r="AZ321">
            <v>0</v>
          </cell>
          <cell r="BA321">
            <v>8</v>
          </cell>
          <cell r="BB321">
            <v>0</v>
          </cell>
          <cell r="BC321">
            <v>0</v>
          </cell>
          <cell r="BD321">
            <v>0</v>
          </cell>
          <cell r="BE321">
            <v>0</v>
          </cell>
          <cell r="BF321">
            <v>0</v>
          </cell>
          <cell r="BG321">
            <v>192</v>
          </cell>
          <cell r="BH321">
            <v>1</v>
          </cell>
          <cell r="BI321">
            <v>1</v>
          </cell>
          <cell r="BJ321">
            <v>4</v>
          </cell>
          <cell r="BL321">
            <v>3</v>
          </cell>
          <cell r="BM321">
            <v>2</v>
          </cell>
          <cell r="BN321">
            <v>1</v>
          </cell>
          <cell r="BO321">
            <v>0</v>
          </cell>
          <cell r="BP321">
            <v>3</v>
          </cell>
          <cell r="BQ321">
            <v>3</v>
          </cell>
          <cell r="BR321">
            <v>3</v>
          </cell>
          <cell r="BS321">
            <v>3</v>
          </cell>
          <cell r="BT321">
            <v>2</v>
          </cell>
          <cell r="BU321">
            <v>1</v>
          </cell>
          <cell r="BV321">
            <v>0</v>
          </cell>
          <cell r="BW321">
            <v>0</v>
          </cell>
          <cell r="BX321">
            <v>3</v>
          </cell>
          <cell r="BY321">
            <v>0</v>
          </cell>
          <cell r="BZ321">
            <v>0</v>
          </cell>
          <cell r="CA321">
            <v>0</v>
          </cell>
          <cell r="CB321">
            <v>0</v>
          </cell>
          <cell r="CC321">
            <v>0</v>
          </cell>
          <cell r="CD321">
            <v>2</v>
          </cell>
          <cell r="CE321">
            <v>2</v>
          </cell>
          <cell r="CF321">
            <v>1</v>
          </cell>
          <cell r="CG321">
            <v>1</v>
          </cell>
          <cell r="CH321">
            <v>2</v>
          </cell>
          <cell r="CI321">
            <v>2</v>
          </cell>
          <cell r="CJ321">
            <v>0</v>
          </cell>
          <cell r="CK321">
            <v>2</v>
          </cell>
          <cell r="CL321">
            <v>2</v>
          </cell>
          <cell r="CM321">
            <v>1</v>
          </cell>
          <cell r="CR321">
            <v>0</v>
          </cell>
          <cell r="CS321">
            <v>0</v>
          </cell>
          <cell r="CT321">
            <v>39</v>
          </cell>
          <cell r="CU321">
            <v>0</v>
          </cell>
          <cell r="CV321">
            <v>0</v>
          </cell>
          <cell r="CZ321">
            <v>39</v>
          </cell>
        </row>
        <row r="322">
          <cell r="C322" t="str">
            <v>02662</v>
          </cell>
          <cell r="D322" t="str">
            <v>Nguyễn Thị Hoài Diễm</v>
          </cell>
          <cell r="E322" t="str">
            <v>Purchasing</v>
          </cell>
          <cell r="F322" t="str">
            <v>Purchasing</v>
          </cell>
          <cell r="G322" t="str">
            <v xml:space="preserve"> Senior Staff</v>
          </cell>
          <cell r="H322">
            <v>44161</v>
          </cell>
          <cell r="I322" t="str">
            <v>AL8</v>
          </cell>
          <cell r="J322">
            <v>8</v>
          </cell>
          <cell r="K322" t="str">
            <v>PO</v>
          </cell>
          <cell r="L322" t="str">
            <v>CN</v>
          </cell>
          <cell r="M322">
            <v>8</v>
          </cell>
          <cell r="N322">
            <v>7.95</v>
          </cell>
          <cell r="O322" t="str">
            <v>AL4</v>
          </cell>
          <cell r="P322">
            <v>7.9333333330000002</v>
          </cell>
          <cell r="Q322" t="str">
            <v>WH4/PO4</v>
          </cell>
          <cell r="R322" t="str">
            <v>PO</v>
          </cell>
          <cell r="S322" t="str">
            <v>CN</v>
          </cell>
          <cell r="T322">
            <v>7.9166666670000003</v>
          </cell>
          <cell r="U322">
            <v>8</v>
          </cell>
          <cell r="V322" t="str">
            <v>UP6.75</v>
          </cell>
          <cell r="W322">
            <v>7.9666666670000001</v>
          </cell>
          <cell r="X322">
            <v>7.8666666669999996</v>
          </cell>
          <cell r="Y322" t="str">
            <v>PO</v>
          </cell>
          <cell r="Z322" t="str">
            <v>CN</v>
          </cell>
          <cell r="AA322">
            <v>8</v>
          </cell>
          <cell r="AB322">
            <v>7.983333333</v>
          </cell>
          <cell r="AC322">
            <v>8</v>
          </cell>
          <cell r="AD322">
            <v>7.95</v>
          </cell>
          <cell r="AE322">
            <v>7.9166666670000003</v>
          </cell>
          <cell r="AF322" t="str">
            <v>PO</v>
          </cell>
          <cell r="AG322" t="str">
            <v>CN</v>
          </cell>
          <cell r="AH322">
            <v>8</v>
          </cell>
          <cell r="AI322">
            <v>7.9666666670000001</v>
          </cell>
          <cell r="AJ322" t="str">
            <v>WH</v>
          </cell>
          <cell r="AN322">
            <v>0</v>
          </cell>
          <cell r="AO322">
            <v>130.20000000099998</v>
          </cell>
          <cell r="AP322">
            <v>4</v>
          </cell>
          <cell r="AQ322">
            <v>0</v>
          </cell>
          <cell r="AR322">
            <v>6.75</v>
          </cell>
          <cell r="AS322">
            <v>0</v>
          </cell>
          <cell r="AT322">
            <v>0</v>
          </cell>
          <cell r="AU322">
            <v>0</v>
          </cell>
          <cell r="AV322">
            <v>36</v>
          </cell>
          <cell r="AW322">
            <v>0</v>
          </cell>
          <cell r="AX322">
            <v>0</v>
          </cell>
          <cell r="AY322">
            <v>0</v>
          </cell>
          <cell r="AZ322">
            <v>0</v>
          </cell>
          <cell r="BA322">
            <v>12</v>
          </cell>
          <cell r="BB322">
            <v>0</v>
          </cell>
          <cell r="BC322">
            <v>0</v>
          </cell>
          <cell r="BD322">
            <v>12</v>
          </cell>
          <cell r="BE322">
            <v>0</v>
          </cell>
          <cell r="BF322">
            <v>0</v>
          </cell>
          <cell r="BG322">
            <v>190.20000000099998</v>
          </cell>
          <cell r="BH322">
            <v>1.5</v>
          </cell>
          <cell r="BI322">
            <v>1.5</v>
          </cell>
          <cell r="BJ322">
            <v>4.5</v>
          </cell>
          <cell r="BL322">
            <v>0</v>
          </cell>
          <cell r="BM322">
            <v>3</v>
          </cell>
          <cell r="BN322">
            <v>0</v>
          </cell>
          <cell r="BO322">
            <v>0</v>
          </cell>
          <cell r="BP322">
            <v>0</v>
          </cell>
          <cell r="BQ322">
            <v>3</v>
          </cell>
          <cell r="BR322">
            <v>2</v>
          </cell>
          <cell r="BS322">
            <v>2.75</v>
          </cell>
          <cell r="BT322">
            <v>0</v>
          </cell>
          <cell r="BU322">
            <v>0</v>
          </cell>
          <cell r="BV322">
            <v>0</v>
          </cell>
          <cell r="BW322">
            <v>0</v>
          </cell>
          <cell r="BX322">
            <v>3</v>
          </cell>
          <cell r="BY322">
            <v>2</v>
          </cell>
          <cell r="BZ322">
            <v>0</v>
          </cell>
          <cell r="CA322">
            <v>3</v>
          </cell>
          <cell r="CB322">
            <v>0</v>
          </cell>
          <cell r="CC322">
            <v>0</v>
          </cell>
          <cell r="CD322">
            <v>0</v>
          </cell>
          <cell r="CE322">
            <v>3</v>
          </cell>
          <cell r="CF322">
            <v>2</v>
          </cell>
          <cell r="CG322">
            <v>1.5</v>
          </cell>
          <cell r="CH322">
            <v>3</v>
          </cell>
          <cell r="CI322">
            <v>0</v>
          </cell>
          <cell r="CJ322">
            <v>0</v>
          </cell>
          <cell r="CK322">
            <v>2.25</v>
          </cell>
          <cell r="CL322">
            <v>2</v>
          </cell>
          <cell r="CM322">
            <v>0</v>
          </cell>
          <cell r="CR322">
            <v>0</v>
          </cell>
          <cell r="CS322">
            <v>0</v>
          </cell>
          <cell r="CT322">
            <v>32.5</v>
          </cell>
          <cell r="CU322">
            <v>0</v>
          </cell>
          <cell r="CV322">
            <v>0</v>
          </cell>
          <cell r="CZ322">
            <v>32.5</v>
          </cell>
        </row>
        <row r="323">
          <cell r="C323" t="str">
            <v>02669</v>
          </cell>
          <cell r="D323" t="str">
            <v>Võ Thị Tô Châu</v>
          </cell>
          <cell r="E323" t="str">
            <v>Production</v>
          </cell>
          <cell r="F323" t="str">
            <v>Skiving</v>
          </cell>
          <cell r="G323" t="str">
            <v>Worker</v>
          </cell>
          <cell r="H323">
            <v>44162</v>
          </cell>
          <cell r="I323">
            <v>8</v>
          </cell>
          <cell r="J323" t="str">
            <v>AL8</v>
          </cell>
          <cell r="K323">
            <v>8</v>
          </cell>
          <cell r="L323" t="str">
            <v>CN</v>
          </cell>
          <cell r="M323" t="str">
            <v>Đ</v>
          </cell>
          <cell r="N323" t="str">
            <v>Đ</v>
          </cell>
          <cell r="O323" t="str">
            <v>Đ</v>
          </cell>
          <cell r="P323" t="str">
            <v>Đ</v>
          </cell>
          <cell r="Q323" t="str">
            <v>Đ</v>
          </cell>
          <cell r="R323" t="str">
            <v>Đ</v>
          </cell>
          <cell r="S323" t="str">
            <v>CN</v>
          </cell>
          <cell r="T323">
            <v>8</v>
          </cell>
          <cell r="U323">
            <v>8</v>
          </cell>
          <cell r="V323">
            <v>8</v>
          </cell>
          <cell r="W323">
            <v>8</v>
          </cell>
          <cell r="X323">
            <v>8</v>
          </cell>
          <cell r="Y323">
            <v>8</v>
          </cell>
          <cell r="Z323" t="str">
            <v>CN</v>
          </cell>
          <cell r="AA323" t="str">
            <v>Đ</v>
          </cell>
          <cell r="AB323" t="str">
            <v>Đ</v>
          </cell>
          <cell r="AC323" t="str">
            <v>Đ</v>
          </cell>
          <cell r="AD323" t="str">
            <v>Đ</v>
          </cell>
          <cell r="AE323" t="str">
            <v>Đ</v>
          </cell>
          <cell r="AF323" t="str">
            <v>Đ</v>
          </cell>
          <cell r="AG323" t="str">
            <v>CN</v>
          </cell>
          <cell r="AH323">
            <v>8</v>
          </cell>
          <cell r="AI323">
            <v>8</v>
          </cell>
          <cell r="AJ323">
            <v>8</v>
          </cell>
          <cell r="AN323">
            <v>96</v>
          </cell>
          <cell r="AO323">
            <v>88</v>
          </cell>
          <cell r="AP323">
            <v>0</v>
          </cell>
          <cell r="AQ323">
            <v>0</v>
          </cell>
          <cell r="AR323">
            <v>0</v>
          </cell>
          <cell r="AS323">
            <v>0</v>
          </cell>
          <cell r="AT323">
            <v>0</v>
          </cell>
          <cell r="AU323">
            <v>0</v>
          </cell>
          <cell r="AV323">
            <v>0</v>
          </cell>
          <cell r="AW323">
            <v>0</v>
          </cell>
          <cell r="AX323">
            <v>0</v>
          </cell>
          <cell r="AY323">
            <v>0</v>
          </cell>
          <cell r="AZ323">
            <v>0</v>
          </cell>
          <cell r="BA323">
            <v>8</v>
          </cell>
          <cell r="BB323">
            <v>0</v>
          </cell>
          <cell r="BC323">
            <v>0</v>
          </cell>
          <cell r="BD323">
            <v>0</v>
          </cell>
          <cell r="BE323">
            <v>0</v>
          </cell>
          <cell r="BF323">
            <v>0</v>
          </cell>
          <cell r="BG323">
            <v>192</v>
          </cell>
          <cell r="BH323">
            <v>1</v>
          </cell>
          <cell r="BI323">
            <v>1</v>
          </cell>
          <cell r="BJ323">
            <v>0.5</v>
          </cell>
          <cell r="BL323">
            <v>0</v>
          </cell>
          <cell r="BM323">
            <v>0</v>
          </cell>
          <cell r="BN323">
            <v>0</v>
          </cell>
          <cell r="BO323">
            <v>0</v>
          </cell>
          <cell r="BP323">
            <v>0</v>
          </cell>
          <cell r="BQ323">
            <v>3</v>
          </cell>
          <cell r="BR323">
            <v>0</v>
          </cell>
          <cell r="BS323">
            <v>3</v>
          </cell>
          <cell r="BT323">
            <v>3</v>
          </cell>
          <cell r="BU323">
            <v>0</v>
          </cell>
          <cell r="BV323">
            <v>0</v>
          </cell>
          <cell r="BW323">
            <v>3</v>
          </cell>
          <cell r="BX323">
            <v>3</v>
          </cell>
          <cell r="BY323">
            <v>3</v>
          </cell>
          <cell r="BZ323">
            <v>3</v>
          </cell>
          <cell r="CA323">
            <v>3</v>
          </cell>
          <cell r="CB323">
            <v>3</v>
          </cell>
          <cell r="CC323">
            <v>8</v>
          </cell>
          <cell r="CD323">
            <v>1.5</v>
          </cell>
          <cell r="CE323">
            <v>4</v>
          </cell>
          <cell r="CF323">
            <v>4</v>
          </cell>
          <cell r="CG323">
            <v>4</v>
          </cell>
          <cell r="CH323">
            <v>1.5</v>
          </cell>
          <cell r="CI323">
            <v>1.5</v>
          </cell>
          <cell r="CJ323">
            <v>0</v>
          </cell>
          <cell r="CK323">
            <v>1.5</v>
          </cell>
          <cell r="CL323">
            <v>3</v>
          </cell>
          <cell r="CM323">
            <v>1.5</v>
          </cell>
          <cell r="CR323">
            <v>0</v>
          </cell>
          <cell r="CS323">
            <v>0</v>
          </cell>
          <cell r="CT323">
            <v>49.5</v>
          </cell>
          <cell r="CU323">
            <v>8</v>
          </cell>
          <cell r="CV323">
            <v>0</v>
          </cell>
          <cell r="CZ323">
            <v>57.5</v>
          </cell>
        </row>
        <row r="324">
          <cell r="C324" t="str">
            <v>02675</v>
          </cell>
          <cell r="D324" t="str">
            <v>Bồ Thiện Nhân</v>
          </cell>
          <cell r="E324" t="str">
            <v xml:space="preserve">EHS &amp; Facilities </v>
          </cell>
          <cell r="F324" t="str">
            <v>Maintenance</v>
          </cell>
          <cell r="G324" t="str">
            <v>Senior Technician</v>
          </cell>
          <cell r="H324">
            <v>44167</v>
          </cell>
          <cell r="I324">
            <v>8</v>
          </cell>
          <cell r="J324">
            <v>8</v>
          </cell>
          <cell r="K324">
            <v>8</v>
          </cell>
          <cell r="L324" t="str">
            <v>CN</v>
          </cell>
          <cell r="M324">
            <v>8</v>
          </cell>
          <cell r="N324">
            <v>8</v>
          </cell>
          <cell r="O324">
            <v>8</v>
          </cell>
          <cell r="P324" t="str">
            <v>Đ</v>
          </cell>
          <cell r="Q324" t="str">
            <v>Đ</v>
          </cell>
          <cell r="R324" t="str">
            <v>Đ</v>
          </cell>
          <cell r="S324" t="str">
            <v>CN</v>
          </cell>
          <cell r="T324">
            <v>8</v>
          </cell>
          <cell r="U324" t="str">
            <v>AL8</v>
          </cell>
          <cell r="V324">
            <v>8</v>
          </cell>
          <cell r="W324">
            <v>8</v>
          </cell>
          <cell r="X324">
            <v>8</v>
          </cell>
          <cell r="Y324">
            <v>8</v>
          </cell>
          <cell r="Z324" t="str">
            <v>CN</v>
          </cell>
          <cell r="AA324">
            <v>8</v>
          </cell>
          <cell r="AB324">
            <v>8</v>
          </cell>
          <cell r="AC324">
            <v>8</v>
          </cell>
          <cell r="AD324">
            <v>8</v>
          </cell>
          <cell r="AE324">
            <v>8</v>
          </cell>
          <cell r="AF324">
            <v>8</v>
          </cell>
          <cell r="AG324" t="str">
            <v>CN</v>
          </cell>
          <cell r="AH324">
            <v>8</v>
          </cell>
          <cell r="AI324">
            <v>8</v>
          </cell>
          <cell r="AJ324">
            <v>8</v>
          </cell>
          <cell r="AN324">
            <v>24</v>
          </cell>
          <cell r="AO324">
            <v>160</v>
          </cell>
          <cell r="AP324">
            <v>0</v>
          </cell>
          <cell r="AQ324">
            <v>0</v>
          </cell>
          <cell r="AR324">
            <v>0</v>
          </cell>
          <cell r="AS324">
            <v>0</v>
          </cell>
          <cell r="AT324">
            <v>0</v>
          </cell>
          <cell r="AU324">
            <v>0</v>
          </cell>
          <cell r="AV324">
            <v>0</v>
          </cell>
          <cell r="AW324">
            <v>0</v>
          </cell>
          <cell r="AX324">
            <v>0</v>
          </cell>
          <cell r="AY324">
            <v>0</v>
          </cell>
          <cell r="AZ324">
            <v>0</v>
          </cell>
          <cell r="BA324">
            <v>8</v>
          </cell>
          <cell r="BB324">
            <v>0</v>
          </cell>
          <cell r="BC324">
            <v>0</v>
          </cell>
          <cell r="BD324">
            <v>0</v>
          </cell>
          <cell r="BE324">
            <v>0</v>
          </cell>
          <cell r="BF324">
            <v>0</v>
          </cell>
          <cell r="BG324">
            <v>192</v>
          </cell>
          <cell r="BH324">
            <v>1</v>
          </cell>
          <cell r="BI324">
            <v>1</v>
          </cell>
          <cell r="BJ324">
            <v>4</v>
          </cell>
          <cell r="BL324">
            <v>0</v>
          </cell>
          <cell r="BM324">
            <v>0</v>
          </cell>
          <cell r="BN324">
            <v>0</v>
          </cell>
          <cell r="BO324">
            <v>0</v>
          </cell>
          <cell r="BP324">
            <v>0.5</v>
          </cell>
          <cell r="BQ324">
            <v>0</v>
          </cell>
          <cell r="BR324">
            <v>1.5</v>
          </cell>
          <cell r="BS324">
            <v>0</v>
          </cell>
          <cell r="BT324">
            <v>3</v>
          </cell>
          <cell r="BU324">
            <v>4</v>
          </cell>
          <cell r="BV324">
            <v>0</v>
          </cell>
          <cell r="BW324">
            <v>0</v>
          </cell>
          <cell r="BX324">
            <v>0</v>
          </cell>
          <cell r="BY324">
            <v>0</v>
          </cell>
          <cell r="BZ324">
            <v>2.5</v>
          </cell>
          <cell r="CA324">
            <v>0</v>
          </cell>
          <cell r="CB324">
            <v>0</v>
          </cell>
          <cell r="CC324">
            <v>0</v>
          </cell>
          <cell r="CD324">
            <v>0.5</v>
          </cell>
          <cell r="CE324">
            <v>0</v>
          </cell>
          <cell r="CF324">
            <v>2</v>
          </cell>
          <cell r="CG324">
            <v>0</v>
          </cell>
          <cell r="CH324">
            <v>0</v>
          </cell>
          <cell r="CI324">
            <v>2</v>
          </cell>
          <cell r="CJ324">
            <v>8</v>
          </cell>
          <cell r="CK324">
            <v>0</v>
          </cell>
          <cell r="CL324">
            <v>0</v>
          </cell>
          <cell r="CM324">
            <v>1</v>
          </cell>
          <cell r="CR324">
            <v>0</v>
          </cell>
          <cell r="CS324">
            <v>0</v>
          </cell>
          <cell r="CT324">
            <v>17</v>
          </cell>
          <cell r="CU324">
            <v>8</v>
          </cell>
          <cell r="CV324">
            <v>0</v>
          </cell>
          <cell r="CZ324">
            <v>25</v>
          </cell>
        </row>
        <row r="325">
          <cell r="C325" t="str">
            <v>02690</v>
          </cell>
          <cell r="D325" t="str">
            <v>Trương Thị Hoa Đào</v>
          </cell>
          <cell r="E325" t="str">
            <v>CS</v>
          </cell>
          <cell r="F325" t="str">
            <v>CS</v>
          </cell>
          <cell r="G325" t="str">
            <v>Senior Staff</v>
          </cell>
          <cell r="H325">
            <v>44180</v>
          </cell>
          <cell r="I325">
            <v>8</v>
          </cell>
          <cell r="J325">
            <v>8</v>
          </cell>
          <cell r="K325" t="str">
            <v>PO</v>
          </cell>
          <cell r="L325" t="str">
            <v>CN</v>
          </cell>
          <cell r="M325">
            <v>8</v>
          </cell>
          <cell r="N325">
            <v>8</v>
          </cell>
          <cell r="O325">
            <v>8</v>
          </cell>
          <cell r="P325">
            <v>8</v>
          </cell>
          <cell r="Q325">
            <v>8</v>
          </cell>
          <cell r="R325" t="str">
            <v>PO</v>
          </cell>
          <cell r="S325" t="str">
            <v>CN</v>
          </cell>
          <cell r="T325">
            <v>8</v>
          </cell>
          <cell r="U325">
            <v>8</v>
          </cell>
          <cell r="V325">
            <v>8</v>
          </cell>
          <cell r="W325">
            <v>8</v>
          </cell>
          <cell r="X325">
            <v>8</v>
          </cell>
          <cell r="Y325" t="str">
            <v>PO</v>
          </cell>
          <cell r="Z325" t="str">
            <v>CN</v>
          </cell>
          <cell r="AA325">
            <v>8</v>
          </cell>
          <cell r="AB325">
            <v>8</v>
          </cell>
          <cell r="AC325">
            <v>8</v>
          </cell>
          <cell r="AD325">
            <v>8</v>
          </cell>
          <cell r="AE325">
            <v>8</v>
          </cell>
          <cell r="AF325" t="str">
            <v>PO</v>
          </cell>
          <cell r="AG325" t="str">
            <v>CN</v>
          </cell>
          <cell r="AH325">
            <v>8</v>
          </cell>
          <cell r="AI325">
            <v>8</v>
          </cell>
          <cell r="AJ325">
            <v>8</v>
          </cell>
          <cell r="AN325">
            <v>0</v>
          </cell>
          <cell r="AO325">
            <v>160</v>
          </cell>
          <cell r="AP325">
            <v>0</v>
          </cell>
          <cell r="AQ325">
            <v>0</v>
          </cell>
          <cell r="AR325">
            <v>0</v>
          </cell>
          <cell r="AS325">
            <v>0</v>
          </cell>
          <cell r="AT325">
            <v>0</v>
          </cell>
          <cell r="AU325">
            <v>0</v>
          </cell>
          <cell r="AV325">
            <v>32</v>
          </cell>
          <cell r="AW325">
            <v>0</v>
          </cell>
          <cell r="AX325">
            <v>0</v>
          </cell>
          <cell r="AY325">
            <v>0</v>
          </cell>
          <cell r="AZ325">
            <v>0</v>
          </cell>
          <cell r="BA325">
            <v>0</v>
          </cell>
          <cell r="BB325">
            <v>0</v>
          </cell>
          <cell r="BC325">
            <v>0</v>
          </cell>
          <cell r="BD325">
            <v>0</v>
          </cell>
          <cell r="BE325">
            <v>0</v>
          </cell>
          <cell r="BF325">
            <v>0</v>
          </cell>
          <cell r="BG325">
            <v>192</v>
          </cell>
          <cell r="BH325">
            <v>0</v>
          </cell>
          <cell r="BI325">
            <v>0</v>
          </cell>
          <cell r="BJ325">
            <v>8.5</v>
          </cell>
          <cell r="BL325">
            <v>0</v>
          </cell>
          <cell r="BM325">
            <v>3</v>
          </cell>
          <cell r="BN325">
            <v>0</v>
          </cell>
          <cell r="BO325">
            <v>0</v>
          </cell>
          <cell r="BP325">
            <v>1.5</v>
          </cell>
          <cell r="BQ325">
            <v>0</v>
          </cell>
          <cell r="BR325">
            <v>0</v>
          </cell>
          <cell r="BS325">
            <v>3</v>
          </cell>
          <cell r="BT325">
            <v>3.5</v>
          </cell>
          <cell r="BU325">
            <v>0</v>
          </cell>
          <cell r="BV325">
            <v>0</v>
          </cell>
          <cell r="BW325">
            <v>0</v>
          </cell>
          <cell r="BX325">
            <v>3</v>
          </cell>
          <cell r="BY325">
            <v>0</v>
          </cell>
          <cell r="BZ325">
            <v>2</v>
          </cell>
          <cell r="CA325">
            <v>0</v>
          </cell>
          <cell r="CB325">
            <v>0</v>
          </cell>
          <cell r="CC325">
            <v>0</v>
          </cell>
          <cell r="CD325">
            <v>0</v>
          </cell>
          <cell r="CE325">
            <v>2.5</v>
          </cell>
          <cell r="CF325">
            <v>0</v>
          </cell>
          <cell r="CG325">
            <v>3.5</v>
          </cell>
          <cell r="CH325">
            <v>0</v>
          </cell>
          <cell r="CI325">
            <v>0</v>
          </cell>
          <cell r="CJ325">
            <v>0</v>
          </cell>
          <cell r="CK325">
            <v>0</v>
          </cell>
          <cell r="CL325">
            <v>2</v>
          </cell>
          <cell r="CM325">
            <v>0</v>
          </cell>
          <cell r="CR325">
            <v>0</v>
          </cell>
          <cell r="CS325">
            <v>0</v>
          </cell>
          <cell r="CT325">
            <v>24</v>
          </cell>
          <cell r="CU325">
            <v>0</v>
          </cell>
          <cell r="CV325">
            <v>0</v>
          </cell>
          <cell r="CZ325">
            <v>24</v>
          </cell>
        </row>
        <row r="326">
          <cell r="C326" t="str">
            <v>02705</v>
          </cell>
          <cell r="D326" t="str">
            <v>Hồ Thị Diễm Kiều</v>
          </cell>
          <cell r="E326" t="str">
            <v>Production</v>
          </cell>
          <cell r="F326" t="str">
            <v>Logo</v>
          </cell>
          <cell r="G326" t="str">
            <v>Worker</v>
          </cell>
          <cell r="H326">
            <v>44200</v>
          </cell>
          <cell r="I326">
            <v>8</v>
          </cell>
          <cell r="J326">
            <v>8</v>
          </cell>
          <cell r="K326">
            <v>8</v>
          </cell>
          <cell r="L326" t="str">
            <v>CN</v>
          </cell>
          <cell r="M326" t="str">
            <v>M</v>
          </cell>
          <cell r="N326">
            <v>8</v>
          </cell>
          <cell r="O326">
            <v>8</v>
          </cell>
          <cell r="P326">
            <v>8</v>
          </cell>
          <cell r="Q326">
            <v>8</v>
          </cell>
          <cell r="R326">
            <v>8</v>
          </cell>
          <cell r="S326" t="str">
            <v>CN</v>
          </cell>
          <cell r="T326">
            <v>8</v>
          </cell>
          <cell r="U326">
            <v>8</v>
          </cell>
          <cell r="V326">
            <v>8</v>
          </cell>
          <cell r="W326">
            <v>8</v>
          </cell>
          <cell r="X326">
            <v>8</v>
          </cell>
          <cell r="Y326">
            <v>8</v>
          </cell>
          <cell r="Z326" t="str">
            <v>CN</v>
          </cell>
          <cell r="AA326">
            <v>8</v>
          </cell>
          <cell r="AB326">
            <v>8</v>
          </cell>
          <cell r="AC326">
            <v>8</v>
          </cell>
          <cell r="AD326">
            <v>8</v>
          </cell>
          <cell r="AE326">
            <v>8</v>
          </cell>
          <cell r="AF326">
            <v>8</v>
          </cell>
          <cell r="AG326" t="str">
            <v>CN</v>
          </cell>
          <cell r="AH326">
            <v>8</v>
          </cell>
          <cell r="AI326">
            <v>8</v>
          </cell>
          <cell r="AJ326">
            <v>8</v>
          </cell>
          <cell r="AN326">
            <v>0</v>
          </cell>
          <cell r="AO326">
            <v>184</v>
          </cell>
          <cell r="AP326">
            <v>0</v>
          </cell>
          <cell r="AQ326">
            <v>0</v>
          </cell>
          <cell r="AR326">
            <v>0</v>
          </cell>
          <cell r="AS326">
            <v>0</v>
          </cell>
          <cell r="AT326">
            <v>0</v>
          </cell>
          <cell r="AU326">
            <v>0</v>
          </cell>
          <cell r="AV326">
            <v>0</v>
          </cell>
          <cell r="AW326">
            <v>0</v>
          </cell>
          <cell r="AX326">
            <v>8</v>
          </cell>
          <cell r="AY326">
            <v>0</v>
          </cell>
          <cell r="AZ326">
            <v>0</v>
          </cell>
          <cell r="BA326">
            <v>0</v>
          </cell>
          <cell r="BB326">
            <v>0</v>
          </cell>
          <cell r="BC326">
            <v>0</v>
          </cell>
          <cell r="BD326">
            <v>0</v>
          </cell>
          <cell r="BE326">
            <v>0</v>
          </cell>
          <cell r="BF326">
            <v>0</v>
          </cell>
          <cell r="BG326">
            <v>184</v>
          </cell>
          <cell r="BH326">
            <v>0</v>
          </cell>
          <cell r="BI326">
            <v>0</v>
          </cell>
          <cell r="BJ326">
            <v>-1</v>
          </cell>
          <cell r="BL326">
            <v>0</v>
          </cell>
          <cell r="BM326">
            <v>0</v>
          </cell>
          <cell r="BN326">
            <v>0</v>
          </cell>
          <cell r="BO326">
            <v>0</v>
          </cell>
          <cell r="BP326">
            <v>0</v>
          </cell>
          <cell r="BQ326">
            <v>0</v>
          </cell>
          <cell r="BR326">
            <v>0</v>
          </cell>
          <cell r="BS326">
            <v>0</v>
          </cell>
          <cell r="BT326">
            <v>0</v>
          </cell>
          <cell r="BU326">
            <v>0</v>
          </cell>
          <cell r="BV326">
            <v>0</v>
          </cell>
          <cell r="BW326">
            <v>0</v>
          </cell>
          <cell r="BX326">
            <v>0</v>
          </cell>
          <cell r="BY326">
            <v>0</v>
          </cell>
          <cell r="BZ326">
            <v>0</v>
          </cell>
          <cell r="CA326">
            <v>0</v>
          </cell>
          <cell r="CB326">
            <v>0</v>
          </cell>
          <cell r="CC326">
            <v>0</v>
          </cell>
          <cell r="CD326">
            <v>0</v>
          </cell>
          <cell r="CE326">
            <v>0</v>
          </cell>
          <cell r="CF326">
            <v>0</v>
          </cell>
          <cell r="CG326">
            <v>0</v>
          </cell>
          <cell r="CH326">
            <v>0</v>
          </cell>
          <cell r="CI326">
            <v>0</v>
          </cell>
          <cell r="CJ326">
            <v>0</v>
          </cell>
          <cell r="CK326">
            <v>0</v>
          </cell>
          <cell r="CL326">
            <v>0</v>
          </cell>
          <cell r="CM326">
            <v>0</v>
          </cell>
          <cell r="CR326">
            <v>0</v>
          </cell>
          <cell r="CS326">
            <v>0</v>
          </cell>
          <cell r="CT326">
            <v>0</v>
          </cell>
          <cell r="CU326">
            <v>0</v>
          </cell>
          <cell r="CV326">
            <v>0</v>
          </cell>
          <cell r="CZ326">
            <v>0</v>
          </cell>
        </row>
        <row r="327">
          <cell r="C327" t="str">
            <v>02707</v>
          </cell>
          <cell r="D327" t="str">
            <v>Đỗ Đình Hùng</v>
          </cell>
          <cell r="E327" t="str">
            <v>Technical Development</v>
          </cell>
          <cell r="F327" t="str">
            <v>PD Technical</v>
          </cell>
          <cell r="G327" t="str">
            <v>Technician</v>
          </cell>
          <cell r="H327">
            <v>44200</v>
          </cell>
          <cell r="I327">
            <v>8</v>
          </cell>
          <cell r="J327">
            <v>8</v>
          </cell>
          <cell r="K327" t="str">
            <v>PO</v>
          </cell>
          <cell r="L327" t="str">
            <v>CN</v>
          </cell>
          <cell r="M327">
            <v>8</v>
          </cell>
          <cell r="N327">
            <v>8</v>
          </cell>
          <cell r="O327" t="str">
            <v>AL4</v>
          </cell>
          <cell r="P327">
            <v>8</v>
          </cell>
          <cell r="Q327">
            <v>8</v>
          </cell>
          <cell r="R327" t="str">
            <v>PO</v>
          </cell>
          <cell r="S327" t="str">
            <v>CN</v>
          </cell>
          <cell r="T327">
            <v>8</v>
          </cell>
          <cell r="U327">
            <v>8</v>
          </cell>
          <cell r="V327">
            <v>8</v>
          </cell>
          <cell r="W327">
            <v>8</v>
          </cell>
          <cell r="X327">
            <v>8</v>
          </cell>
          <cell r="Y327" t="str">
            <v>PO</v>
          </cell>
          <cell r="Z327" t="str">
            <v>CN</v>
          </cell>
          <cell r="AA327">
            <v>8</v>
          </cell>
          <cell r="AB327">
            <v>8</v>
          </cell>
          <cell r="AC327">
            <v>8</v>
          </cell>
          <cell r="AD327">
            <v>8</v>
          </cell>
          <cell r="AE327">
            <v>8</v>
          </cell>
          <cell r="AF327" t="str">
            <v>PO</v>
          </cell>
          <cell r="AG327" t="str">
            <v>CN</v>
          </cell>
          <cell r="AH327">
            <v>8</v>
          </cell>
          <cell r="AI327">
            <v>8</v>
          </cell>
          <cell r="AJ327">
            <v>8</v>
          </cell>
          <cell r="AN327">
            <v>0</v>
          </cell>
          <cell r="AO327">
            <v>156</v>
          </cell>
          <cell r="AP327">
            <v>4</v>
          </cell>
          <cell r="AQ327">
            <v>0</v>
          </cell>
          <cell r="AR327">
            <v>0</v>
          </cell>
          <cell r="AS327">
            <v>0</v>
          </cell>
          <cell r="AT327">
            <v>0</v>
          </cell>
          <cell r="AU327">
            <v>0</v>
          </cell>
          <cell r="AV327">
            <v>32</v>
          </cell>
          <cell r="AW327">
            <v>0</v>
          </cell>
          <cell r="AX327">
            <v>0</v>
          </cell>
          <cell r="AY327">
            <v>0</v>
          </cell>
          <cell r="AZ327">
            <v>0</v>
          </cell>
          <cell r="BA327">
            <v>4</v>
          </cell>
          <cell r="BB327">
            <v>0</v>
          </cell>
          <cell r="BC327">
            <v>0</v>
          </cell>
          <cell r="BD327">
            <v>0</v>
          </cell>
          <cell r="BE327">
            <v>0</v>
          </cell>
          <cell r="BF327">
            <v>0</v>
          </cell>
          <cell r="BG327">
            <v>192</v>
          </cell>
          <cell r="BH327">
            <v>0.5</v>
          </cell>
          <cell r="BI327">
            <v>0.5</v>
          </cell>
          <cell r="BJ327">
            <v>2</v>
          </cell>
          <cell r="BL327">
            <v>0</v>
          </cell>
          <cell r="BM327">
            <v>0</v>
          </cell>
          <cell r="BN327">
            <v>0</v>
          </cell>
          <cell r="BO327">
            <v>0</v>
          </cell>
          <cell r="BP327">
            <v>0</v>
          </cell>
          <cell r="BQ327">
            <v>0</v>
          </cell>
          <cell r="BR327">
            <v>0</v>
          </cell>
          <cell r="BS327">
            <v>0</v>
          </cell>
          <cell r="BT327">
            <v>0</v>
          </cell>
          <cell r="BU327">
            <v>0</v>
          </cell>
          <cell r="BV327">
            <v>0</v>
          </cell>
          <cell r="BW327">
            <v>0</v>
          </cell>
          <cell r="BX327">
            <v>0</v>
          </cell>
          <cell r="BY327">
            <v>0</v>
          </cell>
          <cell r="BZ327">
            <v>0</v>
          </cell>
          <cell r="CA327">
            <v>0</v>
          </cell>
          <cell r="CB327">
            <v>0</v>
          </cell>
          <cell r="CC327">
            <v>0</v>
          </cell>
          <cell r="CD327">
            <v>0</v>
          </cell>
          <cell r="CE327">
            <v>0</v>
          </cell>
          <cell r="CF327">
            <v>0</v>
          </cell>
          <cell r="CG327">
            <v>0</v>
          </cell>
          <cell r="CH327">
            <v>0</v>
          </cell>
          <cell r="CI327">
            <v>0</v>
          </cell>
          <cell r="CJ327">
            <v>0</v>
          </cell>
          <cell r="CK327">
            <v>0</v>
          </cell>
          <cell r="CL327">
            <v>0</v>
          </cell>
          <cell r="CM327">
            <v>0</v>
          </cell>
          <cell r="CR327">
            <v>0</v>
          </cell>
          <cell r="CS327">
            <v>0</v>
          </cell>
          <cell r="CT327">
            <v>0</v>
          </cell>
          <cell r="CU327">
            <v>0</v>
          </cell>
          <cell r="CV327">
            <v>0</v>
          </cell>
          <cell r="CZ327">
            <v>0</v>
          </cell>
        </row>
        <row r="328">
          <cell r="C328" t="str">
            <v>02716</v>
          </cell>
          <cell r="D328" t="str">
            <v>Lê Văn Tùng</v>
          </cell>
          <cell r="E328" t="str">
            <v>Production</v>
          </cell>
          <cell r="F328" t="str">
            <v>Die Cut</v>
          </cell>
          <cell r="G328" t="str">
            <v>Worker</v>
          </cell>
          <cell r="H328">
            <v>44210</v>
          </cell>
          <cell r="I328">
            <v>8</v>
          </cell>
          <cell r="J328">
            <v>8</v>
          </cell>
          <cell r="K328" t="str">
            <v>AL8</v>
          </cell>
          <cell r="L328" t="str">
            <v>CN</v>
          </cell>
          <cell r="M328" t="str">
            <v>Đ</v>
          </cell>
          <cell r="N328" t="str">
            <v>Đ</v>
          </cell>
          <cell r="O328" t="str">
            <v>Đ</v>
          </cell>
          <cell r="P328" t="str">
            <v>Đ</v>
          </cell>
          <cell r="Q328" t="str">
            <v>Đ</v>
          </cell>
          <cell r="R328" t="str">
            <v>Đ</v>
          </cell>
          <cell r="S328" t="str">
            <v>CN</v>
          </cell>
          <cell r="T328">
            <v>8</v>
          </cell>
          <cell r="U328">
            <v>8</v>
          </cell>
          <cell r="V328">
            <v>8</v>
          </cell>
          <cell r="W328">
            <v>8</v>
          </cell>
          <cell r="X328">
            <v>8</v>
          </cell>
          <cell r="Y328">
            <v>8</v>
          </cell>
          <cell r="Z328" t="str">
            <v>CN</v>
          </cell>
          <cell r="AA328" t="str">
            <v>Đ</v>
          </cell>
          <cell r="AB328" t="str">
            <v>Đ</v>
          </cell>
          <cell r="AC328" t="str">
            <v>Đ</v>
          </cell>
          <cell r="AD328" t="str">
            <v>Đ</v>
          </cell>
          <cell r="AE328" t="str">
            <v>Đ</v>
          </cell>
          <cell r="AF328" t="str">
            <v>Đ</v>
          </cell>
          <cell r="AG328" t="str">
            <v>CN</v>
          </cell>
          <cell r="AH328">
            <v>8</v>
          </cell>
          <cell r="AI328">
            <v>8</v>
          </cell>
          <cell r="AJ328">
            <v>8</v>
          </cell>
          <cell r="AN328">
            <v>96</v>
          </cell>
          <cell r="AO328">
            <v>88</v>
          </cell>
          <cell r="AP328">
            <v>0</v>
          </cell>
          <cell r="AQ328">
            <v>0</v>
          </cell>
          <cell r="AR328">
            <v>0</v>
          </cell>
          <cell r="AS328">
            <v>0</v>
          </cell>
          <cell r="AT328">
            <v>0</v>
          </cell>
          <cell r="AU328">
            <v>0</v>
          </cell>
          <cell r="AV328">
            <v>0</v>
          </cell>
          <cell r="AW328">
            <v>0</v>
          </cell>
          <cell r="AX328">
            <v>0</v>
          </cell>
          <cell r="AY328">
            <v>0</v>
          </cell>
          <cell r="AZ328">
            <v>0</v>
          </cell>
          <cell r="BA328">
            <v>8</v>
          </cell>
          <cell r="BB328">
            <v>0</v>
          </cell>
          <cell r="BC328">
            <v>0</v>
          </cell>
          <cell r="BD328">
            <v>0</v>
          </cell>
          <cell r="BE328">
            <v>0</v>
          </cell>
          <cell r="BF328">
            <v>0</v>
          </cell>
          <cell r="BG328">
            <v>192</v>
          </cell>
          <cell r="BH328">
            <v>1</v>
          </cell>
          <cell r="BI328">
            <v>1</v>
          </cell>
          <cell r="BJ328">
            <v>3</v>
          </cell>
          <cell r="BL328">
            <v>1.5</v>
          </cell>
          <cell r="BM328">
            <v>1.5</v>
          </cell>
          <cell r="BN328">
            <v>0</v>
          </cell>
          <cell r="BO328">
            <v>0</v>
          </cell>
          <cell r="BP328">
            <v>1.5</v>
          </cell>
          <cell r="BQ328">
            <v>0</v>
          </cell>
          <cell r="BR328">
            <v>0</v>
          </cell>
          <cell r="BS328">
            <v>4</v>
          </cell>
          <cell r="BT328">
            <v>4</v>
          </cell>
          <cell r="BU328">
            <v>4</v>
          </cell>
          <cell r="BV328">
            <v>0</v>
          </cell>
          <cell r="BW328">
            <v>3</v>
          </cell>
          <cell r="BX328">
            <v>2</v>
          </cell>
          <cell r="BY328">
            <v>2</v>
          </cell>
          <cell r="BZ328">
            <v>3</v>
          </cell>
          <cell r="CA328">
            <v>3</v>
          </cell>
          <cell r="CB328">
            <v>3</v>
          </cell>
          <cell r="CC328">
            <v>8</v>
          </cell>
          <cell r="CD328">
            <v>4</v>
          </cell>
          <cell r="CE328">
            <v>4</v>
          </cell>
          <cell r="CF328">
            <v>4</v>
          </cell>
          <cell r="CG328">
            <v>4</v>
          </cell>
          <cell r="CH328">
            <v>4</v>
          </cell>
          <cell r="CI328">
            <v>4</v>
          </cell>
          <cell r="CJ328">
            <v>0</v>
          </cell>
          <cell r="CK328">
            <v>3</v>
          </cell>
          <cell r="CL328">
            <v>3</v>
          </cell>
          <cell r="CM328">
            <v>2.75</v>
          </cell>
          <cell r="CR328">
            <v>0</v>
          </cell>
          <cell r="CS328">
            <v>0</v>
          </cell>
          <cell r="CT328">
            <v>65.25</v>
          </cell>
          <cell r="CU328">
            <v>8</v>
          </cell>
          <cell r="CV328">
            <v>0</v>
          </cell>
          <cell r="CZ328">
            <v>73.25</v>
          </cell>
        </row>
        <row r="329">
          <cell r="C329" t="str">
            <v>02720</v>
          </cell>
          <cell r="D329" t="str">
            <v>Nguyễn Trường Giang</v>
          </cell>
          <cell r="E329" t="str">
            <v>Technical Development</v>
          </cell>
          <cell r="F329" t="str">
            <v>PD Sample</v>
          </cell>
          <cell r="G329" t="str">
            <v>Worker</v>
          </cell>
          <cell r="H329">
            <v>44210</v>
          </cell>
          <cell r="I329">
            <v>8</v>
          </cell>
          <cell r="J329">
            <v>8</v>
          </cell>
          <cell r="K329">
            <v>8</v>
          </cell>
          <cell r="L329" t="str">
            <v>CN</v>
          </cell>
          <cell r="M329">
            <v>8</v>
          </cell>
          <cell r="N329">
            <v>8</v>
          </cell>
          <cell r="O329">
            <v>8</v>
          </cell>
          <cell r="P329">
            <v>8</v>
          </cell>
          <cell r="Q329">
            <v>8</v>
          </cell>
          <cell r="R329">
            <v>8</v>
          </cell>
          <cell r="S329" t="str">
            <v>CN</v>
          </cell>
          <cell r="T329">
            <v>8</v>
          </cell>
          <cell r="U329">
            <v>8</v>
          </cell>
          <cell r="V329">
            <v>8</v>
          </cell>
          <cell r="W329">
            <v>8</v>
          </cell>
          <cell r="X329">
            <v>8</v>
          </cell>
          <cell r="Y329">
            <v>8</v>
          </cell>
          <cell r="Z329" t="str">
            <v>CN</v>
          </cell>
          <cell r="AA329" t="str">
            <v>AL8</v>
          </cell>
          <cell r="AB329">
            <v>8</v>
          </cell>
          <cell r="AC329">
            <v>8</v>
          </cell>
          <cell r="AD329">
            <v>8</v>
          </cell>
          <cell r="AE329">
            <v>8</v>
          </cell>
          <cell r="AF329">
            <v>8</v>
          </cell>
          <cell r="AG329" t="str">
            <v>CN</v>
          </cell>
          <cell r="AH329">
            <v>8</v>
          </cell>
          <cell r="AI329">
            <v>8</v>
          </cell>
          <cell r="AJ329">
            <v>8</v>
          </cell>
          <cell r="AN329">
            <v>0</v>
          </cell>
          <cell r="AO329">
            <v>184</v>
          </cell>
          <cell r="AP329">
            <v>0</v>
          </cell>
          <cell r="AQ329">
            <v>0</v>
          </cell>
          <cell r="AR329">
            <v>0</v>
          </cell>
          <cell r="AS329">
            <v>0</v>
          </cell>
          <cell r="AT329">
            <v>0</v>
          </cell>
          <cell r="AU329">
            <v>0</v>
          </cell>
          <cell r="AV329">
            <v>0</v>
          </cell>
          <cell r="AW329">
            <v>0</v>
          </cell>
          <cell r="AX329">
            <v>0</v>
          </cell>
          <cell r="AY329">
            <v>0</v>
          </cell>
          <cell r="AZ329">
            <v>0</v>
          </cell>
          <cell r="BA329">
            <v>8</v>
          </cell>
          <cell r="BB329">
            <v>0</v>
          </cell>
          <cell r="BC329">
            <v>0</v>
          </cell>
          <cell r="BD329">
            <v>0</v>
          </cell>
          <cell r="BE329">
            <v>0</v>
          </cell>
          <cell r="BF329">
            <v>0</v>
          </cell>
          <cell r="BG329">
            <v>192</v>
          </cell>
          <cell r="BH329">
            <v>1</v>
          </cell>
          <cell r="BI329">
            <v>1</v>
          </cell>
          <cell r="BJ329">
            <v>2</v>
          </cell>
          <cell r="BL329">
            <v>3</v>
          </cell>
          <cell r="BM329">
            <v>3</v>
          </cell>
          <cell r="BN329">
            <v>0</v>
          </cell>
          <cell r="BO329">
            <v>0</v>
          </cell>
          <cell r="BP329">
            <v>3</v>
          </cell>
          <cell r="BQ329">
            <v>3</v>
          </cell>
          <cell r="BR329">
            <v>3</v>
          </cell>
          <cell r="BS329">
            <v>3</v>
          </cell>
          <cell r="BT329">
            <v>0</v>
          </cell>
          <cell r="BU329">
            <v>0</v>
          </cell>
          <cell r="BV329">
            <v>0</v>
          </cell>
          <cell r="BW329">
            <v>3</v>
          </cell>
          <cell r="BX329">
            <v>3</v>
          </cell>
          <cell r="BY329">
            <v>3</v>
          </cell>
          <cell r="BZ329">
            <v>3</v>
          </cell>
          <cell r="CA329">
            <v>0</v>
          </cell>
          <cell r="CB329">
            <v>0</v>
          </cell>
          <cell r="CC329">
            <v>0</v>
          </cell>
          <cell r="CD329">
            <v>0</v>
          </cell>
          <cell r="CE329">
            <v>3</v>
          </cell>
          <cell r="CF329">
            <v>0</v>
          </cell>
          <cell r="CG329">
            <v>3</v>
          </cell>
          <cell r="CH329">
            <v>3</v>
          </cell>
          <cell r="CI329">
            <v>0</v>
          </cell>
          <cell r="CJ329">
            <v>0</v>
          </cell>
          <cell r="CK329">
            <v>0</v>
          </cell>
          <cell r="CL329">
            <v>0</v>
          </cell>
          <cell r="CM329">
            <v>0</v>
          </cell>
          <cell r="CR329">
            <v>0</v>
          </cell>
          <cell r="CS329">
            <v>0</v>
          </cell>
          <cell r="CT329">
            <v>39</v>
          </cell>
          <cell r="CU329">
            <v>0</v>
          </cell>
          <cell r="CV329">
            <v>0</v>
          </cell>
          <cell r="CZ329">
            <v>39</v>
          </cell>
        </row>
        <row r="330">
          <cell r="C330" t="str">
            <v>02724</v>
          </cell>
          <cell r="D330" t="str">
            <v>Nguyễn Thị Diệu</v>
          </cell>
          <cell r="E330" t="str">
            <v>Production</v>
          </cell>
          <cell r="F330" t="str">
            <v>Die Cut</v>
          </cell>
          <cell r="G330" t="str">
            <v>Worker</v>
          </cell>
          <cell r="H330">
            <v>44216</v>
          </cell>
          <cell r="I330">
            <v>8</v>
          </cell>
          <cell r="J330">
            <v>8</v>
          </cell>
          <cell r="K330">
            <v>8</v>
          </cell>
          <cell r="L330" t="str">
            <v>CN</v>
          </cell>
          <cell r="M330" t="str">
            <v>Đ</v>
          </cell>
          <cell r="N330" t="str">
            <v>Đ</v>
          </cell>
          <cell r="O330" t="str">
            <v>Đ</v>
          </cell>
          <cell r="P330" t="str">
            <v>Đ</v>
          </cell>
          <cell r="Q330" t="str">
            <v>Đ</v>
          </cell>
          <cell r="R330" t="str">
            <v>Đ</v>
          </cell>
          <cell r="S330" t="str">
            <v>CN</v>
          </cell>
          <cell r="T330">
            <v>8</v>
          </cell>
          <cell r="U330">
            <v>8</v>
          </cell>
          <cell r="V330">
            <v>8</v>
          </cell>
          <cell r="W330">
            <v>8</v>
          </cell>
          <cell r="X330">
            <v>8</v>
          </cell>
          <cell r="Y330">
            <v>8</v>
          </cell>
          <cell r="Z330" t="str">
            <v>CN</v>
          </cell>
          <cell r="AA330" t="str">
            <v>Đ</v>
          </cell>
          <cell r="AB330" t="str">
            <v>Đ</v>
          </cell>
          <cell r="AC330" t="str">
            <v>Đ</v>
          </cell>
          <cell r="AD330" t="str">
            <v>Đ</v>
          </cell>
          <cell r="AE330" t="str">
            <v>Đ</v>
          </cell>
          <cell r="AF330" t="str">
            <v>Đ</v>
          </cell>
          <cell r="AG330" t="str">
            <v>CN</v>
          </cell>
          <cell r="AH330">
            <v>8</v>
          </cell>
          <cell r="AI330">
            <v>8</v>
          </cell>
          <cell r="AJ330">
            <v>8</v>
          </cell>
          <cell r="AN330">
            <v>96</v>
          </cell>
          <cell r="AO330">
            <v>96</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192</v>
          </cell>
          <cell r="BH330">
            <v>0</v>
          </cell>
          <cell r="BI330">
            <v>0</v>
          </cell>
          <cell r="BJ330">
            <v>3.5</v>
          </cell>
          <cell r="BL330">
            <v>1.5</v>
          </cell>
          <cell r="BM330">
            <v>1.5</v>
          </cell>
          <cell r="BN330">
            <v>1.5</v>
          </cell>
          <cell r="BO330">
            <v>0</v>
          </cell>
          <cell r="BP330">
            <v>1.5</v>
          </cell>
          <cell r="BQ330">
            <v>0</v>
          </cell>
          <cell r="BR330">
            <v>0</v>
          </cell>
          <cell r="BS330">
            <v>4</v>
          </cell>
          <cell r="BT330">
            <v>0</v>
          </cell>
          <cell r="BU330">
            <v>4</v>
          </cell>
          <cell r="BV330">
            <v>0</v>
          </cell>
          <cell r="BW330">
            <v>3</v>
          </cell>
          <cell r="BX330">
            <v>3</v>
          </cell>
          <cell r="BY330">
            <v>3</v>
          </cell>
          <cell r="BZ330">
            <v>3</v>
          </cell>
          <cell r="CA330">
            <v>3</v>
          </cell>
          <cell r="CB330">
            <v>3</v>
          </cell>
          <cell r="CC330">
            <v>8</v>
          </cell>
          <cell r="CD330">
            <v>4</v>
          </cell>
          <cell r="CE330">
            <v>4</v>
          </cell>
          <cell r="CF330">
            <v>4</v>
          </cell>
          <cell r="CG330">
            <v>4</v>
          </cell>
          <cell r="CH330">
            <v>4</v>
          </cell>
          <cell r="CI330">
            <v>4</v>
          </cell>
          <cell r="CJ330">
            <v>0</v>
          </cell>
          <cell r="CK330">
            <v>3</v>
          </cell>
          <cell r="CL330">
            <v>3</v>
          </cell>
          <cell r="CM330">
            <v>3</v>
          </cell>
          <cell r="CR330">
            <v>0</v>
          </cell>
          <cell r="CS330">
            <v>0</v>
          </cell>
          <cell r="CT330">
            <v>65</v>
          </cell>
          <cell r="CU330">
            <v>8</v>
          </cell>
          <cell r="CV330">
            <v>0</v>
          </cell>
          <cell r="CZ330">
            <v>73</v>
          </cell>
        </row>
        <row r="331">
          <cell r="C331" t="str">
            <v>02725</v>
          </cell>
          <cell r="D331" t="str">
            <v>Nguyễn Ngọc Hiền</v>
          </cell>
          <cell r="E331" t="str">
            <v>Production</v>
          </cell>
          <cell r="F331" t="str">
            <v>Die Cut</v>
          </cell>
          <cell r="G331" t="str">
            <v>Worker</v>
          </cell>
          <cell r="H331">
            <v>44216</v>
          </cell>
          <cell r="I331" t="str">
            <v>Đ</v>
          </cell>
          <cell r="J331" t="str">
            <v>Đ</v>
          </cell>
          <cell r="K331" t="str">
            <v>AL8</v>
          </cell>
          <cell r="L331" t="str">
            <v>CN</v>
          </cell>
          <cell r="M331">
            <v>8</v>
          </cell>
          <cell r="N331">
            <v>8</v>
          </cell>
          <cell r="O331">
            <v>8</v>
          </cell>
          <cell r="P331">
            <v>8</v>
          </cell>
          <cell r="Q331">
            <v>8</v>
          </cell>
          <cell r="R331">
            <v>8</v>
          </cell>
          <cell r="S331" t="str">
            <v>CN</v>
          </cell>
          <cell r="T331" t="str">
            <v>Đ</v>
          </cell>
          <cell r="U331" t="str">
            <v>Đ</v>
          </cell>
          <cell r="V331" t="str">
            <v>Đ</v>
          </cell>
          <cell r="W331" t="str">
            <v>Đ</v>
          </cell>
          <cell r="X331" t="str">
            <v>Đ</v>
          </cell>
          <cell r="Y331" t="str">
            <v>Đ</v>
          </cell>
          <cell r="Z331" t="str">
            <v>CN</v>
          </cell>
          <cell r="AA331">
            <v>8</v>
          </cell>
          <cell r="AB331">
            <v>8</v>
          </cell>
          <cell r="AC331">
            <v>8</v>
          </cell>
          <cell r="AD331">
            <v>8</v>
          </cell>
          <cell r="AE331">
            <v>8</v>
          </cell>
          <cell r="AF331">
            <v>8</v>
          </cell>
          <cell r="AG331" t="str">
            <v>CN</v>
          </cell>
          <cell r="AH331" t="str">
            <v>Đ</v>
          </cell>
          <cell r="AI331" t="str">
            <v>Đ</v>
          </cell>
          <cell r="AJ331" t="str">
            <v>Đ</v>
          </cell>
          <cell r="AN331">
            <v>88</v>
          </cell>
          <cell r="AO331">
            <v>96</v>
          </cell>
          <cell r="AP331">
            <v>0</v>
          </cell>
          <cell r="AQ331">
            <v>0</v>
          </cell>
          <cell r="AR331">
            <v>0</v>
          </cell>
          <cell r="AS331">
            <v>0</v>
          </cell>
          <cell r="AT331">
            <v>0</v>
          </cell>
          <cell r="AU331">
            <v>0</v>
          </cell>
          <cell r="AV331">
            <v>0</v>
          </cell>
          <cell r="AW331">
            <v>0</v>
          </cell>
          <cell r="AX331">
            <v>0</v>
          </cell>
          <cell r="AY331">
            <v>0</v>
          </cell>
          <cell r="AZ331">
            <v>0</v>
          </cell>
          <cell r="BA331">
            <v>8</v>
          </cell>
          <cell r="BB331">
            <v>0</v>
          </cell>
          <cell r="BC331">
            <v>0</v>
          </cell>
          <cell r="BD331">
            <v>0</v>
          </cell>
          <cell r="BE331">
            <v>0</v>
          </cell>
          <cell r="BF331">
            <v>0</v>
          </cell>
          <cell r="BG331">
            <v>192</v>
          </cell>
          <cell r="BH331">
            <v>1</v>
          </cell>
          <cell r="BI331">
            <v>1</v>
          </cell>
          <cell r="BJ331">
            <v>1.5</v>
          </cell>
          <cell r="BL331">
            <v>0</v>
          </cell>
          <cell r="BM331">
            <v>0</v>
          </cell>
          <cell r="BN331">
            <v>0</v>
          </cell>
          <cell r="BO331">
            <v>0</v>
          </cell>
          <cell r="BP331">
            <v>1.5</v>
          </cell>
          <cell r="BQ331">
            <v>3</v>
          </cell>
          <cell r="BR331">
            <v>0</v>
          </cell>
          <cell r="BS331">
            <v>3</v>
          </cell>
          <cell r="BT331">
            <v>0</v>
          </cell>
          <cell r="BU331">
            <v>0</v>
          </cell>
          <cell r="BV331">
            <v>0</v>
          </cell>
          <cell r="BW331">
            <v>3</v>
          </cell>
          <cell r="BX331">
            <v>4</v>
          </cell>
          <cell r="BY331">
            <v>4</v>
          </cell>
          <cell r="BZ331">
            <v>4</v>
          </cell>
          <cell r="CA331">
            <v>4</v>
          </cell>
          <cell r="CB331">
            <v>4</v>
          </cell>
          <cell r="CC331">
            <v>0</v>
          </cell>
          <cell r="CD331">
            <v>3</v>
          </cell>
          <cell r="CE331">
            <v>3</v>
          </cell>
          <cell r="CF331">
            <v>3</v>
          </cell>
          <cell r="CG331">
            <v>3</v>
          </cell>
          <cell r="CH331">
            <v>1.5</v>
          </cell>
          <cell r="CI331">
            <v>1.5</v>
          </cell>
          <cell r="CJ331">
            <v>8</v>
          </cell>
          <cell r="CK331">
            <v>1.5</v>
          </cell>
          <cell r="CL331">
            <v>1.5</v>
          </cell>
          <cell r="CM331">
            <v>1.5</v>
          </cell>
          <cell r="CR331">
            <v>0</v>
          </cell>
          <cell r="CS331">
            <v>0</v>
          </cell>
          <cell r="CT331">
            <v>50</v>
          </cell>
          <cell r="CU331">
            <v>8</v>
          </cell>
          <cell r="CV331">
            <v>0</v>
          </cell>
          <cell r="CZ331">
            <v>58</v>
          </cell>
        </row>
        <row r="332">
          <cell r="C332" t="str">
            <v>02729</v>
          </cell>
          <cell r="D332" t="str">
            <v>Lê Chí Đại</v>
          </cell>
          <cell r="E332" t="str">
            <v>Production</v>
          </cell>
          <cell r="F332" t="str">
            <v>Die Cut</v>
          </cell>
          <cell r="G332" t="str">
            <v>Worker</v>
          </cell>
          <cell r="H332" t="str">
            <v>22/01/2021</v>
          </cell>
          <cell r="I332" t="str">
            <v>Đ</v>
          </cell>
          <cell r="J332" t="str">
            <v>Đ</v>
          </cell>
          <cell r="K332" t="str">
            <v>Đ</v>
          </cell>
          <cell r="L332" t="str">
            <v>CN</v>
          </cell>
          <cell r="M332">
            <v>8</v>
          </cell>
          <cell r="N332">
            <v>8</v>
          </cell>
          <cell r="O332">
            <v>8</v>
          </cell>
          <cell r="P332">
            <v>8</v>
          </cell>
          <cell r="Q332">
            <v>8</v>
          </cell>
          <cell r="R332">
            <v>8</v>
          </cell>
          <cell r="S332" t="str">
            <v>CN</v>
          </cell>
          <cell r="T332">
            <v>8</v>
          </cell>
          <cell r="U332">
            <v>8</v>
          </cell>
          <cell r="V332">
            <v>8</v>
          </cell>
          <cell r="W332">
            <v>8</v>
          </cell>
          <cell r="X332">
            <v>8</v>
          </cell>
          <cell r="Y332">
            <v>8</v>
          </cell>
          <cell r="Z332" t="str">
            <v>CN</v>
          </cell>
          <cell r="AA332">
            <v>8</v>
          </cell>
          <cell r="AB332">
            <v>8</v>
          </cell>
          <cell r="AC332">
            <v>8</v>
          </cell>
          <cell r="AD332">
            <v>8</v>
          </cell>
          <cell r="AE332">
            <v>8</v>
          </cell>
          <cell r="AF332">
            <v>8</v>
          </cell>
          <cell r="AG332" t="str">
            <v>CN</v>
          </cell>
          <cell r="AH332" t="str">
            <v>Đ</v>
          </cell>
          <cell r="AI332" t="str">
            <v>Đ</v>
          </cell>
          <cell r="AJ332" t="str">
            <v>Đ</v>
          </cell>
          <cell r="AN332">
            <v>48</v>
          </cell>
          <cell r="AO332">
            <v>144</v>
          </cell>
          <cell r="AP332">
            <v>0</v>
          </cell>
          <cell r="AQ332">
            <v>0</v>
          </cell>
          <cell r="AR332">
            <v>0</v>
          </cell>
          <cell r="AS332">
            <v>0</v>
          </cell>
          <cell r="AT332">
            <v>0</v>
          </cell>
          <cell r="AU332">
            <v>0</v>
          </cell>
          <cell r="AV332">
            <v>0</v>
          </cell>
          <cell r="AW332">
            <v>0</v>
          </cell>
          <cell r="AX332">
            <v>0</v>
          </cell>
          <cell r="AY332">
            <v>0</v>
          </cell>
          <cell r="AZ332">
            <v>0</v>
          </cell>
          <cell r="BA332">
            <v>0</v>
          </cell>
          <cell r="BB332">
            <v>0</v>
          </cell>
          <cell r="BC332">
            <v>0</v>
          </cell>
          <cell r="BD332">
            <v>0</v>
          </cell>
          <cell r="BE332">
            <v>0</v>
          </cell>
          <cell r="BF332">
            <v>0</v>
          </cell>
          <cell r="BG332">
            <v>192</v>
          </cell>
          <cell r="BH332">
            <v>0</v>
          </cell>
          <cell r="BI332">
            <v>0</v>
          </cell>
          <cell r="BJ332">
            <v>3</v>
          </cell>
          <cell r="BL332">
            <v>0</v>
          </cell>
          <cell r="BM332">
            <v>0</v>
          </cell>
          <cell r="BN332">
            <v>0</v>
          </cell>
          <cell r="BO332">
            <v>0</v>
          </cell>
          <cell r="BP332">
            <v>1.5</v>
          </cell>
          <cell r="BQ332">
            <v>3</v>
          </cell>
          <cell r="BR332">
            <v>0</v>
          </cell>
          <cell r="BS332">
            <v>3</v>
          </cell>
          <cell r="BT332">
            <v>3</v>
          </cell>
          <cell r="BU332">
            <v>0</v>
          </cell>
          <cell r="BV332">
            <v>0</v>
          </cell>
          <cell r="BW332">
            <v>0</v>
          </cell>
          <cell r="BX332">
            <v>0</v>
          </cell>
          <cell r="BY332">
            <v>4</v>
          </cell>
          <cell r="BZ332">
            <v>4</v>
          </cell>
          <cell r="CA332">
            <v>4</v>
          </cell>
          <cell r="CB332">
            <v>4</v>
          </cell>
          <cell r="CC332">
            <v>0</v>
          </cell>
          <cell r="CD332">
            <v>4</v>
          </cell>
          <cell r="CE332">
            <v>4</v>
          </cell>
          <cell r="CF332">
            <v>4</v>
          </cell>
          <cell r="CG332">
            <v>4</v>
          </cell>
          <cell r="CH332">
            <v>0</v>
          </cell>
          <cell r="CI332">
            <v>0</v>
          </cell>
          <cell r="CJ332">
            <v>6</v>
          </cell>
          <cell r="CK332">
            <v>1.5</v>
          </cell>
          <cell r="CL332">
            <v>1.5</v>
          </cell>
          <cell r="CM332">
            <v>1.5</v>
          </cell>
          <cell r="CR332">
            <v>0</v>
          </cell>
          <cell r="CS332">
            <v>0</v>
          </cell>
          <cell r="CT332">
            <v>47</v>
          </cell>
          <cell r="CU332">
            <v>6</v>
          </cell>
          <cell r="CV332">
            <v>0</v>
          </cell>
          <cell r="CZ332">
            <v>53</v>
          </cell>
        </row>
        <row r="333">
          <cell r="C333" t="str">
            <v>02737</v>
          </cell>
          <cell r="D333" t="str">
            <v>Võ Thị Thu Hằng</v>
          </cell>
          <cell r="E333" t="str">
            <v>Foaming</v>
          </cell>
          <cell r="F333" t="str">
            <v>FOAMING Splitting</v>
          </cell>
          <cell r="G333" t="str">
            <v>Worker</v>
          </cell>
          <cell r="H333" t="str">
            <v>22/02/2021</v>
          </cell>
          <cell r="I333">
            <v>8</v>
          </cell>
          <cell r="J333">
            <v>8</v>
          </cell>
          <cell r="K333">
            <v>8</v>
          </cell>
          <cell r="L333" t="str">
            <v>CN</v>
          </cell>
          <cell r="M333">
            <v>8</v>
          </cell>
          <cell r="N333">
            <v>8</v>
          </cell>
          <cell r="O333">
            <v>8</v>
          </cell>
          <cell r="P333">
            <v>8</v>
          </cell>
          <cell r="Q333">
            <v>8</v>
          </cell>
          <cell r="R333">
            <v>8</v>
          </cell>
          <cell r="S333" t="str">
            <v>CN</v>
          </cell>
          <cell r="T333">
            <v>8</v>
          </cell>
          <cell r="U333">
            <v>8</v>
          </cell>
          <cell r="V333">
            <v>8</v>
          </cell>
          <cell r="W333">
            <v>8</v>
          </cell>
          <cell r="X333">
            <v>8</v>
          </cell>
          <cell r="Y333">
            <v>8</v>
          </cell>
          <cell r="Z333" t="str">
            <v>CN</v>
          </cell>
          <cell r="AA333">
            <v>8</v>
          </cell>
          <cell r="AB333">
            <v>8</v>
          </cell>
          <cell r="AC333">
            <v>8</v>
          </cell>
          <cell r="AD333">
            <v>8</v>
          </cell>
          <cell r="AE333">
            <v>8</v>
          </cell>
          <cell r="AF333">
            <v>8</v>
          </cell>
          <cell r="AG333" t="str">
            <v>CN</v>
          </cell>
          <cell r="AH333">
            <v>8</v>
          </cell>
          <cell r="AI333">
            <v>8</v>
          </cell>
          <cell r="AJ333">
            <v>8</v>
          </cell>
          <cell r="AN333">
            <v>0</v>
          </cell>
          <cell r="AO333">
            <v>192</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192</v>
          </cell>
          <cell r="BH333">
            <v>0</v>
          </cell>
          <cell r="BI333">
            <v>0</v>
          </cell>
          <cell r="BJ333">
            <v>1.5</v>
          </cell>
          <cell r="BL333">
            <v>4</v>
          </cell>
          <cell r="BM333">
            <v>4</v>
          </cell>
          <cell r="BN333">
            <v>4</v>
          </cell>
          <cell r="BO333">
            <v>12</v>
          </cell>
          <cell r="BP333">
            <v>0</v>
          </cell>
          <cell r="BQ333">
            <v>4</v>
          </cell>
          <cell r="BR333">
            <v>4</v>
          </cell>
          <cell r="BS333">
            <v>4</v>
          </cell>
          <cell r="BT333">
            <v>4</v>
          </cell>
          <cell r="BU333">
            <v>4</v>
          </cell>
          <cell r="BV333">
            <v>12</v>
          </cell>
          <cell r="BW333">
            <v>4</v>
          </cell>
          <cell r="BX333">
            <v>4</v>
          </cell>
          <cell r="BY333">
            <v>4</v>
          </cell>
          <cell r="BZ333">
            <v>4</v>
          </cell>
          <cell r="CA333">
            <v>4</v>
          </cell>
          <cell r="CB333">
            <v>4</v>
          </cell>
          <cell r="CC333">
            <v>0</v>
          </cell>
          <cell r="CD333">
            <v>4</v>
          </cell>
          <cell r="CE333">
            <v>4</v>
          </cell>
          <cell r="CF333">
            <v>4</v>
          </cell>
          <cell r="CG333">
            <v>4</v>
          </cell>
          <cell r="CH333">
            <v>4</v>
          </cell>
          <cell r="CI333">
            <v>4</v>
          </cell>
          <cell r="CJ333">
            <v>12</v>
          </cell>
          <cell r="CK333">
            <v>4</v>
          </cell>
          <cell r="CL333">
            <v>4</v>
          </cell>
          <cell r="CM333">
            <v>4</v>
          </cell>
          <cell r="CR333">
            <v>0</v>
          </cell>
          <cell r="CS333">
            <v>0</v>
          </cell>
          <cell r="CT333">
            <v>92</v>
          </cell>
          <cell r="CU333">
            <v>36</v>
          </cell>
          <cell r="CV333">
            <v>0</v>
          </cell>
          <cell r="CZ333">
            <v>128</v>
          </cell>
        </row>
        <row r="334">
          <cell r="C334" t="str">
            <v>02739</v>
          </cell>
          <cell r="D334" t="str">
            <v>Trương Minh Hài</v>
          </cell>
          <cell r="E334" t="str">
            <v>Lab</v>
          </cell>
          <cell r="F334" t="str">
            <v>Lab</v>
          </cell>
          <cell r="G334" t="str">
            <v>Worker</v>
          </cell>
          <cell r="H334" t="str">
            <v>22/02/2021</v>
          </cell>
          <cell r="I334" t="str">
            <v>CN</v>
          </cell>
          <cell r="J334">
            <v>8</v>
          </cell>
          <cell r="K334">
            <v>8</v>
          </cell>
          <cell r="L334">
            <v>8</v>
          </cell>
          <cell r="M334">
            <v>8</v>
          </cell>
          <cell r="N334">
            <v>8</v>
          </cell>
          <cell r="O334">
            <v>8</v>
          </cell>
          <cell r="P334" t="str">
            <v>CN</v>
          </cell>
          <cell r="Q334">
            <v>8</v>
          </cell>
          <cell r="R334">
            <v>8</v>
          </cell>
          <cell r="S334">
            <v>8</v>
          </cell>
          <cell r="T334">
            <v>8</v>
          </cell>
          <cell r="U334">
            <v>8</v>
          </cell>
          <cell r="V334">
            <v>8</v>
          </cell>
          <cell r="W334" t="str">
            <v>CN</v>
          </cell>
          <cell r="X334">
            <v>8</v>
          </cell>
          <cell r="Y334">
            <v>8</v>
          </cell>
          <cell r="Z334">
            <v>8</v>
          </cell>
          <cell r="AA334">
            <v>8</v>
          </cell>
          <cell r="AB334">
            <v>8</v>
          </cell>
          <cell r="AC334">
            <v>8</v>
          </cell>
          <cell r="AD334" t="str">
            <v>CN</v>
          </cell>
          <cell r="AE334">
            <v>8</v>
          </cell>
          <cell r="AF334">
            <v>8</v>
          </cell>
          <cell r="AG334">
            <v>8</v>
          </cell>
          <cell r="AH334" t="str">
            <v>AL8</v>
          </cell>
          <cell r="AI334">
            <v>8</v>
          </cell>
          <cell r="AJ334">
            <v>8</v>
          </cell>
          <cell r="AN334">
            <v>0</v>
          </cell>
          <cell r="AO334">
            <v>184</v>
          </cell>
          <cell r="AP334">
            <v>0</v>
          </cell>
          <cell r="AQ334">
            <v>0</v>
          </cell>
          <cell r="AR334">
            <v>0</v>
          </cell>
          <cell r="AS334">
            <v>0</v>
          </cell>
          <cell r="AT334">
            <v>0</v>
          </cell>
          <cell r="AU334">
            <v>0</v>
          </cell>
          <cell r="AV334">
            <v>0</v>
          </cell>
          <cell r="AW334">
            <v>0</v>
          </cell>
          <cell r="AX334">
            <v>0</v>
          </cell>
          <cell r="AY334">
            <v>0</v>
          </cell>
          <cell r="AZ334">
            <v>0</v>
          </cell>
          <cell r="BA334">
            <v>8</v>
          </cell>
          <cell r="BB334">
            <v>0</v>
          </cell>
          <cell r="BC334">
            <v>0</v>
          </cell>
          <cell r="BD334">
            <v>0</v>
          </cell>
          <cell r="BE334">
            <v>0</v>
          </cell>
          <cell r="BF334">
            <v>0</v>
          </cell>
          <cell r="BG334">
            <v>192</v>
          </cell>
          <cell r="BH334">
            <v>1</v>
          </cell>
          <cell r="BI334">
            <v>1</v>
          </cell>
          <cell r="BJ334">
            <v>1.5</v>
          </cell>
          <cell r="BL334">
            <v>0</v>
          </cell>
          <cell r="BM334">
            <v>0</v>
          </cell>
          <cell r="BN334">
            <v>0</v>
          </cell>
          <cell r="BO334">
            <v>4</v>
          </cell>
          <cell r="BP334">
            <v>0</v>
          </cell>
          <cell r="BQ334">
            <v>0</v>
          </cell>
          <cell r="BR334">
            <v>4</v>
          </cell>
          <cell r="BS334">
            <v>0</v>
          </cell>
          <cell r="BT334">
            <v>0</v>
          </cell>
          <cell r="BU334">
            <v>0</v>
          </cell>
          <cell r="BV334">
            <v>0</v>
          </cell>
          <cell r="BW334">
            <v>0</v>
          </cell>
          <cell r="BX334">
            <v>0</v>
          </cell>
          <cell r="BY334">
            <v>4</v>
          </cell>
          <cell r="BZ334">
            <v>0</v>
          </cell>
          <cell r="CA334">
            <v>0</v>
          </cell>
          <cell r="CB334">
            <v>2</v>
          </cell>
          <cell r="CC334">
            <v>2</v>
          </cell>
          <cell r="CD334">
            <v>0</v>
          </cell>
          <cell r="CE334">
            <v>0</v>
          </cell>
          <cell r="CF334">
            <v>4</v>
          </cell>
          <cell r="CG334">
            <v>0</v>
          </cell>
          <cell r="CH334">
            <v>0</v>
          </cell>
          <cell r="CI334">
            <v>0</v>
          </cell>
          <cell r="CJ334">
            <v>0</v>
          </cell>
          <cell r="CK334">
            <v>0</v>
          </cell>
          <cell r="CL334">
            <v>2</v>
          </cell>
          <cell r="CM334">
            <v>4</v>
          </cell>
          <cell r="CR334">
            <v>0</v>
          </cell>
          <cell r="CS334">
            <v>0</v>
          </cell>
          <cell r="CT334">
            <v>26</v>
          </cell>
          <cell r="CU334">
            <v>0</v>
          </cell>
          <cell r="CV334">
            <v>0</v>
          </cell>
          <cell r="CZ334">
            <v>26</v>
          </cell>
        </row>
        <row r="335">
          <cell r="C335" t="str">
            <v>02741</v>
          </cell>
          <cell r="D335" t="str">
            <v>Thiều Thị Tú Uyên</v>
          </cell>
          <cell r="E335" t="str">
            <v>QC</v>
          </cell>
          <cell r="F335" t="str">
            <v>QC</v>
          </cell>
          <cell r="G335" t="str">
            <v>Worker</v>
          </cell>
          <cell r="H335" t="str">
            <v>22/02/2021</v>
          </cell>
          <cell r="I335">
            <v>8</v>
          </cell>
          <cell r="J335">
            <v>8</v>
          </cell>
          <cell r="K335">
            <v>8</v>
          </cell>
          <cell r="L335" t="str">
            <v>CN</v>
          </cell>
          <cell r="M335">
            <v>8</v>
          </cell>
          <cell r="N335">
            <v>8</v>
          </cell>
          <cell r="O335">
            <v>8</v>
          </cell>
          <cell r="P335">
            <v>8</v>
          </cell>
          <cell r="Q335">
            <v>8</v>
          </cell>
          <cell r="R335">
            <v>8</v>
          </cell>
          <cell r="S335" t="str">
            <v>CN</v>
          </cell>
          <cell r="T335" t="str">
            <v>AL4</v>
          </cell>
          <cell r="U335">
            <v>8</v>
          </cell>
          <cell r="V335">
            <v>8</v>
          </cell>
          <cell r="W335">
            <v>8</v>
          </cell>
          <cell r="X335">
            <v>8</v>
          </cell>
          <cell r="Y335">
            <v>8</v>
          </cell>
          <cell r="Z335" t="str">
            <v>CN</v>
          </cell>
          <cell r="AA335">
            <v>8</v>
          </cell>
          <cell r="AB335">
            <v>8</v>
          </cell>
          <cell r="AC335">
            <v>8</v>
          </cell>
          <cell r="AD335">
            <v>8</v>
          </cell>
          <cell r="AE335">
            <v>8</v>
          </cell>
          <cell r="AF335" t="str">
            <v>AL8</v>
          </cell>
          <cell r="AG335" t="str">
            <v>CN</v>
          </cell>
          <cell r="AH335" t="str">
            <v>AL8</v>
          </cell>
          <cell r="AI335" t="str">
            <v>AL8</v>
          </cell>
          <cell r="AJ335" t="str">
            <v>AL8</v>
          </cell>
          <cell r="AN335">
            <v>0</v>
          </cell>
          <cell r="AO335">
            <v>156</v>
          </cell>
          <cell r="AP335">
            <v>4</v>
          </cell>
          <cell r="AQ335">
            <v>0</v>
          </cell>
          <cell r="AR335">
            <v>0</v>
          </cell>
          <cell r="AS335">
            <v>0</v>
          </cell>
          <cell r="AT335">
            <v>0</v>
          </cell>
          <cell r="AU335">
            <v>0</v>
          </cell>
          <cell r="AV335">
            <v>0</v>
          </cell>
          <cell r="AW335">
            <v>0</v>
          </cell>
          <cell r="AX335">
            <v>0</v>
          </cell>
          <cell r="AY335">
            <v>0</v>
          </cell>
          <cell r="AZ335">
            <v>0</v>
          </cell>
          <cell r="BA335">
            <v>36</v>
          </cell>
          <cell r="BB335">
            <v>0</v>
          </cell>
          <cell r="BC335">
            <v>0</v>
          </cell>
          <cell r="BD335">
            <v>0</v>
          </cell>
          <cell r="BE335">
            <v>0</v>
          </cell>
          <cell r="BF335">
            <v>0</v>
          </cell>
          <cell r="BG335">
            <v>192</v>
          </cell>
          <cell r="BH335">
            <v>4.5</v>
          </cell>
          <cell r="BI335">
            <v>4.5</v>
          </cell>
          <cell r="BJ335">
            <v>-1</v>
          </cell>
          <cell r="BL335">
            <v>2</v>
          </cell>
          <cell r="BM335">
            <v>2</v>
          </cell>
          <cell r="BN335">
            <v>2</v>
          </cell>
          <cell r="BO335">
            <v>0</v>
          </cell>
          <cell r="BP335">
            <v>3</v>
          </cell>
          <cell r="BQ335">
            <v>2</v>
          </cell>
          <cell r="BR335">
            <v>2</v>
          </cell>
          <cell r="BS335">
            <v>2</v>
          </cell>
          <cell r="BT335">
            <v>2.5</v>
          </cell>
          <cell r="BU335">
            <v>0</v>
          </cell>
          <cell r="BV335">
            <v>0</v>
          </cell>
          <cell r="BW335">
            <v>3</v>
          </cell>
          <cell r="BX335">
            <v>2</v>
          </cell>
          <cell r="BY335">
            <v>1</v>
          </cell>
          <cell r="BZ335">
            <v>2.5</v>
          </cell>
          <cell r="CA335">
            <v>1.5</v>
          </cell>
          <cell r="CB335">
            <v>2</v>
          </cell>
          <cell r="CC335">
            <v>0</v>
          </cell>
          <cell r="CD335">
            <v>2</v>
          </cell>
          <cell r="CE335">
            <v>2.5</v>
          </cell>
          <cell r="CF335">
            <v>2</v>
          </cell>
          <cell r="CG335">
            <v>2</v>
          </cell>
          <cell r="CH335">
            <v>2</v>
          </cell>
          <cell r="CI335">
            <v>0</v>
          </cell>
          <cell r="CJ335">
            <v>0</v>
          </cell>
          <cell r="CK335">
            <v>0</v>
          </cell>
          <cell r="CL335">
            <v>0</v>
          </cell>
          <cell r="CM335">
            <v>0</v>
          </cell>
          <cell r="CR335">
            <v>0</v>
          </cell>
          <cell r="CS335">
            <v>0</v>
          </cell>
          <cell r="CT335">
            <v>40</v>
          </cell>
          <cell r="CU335">
            <v>0</v>
          </cell>
          <cell r="CV335">
            <v>0</v>
          </cell>
          <cell r="CZ335">
            <v>40</v>
          </cell>
        </row>
        <row r="336">
          <cell r="C336" t="str">
            <v>02749</v>
          </cell>
          <cell r="D336" t="str">
            <v>Trần Thị Thu Thảo</v>
          </cell>
          <cell r="E336" t="str">
            <v>Production</v>
          </cell>
          <cell r="F336" t="str">
            <v>Logo</v>
          </cell>
          <cell r="G336" t="str">
            <v>Worker</v>
          </cell>
          <cell r="H336" t="str">
            <v>22/02/2021</v>
          </cell>
          <cell r="I336" t="str">
            <v>Đ</v>
          </cell>
          <cell r="J336" t="str">
            <v>Đ</v>
          </cell>
          <cell r="K336" t="str">
            <v>Đ</v>
          </cell>
          <cell r="L336" t="str">
            <v>CN</v>
          </cell>
          <cell r="M336">
            <v>8</v>
          </cell>
          <cell r="N336">
            <v>8</v>
          </cell>
          <cell r="O336">
            <v>8</v>
          </cell>
          <cell r="P336">
            <v>8</v>
          </cell>
          <cell r="Q336">
            <v>8</v>
          </cell>
          <cell r="R336">
            <v>8</v>
          </cell>
          <cell r="S336" t="str">
            <v>CN</v>
          </cell>
          <cell r="T336" t="str">
            <v>Đ</v>
          </cell>
          <cell r="U336" t="str">
            <v>Đ</v>
          </cell>
          <cell r="V336" t="str">
            <v>Đ</v>
          </cell>
          <cell r="W336" t="str">
            <v>Đ</v>
          </cell>
          <cell r="X336" t="str">
            <v>Đ</v>
          </cell>
          <cell r="Y336" t="str">
            <v>Đ</v>
          </cell>
          <cell r="Z336" t="str">
            <v>CN</v>
          </cell>
          <cell r="AA336">
            <v>8</v>
          </cell>
          <cell r="AB336">
            <v>8</v>
          </cell>
          <cell r="AC336">
            <v>8</v>
          </cell>
          <cell r="AD336">
            <v>8</v>
          </cell>
          <cell r="AE336">
            <v>8</v>
          </cell>
          <cell r="AF336">
            <v>8</v>
          </cell>
          <cell r="AG336" t="str">
            <v>CN</v>
          </cell>
          <cell r="AH336" t="str">
            <v>Đ</v>
          </cell>
          <cell r="AI336" t="str">
            <v>Đ</v>
          </cell>
          <cell r="AJ336" t="str">
            <v>Đ</v>
          </cell>
          <cell r="AN336">
            <v>96</v>
          </cell>
          <cell r="AO336">
            <v>96</v>
          </cell>
          <cell r="AP336">
            <v>0</v>
          </cell>
          <cell r="AQ336">
            <v>0</v>
          </cell>
          <cell r="AR336">
            <v>0</v>
          </cell>
          <cell r="AS336">
            <v>0</v>
          </cell>
          <cell r="AT336">
            <v>0</v>
          </cell>
          <cell r="AU336">
            <v>0</v>
          </cell>
          <cell r="AV336">
            <v>0</v>
          </cell>
          <cell r="AW336">
            <v>0</v>
          </cell>
          <cell r="AX336">
            <v>0</v>
          </cell>
          <cell r="AY336">
            <v>0</v>
          </cell>
          <cell r="AZ336">
            <v>0</v>
          </cell>
          <cell r="BA336">
            <v>0</v>
          </cell>
          <cell r="BB336">
            <v>0</v>
          </cell>
          <cell r="BC336">
            <v>0</v>
          </cell>
          <cell r="BD336">
            <v>0</v>
          </cell>
          <cell r="BE336">
            <v>0</v>
          </cell>
          <cell r="BF336">
            <v>0</v>
          </cell>
          <cell r="BG336">
            <v>192</v>
          </cell>
          <cell r="BH336">
            <v>0</v>
          </cell>
          <cell r="BI336">
            <v>0</v>
          </cell>
          <cell r="BJ336">
            <v>4.5</v>
          </cell>
          <cell r="BL336">
            <v>0</v>
          </cell>
          <cell r="BM336">
            <v>0</v>
          </cell>
          <cell r="BN336">
            <v>0</v>
          </cell>
          <cell r="BO336">
            <v>0</v>
          </cell>
          <cell r="BP336">
            <v>1.5</v>
          </cell>
          <cell r="BQ336">
            <v>3</v>
          </cell>
          <cell r="BR336">
            <v>0</v>
          </cell>
          <cell r="BS336">
            <v>3</v>
          </cell>
          <cell r="BT336">
            <v>0</v>
          </cell>
          <cell r="BU336">
            <v>0</v>
          </cell>
          <cell r="BV336">
            <v>0</v>
          </cell>
          <cell r="BW336">
            <v>3</v>
          </cell>
          <cell r="BX336">
            <v>4</v>
          </cell>
          <cell r="BY336">
            <v>4</v>
          </cell>
          <cell r="BZ336">
            <v>4</v>
          </cell>
          <cell r="CA336">
            <v>4</v>
          </cell>
          <cell r="CB336">
            <v>4</v>
          </cell>
          <cell r="CC336">
            <v>0</v>
          </cell>
          <cell r="CD336">
            <v>3</v>
          </cell>
          <cell r="CE336">
            <v>3</v>
          </cell>
          <cell r="CF336">
            <v>3</v>
          </cell>
          <cell r="CG336">
            <v>3</v>
          </cell>
          <cell r="CH336">
            <v>1.5</v>
          </cell>
          <cell r="CI336">
            <v>1.5</v>
          </cell>
          <cell r="CJ336">
            <v>8</v>
          </cell>
          <cell r="CK336">
            <v>1.5</v>
          </cell>
          <cell r="CL336">
            <v>1.5</v>
          </cell>
          <cell r="CM336">
            <v>1.5</v>
          </cell>
          <cell r="CR336">
            <v>0</v>
          </cell>
          <cell r="CS336">
            <v>0</v>
          </cell>
          <cell r="CT336">
            <v>50</v>
          </cell>
          <cell r="CU336">
            <v>8</v>
          </cell>
          <cell r="CV336">
            <v>0</v>
          </cell>
          <cell r="CZ336">
            <v>58</v>
          </cell>
        </row>
        <row r="337">
          <cell r="C337" t="str">
            <v>02755</v>
          </cell>
          <cell r="D337" t="str">
            <v>Huỳnh Thiện Nhân</v>
          </cell>
          <cell r="E337" t="str">
            <v>Production office</v>
          </cell>
          <cell r="F337" t="str">
            <v>Production office</v>
          </cell>
          <cell r="G337" t="str">
            <v>Senior Staff</v>
          </cell>
          <cell r="H337" t="str">
            <v>23/02/2021</v>
          </cell>
          <cell r="I337" t="str">
            <v>AL8</v>
          </cell>
          <cell r="J337">
            <v>8</v>
          </cell>
          <cell r="K337" t="str">
            <v>PO</v>
          </cell>
          <cell r="L337" t="str">
            <v>CN</v>
          </cell>
          <cell r="M337">
            <v>8</v>
          </cell>
          <cell r="N337">
            <v>8</v>
          </cell>
          <cell r="O337">
            <v>8</v>
          </cell>
          <cell r="P337">
            <v>8</v>
          </cell>
          <cell r="Q337" t="str">
            <v>PO</v>
          </cell>
          <cell r="R337" t="str">
            <v>PO</v>
          </cell>
          <cell r="S337" t="str">
            <v>CN</v>
          </cell>
          <cell r="T337">
            <v>8</v>
          </cell>
          <cell r="U337">
            <v>8</v>
          </cell>
          <cell r="V337">
            <v>8</v>
          </cell>
          <cell r="W337">
            <v>8</v>
          </cell>
          <cell r="X337">
            <v>8</v>
          </cell>
          <cell r="Y337" t="str">
            <v>PO</v>
          </cell>
          <cell r="Z337" t="str">
            <v>CN</v>
          </cell>
          <cell r="AA337">
            <v>8</v>
          </cell>
          <cell r="AB337">
            <v>8</v>
          </cell>
          <cell r="AC337">
            <v>8</v>
          </cell>
          <cell r="AD337">
            <v>8</v>
          </cell>
          <cell r="AE337">
            <v>8</v>
          </cell>
          <cell r="AF337" t="str">
            <v>PO</v>
          </cell>
          <cell r="AG337" t="str">
            <v>CN</v>
          </cell>
          <cell r="AH337">
            <v>8</v>
          </cell>
          <cell r="AI337">
            <v>8</v>
          </cell>
          <cell r="AJ337">
            <v>8</v>
          </cell>
          <cell r="AN337">
            <v>0</v>
          </cell>
          <cell r="AO337">
            <v>144</v>
          </cell>
          <cell r="AP337">
            <v>0</v>
          </cell>
          <cell r="AQ337">
            <v>0</v>
          </cell>
          <cell r="AR337">
            <v>0</v>
          </cell>
          <cell r="AS337">
            <v>0</v>
          </cell>
          <cell r="AT337">
            <v>0</v>
          </cell>
          <cell r="AU337">
            <v>0</v>
          </cell>
          <cell r="AV337">
            <v>40</v>
          </cell>
          <cell r="AW337">
            <v>0</v>
          </cell>
          <cell r="AX337">
            <v>0</v>
          </cell>
          <cell r="AY337">
            <v>0</v>
          </cell>
          <cell r="AZ337">
            <v>0</v>
          </cell>
          <cell r="BA337">
            <v>8</v>
          </cell>
          <cell r="BB337">
            <v>0</v>
          </cell>
          <cell r="BC337">
            <v>0</v>
          </cell>
          <cell r="BD337">
            <v>0</v>
          </cell>
          <cell r="BE337">
            <v>0</v>
          </cell>
          <cell r="BF337">
            <v>0</v>
          </cell>
          <cell r="BG337">
            <v>192</v>
          </cell>
          <cell r="BH337">
            <v>1</v>
          </cell>
          <cell r="BI337">
            <v>1</v>
          </cell>
          <cell r="BJ337">
            <v>7.5</v>
          </cell>
          <cell r="BL337">
            <v>0</v>
          </cell>
          <cell r="BM337">
            <v>0</v>
          </cell>
          <cell r="BN337">
            <v>0</v>
          </cell>
          <cell r="BO337">
            <v>0</v>
          </cell>
          <cell r="BP337">
            <v>2.5</v>
          </cell>
          <cell r="BQ337">
            <v>0</v>
          </cell>
          <cell r="BR337">
            <v>0</v>
          </cell>
          <cell r="BS337">
            <v>0</v>
          </cell>
          <cell r="BT337">
            <v>0</v>
          </cell>
          <cell r="BU337">
            <v>0</v>
          </cell>
          <cell r="BV337">
            <v>0</v>
          </cell>
          <cell r="BW337">
            <v>1.5</v>
          </cell>
          <cell r="BX337">
            <v>0</v>
          </cell>
          <cell r="BY337">
            <v>0</v>
          </cell>
          <cell r="BZ337">
            <v>0</v>
          </cell>
          <cell r="CA337">
            <v>0</v>
          </cell>
          <cell r="CB337">
            <v>0</v>
          </cell>
          <cell r="CC337">
            <v>8</v>
          </cell>
          <cell r="CD337">
            <v>0</v>
          </cell>
          <cell r="CE337">
            <v>0.5</v>
          </cell>
          <cell r="CF337">
            <v>0</v>
          </cell>
          <cell r="CG337">
            <v>0</v>
          </cell>
          <cell r="CH337">
            <v>0</v>
          </cell>
          <cell r="CI337">
            <v>0</v>
          </cell>
          <cell r="CJ337">
            <v>0</v>
          </cell>
          <cell r="CK337">
            <v>1.5</v>
          </cell>
          <cell r="CL337">
            <v>0</v>
          </cell>
          <cell r="CM337">
            <v>0</v>
          </cell>
          <cell r="CR337">
            <v>0</v>
          </cell>
          <cell r="CS337">
            <v>0</v>
          </cell>
          <cell r="CT337">
            <v>6</v>
          </cell>
          <cell r="CU337">
            <v>8</v>
          </cell>
          <cell r="CV337">
            <v>0</v>
          </cell>
          <cell r="CZ337">
            <v>14</v>
          </cell>
        </row>
        <row r="338">
          <cell r="C338" t="str">
            <v>02766</v>
          </cell>
          <cell r="D338" t="str">
            <v>Nguyễn Quốc Trọng</v>
          </cell>
          <cell r="E338" t="str">
            <v>Production</v>
          </cell>
          <cell r="F338" t="str">
            <v>Prefitting</v>
          </cell>
          <cell r="G338" t="str">
            <v>Worker</v>
          </cell>
          <cell r="H338">
            <v>44252</v>
          </cell>
          <cell r="I338">
            <v>8</v>
          </cell>
          <cell r="J338" t="str">
            <v>AL8</v>
          </cell>
          <cell r="K338" t="str">
            <v>CN</v>
          </cell>
          <cell r="L338" t="str">
            <v>Đ</v>
          </cell>
          <cell r="M338" t="str">
            <v>Đ</v>
          </cell>
          <cell r="N338" t="str">
            <v>Đ</v>
          </cell>
          <cell r="O338" t="str">
            <v>Đ</v>
          </cell>
          <cell r="P338" t="str">
            <v>Đ</v>
          </cell>
          <cell r="Q338" t="str">
            <v>Đ</v>
          </cell>
          <cell r="R338" t="str">
            <v>CN</v>
          </cell>
          <cell r="S338">
            <v>8</v>
          </cell>
          <cell r="T338">
            <v>8</v>
          </cell>
          <cell r="U338">
            <v>8</v>
          </cell>
          <cell r="V338">
            <v>8</v>
          </cell>
          <cell r="W338">
            <v>8</v>
          </cell>
          <cell r="X338">
            <v>8</v>
          </cell>
          <cell r="Y338" t="str">
            <v>CN</v>
          </cell>
          <cell r="Z338" t="str">
            <v>Đ</v>
          </cell>
          <cell r="AA338" t="str">
            <v>Đ</v>
          </cell>
          <cell r="AB338" t="str">
            <v>Đ</v>
          </cell>
          <cell r="AC338" t="str">
            <v>Đ</v>
          </cell>
          <cell r="AD338" t="str">
            <v>Đ</v>
          </cell>
          <cell r="AE338" t="str">
            <v>Đ</v>
          </cell>
          <cell r="AF338" t="str">
            <v>CN</v>
          </cell>
          <cell r="AG338">
            <v>8</v>
          </cell>
          <cell r="AH338">
            <v>8</v>
          </cell>
          <cell r="AI338">
            <v>8</v>
          </cell>
          <cell r="AJ338">
            <v>8</v>
          </cell>
          <cell r="AN338">
            <v>96</v>
          </cell>
          <cell r="AO338">
            <v>88</v>
          </cell>
          <cell r="AP338">
            <v>0</v>
          </cell>
          <cell r="AQ338">
            <v>0</v>
          </cell>
          <cell r="AR338">
            <v>0</v>
          </cell>
          <cell r="AS338">
            <v>0</v>
          </cell>
          <cell r="AT338">
            <v>0</v>
          </cell>
          <cell r="AU338">
            <v>0</v>
          </cell>
          <cell r="AV338">
            <v>0</v>
          </cell>
          <cell r="AW338">
            <v>0</v>
          </cell>
          <cell r="AX338">
            <v>0</v>
          </cell>
          <cell r="AY338">
            <v>0</v>
          </cell>
          <cell r="AZ338">
            <v>0</v>
          </cell>
          <cell r="BA338">
            <v>8</v>
          </cell>
          <cell r="BB338">
            <v>0</v>
          </cell>
          <cell r="BC338">
            <v>0</v>
          </cell>
          <cell r="BD338">
            <v>0</v>
          </cell>
          <cell r="BE338">
            <v>0</v>
          </cell>
          <cell r="BF338">
            <v>0</v>
          </cell>
          <cell r="BG338">
            <v>192</v>
          </cell>
          <cell r="BH338">
            <v>1</v>
          </cell>
          <cell r="BI338">
            <v>1</v>
          </cell>
          <cell r="BJ338">
            <v>4</v>
          </cell>
          <cell r="BL338">
            <v>0</v>
          </cell>
          <cell r="BM338">
            <v>0</v>
          </cell>
          <cell r="BN338">
            <v>0</v>
          </cell>
          <cell r="BO338">
            <v>4</v>
          </cell>
          <cell r="BP338">
            <v>0</v>
          </cell>
          <cell r="BQ338">
            <v>0</v>
          </cell>
          <cell r="BR338">
            <v>0</v>
          </cell>
          <cell r="BS338">
            <v>0</v>
          </cell>
          <cell r="BT338">
            <v>4</v>
          </cell>
          <cell r="BU338">
            <v>0</v>
          </cell>
          <cell r="BV338">
            <v>4</v>
          </cell>
          <cell r="BW338">
            <v>0</v>
          </cell>
          <cell r="BX338">
            <v>0</v>
          </cell>
          <cell r="BY338">
            <v>0</v>
          </cell>
          <cell r="BZ338">
            <v>4</v>
          </cell>
          <cell r="CA338">
            <v>4</v>
          </cell>
          <cell r="CB338">
            <v>0</v>
          </cell>
          <cell r="CC338">
            <v>4</v>
          </cell>
          <cell r="CD338">
            <v>0</v>
          </cell>
          <cell r="CE338">
            <v>0</v>
          </cell>
          <cell r="CF338">
            <v>0</v>
          </cell>
          <cell r="CG338">
            <v>0</v>
          </cell>
          <cell r="CH338">
            <v>4</v>
          </cell>
          <cell r="CI338">
            <v>0</v>
          </cell>
          <cell r="CJ338">
            <v>4</v>
          </cell>
          <cell r="CK338">
            <v>0</v>
          </cell>
          <cell r="CL338">
            <v>0</v>
          </cell>
          <cell r="CM338">
            <v>0</v>
          </cell>
          <cell r="CR338">
            <v>0</v>
          </cell>
          <cell r="CS338">
            <v>0</v>
          </cell>
          <cell r="CT338">
            <v>32</v>
          </cell>
          <cell r="CU338">
            <v>0</v>
          </cell>
          <cell r="CV338">
            <v>0</v>
          </cell>
          <cell r="CZ338">
            <v>32</v>
          </cell>
        </row>
        <row r="339">
          <cell r="C339" t="str">
            <v>02771</v>
          </cell>
          <cell r="D339" t="str">
            <v>Phạm Văn Long</v>
          </cell>
          <cell r="E339" t="str">
            <v>Production</v>
          </cell>
          <cell r="F339" t="str">
            <v>Lamination</v>
          </cell>
          <cell r="G339" t="str">
            <v>Team Leader</v>
          </cell>
          <cell r="H339">
            <v>44252</v>
          </cell>
          <cell r="I339" t="str">
            <v>Đ</v>
          </cell>
          <cell r="J339" t="str">
            <v>Đ</v>
          </cell>
          <cell r="K339" t="str">
            <v>Đ</v>
          </cell>
          <cell r="L339" t="str">
            <v>CN</v>
          </cell>
          <cell r="M339">
            <v>8</v>
          </cell>
          <cell r="N339">
            <v>8</v>
          </cell>
          <cell r="O339" t="str">
            <v>AL4</v>
          </cell>
          <cell r="P339">
            <v>8</v>
          </cell>
          <cell r="Q339">
            <v>8</v>
          </cell>
          <cell r="R339" t="str">
            <v>AL4</v>
          </cell>
          <cell r="S339" t="str">
            <v>CN</v>
          </cell>
          <cell r="T339">
            <v>8</v>
          </cell>
          <cell r="U339">
            <v>8</v>
          </cell>
          <cell r="V339">
            <v>8</v>
          </cell>
          <cell r="W339">
            <v>8</v>
          </cell>
          <cell r="X339">
            <v>8</v>
          </cell>
          <cell r="Y339">
            <v>8</v>
          </cell>
          <cell r="Z339" t="str">
            <v>CN</v>
          </cell>
          <cell r="AA339">
            <v>8</v>
          </cell>
          <cell r="AB339">
            <v>8</v>
          </cell>
          <cell r="AC339">
            <v>8</v>
          </cell>
          <cell r="AD339">
            <v>8</v>
          </cell>
          <cell r="AE339">
            <v>8</v>
          </cell>
          <cell r="AF339" t="str">
            <v>CN</v>
          </cell>
          <cell r="AG339" t="str">
            <v>AL8</v>
          </cell>
          <cell r="AH339">
            <v>8</v>
          </cell>
          <cell r="AI339">
            <v>8</v>
          </cell>
          <cell r="AJ339">
            <v>8</v>
          </cell>
          <cell r="AN339">
            <v>24</v>
          </cell>
          <cell r="AO339">
            <v>152</v>
          </cell>
          <cell r="AP339">
            <v>8</v>
          </cell>
          <cell r="AQ339">
            <v>0</v>
          </cell>
          <cell r="AR339">
            <v>0</v>
          </cell>
          <cell r="AS339">
            <v>0</v>
          </cell>
          <cell r="AT339">
            <v>0</v>
          </cell>
          <cell r="AU339">
            <v>0</v>
          </cell>
          <cell r="AV339">
            <v>0</v>
          </cell>
          <cell r="AW339">
            <v>0</v>
          </cell>
          <cell r="AX339">
            <v>0</v>
          </cell>
          <cell r="AY339">
            <v>0</v>
          </cell>
          <cell r="AZ339">
            <v>0</v>
          </cell>
          <cell r="BA339">
            <v>16</v>
          </cell>
          <cell r="BB339">
            <v>0</v>
          </cell>
          <cell r="BC339">
            <v>0</v>
          </cell>
          <cell r="BD339">
            <v>0</v>
          </cell>
          <cell r="BE339">
            <v>0</v>
          </cell>
          <cell r="BF339">
            <v>0</v>
          </cell>
          <cell r="BG339">
            <v>192</v>
          </cell>
          <cell r="BH339">
            <v>2</v>
          </cell>
          <cell r="BI339">
            <v>2</v>
          </cell>
          <cell r="BJ339">
            <v>2</v>
          </cell>
          <cell r="BL339">
            <v>0</v>
          </cell>
          <cell r="BM339">
            <v>0</v>
          </cell>
          <cell r="BN339">
            <v>4</v>
          </cell>
          <cell r="BO339">
            <v>0</v>
          </cell>
          <cell r="BP339">
            <v>0</v>
          </cell>
          <cell r="BQ339">
            <v>0</v>
          </cell>
          <cell r="BR339">
            <v>0</v>
          </cell>
          <cell r="BS339">
            <v>0</v>
          </cell>
          <cell r="BT339">
            <v>4</v>
          </cell>
          <cell r="BU339">
            <v>4</v>
          </cell>
          <cell r="BV339">
            <v>0</v>
          </cell>
          <cell r="BW339">
            <v>0</v>
          </cell>
          <cell r="BX339">
            <v>3</v>
          </cell>
          <cell r="BY339">
            <v>0</v>
          </cell>
          <cell r="BZ339">
            <v>3</v>
          </cell>
          <cell r="CA339">
            <v>3</v>
          </cell>
          <cell r="CB339">
            <v>0</v>
          </cell>
          <cell r="CC339">
            <v>0</v>
          </cell>
          <cell r="CD339">
            <v>0</v>
          </cell>
          <cell r="CE339">
            <v>3</v>
          </cell>
          <cell r="CF339">
            <v>4</v>
          </cell>
          <cell r="CG339">
            <v>3</v>
          </cell>
          <cell r="CH339">
            <v>4</v>
          </cell>
          <cell r="CI339">
            <v>0</v>
          </cell>
          <cell r="CJ339">
            <v>0</v>
          </cell>
          <cell r="CK339">
            <v>0</v>
          </cell>
          <cell r="CL339">
            <v>0</v>
          </cell>
          <cell r="CM339">
            <v>0</v>
          </cell>
          <cell r="CR339">
            <v>0</v>
          </cell>
          <cell r="CS339">
            <v>0</v>
          </cell>
          <cell r="CT339">
            <v>35</v>
          </cell>
          <cell r="CU339">
            <v>0</v>
          </cell>
          <cell r="CV339">
            <v>0</v>
          </cell>
          <cell r="CZ339">
            <v>35</v>
          </cell>
        </row>
        <row r="340">
          <cell r="C340" t="str">
            <v>02773</v>
          </cell>
          <cell r="D340" t="str">
            <v>Nguyễn Thị Kim Tỏa</v>
          </cell>
          <cell r="E340" t="str">
            <v>Production</v>
          </cell>
          <cell r="F340" t="str">
            <v>Logo</v>
          </cell>
          <cell r="G340" t="str">
            <v>Worker</v>
          </cell>
          <cell r="H340">
            <v>44252</v>
          </cell>
          <cell r="I340" t="str">
            <v>Đ</v>
          </cell>
          <cell r="J340" t="str">
            <v>Đ</v>
          </cell>
          <cell r="K340" t="str">
            <v>Đ</v>
          </cell>
          <cell r="L340" t="str">
            <v>CN</v>
          </cell>
          <cell r="M340">
            <v>8</v>
          </cell>
          <cell r="N340">
            <v>8</v>
          </cell>
          <cell r="O340">
            <v>8</v>
          </cell>
          <cell r="P340">
            <v>8</v>
          </cell>
          <cell r="Q340">
            <v>8</v>
          </cell>
          <cell r="R340">
            <v>8</v>
          </cell>
          <cell r="S340" t="str">
            <v>CN</v>
          </cell>
          <cell r="T340" t="str">
            <v>Đ</v>
          </cell>
          <cell r="U340" t="str">
            <v>Đ</v>
          </cell>
          <cell r="V340" t="str">
            <v>Đ</v>
          </cell>
          <cell r="W340" t="str">
            <v>Đ</v>
          </cell>
          <cell r="X340" t="str">
            <v>Đ</v>
          </cell>
          <cell r="Y340" t="str">
            <v>Đ</v>
          </cell>
          <cell r="Z340" t="str">
            <v>CN</v>
          </cell>
          <cell r="AA340">
            <v>8</v>
          </cell>
          <cell r="AB340">
            <v>8</v>
          </cell>
          <cell r="AC340">
            <v>8</v>
          </cell>
          <cell r="AD340">
            <v>8</v>
          </cell>
          <cell r="AE340">
            <v>8</v>
          </cell>
          <cell r="AF340">
            <v>8</v>
          </cell>
          <cell r="AG340" t="str">
            <v>CN</v>
          </cell>
          <cell r="AH340" t="str">
            <v>Đ</v>
          </cell>
          <cell r="AI340" t="str">
            <v>Đ</v>
          </cell>
          <cell r="AJ340" t="str">
            <v>Đ</v>
          </cell>
          <cell r="AN340">
            <v>96</v>
          </cell>
          <cell r="AO340">
            <v>96</v>
          </cell>
          <cell r="AP340">
            <v>0</v>
          </cell>
          <cell r="AQ340">
            <v>0</v>
          </cell>
          <cell r="AR340">
            <v>0</v>
          </cell>
          <cell r="AS340">
            <v>0</v>
          </cell>
          <cell r="AT340">
            <v>0</v>
          </cell>
          <cell r="AU340">
            <v>0</v>
          </cell>
          <cell r="AV340">
            <v>0</v>
          </cell>
          <cell r="AW340">
            <v>0</v>
          </cell>
          <cell r="AX340">
            <v>0</v>
          </cell>
          <cell r="AY340">
            <v>0</v>
          </cell>
          <cell r="AZ340">
            <v>0</v>
          </cell>
          <cell r="BA340">
            <v>0</v>
          </cell>
          <cell r="BB340">
            <v>0</v>
          </cell>
          <cell r="BC340">
            <v>0</v>
          </cell>
          <cell r="BD340">
            <v>0</v>
          </cell>
          <cell r="BE340">
            <v>0</v>
          </cell>
          <cell r="BF340">
            <v>0</v>
          </cell>
          <cell r="BG340">
            <v>192</v>
          </cell>
          <cell r="BH340">
            <v>0</v>
          </cell>
          <cell r="BI340">
            <v>0</v>
          </cell>
          <cell r="BJ340">
            <v>6.5</v>
          </cell>
          <cell r="BL340">
            <v>1.5</v>
          </cell>
          <cell r="BM340">
            <v>1.5</v>
          </cell>
          <cell r="BN340">
            <v>1.5</v>
          </cell>
          <cell r="BO340">
            <v>0</v>
          </cell>
          <cell r="BP340">
            <v>1.5</v>
          </cell>
          <cell r="BQ340">
            <v>0</v>
          </cell>
          <cell r="BR340">
            <v>0</v>
          </cell>
          <cell r="BS340">
            <v>3</v>
          </cell>
          <cell r="BT340">
            <v>3</v>
          </cell>
          <cell r="BU340">
            <v>3</v>
          </cell>
          <cell r="BV340">
            <v>0</v>
          </cell>
          <cell r="BW340">
            <v>4</v>
          </cell>
          <cell r="BX340">
            <v>4</v>
          </cell>
          <cell r="BY340">
            <v>4</v>
          </cell>
          <cell r="BZ340">
            <v>4</v>
          </cell>
          <cell r="CA340">
            <v>4</v>
          </cell>
          <cell r="CB340">
            <v>4</v>
          </cell>
          <cell r="CC340">
            <v>0</v>
          </cell>
          <cell r="CD340">
            <v>3</v>
          </cell>
          <cell r="CE340">
            <v>3</v>
          </cell>
          <cell r="CF340">
            <v>3</v>
          </cell>
          <cell r="CG340">
            <v>3</v>
          </cell>
          <cell r="CH340">
            <v>3</v>
          </cell>
          <cell r="CI340">
            <v>3</v>
          </cell>
          <cell r="CJ340">
            <v>11</v>
          </cell>
          <cell r="CK340">
            <v>0</v>
          </cell>
          <cell r="CL340">
            <v>4</v>
          </cell>
          <cell r="CM340">
            <v>4</v>
          </cell>
          <cell r="CR340">
            <v>0</v>
          </cell>
          <cell r="CS340">
            <v>0</v>
          </cell>
          <cell r="CT340">
            <v>65</v>
          </cell>
          <cell r="CU340">
            <v>11</v>
          </cell>
          <cell r="CV340">
            <v>0</v>
          </cell>
          <cell r="CZ340">
            <v>76</v>
          </cell>
        </row>
        <row r="341">
          <cell r="C341" t="str">
            <v>02774</v>
          </cell>
          <cell r="D341" t="str">
            <v>Lâm Thị Ngọc Tuyền</v>
          </cell>
          <cell r="E341" t="str">
            <v>Production</v>
          </cell>
          <cell r="F341" t="str">
            <v>logo</v>
          </cell>
          <cell r="G341" t="str">
            <v>Worker</v>
          </cell>
          <cell r="H341">
            <v>44252</v>
          </cell>
          <cell r="I341" t="str">
            <v>Đ</v>
          </cell>
          <cell r="J341" t="str">
            <v>Đ</v>
          </cell>
          <cell r="K341" t="str">
            <v>Đ</v>
          </cell>
          <cell r="L341" t="str">
            <v>CN</v>
          </cell>
          <cell r="M341">
            <v>8</v>
          </cell>
          <cell r="N341">
            <v>8</v>
          </cell>
          <cell r="O341">
            <v>8</v>
          </cell>
          <cell r="P341">
            <v>8</v>
          </cell>
          <cell r="Q341">
            <v>8</v>
          </cell>
          <cell r="R341">
            <v>8</v>
          </cell>
          <cell r="S341" t="str">
            <v>CN</v>
          </cell>
          <cell r="T341" t="str">
            <v>Đ</v>
          </cell>
          <cell r="U341" t="str">
            <v>Đ</v>
          </cell>
          <cell r="V341" t="str">
            <v>Đ</v>
          </cell>
          <cell r="W341" t="str">
            <v>Đ</v>
          </cell>
          <cell r="X341" t="str">
            <v>Đ</v>
          </cell>
          <cell r="Y341" t="str">
            <v>Đ</v>
          </cell>
          <cell r="Z341" t="str">
            <v>CN</v>
          </cell>
          <cell r="AA341">
            <v>8</v>
          </cell>
          <cell r="AB341">
            <v>8</v>
          </cell>
          <cell r="AC341">
            <v>8</v>
          </cell>
          <cell r="AD341">
            <v>8</v>
          </cell>
          <cell r="AE341">
            <v>8</v>
          </cell>
          <cell r="AF341">
            <v>8</v>
          </cell>
          <cell r="AG341" t="str">
            <v>CN</v>
          </cell>
          <cell r="AH341" t="str">
            <v>Đ</v>
          </cell>
          <cell r="AI341" t="str">
            <v>Đ</v>
          </cell>
          <cell r="AJ341" t="str">
            <v>Đ</v>
          </cell>
          <cell r="AN341">
            <v>96</v>
          </cell>
          <cell r="AO341">
            <v>96</v>
          </cell>
          <cell r="AP341">
            <v>0</v>
          </cell>
          <cell r="AQ341">
            <v>0</v>
          </cell>
          <cell r="AR341">
            <v>0</v>
          </cell>
          <cell r="AS341">
            <v>0</v>
          </cell>
          <cell r="AT341">
            <v>0</v>
          </cell>
          <cell r="AU341">
            <v>0</v>
          </cell>
          <cell r="AV341">
            <v>0</v>
          </cell>
          <cell r="AW341">
            <v>0</v>
          </cell>
          <cell r="AX341">
            <v>0</v>
          </cell>
          <cell r="AY341">
            <v>0</v>
          </cell>
          <cell r="AZ341">
            <v>0</v>
          </cell>
          <cell r="BA341">
            <v>0</v>
          </cell>
          <cell r="BB341">
            <v>0</v>
          </cell>
          <cell r="BC341">
            <v>0</v>
          </cell>
          <cell r="BD341">
            <v>0</v>
          </cell>
          <cell r="BE341">
            <v>0</v>
          </cell>
          <cell r="BF341">
            <v>0</v>
          </cell>
          <cell r="BG341">
            <v>192</v>
          </cell>
          <cell r="BH341">
            <v>0</v>
          </cell>
          <cell r="BI341">
            <v>0</v>
          </cell>
          <cell r="BJ341">
            <v>2.5</v>
          </cell>
          <cell r="BL341">
            <v>0</v>
          </cell>
          <cell r="BM341">
            <v>0</v>
          </cell>
          <cell r="BN341">
            <v>0</v>
          </cell>
          <cell r="BO341">
            <v>0</v>
          </cell>
          <cell r="BP341">
            <v>1.5</v>
          </cell>
          <cell r="BQ341">
            <v>3</v>
          </cell>
          <cell r="BR341">
            <v>0</v>
          </cell>
          <cell r="BS341">
            <v>3</v>
          </cell>
          <cell r="BT341">
            <v>0</v>
          </cell>
          <cell r="BU341">
            <v>0</v>
          </cell>
          <cell r="BV341">
            <v>0</v>
          </cell>
          <cell r="BW341">
            <v>3</v>
          </cell>
          <cell r="BX341">
            <v>0</v>
          </cell>
          <cell r="BY341">
            <v>0</v>
          </cell>
          <cell r="BZ341">
            <v>4</v>
          </cell>
          <cell r="CA341">
            <v>4</v>
          </cell>
          <cell r="CB341">
            <v>4</v>
          </cell>
          <cell r="CC341">
            <v>0</v>
          </cell>
          <cell r="CD341">
            <v>4</v>
          </cell>
          <cell r="CE341">
            <v>4</v>
          </cell>
          <cell r="CF341">
            <v>4</v>
          </cell>
          <cell r="CG341">
            <v>4</v>
          </cell>
          <cell r="CH341">
            <v>0</v>
          </cell>
          <cell r="CI341">
            <v>4</v>
          </cell>
          <cell r="CJ341">
            <v>8</v>
          </cell>
          <cell r="CK341">
            <v>1.5</v>
          </cell>
          <cell r="CL341">
            <v>1.5</v>
          </cell>
          <cell r="CM341">
            <v>1.5</v>
          </cell>
          <cell r="CR341">
            <v>0</v>
          </cell>
          <cell r="CS341">
            <v>0</v>
          </cell>
          <cell r="CT341">
            <v>47</v>
          </cell>
          <cell r="CU341">
            <v>8</v>
          </cell>
          <cell r="CV341">
            <v>0</v>
          </cell>
          <cell r="CZ341">
            <v>55</v>
          </cell>
        </row>
        <row r="342">
          <cell r="C342" t="str">
            <v>02775</v>
          </cell>
          <cell r="D342" t="str">
            <v>Trương Thị Yến Di</v>
          </cell>
          <cell r="E342" t="str">
            <v>Production</v>
          </cell>
          <cell r="F342" t="str">
            <v>Logo</v>
          </cell>
          <cell r="G342" t="str">
            <v>Worker</v>
          </cell>
          <cell r="H342">
            <v>44252</v>
          </cell>
          <cell r="I342" t="str">
            <v>Đ</v>
          </cell>
          <cell r="J342" t="str">
            <v>Đ</v>
          </cell>
          <cell r="K342" t="str">
            <v>Đ</v>
          </cell>
          <cell r="L342" t="str">
            <v>CN</v>
          </cell>
          <cell r="M342">
            <v>8</v>
          </cell>
          <cell r="N342">
            <v>8</v>
          </cell>
          <cell r="O342">
            <v>8</v>
          </cell>
          <cell r="P342">
            <v>8</v>
          </cell>
          <cell r="Q342">
            <v>8</v>
          </cell>
          <cell r="R342">
            <v>8</v>
          </cell>
          <cell r="S342" t="str">
            <v>CN</v>
          </cell>
          <cell r="T342" t="str">
            <v>Đ</v>
          </cell>
          <cell r="U342" t="str">
            <v>Đ</v>
          </cell>
          <cell r="V342" t="str">
            <v>Đ</v>
          </cell>
          <cell r="W342" t="str">
            <v>Đ</v>
          </cell>
          <cell r="X342" t="str">
            <v>Đ</v>
          </cell>
          <cell r="Y342" t="str">
            <v>Đ</v>
          </cell>
          <cell r="Z342" t="str">
            <v>CN</v>
          </cell>
          <cell r="AA342">
            <v>8</v>
          </cell>
          <cell r="AB342">
            <v>8</v>
          </cell>
          <cell r="AC342">
            <v>8</v>
          </cell>
          <cell r="AD342">
            <v>8</v>
          </cell>
          <cell r="AE342">
            <v>8</v>
          </cell>
          <cell r="AF342">
            <v>8</v>
          </cell>
          <cell r="AG342" t="str">
            <v>CN</v>
          </cell>
          <cell r="AH342" t="str">
            <v>Đ</v>
          </cell>
          <cell r="AI342" t="str">
            <v>Đ</v>
          </cell>
          <cell r="AJ342" t="str">
            <v>Đ</v>
          </cell>
          <cell r="AN342">
            <v>96</v>
          </cell>
          <cell r="AO342">
            <v>96</v>
          </cell>
          <cell r="AP342">
            <v>0</v>
          </cell>
          <cell r="AQ342">
            <v>0</v>
          </cell>
          <cell r="AR342">
            <v>0</v>
          </cell>
          <cell r="AS342">
            <v>0</v>
          </cell>
          <cell r="AT342">
            <v>0</v>
          </cell>
          <cell r="AU342">
            <v>0</v>
          </cell>
          <cell r="AV342">
            <v>0</v>
          </cell>
          <cell r="AW342">
            <v>0</v>
          </cell>
          <cell r="AX342">
            <v>0</v>
          </cell>
          <cell r="AY342">
            <v>0</v>
          </cell>
          <cell r="AZ342">
            <v>0</v>
          </cell>
          <cell r="BA342">
            <v>0</v>
          </cell>
          <cell r="BB342">
            <v>0</v>
          </cell>
          <cell r="BC342">
            <v>0</v>
          </cell>
          <cell r="BD342">
            <v>0</v>
          </cell>
          <cell r="BE342">
            <v>0</v>
          </cell>
          <cell r="BF342">
            <v>0</v>
          </cell>
          <cell r="BG342">
            <v>192</v>
          </cell>
          <cell r="BH342">
            <v>0</v>
          </cell>
          <cell r="BI342">
            <v>0</v>
          </cell>
          <cell r="BJ342">
            <v>3.5</v>
          </cell>
          <cell r="BL342">
            <v>0</v>
          </cell>
          <cell r="BM342">
            <v>0</v>
          </cell>
          <cell r="BN342">
            <v>0</v>
          </cell>
          <cell r="BO342">
            <v>0</v>
          </cell>
          <cell r="BP342">
            <v>1.5</v>
          </cell>
          <cell r="BQ342">
            <v>3</v>
          </cell>
          <cell r="BR342">
            <v>0</v>
          </cell>
          <cell r="BS342">
            <v>3</v>
          </cell>
          <cell r="BT342">
            <v>0</v>
          </cell>
          <cell r="BU342">
            <v>0</v>
          </cell>
          <cell r="BV342">
            <v>0</v>
          </cell>
          <cell r="BW342">
            <v>3</v>
          </cell>
          <cell r="BX342">
            <v>4</v>
          </cell>
          <cell r="BY342">
            <v>4</v>
          </cell>
          <cell r="BZ342">
            <v>4</v>
          </cell>
          <cell r="CA342">
            <v>4</v>
          </cell>
          <cell r="CB342">
            <v>4</v>
          </cell>
          <cell r="CC342">
            <v>0</v>
          </cell>
          <cell r="CD342">
            <v>3</v>
          </cell>
          <cell r="CE342">
            <v>3</v>
          </cell>
          <cell r="CF342">
            <v>3</v>
          </cell>
          <cell r="CG342">
            <v>3</v>
          </cell>
          <cell r="CH342">
            <v>1.5</v>
          </cell>
          <cell r="CI342">
            <v>1.5</v>
          </cell>
          <cell r="CJ342">
            <v>8</v>
          </cell>
          <cell r="CK342">
            <v>1.5</v>
          </cell>
          <cell r="CL342">
            <v>1.5</v>
          </cell>
          <cell r="CM342">
            <v>1.5</v>
          </cell>
          <cell r="CR342">
            <v>0</v>
          </cell>
          <cell r="CS342">
            <v>0</v>
          </cell>
          <cell r="CT342">
            <v>50</v>
          </cell>
          <cell r="CU342">
            <v>8</v>
          </cell>
          <cell r="CV342">
            <v>0</v>
          </cell>
          <cell r="CZ342">
            <v>58</v>
          </cell>
        </row>
        <row r="343">
          <cell r="C343" t="str">
            <v>02776</v>
          </cell>
          <cell r="D343" t="str">
            <v>Dương Thị Yến</v>
          </cell>
          <cell r="E343" t="str">
            <v>COE</v>
          </cell>
          <cell r="F343" t="str">
            <v>COE</v>
          </cell>
          <cell r="G343" t="str">
            <v>Technician</v>
          </cell>
          <cell r="H343">
            <v>44252</v>
          </cell>
          <cell r="I343" t="str">
            <v>AL4</v>
          </cell>
          <cell r="J343">
            <v>8</v>
          </cell>
          <cell r="K343" t="str">
            <v>PO</v>
          </cell>
          <cell r="L343" t="str">
            <v>CN</v>
          </cell>
          <cell r="M343">
            <v>8</v>
          </cell>
          <cell r="N343">
            <v>8</v>
          </cell>
          <cell r="O343">
            <v>8</v>
          </cell>
          <cell r="P343">
            <v>8</v>
          </cell>
          <cell r="Q343" t="str">
            <v>AL8</v>
          </cell>
          <cell r="R343" t="str">
            <v>PO</v>
          </cell>
          <cell r="S343" t="str">
            <v>CN</v>
          </cell>
          <cell r="T343">
            <v>8</v>
          </cell>
          <cell r="U343">
            <v>8</v>
          </cell>
          <cell r="V343">
            <v>8</v>
          </cell>
          <cell r="W343">
            <v>8</v>
          </cell>
          <cell r="X343">
            <v>8</v>
          </cell>
          <cell r="Y343" t="str">
            <v>PO</v>
          </cell>
          <cell r="Z343" t="str">
            <v>CN</v>
          </cell>
          <cell r="AA343">
            <v>8</v>
          </cell>
          <cell r="AB343">
            <v>8</v>
          </cell>
          <cell r="AC343">
            <v>8</v>
          </cell>
          <cell r="AD343">
            <v>8</v>
          </cell>
          <cell r="AE343">
            <v>8</v>
          </cell>
          <cell r="AF343" t="str">
            <v>PO</v>
          </cell>
          <cell r="AG343" t="str">
            <v>CN</v>
          </cell>
          <cell r="AH343">
            <v>8</v>
          </cell>
          <cell r="AI343">
            <v>8</v>
          </cell>
          <cell r="AJ343">
            <v>8</v>
          </cell>
          <cell r="AN343">
            <v>0</v>
          </cell>
          <cell r="AO343">
            <v>148</v>
          </cell>
          <cell r="AP343">
            <v>4</v>
          </cell>
          <cell r="AQ343">
            <v>0</v>
          </cell>
          <cell r="AR343">
            <v>0</v>
          </cell>
          <cell r="AS343">
            <v>0</v>
          </cell>
          <cell r="AT343">
            <v>0</v>
          </cell>
          <cell r="AU343">
            <v>0</v>
          </cell>
          <cell r="AV343">
            <v>32</v>
          </cell>
          <cell r="AW343">
            <v>0</v>
          </cell>
          <cell r="AX343">
            <v>0</v>
          </cell>
          <cell r="AY343">
            <v>0</v>
          </cell>
          <cell r="AZ343">
            <v>0</v>
          </cell>
          <cell r="BA343">
            <v>12</v>
          </cell>
          <cell r="BB343">
            <v>0</v>
          </cell>
          <cell r="BC343">
            <v>0</v>
          </cell>
          <cell r="BD343">
            <v>0</v>
          </cell>
          <cell r="BE343">
            <v>0</v>
          </cell>
          <cell r="BF343">
            <v>0</v>
          </cell>
          <cell r="BG343">
            <v>192</v>
          </cell>
          <cell r="BH343">
            <v>1.5</v>
          </cell>
          <cell r="BI343">
            <v>1.5</v>
          </cell>
          <cell r="BJ343">
            <v>5</v>
          </cell>
          <cell r="BL343">
            <v>0</v>
          </cell>
          <cell r="BM343">
            <v>0</v>
          </cell>
          <cell r="BN343">
            <v>0</v>
          </cell>
          <cell r="BO343">
            <v>0</v>
          </cell>
          <cell r="BP343">
            <v>0</v>
          </cell>
          <cell r="BQ343">
            <v>0</v>
          </cell>
          <cell r="BR343">
            <v>0</v>
          </cell>
          <cell r="BS343">
            <v>0</v>
          </cell>
          <cell r="BT343">
            <v>0</v>
          </cell>
          <cell r="BU343">
            <v>0</v>
          </cell>
          <cell r="BV343">
            <v>0</v>
          </cell>
          <cell r="BW343">
            <v>0</v>
          </cell>
          <cell r="BX343">
            <v>0</v>
          </cell>
          <cell r="BY343">
            <v>0</v>
          </cell>
          <cell r="BZ343">
            <v>0</v>
          </cell>
          <cell r="CA343">
            <v>0</v>
          </cell>
          <cell r="CB343">
            <v>0</v>
          </cell>
          <cell r="CC343">
            <v>8</v>
          </cell>
          <cell r="CD343">
            <v>0</v>
          </cell>
          <cell r="CE343">
            <v>0</v>
          </cell>
          <cell r="CF343">
            <v>0</v>
          </cell>
          <cell r="CG343">
            <v>0</v>
          </cell>
          <cell r="CH343">
            <v>0</v>
          </cell>
          <cell r="CI343">
            <v>0</v>
          </cell>
          <cell r="CJ343">
            <v>0</v>
          </cell>
          <cell r="CK343">
            <v>0</v>
          </cell>
          <cell r="CL343">
            <v>0</v>
          </cell>
          <cell r="CM343">
            <v>0</v>
          </cell>
          <cell r="CR343">
            <v>0</v>
          </cell>
          <cell r="CS343">
            <v>0</v>
          </cell>
          <cell r="CT343">
            <v>0</v>
          </cell>
          <cell r="CU343">
            <v>8</v>
          </cell>
          <cell r="CV343">
            <v>0</v>
          </cell>
          <cell r="CZ343">
            <v>8</v>
          </cell>
        </row>
        <row r="344">
          <cell r="C344" t="str">
            <v>02780</v>
          </cell>
          <cell r="D344" t="str">
            <v>Lê Thị Kim Nhi</v>
          </cell>
          <cell r="E344" t="str">
            <v>Production</v>
          </cell>
          <cell r="F344" t="str">
            <v>Logo</v>
          </cell>
          <cell r="G344" t="str">
            <v>Worker</v>
          </cell>
          <cell r="H344">
            <v>44252</v>
          </cell>
          <cell r="I344">
            <v>8</v>
          </cell>
          <cell r="J344">
            <v>8</v>
          </cell>
          <cell r="K344">
            <v>8</v>
          </cell>
          <cell r="L344" t="str">
            <v>CN</v>
          </cell>
          <cell r="M344">
            <v>8</v>
          </cell>
          <cell r="N344">
            <v>8</v>
          </cell>
          <cell r="O344">
            <v>8</v>
          </cell>
          <cell r="P344">
            <v>8</v>
          </cell>
          <cell r="Q344">
            <v>8</v>
          </cell>
          <cell r="R344">
            <v>8</v>
          </cell>
          <cell r="S344" t="str">
            <v>CN</v>
          </cell>
          <cell r="T344" t="str">
            <v>AL8</v>
          </cell>
          <cell r="U344" t="str">
            <v>AL4/UP4</v>
          </cell>
          <cell r="V344" t="str">
            <v>SL</v>
          </cell>
          <cell r="W344" t="str">
            <v>SL</v>
          </cell>
          <cell r="X344">
            <v>8</v>
          </cell>
          <cell r="Y344">
            <v>8</v>
          </cell>
          <cell r="Z344" t="str">
            <v>CN</v>
          </cell>
          <cell r="AA344" t="str">
            <v>SWD</v>
          </cell>
          <cell r="AB344">
            <v>8</v>
          </cell>
          <cell r="AC344">
            <v>8</v>
          </cell>
          <cell r="AD344">
            <v>8</v>
          </cell>
          <cell r="AE344">
            <v>8</v>
          </cell>
          <cell r="AF344">
            <v>8</v>
          </cell>
          <cell r="AG344" t="str">
            <v>CN</v>
          </cell>
          <cell r="AH344">
            <v>8</v>
          </cell>
          <cell r="AI344">
            <v>8</v>
          </cell>
          <cell r="AJ344">
            <v>8</v>
          </cell>
          <cell r="AN344">
            <v>0</v>
          </cell>
          <cell r="AO344">
            <v>152</v>
          </cell>
          <cell r="AP344">
            <v>0</v>
          </cell>
          <cell r="AQ344">
            <v>2</v>
          </cell>
          <cell r="AR344">
            <v>0</v>
          </cell>
          <cell r="AS344">
            <v>12</v>
          </cell>
          <cell r="AT344">
            <v>0</v>
          </cell>
          <cell r="AU344">
            <v>0</v>
          </cell>
          <cell r="AV344">
            <v>0</v>
          </cell>
          <cell r="AW344">
            <v>0</v>
          </cell>
          <cell r="AX344">
            <v>0</v>
          </cell>
          <cell r="AY344">
            <v>0</v>
          </cell>
          <cell r="AZ344">
            <v>0</v>
          </cell>
          <cell r="BA344">
            <v>12</v>
          </cell>
          <cell r="BB344">
            <v>0</v>
          </cell>
          <cell r="BC344">
            <v>0</v>
          </cell>
          <cell r="BD344">
            <v>0</v>
          </cell>
          <cell r="BE344">
            <v>0</v>
          </cell>
          <cell r="BF344">
            <v>0</v>
          </cell>
          <cell r="BG344">
            <v>164</v>
          </cell>
          <cell r="BH344">
            <v>1.5</v>
          </cell>
          <cell r="BI344">
            <v>1.5</v>
          </cell>
          <cell r="BJ344">
            <v>-3</v>
          </cell>
          <cell r="BL344">
            <v>0</v>
          </cell>
          <cell r="BM344">
            <v>0</v>
          </cell>
          <cell r="BN344">
            <v>0</v>
          </cell>
          <cell r="BO344">
            <v>0</v>
          </cell>
          <cell r="BP344">
            <v>0</v>
          </cell>
          <cell r="BQ344">
            <v>0</v>
          </cell>
          <cell r="BR344">
            <v>0</v>
          </cell>
          <cell r="BS344">
            <v>0</v>
          </cell>
          <cell r="BT344">
            <v>0</v>
          </cell>
          <cell r="BU344">
            <v>0</v>
          </cell>
          <cell r="BV344">
            <v>0</v>
          </cell>
          <cell r="BW344">
            <v>0</v>
          </cell>
          <cell r="BX344">
            <v>0</v>
          </cell>
          <cell r="BY344">
            <v>0</v>
          </cell>
          <cell r="BZ344">
            <v>0</v>
          </cell>
          <cell r="CA344">
            <v>0</v>
          </cell>
          <cell r="CB344">
            <v>0</v>
          </cell>
          <cell r="CC344">
            <v>0</v>
          </cell>
          <cell r="CD344">
            <v>0</v>
          </cell>
          <cell r="CE344">
            <v>0</v>
          </cell>
          <cell r="CF344">
            <v>0</v>
          </cell>
          <cell r="CG344">
            <v>0</v>
          </cell>
          <cell r="CH344">
            <v>0</v>
          </cell>
          <cell r="CI344">
            <v>0</v>
          </cell>
          <cell r="CJ344">
            <v>0</v>
          </cell>
          <cell r="CK344">
            <v>0</v>
          </cell>
          <cell r="CL344">
            <v>0</v>
          </cell>
          <cell r="CM344">
            <v>0</v>
          </cell>
          <cell r="CR344">
            <v>0</v>
          </cell>
          <cell r="CS344">
            <v>0</v>
          </cell>
          <cell r="CT344">
            <v>0</v>
          </cell>
          <cell r="CU344">
            <v>0</v>
          </cell>
          <cell r="CV344">
            <v>0</v>
          </cell>
          <cell r="CZ344">
            <v>0</v>
          </cell>
        </row>
        <row r="345">
          <cell r="C345" t="str">
            <v>02781</v>
          </cell>
          <cell r="D345" t="str">
            <v>Nguyễn Tấn Phát</v>
          </cell>
          <cell r="E345" t="str">
            <v>Production</v>
          </cell>
          <cell r="F345" t="str">
            <v>Packing</v>
          </cell>
          <cell r="G345" t="str">
            <v>Worker</v>
          </cell>
          <cell r="H345">
            <v>44256</v>
          </cell>
          <cell r="I345">
            <v>8</v>
          </cell>
          <cell r="J345">
            <v>8</v>
          </cell>
          <cell r="K345">
            <v>8</v>
          </cell>
          <cell r="L345" t="str">
            <v>CN</v>
          </cell>
          <cell r="M345" t="str">
            <v>Đ</v>
          </cell>
          <cell r="N345" t="str">
            <v>Đ</v>
          </cell>
          <cell r="O345" t="str">
            <v>Đ</v>
          </cell>
          <cell r="P345" t="str">
            <v>Đ</v>
          </cell>
          <cell r="Q345" t="str">
            <v>Đ</v>
          </cell>
          <cell r="R345" t="str">
            <v>Đ</v>
          </cell>
          <cell r="S345" t="str">
            <v>CN</v>
          </cell>
          <cell r="T345">
            <v>8</v>
          </cell>
          <cell r="U345">
            <v>8</v>
          </cell>
          <cell r="V345">
            <v>8</v>
          </cell>
          <cell r="W345">
            <v>8</v>
          </cell>
          <cell r="X345">
            <v>8</v>
          </cell>
          <cell r="Y345">
            <v>8</v>
          </cell>
          <cell r="Z345" t="str">
            <v>CN</v>
          </cell>
          <cell r="AA345" t="str">
            <v>Đ</v>
          </cell>
          <cell r="AB345" t="str">
            <v>Đ</v>
          </cell>
          <cell r="AC345" t="str">
            <v>Đ</v>
          </cell>
          <cell r="AD345" t="str">
            <v>Đ</v>
          </cell>
          <cell r="AE345" t="str">
            <v>Đ</v>
          </cell>
          <cell r="AF345" t="str">
            <v>Đ</v>
          </cell>
          <cell r="AG345" t="str">
            <v>CN</v>
          </cell>
          <cell r="AH345">
            <v>8</v>
          </cell>
          <cell r="AI345">
            <v>8</v>
          </cell>
          <cell r="AJ345">
            <v>8</v>
          </cell>
          <cell r="AN345">
            <v>96</v>
          </cell>
          <cell r="AO345">
            <v>96</v>
          </cell>
          <cell r="AP345">
            <v>0</v>
          </cell>
          <cell r="AQ345">
            <v>0</v>
          </cell>
          <cell r="AR345">
            <v>0</v>
          </cell>
          <cell r="AS345">
            <v>0</v>
          </cell>
          <cell r="AT345">
            <v>0</v>
          </cell>
          <cell r="AU345">
            <v>0</v>
          </cell>
          <cell r="AV345">
            <v>0</v>
          </cell>
          <cell r="AW345">
            <v>0</v>
          </cell>
          <cell r="AX345">
            <v>0</v>
          </cell>
          <cell r="AY345">
            <v>0</v>
          </cell>
          <cell r="AZ345">
            <v>0</v>
          </cell>
          <cell r="BA345">
            <v>0</v>
          </cell>
          <cell r="BB345">
            <v>0</v>
          </cell>
          <cell r="BC345">
            <v>0</v>
          </cell>
          <cell r="BD345">
            <v>0</v>
          </cell>
          <cell r="BE345">
            <v>0</v>
          </cell>
          <cell r="BF345">
            <v>0</v>
          </cell>
          <cell r="BG345">
            <v>192</v>
          </cell>
          <cell r="BH345">
            <v>0</v>
          </cell>
          <cell r="BI345">
            <v>0</v>
          </cell>
          <cell r="BJ345">
            <v>2.5</v>
          </cell>
          <cell r="BL345">
            <v>0</v>
          </cell>
          <cell r="BM345">
            <v>1.5</v>
          </cell>
          <cell r="BN345">
            <v>1.5</v>
          </cell>
          <cell r="BO345">
            <v>0</v>
          </cell>
          <cell r="BP345">
            <v>1.5</v>
          </cell>
          <cell r="BQ345">
            <v>3</v>
          </cell>
          <cell r="BR345">
            <v>0</v>
          </cell>
          <cell r="BS345">
            <v>3</v>
          </cell>
          <cell r="BT345">
            <v>3</v>
          </cell>
          <cell r="BU345">
            <v>0</v>
          </cell>
          <cell r="BV345">
            <v>0</v>
          </cell>
          <cell r="BW345">
            <v>3</v>
          </cell>
          <cell r="BX345">
            <v>3</v>
          </cell>
          <cell r="BY345">
            <v>3</v>
          </cell>
          <cell r="BZ345">
            <v>3</v>
          </cell>
          <cell r="CA345">
            <v>3</v>
          </cell>
          <cell r="CB345">
            <v>3</v>
          </cell>
          <cell r="CC345">
            <v>8</v>
          </cell>
          <cell r="CD345">
            <v>4</v>
          </cell>
          <cell r="CE345">
            <v>4</v>
          </cell>
          <cell r="CF345">
            <v>4</v>
          </cell>
          <cell r="CG345">
            <v>4</v>
          </cell>
          <cell r="CH345">
            <v>4</v>
          </cell>
          <cell r="CI345">
            <v>4</v>
          </cell>
          <cell r="CJ345">
            <v>0</v>
          </cell>
          <cell r="CK345">
            <v>3</v>
          </cell>
          <cell r="CL345">
            <v>3</v>
          </cell>
          <cell r="CM345">
            <v>3</v>
          </cell>
          <cell r="CR345">
            <v>0</v>
          </cell>
          <cell r="CS345">
            <v>0</v>
          </cell>
          <cell r="CT345">
            <v>64.5</v>
          </cell>
          <cell r="CU345">
            <v>8</v>
          </cell>
          <cell r="CV345">
            <v>0</v>
          </cell>
          <cell r="CZ345">
            <v>72.5</v>
          </cell>
        </row>
        <row r="346">
          <cell r="C346" t="str">
            <v>02785</v>
          </cell>
          <cell r="D346" t="str">
            <v>Nguyễn Sin Kô</v>
          </cell>
          <cell r="E346" t="str">
            <v>Warehouse</v>
          </cell>
          <cell r="F346" t="str">
            <v>RM Warehouse</v>
          </cell>
          <cell r="G346" t="str">
            <v>Worker</v>
          </cell>
          <cell r="H346">
            <v>44256</v>
          </cell>
          <cell r="I346">
            <v>8</v>
          </cell>
          <cell r="J346" t="str">
            <v>AL8</v>
          </cell>
          <cell r="K346">
            <v>8</v>
          </cell>
          <cell r="L346" t="str">
            <v>CN</v>
          </cell>
          <cell r="M346">
            <v>8</v>
          </cell>
          <cell r="N346">
            <v>8</v>
          </cell>
          <cell r="O346">
            <v>8</v>
          </cell>
          <cell r="P346">
            <v>8</v>
          </cell>
          <cell r="Q346">
            <v>8</v>
          </cell>
          <cell r="R346">
            <v>8</v>
          </cell>
          <cell r="S346" t="str">
            <v>CN</v>
          </cell>
          <cell r="T346">
            <v>8</v>
          </cell>
          <cell r="U346">
            <v>8</v>
          </cell>
          <cell r="V346">
            <v>8</v>
          </cell>
          <cell r="W346">
            <v>8</v>
          </cell>
          <cell r="X346">
            <v>8</v>
          </cell>
          <cell r="Y346">
            <v>8</v>
          </cell>
          <cell r="Z346" t="str">
            <v>CN</v>
          </cell>
          <cell r="AA346">
            <v>8</v>
          </cell>
          <cell r="AB346">
            <v>8</v>
          </cell>
          <cell r="AC346">
            <v>8</v>
          </cell>
          <cell r="AD346">
            <v>8</v>
          </cell>
          <cell r="AE346" t="str">
            <v>UP8</v>
          </cell>
          <cell r="AF346">
            <v>8</v>
          </cell>
          <cell r="AG346" t="str">
            <v>CN</v>
          </cell>
          <cell r="AH346">
            <v>8</v>
          </cell>
          <cell r="AI346">
            <v>8</v>
          </cell>
          <cell r="AJ346">
            <v>8</v>
          </cell>
          <cell r="AN346">
            <v>0</v>
          </cell>
          <cell r="AO346">
            <v>176</v>
          </cell>
          <cell r="AP346">
            <v>0</v>
          </cell>
          <cell r="AQ346">
            <v>0</v>
          </cell>
          <cell r="AR346">
            <v>0</v>
          </cell>
          <cell r="AS346">
            <v>8</v>
          </cell>
          <cell r="AT346">
            <v>0</v>
          </cell>
          <cell r="AU346">
            <v>0</v>
          </cell>
          <cell r="AV346">
            <v>0</v>
          </cell>
          <cell r="AW346">
            <v>0</v>
          </cell>
          <cell r="AX346">
            <v>0</v>
          </cell>
          <cell r="AY346">
            <v>0</v>
          </cell>
          <cell r="AZ346">
            <v>0</v>
          </cell>
          <cell r="BA346">
            <v>8</v>
          </cell>
          <cell r="BB346">
            <v>0</v>
          </cell>
          <cell r="BC346">
            <v>0</v>
          </cell>
          <cell r="BD346">
            <v>0</v>
          </cell>
          <cell r="BE346">
            <v>0</v>
          </cell>
          <cell r="BF346">
            <v>0</v>
          </cell>
          <cell r="BG346">
            <v>184</v>
          </cell>
          <cell r="BH346">
            <v>1</v>
          </cell>
          <cell r="BI346">
            <v>1</v>
          </cell>
          <cell r="BJ346">
            <v>0.5</v>
          </cell>
          <cell r="BL346">
            <v>0</v>
          </cell>
          <cell r="BM346">
            <v>0</v>
          </cell>
          <cell r="BN346">
            <v>0</v>
          </cell>
          <cell r="BO346">
            <v>0</v>
          </cell>
          <cell r="BP346">
            <v>3</v>
          </cell>
          <cell r="BQ346">
            <v>3</v>
          </cell>
          <cell r="BR346">
            <v>0</v>
          </cell>
          <cell r="BS346">
            <v>0</v>
          </cell>
          <cell r="BT346">
            <v>0</v>
          </cell>
          <cell r="BU346">
            <v>0</v>
          </cell>
          <cell r="BV346">
            <v>0</v>
          </cell>
          <cell r="BW346">
            <v>3</v>
          </cell>
          <cell r="BX346">
            <v>0</v>
          </cell>
          <cell r="BY346">
            <v>0</v>
          </cell>
          <cell r="BZ346">
            <v>0</v>
          </cell>
          <cell r="CA346">
            <v>3</v>
          </cell>
          <cell r="CB346">
            <v>0</v>
          </cell>
          <cell r="CC346">
            <v>0</v>
          </cell>
          <cell r="CD346">
            <v>3</v>
          </cell>
          <cell r="CE346">
            <v>0</v>
          </cell>
          <cell r="CF346">
            <v>0</v>
          </cell>
          <cell r="CG346">
            <v>3</v>
          </cell>
          <cell r="CH346">
            <v>0</v>
          </cell>
          <cell r="CI346">
            <v>0</v>
          </cell>
          <cell r="CJ346">
            <v>8</v>
          </cell>
          <cell r="CK346">
            <v>3</v>
          </cell>
          <cell r="CL346">
            <v>3</v>
          </cell>
          <cell r="CM346">
            <v>0</v>
          </cell>
          <cell r="CR346">
            <v>0</v>
          </cell>
          <cell r="CS346">
            <v>0</v>
          </cell>
          <cell r="CT346">
            <v>24</v>
          </cell>
          <cell r="CU346">
            <v>8</v>
          </cell>
          <cell r="CV346">
            <v>0</v>
          </cell>
          <cell r="CZ346">
            <v>32</v>
          </cell>
        </row>
        <row r="347">
          <cell r="C347" t="str">
            <v>02786</v>
          </cell>
          <cell r="D347" t="str">
            <v>Lê Huỳnh Hân</v>
          </cell>
          <cell r="E347" t="str">
            <v>Foaming</v>
          </cell>
          <cell r="F347" t="str">
            <v>FOAMING Splitting</v>
          </cell>
          <cell r="G347" t="str">
            <v>Worker</v>
          </cell>
          <cell r="H347">
            <v>44256</v>
          </cell>
          <cell r="I347">
            <v>8</v>
          </cell>
          <cell r="J347">
            <v>8</v>
          </cell>
          <cell r="K347">
            <v>8</v>
          </cell>
          <cell r="L347" t="str">
            <v>CN</v>
          </cell>
          <cell r="M347">
            <v>8</v>
          </cell>
          <cell r="N347">
            <v>8</v>
          </cell>
          <cell r="O347">
            <v>8</v>
          </cell>
          <cell r="P347">
            <v>8</v>
          </cell>
          <cell r="Q347">
            <v>8</v>
          </cell>
          <cell r="R347">
            <v>8</v>
          </cell>
          <cell r="S347" t="str">
            <v>CN</v>
          </cell>
          <cell r="T347">
            <v>8</v>
          </cell>
          <cell r="U347">
            <v>8</v>
          </cell>
          <cell r="V347">
            <v>8</v>
          </cell>
          <cell r="W347">
            <v>8</v>
          </cell>
          <cell r="X347" t="str">
            <v>AL8</v>
          </cell>
          <cell r="Y347" t="str">
            <v>AL8</v>
          </cell>
          <cell r="Z347" t="str">
            <v>CN</v>
          </cell>
          <cell r="AA347" t="str">
            <v>Đ</v>
          </cell>
          <cell r="AB347" t="str">
            <v>Đ</v>
          </cell>
          <cell r="AC347" t="str">
            <v>Đ</v>
          </cell>
          <cell r="AD347" t="str">
            <v>Đ</v>
          </cell>
          <cell r="AE347" t="str">
            <v>Đ</v>
          </cell>
          <cell r="AF347" t="str">
            <v>Đ</v>
          </cell>
          <cell r="AG347" t="str">
            <v>CN</v>
          </cell>
          <cell r="AH347" t="str">
            <v>Đ</v>
          </cell>
          <cell r="AI347" t="str">
            <v>Đ</v>
          </cell>
          <cell r="AJ347" t="str">
            <v>Đ</v>
          </cell>
          <cell r="AN347">
            <v>72</v>
          </cell>
          <cell r="AO347">
            <v>104</v>
          </cell>
          <cell r="AP347">
            <v>0</v>
          </cell>
          <cell r="AQ347">
            <v>0</v>
          </cell>
          <cell r="AR347">
            <v>0</v>
          </cell>
          <cell r="AS347">
            <v>0</v>
          </cell>
          <cell r="AT347">
            <v>0</v>
          </cell>
          <cell r="AU347">
            <v>0</v>
          </cell>
          <cell r="AV347">
            <v>0</v>
          </cell>
          <cell r="AW347">
            <v>0</v>
          </cell>
          <cell r="AX347">
            <v>0</v>
          </cell>
          <cell r="AY347">
            <v>0</v>
          </cell>
          <cell r="AZ347">
            <v>0</v>
          </cell>
          <cell r="BA347">
            <v>16</v>
          </cell>
          <cell r="BB347">
            <v>0</v>
          </cell>
          <cell r="BC347">
            <v>0</v>
          </cell>
          <cell r="BD347">
            <v>0</v>
          </cell>
          <cell r="BE347">
            <v>0</v>
          </cell>
          <cell r="BF347">
            <v>0</v>
          </cell>
          <cell r="BG347">
            <v>192</v>
          </cell>
          <cell r="BH347">
            <v>2</v>
          </cell>
          <cell r="BI347">
            <v>2</v>
          </cell>
          <cell r="BJ347">
            <v>2</v>
          </cell>
          <cell r="BL347">
            <v>4</v>
          </cell>
          <cell r="BM347">
            <v>4</v>
          </cell>
          <cell r="BN347">
            <v>0</v>
          </cell>
          <cell r="BO347">
            <v>12</v>
          </cell>
          <cell r="BP347">
            <v>0</v>
          </cell>
          <cell r="BQ347">
            <v>4</v>
          </cell>
          <cell r="BR347">
            <v>4</v>
          </cell>
          <cell r="BS347">
            <v>4</v>
          </cell>
          <cell r="BT347">
            <v>4</v>
          </cell>
          <cell r="BU347">
            <v>4</v>
          </cell>
          <cell r="BV347">
            <v>12</v>
          </cell>
          <cell r="BW347">
            <v>0</v>
          </cell>
          <cell r="BX347">
            <v>0</v>
          </cell>
          <cell r="BY347">
            <v>0</v>
          </cell>
          <cell r="BZ347">
            <v>0</v>
          </cell>
          <cell r="CA347">
            <v>0</v>
          </cell>
          <cell r="CB347">
            <v>0</v>
          </cell>
          <cell r="CC347" t="str">
            <v>10Đ</v>
          </cell>
          <cell r="CD347">
            <v>4</v>
          </cell>
          <cell r="CE347">
            <v>4</v>
          </cell>
          <cell r="CF347">
            <v>4</v>
          </cell>
          <cell r="CG347">
            <v>4</v>
          </cell>
          <cell r="CH347">
            <v>4</v>
          </cell>
          <cell r="CI347">
            <v>4</v>
          </cell>
          <cell r="CJ347" t="str">
            <v>12Đ</v>
          </cell>
          <cell r="CK347">
            <v>4</v>
          </cell>
          <cell r="CL347">
            <v>0</v>
          </cell>
          <cell r="CM347">
            <v>4</v>
          </cell>
          <cell r="CR347">
            <v>0</v>
          </cell>
          <cell r="CS347">
            <v>0</v>
          </cell>
          <cell r="CT347">
            <v>60</v>
          </cell>
          <cell r="CU347">
            <v>30</v>
          </cell>
          <cell r="CV347">
            <v>16</v>
          </cell>
          <cell r="CZ347">
            <v>106</v>
          </cell>
        </row>
        <row r="348">
          <cell r="C348" t="str">
            <v>02787</v>
          </cell>
          <cell r="D348" t="str">
            <v>Nguyễn Thanh Cảnh</v>
          </cell>
          <cell r="E348" t="str">
            <v>Production</v>
          </cell>
          <cell r="F348" t="str">
            <v>Packing</v>
          </cell>
          <cell r="G348" t="str">
            <v>Worker</v>
          </cell>
          <cell r="H348">
            <v>44256</v>
          </cell>
          <cell r="I348" t="str">
            <v>Đ</v>
          </cell>
          <cell r="J348" t="str">
            <v>Đ</v>
          </cell>
          <cell r="K348" t="str">
            <v>Đ</v>
          </cell>
          <cell r="L348" t="str">
            <v>CN</v>
          </cell>
          <cell r="M348">
            <v>8</v>
          </cell>
          <cell r="N348">
            <v>8</v>
          </cell>
          <cell r="O348">
            <v>8</v>
          </cell>
          <cell r="P348">
            <v>8</v>
          </cell>
          <cell r="Q348">
            <v>8</v>
          </cell>
          <cell r="R348">
            <v>8</v>
          </cell>
          <cell r="S348" t="str">
            <v>CN</v>
          </cell>
          <cell r="T348" t="str">
            <v>Đ</v>
          </cell>
          <cell r="U348" t="str">
            <v>Đ</v>
          </cell>
          <cell r="V348" t="str">
            <v>Đ</v>
          </cell>
          <cell r="W348" t="str">
            <v>Đ</v>
          </cell>
          <cell r="X348" t="str">
            <v>Đ</v>
          </cell>
          <cell r="Y348" t="str">
            <v>Đ</v>
          </cell>
          <cell r="Z348" t="str">
            <v>CN</v>
          </cell>
          <cell r="AA348">
            <v>8</v>
          </cell>
          <cell r="AB348">
            <v>8</v>
          </cell>
          <cell r="AC348">
            <v>8</v>
          </cell>
          <cell r="AD348">
            <v>8</v>
          </cell>
          <cell r="AE348">
            <v>8</v>
          </cell>
          <cell r="AF348">
            <v>8</v>
          </cell>
          <cell r="AG348" t="str">
            <v>CN</v>
          </cell>
          <cell r="AH348" t="str">
            <v>Đ</v>
          </cell>
          <cell r="AI348" t="str">
            <v>Đ</v>
          </cell>
          <cell r="AJ348" t="str">
            <v>Đ</v>
          </cell>
          <cell r="AN348">
            <v>96</v>
          </cell>
          <cell r="AO348">
            <v>96</v>
          </cell>
          <cell r="AP348">
            <v>0</v>
          </cell>
          <cell r="AQ348">
            <v>0</v>
          </cell>
          <cell r="AR348">
            <v>0</v>
          </cell>
          <cell r="AS348">
            <v>0</v>
          </cell>
          <cell r="AT348">
            <v>0</v>
          </cell>
          <cell r="AU348">
            <v>0</v>
          </cell>
          <cell r="AV348">
            <v>0</v>
          </cell>
          <cell r="AW348">
            <v>0</v>
          </cell>
          <cell r="AX348">
            <v>0</v>
          </cell>
          <cell r="AY348">
            <v>0</v>
          </cell>
          <cell r="AZ348">
            <v>0</v>
          </cell>
          <cell r="BA348">
            <v>0</v>
          </cell>
          <cell r="BB348">
            <v>0</v>
          </cell>
          <cell r="BC348">
            <v>0</v>
          </cell>
          <cell r="BD348">
            <v>0</v>
          </cell>
          <cell r="BE348">
            <v>0</v>
          </cell>
          <cell r="BF348">
            <v>0</v>
          </cell>
          <cell r="BG348">
            <v>192</v>
          </cell>
          <cell r="BH348">
            <v>0</v>
          </cell>
          <cell r="BI348">
            <v>0</v>
          </cell>
          <cell r="BJ348">
            <v>0.5</v>
          </cell>
          <cell r="BL348">
            <v>0</v>
          </cell>
          <cell r="BM348">
            <v>1.5</v>
          </cell>
          <cell r="BN348">
            <v>1.5</v>
          </cell>
          <cell r="BO348">
            <v>0</v>
          </cell>
          <cell r="BP348">
            <v>1.5</v>
          </cell>
          <cell r="BQ348">
            <v>3</v>
          </cell>
          <cell r="BR348">
            <v>0</v>
          </cell>
          <cell r="BS348">
            <v>3</v>
          </cell>
          <cell r="BT348">
            <v>3</v>
          </cell>
          <cell r="BU348">
            <v>0</v>
          </cell>
          <cell r="BV348">
            <v>0</v>
          </cell>
          <cell r="BW348">
            <v>3</v>
          </cell>
          <cell r="BX348">
            <v>4</v>
          </cell>
          <cell r="BY348">
            <v>4</v>
          </cell>
          <cell r="BZ348">
            <v>0</v>
          </cell>
          <cell r="CA348">
            <v>4</v>
          </cell>
          <cell r="CB348">
            <v>4</v>
          </cell>
          <cell r="CC348">
            <v>0</v>
          </cell>
          <cell r="CD348">
            <v>1.5</v>
          </cell>
          <cell r="CE348">
            <v>3</v>
          </cell>
          <cell r="CF348">
            <v>2.5</v>
          </cell>
          <cell r="CG348">
            <v>2</v>
          </cell>
          <cell r="CH348">
            <v>1.5</v>
          </cell>
          <cell r="CI348">
            <v>1.5</v>
          </cell>
          <cell r="CJ348">
            <v>8</v>
          </cell>
          <cell r="CK348">
            <v>1.5</v>
          </cell>
          <cell r="CL348">
            <v>4</v>
          </cell>
          <cell r="CM348">
            <v>1.5</v>
          </cell>
          <cell r="CR348">
            <v>0</v>
          </cell>
          <cell r="CS348">
            <v>0</v>
          </cell>
          <cell r="CT348">
            <v>51.5</v>
          </cell>
          <cell r="CU348">
            <v>8</v>
          </cell>
          <cell r="CV348">
            <v>0</v>
          </cell>
          <cell r="CZ348">
            <v>59.5</v>
          </cell>
        </row>
        <row r="349">
          <cell r="C349" t="str">
            <v>02791</v>
          </cell>
          <cell r="D349" t="str">
            <v>Nguyễn Văn Hòa</v>
          </cell>
          <cell r="E349" t="str">
            <v>Production</v>
          </cell>
          <cell r="F349" t="str">
            <v>Skiving</v>
          </cell>
          <cell r="G349" t="str">
            <v>Worker</v>
          </cell>
          <cell r="H349">
            <v>44256</v>
          </cell>
          <cell r="I349">
            <v>8</v>
          </cell>
          <cell r="J349">
            <v>8</v>
          </cell>
          <cell r="K349">
            <v>8</v>
          </cell>
          <cell r="L349" t="str">
            <v>CN</v>
          </cell>
          <cell r="M349" t="str">
            <v>Đ</v>
          </cell>
          <cell r="N349" t="str">
            <v>Đ</v>
          </cell>
          <cell r="O349" t="str">
            <v>Đ</v>
          </cell>
          <cell r="P349" t="str">
            <v>Đ</v>
          </cell>
          <cell r="Q349" t="str">
            <v>Đ</v>
          </cell>
          <cell r="R349" t="str">
            <v>Đ</v>
          </cell>
          <cell r="S349" t="str">
            <v>CN</v>
          </cell>
          <cell r="T349">
            <v>8</v>
          </cell>
          <cell r="U349">
            <v>8</v>
          </cell>
          <cell r="V349">
            <v>8</v>
          </cell>
          <cell r="W349">
            <v>8</v>
          </cell>
          <cell r="X349">
            <v>8</v>
          </cell>
          <cell r="Y349" t="str">
            <v>AL8</v>
          </cell>
          <cell r="Z349" t="str">
            <v>CN</v>
          </cell>
          <cell r="AA349" t="str">
            <v>Đ</v>
          </cell>
          <cell r="AB349" t="str">
            <v>Đ</v>
          </cell>
          <cell r="AC349" t="str">
            <v>Đ</v>
          </cell>
          <cell r="AD349" t="str">
            <v>Đ</v>
          </cell>
          <cell r="AE349" t="str">
            <v>Đ</v>
          </cell>
          <cell r="AF349" t="str">
            <v>Đ</v>
          </cell>
          <cell r="AG349" t="str">
            <v>CN</v>
          </cell>
          <cell r="AH349">
            <v>8</v>
          </cell>
          <cell r="AI349">
            <v>8</v>
          </cell>
          <cell r="AJ349">
            <v>8</v>
          </cell>
          <cell r="AN349">
            <v>96</v>
          </cell>
          <cell r="AO349">
            <v>88</v>
          </cell>
          <cell r="AP349">
            <v>0</v>
          </cell>
          <cell r="AQ349">
            <v>0</v>
          </cell>
          <cell r="AR349">
            <v>0</v>
          </cell>
          <cell r="AS349">
            <v>0</v>
          </cell>
          <cell r="AT349">
            <v>0</v>
          </cell>
          <cell r="AU349">
            <v>0</v>
          </cell>
          <cell r="AV349">
            <v>0</v>
          </cell>
          <cell r="AW349">
            <v>0</v>
          </cell>
          <cell r="AX349">
            <v>0</v>
          </cell>
          <cell r="AY349">
            <v>0</v>
          </cell>
          <cell r="AZ349">
            <v>0</v>
          </cell>
          <cell r="BA349">
            <v>8</v>
          </cell>
          <cell r="BB349">
            <v>0</v>
          </cell>
          <cell r="BC349">
            <v>0</v>
          </cell>
          <cell r="BD349">
            <v>0</v>
          </cell>
          <cell r="BE349">
            <v>0</v>
          </cell>
          <cell r="BF349">
            <v>0</v>
          </cell>
          <cell r="BG349">
            <v>192</v>
          </cell>
          <cell r="BH349">
            <v>1</v>
          </cell>
          <cell r="BI349">
            <v>1</v>
          </cell>
          <cell r="BJ349">
            <v>-0.5</v>
          </cell>
          <cell r="BL349">
            <v>0</v>
          </cell>
          <cell r="BM349">
            <v>1.5</v>
          </cell>
          <cell r="BN349">
            <v>0</v>
          </cell>
          <cell r="BO349">
            <v>0</v>
          </cell>
          <cell r="BP349">
            <v>1.5</v>
          </cell>
          <cell r="BQ349">
            <v>3</v>
          </cell>
          <cell r="BR349">
            <v>0</v>
          </cell>
          <cell r="BS349">
            <v>3</v>
          </cell>
          <cell r="BT349">
            <v>3</v>
          </cell>
          <cell r="BU349">
            <v>0</v>
          </cell>
          <cell r="BV349">
            <v>0</v>
          </cell>
          <cell r="BW349">
            <v>3</v>
          </cell>
          <cell r="BX349">
            <v>3</v>
          </cell>
          <cell r="BY349">
            <v>3</v>
          </cell>
          <cell r="BZ349">
            <v>3</v>
          </cell>
          <cell r="CA349">
            <v>3</v>
          </cell>
          <cell r="CB349">
            <v>0</v>
          </cell>
          <cell r="CC349">
            <v>8</v>
          </cell>
          <cell r="CD349">
            <v>4</v>
          </cell>
          <cell r="CE349">
            <v>4</v>
          </cell>
          <cell r="CF349">
            <v>4</v>
          </cell>
          <cell r="CG349">
            <v>4</v>
          </cell>
          <cell r="CH349">
            <v>1.5</v>
          </cell>
          <cell r="CI349">
            <v>1.5</v>
          </cell>
          <cell r="CJ349">
            <v>0</v>
          </cell>
          <cell r="CK349">
            <v>1.5</v>
          </cell>
          <cell r="CL349">
            <v>3</v>
          </cell>
          <cell r="CM349">
            <v>1.5</v>
          </cell>
          <cell r="CR349">
            <v>0</v>
          </cell>
          <cell r="CS349">
            <v>0</v>
          </cell>
          <cell r="CT349">
            <v>52</v>
          </cell>
          <cell r="CU349">
            <v>8</v>
          </cell>
          <cell r="CV349">
            <v>0</v>
          </cell>
          <cell r="CZ349">
            <v>60</v>
          </cell>
        </row>
        <row r="350">
          <cell r="C350" t="str">
            <v>02793</v>
          </cell>
          <cell r="D350" t="str">
            <v>Khưu Thanh Nhã</v>
          </cell>
          <cell r="E350" t="str">
            <v>Foaming</v>
          </cell>
          <cell r="F350" t="str">
            <v>FOAMING Rectangular</v>
          </cell>
          <cell r="G350" t="str">
            <v>Team Leader</v>
          </cell>
          <cell r="H350">
            <v>44256</v>
          </cell>
          <cell r="I350">
            <v>8</v>
          </cell>
          <cell r="J350">
            <v>8</v>
          </cell>
          <cell r="K350">
            <v>8</v>
          </cell>
          <cell r="L350" t="str">
            <v>CN</v>
          </cell>
          <cell r="M350">
            <v>8</v>
          </cell>
          <cell r="N350">
            <v>8</v>
          </cell>
          <cell r="O350">
            <v>8</v>
          </cell>
          <cell r="P350">
            <v>8</v>
          </cell>
          <cell r="Q350">
            <v>8</v>
          </cell>
          <cell r="R350">
            <v>8</v>
          </cell>
          <cell r="S350" t="str">
            <v>CN</v>
          </cell>
          <cell r="T350">
            <v>8</v>
          </cell>
          <cell r="U350">
            <v>8</v>
          </cell>
          <cell r="V350">
            <v>8</v>
          </cell>
          <cell r="W350">
            <v>8</v>
          </cell>
          <cell r="X350">
            <v>8</v>
          </cell>
          <cell r="Y350">
            <v>8</v>
          </cell>
          <cell r="Z350" t="str">
            <v>CN</v>
          </cell>
          <cell r="AA350" t="str">
            <v>Đ</v>
          </cell>
          <cell r="AB350" t="str">
            <v>Đ</v>
          </cell>
          <cell r="AC350" t="str">
            <v>Đ</v>
          </cell>
          <cell r="AD350" t="str">
            <v>Đ</v>
          </cell>
          <cell r="AE350" t="str">
            <v>Đ</v>
          </cell>
          <cell r="AF350" t="str">
            <v>Đ</v>
          </cell>
          <cell r="AG350" t="str">
            <v>CN</v>
          </cell>
          <cell r="AH350" t="str">
            <v>Đ</v>
          </cell>
          <cell r="AI350" t="str">
            <v>Đ</v>
          </cell>
          <cell r="AJ350" t="str">
            <v>Đ</v>
          </cell>
          <cell r="AN350">
            <v>72</v>
          </cell>
          <cell r="AO350">
            <v>120</v>
          </cell>
          <cell r="AP350">
            <v>0</v>
          </cell>
          <cell r="AQ350">
            <v>0</v>
          </cell>
          <cell r="AR350">
            <v>0</v>
          </cell>
          <cell r="AS350">
            <v>0</v>
          </cell>
          <cell r="AT350">
            <v>0</v>
          </cell>
          <cell r="AU350">
            <v>0</v>
          </cell>
          <cell r="AV350">
            <v>0</v>
          </cell>
          <cell r="AW350">
            <v>0</v>
          </cell>
          <cell r="AX350">
            <v>0</v>
          </cell>
          <cell r="AY350">
            <v>0</v>
          </cell>
          <cell r="AZ350">
            <v>0</v>
          </cell>
          <cell r="BA350">
            <v>0</v>
          </cell>
          <cell r="BB350">
            <v>0</v>
          </cell>
          <cell r="BC350">
            <v>0</v>
          </cell>
          <cell r="BD350">
            <v>0</v>
          </cell>
          <cell r="BE350">
            <v>0</v>
          </cell>
          <cell r="BF350">
            <v>0</v>
          </cell>
          <cell r="BG350">
            <v>192</v>
          </cell>
          <cell r="BH350">
            <v>0</v>
          </cell>
          <cell r="BI350">
            <v>0</v>
          </cell>
          <cell r="BJ350">
            <v>1.5</v>
          </cell>
          <cell r="BL350">
            <v>3</v>
          </cell>
          <cell r="BM350">
            <v>4</v>
          </cell>
          <cell r="BN350">
            <v>4</v>
          </cell>
          <cell r="BO350">
            <v>12</v>
          </cell>
          <cell r="BP350">
            <v>0</v>
          </cell>
          <cell r="BQ350">
            <v>3</v>
          </cell>
          <cell r="BR350">
            <v>4</v>
          </cell>
          <cell r="BS350">
            <v>4</v>
          </cell>
          <cell r="BT350">
            <v>4</v>
          </cell>
          <cell r="BU350">
            <v>4</v>
          </cell>
          <cell r="BV350">
            <v>12</v>
          </cell>
          <cell r="BW350">
            <v>4</v>
          </cell>
          <cell r="BX350">
            <v>4</v>
          </cell>
          <cell r="BY350">
            <v>4</v>
          </cell>
          <cell r="BZ350">
            <v>4</v>
          </cell>
          <cell r="CA350">
            <v>4</v>
          </cell>
          <cell r="CB350">
            <v>4</v>
          </cell>
          <cell r="CC350" t="str">
            <v>12Đ</v>
          </cell>
          <cell r="CD350">
            <v>4</v>
          </cell>
          <cell r="CE350">
            <v>4</v>
          </cell>
          <cell r="CF350">
            <v>4</v>
          </cell>
          <cell r="CG350">
            <v>4</v>
          </cell>
          <cell r="CH350">
            <v>4</v>
          </cell>
          <cell r="CI350">
            <v>2</v>
          </cell>
          <cell r="CJ350" t="str">
            <v>12Đ</v>
          </cell>
          <cell r="CK350">
            <v>4</v>
          </cell>
          <cell r="CL350">
            <v>4</v>
          </cell>
          <cell r="CM350">
            <v>4</v>
          </cell>
          <cell r="CR350">
            <v>0</v>
          </cell>
          <cell r="CS350">
            <v>0</v>
          </cell>
          <cell r="CT350">
            <v>88</v>
          </cell>
          <cell r="CU350">
            <v>32</v>
          </cell>
          <cell r="CV350">
            <v>16</v>
          </cell>
          <cell r="CZ350">
            <v>136</v>
          </cell>
        </row>
        <row r="351">
          <cell r="C351" t="str">
            <v>02794</v>
          </cell>
          <cell r="D351" t="str">
            <v>Nguyễn Thị Bích Loan</v>
          </cell>
          <cell r="E351" t="str">
            <v>Production</v>
          </cell>
          <cell r="F351" t="str">
            <v>Logo</v>
          </cell>
          <cell r="G351" t="str">
            <v>Worker</v>
          </cell>
          <cell r="H351">
            <v>44256</v>
          </cell>
          <cell r="I351" t="str">
            <v>Đ</v>
          </cell>
          <cell r="J351" t="str">
            <v>Đ</v>
          </cell>
          <cell r="K351" t="str">
            <v>Đ</v>
          </cell>
          <cell r="L351" t="str">
            <v>CN</v>
          </cell>
          <cell r="M351">
            <v>8</v>
          </cell>
          <cell r="N351">
            <v>8</v>
          </cell>
          <cell r="O351">
            <v>8</v>
          </cell>
          <cell r="P351">
            <v>8</v>
          </cell>
          <cell r="Q351">
            <v>8</v>
          </cell>
          <cell r="R351">
            <v>8</v>
          </cell>
          <cell r="S351" t="str">
            <v>CN</v>
          </cell>
          <cell r="T351" t="str">
            <v>Đ</v>
          </cell>
          <cell r="U351" t="str">
            <v>Đ</v>
          </cell>
          <cell r="V351" t="str">
            <v>Đ</v>
          </cell>
          <cell r="W351" t="str">
            <v>Đ</v>
          </cell>
          <cell r="X351" t="str">
            <v>Đ</v>
          </cell>
          <cell r="Y351" t="str">
            <v>Đ</v>
          </cell>
          <cell r="Z351" t="str">
            <v>CN</v>
          </cell>
          <cell r="AA351" t="str">
            <v>AL8</v>
          </cell>
          <cell r="AB351">
            <v>8</v>
          </cell>
          <cell r="AC351">
            <v>8</v>
          </cell>
          <cell r="AD351">
            <v>8</v>
          </cell>
          <cell r="AE351">
            <v>8</v>
          </cell>
          <cell r="AF351">
            <v>8</v>
          </cell>
          <cell r="AG351" t="str">
            <v>CN</v>
          </cell>
          <cell r="AH351" t="str">
            <v>Đ</v>
          </cell>
          <cell r="AI351" t="str">
            <v>Đ</v>
          </cell>
          <cell r="AJ351" t="str">
            <v>Đ</v>
          </cell>
          <cell r="AN351">
            <v>96</v>
          </cell>
          <cell r="AO351">
            <v>88</v>
          </cell>
          <cell r="AP351">
            <v>0</v>
          </cell>
          <cell r="AQ351">
            <v>0</v>
          </cell>
          <cell r="AR351">
            <v>0</v>
          </cell>
          <cell r="AS351">
            <v>0</v>
          </cell>
          <cell r="AT351">
            <v>0</v>
          </cell>
          <cell r="AU351">
            <v>0</v>
          </cell>
          <cell r="AV351">
            <v>0</v>
          </cell>
          <cell r="AW351">
            <v>0</v>
          </cell>
          <cell r="AX351">
            <v>0</v>
          </cell>
          <cell r="AY351">
            <v>0</v>
          </cell>
          <cell r="AZ351">
            <v>0</v>
          </cell>
          <cell r="BA351">
            <v>8</v>
          </cell>
          <cell r="BB351">
            <v>0</v>
          </cell>
          <cell r="BC351">
            <v>0</v>
          </cell>
          <cell r="BD351">
            <v>0</v>
          </cell>
          <cell r="BE351">
            <v>0</v>
          </cell>
          <cell r="BF351">
            <v>0</v>
          </cell>
          <cell r="BG351">
            <v>192</v>
          </cell>
          <cell r="BH351">
            <v>1</v>
          </cell>
          <cell r="BI351">
            <v>1</v>
          </cell>
          <cell r="BJ351">
            <v>5</v>
          </cell>
          <cell r="BL351">
            <v>0</v>
          </cell>
          <cell r="BM351">
            <v>0</v>
          </cell>
          <cell r="BN351">
            <v>0</v>
          </cell>
          <cell r="BO351">
            <v>0</v>
          </cell>
          <cell r="BP351">
            <v>1.5</v>
          </cell>
          <cell r="BQ351">
            <v>3</v>
          </cell>
          <cell r="BR351">
            <v>0</v>
          </cell>
          <cell r="BS351">
            <v>3</v>
          </cell>
          <cell r="BT351">
            <v>3</v>
          </cell>
          <cell r="BU351">
            <v>0</v>
          </cell>
          <cell r="BV351">
            <v>0</v>
          </cell>
          <cell r="BW351">
            <v>3</v>
          </cell>
          <cell r="BX351">
            <v>4</v>
          </cell>
          <cell r="BY351">
            <v>4</v>
          </cell>
          <cell r="BZ351">
            <v>4</v>
          </cell>
          <cell r="CA351">
            <v>4</v>
          </cell>
          <cell r="CB351">
            <v>4</v>
          </cell>
          <cell r="CC351">
            <v>0</v>
          </cell>
          <cell r="CD351">
            <v>0</v>
          </cell>
          <cell r="CE351">
            <v>3</v>
          </cell>
          <cell r="CF351">
            <v>3</v>
          </cell>
          <cell r="CG351">
            <v>3</v>
          </cell>
          <cell r="CH351">
            <v>1.5</v>
          </cell>
          <cell r="CI351">
            <v>1.5</v>
          </cell>
          <cell r="CJ351">
            <v>8</v>
          </cell>
          <cell r="CK351">
            <v>1.5</v>
          </cell>
          <cell r="CL351">
            <v>4</v>
          </cell>
          <cell r="CM351">
            <v>1.5</v>
          </cell>
          <cell r="CR351">
            <v>0</v>
          </cell>
          <cell r="CS351">
            <v>0</v>
          </cell>
          <cell r="CT351">
            <v>52.5</v>
          </cell>
          <cell r="CU351">
            <v>8</v>
          </cell>
          <cell r="CV351">
            <v>0</v>
          </cell>
          <cell r="CZ351">
            <v>60.5</v>
          </cell>
        </row>
        <row r="352">
          <cell r="C352" t="str">
            <v>02798</v>
          </cell>
          <cell r="D352" t="str">
            <v>Võ Đăng Tùng</v>
          </cell>
          <cell r="E352" t="str">
            <v>Technical Development</v>
          </cell>
          <cell r="F352" t="str">
            <v>PD Sample</v>
          </cell>
          <cell r="G352" t="str">
            <v>Worker</v>
          </cell>
          <cell r="H352" t="str">
            <v>03/03/2021</v>
          </cell>
          <cell r="I352">
            <v>8</v>
          </cell>
          <cell r="J352">
            <v>8</v>
          </cell>
          <cell r="K352">
            <v>8</v>
          </cell>
          <cell r="L352" t="str">
            <v>CN</v>
          </cell>
          <cell r="M352">
            <v>8</v>
          </cell>
          <cell r="N352">
            <v>8</v>
          </cell>
          <cell r="O352">
            <v>8</v>
          </cell>
          <cell r="P352">
            <v>8</v>
          </cell>
          <cell r="Q352">
            <v>8</v>
          </cell>
          <cell r="R352">
            <v>8</v>
          </cell>
          <cell r="S352" t="str">
            <v>CN</v>
          </cell>
          <cell r="T352">
            <v>8</v>
          </cell>
          <cell r="U352">
            <v>8</v>
          </cell>
          <cell r="V352">
            <v>8</v>
          </cell>
          <cell r="W352">
            <v>8</v>
          </cell>
          <cell r="X352">
            <v>8</v>
          </cell>
          <cell r="Y352" t="str">
            <v>AL4</v>
          </cell>
          <cell r="Z352" t="str">
            <v>CN</v>
          </cell>
          <cell r="AA352">
            <v>8</v>
          </cell>
          <cell r="AB352">
            <v>8</v>
          </cell>
          <cell r="AC352">
            <v>8</v>
          </cell>
          <cell r="AD352">
            <v>8</v>
          </cell>
          <cell r="AE352">
            <v>8</v>
          </cell>
          <cell r="AF352" t="str">
            <v>AL4</v>
          </cell>
          <cell r="AG352" t="str">
            <v>CN</v>
          </cell>
          <cell r="AH352">
            <v>8</v>
          </cell>
          <cell r="AI352">
            <v>8</v>
          </cell>
          <cell r="AJ352">
            <v>8</v>
          </cell>
          <cell r="AN352">
            <v>0</v>
          </cell>
          <cell r="AO352">
            <v>184</v>
          </cell>
          <cell r="AP352">
            <v>8</v>
          </cell>
          <cell r="AQ352">
            <v>0</v>
          </cell>
          <cell r="AR352">
            <v>0</v>
          </cell>
          <cell r="AS352">
            <v>0</v>
          </cell>
          <cell r="AT352">
            <v>0</v>
          </cell>
          <cell r="AU352">
            <v>0</v>
          </cell>
          <cell r="AV352">
            <v>0</v>
          </cell>
          <cell r="AW352">
            <v>0</v>
          </cell>
          <cell r="AX352">
            <v>0</v>
          </cell>
          <cell r="AY352">
            <v>0</v>
          </cell>
          <cell r="AZ352">
            <v>0</v>
          </cell>
          <cell r="BA352">
            <v>8</v>
          </cell>
          <cell r="BB352">
            <v>0</v>
          </cell>
          <cell r="BC352">
            <v>0</v>
          </cell>
          <cell r="BD352">
            <v>0</v>
          </cell>
          <cell r="BE352">
            <v>0</v>
          </cell>
          <cell r="BF352">
            <v>0</v>
          </cell>
          <cell r="BG352">
            <v>192</v>
          </cell>
          <cell r="BH352">
            <v>1</v>
          </cell>
          <cell r="BI352">
            <v>1</v>
          </cell>
          <cell r="BJ352">
            <v>0.5</v>
          </cell>
          <cell r="BL352">
            <v>1.5</v>
          </cell>
          <cell r="BM352">
            <v>3</v>
          </cell>
          <cell r="BN352">
            <v>0</v>
          </cell>
          <cell r="BO352">
            <v>0</v>
          </cell>
          <cell r="BP352">
            <v>3</v>
          </cell>
          <cell r="BQ352">
            <v>0</v>
          </cell>
          <cell r="BR352">
            <v>3</v>
          </cell>
          <cell r="BS352">
            <v>3</v>
          </cell>
          <cell r="BT352">
            <v>0</v>
          </cell>
          <cell r="BU352">
            <v>0</v>
          </cell>
          <cell r="BV352">
            <v>0</v>
          </cell>
          <cell r="BW352">
            <v>0</v>
          </cell>
          <cell r="BX352">
            <v>3</v>
          </cell>
          <cell r="BY352">
            <v>3</v>
          </cell>
          <cell r="BZ352">
            <v>0</v>
          </cell>
          <cell r="CA352">
            <v>0</v>
          </cell>
          <cell r="CB352">
            <v>0</v>
          </cell>
          <cell r="CC352">
            <v>0</v>
          </cell>
          <cell r="CD352">
            <v>1</v>
          </cell>
          <cell r="CE352">
            <v>3</v>
          </cell>
          <cell r="CF352">
            <v>0</v>
          </cell>
          <cell r="CG352">
            <v>0</v>
          </cell>
          <cell r="CH352">
            <v>2</v>
          </cell>
          <cell r="CI352">
            <v>0</v>
          </cell>
          <cell r="CJ352">
            <v>0</v>
          </cell>
          <cell r="CK352">
            <v>0</v>
          </cell>
          <cell r="CL352">
            <v>0</v>
          </cell>
          <cell r="CM352">
            <v>0</v>
          </cell>
          <cell r="CR352">
            <v>0</v>
          </cell>
          <cell r="CS352">
            <v>0</v>
          </cell>
          <cell r="CT352">
            <v>25.5</v>
          </cell>
          <cell r="CU352">
            <v>0</v>
          </cell>
          <cell r="CV352">
            <v>0</v>
          </cell>
          <cell r="CZ352">
            <v>25.5</v>
          </cell>
        </row>
        <row r="353">
          <cell r="C353" t="str">
            <v>02803</v>
          </cell>
          <cell r="D353" t="str">
            <v>Nguyễn Thị Trinh</v>
          </cell>
          <cell r="E353" t="str">
            <v>Production</v>
          </cell>
          <cell r="F353" t="str">
            <v>Packing</v>
          </cell>
          <cell r="G353" t="str">
            <v>Worker</v>
          </cell>
          <cell r="H353" t="str">
            <v>03/03/2021</v>
          </cell>
          <cell r="I353">
            <v>8</v>
          </cell>
          <cell r="J353">
            <v>8</v>
          </cell>
          <cell r="K353">
            <v>8</v>
          </cell>
          <cell r="L353" t="str">
            <v>CN</v>
          </cell>
          <cell r="M353" t="str">
            <v>Đ</v>
          </cell>
          <cell r="N353" t="str">
            <v>Đ</v>
          </cell>
          <cell r="O353" t="str">
            <v>Đ</v>
          </cell>
          <cell r="P353" t="str">
            <v>Đ</v>
          </cell>
          <cell r="Q353" t="str">
            <v>Đ</v>
          </cell>
          <cell r="R353" t="str">
            <v>AL8</v>
          </cell>
          <cell r="S353" t="str">
            <v>CN</v>
          </cell>
          <cell r="T353">
            <v>8</v>
          </cell>
          <cell r="U353">
            <v>8</v>
          </cell>
          <cell r="V353">
            <v>8</v>
          </cell>
          <cell r="W353">
            <v>8</v>
          </cell>
          <cell r="X353">
            <v>8</v>
          </cell>
          <cell r="Y353">
            <v>8</v>
          </cell>
          <cell r="Z353" t="str">
            <v>CN</v>
          </cell>
          <cell r="AA353" t="str">
            <v>Đ</v>
          </cell>
          <cell r="AB353" t="str">
            <v>Đ</v>
          </cell>
          <cell r="AC353" t="str">
            <v>Đ</v>
          </cell>
          <cell r="AD353" t="str">
            <v>Đ</v>
          </cell>
          <cell r="AE353" t="str">
            <v>AL8</v>
          </cell>
          <cell r="AF353" t="str">
            <v>Đ</v>
          </cell>
          <cell r="AG353" t="str">
            <v>CN</v>
          </cell>
          <cell r="AH353">
            <v>8</v>
          </cell>
          <cell r="AI353">
            <v>8</v>
          </cell>
          <cell r="AJ353">
            <v>8</v>
          </cell>
          <cell r="AN353">
            <v>80</v>
          </cell>
          <cell r="AO353">
            <v>96</v>
          </cell>
          <cell r="AP353">
            <v>0</v>
          </cell>
          <cell r="AQ353">
            <v>0</v>
          </cell>
          <cell r="AR353">
            <v>0</v>
          </cell>
          <cell r="AS353">
            <v>0</v>
          </cell>
          <cell r="AT353">
            <v>0</v>
          </cell>
          <cell r="AU353">
            <v>0</v>
          </cell>
          <cell r="AV353">
            <v>0</v>
          </cell>
          <cell r="AW353">
            <v>0</v>
          </cell>
          <cell r="AX353">
            <v>0</v>
          </cell>
          <cell r="AY353">
            <v>0</v>
          </cell>
          <cell r="AZ353">
            <v>0</v>
          </cell>
          <cell r="BA353">
            <v>16</v>
          </cell>
          <cell r="BB353">
            <v>0</v>
          </cell>
          <cell r="BC353">
            <v>0</v>
          </cell>
          <cell r="BD353">
            <v>0</v>
          </cell>
          <cell r="BE353">
            <v>0</v>
          </cell>
          <cell r="BF353">
            <v>0</v>
          </cell>
          <cell r="BG353">
            <v>192</v>
          </cell>
          <cell r="BH353">
            <v>2</v>
          </cell>
          <cell r="BI353">
            <v>2</v>
          </cell>
          <cell r="BJ353">
            <v>0.5</v>
          </cell>
          <cell r="BL353">
            <v>0</v>
          </cell>
          <cell r="BM353">
            <v>1.5</v>
          </cell>
          <cell r="BN353">
            <v>0</v>
          </cell>
          <cell r="BO353">
            <v>0</v>
          </cell>
          <cell r="BP353">
            <v>0</v>
          </cell>
          <cell r="BQ353">
            <v>0</v>
          </cell>
          <cell r="BR353">
            <v>0</v>
          </cell>
          <cell r="BS353">
            <v>4</v>
          </cell>
          <cell r="BT353">
            <v>0</v>
          </cell>
          <cell r="BU353">
            <v>0</v>
          </cell>
          <cell r="BV353">
            <v>0</v>
          </cell>
          <cell r="BW353">
            <v>3</v>
          </cell>
          <cell r="BX353">
            <v>3</v>
          </cell>
          <cell r="BY353">
            <v>3</v>
          </cell>
          <cell r="BZ353">
            <v>3</v>
          </cell>
          <cell r="CA353">
            <v>3</v>
          </cell>
          <cell r="CB353">
            <v>3</v>
          </cell>
          <cell r="CC353">
            <v>8</v>
          </cell>
          <cell r="CD353">
            <v>4</v>
          </cell>
          <cell r="CE353">
            <v>4</v>
          </cell>
          <cell r="CF353">
            <v>4</v>
          </cell>
          <cell r="CG353">
            <v>4</v>
          </cell>
          <cell r="CH353">
            <v>4</v>
          </cell>
          <cell r="CI353">
            <v>4</v>
          </cell>
          <cell r="CJ353">
            <v>0</v>
          </cell>
          <cell r="CK353">
            <v>3</v>
          </cell>
          <cell r="CL353">
            <v>3</v>
          </cell>
          <cell r="CM353">
            <v>3</v>
          </cell>
          <cell r="CR353">
            <v>0</v>
          </cell>
          <cell r="CS353">
            <v>0</v>
          </cell>
          <cell r="CT353">
            <v>56.5</v>
          </cell>
          <cell r="CU353">
            <v>8</v>
          </cell>
          <cell r="CV353">
            <v>0</v>
          </cell>
          <cell r="CZ353">
            <v>64.5</v>
          </cell>
        </row>
        <row r="354">
          <cell r="C354" t="str">
            <v>02806</v>
          </cell>
          <cell r="D354" t="str">
            <v>Biện Nhã Yến Vy</v>
          </cell>
          <cell r="E354" t="str">
            <v>Production</v>
          </cell>
          <cell r="F354" t="str">
            <v>Die Cut</v>
          </cell>
          <cell r="G354" t="str">
            <v>Worker</v>
          </cell>
          <cell r="H354" t="str">
            <v>03/03/2021</v>
          </cell>
          <cell r="I354" t="str">
            <v>Đ</v>
          </cell>
          <cell r="J354" t="str">
            <v>Đ</v>
          </cell>
          <cell r="K354" t="str">
            <v>Đ</v>
          </cell>
          <cell r="L354" t="str">
            <v>CN</v>
          </cell>
          <cell r="M354">
            <v>8</v>
          </cell>
          <cell r="N354">
            <v>8</v>
          </cell>
          <cell r="O354">
            <v>8</v>
          </cell>
          <cell r="P354">
            <v>8</v>
          </cell>
          <cell r="Q354">
            <v>8</v>
          </cell>
          <cell r="R354">
            <v>8</v>
          </cell>
          <cell r="S354" t="str">
            <v>CN</v>
          </cell>
          <cell r="T354" t="str">
            <v>Đ</v>
          </cell>
          <cell r="U354" t="str">
            <v>Đ</v>
          </cell>
          <cell r="V354" t="str">
            <v>Đ</v>
          </cell>
          <cell r="W354" t="str">
            <v>Đ</v>
          </cell>
          <cell r="X354" t="str">
            <v>Đ</v>
          </cell>
          <cell r="Y354" t="str">
            <v>Đ</v>
          </cell>
          <cell r="Z354" t="str">
            <v>CN</v>
          </cell>
          <cell r="AA354">
            <v>8</v>
          </cell>
          <cell r="AB354">
            <v>8</v>
          </cell>
          <cell r="AC354">
            <v>8</v>
          </cell>
          <cell r="AD354">
            <v>8</v>
          </cell>
          <cell r="AE354">
            <v>8</v>
          </cell>
          <cell r="AF354">
            <v>8</v>
          </cell>
          <cell r="AG354" t="str">
            <v>CN</v>
          </cell>
          <cell r="AH354" t="str">
            <v>Đ</v>
          </cell>
          <cell r="AI354" t="str">
            <v>Đ</v>
          </cell>
          <cell r="AJ354" t="str">
            <v>Đ</v>
          </cell>
          <cell r="AN354">
            <v>96</v>
          </cell>
          <cell r="AO354">
            <v>96</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0</v>
          </cell>
          <cell r="BF354">
            <v>0</v>
          </cell>
          <cell r="BG354">
            <v>192</v>
          </cell>
          <cell r="BH354">
            <v>0</v>
          </cell>
          <cell r="BI354">
            <v>0</v>
          </cell>
          <cell r="BJ354">
            <v>4.5</v>
          </cell>
          <cell r="BL354">
            <v>1.5</v>
          </cell>
          <cell r="BM354">
            <v>1.5</v>
          </cell>
          <cell r="BN354">
            <v>1.5</v>
          </cell>
          <cell r="BO354">
            <v>0</v>
          </cell>
          <cell r="BP354">
            <v>1.5</v>
          </cell>
          <cell r="BQ354">
            <v>0</v>
          </cell>
          <cell r="BR354">
            <v>0</v>
          </cell>
          <cell r="BS354">
            <v>3</v>
          </cell>
          <cell r="BT354">
            <v>3</v>
          </cell>
          <cell r="BU354">
            <v>3</v>
          </cell>
          <cell r="BV354">
            <v>0</v>
          </cell>
          <cell r="BW354">
            <v>4</v>
          </cell>
          <cell r="BX354">
            <v>4</v>
          </cell>
          <cell r="BY354">
            <v>4</v>
          </cell>
          <cell r="BZ354">
            <v>4</v>
          </cell>
          <cell r="CA354">
            <v>4</v>
          </cell>
          <cell r="CB354">
            <v>4</v>
          </cell>
          <cell r="CC354">
            <v>0</v>
          </cell>
          <cell r="CD354">
            <v>3</v>
          </cell>
          <cell r="CE354">
            <v>3</v>
          </cell>
          <cell r="CF354">
            <v>3</v>
          </cell>
          <cell r="CG354">
            <v>3</v>
          </cell>
          <cell r="CH354">
            <v>3</v>
          </cell>
          <cell r="CI354">
            <v>3</v>
          </cell>
          <cell r="CJ354">
            <v>8</v>
          </cell>
          <cell r="CK354">
            <v>4</v>
          </cell>
          <cell r="CL354">
            <v>4</v>
          </cell>
          <cell r="CM354">
            <v>4</v>
          </cell>
          <cell r="CR354">
            <v>0</v>
          </cell>
          <cell r="CS354">
            <v>0</v>
          </cell>
          <cell r="CT354">
            <v>69</v>
          </cell>
          <cell r="CU354">
            <v>8</v>
          </cell>
          <cell r="CV354">
            <v>0</v>
          </cell>
          <cell r="CZ354">
            <v>77</v>
          </cell>
        </row>
        <row r="355">
          <cell r="C355" t="str">
            <v>02811</v>
          </cell>
          <cell r="D355" t="str">
            <v>Phan Thị Thấy</v>
          </cell>
          <cell r="E355" t="str">
            <v>Production</v>
          </cell>
          <cell r="F355" t="str">
            <v>Die Cut</v>
          </cell>
          <cell r="G355" t="str">
            <v>Worker</v>
          </cell>
          <cell r="H355" t="str">
            <v>03/03/2021</v>
          </cell>
          <cell r="I355" t="str">
            <v>Đ</v>
          </cell>
          <cell r="J355" t="str">
            <v>Đ</v>
          </cell>
          <cell r="K355" t="str">
            <v>Đ</v>
          </cell>
          <cell r="L355" t="str">
            <v>CN</v>
          </cell>
          <cell r="M355">
            <v>8</v>
          </cell>
          <cell r="N355">
            <v>8</v>
          </cell>
          <cell r="O355">
            <v>8</v>
          </cell>
          <cell r="P355">
            <v>8</v>
          </cell>
          <cell r="Q355">
            <v>8</v>
          </cell>
          <cell r="R355">
            <v>8</v>
          </cell>
          <cell r="S355" t="str">
            <v>CN</v>
          </cell>
          <cell r="T355" t="str">
            <v>Đ</v>
          </cell>
          <cell r="U355" t="str">
            <v>AL8</v>
          </cell>
          <cell r="V355" t="str">
            <v>Đ</v>
          </cell>
          <cell r="W355" t="str">
            <v>Đ</v>
          </cell>
          <cell r="X355" t="str">
            <v>AL8</v>
          </cell>
          <cell r="Y355" t="str">
            <v>Đ</v>
          </cell>
          <cell r="Z355" t="str">
            <v>CN</v>
          </cell>
          <cell r="AA355">
            <v>8</v>
          </cell>
          <cell r="AB355">
            <v>8</v>
          </cell>
          <cell r="AC355">
            <v>8</v>
          </cell>
          <cell r="AD355">
            <v>8</v>
          </cell>
          <cell r="AE355">
            <v>8</v>
          </cell>
          <cell r="AF355">
            <v>8</v>
          </cell>
          <cell r="AG355" t="str">
            <v>CN</v>
          </cell>
          <cell r="AH355" t="str">
            <v>Đ</v>
          </cell>
          <cell r="AI355" t="str">
            <v>Đ</v>
          </cell>
          <cell r="AJ355" t="str">
            <v>Đ</v>
          </cell>
          <cell r="AN355">
            <v>80</v>
          </cell>
          <cell r="AO355">
            <v>96</v>
          </cell>
          <cell r="AP355">
            <v>0</v>
          </cell>
          <cell r="AQ355">
            <v>0</v>
          </cell>
          <cell r="AR355">
            <v>0</v>
          </cell>
          <cell r="AS355">
            <v>0</v>
          </cell>
          <cell r="AT355">
            <v>0</v>
          </cell>
          <cell r="AU355">
            <v>0</v>
          </cell>
          <cell r="AV355">
            <v>0</v>
          </cell>
          <cell r="AW355">
            <v>0</v>
          </cell>
          <cell r="AX355">
            <v>0</v>
          </cell>
          <cell r="AY355">
            <v>0</v>
          </cell>
          <cell r="AZ355">
            <v>0</v>
          </cell>
          <cell r="BA355">
            <v>16</v>
          </cell>
          <cell r="BB355">
            <v>0</v>
          </cell>
          <cell r="BC355">
            <v>0</v>
          </cell>
          <cell r="BD355">
            <v>0</v>
          </cell>
          <cell r="BE355">
            <v>0</v>
          </cell>
          <cell r="BF355">
            <v>0</v>
          </cell>
          <cell r="BG355">
            <v>192</v>
          </cell>
          <cell r="BH355">
            <v>2</v>
          </cell>
          <cell r="BI355">
            <v>2</v>
          </cell>
          <cell r="BJ355">
            <v>0.5</v>
          </cell>
          <cell r="BL355">
            <v>1.5</v>
          </cell>
          <cell r="BM355">
            <v>1.5</v>
          </cell>
          <cell r="BN355">
            <v>1.5</v>
          </cell>
          <cell r="BO355">
            <v>0</v>
          </cell>
          <cell r="BP355">
            <v>0</v>
          </cell>
          <cell r="BQ355">
            <v>0</v>
          </cell>
          <cell r="BR355">
            <v>0</v>
          </cell>
          <cell r="BS355">
            <v>3</v>
          </cell>
          <cell r="BT355">
            <v>3</v>
          </cell>
          <cell r="BU355">
            <v>3</v>
          </cell>
          <cell r="BV355">
            <v>0</v>
          </cell>
          <cell r="BW355">
            <v>4</v>
          </cell>
          <cell r="BX355">
            <v>4</v>
          </cell>
          <cell r="BY355">
            <v>3</v>
          </cell>
          <cell r="BZ355">
            <v>4</v>
          </cell>
          <cell r="CA355">
            <v>0</v>
          </cell>
          <cell r="CB355">
            <v>0</v>
          </cell>
          <cell r="CC355">
            <v>0</v>
          </cell>
          <cell r="CD355">
            <v>1</v>
          </cell>
          <cell r="CE355">
            <v>3</v>
          </cell>
          <cell r="CF355">
            <v>3</v>
          </cell>
          <cell r="CG355">
            <v>1</v>
          </cell>
          <cell r="CH355">
            <v>1</v>
          </cell>
          <cell r="CI355">
            <v>3</v>
          </cell>
          <cell r="CJ355">
            <v>0</v>
          </cell>
          <cell r="CK355">
            <v>4</v>
          </cell>
          <cell r="CL355">
            <v>4</v>
          </cell>
          <cell r="CM355">
            <v>0</v>
          </cell>
          <cell r="CR355">
            <v>0</v>
          </cell>
          <cell r="CS355">
            <v>0</v>
          </cell>
          <cell r="CT355">
            <v>48.5</v>
          </cell>
          <cell r="CU355">
            <v>0</v>
          </cell>
          <cell r="CV355">
            <v>0</v>
          </cell>
          <cell r="CZ355">
            <v>48.5</v>
          </cell>
        </row>
        <row r="356">
          <cell r="C356" t="str">
            <v>02814</v>
          </cell>
          <cell r="D356" t="str">
            <v>Nguyễn Thị Yến Linh</v>
          </cell>
          <cell r="E356" t="str">
            <v>Production</v>
          </cell>
          <cell r="F356" t="str">
            <v>Packing</v>
          </cell>
          <cell r="G356" t="str">
            <v>Worker</v>
          </cell>
          <cell r="H356" t="str">
            <v>03/03/2021</v>
          </cell>
          <cell r="I356" t="str">
            <v>AL4</v>
          </cell>
          <cell r="J356">
            <v>8</v>
          </cell>
          <cell r="K356">
            <v>8</v>
          </cell>
          <cell r="L356" t="str">
            <v>CN</v>
          </cell>
          <cell r="M356" t="str">
            <v>Đ</v>
          </cell>
          <cell r="N356" t="str">
            <v>Đ</v>
          </cell>
          <cell r="O356" t="str">
            <v>Đ</v>
          </cell>
          <cell r="P356" t="str">
            <v>Đ</v>
          </cell>
          <cell r="Q356" t="str">
            <v>Đ</v>
          </cell>
          <cell r="R356" t="str">
            <v>Đ</v>
          </cell>
          <cell r="S356" t="str">
            <v>CN</v>
          </cell>
          <cell r="T356">
            <v>8</v>
          </cell>
          <cell r="U356">
            <v>8</v>
          </cell>
          <cell r="V356">
            <v>8</v>
          </cell>
          <cell r="W356">
            <v>8</v>
          </cell>
          <cell r="X356">
            <v>8</v>
          </cell>
          <cell r="Y356">
            <v>8</v>
          </cell>
          <cell r="Z356" t="str">
            <v>CN</v>
          </cell>
          <cell r="AA356" t="str">
            <v>Đ</v>
          </cell>
          <cell r="AB356" t="str">
            <v>Đ</v>
          </cell>
          <cell r="AC356" t="str">
            <v>Đ</v>
          </cell>
          <cell r="AD356" t="str">
            <v>Đ</v>
          </cell>
          <cell r="AE356" t="str">
            <v>Đ</v>
          </cell>
          <cell r="AF356" t="str">
            <v>Đ</v>
          </cell>
          <cell r="AG356" t="str">
            <v>CN</v>
          </cell>
          <cell r="AH356">
            <v>8</v>
          </cell>
          <cell r="AI356">
            <v>8</v>
          </cell>
          <cell r="AJ356">
            <v>8</v>
          </cell>
          <cell r="AN356">
            <v>96</v>
          </cell>
          <cell r="AO356">
            <v>92</v>
          </cell>
          <cell r="AP356">
            <v>4</v>
          </cell>
          <cell r="AQ356">
            <v>0</v>
          </cell>
          <cell r="AR356">
            <v>0</v>
          </cell>
          <cell r="AS356">
            <v>0</v>
          </cell>
          <cell r="AT356">
            <v>0</v>
          </cell>
          <cell r="AU356">
            <v>0</v>
          </cell>
          <cell r="AV356">
            <v>0</v>
          </cell>
          <cell r="AW356">
            <v>0</v>
          </cell>
          <cell r="AX356">
            <v>0</v>
          </cell>
          <cell r="AY356">
            <v>0</v>
          </cell>
          <cell r="AZ356">
            <v>0</v>
          </cell>
          <cell r="BA356">
            <v>4</v>
          </cell>
          <cell r="BB356">
            <v>0</v>
          </cell>
          <cell r="BC356">
            <v>0</v>
          </cell>
          <cell r="BD356">
            <v>0</v>
          </cell>
          <cell r="BE356">
            <v>0</v>
          </cell>
          <cell r="BF356">
            <v>0</v>
          </cell>
          <cell r="BG356">
            <v>192</v>
          </cell>
          <cell r="BH356">
            <v>0.5</v>
          </cell>
          <cell r="BI356">
            <v>0.5</v>
          </cell>
          <cell r="BJ356">
            <v>0</v>
          </cell>
          <cell r="BL356">
            <v>0</v>
          </cell>
          <cell r="BM356">
            <v>0</v>
          </cell>
          <cell r="BN356">
            <v>0</v>
          </cell>
          <cell r="BO356">
            <v>0</v>
          </cell>
          <cell r="BP356">
            <v>1.5</v>
          </cell>
          <cell r="BQ356">
            <v>3</v>
          </cell>
          <cell r="BR356">
            <v>0</v>
          </cell>
          <cell r="BS356">
            <v>3</v>
          </cell>
          <cell r="BT356">
            <v>3</v>
          </cell>
          <cell r="BU356">
            <v>0</v>
          </cell>
          <cell r="BV356">
            <v>0</v>
          </cell>
          <cell r="BW356">
            <v>3</v>
          </cell>
          <cell r="BX356">
            <v>2.5</v>
          </cell>
          <cell r="BY356">
            <v>0</v>
          </cell>
          <cell r="BZ356">
            <v>3</v>
          </cell>
          <cell r="CA356">
            <v>3</v>
          </cell>
          <cell r="CB356">
            <v>3</v>
          </cell>
          <cell r="CC356">
            <v>8</v>
          </cell>
          <cell r="CD356">
            <v>1.5</v>
          </cell>
          <cell r="CE356">
            <v>4</v>
          </cell>
          <cell r="CF356">
            <v>4</v>
          </cell>
          <cell r="CG356">
            <v>4</v>
          </cell>
          <cell r="CH356">
            <v>1.5</v>
          </cell>
          <cell r="CI356">
            <v>1.5</v>
          </cell>
          <cell r="CJ356">
            <v>0</v>
          </cell>
          <cell r="CK356">
            <v>1.5</v>
          </cell>
          <cell r="CL356">
            <v>3</v>
          </cell>
          <cell r="CM356">
            <v>1.5</v>
          </cell>
          <cell r="CR356">
            <v>0</v>
          </cell>
          <cell r="CS356">
            <v>0</v>
          </cell>
          <cell r="CT356">
            <v>47.5</v>
          </cell>
          <cell r="CU356">
            <v>8</v>
          </cell>
          <cell r="CV356">
            <v>0</v>
          </cell>
          <cell r="CZ356">
            <v>55.5</v>
          </cell>
        </row>
        <row r="357">
          <cell r="C357" t="str">
            <v>02816</v>
          </cell>
          <cell r="D357" t="str">
            <v>Hồ Sỹ Tuân</v>
          </cell>
          <cell r="E357" t="str">
            <v xml:space="preserve">EHS &amp; Facilities </v>
          </cell>
          <cell r="F357" t="str">
            <v>Maintenance</v>
          </cell>
          <cell r="G357" t="str">
            <v>Junior Technician</v>
          </cell>
          <cell r="H357" t="str">
            <v>03/03/2021</v>
          </cell>
          <cell r="I357" t="str">
            <v>CN</v>
          </cell>
          <cell r="J357" t="str">
            <v>Đ</v>
          </cell>
          <cell r="K357" t="str">
            <v>Đ</v>
          </cell>
          <cell r="L357" t="str">
            <v>Đ</v>
          </cell>
          <cell r="M357" t="str">
            <v>Đ</v>
          </cell>
          <cell r="N357" t="str">
            <v>Đ</v>
          </cell>
          <cell r="O357" t="str">
            <v>Đ</v>
          </cell>
          <cell r="P357" t="str">
            <v>CN</v>
          </cell>
          <cell r="Q357">
            <v>8</v>
          </cell>
          <cell r="R357">
            <v>8</v>
          </cell>
          <cell r="S357" t="str">
            <v>Đ</v>
          </cell>
          <cell r="T357" t="str">
            <v>Đ</v>
          </cell>
          <cell r="U357" t="str">
            <v>Đ</v>
          </cell>
          <cell r="V357" t="str">
            <v>Đ</v>
          </cell>
          <cell r="W357" t="str">
            <v>CN</v>
          </cell>
          <cell r="X357">
            <v>8</v>
          </cell>
          <cell r="Y357">
            <v>8</v>
          </cell>
          <cell r="Z357">
            <v>8</v>
          </cell>
          <cell r="AA357">
            <v>8</v>
          </cell>
          <cell r="AB357">
            <v>8</v>
          </cell>
          <cell r="AC357">
            <v>8</v>
          </cell>
          <cell r="AD357" t="str">
            <v>CN</v>
          </cell>
          <cell r="AE357" t="str">
            <v>Đ</v>
          </cell>
          <cell r="AF357" t="str">
            <v>Đ</v>
          </cell>
          <cell r="AG357" t="str">
            <v>Đ</v>
          </cell>
          <cell r="AH357" t="str">
            <v>Đ</v>
          </cell>
          <cell r="AI357" t="str">
            <v>Đ</v>
          </cell>
          <cell r="AJ357" t="str">
            <v>Đ</v>
          </cell>
          <cell r="AN357">
            <v>128</v>
          </cell>
          <cell r="AO357">
            <v>64</v>
          </cell>
          <cell r="AP357">
            <v>0</v>
          </cell>
          <cell r="AQ357">
            <v>0</v>
          </cell>
          <cell r="AR357">
            <v>0</v>
          </cell>
          <cell r="AS357">
            <v>0</v>
          </cell>
          <cell r="AT357">
            <v>0</v>
          </cell>
          <cell r="AU357">
            <v>0</v>
          </cell>
          <cell r="AV357">
            <v>0</v>
          </cell>
          <cell r="AW357">
            <v>0</v>
          </cell>
          <cell r="AX357">
            <v>0</v>
          </cell>
          <cell r="AY357">
            <v>0</v>
          </cell>
          <cell r="AZ357">
            <v>0</v>
          </cell>
          <cell r="BA357">
            <v>0</v>
          </cell>
          <cell r="BB357">
            <v>0</v>
          </cell>
          <cell r="BC357">
            <v>0</v>
          </cell>
          <cell r="BD357">
            <v>0</v>
          </cell>
          <cell r="BE357">
            <v>0</v>
          </cell>
          <cell r="BF357">
            <v>0</v>
          </cell>
          <cell r="BG357">
            <v>192</v>
          </cell>
          <cell r="BH357">
            <v>0</v>
          </cell>
          <cell r="BI357">
            <v>0</v>
          </cell>
          <cell r="BJ357">
            <v>2.5</v>
          </cell>
          <cell r="BL357">
            <v>0</v>
          </cell>
          <cell r="BM357">
            <v>0</v>
          </cell>
          <cell r="BN357">
            <v>0</v>
          </cell>
          <cell r="BO357">
            <v>0</v>
          </cell>
          <cell r="BP357">
            <v>0</v>
          </cell>
          <cell r="BQ357">
            <v>0</v>
          </cell>
          <cell r="BR357">
            <v>4</v>
          </cell>
          <cell r="BS357">
            <v>0</v>
          </cell>
          <cell r="BT357">
            <v>4</v>
          </cell>
          <cell r="BU357">
            <v>4</v>
          </cell>
          <cell r="BV357">
            <v>4</v>
          </cell>
          <cell r="BW357">
            <v>0</v>
          </cell>
          <cell r="BX357">
            <v>0</v>
          </cell>
          <cell r="BY357">
            <v>0</v>
          </cell>
          <cell r="BZ357">
            <v>0</v>
          </cell>
          <cell r="CA357">
            <v>4</v>
          </cell>
          <cell r="CB357">
            <v>2</v>
          </cell>
          <cell r="CC357">
            <v>3</v>
          </cell>
          <cell r="CD357">
            <v>0</v>
          </cell>
          <cell r="CE357">
            <v>0</v>
          </cell>
          <cell r="CF357">
            <v>0</v>
          </cell>
          <cell r="CG357">
            <v>0</v>
          </cell>
          <cell r="CH357">
            <v>0</v>
          </cell>
          <cell r="CI357">
            <v>0</v>
          </cell>
          <cell r="CJ357">
            <v>4</v>
          </cell>
          <cell r="CK357">
            <v>0</v>
          </cell>
          <cell r="CL357">
            <v>0</v>
          </cell>
          <cell r="CM357">
            <v>0</v>
          </cell>
          <cell r="CR357">
            <v>0</v>
          </cell>
          <cell r="CS357">
            <v>0</v>
          </cell>
          <cell r="CT357">
            <v>29</v>
          </cell>
          <cell r="CU357">
            <v>0</v>
          </cell>
          <cell r="CV357">
            <v>0</v>
          </cell>
          <cell r="CZ357">
            <v>29</v>
          </cell>
        </row>
        <row r="358">
          <cell r="C358" t="str">
            <v>02820</v>
          </cell>
          <cell r="D358" t="str">
            <v>Võ Thị Diễm</v>
          </cell>
          <cell r="E358" t="str">
            <v>Production</v>
          </cell>
          <cell r="F358" t="str">
            <v>Logo</v>
          </cell>
          <cell r="G358" t="str">
            <v>Worker</v>
          </cell>
          <cell r="H358" t="str">
            <v>08/03/2021</v>
          </cell>
          <cell r="I358">
            <v>8</v>
          </cell>
          <cell r="J358">
            <v>8</v>
          </cell>
          <cell r="K358">
            <v>8</v>
          </cell>
          <cell r="L358" t="str">
            <v>CN</v>
          </cell>
          <cell r="M358" t="str">
            <v>Đ</v>
          </cell>
          <cell r="N358" t="str">
            <v>Đ</v>
          </cell>
          <cell r="O358" t="str">
            <v>Đ</v>
          </cell>
          <cell r="P358" t="str">
            <v>Đ</v>
          </cell>
          <cell r="Q358" t="str">
            <v>Đ</v>
          </cell>
          <cell r="R358" t="str">
            <v>Đ</v>
          </cell>
          <cell r="S358" t="str">
            <v>CN</v>
          </cell>
          <cell r="T358">
            <v>8</v>
          </cell>
          <cell r="U358">
            <v>8</v>
          </cell>
          <cell r="V358">
            <v>8</v>
          </cell>
          <cell r="W358">
            <v>8</v>
          </cell>
          <cell r="X358">
            <v>8</v>
          </cell>
          <cell r="Y358">
            <v>8</v>
          </cell>
          <cell r="Z358" t="str">
            <v>CN</v>
          </cell>
          <cell r="AA358" t="str">
            <v>Đ</v>
          </cell>
          <cell r="AB358" t="str">
            <v>Đ</v>
          </cell>
          <cell r="AC358" t="str">
            <v>Đ</v>
          </cell>
          <cell r="AD358" t="str">
            <v>Đ</v>
          </cell>
          <cell r="AE358" t="str">
            <v>Đ</v>
          </cell>
          <cell r="AF358" t="str">
            <v>Đ</v>
          </cell>
          <cell r="AG358" t="str">
            <v>CN</v>
          </cell>
          <cell r="AH358">
            <v>8</v>
          </cell>
          <cell r="AI358">
            <v>8</v>
          </cell>
          <cell r="AJ358">
            <v>8</v>
          </cell>
          <cell r="AN358">
            <v>96</v>
          </cell>
          <cell r="AO358">
            <v>96</v>
          </cell>
          <cell r="AP358">
            <v>0</v>
          </cell>
          <cell r="AQ358">
            <v>0</v>
          </cell>
          <cell r="AR358">
            <v>0</v>
          </cell>
          <cell r="AS358">
            <v>0</v>
          </cell>
          <cell r="AT358">
            <v>0</v>
          </cell>
          <cell r="AU358">
            <v>0</v>
          </cell>
          <cell r="AV358">
            <v>0</v>
          </cell>
          <cell r="AW358">
            <v>0</v>
          </cell>
          <cell r="AX358">
            <v>0</v>
          </cell>
          <cell r="AY358">
            <v>0</v>
          </cell>
          <cell r="AZ358">
            <v>0</v>
          </cell>
          <cell r="BA358">
            <v>0</v>
          </cell>
          <cell r="BB358">
            <v>0</v>
          </cell>
          <cell r="BC358">
            <v>0</v>
          </cell>
          <cell r="BD358">
            <v>0</v>
          </cell>
          <cell r="BE358">
            <v>0</v>
          </cell>
          <cell r="BF358">
            <v>0</v>
          </cell>
          <cell r="BG358">
            <v>192</v>
          </cell>
          <cell r="BH358">
            <v>0</v>
          </cell>
          <cell r="BI358">
            <v>0</v>
          </cell>
          <cell r="BJ358">
            <v>2.5</v>
          </cell>
          <cell r="BL358">
            <v>1.5</v>
          </cell>
          <cell r="BM358">
            <v>1.5</v>
          </cell>
          <cell r="BN358">
            <v>1.5</v>
          </cell>
          <cell r="BO358">
            <v>0</v>
          </cell>
          <cell r="BP358">
            <v>1.5</v>
          </cell>
          <cell r="BQ358">
            <v>0</v>
          </cell>
          <cell r="BR358">
            <v>0</v>
          </cell>
          <cell r="BS358">
            <v>4</v>
          </cell>
          <cell r="BT358">
            <v>4</v>
          </cell>
          <cell r="BU358">
            <v>4</v>
          </cell>
          <cell r="BV358">
            <v>0</v>
          </cell>
          <cell r="BW358">
            <v>3</v>
          </cell>
          <cell r="BX358">
            <v>3</v>
          </cell>
          <cell r="BY358">
            <v>3</v>
          </cell>
          <cell r="BZ358">
            <v>3</v>
          </cell>
          <cell r="CA358">
            <v>3</v>
          </cell>
          <cell r="CB358">
            <v>2</v>
          </cell>
          <cell r="CC358">
            <v>8</v>
          </cell>
          <cell r="CD358">
            <v>4</v>
          </cell>
          <cell r="CE358">
            <v>4</v>
          </cell>
          <cell r="CF358">
            <v>4</v>
          </cell>
          <cell r="CG358">
            <v>4</v>
          </cell>
          <cell r="CH358">
            <v>4</v>
          </cell>
          <cell r="CI358">
            <v>4</v>
          </cell>
          <cell r="CJ358">
            <v>0</v>
          </cell>
          <cell r="CK358">
            <v>3</v>
          </cell>
          <cell r="CL358">
            <v>3</v>
          </cell>
          <cell r="CM358">
            <v>3</v>
          </cell>
          <cell r="CR358">
            <v>0</v>
          </cell>
          <cell r="CS358">
            <v>0</v>
          </cell>
          <cell r="CT358">
            <v>68</v>
          </cell>
          <cell r="CU358">
            <v>8</v>
          </cell>
          <cell r="CV358">
            <v>0</v>
          </cell>
          <cell r="CZ358">
            <v>76</v>
          </cell>
        </row>
        <row r="359">
          <cell r="C359" t="str">
            <v>02835</v>
          </cell>
          <cell r="D359" t="str">
            <v>Nguyễn Thị Kim Ngọc</v>
          </cell>
          <cell r="E359" t="str">
            <v>Production</v>
          </cell>
          <cell r="F359" t="str">
            <v>Packing</v>
          </cell>
          <cell r="G359" t="str">
            <v>Worker</v>
          </cell>
          <cell r="H359" t="str">
            <v>12/03/2021</v>
          </cell>
          <cell r="I359" t="str">
            <v>Đ</v>
          </cell>
          <cell r="J359" t="str">
            <v>Đ</v>
          </cell>
          <cell r="K359" t="str">
            <v>Đ</v>
          </cell>
          <cell r="L359" t="str">
            <v>CN</v>
          </cell>
          <cell r="M359">
            <v>8</v>
          </cell>
          <cell r="N359">
            <v>8</v>
          </cell>
          <cell r="O359">
            <v>8</v>
          </cell>
          <cell r="P359">
            <v>8</v>
          </cell>
          <cell r="Q359">
            <v>8</v>
          </cell>
          <cell r="R359">
            <v>8</v>
          </cell>
          <cell r="S359" t="str">
            <v>CN</v>
          </cell>
          <cell r="T359" t="str">
            <v>Đ</v>
          </cell>
          <cell r="U359" t="str">
            <v>Đ</v>
          </cell>
          <cell r="V359" t="str">
            <v>Đ</v>
          </cell>
          <cell r="W359" t="str">
            <v>Đ</v>
          </cell>
          <cell r="X359" t="str">
            <v>Đ</v>
          </cell>
          <cell r="Y359" t="str">
            <v>Đ</v>
          </cell>
          <cell r="Z359" t="str">
            <v>CN</v>
          </cell>
          <cell r="AA359">
            <v>8</v>
          </cell>
          <cell r="AB359">
            <v>8</v>
          </cell>
          <cell r="AC359">
            <v>8</v>
          </cell>
          <cell r="AD359">
            <v>8</v>
          </cell>
          <cell r="AE359">
            <v>8</v>
          </cell>
          <cell r="AF359">
            <v>8</v>
          </cell>
          <cell r="AG359" t="str">
            <v>CN</v>
          </cell>
          <cell r="AH359" t="str">
            <v>Đ</v>
          </cell>
          <cell r="AI359" t="str">
            <v>Đ</v>
          </cell>
          <cell r="AJ359" t="str">
            <v>Đ</v>
          </cell>
          <cell r="AN359">
            <v>96</v>
          </cell>
          <cell r="AO359">
            <v>96</v>
          </cell>
          <cell r="AP359">
            <v>0</v>
          </cell>
          <cell r="AQ359">
            <v>0</v>
          </cell>
          <cell r="AR359">
            <v>0</v>
          </cell>
          <cell r="AS359">
            <v>0</v>
          </cell>
          <cell r="AT359">
            <v>0</v>
          </cell>
          <cell r="AU359">
            <v>0</v>
          </cell>
          <cell r="AV359">
            <v>0</v>
          </cell>
          <cell r="AW359">
            <v>0</v>
          </cell>
          <cell r="AX359">
            <v>0</v>
          </cell>
          <cell r="AY359">
            <v>0</v>
          </cell>
          <cell r="AZ359">
            <v>0</v>
          </cell>
          <cell r="BA359">
            <v>0</v>
          </cell>
          <cell r="BB359">
            <v>0</v>
          </cell>
          <cell r="BC359">
            <v>0</v>
          </cell>
          <cell r="BD359">
            <v>0</v>
          </cell>
          <cell r="BE359">
            <v>0</v>
          </cell>
          <cell r="BF359">
            <v>0</v>
          </cell>
          <cell r="BG359">
            <v>192</v>
          </cell>
          <cell r="BH359">
            <v>0</v>
          </cell>
          <cell r="BI359">
            <v>0</v>
          </cell>
          <cell r="BJ359">
            <v>9</v>
          </cell>
          <cell r="BL359">
            <v>1.5</v>
          </cell>
          <cell r="BM359">
            <v>1.5</v>
          </cell>
          <cell r="BN359">
            <v>1.5</v>
          </cell>
          <cell r="BO359">
            <v>0</v>
          </cell>
          <cell r="BP359">
            <v>1.5</v>
          </cell>
          <cell r="BQ359">
            <v>0</v>
          </cell>
          <cell r="BR359">
            <v>0</v>
          </cell>
          <cell r="BS359">
            <v>0</v>
          </cell>
          <cell r="BT359">
            <v>3</v>
          </cell>
          <cell r="BU359">
            <v>3</v>
          </cell>
          <cell r="BV359">
            <v>0</v>
          </cell>
          <cell r="BW359">
            <v>4</v>
          </cell>
          <cell r="BX359">
            <v>4</v>
          </cell>
          <cell r="BY359">
            <v>4</v>
          </cell>
          <cell r="BZ359">
            <v>4</v>
          </cell>
          <cell r="CA359">
            <v>4</v>
          </cell>
          <cell r="CB359">
            <v>4</v>
          </cell>
          <cell r="CC359">
            <v>0</v>
          </cell>
          <cell r="CD359">
            <v>3</v>
          </cell>
          <cell r="CE359">
            <v>3</v>
          </cell>
          <cell r="CF359">
            <v>3</v>
          </cell>
          <cell r="CG359">
            <v>3</v>
          </cell>
          <cell r="CH359">
            <v>3</v>
          </cell>
          <cell r="CI359">
            <v>3</v>
          </cell>
          <cell r="CJ359">
            <v>8</v>
          </cell>
          <cell r="CK359">
            <v>4</v>
          </cell>
          <cell r="CL359">
            <v>4</v>
          </cell>
          <cell r="CM359">
            <v>4</v>
          </cell>
          <cell r="CR359">
            <v>0</v>
          </cell>
          <cell r="CS359">
            <v>0</v>
          </cell>
          <cell r="CT359">
            <v>66</v>
          </cell>
          <cell r="CU359">
            <v>8</v>
          </cell>
          <cell r="CV359">
            <v>0</v>
          </cell>
          <cell r="CZ359">
            <v>74</v>
          </cell>
        </row>
        <row r="360">
          <cell r="C360" t="str">
            <v>02838</v>
          </cell>
          <cell r="D360" t="str">
            <v>Nguyễn Thị Kim Thoa</v>
          </cell>
          <cell r="E360" t="str">
            <v>Production</v>
          </cell>
          <cell r="F360" t="str">
            <v>Logo</v>
          </cell>
          <cell r="G360" t="str">
            <v>Worker</v>
          </cell>
          <cell r="H360" t="str">
            <v>12/03/2021</v>
          </cell>
          <cell r="I360">
            <v>8</v>
          </cell>
          <cell r="J360">
            <v>8</v>
          </cell>
          <cell r="K360">
            <v>8</v>
          </cell>
          <cell r="L360" t="str">
            <v>CN</v>
          </cell>
          <cell r="M360">
            <v>8</v>
          </cell>
          <cell r="N360">
            <v>8</v>
          </cell>
          <cell r="O360">
            <v>8</v>
          </cell>
          <cell r="P360">
            <v>8</v>
          </cell>
          <cell r="Q360">
            <v>8</v>
          </cell>
          <cell r="R360">
            <v>8</v>
          </cell>
          <cell r="S360" t="str">
            <v>CN</v>
          </cell>
          <cell r="T360">
            <v>8</v>
          </cell>
          <cell r="U360" t="str">
            <v>AL4</v>
          </cell>
          <cell r="V360">
            <v>8</v>
          </cell>
          <cell r="W360">
            <v>8</v>
          </cell>
          <cell r="X360">
            <v>8</v>
          </cell>
          <cell r="Y360">
            <v>8</v>
          </cell>
          <cell r="Z360" t="str">
            <v>CN</v>
          </cell>
          <cell r="AA360">
            <v>8</v>
          </cell>
          <cell r="AB360">
            <v>8</v>
          </cell>
          <cell r="AC360">
            <v>8</v>
          </cell>
          <cell r="AD360">
            <v>8</v>
          </cell>
          <cell r="AE360">
            <v>8</v>
          </cell>
          <cell r="AF360">
            <v>8</v>
          </cell>
          <cell r="AG360" t="str">
            <v>CN</v>
          </cell>
          <cell r="AH360">
            <v>8</v>
          </cell>
          <cell r="AI360">
            <v>8</v>
          </cell>
          <cell r="AJ360">
            <v>8</v>
          </cell>
          <cell r="AN360">
            <v>0</v>
          </cell>
          <cell r="AO360">
            <v>188</v>
          </cell>
          <cell r="AP360">
            <v>4</v>
          </cell>
          <cell r="AQ360">
            <v>0</v>
          </cell>
          <cell r="AR360">
            <v>0</v>
          </cell>
          <cell r="AS360">
            <v>0</v>
          </cell>
          <cell r="AT360">
            <v>0</v>
          </cell>
          <cell r="AU360">
            <v>0</v>
          </cell>
          <cell r="AV360">
            <v>0</v>
          </cell>
          <cell r="AW360">
            <v>0</v>
          </cell>
          <cell r="AX360">
            <v>0</v>
          </cell>
          <cell r="AY360">
            <v>0</v>
          </cell>
          <cell r="AZ360">
            <v>0</v>
          </cell>
          <cell r="BA360">
            <v>4</v>
          </cell>
          <cell r="BB360">
            <v>0</v>
          </cell>
          <cell r="BC360">
            <v>0</v>
          </cell>
          <cell r="BD360">
            <v>0</v>
          </cell>
          <cell r="BE360">
            <v>0</v>
          </cell>
          <cell r="BF360">
            <v>0</v>
          </cell>
          <cell r="BG360">
            <v>192</v>
          </cell>
          <cell r="BH360">
            <v>0.5</v>
          </cell>
          <cell r="BI360">
            <v>0.5</v>
          </cell>
          <cell r="BJ360">
            <v>1</v>
          </cell>
          <cell r="BL360">
            <v>0</v>
          </cell>
          <cell r="BM360">
            <v>1.5</v>
          </cell>
          <cell r="BN360">
            <v>1.5</v>
          </cell>
          <cell r="BO360">
            <v>0</v>
          </cell>
          <cell r="BP360">
            <v>1.5</v>
          </cell>
          <cell r="BQ360">
            <v>3</v>
          </cell>
          <cell r="BR360">
            <v>0</v>
          </cell>
          <cell r="BS360">
            <v>3</v>
          </cell>
          <cell r="BT360">
            <v>3</v>
          </cell>
          <cell r="BU360">
            <v>0</v>
          </cell>
          <cell r="BV360">
            <v>0</v>
          </cell>
          <cell r="BW360">
            <v>3</v>
          </cell>
          <cell r="BX360">
            <v>2</v>
          </cell>
          <cell r="BY360">
            <v>3</v>
          </cell>
          <cell r="BZ360">
            <v>3</v>
          </cell>
          <cell r="CA360">
            <v>3</v>
          </cell>
          <cell r="CB360">
            <v>3</v>
          </cell>
          <cell r="CC360">
            <v>8</v>
          </cell>
          <cell r="CD360">
            <v>0</v>
          </cell>
          <cell r="CE360">
            <v>3</v>
          </cell>
          <cell r="CF360">
            <v>3</v>
          </cell>
          <cell r="CG360">
            <v>3</v>
          </cell>
          <cell r="CH360">
            <v>3</v>
          </cell>
          <cell r="CI360">
            <v>3</v>
          </cell>
          <cell r="CJ360">
            <v>8</v>
          </cell>
          <cell r="CK360">
            <v>3</v>
          </cell>
          <cell r="CL360">
            <v>3</v>
          </cell>
          <cell r="CM360">
            <v>3</v>
          </cell>
          <cell r="CR360">
            <v>0</v>
          </cell>
          <cell r="CS360">
            <v>0</v>
          </cell>
          <cell r="CT360">
            <v>54.5</v>
          </cell>
          <cell r="CU360">
            <v>16</v>
          </cell>
          <cell r="CV360">
            <v>0</v>
          </cell>
          <cell r="CZ360">
            <v>70.5</v>
          </cell>
        </row>
        <row r="361">
          <cell r="C361" t="str">
            <v>02849</v>
          </cell>
          <cell r="D361" t="str">
            <v>Trần Thị Ngọc</v>
          </cell>
          <cell r="E361" t="str">
            <v>QC</v>
          </cell>
          <cell r="F361" t="str">
            <v>QC</v>
          </cell>
          <cell r="G361" t="str">
            <v>Group Leader</v>
          </cell>
          <cell r="H361" t="str">
            <v>22/03/2021</v>
          </cell>
          <cell r="I361">
            <v>8</v>
          </cell>
          <cell r="J361">
            <v>8</v>
          </cell>
          <cell r="K361" t="str">
            <v>PO</v>
          </cell>
          <cell r="L361" t="str">
            <v>CN</v>
          </cell>
          <cell r="M361">
            <v>8</v>
          </cell>
          <cell r="N361">
            <v>8</v>
          </cell>
          <cell r="O361">
            <v>8</v>
          </cell>
          <cell r="P361">
            <v>8</v>
          </cell>
          <cell r="Q361" t="str">
            <v>PO</v>
          </cell>
          <cell r="R361" t="str">
            <v>PO</v>
          </cell>
          <cell r="S361" t="str">
            <v>CN</v>
          </cell>
          <cell r="T361">
            <v>8</v>
          </cell>
          <cell r="U361">
            <v>8</v>
          </cell>
          <cell r="V361">
            <v>8</v>
          </cell>
          <cell r="W361">
            <v>8</v>
          </cell>
          <cell r="X361">
            <v>8</v>
          </cell>
          <cell r="Y361" t="str">
            <v>PO</v>
          </cell>
          <cell r="Z361" t="str">
            <v>CN</v>
          </cell>
          <cell r="AA361">
            <v>8</v>
          </cell>
          <cell r="AB361">
            <v>8</v>
          </cell>
          <cell r="AC361">
            <v>8</v>
          </cell>
          <cell r="AD361">
            <v>8</v>
          </cell>
          <cell r="AE361">
            <v>8</v>
          </cell>
          <cell r="AF361" t="str">
            <v>PO</v>
          </cell>
          <cell r="AG361" t="str">
            <v>CN</v>
          </cell>
          <cell r="AH361">
            <v>8</v>
          </cell>
          <cell r="AI361">
            <v>8</v>
          </cell>
          <cell r="AJ361">
            <v>8</v>
          </cell>
          <cell r="AN361">
            <v>0</v>
          </cell>
          <cell r="AO361">
            <v>152</v>
          </cell>
          <cell r="AP361">
            <v>0</v>
          </cell>
          <cell r="AQ361">
            <v>0</v>
          </cell>
          <cell r="AR361">
            <v>0</v>
          </cell>
          <cell r="AS361">
            <v>0</v>
          </cell>
          <cell r="AT361">
            <v>0</v>
          </cell>
          <cell r="AU361">
            <v>0</v>
          </cell>
          <cell r="AV361">
            <v>40</v>
          </cell>
          <cell r="AW361">
            <v>0</v>
          </cell>
          <cell r="AX361">
            <v>0</v>
          </cell>
          <cell r="AY361">
            <v>0</v>
          </cell>
          <cell r="AZ361">
            <v>0</v>
          </cell>
          <cell r="BA361">
            <v>0</v>
          </cell>
          <cell r="BB361">
            <v>0</v>
          </cell>
          <cell r="BC361">
            <v>0</v>
          </cell>
          <cell r="BD361">
            <v>0</v>
          </cell>
          <cell r="BE361">
            <v>0</v>
          </cell>
          <cell r="BF361">
            <v>0</v>
          </cell>
          <cell r="BG361">
            <v>192</v>
          </cell>
          <cell r="BH361">
            <v>0</v>
          </cell>
          <cell r="BI361">
            <v>0</v>
          </cell>
          <cell r="BJ361">
            <v>2.5</v>
          </cell>
          <cell r="BL361">
            <v>1</v>
          </cell>
          <cell r="BM361">
            <v>1.75</v>
          </cell>
          <cell r="BN361">
            <v>0</v>
          </cell>
          <cell r="BO361">
            <v>0</v>
          </cell>
          <cell r="BP361">
            <v>1.5</v>
          </cell>
          <cell r="BQ361">
            <v>0</v>
          </cell>
          <cell r="BR361">
            <v>0</v>
          </cell>
          <cell r="BS361">
            <v>0</v>
          </cell>
          <cell r="BT361">
            <v>0</v>
          </cell>
          <cell r="BU361">
            <v>0</v>
          </cell>
          <cell r="BV361">
            <v>0</v>
          </cell>
          <cell r="BW361">
            <v>0</v>
          </cell>
          <cell r="BX361">
            <v>0.75</v>
          </cell>
          <cell r="BY361">
            <v>0.5</v>
          </cell>
          <cell r="BZ361">
            <v>0.5</v>
          </cell>
          <cell r="CA361">
            <v>0.5</v>
          </cell>
          <cell r="CB361">
            <v>0</v>
          </cell>
          <cell r="CC361">
            <v>0</v>
          </cell>
          <cell r="CD361">
            <v>0.5</v>
          </cell>
          <cell r="CE361">
            <v>0</v>
          </cell>
          <cell r="CF361">
            <v>0.5</v>
          </cell>
          <cell r="CG361">
            <v>0.5</v>
          </cell>
          <cell r="CH361">
            <v>0</v>
          </cell>
          <cell r="CI361">
            <v>0</v>
          </cell>
          <cell r="CJ361">
            <v>0</v>
          </cell>
          <cell r="CK361">
            <v>0</v>
          </cell>
          <cell r="CL361">
            <v>0.5</v>
          </cell>
          <cell r="CM361">
            <v>0.5</v>
          </cell>
          <cell r="CR361">
            <v>0</v>
          </cell>
          <cell r="CS361">
            <v>0</v>
          </cell>
          <cell r="CT361">
            <v>9</v>
          </cell>
          <cell r="CU361">
            <v>0</v>
          </cell>
          <cell r="CV361">
            <v>0</v>
          </cell>
          <cell r="CZ361">
            <v>9</v>
          </cell>
        </row>
        <row r="362">
          <cell r="C362" t="str">
            <v>02854</v>
          </cell>
          <cell r="D362" t="str">
            <v>Trần Công Nhuận</v>
          </cell>
          <cell r="E362" t="str">
            <v>Warehouse</v>
          </cell>
          <cell r="F362" t="str">
            <v>RM Warehouse</v>
          </cell>
          <cell r="G362" t="str">
            <v>Worker</v>
          </cell>
          <cell r="H362" t="str">
            <v>22/03/2021</v>
          </cell>
          <cell r="I362">
            <v>8</v>
          </cell>
          <cell r="J362">
            <v>8</v>
          </cell>
          <cell r="K362">
            <v>8</v>
          </cell>
          <cell r="L362" t="str">
            <v>CN</v>
          </cell>
          <cell r="M362">
            <v>8</v>
          </cell>
          <cell r="N362">
            <v>8</v>
          </cell>
          <cell r="O362">
            <v>8</v>
          </cell>
          <cell r="P362">
            <v>8</v>
          </cell>
          <cell r="Q362">
            <v>8</v>
          </cell>
          <cell r="R362">
            <v>8</v>
          </cell>
          <cell r="S362" t="str">
            <v>CN</v>
          </cell>
          <cell r="T362">
            <v>8</v>
          </cell>
          <cell r="U362">
            <v>8</v>
          </cell>
          <cell r="V362">
            <v>8</v>
          </cell>
          <cell r="W362">
            <v>8</v>
          </cell>
          <cell r="X362">
            <v>8</v>
          </cell>
          <cell r="Y362">
            <v>8</v>
          </cell>
          <cell r="Z362" t="str">
            <v>CN</v>
          </cell>
          <cell r="AA362">
            <v>8</v>
          </cell>
          <cell r="AB362">
            <v>8</v>
          </cell>
          <cell r="AC362">
            <v>8</v>
          </cell>
          <cell r="AD362">
            <v>8</v>
          </cell>
          <cell r="AE362">
            <v>8</v>
          </cell>
          <cell r="AF362">
            <v>8</v>
          </cell>
          <cell r="AG362" t="str">
            <v>CN</v>
          </cell>
          <cell r="AH362">
            <v>8</v>
          </cell>
          <cell r="AI362">
            <v>8</v>
          </cell>
          <cell r="AJ362">
            <v>8</v>
          </cell>
          <cell r="AN362">
            <v>0</v>
          </cell>
          <cell r="AO362">
            <v>192</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192</v>
          </cell>
          <cell r="BH362">
            <v>0</v>
          </cell>
          <cell r="BI362">
            <v>0</v>
          </cell>
          <cell r="BJ362">
            <v>4</v>
          </cell>
          <cell r="BL362">
            <v>0</v>
          </cell>
          <cell r="BM362">
            <v>0</v>
          </cell>
          <cell r="BN362">
            <v>0</v>
          </cell>
          <cell r="BO362">
            <v>0</v>
          </cell>
          <cell r="BP362">
            <v>3</v>
          </cell>
          <cell r="BQ362">
            <v>0</v>
          </cell>
          <cell r="BR362">
            <v>0</v>
          </cell>
          <cell r="BS362">
            <v>3</v>
          </cell>
          <cell r="BT362">
            <v>0</v>
          </cell>
          <cell r="BU362">
            <v>0</v>
          </cell>
          <cell r="BV362">
            <v>0</v>
          </cell>
          <cell r="BW362">
            <v>3</v>
          </cell>
          <cell r="BX362">
            <v>0</v>
          </cell>
          <cell r="BY362">
            <v>0</v>
          </cell>
          <cell r="BZ362">
            <v>0</v>
          </cell>
          <cell r="CA362">
            <v>0</v>
          </cell>
          <cell r="CB362">
            <v>0</v>
          </cell>
          <cell r="CC362">
            <v>0</v>
          </cell>
          <cell r="CD362">
            <v>0</v>
          </cell>
          <cell r="CE362">
            <v>0</v>
          </cell>
          <cell r="CF362">
            <v>0</v>
          </cell>
          <cell r="CG362">
            <v>0</v>
          </cell>
          <cell r="CH362">
            <v>3</v>
          </cell>
          <cell r="CI362">
            <v>0</v>
          </cell>
          <cell r="CJ362">
            <v>0</v>
          </cell>
          <cell r="CK362">
            <v>0</v>
          </cell>
          <cell r="CL362">
            <v>3</v>
          </cell>
          <cell r="CM362">
            <v>3</v>
          </cell>
          <cell r="CR362">
            <v>0</v>
          </cell>
          <cell r="CS362">
            <v>0</v>
          </cell>
          <cell r="CT362">
            <v>18</v>
          </cell>
          <cell r="CU362">
            <v>0</v>
          </cell>
          <cell r="CV362">
            <v>0</v>
          </cell>
          <cell r="CZ362">
            <v>18</v>
          </cell>
        </row>
        <row r="363">
          <cell r="C363" t="str">
            <v>02857</v>
          </cell>
          <cell r="D363" t="str">
            <v>Thân Thị Thu Thủy</v>
          </cell>
          <cell r="E363" t="str">
            <v>HR &amp; Admin</v>
          </cell>
          <cell r="F363" t="str">
            <v>Admin</v>
          </cell>
          <cell r="G363" t="str">
            <v>Senior Staff</v>
          </cell>
          <cell r="H363" t="str">
            <v>24/03/2021</v>
          </cell>
          <cell r="I363" t="str">
            <v>AL8</v>
          </cell>
          <cell r="J363">
            <v>8</v>
          </cell>
          <cell r="K363" t="str">
            <v>PO</v>
          </cell>
          <cell r="L363" t="str">
            <v>CN</v>
          </cell>
          <cell r="M363">
            <v>8</v>
          </cell>
          <cell r="N363">
            <v>8</v>
          </cell>
          <cell r="O363">
            <v>8</v>
          </cell>
          <cell r="P363">
            <v>8</v>
          </cell>
          <cell r="Q363" t="str">
            <v>PO</v>
          </cell>
          <cell r="R363" t="str">
            <v>PO</v>
          </cell>
          <cell r="S363" t="str">
            <v>CN</v>
          </cell>
          <cell r="T363">
            <v>8</v>
          </cell>
          <cell r="U363">
            <v>8</v>
          </cell>
          <cell r="V363">
            <v>8</v>
          </cell>
          <cell r="W363">
            <v>8</v>
          </cell>
          <cell r="X363">
            <v>8</v>
          </cell>
          <cell r="Y363" t="str">
            <v>PO</v>
          </cell>
          <cell r="Z363" t="str">
            <v>CN</v>
          </cell>
          <cell r="AA363">
            <v>8</v>
          </cell>
          <cell r="AB363">
            <v>8</v>
          </cell>
          <cell r="AC363">
            <v>8</v>
          </cell>
          <cell r="AD363">
            <v>8</v>
          </cell>
          <cell r="AE363">
            <v>8</v>
          </cell>
          <cell r="AF363" t="str">
            <v>PO</v>
          </cell>
          <cell r="AG363" t="str">
            <v>CN</v>
          </cell>
          <cell r="AH363">
            <v>8</v>
          </cell>
          <cell r="AI363" t="str">
            <v>BS</v>
          </cell>
          <cell r="AJ363">
            <v>8</v>
          </cell>
          <cell r="AN363">
            <v>0</v>
          </cell>
          <cell r="AO363">
            <v>136</v>
          </cell>
          <cell r="AP363">
            <v>0</v>
          </cell>
          <cell r="AQ363">
            <v>0</v>
          </cell>
          <cell r="AR363">
            <v>0</v>
          </cell>
          <cell r="AS363">
            <v>0</v>
          </cell>
          <cell r="AT363">
            <v>0</v>
          </cell>
          <cell r="AU363">
            <v>8</v>
          </cell>
          <cell r="AV363">
            <v>40</v>
          </cell>
          <cell r="AW363">
            <v>0</v>
          </cell>
          <cell r="AX363">
            <v>0</v>
          </cell>
          <cell r="AY363">
            <v>0</v>
          </cell>
          <cell r="AZ363">
            <v>0</v>
          </cell>
          <cell r="BA363">
            <v>8</v>
          </cell>
          <cell r="BB363">
            <v>0</v>
          </cell>
          <cell r="BC363">
            <v>0</v>
          </cell>
          <cell r="BD363">
            <v>0</v>
          </cell>
          <cell r="BE363">
            <v>0</v>
          </cell>
          <cell r="BF363">
            <v>0</v>
          </cell>
          <cell r="BG363">
            <v>192</v>
          </cell>
          <cell r="BH363">
            <v>1</v>
          </cell>
          <cell r="BI363">
            <v>1</v>
          </cell>
          <cell r="BJ363">
            <v>7.5</v>
          </cell>
          <cell r="BL363">
            <v>0</v>
          </cell>
          <cell r="BM363">
            <v>0</v>
          </cell>
          <cell r="BN363">
            <v>0</v>
          </cell>
          <cell r="BO363">
            <v>0</v>
          </cell>
          <cell r="BP363">
            <v>0</v>
          </cell>
          <cell r="BQ363">
            <v>0</v>
          </cell>
          <cell r="BR363">
            <v>0</v>
          </cell>
          <cell r="BS363">
            <v>0</v>
          </cell>
          <cell r="BT363">
            <v>0</v>
          </cell>
          <cell r="BU363">
            <v>0</v>
          </cell>
          <cell r="BV363">
            <v>0</v>
          </cell>
          <cell r="BW363">
            <v>0</v>
          </cell>
          <cell r="BX363">
            <v>0</v>
          </cell>
          <cell r="BY363">
            <v>0</v>
          </cell>
          <cell r="BZ363">
            <v>0</v>
          </cell>
          <cell r="CA363">
            <v>0</v>
          </cell>
          <cell r="CB363">
            <v>0</v>
          </cell>
          <cell r="CC363">
            <v>0</v>
          </cell>
          <cell r="CD363">
            <v>0</v>
          </cell>
          <cell r="CE363">
            <v>0</v>
          </cell>
          <cell r="CF363">
            <v>0</v>
          </cell>
          <cell r="CG363">
            <v>0</v>
          </cell>
          <cell r="CH363">
            <v>0</v>
          </cell>
          <cell r="CI363">
            <v>0</v>
          </cell>
          <cell r="CJ363">
            <v>0</v>
          </cell>
          <cell r="CK363">
            <v>0</v>
          </cell>
          <cell r="CL363">
            <v>0</v>
          </cell>
          <cell r="CM363">
            <v>0</v>
          </cell>
          <cell r="CR363">
            <v>0</v>
          </cell>
          <cell r="CS363">
            <v>0</v>
          </cell>
          <cell r="CT363">
            <v>0</v>
          </cell>
          <cell r="CU363">
            <v>0</v>
          </cell>
          <cell r="CV363">
            <v>0</v>
          </cell>
          <cell r="CZ363">
            <v>0</v>
          </cell>
        </row>
        <row r="364">
          <cell r="C364" t="str">
            <v>02859</v>
          </cell>
          <cell r="D364" t="str">
            <v>Nguyễn Thị Thúy Kiều</v>
          </cell>
          <cell r="E364" t="str">
            <v>Production</v>
          </cell>
          <cell r="F364" t="str">
            <v>Die cut</v>
          </cell>
          <cell r="G364" t="str">
            <v>Team Leader</v>
          </cell>
          <cell r="H364" t="str">
            <v>24/03/2021</v>
          </cell>
          <cell r="I364" t="str">
            <v>Đ</v>
          </cell>
          <cell r="J364" t="str">
            <v>Đ</v>
          </cell>
          <cell r="K364" t="str">
            <v>Đ</v>
          </cell>
          <cell r="L364" t="str">
            <v>CN</v>
          </cell>
          <cell r="M364">
            <v>8</v>
          </cell>
          <cell r="N364" t="str">
            <v>AL4</v>
          </cell>
          <cell r="O364">
            <v>8</v>
          </cell>
          <cell r="P364">
            <v>8</v>
          </cell>
          <cell r="Q364" t="str">
            <v>AL8</v>
          </cell>
          <cell r="R364">
            <v>8</v>
          </cell>
          <cell r="S364" t="str">
            <v>CN</v>
          </cell>
          <cell r="T364" t="str">
            <v>Đ</v>
          </cell>
          <cell r="U364" t="str">
            <v>Đ</v>
          </cell>
          <cell r="V364" t="str">
            <v>Đ</v>
          </cell>
          <cell r="W364" t="str">
            <v>Đ</v>
          </cell>
          <cell r="X364" t="str">
            <v>Đ</v>
          </cell>
          <cell r="Y364" t="str">
            <v>Đ</v>
          </cell>
          <cell r="Z364" t="str">
            <v>CN</v>
          </cell>
          <cell r="AA364">
            <v>8</v>
          </cell>
          <cell r="AB364">
            <v>8</v>
          </cell>
          <cell r="AC364">
            <v>8</v>
          </cell>
          <cell r="AD364">
            <v>8</v>
          </cell>
          <cell r="AE364">
            <v>8</v>
          </cell>
          <cell r="AF364">
            <v>8</v>
          </cell>
          <cell r="AG364" t="str">
            <v>CN</v>
          </cell>
          <cell r="AH364" t="str">
            <v>Đ</v>
          </cell>
          <cell r="AI364" t="str">
            <v>Đ</v>
          </cell>
          <cell r="AJ364" t="str">
            <v>Đ</v>
          </cell>
          <cell r="AN364">
            <v>96</v>
          </cell>
          <cell r="AO364">
            <v>84</v>
          </cell>
          <cell r="AP364">
            <v>4</v>
          </cell>
          <cell r="AQ364">
            <v>0</v>
          </cell>
          <cell r="AR364">
            <v>0</v>
          </cell>
          <cell r="AS364">
            <v>0</v>
          </cell>
          <cell r="AT364">
            <v>0</v>
          </cell>
          <cell r="AU364">
            <v>0</v>
          </cell>
          <cell r="AV364">
            <v>0</v>
          </cell>
          <cell r="AW364">
            <v>0</v>
          </cell>
          <cell r="AX364">
            <v>0</v>
          </cell>
          <cell r="AY364">
            <v>0</v>
          </cell>
          <cell r="AZ364">
            <v>0</v>
          </cell>
          <cell r="BA364">
            <v>12</v>
          </cell>
          <cell r="BB364">
            <v>0</v>
          </cell>
          <cell r="BC364">
            <v>0</v>
          </cell>
          <cell r="BD364">
            <v>0</v>
          </cell>
          <cell r="BE364">
            <v>0</v>
          </cell>
          <cell r="BF364">
            <v>0</v>
          </cell>
          <cell r="BG364">
            <v>192</v>
          </cell>
          <cell r="BH364">
            <v>1.5</v>
          </cell>
          <cell r="BI364">
            <v>1.5</v>
          </cell>
          <cell r="BJ364">
            <v>3</v>
          </cell>
          <cell r="BL364">
            <v>0</v>
          </cell>
          <cell r="BM364">
            <v>1.5</v>
          </cell>
          <cell r="BN364">
            <v>1.5</v>
          </cell>
          <cell r="BO364">
            <v>0</v>
          </cell>
          <cell r="BP364">
            <v>1.5</v>
          </cell>
          <cell r="BQ364">
            <v>1</v>
          </cell>
          <cell r="BR364">
            <v>0</v>
          </cell>
          <cell r="BS364">
            <v>3</v>
          </cell>
          <cell r="BT364">
            <v>0</v>
          </cell>
          <cell r="BU364">
            <v>0</v>
          </cell>
          <cell r="BV364">
            <v>0</v>
          </cell>
          <cell r="BW364">
            <v>2.75</v>
          </cell>
          <cell r="BX364">
            <v>4</v>
          </cell>
          <cell r="BY364">
            <v>4</v>
          </cell>
          <cell r="BZ364">
            <v>4</v>
          </cell>
          <cell r="CA364">
            <v>4</v>
          </cell>
          <cell r="CB364">
            <v>4</v>
          </cell>
          <cell r="CC364">
            <v>0</v>
          </cell>
          <cell r="CD364">
            <v>3</v>
          </cell>
          <cell r="CE364">
            <v>3</v>
          </cell>
          <cell r="CF364">
            <v>3</v>
          </cell>
          <cell r="CG364">
            <v>3</v>
          </cell>
          <cell r="CH364">
            <v>1.5</v>
          </cell>
          <cell r="CI364">
            <v>1.5</v>
          </cell>
          <cell r="CJ364">
            <v>8</v>
          </cell>
          <cell r="CK364">
            <v>1.5</v>
          </cell>
          <cell r="CL364">
            <v>4</v>
          </cell>
          <cell r="CM364">
            <v>1.5</v>
          </cell>
          <cell r="CR364">
            <v>0</v>
          </cell>
          <cell r="CS364">
            <v>0</v>
          </cell>
          <cell r="CT364">
            <v>53.25</v>
          </cell>
          <cell r="CU364">
            <v>8</v>
          </cell>
          <cell r="CV364">
            <v>0</v>
          </cell>
          <cell r="CZ364">
            <v>61.25</v>
          </cell>
        </row>
        <row r="365">
          <cell r="C365" t="str">
            <v>02865</v>
          </cell>
          <cell r="D365" t="str">
            <v>Nguyễn Trần Tiến</v>
          </cell>
          <cell r="E365" t="str">
            <v>Production</v>
          </cell>
          <cell r="F365" t="str">
            <v>Die Cut</v>
          </cell>
          <cell r="G365" t="str">
            <v>Operator</v>
          </cell>
          <cell r="H365">
            <v>44286</v>
          </cell>
          <cell r="I365" t="str">
            <v>Đ</v>
          </cell>
          <cell r="J365" t="str">
            <v>Đ</v>
          </cell>
          <cell r="K365" t="str">
            <v>Đ</v>
          </cell>
          <cell r="L365" t="str">
            <v>CN</v>
          </cell>
          <cell r="M365">
            <v>8</v>
          </cell>
          <cell r="N365">
            <v>8</v>
          </cell>
          <cell r="O365">
            <v>8</v>
          </cell>
          <cell r="P365">
            <v>8</v>
          </cell>
          <cell r="Q365">
            <v>8</v>
          </cell>
          <cell r="R365">
            <v>8</v>
          </cell>
          <cell r="S365" t="str">
            <v>CN</v>
          </cell>
          <cell r="T365" t="str">
            <v>Đ</v>
          </cell>
          <cell r="U365" t="str">
            <v>Đ</v>
          </cell>
          <cell r="V365" t="str">
            <v>Đ</v>
          </cell>
          <cell r="W365" t="str">
            <v>Đ</v>
          </cell>
          <cell r="X365" t="str">
            <v>Đ</v>
          </cell>
          <cell r="Y365" t="str">
            <v>Đ</v>
          </cell>
          <cell r="Z365" t="str">
            <v>CN</v>
          </cell>
          <cell r="AA365">
            <v>8</v>
          </cell>
          <cell r="AB365">
            <v>8</v>
          </cell>
          <cell r="AC365">
            <v>8</v>
          </cell>
          <cell r="AD365">
            <v>8</v>
          </cell>
          <cell r="AE365">
            <v>8</v>
          </cell>
          <cell r="AF365">
            <v>8</v>
          </cell>
          <cell r="AG365" t="str">
            <v>CN</v>
          </cell>
          <cell r="AH365" t="str">
            <v>Đ</v>
          </cell>
          <cell r="AI365" t="str">
            <v>Đ</v>
          </cell>
          <cell r="AJ365" t="str">
            <v>AL8</v>
          </cell>
          <cell r="AN365">
            <v>88</v>
          </cell>
          <cell r="AO365">
            <v>96</v>
          </cell>
          <cell r="AP365">
            <v>0</v>
          </cell>
          <cell r="AQ365">
            <v>0</v>
          </cell>
          <cell r="AR365">
            <v>0</v>
          </cell>
          <cell r="AS365">
            <v>0</v>
          </cell>
          <cell r="AT365">
            <v>0</v>
          </cell>
          <cell r="AU365">
            <v>0</v>
          </cell>
          <cell r="AV365">
            <v>0</v>
          </cell>
          <cell r="AW365">
            <v>0</v>
          </cell>
          <cell r="AX365">
            <v>0</v>
          </cell>
          <cell r="AY365">
            <v>0</v>
          </cell>
          <cell r="AZ365">
            <v>0</v>
          </cell>
          <cell r="BA365">
            <v>8</v>
          </cell>
          <cell r="BB365">
            <v>0</v>
          </cell>
          <cell r="BC365">
            <v>0</v>
          </cell>
          <cell r="BD365">
            <v>0</v>
          </cell>
          <cell r="BE365">
            <v>0</v>
          </cell>
          <cell r="BF365">
            <v>0</v>
          </cell>
          <cell r="BG365">
            <v>192</v>
          </cell>
          <cell r="BH365">
            <v>1</v>
          </cell>
          <cell r="BI365">
            <v>1</v>
          </cell>
          <cell r="BJ365">
            <v>3</v>
          </cell>
          <cell r="BL365">
            <v>0</v>
          </cell>
          <cell r="BM365">
            <v>1.5</v>
          </cell>
          <cell r="BN365">
            <v>1.5</v>
          </cell>
          <cell r="BO365">
            <v>0</v>
          </cell>
          <cell r="BP365">
            <v>1.5</v>
          </cell>
          <cell r="BQ365">
            <v>3</v>
          </cell>
          <cell r="BR365">
            <v>0</v>
          </cell>
          <cell r="BS365">
            <v>3</v>
          </cell>
          <cell r="BT365">
            <v>3</v>
          </cell>
          <cell r="BU365">
            <v>0</v>
          </cell>
          <cell r="BV365">
            <v>0</v>
          </cell>
          <cell r="BW365">
            <v>0</v>
          </cell>
          <cell r="BX365">
            <v>4</v>
          </cell>
          <cell r="BY365">
            <v>4</v>
          </cell>
          <cell r="BZ365">
            <v>4</v>
          </cell>
          <cell r="CA365">
            <v>4</v>
          </cell>
          <cell r="CB365">
            <v>4</v>
          </cell>
          <cell r="CC365">
            <v>0</v>
          </cell>
          <cell r="CD365">
            <v>3</v>
          </cell>
          <cell r="CE365">
            <v>3</v>
          </cell>
          <cell r="CF365">
            <v>3</v>
          </cell>
          <cell r="CG365">
            <v>3</v>
          </cell>
          <cell r="CH365">
            <v>0</v>
          </cell>
          <cell r="CI365">
            <v>0</v>
          </cell>
          <cell r="CJ365">
            <v>8</v>
          </cell>
          <cell r="CK365">
            <v>1.5</v>
          </cell>
          <cell r="CL365">
            <v>1.5</v>
          </cell>
          <cell r="CM365">
            <v>0</v>
          </cell>
          <cell r="CR365">
            <v>0</v>
          </cell>
          <cell r="CS365">
            <v>0</v>
          </cell>
          <cell r="CT365">
            <v>48.5</v>
          </cell>
          <cell r="CU365">
            <v>8</v>
          </cell>
          <cell r="CV365">
            <v>0</v>
          </cell>
          <cell r="CZ365">
            <v>56.5</v>
          </cell>
        </row>
        <row r="366">
          <cell r="C366" t="str">
            <v>02870</v>
          </cell>
          <cell r="D366" t="str">
            <v>Nguyễn Ngọc Chiều</v>
          </cell>
          <cell r="E366" t="str">
            <v>QC</v>
          </cell>
          <cell r="F366" t="str">
            <v>QC</v>
          </cell>
          <cell r="G366" t="str">
            <v>Worker</v>
          </cell>
          <cell r="H366">
            <v>44286</v>
          </cell>
          <cell r="I366" t="str">
            <v>Đ</v>
          </cell>
          <cell r="J366" t="str">
            <v>Đ</v>
          </cell>
          <cell r="K366" t="str">
            <v>Đ</v>
          </cell>
          <cell r="L366" t="str">
            <v>CN</v>
          </cell>
          <cell r="M366">
            <v>8</v>
          </cell>
          <cell r="N366">
            <v>8</v>
          </cell>
          <cell r="O366">
            <v>8</v>
          </cell>
          <cell r="P366">
            <v>8</v>
          </cell>
          <cell r="Q366">
            <v>8</v>
          </cell>
          <cell r="R366">
            <v>8</v>
          </cell>
          <cell r="S366" t="str">
            <v>CN</v>
          </cell>
          <cell r="T366" t="str">
            <v>Đ</v>
          </cell>
          <cell r="U366" t="str">
            <v>Đ</v>
          </cell>
          <cell r="V366" t="str">
            <v>Đ</v>
          </cell>
          <cell r="W366" t="str">
            <v>Đ</v>
          </cell>
          <cell r="X366" t="str">
            <v>Đ</v>
          </cell>
          <cell r="Y366" t="str">
            <v>Đ</v>
          </cell>
          <cell r="Z366" t="str">
            <v>CN</v>
          </cell>
          <cell r="AA366">
            <v>8</v>
          </cell>
          <cell r="AB366">
            <v>8</v>
          </cell>
          <cell r="AC366">
            <v>8</v>
          </cell>
          <cell r="AD366">
            <v>8</v>
          </cell>
          <cell r="AE366">
            <v>8</v>
          </cell>
          <cell r="AF366">
            <v>8</v>
          </cell>
          <cell r="AG366" t="str">
            <v>CN</v>
          </cell>
          <cell r="AH366" t="str">
            <v>Đ</v>
          </cell>
          <cell r="AI366" t="str">
            <v>Đ</v>
          </cell>
          <cell r="AJ366" t="str">
            <v>Đ</v>
          </cell>
          <cell r="AN366">
            <v>96</v>
          </cell>
          <cell r="AO366">
            <v>96</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192</v>
          </cell>
          <cell r="BH366">
            <v>0</v>
          </cell>
          <cell r="BI366">
            <v>0</v>
          </cell>
          <cell r="BJ366">
            <v>2</v>
          </cell>
          <cell r="BL366">
            <v>0</v>
          </cell>
          <cell r="BM366">
            <v>0</v>
          </cell>
          <cell r="BN366">
            <v>0</v>
          </cell>
          <cell r="BO366">
            <v>0</v>
          </cell>
          <cell r="BP366">
            <v>0</v>
          </cell>
          <cell r="BQ366">
            <v>0</v>
          </cell>
          <cell r="BR366">
            <v>0</v>
          </cell>
          <cell r="BS366">
            <v>0</v>
          </cell>
          <cell r="BT366">
            <v>3</v>
          </cell>
          <cell r="BU366">
            <v>0</v>
          </cell>
          <cell r="BV366">
            <v>0</v>
          </cell>
          <cell r="BW366">
            <v>4</v>
          </cell>
          <cell r="BX366">
            <v>4</v>
          </cell>
          <cell r="BY366">
            <v>4</v>
          </cell>
          <cell r="BZ366">
            <v>4</v>
          </cell>
          <cell r="CA366">
            <v>4</v>
          </cell>
          <cell r="CB366">
            <v>4</v>
          </cell>
          <cell r="CC366">
            <v>0</v>
          </cell>
          <cell r="CD366">
            <v>3</v>
          </cell>
          <cell r="CE366">
            <v>3</v>
          </cell>
          <cell r="CF366">
            <v>3</v>
          </cell>
          <cell r="CG366">
            <v>3</v>
          </cell>
          <cell r="CH366">
            <v>1.5</v>
          </cell>
          <cell r="CI366">
            <v>1.5</v>
          </cell>
          <cell r="CJ366">
            <v>8</v>
          </cell>
          <cell r="CK366">
            <v>4</v>
          </cell>
          <cell r="CL366">
            <v>4</v>
          </cell>
          <cell r="CM366">
            <v>4</v>
          </cell>
          <cell r="CR366">
            <v>0</v>
          </cell>
          <cell r="CS366">
            <v>0</v>
          </cell>
          <cell r="CT366">
            <v>54</v>
          </cell>
          <cell r="CU366">
            <v>8</v>
          </cell>
          <cell r="CV366">
            <v>0</v>
          </cell>
          <cell r="CZ366">
            <v>62</v>
          </cell>
        </row>
        <row r="367">
          <cell r="C367" t="str">
            <v>02874</v>
          </cell>
          <cell r="D367" t="str">
            <v>Hoàng Duy Nghiêm</v>
          </cell>
          <cell r="E367" t="str">
            <v xml:space="preserve">EHS &amp; Facilities </v>
          </cell>
          <cell r="F367" t="str">
            <v>Maintenance</v>
          </cell>
          <cell r="G367" t="str">
            <v>Technician</v>
          </cell>
          <cell r="H367" t="str">
            <v>01/04/2021</v>
          </cell>
          <cell r="I367" t="str">
            <v>TV</v>
          </cell>
          <cell r="J367" t="str">
            <v>TV</v>
          </cell>
          <cell r="K367" t="str">
            <v>TV</v>
          </cell>
          <cell r="L367" t="str">
            <v>TV</v>
          </cell>
          <cell r="M367" t="str">
            <v>TV</v>
          </cell>
          <cell r="N367" t="str">
            <v>TV</v>
          </cell>
          <cell r="O367" t="str">
            <v>TV</v>
          </cell>
          <cell r="P367" t="str">
            <v>TV</v>
          </cell>
          <cell r="Q367" t="str">
            <v>TV</v>
          </cell>
          <cell r="R367" t="str">
            <v>TV</v>
          </cell>
          <cell r="S367" t="str">
            <v>TV</v>
          </cell>
          <cell r="T367" t="str">
            <v>TV</v>
          </cell>
          <cell r="U367" t="str">
            <v>TV</v>
          </cell>
          <cell r="V367" t="str">
            <v>TV</v>
          </cell>
          <cell r="W367" t="str">
            <v>TV</v>
          </cell>
          <cell r="X367" t="str">
            <v>TV</v>
          </cell>
          <cell r="Y367" t="str">
            <v>TV</v>
          </cell>
          <cell r="Z367" t="str">
            <v>TV</v>
          </cell>
          <cell r="AA367" t="str">
            <v>TV</v>
          </cell>
          <cell r="AB367" t="str">
            <v>TV</v>
          </cell>
          <cell r="AC367" t="str">
            <v>TV</v>
          </cell>
          <cell r="AD367" t="str">
            <v>TV</v>
          </cell>
          <cell r="AE367" t="str">
            <v>TV</v>
          </cell>
          <cell r="AF367" t="str">
            <v>TV</v>
          </cell>
          <cell r="AG367" t="str">
            <v>TV</v>
          </cell>
          <cell r="AH367" t="str">
            <v>TV</v>
          </cell>
          <cell r="AI367" t="str">
            <v>TV</v>
          </cell>
          <cell r="AJ367" t="str">
            <v>TV</v>
          </cell>
          <cell r="AN367">
            <v>0</v>
          </cell>
          <cell r="AO367">
            <v>0</v>
          </cell>
          <cell r="AP367">
            <v>0</v>
          </cell>
          <cell r="AQ367">
            <v>0</v>
          </cell>
          <cell r="AR367">
            <v>0</v>
          </cell>
          <cell r="AS367">
            <v>0</v>
          </cell>
          <cell r="AT367">
            <v>0</v>
          </cell>
          <cell r="AU367">
            <v>0</v>
          </cell>
          <cell r="AV367">
            <v>0</v>
          </cell>
          <cell r="AW367">
            <v>0</v>
          </cell>
          <cell r="AX367">
            <v>0</v>
          </cell>
          <cell r="AY367">
            <v>0</v>
          </cell>
          <cell r="AZ367">
            <v>0</v>
          </cell>
          <cell r="BA367">
            <v>0</v>
          </cell>
          <cell r="BB367">
            <v>0</v>
          </cell>
          <cell r="BC367">
            <v>0</v>
          </cell>
          <cell r="BD367">
            <v>0</v>
          </cell>
          <cell r="BE367">
            <v>0</v>
          </cell>
          <cell r="BF367">
            <v>0</v>
          </cell>
          <cell r="BG367">
            <v>0</v>
          </cell>
          <cell r="BH367">
            <v>0</v>
          </cell>
          <cell r="BI367">
            <v>0</v>
          </cell>
          <cell r="BJ367">
            <v>3.5</v>
          </cell>
          <cell r="BL367">
            <v>0</v>
          </cell>
          <cell r="BM367">
            <v>0</v>
          </cell>
          <cell r="BN367">
            <v>0</v>
          </cell>
          <cell r="BO367">
            <v>0</v>
          </cell>
          <cell r="BP367">
            <v>0</v>
          </cell>
          <cell r="BQ367">
            <v>0</v>
          </cell>
          <cell r="BR367">
            <v>0</v>
          </cell>
          <cell r="BS367">
            <v>0</v>
          </cell>
          <cell r="BT367">
            <v>0</v>
          </cell>
          <cell r="BU367">
            <v>0</v>
          </cell>
          <cell r="BV367">
            <v>0</v>
          </cell>
          <cell r="BW367">
            <v>0</v>
          </cell>
          <cell r="BX367">
            <v>0</v>
          </cell>
          <cell r="BY367">
            <v>0</v>
          </cell>
          <cell r="BZ367">
            <v>0</v>
          </cell>
          <cell r="CA367">
            <v>0</v>
          </cell>
          <cell r="CB367">
            <v>0</v>
          </cell>
          <cell r="CC367">
            <v>0</v>
          </cell>
          <cell r="CD367">
            <v>0</v>
          </cell>
          <cell r="CE367">
            <v>0</v>
          </cell>
          <cell r="CF367">
            <v>0</v>
          </cell>
          <cell r="CG367">
            <v>0</v>
          </cell>
          <cell r="CH367">
            <v>0</v>
          </cell>
          <cell r="CI367">
            <v>0</v>
          </cell>
          <cell r="CJ367">
            <v>0</v>
          </cell>
          <cell r="CK367">
            <v>0</v>
          </cell>
          <cell r="CL367">
            <v>0</v>
          </cell>
          <cell r="CM367">
            <v>0</v>
          </cell>
          <cell r="CR367">
            <v>0</v>
          </cell>
          <cell r="CS367">
            <v>0</v>
          </cell>
          <cell r="CT367">
            <v>0</v>
          </cell>
          <cell r="CU367">
            <v>0</v>
          </cell>
          <cell r="CV367">
            <v>0</v>
          </cell>
          <cell r="CZ367">
            <v>0</v>
          </cell>
        </row>
        <row r="368">
          <cell r="C368" t="str">
            <v>02876</v>
          </cell>
          <cell r="D368" t="str">
            <v>Đỗ Thị Diễm Trân</v>
          </cell>
          <cell r="E368" t="str">
            <v>Production</v>
          </cell>
          <cell r="F368" t="str">
            <v>Die Cut</v>
          </cell>
          <cell r="G368" t="str">
            <v>Worker</v>
          </cell>
          <cell r="H368" t="str">
            <v>07/04/2021</v>
          </cell>
          <cell r="I368" t="str">
            <v>Đ</v>
          </cell>
          <cell r="J368" t="str">
            <v>Đ</v>
          </cell>
          <cell r="K368" t="str">
            <v>Đ</v>
          </cell>
          <cell r="L368" t="str">
            <v>CN</v>
          </cell>
          <cell r="M368">
            <v>8</v>
          </cell>
          <cell r="N368">
            <v>8</v>
          </cell>
          <cell r="O368">
            <v>8</v>
          </cell>
          <cell r="P368">
            <v>8</v>
          </cell>
          <cell r="Q368">
            <v>8</v>
          </cell>
          <cell r="R368">
            <v>8</v>
          </cell>
          <cell r="S368" t="str">
            <v>CN</v>
          </cell>
          <cell r="T368" t="str">
            <v>Đ</v>
          </cell>
          <cell r="U368" t="str">
            <v>Đ</v>
          </cell>
          <cell r="V368" t="str">
            <v>Đ</v>
          </cell>
          <cell r="W368" t="str">
            <v>Đ</v>
          </cell>
          <cell r="X368" t="str">
            <v>Đ</v>
          </cell>
          <cell r="Y368" t="str">
            <v>Đ</v>
          </cell>
          <cell r="Z368" t="str">
            <v>CN</v>
          </cell>
          <cell r="AA368">
            <v>8</v>
          </cell>
          <cell r="AB368">
            <v>8</v>
          </cell>
          <cell r="AC368">
            <v>8</v>
          </cell>
          <cell r="AD368">
            <v>8</v>
          </cell>
          <cell r="AE368">
            <v>8</v>
          </cell>
          <cell r="AF368">
            <v>8</v>
          </cell>
          <cell r="AG368" t="str">
            <v>CN</v>
          </cell>
          <cell r="AH368" t="str">
            <v>Đ</v>
          </cell>
          <cell r="AI368" t="str">
            <v>Đ</v>
          </cell>
          <cell r="AJ368" t="str">
            <v>Đ</v>
          </cell>
          <cell r="AN368">
            <v>96</v>
          </cell>
          <cell r="AO368">
            <v>96</v>
          </cell>
          <cell r="AP368">
            <v>0</v>
          </cell>
          <cell r="AQ368">
            <v>0</v>
          </cell>
          <cell r="AR368">
            <v>0</v>
          </cell>
          <cell r="AS368">
            <v>0</v>
          </cell>
          <cell r="AT368">
            <v>0</v>
          </cell>
          <cell r="AU368">
            <v>0</v>
          </cell>
          <cell r="AV368">
            <v>0</v>
          </cell>
          <cell r="AW368">
            <v>0</v>
          </cell>
          <cell r="AX368">
            <v>0</v>
          </cell>
          <cell r="AY368">
            <v>0</v>
          </cell>
          <cell r="AZ368">
            <v>0</v>
          </cell>
          <cell r="BA368">
            <v>0</v>
          </cell>
          <cell r="BB368">
            <v>0</v>
          </cell>
          <cell r="BC368">
            <v>0</v>
          </cell>
          <cell r="BD368">
            <v>0</v>
          </cell>
          <cell r="BE368">
            <v>0</v>
          </cell>
          <cell r="BF368">
            <v>0</v>
          </cell>
          <cell r="BG368">
            <v>192</v>
          </cell>
          <cell r="BH368">
            <v>0</v>
          </cell>
          <cell r="BI368">
            <v>0</v>
          </cell>
          <cell r="BJ368">
            <v>1.5</v>
          </cell>
          <cell r="BL368">
            <v>1.5</v>
          </cell>
          <cell r="BM368">
            <v>1.5</v>
          </cell>
          <cell r="BN368">
            <v>1.5</v>
          </cell>
          <cell r="BO368">
            <v>0</v>
          </cell>
          <cell r="BP368">
            <v>1.5</v>
          </cell>
          <cell r="BQ368">
            <v>0</v>
          </cell>
          <cell r="BR368">
            <v>0</v>
          </cell>
          <cell r="BS368">
            <v>3</v>
          </cell>
          <cell r="BT368">
            <v>3</v>
          </cell>
          <cell r="BU368">
            <v>3</v>
          </cell>
          <cell r="BV368">
            <v>0</v>
          </cell>
          <cell r="BW368">
            <v>4</v>
          </cell>
          <cell r="BX368">
            <v>4</v>
          </cell>
          <cell r="BY368">
            <v>4</v>
          </cell>
          <cell r="BZ368">
            <v>4</v>
          </cell>
          <cell r="CA368">
            <v>4</v>
          </cell>
          <cell r="CB368">
            <v>4</v>
          </cell>
          <cell r="CC368">
            <v>0</v>
          </cell>
          <cell r="CD368">
            <v>3</v>
          </cell>
          <cell r="CE368">
            <v>3</v>
          </cell>
          <cell r="CF368">
            <v>3</v>
          </cell>
          <cell r="CG368">
            <v>3</v>
          </cell>
          <cell r="CH368">
            <v>3</v>
          </cell>
          <cell r="CI368">
            <v>3</v>
          </cell>
          <cell r="CJ368">
            <v>8</v>
          </cell>
          <cell r="CK368">
            <v>4</v>
          </cell>
          <cell r="CL368">
            <v>4</v>
          </cell>
          <cell r="CM368">
            <v>4</v>
          </cell>
          <cell r="CR368">
            <v>0</v>
          </cell>
          <cell r="CS368">
            <v>0</v>
          </cell>
          <cell r="CT368">
            <v>69</v>
          </cell>
          <cell r="CU368">
            <v>8</v>
          </cell>
          <cell r="CV368">
            <v>0</v>
          </cell>
          <cell r="CZ368">
            <v>77</v>
          </cell>
        </row>
        <row r="369">
          <cell r="C369" t="str">
            <v>02877</v>
          </cell>
          <cell r="D369" t="str">
            <v>Danh Minh Phú</v>
          </cell>
          <cell r="E369" t="str">
            <v>Production</v>
          </cell>
          <cell r="F369" t="str">
            <v>Die Cut</v>
          </cell>
          <cell r="G369" t="str">
            <v>Worker</v>
          </cell>
          <cell r="H369" t="str">
            <v>07/04/2021</v>
          </cell>
          <cell r="I369" t="str">
            <v>Đ</v>
          </cell>
          <cell r="J369" t="str">
            <v>Đ</v>
          </cell>
          <cell r="K369" t="str">
            <v>Đ</v>
          </cell>
          <cell r="L369" t="str">
            <v>CN</v>
          </cell>
          <cell r="M369">
            <v>8</v>
          </cell>
          <cell r="N369">
            <v>8</v>
          </cell>
          <cell r="O369">
            <v>8</v>
          </cell>
          <cell r="P369">
            <v>8</v>
          </cell>
          <cell r="Q369">
            <v>8</v>
          </cell>
          <cell r="R369">
            <v>8</v>
          </cell>
          <cell r="S369" t="str">
            <v>CN</v>
          </cell>
          <cell r="T369" t="str">
            <v>Đ</v>
          </cell>
          <cell r="U369" t="str">
            <v>Đ</v>
          </cell>
          <cell r="V369" t="str">
            <v>Đ</v>
          </cell>
          <cell r="W369" t="str">
            <v>Đ</v>
          </cell>
          <cell r="X369" t="str">
            <v>Đ</v>
          </cell>
          <cell r="Y369" t="str">
            <v>Đ</v>
          </cell>
          <cell r="Z369" t="str">
            <v>CN</v>
          </cell>
          <cell r="AA369" t="str">
            <v>SL</v>
          </cell>
          <cell r="AB369">
            <v>8</v>
          </cell>
          <cell r="AC369">
            <v>8</v>
          </cell>
          <cell r="AD369">
            <v>8</v>
          </cell>
          <cell r="AE369">
            <v>8</v>
          </cell>
          <cell r="AF369">
            <v>8</v>
          </cell>
          <cell r="AG369" t="str">
            <v>CN</v>
          </cell>
          <cell r="AH369" t="str">
            <v>Đ</v>
          </cell>
          <cell r="AI369" t="str">
            <v>Đ</v>
          </cell>
          <cell r="AJ369" t="str">
            <v>Đ</v>
          </cell>
          <cell r="AN369">
            <v>96</v>
          </cell>
          <cell r="AO369">
            <v>88</v>
          </cell>
          <cell r="AP369">
            <v>0</v>
          </cell>
          <cell r="AQ369">
            <v>1</v>
          </cell>
          <cell r="AR369">
            <v>0</v>
          </cell>
          <cell r="AS369">
            <v>0</v>
          </cell>
          <cell r="AT369">
            <v>0</v>
          </cell>
          <cell r="AU369">
            <v>0</v>
          </cell>
          <cell r="AV369">
            <v>0</v>
          </cell>
          <cell r="AW369">
            <v>0</v>
          </cell>
          <cell r="AX369">
            <v>0</v>
          </cell>
          <cell r="AY369">
            <v>0</v>
          </cell>
          <cell r="AZ369">
            <v>0</v>
          </cell>
          <cell r="BA369">
            <v>0</v>
          </cell>
          <cell r="BB369">
            <v>0</v>
          </cell>
          <cell r="BC369">
            <v>0</v>
          </cell>
          <cell r="BD369">
            <v>0</v>
          </cell>
          <cell r="BE369">
            <v>0</v>
          </cell>
          <cell r="BF369">
            <v>0</v>
          </cell>
          <cell r="BG369">
            <v>184</v>
          </cell>
          <cell r="BH369">
            <v>0</v>
          </cell>
          <cell r="BI369">
            <v>0</v>
          </cell>
          <cell r="BJ369">
            <v>1</v>
          </cell>
          <cell r="BL369">
            <v>0</v>
          </cell>
          <cell r="BM369">
            <v>0</v>
          </cell>
          <cell r="BN369">
            <v>1.5</v>
          </cell>
          <cell r="BO369">
            <v>0</v>
          </cell>
          <cell r="BP369">
            <v>0</v>
          </cell>
          <cell r="BQ369">
            <v>3</v>
          </cell>
          <cell r="BR369">
            <v>0</v>
          </cell>
          <cell r="BS369">
            <v>3</v>
          </cell>
          <cell r="BT369">
            <v>3</v>
          </cell>
          <cell r="BU369">
            <v>0</v>
          </cell>
          <cell r="BV369">
            <v>0</v>
          </cell>
          <cell r="BW369">
            <v>3</v>
          </cell>
          <cell r="BX369">
            <v>4</v>
          </cell>
          <cell r="BY369">
            <v>4</v>
          </cell>
          <cell r="BZ369">
            <v>3</v>
          </cell>
          <cell r="CA369">
            <v>4</v>
          </cell>
          <cell r="CB369">
            <v>4</v>
          </cell>
          <cell r="CC369">
            <v>0</v>
          </cell>
          <cell r="CD369">
            <v>0</v>
          </cell>
          <cell r="CE369">
            <v>3</v>
          </cell>
          <cell r="CF369">
            <v>3</v>
          </cell>
          <cell r="CG369">
            <v>3</v>
          </cell>
          <cell r="CH369">
            <v>1.5</v>
          </cell>
          <cell r="CI369">
            <v>1.5</v>
          </cell>
          <cell r="CJ369">
            <v>8</v>
          </cell>
          <cell r="CK369">
            <v>1.5</v>
          </cell>
          <cell r="CL369">
            <v>4</v>
          </cell>
          <cell r="CM369">
            <v>1.5</v>
          </cell>
          <cell r="CR369">
            <v>0</v>
          </cell>
          <cell r="CS369">
            <v>0</v>
          </cell>
          <cell r="CT369">
            <v>51.5</v>
          </cell>
          <cell r="CU369">
            <v>8</v>
          </cell>
          <cell r="CV369">
            <v>0</v>
          </cell>
          <cell r="CZ369">
            <v>59.5</v>
          </cell>
        </row>
        <row r="370">
          <cell r="C370" t="str">
            <v>02878</v>
          </cell>
          <cell r="D370" t="str">
            <v>Lê Minh</v>
          </cell>
          <cell r="E370" t="str">
            <v>Production</v>
          </cell>
          <cell r="F370" t="str">
            <v>Skiving</v>
          </cell>
          <cell r="G370" t="str">
            <v>Worker</v>
          </cell>
          <cell r="H370" t="str">
            <v>07/04/2021</v>
          </cell>
          <cell r="I370">
            <v>8</v>
          </cell>
          <cell r="J370">
            <v>8</v>
          </cell>
          <cell r="K370">
            <v>8</v>
          </cell>
          <cell r="L370" t="str">
            <v>CN</v>
          </cell>
          <cell r="M370" t="str">
            <v>Đ</v>
          </cell>
          <cell r="N370" t="str">
            <v>Đ</v>
          </cell>
          <cell r="O370" t="str">
            <v>Đ</v>
          </cell>
          <cell r="P370" t="str">
            <v>Đ</v>
          </cell>
          <cell r="Q370" t="str">
            <v>Đ</v>
          </cell>
          <cell r="R370" t="str">
            <v>Đ</v>
          </cell>
          <cell r="S370" t="str">
            <v>CN</v>
          </cell>
          <cell r="T370">
            <v>8</v>
          </cell>
          <cell r="U370">
            <v>8</v>
          </cell>
          <cell r="V370">
            <v>8</v>
          </cell>
          <cell r="W370">
            <v>8</v>
          </cell>
          <cell r="X370">
            <v>8</v>
          </cell>
          <cell r="Y370">
            <v>8</v>
          </cell>
          <cell r="Z370" t="str">
            <v>CN</v>
          </cell>
          <cell r="AA370">
            <v>8</v>
          </cell>
          <cell r="AB370">
            <v>8</v>
          </cell>
          <cell r="AC370">
            <v>8</v>
          </cell>
          <cell r="AD370">
            <v>8</v>
          </cell>
          <cell r="AE370">
            <v>8</v>
          </cell>
          <cell r="AF370">
            <v>8</v>
          </cell>
          <cell r="AG370" t="str">
            <v>CN</v>
          </cell>
          <cell r="AH370">
            <v>8</v>
          </cell>
          <cell r="AI370">
            <v>8</v>
          </cell>
          <cell r="AJ370" t="str">
            <v>AL4</v>
          </cell>
          <cell r="AN370">
            <v>48</v>
          </cell>
          <cell r="AO370">
            <v>140</v>
          </cell>
          <cell r="AP370">
            <v>4</v>
          </cell>
          <cell r="AQ370">
            <v>0</v>
          </cell>
          <cell r="AR370">
            <v>0</v>
          </cell>
          <cell r="AS370">
            <v>0</v>
          </cell>
          <cell r="AT370">
            <v>0</v>
          </cell>
          <cell r="AU370">
            <v>0</v>
          </cell>
          <cell r="AV370">
            <v>0</v>
          </cell>
          <cell r="AW370">
            <v>0</v>
          </cell>
          <cell r="AX370">
            <v>0</v>
          </cell>
          <cell r="AY370">
            <v>0</v>
          </cell>
          <cell r="AZ370">
            <v>0</v>
          </cell>
          <cell r="BA370">
            <v>4</v>
          </cell>
          <cell r="BB370">
            <v>0</v>
          </cell>
          <cell r="BC370">
            <v>0</v>
          </cell>
          <cell r="BD370">
            <v>0</v>
          </cell>
          <cell r="BE370">
            <v>0</v>
          </cell>
          <cell r="BF370">
            <v>0</v>
          </cell>
          <cell r="BG370">
            <v>192</v>
          </cell>
          <cell r="BH370">
            <v>0.5</v>
          </cell>
          <cell r="BI370">
            <v>0.5</v>
          </cell>
          <cell r="BJ370">
            <v>1</v>
          </cell>
          <cell r="BL370">
            <v>0</v>
          </cell>
          <cell r="BM370">
            <v>1.5</v>
          </cell>
          <cell r="BN370">
            <v>1.5</v>
          </cell>
          <cell r="BO370">
            <v>0</v>
          </cell>
          <cell r="BP370">
            <v>0</v>
          </cell>
          <cell r="BQ370">
            <v>3</v>
          </cell>
          <cell r="BR370">
            <v>0</v>
          </cell>
          <cell r="BS370">
            <v>3</v>
          </cell>
          <cell r="BT370">
            <v>3</v>
          </cell>
          <cell r="BU370">
            <v>0</v>
          </cell>
          <cell r="BV370">
            <v>0</v>
          </cell>
          <cell r="BW370">
            <v>4</v>
          </cell>
          <cell r="BX370">
            <v>4</v>
          </cell>
          <cell r="BY370">
            <v>0</v>
          </cell>
          <cell r="BZ370">
            <v>4</v>
          </cell>
          <cell r="CA370">
            <v>4</v>
          </cell>
          <cell r="CB370">
            <v>4</v>
          </cell>
          <cell r="CC370">
            <v>8</v>
          </cell>
          <cell r="CD370">
            <v>4</v>
          </cell>
          <cell r="CE370">
            <v>4</v>
          </cell>
          <cell r="CF370">
            <v>4</v>
          </cell>
          <cell r="CG370">
            <v>4</v>
          </cell>
          <cell r="CH370">
            <v>0</v>
          </cell>
          <cell r="CI370">
            <v>0</v>
          </cell>
          <cell r="CJ370">
            <v>0</v>
          </cell>
          <cell r="CK370">
            <v>1.5</v>
          </cell>
          <cell r="CL370">
            <v>3</v>
          </cell>
          <cell r="CM370">
            <v>1.5</v>
          </cell>
          <cell r="CR370">
            <v>0</v>
          </cell>
          <cell r="CS370">
            <v>0</v>
          </cell>
          <cell r="CT370">
            <v>54</v>
          </cell>
          <cell r="CU370">
            <v>8</v>
          </cell>
          <cell r="CV370">
            <v>0</v>
          </cell>
          <cell r="CZ370">
            <v>62</v>
          </cell>
        </row>
        <row r="371">
          <cell r="C371" t="str">
            <v>02880</v>
          </cell>
          <cell r="D371" t="str">
            <v>Bùi Lê Hồng Ngọc</v>
          </cell>
          <cell r="E371" t="str">
            <v>Production</v>
          </cell>
          <cell r="F371" t="str">
            <v>Die Cut</v>
          </cell>
          <cell r="G371" t="str">
            <v>Worker</v>
          </cell>
          <cell r="H371" t="str">
            <v>07/04/2021</v>
          </cell>
          <cell r="I371" t="str">
            <v>Đ</v>
          </cell>
          <cell r="J371" t="str">
            <v>Đ</v>
          </cell>
          <cell r="K371" t="str">
            <v>Đ</v>
          </cell>
          <cell r="L371" t="str">
            <v>CN</v>
          </cell>
          <cell r="M371">
            <v>8</v>
          </cell>
          <cell r="N371">
            <v>8</v>
          </cell>
          <cell r="O371">
            <v>8</v>
          </cell>
          <cell r="P371">
            <v>8</v>
          </cell>
          <cell r="Q371">
            <v>8</v>
          </cell>
          <cell r="R371">
            <v>8</v>
          </cell>
          <cell r="S371" t="str">
            <v>CN</v>
          </cell>
          <cell r="T371" t="str">
            <v>Đ</v>
          </cell>
          <cell r="U371" t="str">
            <v>Đ</v>
          </cell>
          <cell r="V371" t="str">
            <v>Đ</v>
          </cell>
          <cell r="W371" t="str">
            <v>Đ</v>
          </cell>
          <cell r="X371" t="str">
            <v>Đ</v>
          </cell>
          <cell r="Y371" t="str">
            <v>Đ</v>
          </cell>
          <cell r="Z371" t="str">
            <v>CN</v>
          </cell>
          <cell r="AA371">
            <v>8</v>
          </cell>
          <cell r="AB371">
            <v>8</v>
          </cell>
          <cell r="AC371">
            <v>8</v>
          </cell>
          <cell r="AD371">
            <v>8</v>
          </cell>
          <cell r="AE371">
            <v>8</v>
          </cell>
          <cell r="AF371">
            <v>8</v>
          </cell>
          <cell r="AG371" t="str">
            <v>CN</v>
          </cell>
          <cell r="AH371" t="str">
            <v>Đ</v>
          </cell>
          <cell r="AI371" t="str">
            <v>Đ</v>
          </cell>
          <cell r="AJ371" t="str">
            <v>Đ</v>
          </cell>
          <cell r="AN371">
            <v>96</v>
          </cell>
          <cell r="AO371">
            <v>96</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192</v>
          </cell>
          <cell r="BH371">
            <v>0</v>
          </cell>
          <cell r="BI371">
            <v>0</v>
          </cell>
          <cell r="BJ371">
            <v>0</v>
          </cell>
          <cell r="BL371">
            <v>1.5</v>
          </cell>
          <cell r="BM371">
            <v>1.5</v>
          </cell>
          <cell r="BN371">
            <v>1.5</v>
          </cell>
          <cell r="BO371">
            <v>0</v>
          </cell>
          <cell r="BP371">
            <v>1.5</v>
          </cell>
          <cell r="BQ371">
            <v>0</v>
          </cell>
          <cell r="BR371">
            <v>0</v>
          </cell>
          <cell r="BS371">
            <v>0</v>
          </cell>
          <cell r="BT371">
            <v>3</v>
          </cell>
          <cell r="BU371">
            <v>3</v>
          </cell>
          <cell r="BV371">
            <v>0</v>
          </cell>
          <cell r="BW371">
            <v>4</v>
          </cell>
          <cell r="BX371">
            <v>4</v>
          </cell>
          <cell r="BY371">
            <v>4</v>
          </cell>
          <cell r="BZ371">
            <v>4</v>
          </cell>
          <cell r="CA371">
            <v>4</v>
          </cell>
          <cell r="CB371">
            <v>4</v>
          </cell>
          <cell r="CC371">
            <v>0</v>
          </cell>
          <cell r="CD371">
            <v>3</v>
          </cell>
          <cell r="CE371">
            <v>3</v>
          </cell>
          <cell r="CF371">
            <v>3</v>
          </cell>
          <cell r="CG371">
            <v>3</v>
          </cell>
          <cell r="CH371">
            <v>3</v>
          </cell>
          <cell r="CI371">
            <v>3</v>
          </cell>
          <cell r="CJ371">
            <v>8</v>
          </cell>
          <cell r="CK371">
            <v>4</v>
          </cell>
          <cell r="CL371">
            <v>4</v>
          </cell>
          <cell r="CM371">
            <v>4</v>
          </cell>
          <cell r="CR371">
            <v>0</v>
          </cell>
          <cell r="CS371">
            <v>0</v>
          </cell>
          <cell r="CT371">
            <v>66</v>
          </cell>
          <cell r="CU371">
            <v>8</v>
          </cell>
          <cell r="CV371">
            <v>0</v>
          </cell>
          <cell r="CZ371">
            <v>74</v>
          </cell>
        </row>
        <row r="372">
          <cell r="C372" t="str">
            <v>02881</v>
          </cell>
          <cell r="D372" t="str">
            <v>Đào Tuấn Phương</v>
          </cell>
          <cell r="E372" t="str">
            <v>Production</v>
          </cell>
          <cell r="F372" t="str">
            <v>Logo Making</v>
          </cell>
          <cell r="G372" t="str">
            <v>Vice Leader</v>
          </cell>
          <cell r="H372" t="str">
            <v>07/04/2021</v>
          </cell>
          <cell r="I372">
            <v>8</v>
          </cell>
          <cell r="J372">
            <v>8</v>
          </cell>
          <cell r="K372">
            <v>8</v>
          </cell>
          <cell r="L372" t="str">
            <v>CN</v>
          </cell>
          <cell r="M372">
            <v>8</v>
          </cell>
          <cell r="N372">
            <v>8</v>
          </cell>
          <cell r="O372">
            <v>8</v>
          </cell>
          <cell r="P372" t="str">
            <v>AL8</v>
          </cell>
          <cell r="Q372" t="str">
            <v>PO</v>
          </cell>
          <cell r="R372">
            <v>8</v>
          </cell>
          <cell r="S372" t="str">
            <v>CN</v>
          </cell>
          <cell r="T372">
            <v>8</v>
          </cell>
          <cell r="U372">
            <v>8</v>
          </cell>
          <cell r="V372">
            <v>8</v>
          </cell>
          <cell r="W372">
            <v>8</v>
          </cell>
          <cell r="X372">
            <v>8</v>
          </cell>
          <cell r="Y372" t="str">
            <v>AL4</v>
          </cell>
          <cell r="Z372" t="str">
            <v>CN</v>
          </cell>
          <cell r="AA372">
            <v>8</v>
          </cell>
          <cell r="AB372">
            <v>8</v>
          </cell>
          <cell r="AC372">
            <v>8</v>
          </cell>
          <cell r="AD372">
            <v>8</v>
          </cell>
          <cell r="AE372">
            <v>8</v>
          </cell>
          <cell r="AF372">
            <v>8</v>
          </cell>
          <cell r="AG372" t="str">
            <v>CN</v>
          </cell>
          <cell r="AH372">
            <v>8</v>
          </cell>
          <cell r="AI372">
            <v>8</v>
          </cell>
          <cell r="AJ372">
            <v>8</v>
          </cell>
          <cell r="AN372">
            <v>0</v>
          </cell>
          <cell r="AO372">
            <v>172</v>
          </cell>
          <cell r="AP372">
            <v>4</v>
          </cell>
          <cell r="AQ372">
            <v>0</v>
          </cell>
          <cell r="AR372">
            <v>0</v>
          </cell>
          <cell r="AS372">
            <v>0</v>
          </cell>
          <cell r="AT372">
            <v>0</v>
          </cell>
          <cell r="AU372">
            <v>0</v>
          </cell>
          <cell r="AV372">
            <v>8</v>
          </cell>
          <cell r="AW372">
            <v>0</v>
          </cell>
          <cell r="AX372">
            <v>0</v>
          </cell>
          <cell r="AY372">
            <v>0</v>
          </cell>
          <cell r="AZ372">
            <v>0</v>
          </cell>
          <cell r="BA372">
            <v>12</v>
          </cell>
          <cell r="BB372">
            <v>0</v>
          </cell>
          <cell r="BC372">
            <v>0</v>
          </cell>
          <cell r="BD372">
            <v>0</v>
          </cell>
          <cell r="BE372">
            <v>0</v>
          </cell>
          <cell r="BF372">
            <v>0</v>
          </cell>
          <cell r="BG372">
            <v>192</v>
          </cell>
          <cell r="BH372">
            <v>1.5</v>
          </cell>
          <cell r="BI372">
            <v>1.5</v>
          </cell>
          <cell r="BJ372">
            <v>11</v>
          </cell>
          <cell r="BL372">
            <v>0</v>
          </cell>
          <cell r="BM372">
            <v>0</v>
          </cell>
          <cell r="BN372">
            <v>0</v>
          </cell>
          <cell r="BO372">
            <v>0</v>
          </cell>
          <cell r="BP372">
            <v>2</v>
          </cell>
          <cell r="BQ372">
            <v>0</v>
          </cell>
          <cell r="BR372">
            <v>0</v>
          </cell>
          <cell r="BS372">
            <v>0</v>
          </cell>
          <cell r="BT372">
            <v>2</v>
          </cell>
          <cell r="BU372">
            <v>0</v>
          </cell>
          <cell r="BV372">
            <v>0</v>
          </cell>
          <cell r="BW372">
            <v>0</v>
          </cell>
          <cell r="BX372">
            <v>0</v>
          </cell>
          <cell r="BY372">
            <v>0</v>
          </cell>
          <cell r="BZ372">
            <v>0</v>
          </cell>
          <cell r="CA372">
            <v>0</v>
          </cell>
          <cell r="CB372">
            <v>0</v>
          </cell>
          <cell r="CC372">
            <v>10</v>
          </cell>
          <cell r="CD372">
            <v>0</v>
          </cell>
          <cell r="CE372">
            <v>0</v>
          </cell>
          <cell r="CF372">
            <v>0</v>
          </cell>
          <cell r="CG372">
            <v>0</v>
          </cell>
          <cell r="CH372">
            <v>0</v>
          </cell>
          <cell r="CI372">
            <v>0</v>
          </cell>
          <cell r="CJ372">
            <v>10</v>
          </cell>
          <cell r="CK372">
            <v>1</v>
          </cell>
          <cell r="CL372">
            <v>0</v>
          </cell>
          <cell r="CM372">
            <v>0</v>
          </cell>
          <cell r="CR372">
            <v>0</v>
          </cell>
          <cell r="CS372">
            <v>0</v>
          </cell>
          <cell r="CT372">
            <v>5</v>
          </cell>
          <cell r="CU372">
            <v>20</v>
          </cell>
          <cell r="CV372">
            <v>0</v>
          </cell>
          <cell r="CZ372">
            <v>25</v>
          </cell>
        </row>
        <row r="373">
          <cell r="C373" t="str">
            <v>02886</v>
          </cell>
          <cell r="D373" t="str">
            <v>Lê Tuấn Khánh</v>
          </cell>
          <cell r="E373" t="str">
            <v>Production</v>
          </cell>
          <cell r="F373" t="str">
            <v>Die Cut</v>
          </cell>
          <cell r="G373" t="str">
            <v>Operator</v>
          </cell>
          <cell r="H373" t="str">
            <v>07/04/2021</v>
          </cell>
          <cell r="I373" t="str">
            <v>Đ</v>
          </cell>
          <cell r="J373" t="str">
            <v>Đ</v>
          </cell>
          <cell r="K373" t="str">
            <v>Đ</v>
          </cell>
          <cell r="L373" t="str">
            <v>CN</v>
          </cell>
          <cell r="M373">
            <v>8</v>
          </cell>
          <cell r="N373">
            <v>8</v>
          </cell>
          <cell r="O373">
            <v>8</v>
          </cell>
          <cell r="P373">
            <v>8</v>
          </cell>
          <cell r="Q373">
            <v>8</v>
          </cell>
          <cell r="R373">
            <v>8</v>
          </cell>
          <cell r="S373" t="str">
            <v>CN</v>
          </cell>
          <cell r="T373" t="str">
            <v>Đ</v>
          </cell>
          <cell r="U373" t="str">
            <v>Đ</v>
          </cell>
          <cell r="V373" t="str">
            <v>Đ</v>
          </cell>
          <cell r="W373" t="str">
            <v>Đ</v>
          </cell>
          <cell r="X373" t="str">
            <v>Đ</v>
          </cell>
          <cell r="Y373" t="str">
            <v>Đ</v>
          </cell>
          <cell r="Z373" t="str">
            <v>CN</v>
          </cell>
          <cell r="AA373">
            <v>8</v>
          </cell>
          <cell r="AB373">
            <v>8</v>
          </cell>
          <cell r="AC373">
            <v>8</v>
          </cell>
          <cell r="AD373" t="str">
            <v>AL4</v>
          </cell>
          <cell r="AE373">
            <v>8</v>
          </cell>
          <cell r="AF373">
            <v>8</v>
          </cell>
          <cell r="AG373" t="str">
            <v>CN</v>
          </cell>
          <cell r="AH373" t="str">
            <v>Đ</v>
          </cell>
          <cell r="AI373" t="str">
            <v>Đ</v>
          </cell>
          <cell r="AJ373" t="str">
            <v>Đ</v>
          </cell>
          <cell r="AN373">
            <v>96</v>
          </cell>
          <cell r="AO373">
            <v>92</v>
          </cell>
          <cell r="AP373">
            <v>4</v>
          </cell>
          <cell r="AQ373">
            <v>0</v>
          </cell>
          <cell r="AR373">
            <v>0</v>
          </cell>
          <cell r="AS373">
            <v>0</v>
          </cell>
          <cell r="AT373">
            <v>0</v>
          </cell>
          <cell r="AU373">
            <v>0</v>
          </cell>
          <cell r="AV373">
            <v>0</v>
          </cell>
          <cell r="AW373">
            <v>0</v>
          </cell>
          <cell r="AX373">
            <v>0</v>
          </cell>
          <cell r="AY373">
            <v>0</v>
          </cell>
          <cell r="AZ373">
            <v>0</v>
          </cell>
          <cell r="BA373">
            <v>4</v>
          </cell>
          <cell r="BB373">
            <v>0</v>
          </cell>
          <cell r="BC373">
            <v>0</v>
          </cell>
          <cell r="BD373">
            <v>0</v>
          </cell>
          <cell r="BE373">
            <v>0</v>
          </cell>
          <cell r="BF373">
            <v>0</v>
          </cell>
          <cell r="BG373">
            <v>192</v>
          </cell>
          <cell r="BH373">
            <v>0.5</v>
          </cell>
          <cell r="BI373">
            <v>0.5</v>
          </cell>
          <cell r="BJ373">
            <v>1.5</v>
          </cell>
          <cell r="BL373">
            <v>0</v>
          </cell>
          <cell r="BM373">
            <v>1.5</v>
          </cell>
          <cell r="BN373">
            <v>1.5</v>
          </cell>
          <cell r="BO373">
            <v>0</v>
          </cell>
          <cell r="BP373">
            <v>1.5</v>
          </cell>
          <cell r="BQ373">
            <v>3</v>
          </cell>
          <cell r="BR373">
            <v>0</v>
          </cell>
          <cell r="BS373">
            <v>3</v>
          </cell>
          <cell r="BT373">
            <v>3</v>
          </cell>
          <cell r="BU373">
            <v>0</v>
          </cell>
          <cell r="BV373">
            <v>0</v>
          </cell>
          <cell r="BW373">
            <v>3</v>
          </cell>
          <cell r="BX373">
            <v>4</v>
          </cell>
          <cell r="BY373">
            <v>4</v>
          </cell>
          <cell r="BZ373">
            <v>4</v>
          </cell>
          <cell r="CA373">
            <v>4</v>
          </cell>
          <cell r="CB373">
            <v>4</v>
          </cell>
          <cell r="CC373">
            <v>0</v>
          </cell>
          <cell r="CD373">
            <v>1.5</v>
          </cell>
          <cell r="CE373">
            <v>3</v>
          </cell>
          <cell r="CF373">
            <v>3</v>
          </cell>
          <cell r="CG373">
            <v>2</v>
          </cell>
          <cell r="CH373">
            <v>1.5</v>
          </cell>
          <cell r="CI373">
            <v>1.5</v>
          </cell>
          <cell r="CJ373">
            <v>8</v>
          </cell>
          <cell r="CK373">
            <v>1.5</v>
          </cell>
          <cell r="CL373">
            <v>4</v>
          </cell>
          <cell r="CM373">
            <v>1.5</v>
          </cell>
          <cell r="CR373">
            <v>0</v>
          </cell>
          <cell r="CS373">
            <v>0</v>
          </cell>
          <cell r="CT373">
            <v>56</v>
          </cell>
          <cell r="CU373">
            <v>8</v>
          </cell>
          <cell r="CV373">
            <v>0</v>
          </cell>
          <cell r="CZ373">
            <v>64</v>
          </cell>
        </row>
        <row r="374">
          <cell r="C374" t="str">
            <v>02898</v>
          </cell>
          <cell r="D374" t="str">
            <v>Nguyễn Thị Kim Chi</v>
          </cell>
          <cell r="E374" t="str">
            <v>Production</v>
          </cell>
          <cell r="F374" t="str">
            <v>Packing</v>
          </cell>
          <cell r="G374" t="str">
            <v>Group Leader</v>
          </cell>
          <cell r="H374" t="str">
            <v>19/04/2021</v>
          </cell>
          <cell r="I374">
            <v>8</v>
          </cell>
          <cell r="J374">
            <v>8</v>
          </cell>
          <cell r="K374">
            <v>8</v>
          </cell>
          <cell r="L374" t="str">
            <v>CN</v>
          </cell>
          <cell r="M374">
            <v>8</v>
          </cell>
          <cell r="N374">
            <v>8</v>
          </cell>
          <cell r="O374">
            <v>8</v>
          </cell>
          <cell r="P374">
            <v>8</v>
          </cell>
          <cell r="Q374" t="str">
            <v>PO</v>
          </cell>
          <cell r="R374">
            <v>8</v>
          </cell>
          <cell r="S374" t="str">
            <v>CN</v>
          </cell>
          <cell r="T374">
            <v>8</v>
          </cell>
          <cell r="U374">
            <v>8</v>
          </cell>
          <cell r="V374">
            <v>8</v>
          </cell>
          <cell r="W374">
            <v>8</v>
          </cell>
          <cell r="X374">
            <v>8</v>
          </cell>
          <cell r="Y374">
            <v>8</v>
          </cell>
          <cell r="Z374" t="str">
            <v>CN</v>
          </cell>
          <cell r="AA374">
            <v>8</v>
          </cell>
          <cell r="AB374">
            <v>8</v>
          </cell>
          <cell r="AC374">
            <v>8</v>
          </cell>
          <cell r="AD374">
            <v>8</v>
          </cell>
          <cell r="AE374">
            <v>8</v>
          </cell>
          <cell r="AF374">
            <v>8</v>
          </cell>
          <cell r="AG374" t="str">
            <v>CN</v>
          </cell>
          <cell r="AH374">
            <v>8</v>
          </cell>
          <cell r="AI374">
            <v>8</v>
          </cell>
          <cell r="AJ374">
            <v>8</v>
          </cell>
          <cell r="AN374">
            <v>0</v>
          </cell>
          <cell r="AO374">
            <v>184</v>
          </cell>
          <cell r="AP374">
            <v>0</v>
          </cell>
          <cell r="AQ374">
            <v>0</v>
          </cell>
          <cell r="AR374">
            <v>0</v>
          </cell>
          <cell r="AS374">
            <v>0</v>
          </cell>
          <cell r="AT374">
            <v>0</v>
          </cell>
          <cell r="AU374">
            <v>0</v>
          </cell>
          <cell r="AV374">
            <v>8</v>
          </cell>
          <cell r="AW374">
            <v>0</v>
          </cell>
          <cell r="AX374">
            <v>0</v>
          </cell>
          <cell r="AY374">
            <v>0</v>
          </cell>
          <cell r="AZ374">
            <v>0</v>
          </cell>
          <cell r="BA374">
            <v>0</v>
          </cell>
          <cell r="BB374">
            <v>0</v>
          </cell>
          <cell r="BC374">
            <v>0</v>
          </cell>
          <cell r="BD374">
            <v>0</v>
          </cell>
          <cell r="BE374">
            <v>0</v>
          </cell>
          <cell r="BF374">
            <v>0</v>
          </cell>
          <cell r="BG374">
            <v>192</v>
          </cell>
          <cell r="BH374">
            <v>0</v>
          </cell>
          <cell r="BI374">
            <v>0</v>
          </cell>
          <cell r="BJ374">
            <v>7</v>
          </cell>
          <cell r="BL374">
            <v>1.5</v>
          </cell>
          <cell r="BM374">
            <v>1.5</v>
          </cell>
          <cell r="BN374">
            <v>1.5</v>
          </cell>
          <cell r="BO374">
            <v>0</v>
          </cell>
          <cell r="BP374">
            <v>1.5</v>
          </cell>
          <cell r="BQ374">
            <v>1.5</v>
          </cell>
          <cell r="BR374">
            <v>1.5</v>
          </cell>
          <cell r="BS374">
            <v>1.5</v>
          </cell>
          <cell r="BT374">
            <v>1.5</v>
          </cell>
          <cell r="BU374">
            <v>1.5</v>
          </cell>
          <cell r="BV374">
            <v>0</v>
          </cell>
          <cell r="BW374">
            <v>2</v>
          </cell>
          <cell r="BX374">
            <v>2</v>
          </cell>
          <cell r="BY374">
            <v>2</v>
          </cell>
          <cell r="BZ374">
            <v>2</v>
          </cell>
          <cell r="CA374">
            <v>2</v>
          </cell>
          <cell r="CB374">
            <v>2</v>
          </cell>
          <cell r="CC374">
            <v>8</v>
          </cell>
          <cell r="CD374">
            <v>2</v>
          </cell>
          <cell r="CE374">
            <v>2</v>
          </cell>
          <cell r="CF374">
            <v>3</v>
          </cell>
          <cell r="CG374">
            <v>2</v>
          </cell>
          <cell r="CH374">
            <v>3</v>
          </cell>
          <cell r="CI374">
            <v>2</v>
          </cell>
          <cell r="CJ374">
            <v>10</v>
          </cell>
          <cell r="CK374">
            <v>2</v>
          </cell>
          <cell r="CL374">
            <v>3</v>
          </cell>
          <cell r="CM374">
            <v>2</v>
          </cell>
          <cell r="CR374">
            <v>0</v>
          </cell>
          <cell r="CS374">
            <v>0</v>
          </cell>
          <cell r="CT374">
            <v>46.5</v>
          </cell>
          <cell r="CU374">
            <v>18</v>
          </cell>
          <cell r="CV374">
            <v>0</v>
          </cell>
          <cell r="CZ374">
            <v>64.5</v>
          </cell>
        </row>
        <row r="375">
          <cell r="C375" t="str">
            <v>02911</v>
          </cell>
          <cell r="D375" t="str">
            <v>Đặng Chí Diện</v>
          </cell>
          <cell r="E375" t="str">
            <v>Production</v>
          </cell>
          <cell r="F375" t="str">
            <v>Lamination</v>
          </cell>
          <cell r="G375" t="str">
            <v>Worker</v>
          </cell>
          <cell r="H375" t="str">
            <v>26/04/2021</v>
          </cell>
          <cell r="I375" t="str">
            <v>Đ</v>
          </cell>
          <cell r="J375" t="str">
            <v>Đ</v>
          </cell>
          <cell r="K375" t="str">
            <v>Đ</v>
          </cell>
          <cell r="L375" t="str">
            <v>CN</v>
          </cell>
          <cell r="M375">
            <v>8</v>
          </cell>
          <cell r="N375">
            <v>8</v>
          </cell>
          <cell r="O375">
            <v>8</v>
          </cell>
          <cell r="P375">
            <v>8</v>
          </cell>
          <cell r="Q375">
            <v>8</v>
          </cell>
          <cell r="R375">
            <v>8</v>
          </cell>
          <cell r="S375" t="str">
            <v>CN</v>
          </cell>
          <cell r="T375">
            <v>8</v>
          </cell>
          <cell r="U375">
            <v>8</v>
          </cell>
          <cell r="V375">
            <v>8</v>
          </cell>
          <cell r="W375">
            <v>8</v>
          </cell>
          <cell r="X375">
            <v>8</v>
          </cell>
          <cell r="Y375">
            <v>8</v>
          </cell>
          <cell r="Z375" t="str">
            <v>CN</v>
          </cell>
          <cell r="AA375">
            <v>8</v>
          </cell>
          <cell r="AB375">
            <v>8</v>
          </cell>
          <cell r="AC375">
            <v>8</v>
          </cell>
          <cell r="AD375">
            <v>8</v>
          </cell>
          <cell r="AE375">
            <v>8</v>
          </cell>
          <cell r="AF375" t="str">
            <v>CN</v>
          </cell>
          <cell r="AG375" t="str">
            <v>AL4</v>
          </cell>
          <cell r="AH375">
            <v>8</v>
          </cell>
          <cell r="AI375">
            <v>8</v>
          </cell>
          <cell r="AJ375">
            <v>8</v>
          </cell>
          <cell r="AN375">
            <v>24</v>
          </cell>
          <cell r="AO375">
            <v>164</v>
          </cell>
          <cell r="AP375">
            <v>4</v>
          </cell>
          <cell r="AQ375">
            <v>0</v>
          </cell>
          <cell r="AR375">
            <v>0</v>
          </cell>
          <cell r="AS375">
            <v>0</v>
          </cell>
          <cell r="AT375">
            <v>0</v>
          </cell>
          <cell r="AU375">
            <v>0</v>
          </cell>
          <cell r="AV375">
            <v>0</v>
          </cell>
          <cell r="AW375">
            <v>0</v>
          </cell>
          <cell r="AX375">
            <v>0</v>
          </cell>
          <cell r="AY375">
            <v>0</v>
          </cell>
          <cell r="AZ375">
            <v>0</v>
          </cell>
          <cell r="BA375">
            <v>4</v>
          </cell>
          <cell r="BB375">
            <v>0</v>
          </cell>
          <cell r="BC375">
            <v>0</v>
          </cell>
          <cell r="BD375">
            <v>0</v>
          </cell>
          <cell r="BE375">
            <v>0</v>
          </cell>
          <cell r="BF375">
            <v>0</v>
          </cell>
          <cell r="BG375">
            <v>192</v>
          </cell>
          <cell r="BH375">
            <v>0.5</v>
          </cell>
          <cell r="BI375">
            <v>0.5</v>
          </cell>
          <cell r="BJ375">
            <v>4.5</v>
          </cell>
          <cell r="BL375">
            <v>0</v>
          </cell>
          <cell r="BM375">
            <v>0</v>
          </cell>
          <cell r="BN375">
            <v>0</v>
          </cell>
          <cell r="BO375">
            <v>0</v>
          </cell>
          <cell r="BP375">
            <v>0</v>
          </cell>
          <cell r="BQ375">
            <v>0</v>
          </cell>
          <cell r="BR375">
            <v>0</v>
          </cell>
          <cell r="BS375">
            <v>0</v>
          </cell>
          <cell r="BT375">
            <v>0</v>
          </cell>
          <cell r="BU375">
            <v>0</v>
          </cell>
          <cell r="BV375">
            <v>0</v>
          </cell>
          <cell r="BW375">
            <v>0</v>
          </cell>
          <cell r="BX375">
            <v>4</v>
          </cell>
          <cell r="BY375">
            <v>0</v>
          </cell>
          <cell r="BZ375">
            <v>4</v>
          </cell>
          <cell r="CA375">
            <v>4</v>
          </cell>
          <cell r="CB375">
            <v>0</v>
          </cell>
          <cell r="CC375">
            <v>0</v>
          </cell>
          <cell r="CD375">
            <v>0</v>
          </cell>
          <cell r="CE375">
            <v>0</v>
          </cell>
          <cell r="CF375">
            <v>4</v>
          </cell>
          <cell r="CG375">
            <v>0</v>
          </cell>
          <cell r="CH375">
            <v>4</v>
          </cell>
          <cell r="CI375">
            <v>0</v>
          </cell>
          <cell r="CJ375">
            <v>4</v>
          </cell>
          <cell r="CK375">
            <v>0</v>
          </cell>
          <cell r="CL375">
            <v>0</v>
          </cell>
          <cell r="CM375">
            <v>0</v>
          </cell>
          <cell r="CR375">
            <v>0</v>
          </cell>
          <cell r="CS375">
            <v>0</v>
          </cell>
          <cell r="CT375">
            <v>24</v>
          </cell>
          <cell r="CU375">
            <v>0</v>
          </cell>
          <cell r="CV375">
            <v>0</v>
          </cell>
          <cell r="CZ375">
            <v>24</v>
          </cell>
        </row>
        <row r="376">
          <cell r="C376" t="str">
            <v>02913</v>
          </cell>
          <cell r="D376" t="str">
            <v>Nguyễn Quang Tiến</v>
          </cell>
          <cell r="E376" t="str">
            <v>Production</v>
          </cell>
          <cell r="F376" t="str">
            <v>Lamination</v>
          </cell>
          <cell r="G376" t="str">
            <v>Worker</v>
          </cell>
          <cell r="H376" t="str">
            <v>26/04/2021</v>
          </cell>
          <cell r="I376">
            <v>8</v>
          </cell>
          <cell r="J376">
            <v>8</v>
          </cell>
          <cell r="K376" t="str">
            <v>Đ</v>
          </cell>
          <cell r="L376" t="str">
            <v>CN</v>
          </cell>
          <cell r="M376">
            <v>8</v>
          </cell>
          <cell r="N376">
            <v>8</v>
          </cell>
          <cell r="O376">
            <v>8</v>
          </cell>
          <cell r="P376">
            <v>8</v>
          </cell>
          <cell r="Q376" t="str">
            <v>Đ</v>
          </cell>
          <cell r="R376" t="str">
            <v>Đ</v>
          </cell>
          <cell r="S376" t="str">
            <v>CN</v>
          </cell>
          <cell r="T376">
            <v>8</v>
          </cell>
          <cell r="U376">
            <v>8</v>
          </cell>
          <cell r="V376">
            <v>8</v>
          </cell>
          <cell r="W376">
            <v>8</v>
          </cell>
          <cell r="X376" t="str">
            <v>AL8</v>
          </cell>
          <cell r="Y376" t="str">
            <v>AL8</v>
          </cell>
          <cell r="Z376" t="str">
            <v>CN</v>
          </cell>
          <cell r="AA376">
            <v>8</v>
          </cell>
          <cell r="AB376">
            <v>8</v>
          </cell>
          <cell r="AC376">
            <v>8</v>
          </cell>
          <cell r="AD376">
            <v>8</v>
          </cell>
          <cell r="AE376" t="str">
            <v>Đ</v>
          </cell>
          <cell r="AF376" t="str">
            <v>Đ</v>
          </cell>
          <cell r="AG376" t="str">
            <v>CN</v>
          </cell>
          <cell r="AH376">
            <v>8</v>
          </cell>
          <cell r="AI376">
            <v>8</v>
          </cell>
          <cell r="AJ376">
            <v>8</v>
          </cell>
          <cell r="AN376">
            <v>40</v>
          </cell>
          <cell r="AO376">
            <v>136</v>
          </cell>
          <cell r="AP376">
            <v>0</v>
          </cell>
          <cell r="AQ376">
            <v>0</v>
          </cell>
          <cell r="AR376">
            <v>0</v>
          </cell>
          <cell r="AS376">
            <v>0</v>
          </cell>
          <cell r="AT376">
            <v>0</v>
          </cell>
          <cell r="AU376">
            <v>0</v>
          </cell>
          <cell r="AV376">
            <v>0</v>
          </cell>
          <cell r="AW376">
            <v>0</v>
          </cell>
          <cell r="AX376">
            <v>0</v>
          </cell>
          <cell r="AY376">
            <v>0</v>
          </cell>
          <cell r="AZ376">
            <v>0</v>
          </cell>
          <cell r="BA376">
            <v>16</v>
          </cell>
          <cell r="BB376">
            <v>0</v>
          </cell>
          <cell r="BC376">
            <v>0</v>
          </cell>
          <cell r="BD376">
            <v>0</v>
          </cell>
          <cell r="BE376">
            <v>0</v>
          </cell>
          <cell r="BF376">
            <v>0</v>
          </cell>
          <cell r="BG376">
            <v>192</v>
          </cell>
          <cell r="BH376">
            <v>2</v>
          </cell>
          <cell r="BI376">
            <v>2</v>
          </cell>
          <cell r="BJ376">
            <v>0</v>
          </cell>
          <cell r="BL376">
            <v>0</v>
          </cell>
          <cell r="BM376">
            <v>4</v>
          </cell>
          <cell r="BN376">
            <v>4</v>
          </cell>
          <cell r="BO376">
            <v>0</v>
          </cell>
          <cell r="BP376">
            <v>0</v>
          </cell>
          <cell r="BQ376">
            <v>4</v>
          </cell>
          <cell r="BR376">
            <v>0</v>
          </cell>
          <cell r="BS376">
            <v>0</v>
          </cell>
          <cell r="BT376">
            <v>4</v>
          </cell>
          <cell r="BU376">
            <v>4</v>
          </cell>
          <cell r="BV376">
            <v>0</v>
          </cell>
          <cell r="BW376">
            <v>0</v>
          </cell>
          <cell r="BX376">
            <v>4</v>
          </cell>
          <cell r="BY376">
            <v>0</v>
          </cell>
          <cell r="BZ376">
            <v>0</v>
          </cell>
          <cell r="CA376">
            <v>0</v>
          </cell>
          <cell r="CB376">
            <v>0</v>
          </cell>
          <cell r="CC376">
            <v>0</v>
          </cell>
          <cell r="CD376">
            <v>0</v>
          </cell>
          <cell r="CE376">
            <v>4</v>
          </cell>
          <cell r="CF376">
            <v>4</v>
          </cell>
          <cell r="CG376">
            <v>4</v>
          </cell>
          <cell r="CH376">
            <v>4</v>
          </cell>
          <cell r="CI376">
            <v>4</v>
          </cell>
          <cell r="CJ376">
            <v>0</v>
          </cell>
          <cell r="CK376">
            <v>4</v>
          </cell>
          <cell r="CL376">
            <v>0</v>
          </cell>
          <cell r="CM376">
            <v>0</v>
          </cell>
          <cell r="CR376">
            <v>0</v>
          </cell>
          <cell r="CS376">
            <v>0</v>
          </cell>
          <cell r="CT376">
            <v>48</v>
          </cell>
          <cell r="CU376">
            <v>0</v>
          </cell>
          <cell r="CV376">
            <v>0</v>
          </cell>
          <cell r="CZ376">
            <v>48</v>
          </cell>
        </row>
        <row r="377">
          <cell r="C377" t="str">
            <v>02920</v>
          </cell>
          <cell r="D377" t="str">
            <v>Nguyễn Tuấn Kiệt</v>
          </cell>
          <cell r="E377" t="str">
            <v>Foaming</v>
          </cell>
          <cell r="F377" t="str">
            <v>FOAMING Rectangular</v>
          </cell>
          <cell r="G377" t="str">
            <v>Skilled worker</v>
          </cell>
          <cell r="H377" t="str">
            <v>26/04/2021</v>
          </cell>
          <cell r="I377">
            <v>8</v>
          </cell>
          <cell r="J377">
            <v>8</v>
          </cell>
          <cell r="K377">
            <v>8</v>
          </cell>
          <cell r="L377" t="str">
            <v>CN</v>
          </cell>
          <cell r="M377">
            <v>8</v>
          </cell>
          <cell r="N377">
            <v>8</v>
          </cell>
          <cell r="O377" t="str">
            <v>AL8</v>
          </cell>
          <cell r="P377">
            <v>8</v>
          </cell>
          <cell r="Q377">
            <v>8</v>
          </cell>
          <cell r="R377">
            <v>8</v>
          </cell>
          <cell r="S377" t="str">
            <v>CN</v>
          </cell>
          <cell r="T377">
            <v>8</v>
          </cell>
          <cell r="U377">
            <v>8</v>
          </cell>
          <cell r="V377" t="str">
            <v>AL4</v>
          </cell>
          <cell r="W377">
            <v>8</v>
          </cell>
          <cell r="X377">
            <v>8</v>
          </cell>
          <cell r="Y377">
            <v>8</v>
          </cell>
          <cell r="Z377" t="str">
            <v>CN</v>
          </cell>
          <cell r="AA377" t="str">
            <v>Đ</v>
          </cell>
          <cell r="AB377" t="str">
            <v>Đ</v>
          </cell>
          <cell r="AC377" t="str">
            <v>Đ</v>
          </cell>
          <cell r="AD377" t="str">
            <v>Đ</v>
          </cell>
          <cell r="AE377" t="str">
            <v>Đ</v>
          </cell>
          <cell r="AF377" t="str">
            <v>Đ</v>
          </cell>
          <cell r="AG377" t="str">
            <v>CN</v>
          </cell>
          <cell r="AH377" t="str">
            <v>Đ</v>
          </cell>
          <cell r="AI377" t="str">
            <v>Đ</v>
          </cell>
          <cell r="AJ377" t="str">
            <v>Đ</v>
          </cell>
          <cell r="AN377">
            <v>72</v>
          </cell>
          <cell r="AO377">
            <v>108</v>
          </cell>
          <cell r="AP377">
            <v>4</v>
          </cell>
          <cell r="AQ377">
            <v>0</v>
          </cell>
          <cell r="AR377">
            <v>0</v>
          </cell>
          <cell r="AS377">
            <v>0</v>
          </cell>
          <cell r="AT377">
            <v>0</v>
          </cell>
          <cell r="AU377">
            <v>0</v>
          </cell>
          <cell r="AV377">
            <v>0</v>
          </cell>
          <cell r="AW377">
            <v>0</v>
          </cell>
          <cell r="AX377">
            <v>0</v>
          </cell>
          <cell r="AY377">
            <v>0</v>
          </cell>
          <cell r="AZ377">
            <v>0</v>
          </cell>
          <cell r="BA377">
            <v>12</v>
          </cell>
          <cell r="BB377">
            <v>0</v>
          </cell>
          <cell r="BC377">
            <v>0</v>
          </cell>
          <cell r="BD377">
            <v>0</v>
          </cell>
          <cell r="BE377">
            <v>0</v>
          </cell>
          <cell r="BF377">
            <v>0</v>
          </cell>
          <cell r="BG377">
            <v>192</v>
          </cell>
          <cell r="BH377">
            <v>1.5</v>
          </cell>
          <cell r="BI377">
            <v>1.5</v>
          </cell>
          <cell r="BJ377">
            <v>-6.5</v>
          </cell>
          <cell r="BL377">
            <v>0</v>
          </cell>
          <cell r="BM377">
            <v>4</v>
          </cell>
          <cell r="BN377">
            <v>4</v>
          </cell>
          <cell r="BO377">
            <v>12</v>
          </cell>
          <cell r="BP377">
            <v>0</v>
          </cell>
          <cell r="BQ377">
            <v>4</v>
          </cell>
          <cell r="BR377">
            <v>0</v>
          </cell>
          <cell r="BS377">
            <v>4</v>
          </cell>
          <cell r="BT377">
            <v>4</v>
          </cell>
          <cell r="BU377">
            <v>4</v>
          </cell>
          <cell r="BV377">
            <v>12</v>
          </cell>
          <cell r="BW377">
            <v>4</v>
          </cell>
          <cell r="BX377">
            <v>0</v>
          </cell>
          <cell r="BY377">
            <v>4</v>
          </cell>
          <cell r="BZ377">
            <v>4</v>
          </cell>
          <cell r="CA377">
            <v>4</v>
          </cell>
          <cell r="CB377">
            <v>4</v>
          </cell>
          <cell r="CC377" t="str">
            <v>12Đ</v>
          </cell>
          <cell r="CD377">
            <v>4</v>
          </cell>
          <cell r="CE377">
            <v>4</v>
          </cell>
          <cell r="CF377">
            <v>4</v>
          </cell>
          <cell r="CG377">
            <v>4</v>
          </cell>
          <cell r="CH377">
            <v>4</v>
          </cell>
          <cell r="CI377">
            <v>4</v>
          </cell>
          <cell r="CJ377" t="str">
            <v>12Đ</v>
          </cell>
          <cell r="CK377">
            <v>0</v>
          </cell>
          <cell r="CL377">
            <v>4</v>
          </cell>
          <cell r="CM377">
            <v>0</v>
          </cell>
          <cell r="CR377">
            <v>0</v>
          </cell>
          <cell r="CS377">
            <v>0</v>
          </cell>
          <cell r="CT377">
            <v>72</v>
          </cell>
          <cell r="CU377">
            <v>32</v>
          </cell>
          <cell r="CV377">
            <v>16</v>
          </cell>
          <cell r="CZ377">
            <v>120</v>
          </cell>
        </row>
        <row r="378">
          <cell r="C378" t="str">
            <v>02924</v>
          </cell>
          <cell r="D378" t="str">
            <v>Mai Kim Li Da</v>
          </cell>
          <cell r="E378" t="str">
            <v>Technical Development</v>
          </cell>
          <cell r="F378" t="str">
            <v>PD Sample</v>
          </cell>
          <cell r="G378" t="str">
            <v>Staff</v>
          </cell>
          <cell r="H378" t="str">
            <v>26/04/2021</v>
          </cell>
          <cell r="I378">
            <v>8</v>
          </cell>
          <cell r="J378">
            <v>8</v>
          </cell>
          <cell r="K378" t="str">
            <v>PO</v>
          </cell>
          <cell r="L378" t="str">
            <v>CN</v>
          </cell>
          <cell r="M378">
            <v>8</v>
          </cell>
          <cell r="N378">
            <v>8</v>
          </cell>
          <cell r="O378">
            <v>8</v>
          </cell>
          <cell r="P378">
            <v>8</v>
          </cell>
          <cell r="Q378">
            <v>8</v>
          </cell>
          <cell r="R378" t="str">
            <v>PO</v>
          </cell>
          <cell r="S378" t="str">
            <v>CN</v>
          </cell>
          <cell r="T378">
            <v>8</v>
          </cell>
          <cell r="U378">
            <v>8</v>
          </cell>
          <cell r="V378">
            <v>8</v>
          </cell>
          <cell r="W378">
            <v>8</v>
          </cell>
          <cell r="X378">
            <v>8</v>
          </cell>
          <cell r="Y378" t="str">
            <v>PO</v>
          </cell>
          <cell r="Z378" t="str">
            <v>CN</v>
          </cell>
          <cell r="AA378" t="str">
            <v>AL8</v>
          </cell>
          <cell r="AB378">
            <v>8</v>
          </cell>
          <cell r="AC378">
            <v>8</v>
          </cell>
          <cell r="AD378">
            <v>8</v>
          </cell>
          <cell r="AE378">
            <v>8</v>
          </cell>
          <cell r="AF378" t="str">
            <v>PO</v>
          </cell>
          <cell r="AG378" t="str">
            <v>CN</v>
          </cell>
          <cell r="AH378">
            <v>8</v>
          </cell>
          <cell r="AI378">
            <v>8</v>
          </cell>
          <cell r="AJ378">
            <v>8</v>
          </cell>
          <cell r="AN378">
            <v>0</v>
          </cell>
          <cell r="AO378">
            <v>152</v>
          </cell>
          <cell r="AP378">
            <v>0</v>
          </cell>
          <cell r="AQ378">
            <v>0</v>
          </cell>
          <cell r="AR378">
            <v>0</v>
          </cell>
          <cell r="AS378">
            <v>0</v>
          </cell>
          <cell r="AT378">
            <v>0</v>
          </cell>
          <cell r="AU378">
            <v>0</v>
          </cell>
          <cell r="AV378">
            <v>32</v>
          </cell>
          <cell r="AW378">
            <v>0</v>
          </cell>
          <cell r="AX378">
            <v>0</v>
          </cell>
          <cell r="AY378">
            <v>0</v>
          </cell>
          <cell r="AZ378">
            <v>0</v>
          </cell>
          <cell r="BA378">
            <v>8</v>
          </cell>
          <cell r="BB378">
            <v>0</v>
          </cell>
          <cell r="BC378">
            <v>0</v>
          </cell>
          <cell r="BD378">
            <v>0</v>
          </cell>
          <cell r="BE378">
            <v>0</v>
          </cell>
          <cell r="BF378">
            <v>0</v>
          </cell>
          <cell r="BG378">
            <v>192</v>
          </cell>
          <cell r="BH378">
            <v>1</v>
          </cell>
          <cell r="BI378">
            <v>1</v>
          </cell>
          <cell r="BJ378">
            <v>2</v>
          </cell>
          <cell r="BL378">
            <v>0</v>
          </cell>
          <cell r="BM378">
            <v>0</v>
          </cell>
          <cell r="BN378">
            <v>0</v>
          </cell>
          <cell r="BO378">
            <v>0</v>
          </cell>
          <cell r="BP378">
            <v>0</v>
          </cell>
          <cell r="BQ378">
            <v>0</v>
          </cell>
          <cell r="BR378">
            <v>0</v>
          </cell>
          <cell r="BS378">
            <v>0</v>
          </cell>
          <cell r="BT378">
            <v>0</v>
          </cell>
          <cell r="BU378">
            <v>0</v>
          </cell>
          <cell r="BV378">
            <v>0</v>
          </cell>
          <cell r="BW378">
            <v>0</v>
          </cell>
          <cell r="BX378">
            <v>0</v>
          </cell>
          <cell r="BY378">
            <v>0</v>
          </cell>
          <cell r="BZ378">
            <v>0</v>
          </cell>
          <cell r="CA378">
            <v>0</v>
          </cell>
          <cell r="CB378">
            <v>0</v>
          </cell>
          <cell r="CC378">
            <v>0</v>
          </cell>
          <cell r="CD378">
            <v>0</v>
          </cell>
          <cell r="CE378">
            <v>0</v>
          </cell>
          <cell r="CF378">
            <v>0</v>
          </cell>
          <cell r="CG378">
            <v>0</v>
          </cell>
          <cell r="CH378">
            <v>0</v>
          </cell>
          <cell r="CI378">
            <v>0</v>
          </cell>
          <cell r="CJ378">
            <v>0</v>
          </cell>
          <cell r="CK378">
            <v>0</v>
          </cell>
          <cell r="CL378">
            <v>0</v>
          </cell>
          <cell r="CM378">
            <v>0</v>
          </cell>
          <cell r="CR378">
            <v>0</v>
          </cell>
          <cell r="CS378">
            <v>0</v>
          </cell>
          <cell r="CT378">
            <v>0</v>
          </cell>
          <cell r="CU378">
            <v>0</v>
          </cell>
          <cell r="CV378">
            <v>0</v>
          </cell>
          <cell r="CZ378">
            <v>0</v>
          </cell>
        </row>
        <row r="379">
          <cell r="C379" t="str">
            <v>02927</v>
          </cell>
          <cell r="D379" t="str">
            <v>Nguyễn Thị Tuyết Nhi</v>
          </cell>
          <cell r="E379" t="str">
            <v>Production</v>
          </cell>
          <cell r="F379" t="str">
            <v>Logo</v>
          </cell>
          <cell r="G379" t="str">
            <v>Worker</v>
          </cell>
          <cell r="H379" t="str">
            <v>05/05/2021</v>
          </cell>
          <cell r="I379" t="str">
            <v>CĐ</v>
          </cell>
          <cell r="J379" t="str">
            <v>AL8</v>
          </cell>
          <cell r="K379" t="str">
            <v>Đ</v>
          </cell>
          <cell r="L379" t="str">
            <v>CN</v>
          </cell>
          <cell r="M379">
            <v>8</v>
          </cell>
          <cell r="N379">
            <v>8</v>
          </cell>
          <cell r="O379">
            <v>8</v>
          </cell>
          <cell r="P379">
            <v>8</v>
          </cell>
          <cell r="Q379">
            <v>8</v>
          </cell>
          <cell r="R379">
            <v>8</v>
          </cell>
          <cell r="S379" t="str">
            <v>CN</v>
          </cell>
          <cell r="T379" t="str">
            <v>Đ</v>
          </cell>
          <cell r="U379" t="str">
            <v>Đ</v>
          </cell>
          <cell r="V379" t="str">
            <v>Đ</v>
          </cell>
          <cell r="W379" t="str">
            <v>Đ</v>
          </cell>
          <cell r="X379" t="str">
            <v>Đ</v>
          </cell>
          <cell r="Y379" t="str">
            <v>Đ</v>
          </cell>
          <cell r="Z379" t="str">
            <v>CN</v>
          </cell>
          <cell r="AA379">
            <v>8</v>
          </cell>
          <cell r="AB379">
            <v>8</v>
          </cell>
          <cell r="AC379">
            <v>8</v>
          </cell>
          <cell r="AD379">
            <v>8</v>
          </cell>
          <cell r="AE379">
            <v>8</v>
          </cell>
          <cell r="AF379">
            <v>8</v>
          </cell>
          <cell r="AG379" t="str">
            <v>CN</v>
          </cell>
          <cell r="AH379" t="str">
            <v>Đ</v>
          </cell>
          <cell r="AI379" t="str">
            <v>Đ</v>
          </cell>
          <cell r="AJ379" t="str">
            <v>Đ</v>
          </cell>
          <cell r="AN379">
            <v>80</v>
          </cell>
          <cell r="AO379">
            <v>96</v>
          </cell>
          <cell r="AP379">
            <v>0</v>
          </cell>
          <cell r="AQ379">
            <v>0</v>
          </cell>
          <cell r="AR379">
            <v>0</v>
          </cell>
          <cell r="AS379">
            <v>0</v>
          </cell>
          <cell r="AT379">
            <v>0</v>
          </cell>
          <cell r="AU379">
            <v>0</v>
          </cell>
          <cell r="AV379">
            <v>0</v>
          </cell>
          <cell r="AW379">
            <v>0</v>
          </cell>
          <cell r="AX379">
            <v>0</v>
          </cell>
          <cell r="AY379">
            <v>0</v>
          </cell>
          <cell r="AZ379">
            <v>8</v>
          </cell>
          <cell r="BA379">
            <v>8</v>
          </cell>
          <cell r="BB379">
            <v>0</v>
          </cell>
          <cell r="BC379">
            <v>0</v>
          </cell>
          <cell r="BD379">
            <v>0</v>
          </cell>
          <cell r="BE379">
            <v>0</v>
          </cell>
          <cell r="BF379">
            <v>0</v>
          </cell>
          <cell r="BG379">
            <v>192</v>
          </cell>
          <cell r="BH379">
            <v>1</v>
          </cell>
          <cell r="BI379">
            <v>1</v>
          </cell>
          <cell r="BJ379">
            <v>2</v>
          </cell>
          <cell r="BL379">
            <v>0</v>
          </cell>
          <cell r="BM379">
            <v>0</v>
          </cell>
          <cell r="BN379">
            <v>0</v>
          </cell>
          <cell r="BO379">
            <v>0</v>
          </cell>
          <cell r="BP379">
            <v>1.5</v>
          </cell>
          <cell r="BQ379">
            <v>3</v>
          </cell>
          <cell r="BR379">
            <v>0</v>
          </cell>
          <cell r="BS379">
            <v>2</v>
          </cell>
          <cell r="BT379">
            <v>3</v>
          </cell>
          <cell r="BU379">
            <v>0</v>
          </cell>
          <cell r="BV379">
            <v>0</v>
          </cell>
          <cell r="BW379">
            <v>3</v>
          </cell>
          <cell r="BX379">
            <v>4</v>
          </cell>
          <cell r="BY379">
            <v>4</v>
          </cell>
          <cell r="BZ379">
            <v>4</v>
          </cell>
          <cell r="CA379">
            <v>4</v>
          </cell>
          <cell r="CB379">
            <v>4</v>
          </cell>
          <cell r="CC379">
            <v>0</v>
          </cell>
          <cell r="CD379">
            <v>1.5</v>
          </cell>
          <cell r="CE379">
            <v>3</v>
          </cell>
          <cell r="CF379">
            <v>3</v>
          </cell>
          <cell r="CG379">
            <v>3</v>
          </cell>
          <cell r="CH379">
            <v>1.5</v>
          </cell>
          <cell r="CI379">
            <v>1.5</v>
          </cell>
          <cell r="CJ379">
            <v>8</v>
          </cell>
          <cell r="CK379">
            <v>1.5</v>
          </cell>
          <cell r="CL379">
            <v>4</v>
          </cell>
          <cell r="CM379">
            <v>1.5</v>
          </cell>
          <cell r="CR379">
            <v>0</v>
          </cell>
          <cell r="CS379">
            <v>0</v>
          </cell>
          <cell r="CT379">
            <v>53</v>
          </cell>
          <cell r="CU379">
            <v>8</v>
          </cell>
          <cell r="CV379">
            <v>0</v>
          </cell>
          <cell r="CZ379">
            <v>61</v>
          </cell>
        </row>
        <row r="380">
          <cell r="C380" t="str">
            <v>02929</v>
          </cell>
          <cell r="D380" t="str">
            <v>Nguyễn Thị Hoàng Ngọc Phượng</v>
          </cell>
          <cell r="E380" t="str">
            <v>Foaming</v>
          </cell>
          <cell r="F380" t="str">
            <v>FOAMING Production control</v>
          </cell>
          <cell r="G380" t="str">
            <v>Senior Staff</v>
          </cell>
          <cell r="H380" t="str">
            <v>05/05/2021</v>
          </cell>
          <cell r="I380">
            <v>8</v>
          </cell>
          <cell r="J380">
            <v>8</v>
          </cell>
          <cell r="K380" t="str">
            <v>PO</v>
          </cell>
          <cell r="L380" t="str">
            <v>CN</v>
          </cell>
          <cell r="M380">
            <v>8</v>
          </cell>
          <cell r="N380">
            <v>8</v>
          </cell>
          <cell r="O380">
            <v>8</v>
          </cell>
          <cell r="P380" t="str">
            <v>WH</v>
          </cell>
          <cell r="Q380" t="str">
            <v>WH</v>
          </cell>
          <cell r="R380" t="str">
            <v>PO</v>
          </cell>
          <cell r="S380" t="str">
            <v>CN</v>
          </cell>
          <cell r="T380">
            <v>8</v>
          </cell>
          <cell r="U380">
            <v>8</v>
          </cell>
          <cell r="V380">
            <v>8</v>
          </cell>
          <cell r="W380">
            <v>8</v>
          </cell>
          <cell r="X380" t="str">
            <v>AL4/WH4</v>
          </cell>
          <cell r="Y380" t="str">
            <v>PO</v>
          </cell>
          <cell r="Z380" t="str">
            <v>CN</v>
          </cell>
          <cell r="AA380">
            <v>8</v>
          </cell>
          <cell r="AB380">
            <v>8</v>
          </cell>
          <cell r="AC380">
            <v>8</v>
          </cell>
          <cell r="AD380">
            <v>8</v>
          </cell>
          <cell r="AE380">
            <v>8</v>
          </cell>
          <cell r="AF380" t="str">
            <v>PO</v>
          </cell>
          <cell r="AG380" t="str">
            <v>CN</v>
          </cell>
          <cell r="AH380">
            <v>8</v>
          </cell>
          <cell r="AI380">
            <v>8</v>
          </cell>
          <cell r="AJ380" t="str">
            <v>WH</v>
          </cell>
          <cell r="AN380">
            <v>0</v>
          </cell>
          <cell r="AO380">
            <v>128</v>
          </cell>
          <cell r="AP380">
            <v>0</v>
          </cell>
          <cell r="AQ380">
            <v>0</v>
          </cell>
          <cell r="AR380">
            <v>0</v>
          </cell>
          <cell r="AS380">
            <v>0</v>
          </cell>
          <cell r="AT380">
            <v>0</v>
          </cell>
          <cell r="AU380">
            <v>0</v>
          </cell>
          <cell r="AV380">
            <v>32</v>
          </cell>
          <cell r="AW380">
            <v>0</v>
          </cell>
          <cell r="AX380">
            <v>0</v>
          </cell>
          <cell r="AY380">
            <v>0</v>
          </cell>
          <cell r="AZ380">
            <v>0</v>
          </cell>
          <cell r="BA380">
            <v>4</v>
          </cell>
          <cell r="BB380">
            <v>0</v>
          </cell>
          <cell r="BC380">
            <v>0</v>
          </cell>
          <cell r="BD380">
            <v>28</v>
          </cell>
          <cell r="BE380">
            <v>0</v>
          </cell>
          <cell r="BF380">
            <v>0</v>
          </cell>
          <cell r="BG380">
            <v>192</v>
          </cell>
          <cell r="BH380">
            <v>0.5</v>
          </cell>
          <cell r="BI380">
            <v>0.5</v>
          </cell>
          <cell r="BJ380">
            <v>1.5</v>
          </cell>
          <cell r="BL380">
            <v>0</v>
          </cell>
          <cell r="BM380">
            <v>0</v>
          </cell>
          <cell r="BN380">
            <v>0</v>
          </cell>
          <cell r="BO380">
            <v>0</v>
          </cell>
          <cell r="BP380">
            <v>0</v>
          </cell>
          <cell r="BQ380">
            <v>0</v>
          </cell>
          <cell r="BR380">
            <v>0</v>
          </cell>
          <cell r="BS380">
            <v>0</v>
          </cell>
          <cell r="BT380">
            <v>0</v>
          </cell>
          <cell r="BU380">
            <v>0</v>
          </cell>
          <cell r="BV380">
            <v>0</v>
          </cell>
          <cell r="BW380">
            <v>0</v>
          </cell>
          <cell r="BX380">
            <v>0</v>
          </cell>
          <cell r="BY380">
            <v>0</v>
          </cell>
          <cell r="BZ380">
            <v>0</v>
          </cell>
          <cell r="CA380">
            <v>0</v>
          </cell>
          <cell r="CB380">
            <v>0</v>
          </cell>
          <cell r="CC380">
            <v>0</v>
          </cell>
          <cell r="CD380">
            <v>0</v>
          </cell>
          <cell r="CE380">
            <v>0</v>
          </cell>
          <cell r="CF380">
            <v>0</v>
          </cell>
          <cell r="CG380">
            <v>0</v>
          </cell>
          <cell r="CH380">
            <v>0</v>
          </cell>
          <cell r="CI380">
            <v>0</v>
          </cell>
          <cell r="CJ380">
            <v>0</v>
          </cell>
          <cell r="CK380">
            <v>0</v>
          </cell>
          <cell r="CL380">
            <v>0</v>
          </cell>
          <cell r="CM380">
            <v>0</v>
          </cell>
          <cell r="CR380">
            <v>0</v>
          </cell>
          <cell r="CS380">
            <v>0</v>
          </cell>
          <cell r="CT380">
            <v>0</v>
          </cell>
          <cell r="CU380">
            <v>0</v>
          </cell>
          <cell r="CV380">
            <v>0</v>
          </cell>
          <cell r="CZ380">
            <v>0</v>
          </cell>
        </row>
        <row r="381">
          <cell r="C381" t="str">
            <v>02931</v>
          </cell>
          <cell r="D381" t="str">
            <v>Lê Ngoc Phương Chi</v>
          </cell>
          <cell r="E381" t="str">
            <v>Production</v>
          </cell>
          <cell r="F381" t="str">
            <v>Logo</v>
          </cell>
          <cell r="G381" t="str">
            <v>Worker</v>
          </cell>
          <cell r="H381" t="str">
            <v>05/05/2021</v>
          </cell>
          <cell r="I381" t="str">
            <v>Đ</v>
          </cell>
          <cell r="J381" t="str">
            <v>Đ</v>
          </cell>
          <cell r="K381" t="str">
            <v>Đ</v>
          </cell>
          <cell r="L381" t="str">
            <v>CN</v>
          </cell>
          <cell r="M381">
            <v>8</v>
          </cell>
          <cell r="N381">
            <v>8</v>
          </cell>
          <cell r="O381">
            <v>8</v>
          </cell>
          <cell r="P381">
            <v>8</v>
          </cell>
          <cell r="Q381">
            <v>8</v>
          </cell>
          <cell r="R381">
            <v>8</v>
          </cell>
          <cell r="S381" t="str">
            <v>CN</v>
          </cell>
          <cell r="T381" t="str">
            <v>Đ</v>
          </cell>
          <cell r="U381" t="str">
            <v>Đ</v>
          </cell>
          <cell r="V381" t="str">
            <v>Đ</v>
          </cell>
          <cell r="W381" t="str">
            <v>Đ</v>
          </cell>
          <cell r="X381" t="str">
            <v>Đ</v>
          </cell>
          <cell r="Y381" t="str">
            <v>Đ</v>
          </cell>
          <cell r="Z381" t="str">
            <v>CN</v>
          </cell>
          <cell r="AA381">
            <v>8</v>
          </cell>
          <cell r="AB381">
            <v>8</v>
          </cell>
          <cell r="AC381">
            <v>8</v>
          </cell>
          <cell r="AD381">
            <v>8</v>
          </cell>
          <cell r="AE381">
            <v>8</v>
          </cell>
          <cell r="AF381">
            <v>8</v>
          </cell>
          <cell r="AG381" t="str">
            <v>CN</v>
          </cell>
          <cell r="AH381" t="str">
            <v>Đ</v>
          </cell>
          <cell r="AI381" t="str">
            <v>Đ</v>
          </cell>
          <cell r="AJ381" t="str">
            <v>Đ</v>
          </cell>
          <cell r="AN381">
            <v>96</v>
          </cell>
          <cell r="AO381">
            <v>96</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192</v>
          </cell>
          <cell r="BH381">
            <v>0</v>
          </cell>
          <cell r="BI381">
            <v>0</v>
          </cell>
          <cell r="BJ381">
            <v>5</v>
          </cell>
          <cell r="BL381">
            <v>0</v>
          </cell>
          <cell r="BM381">
            <v>0</v>
          </cell>
          <cell r="BN381">
            <v>0</v>
          </cell>
          <cell r="BO381">
            <v>0</v>
          </cell>
          <cell r="BP381">
            <v>1.5</v>
          </cell>
          <cell r="BQ381">
            <v>3</v>
          </cell>
          <cell r="BR381">
            <v>0</v>
          </cell>
          <cell r="BS381">
            <v>3</v>
          </cell>
          <cell r="BT381">
            <v>3</v>
          </cell>
          <cell r="BU381">
            <v>0</v>
          </cell>
          <cell r="BV381">
            <v>0</v>
          </cell>
          <cell r="BW381">
            <v>3</v>
          </cell>
          <cell r="BX381">
            <v>4</v>
          </cell>
          <cell r="BY381">
            <v>4</v>
          </cell>
          <cell r="BZ381">
            <v>4</v>
          </cell>
          <cell r="CA381">
            <v>4</v>
          </cell>
          <cell r="CB381">
            <v>4</v>
          </cell>
          <cell r="CC381">
            <v>0</v>
          </cell>
          <cell r="CD381">
            <v>1.5</v>
          </cell>
          <cell r="CE381">
            <v>3</v>
          </cell>
          <cell r="CF381">
            <v>3</v>
          </cell>
          <cell r="CG381">
            <v>3</v>
          </cell>
          <cell r="CH381">
            <v>1.5</v>
          </cell>
          <cell r="CI381">
            <v>1.5</v>
          </cell>
          <cell r="CJ381">
            <v>8</v>
          </cell>
          <cell r="CK381">
            <v>1.5</v>
          </cell>
          <cell r="CL381">
            <v>4</v>
          </cell>
          <cell r="CM381">
            <v>1.5</v>
          </cell>
          <cell r="CR381">
            <v>0</v>
          </cell>
          <cell r="CS381">
            <v>0</v>
          </cell>
          <cell r="CT381">
            <v>54</v>
          </cell>
          <cell r="CU381">
            <v>8</v>
          </cell>
          <cell r="CV381">
            <v>0</v>
          </cell>
          <cell r="CZ381">
            <v>62</v>
          </cell>
        </row>
        <row r="382">
          <cell r="C382" t="str">
            <v>02932</v>
          </cell>
          <cell r="D382" t="str">
            <v>Nguyễn Thị Thùy Trang</v>
          </cell>
          <cell r="E382" t="str">
            <v>Production</v>
          </cell>
          <cell r="F382" t="str">
            <v>Logo</v>
          </cell>
          <cell r="G382" t="str">
            <v>Worker</v>
          </cell>
          <cell r="H382" t="str">
            <v>05/05/2021</v>
          </cell>
          <cell r="I382" t="str">
            <v>Đ</v>
          </cell>
          <cell r="J382" t="str">
            <v>Đ</v>
          </cell>
          <cell r="K382" t="str">
            <v>Đ</v>
          </cell>
          <cell r="L382" t="str">
            <v>CN</v>
          </cell>
          <cell r="M382">
            <v>8</v>
          </cell>
          <cell r="N382">
            <v>8</v>
          </cell>
          <cell r="O382">
            <v>8</v>
          </cell>
          <cell r="P382">
            <v>8</v>
          </cell>
          <cell r="Q382">
            <v>8</v>
          </cell>
          <cell r="R382">
            <v>8</v>
          </cell>
          <cell r="S382" t="str">
            <v>CN</v>
          </cell>
          <cell r="T382" t="str">
            <v>Đ</v>
          </cell>
          <cell r="U382" t="str">
            <v>Đ</v>
          </cell>
          <cell r="V382" t="str">
            <v>Đ</v>
          </cell>
          <cell r="W382" t="str">
            <v>Đ</v>
          </cell>
          <cell r="X382" t="str">
            <v>Đ</v>
          </cell>
          <cell r="Y382" t="str">
            <v>Đ</v>
          </cell>
          <cell r="Z382" t="str">
            <v>CN</v>
          </cell>
          <cell r="AA382">
            <v>8</v>
          </cell>
          <cell r="AB382">
            <v>8</v>
          </cell>
          <cell r="AC382">
            <v>8</v>
          </cell>
          <cell r="AD382">
            <v>8</v>
          </cell>
          <cell r="AE382">
            <v>8</v>
          </cell>
          <cell r="AF382">
            <v>8</v>
          </cell>
          <cell r="AG382" t="str">
            <v>CN</v>
          </cell>
          <cell r="AH382" t="str">
            <v>Đ</v>
          </cell>
          <cell r="AI382" t="str">
            <v>Đ</v>
          </cell>
          <cell r="AJ382" t="str">
            <v>Đ</v>
          </cell>
          <cell r="AN382">
            <v>96</v>
          </cell>
          <cell r="AO382">
            <v>96</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192</v>
          </cell>
          <cell r="BH382">
            <v>0</v>
          </cell>
          <cell r="BI382">
            <v>0</v>
          </cell>
          <cell r="BJ382">
            <v>3</v>
          </cell>
          <cell r="BL382">
            <v>1.5</v>
          </cell>
          <cell r="BM382">
            <v>1.5</v>
          </cell>
          <cell r="BN382">
            <v>1.5</v>
          </cell>
          <cell r="BO382">
            <v>0</v>
          </cell>
          <cell r="BP382">
            <v>1.5</v>
          </cell>
          <cell r="BQ382">
            <v>0</v>
          </cell>
          <cell r="BR382">
            <v>0</v>
          </cell>
          <cell r="BS382">
            <v>0</v>
          </cell>
          <cell r="BT382">
            <v>0</v>
          </cell>
          <cell r="BU382">
            <v>3</v>
          </cell>
          <cell r="BV382">
            <v>0</v>
          </cell>
          <cell r="BW382">
            <v>4</v>
          </cell>
          <cell r="BX382">
            <v>4</v>
          </cell>
          <cell r="BY382">
            <v>4</v>
          </cell>
          <cell r="BZ382">
            <v>4</v>
          </cell>
          <cell r="CA382">
            <v>4</v>
          </cell>
          <cell r="CB382">
            <v>4</v>
          </cell>
          <cell r="CC382">
            <v>0</v>
          </cell>
          <cell r="CD382">
            <v>3</v>
          </cell>
          <cell r="CE382">
            <v>3</v>
          </cell>
          <cell r="CF382">
            <v>3</v>
          </cell>
          <cell r="CG382">
            <v>3</v>
          </cell>
          <cell r="CH382">
            <v>3</v>
          </cell>
          <cell r="CI382">
            <v>3</v>
          </cell>
          <cell r="CJ382">
            <v>8</v>
          </cell>
          <cell r="CK382">
            <v>4</v>
          </cell>
          <cell r="CL382">
            <v>4</v>
          </cell>
          <cell r="CM382">
            <v>4</v>
          </cell>
          <cell r="CR382">
            <v>0</v>
          </cell>
          <cell r="CS382">
            <v>0</v>
          </cell>
          <cell r="CT382">
            <v>63</v>
          </cell>
          <cell r="CU382">
            <v>8</v>
          </cell>
          <cell r="CV382">
            <v>0</v>
          </cell>
          <cell r="CZ382">
            <v>71</v>
          </cell>
        </row>
        <row r="383">
          <cell r="C383" t="str">
            <v>02935</v>
          </cell>
          <cell r="D383" t="str">
            <v>Lê Thái Thảo</v>
          </cell>
          <cell r="E383" t="str">
            <v>PD</v>
          </cell>
          <cell r="F383" t="str">
            <v>PD office</v>
          </cell>
          <cell r="G383" t="str">
            <v>Staff</v>
          </cell>
          <cell r="H383" t="str">
            <v>05/05/2021</v>
          </cell>
          <cell r="I383">
            <v>8</v>
          </cell>
          <cell r="J383">
            <v>8</v>
          </cell>
          <cell r="K383" t="str">
            <v>PO</v>
          </cell>
          <cell r="L383" t="str">
            <v>CN</v>
          </cell>
          <cell r="M383">
            <v>8</v>
          </cell>
          <cell r="N383" t="str">
            <v>AL8</v>
          </cell>
          <cell r="O383">
            <v>8</v>
          </cell>
          <cell r="P383">
            <v>8</v>
          </cell>
          <cell r="Q383">
            <v>8</v>
          </cell>
          <cell r="R383" t="str">
            <v>PO</v>
          </cell>
          <cell r="S383" t="str">
            <v>CN</v>
          </cell>
          <cell r="T383">
            <v>8</v>
          </cell>
          <cell r="U383">
            <v>8</v>
          </cell>
          <cell r="V383">
            <v>8</v>
          </cell>
          <cell r="W383">
            <v>8</v>
          </cell>
          <cell r="X383">
            <v>8</v>
          </cell>
          <cell r="Y383" t="str">
            <v>PO</v>
          </cell>
          <cell r="Z383" t="str">
            <v>CN</v>
          </cell>
          <cell r="AA383">
            <v>8</v>
          </cell>
          <cell r="AB383">
            <v>8</v>
          </cell>
          <cell r="AC383">
            <v>8</v>
          </cell>
          <cell r="AD383">
            <v>8</v>
          </cell>
          <cell r="AE383">
            <v>8</v>
          </cell>
          <cell r="AF383" t="str">
            <v>PO</v>
          </cell>
          <cell r="AG383" t="str">
            <v>CN</v>
          </cell>
          <cell r="AH383">
            <v>8</v>
          </cell>
          <cell r="AI383">
            <v>8</v>
          </cell>
          <cell r="AJ383">
            <v>8</v>
          </cell>
          <cell r="AN383">
            <v>0</v>
          </cell>
          <cell r="AO383">
            <v>152</v>
          </cell>
          <cell r="AP383">
            <v>0</v>
          </cell>
          <cell r="AQ383">
            <v>0</v>
          </cell>
          <cell r="AR383">
            <v>0</v>
          </cell>
          <cell r="AS383">
            <v>0</v>
          </cell>
          <cell r="AT383">
            <v>0</v>
          </cell>
          <cell r="AU383">
            <v>0</v>
          </cell>
          <cell r="AV383">
            <v>32</v>
          </cell>
          <cell r="AW383">
            <v>0</v>
          </cell>
          <cell r="AX383">
            <v>0</v>
          </cell>
          <cell r="AY383">
            <v>0</v>
          </cell>
          <cell r="AZ383">
            <v>0</v>
          </cell>
          <cell r="BA383">
            <v>8</v>
          </cell>
          <cell r="BB383">
            <v>0</v>
          </cell>
          <cell r="BC383">
            <v>0</v>
          </cell>
          <cell r="BD383">
            <v>0</v>
          </cell>
          <cell r="BE383">
            <v>0</v>
          </cell>
          <cell r="BF383">
            <v>0</v>
          </cell>
          <cell r="BG383">
            <v>192</v>
          </cell>
          <cell r="BH383">
            <v>1</v>
          </cell>
          <cell r="BI383">
            <v>1</v>
          </cell>
          <cell r="BJ383">
            <v>5</v>
          </cell>
          <cell r="BL383">
            <v>0</v>
          </cell>
          <cell r="BM383">
            <v>0</v>
          </cell>
          <cell r="BN383">
            <v>0</v>
          </cell>
          <cell r="BO383">
            <v>0</v>
          </cell>
          <cell r="BP383">
            <v>0</v>
          </cell>
          <cell r="BQ383">
            <v>0</v>
          </cell>
          <cell r="BR383">
            <v>0</v>
          </cell>
          <cell r="BS383">
            <v>1</v>
          </cell>
          <cell r="BT383">
            <v>0</v>
          </cell>
          <cell r="BU383">
            <v>0</v>
          </cell>
          <cell r="BV383">
            <v>0</v>
          </cell>
          <cell r="BW383">
            <v>0</v>
          </cell>
          <cell r="BX383">
            <v>0</v>
          </cell>
          <cell r="BY383">
            <v>0</v>
          </cell>
          <cell r="BZ383">
            <v>0</v>
          </cell>
          <cell r="CA383">
            <v>0</v>
          </cell>
          <cell r="CB383">
            <v>0</v>
          </cell>
          <cell r="CC383">
            <v>0</v>
          </cell>
          <cell r="CD383">
            <v>0</v>
          </cell>
          <cell r="CE383">
            <v>0</v>
          </cell>
          <cell r="CF383">
            <v>0</v>
          </cell>
          <cell r="CG383">
            <v>0</v>
          </cell>
          <cell r="CH383">
            <v>0</v>
          </cell>
          <cell r="CI383">
            <v>0</v>
          </cell>
          <cell r="CJ383">
            <v>0</v>
          </cell>
          <cell r="CK383">
            <v>0</v>
          </cell>
          <cell r="CL383">
            <v>0</v>
          </cell>
          <cell r="CM383">
            <v>0</v>
          </cell>
          <cell r="CR383">
            <v>0</v>
          </cell>
          <cell r="CS383">
            <v>0</v>
          </cell>
          <cell r="CT383">
            <v>1</v>
          </cell>
          <cell r="CU383">
            <v>0</v>
          </cell>
          <cell r="CV383">
            <v>0</v>
          </cell>
          <cell r="CZ383">
            <v>1</v>
          </cell>
        </row>
        <row r="384">
          <cell r="C384" t="str">
            <v>02937</v>
          </cell>
          <cell r="D384" t="str">
            <v>Lê Phương Bình</v>
          </cell>
          <cell r="E384" t="str">
            <v>Production</v>
          </cell>
          <cell r="F384" t="str">
            <v>Lamination</v>
          </cell>
          <cell r="G384" t="str">
            <v>Worker</v>
          </cell>
          <cell r="H384" t="str">
            <v>10/05/2021</v>
          </cell>
          <cell r="I384">
            <v>8</v>
          </cell>
          <cell r="J384" t="str">
            <v>CN</v>
          </cell>
          <cell r="K384">
            <v>8</v>
          </cell>
          <cell r="L384" t="str">
            <v>Đ</v>
          </cell>
          <cell r="M384" t="str">
            <v>Đ</v>
          </cell>
          <cell r="N384" t="str">
            <v>Đ</v>
          </cell>
          <cell r="O384" t="str">
            <v>Đ</v>
          </cell>
          <cell r="P384" t="str">
            <v>Đ</v>
          </cell>
          <cell r="Q384" t="str">
            <v>CN</v>
          </cell>
          <cell r="R384">
            <v>8</v>
          </cell>
          <cell r="S384">
            <v>8</v>
          </cell>
          <cell r="T384">
            <v>8</v>
          </cell>
          <cell r="U384">
            <v>8</v>
          </cell>
          <cell r="V384">
            <v>8</v>
          </cell>
          <cell r="W384">
            <v>8</v>
          </cell>
          <cell r="X384" t="str">
            <v>CN</v>
          </cell>
          <cell r="Y384">
            <v>8</v>
          </cell>
          <cell r="Z384" t="str">
            <v>Đ</v>
          </cell>
          <cell r="AA384" t="str">
            <v>Đ</v>
          </cell>
          <cell r="AB384" t="str">
            <v>Đ</v>
          </cell>
          <cell r="AC384" t="str">
            <v>Đ</v>
          </cell>
          <cell r="AD384" t="str">
            <v>Đ</v>
          </cell>
          <cell r="AE384" t="str">
            <v>CN</v>
          </cell>
          <cell r="AF384">
            <v>8</v>
          </cell>
          <cell r="AG384" t="str">
            <v>Đ</v>
          </cell>
          <cell r="AH384" t="str">
            <v>Đ</v>
          </cell>
          <cell r="AI384" t="str">
            <v>Đ</v>
          </cell>
          <cell r="AJ384" t="str">
            <v>Đ</v>
          </cell>
          <cell r="AN384">
            <v>112</v>
          </cell>
          <cell r="AO384">
            <v>80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192</v>
          </cell>
          <cell r="BH384">
            <v>0</v>
          </cell>
          <cell r="BI384">
            <v>0</v>
          </cell>
          <cell r="BJ384">
            <v>1.5</v>
          </cell>
          <cell r="BL384">
            <v>0</v>
          </cell>
          <cell r="BM384">
            <v>0</v>
          </cell>
          <cell r="BN384">
            <v>4</v>
          </cell>
          <cell r="BO384">
            <v>4</v>
          </cell>
          <cell r="BP384">
            <v>0</v>
          </cell>
          <cell r="BQ384">
            <v>0</v>
          </cell>
          <cell r="BR384">
            <v>0</v>
          </cell>
          <cell r="BS384">
            <v>0</v>
          </cell>
          <cell r="BT384">
            <v>0</v>
          </cell>
          <cell r="BU384">
            <v>4</v>
          </cell>
          <cell r="BV384">
            <v>4</v>
          </cell>
          <cell r="BW384">
            <v>0</v>
          </cell>
          <cell r="BX384">
            <v>0</v>
          </cell>
          <cell r="BY384">
            <v>0</v>
          </cell>
          <cell r="BZ384">
            <v>0</v>
          </cell>
          <cell r="CA384">
            <v>0</v>
          </cell>
          <cell r="CB384">
            <v>4</v>
          </cell>
          <cell r="CC384">
            <v>4</v>
          </cell>
          <cell r="CD384">
            <v>0</v>
          </cell>
          <cell r="CE384">
            <v>0</v>
          </cell>
          <cell r="CF384">
            <v>4</v>
          </cell>
          <cell r="CG384">
            <v>0</v>
          </cell>
          <cell r="CH384">
            <v>0</v>
          </cell>
          <cell r="CI384">
            <v>4</v>
          </cell>
          <cell r="CJ384">
            <v>4</v>
          </cell>
          <cell r="CK384">
            <v>0</v>
          </cell>
          <cell r="CL384">
            <v>0</v>
          </cell>
          <cell r="CM384">
            <v>4</v>
          </cell>
          <cell r="CR384">
            <v>0</v>
          </cell>
          <cell r="CS384">
            <v>0</v>
          </cell>
          <cell r="CT384">
            <v>40</v>
          </cell>
          <cell r="CU384">
            <v>0</v>
          </cell>
          <cell r="CV384">
            <v>0</v>
          </cell>
          <cell r="CZ384">
            <v>40</v>
          </cell>
        </row>
        <row r="385">
          <cell r="C385" t="str">
            <v>02951</v>
          </cell>
          <cell r="D385" t="str">
            <v>Nguyễn Thị Thảo Nguyên</v>
          </cell>
          <cell r="E385" t="str">
            <v>Purchasing</v>
          </cell>
          <cell r="F385" t="str">
            <v>Purchasing</v>
          </cell>
          <cell r="G385" t="str">
            <v>Senior Staff</v>
          </cell>
          <cell r="H385" t="str">
            <v>12/05/2021</v>
          </cell>
          <cell r="I385">
            <v>8</v>
          </cell>
          <cell r="J385">
            <v>8</v>
          </cell>
          <cell r="K385" t="str">
            <v>PO</v>
          </cell>
          <cell r="L385" t="str">
            <v>CN</v>
          </cell>
          <cell r="M385">
            <v>8</v>
          </cell>
          <cell r="N385">
            <v>8</v>
          </cell>
          <cell r="O385">
            <v>8</v>
          </cell>
          <cell r="P385" t="str">
            <v>BS</v>
          </cell>
          <cell r="Q385">
            <v>8</v>
          </cell>
          <cell r="R385" t="str">
            <v>PO</v>
          </cell>
          <cell r="S385" t="str">
            <v>CN</v>
          </cell>
          <cell r="T385">
            <v>8</v>
          </cell>
          <cell r="U385">
            <v>8</v>
          </cell>
          <cell r="V385">
            <v>8</v>
          </cell>
          <cell r="W385">
            <v>8</v>
          </cell>
          <cell r="X385">
            <v>8</v>
          </cell>
          <cell r="Y385" t="str">
            <v>PO</v>
          </cell>
          <cell r="Z385" t="str">
            <v>CN</v>
          </cell>
          <cell r="AA385">
            <v>8</v>
          </cell>
          <cell r="AB385">
            <v>8</v>
          </cell>
          <cell r="AC385">
            <v>8</v>
          </cell>
          <cell r="AD385">
            <v>8</v>
          </cell>
          <cell r="AE385">
            <v>8</v>
          </cell>
          <cell r="AF385" t="str">
            <v>PO</v>
          </cell>
          <cell r="AG385" t="str">
            <v>CN</v>
          </cell>
          <cell r="AH385">
            <v>8</v>
          </cell>
          <cell r="AI385">
            <v>8</v>
          </cell>
          <cell r="AJ385">
            <v>8</v>
          </cell>
          <cell r="AN385">
            <v>0</v>
          </cell>
          <cell r="AO385">
            <v>152</v>
          </cell>
          <cell r="AP385">
            <v>0</v>
          </cell>
          <cell r="AQ385">
            <v>0</v>
          </cell>
          <cell r="AR385">
            <v>0</v>
          </cell>
          <cell r="AS385">
            <v>0</v>
          </cell>
          <cell r="AT385">
            <v>0</v>
          </cell>
          <cell r="AU385">
            <v>8</v>
          </cell>
          <cell r="AV385">
            <v>32</v>
          </cell>
          <cell r="AW385">
            <v>0</v>
          </cell>
          <cell r="AX385">
            <v>0</v>
          </cell>
          <cell r="AY385">
            <v>0</v>
          </cell>
          <cell r="AZ385">
            <v>0</v>
          </cell>
          <cell r="BA385">
            <v>0</v>
          </cell>
          <cell r="BB385">
            <v>0</v>
          </cell>
          <cell r="BC385">
            <v>0</v>
          </cell>
          <cell r="BD385">
            <v>0</v>
          </cell>
          <cell r="BE385">
            <v>0</v>
          </cell>
          <cell r="BF385">
            <v>0</v>
          </cell>
          <cell r="BG385">
            <v>192</v>
          </cell>
          <cell r="BH385">
            <v>0</v>
          </cell>
          <cell r="BI385">
            <v>0</v>
          </cell>
          <cell r="BJ385">
            <v>5.5</v>
          </cell>
          <cell r="BL385">
            <v>0</v>
          </cell>
          <cell r="BM385">
            <v>0</v>
          </cell>
          <cell r="BN385">
            <v>0</v>
          </cell>
          <cell r="BO385">
            <v>0</v>
          </cell>
          <cell r="BP385">
            <v>0</v>
          </cell>
          <cell r="BQ385">
            <v>4</v>
          </cell>
          <cell r="BR385">
            <v>4</v>
          </cell>
          <cell r="BS385">
            <v>0</v>
          </cell>
          <cell r="BT385">
            <v>0</v>
          </cell>
          <cell r="BU385">
            <v>0</v>
          </cell>
          <cell r="BV385">
            <v>0</v>
          </cell>
          <cell r="BW385">
            <v>0</v>
          </cell>
          <cell r="BX385">
            <v>4</v>
          </cell>
          <cell r="BY385">
            <v>4</v>
          </cell>
          <cell r="BZ385">
            <v>4</v>
          </cell>
          <cell r="CA385">
            <v>0</v>
          </cell>
          <cell r="CB385">
            <v>0</v>
          </cell>
          <cell r="CC385">
            <v>0</v>
          </cell>
          <cell r="CD385">
            <v>0</v>
          </cell>
          <cell r="CE385">
            <v>4</v>
          </cell>
          <cell r="CF385">
            <v>4</v>
          </cell>
          <cell r="CG385">
            <v>4</v>
          </cell>
          <cell r="CH385">
            <v>0</v>
          </cell>
          <cell r="CI385">
            <v>0</v>
          </cell>
          <cell r="CJ385">
            <v>0</v>
          </cell>
          <cell r="CK385">
            <v>0</v>
          </cell>
          <cell r="CL385">
            <v>0</v>
          </cell>
          <cell r="CM385">
            <v>0</v>
          </cell>
          <cell r="CR385">
            <v>0</v>
          </cell>
          <cell r="CS385">
            <v>0</v>
          </cell>
          <cell r="CT385">
            <v>32</v>
          </cell>
          <cell r="CU385">
            <v>0</v>
          </cell>
          <cell r="CV385">
            <v>0</v>
          </cell>
          <cell r="CZ385">
            <v>32</v>
          </cell>
        </row>
        <row r="386">
          <cell r="C386" t="str">
            <v>02959</v>
          </cell>
          <cell r="D386" t="str">
            <v>Ngô Thị Bế</v>
          </cell>
          <cell r="E386" t="str">
            <v>Production</v>
          </cell>
          <cell r="F386" t="str">
            <v>Logo</v>
          </cell>
          <cell r="G386" t="str">
            <v>Worker</v>
          </cell>
          <cell r="H386" t="str">
            <v>17/05/2021</v>
          </cell>
          <cell r="I386" t="str">
            <v>Đ</v>
          </cell>
          <cell r="J386" t="str">
            <v>Đ</v>
          </cell>
          <cell r="K386" t="str">
            <v>Đ</v>
          </cell>
          <cell r="L386" t="str">
            <v>CN</v>
          </cell>
          <cell r="M386">
            <v>8</v>
          </cell>
          <cell r="N386">
            <v>8</v>
          </cell>
          <cell r="O386">
            <v>8</v>
          </cell>
          <cell r="P386">
            <v>8</v>
          </cell>
          <cell r="Q386">
            <v>8</v>
          </cell>
          <cell r="R386">
            <v>8</v>
          </cell>
          <cell r="S386" t="str">
            <v>CN</v>
          </cell>
          <cell r="T386" t="str">
            <v>Đ</v>
          </cell>
          <cell r="U386" t="str">
            <v>Đ</v>
          </cell>
          <cell r="V386" t="str">
            <v>Đ</v>
          </cell>
          <cell r="W386" t="str">
            <v>Đ</v>
          </cell>
          <cell r="X386" t="str">
            <v>Đ</v>
          </cell>
          <cell r="Y386" t="str">
            <v>Đ</v>
          </cell>
          <cell r="Z386" t="str">
            <v>CN</v>
          </cell>
          <cell r="AA386">
            <v>8</v>
          </cell>
          <cell r="AB386">
            <v>8</v>
          </cell>
          <cell r="AC386">
            <v>8</v>
          </cell>
          <cell r="AD386">
            <v>8</v>
          </cell>
          <cell r="AE386" t="str">
            <v>AL8</v>
          </cell>
          <cell r="AF386" t="str">
            <v>AL8</v>
          </cell>
          <cell r="AG386" t="str">
            <v>CN</v>
          </cell>
          <cell r="AH386" t="str">
            <v>Đ</v>
          </cell>
          <cell r="AI386" t="str">
            <v>Đ</v>
          </cell>
          <cell r="AJ386" t="str">
            <v>Đ</v>
          </cell>
          <cell r="AN386">
            <v>96</v>
          </cell>
          <cell r="AO386">
            <v>80</v>
          </cell>
          <cell r="AP386">
            <v>0</v>
          </cell>
          <cell r="AQ386">
            <v>0</v>
          </cell>
          <cell r="AR386">
            <v>0</v>
          </cell>
          <cell r="AS386">
            <v>0</v>
          </cell>
          <cell r="AT386">
            <v>0</v>
          </cell>
          <cell r="AU386">
            <v>0</v>
          </cell>
          <cell r="AV386">
            <v>0</v>
          </cell>
          <cell r="AW386">
            <v>0</v>
          </cell>
          <cell r="AX386">
            <v>0</v>
          </cell>
          <cell r="AY386">
            <v>0</v>
          </cell>
          <cell r="AZ386">
            <v>0</v>
          </cell>
          <cell r="BA386">
            <v>16</v>
          </cell>
          <cell r="BB386">
            <v>0</v>
          </cell>
          <cell r="BC386">
            <v>0</v>
          </cell>
          <cell r="BD386">
            <v>0</v>
          </cell>
          <cell r="BE386">
            <v>0</v>
          </cell>
          <cell r="BF386">
            <v>0</v>
          </cell>
          <cell r="BG386">
            <v>192</v>
          </cell>
          <cell r="BH386">
            <v>2</v>
          </cell>
          <cell r="BI386">
            <v>2</v>
          </cell>
          <cell r="BJ386">
            <v>0.5</v>
          </cell>
          <cell r="BL386">
            <v>0</v>
          </cell>
          <cell r="BM386">
            <v>0</v>
          </cell>
          <cell r="BN386">
            <v>0</v>
          </cell>
          <cell r="BO386">
            <v>0</v>
          </cell>
          <cell r="BP386">
            <v>1.5</v>
          </cell>
          <cell r="BQ386">
            <v>3</v>
          </cell>
          <cell r="BR386">
            <v>0</v>
          </cell>
          <cell r="BS386">
            <v>3</v>
          </cell>
          <cell r="BT386">
            <v>3</v>
          </cell>
          <cell r="BU386">
            <v>0</v>
          </cell>
          <cell r="BV386">
            <v>0</v>
          </cell>
          <cell r="BW386">
            <v>3</v>
          </cell>
          <cell r="BX386">
            <v>4</v>
          </cell>
          <cell r="BY386">
            <v>4</v>
          </cell>
          <cell r="BZ386">
            <v>4</v>
          </cell>
          <cell r="CA386">
            <v>4</v>
          </cell>
          <cell r="CB386">
            <v>4</v>
          </cell>
          <cell r="CC386">
            <v>0</v>
          </cell>
          <cell r="CD386">
            <v>1.5</v>
          </cell>
          <cell r="CE386">
            <v>3</v>
          </cell>
          <cell r="CF386">
            <v>3</v>
          </cell>
          <cell r="CG386">
            <v>1.5</v>
          </cell>
          <cell r="CH386">
            <v>0</v>
          </cell>
          <cell r="CI386">
            <v>0</v>
          </cell>
          <cell r="CJ386">
            <v>0</v>
          </cell>
          <cell r="CK386">
            <v>1.5</v>
          </cell>
          <cell r="CL386">
            <v>4</v>
          </cell>
          <cell r="CM386">
            <v>1.5</v>
          </cell>
          <cell r="CR386">
            <v>0</v>
          </cell>
          <cell r="CS386">
            <v>0</v>
          </cell>
          <cell r="CT386">
            <v>49.5</v>
          </cell>
          <cell r="CU386">
            <v>0</v>
          </cell>
          <cell r="CV386">
            <v>0</v>
          </cell>
          <cell r="CZ386">
            <v>49.5</v>
          </cell>
        </row>
        <row r="387">
          <cell r="C387" t="str">
            <v>02962</v>
          </cell>
          <cell r="D387" t="str">
            <v>Danh Thành Tính</v>
          </cell>
          <cell r="E387" t="str">
            <v>Production</v>
          </cell>
          <cell r="F387" t="str">
            <v>Lamination</v>
          </cell>
          <cell r="G387" t="str">
            <v>Worker</v>
          </cell>
          <cell r="H387">
            <v>44340</v>
          </cell>
          <cell r="I387">
            <v>8</v>
          </cell>
          <cell r="J387">
            <v>8</v>
          </cell>
          <cell r="K387" t="str">
            <v>Đ</v>
          </cell>
          <cell r="L387" t="str">
            <v>CN</v>
          </cell>
          <cell r="M387">
            <v>8</v>
          </cell>
          <cell r="N387">
            <v>8</v>
          </cell>
          <cell r="O387">
            <v>8</v>
          </cell>
          <cell r="P387">
            <v>8</v>
          </cell>
          <cell r="Q387" t="str">
            <v>Đ</v>
          </cell>
          <cell r="R387" t="str">
            <v>Đ</v>
          </cell>
          <cell r="S387" t="str">
            <v>CN</v>
          </cell>
          <cell r="T387">
            <v>8</v>
          </cell>
          <cell r="U387">
            <v>8</v>
          </cell>
          <cell r="V387">
            <v>8</v>
          </cell>
          <cell r="W387">
            <v>8</v>
          </cell>
          <cell r="X387">
            <v>8</v>
          </cell>
          <cell r="Y387" t="str">
            <v>Đ</v>
          </cell>
          <cell r="Z387" t="str">
            <v>CN</v>
          </cell>
          <cell r="AA387">
            <v>8</v>
          </cell>
          <cell r="AB387">
            <v>8</v>
          </cell>
          <cell r="AC387">
            <v>8</v>
          </cell>
          <cell r="AD387">
            <v>8</v>
          </cell>
          <cell r="AE387" t="str">
            <v>Đ</v>
          </cell>
          <cell r="AF387" t="str">
            <v>Đ</v>
          </cell>
          <cell r="AG387" t="str">
            <v>CN</v>
          </cell>
          <cell r="AH387">
            <v>8</v>
          </cell>
          <cell r="AI387">
            <v>8</v>
          </cell>
          <cell r="AJ387" t="str">
            <v>AL4</v>
          </cell>
          <cell r="AN387">
            <v>48</v>
          </cell>
          <cell r="AO387">
            <v>140</v>
          </cell>
          <cell r="AP387">
            <v>4</v>
          </cell>
          <cell r="AQ387">
            <v>0</v>
          </cell>
          <cell r="AR387">
            <v>0</v>
          </cell>
          <cell r="AS387">
            <v>0</v>
          </cell>
          <cell r="AT387">
            <v>0</v>
          </cell>
          <cell r="AU387">
            <v>0</v>
          </cell>
          <cell r="AV387">
            <v>0</v>
          </cell>
          <cell r="AW387">
            <v>0</v>
          </cell>
          <cell r="AX387">
            <v>0</v>
          </cell>
          <cell r="AY387">
            <v>0</v>
          </cell>
          <cell r="AZ387">
            <v>0</v>
          </cell>
          <cell r="BA387">
            <v>4</v>
          </cell>
          <cell r="BB387">
            <v>0</v>
          </cell>
          <cell r="BC387">
            <v>0</v>
          </cell>
          <cell r="BD387">
            <v>0</v>
          </cell>
          <cell r="BE387">
            <v>0</v>
          </cell>
          <cell r="BF387">
            <v>0</v>
          </cell>
          <cell r="BG387">
            <v>192</v>
          </cell>
          <cell r="BH387">
            <v>0.5</v>
          </cell>
          <cell r="BI387">
            <v>0.5</v>
          </cell>
          <cell r="BJ387">
            <v>3.5</v>
          </cell>
          <cell r="BL387">
            <v>0</v>
          </cell>
          <cell r="BM387">
            <v>4</v>
          </cell>
          <cell r="BN387">
            <v>0</v>
          </cell>
          <cell r="BO387">
            <v>0</v>
          </cell>
          <cell r="BP387">
            <v>0</v>
          </cell>
          <cell r="BQ387">
            <v>0</v>
          </cell>
          <cell r="BR387">
            <v>0</v>
          </cell>
          <cell r="BS387">
            <v>0</v>
          </cell>
          <cell r="BT387">
            <v>4</v>
          </cell>
          <cell r="BU387">
            <v>4</v>
          </cell>
          <cell r="BV387">
            <v>0</v>
          </cell>
          <cell r="BW387">
            <v>0</v>
          </cell>
          <cell r="BX387">
            <v>0</v>
          </cell>
          <cell r="BY387">
            <v>0</v>
          </cell>
          <cell r="BZ387">
            <v>4</v>
          </cell>
          <cell r="CA387">
            <v>4</v>
          </cell>
          <cell r="CB387">
            <v>4</v>
          </cell>
          <cell r="CC387">
            <v>0</v>
          </cell>
          <cell r="CD387">
            <v>0</v>
          </cell>
          <cell r="CE387">
            <v>0</v>
          </cell>
          <cell r="CF387">
            <v>0</v>
          </cell>
          <cell r="CG387">
            <v>4</v>
          </cell>
          <cell r="CH387">
            <v>4</v>
          </cell>
          <cell r="CI387">
            <v>4</v>
          </cell>
          <cell r="CJ387">
            <v>0</v>
          </cell>
          <cell r="CK387">
            <v>0</v>
          </cell>
          <cell r="CL387">
            <v>4</v>
          </cell>
          <cell r="CM387">
            <v>0</v>
          </cell>
          <cell r="CR387">
            <v>0</v>
          </cell>
          <cell r="CS387">
            <v>0</v>
          </cell>
          <cell r="CT387">
            <v>40</v>
          </cell>
          <cell r="CU387">
            <v>0</v>
          </cell>
          <cell r="CV387">
            <v>0</v>
          </cell>
          <cell r="CZ387">
            <v>40</v>
          </cell>
        </row>
        <row r="388">
          <cell r="C388" t="str">
            <v>02964</v>
          </cell>
          <cell r="D388" t="str">
            <v>Trần Thị Bảo Yến</v>
          </cell>
          <cell r="E388" t="str">
            <v>Production</v>
          </cell>
          <cell r="F388" t="str">
            <v>Logo</v>
          </cell>
          <cell r="G388" t="str">
            <v>Worker</v>
          </cell>
          <cell r="H388">
            <v>44340</v>
          </cell>
          <cell r="I388">
            <v>8</v>
          </cell>
          <cell r="J388">
            <v>8</v>
          </cell>
          <cell r="K388">
            <v>8</v>
          </cell>
          <cell r="L388" t="str">
            <v>CN</v>
          </cell>
          <cell r="M388" t="str">
            <v>Đ</v>
          </cell>
          <cell r="N388" t="str">
            <v>Đ</v>
          </cell>
          <cell r="O388" t="str">
            <v>Đ</v>
          </cell>
          <cell r="P388" t="str">
            <v>Đ</v>
          </cell>
          <cell r="Q388" t="str">
            <v>Đ</v>
          </cell>
          <cell r="R388" t="str">
            <v>Đ</v>
          </cell>
          <cell r="S388" t="str">
            <v>CN</v>
          </cell>
          <cell r="T388">
            <v>8</v>
          </cell>
          <cell r="U388">
            <v>8</v>
          </cell>
          <cell r="V388">
            <v>8</v>
          </cell>
          <cell r="W388">
            <v>8</v>
          </cell>
          <cell r="X388">
            <v>8</v>
          </cell>
          <cell r="Y388">
            <v>8</v>
          </cell>
          <cell r="Z388" t="str">
            <v>CN</v>
          </cell>
          <cell r="AA388" t="str">
            <v>Đ</v>
          </cell>
          <cell r="AB388" t="str">
            <v>Đ</v>
          </cell>
          <cell r="AC388" t="str">
            <v>Đ</v>
          </cell>
          <cell r="AD388" t="str">
            <v>Đ</v>
          </cell>
          <cell r="AE388" t="str">
            <v>Đ</v>
          </cell>
          <cell r="AF388" t="str">
            <v>Đ</v>
          </cell>
          <cell r="AG388" t="str">
            <v>CN</v>
          </cell>
          <cell r="AH388">
            <v>8</v>
          </cell>
          <cell r="AI388">
            <v>8</v>
          </cell>
          <cell r="AJ388">
            <v>8</v>
          </cell>
          <cell r="AN388">
            <v>96</v>
          </cell>
          <cell r="AO388">
            <v>96</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192</v>
          </cell>
          <cell r="BH388">
            <v>0</v>
          </cell>
          <cell r="BI388">
            <v>0</v>
          </cell>
          <cell r="BJ388">
            <v>3</v>
          </cell>
          <cell r="BL388">
            <v>1.5</v>
          </cell>
          <cell r="BM388">
            <v>1.5</v>
          </cell>
          <cell r="BN388">
            <v>0</v>
          </cell>
          <cell r="BO388">
            <v>0</v>
          </cell>
          <cell r="BP388">
            <v>1.5</v>
          </cell>
          <cell r="BQ388">
            <v>0</v>
          </cell>
          <cell r="BR388">
            <v>0</v>
          </cell>
          <cell r="BS388">
            <v>4</v>
          </cell>
          <cell r="BT388">
            <v>3</v>
          </cell>
          <cell r="BU388">
            <v>3</v>
          </cell>
          <cell r="BV388">
            <v>0</v>
          </cell>
          <cell r="BW388">
            <v>3</v>
          </cell>
          <cell r="BX388">
            <v>3</v>
          </cell>
          <cell r="BY388">
            <v>3</v>
          </cell>
          <cell r="BZ388">
            <v>3</v>
          </cell>
          <cell r="CA388">
            <v>3</v>
          </cell>
          <cell r="CB388">
            <v>3</v>
          </cell>
          <cell r="CC388">
            <v>0</v>
          </cell>
          <cell r="CD388">
            <v>4</v>
          </cell>
          <cell r="CE388">
            <v>4</v>
          </cell>
          <cell r="CF388">
            <v>4</v>
          </cell>
          <cell r="CG388">
            <v>4</v>
          </cell>
          <cell r="CH388">
            <v>4</v>
          </cell>
          <cell r="CI388">
            <v>4</v>
          </cell>
          <cell r="CJ388">
            <v>0</v>
          </cell>
          <cell r="CK388">
            <v>3</v>
          </cell>
          <cell r="CL388">
            <v>3</v>
          </cell>
          <cell r="CM388">
            <v>3</v>
          </cell>
          <cell r="CR388">
            <v>0</v>
          </cell>
          <cell r="CS388">
            <v>0</v>
          </cell>
          <cell r="CT388">
            <v>65.5</v>
          </cell>
          <cell r="CU388">
            <v>0</v>
          </cell>
          <cell r="CV388">
            <v>0</v>
          </cell>
          <cell r="CZ388">
            <v>65.5</v>
          </cell>
        </row>
        <row r="389">
          <cell r="C389" t="str">
            <v>02968</v>
          </cell>
          <cell r="D389" t="str">
            <v>Lê Vũ Ca</v>
          </cell>
          <cell r="E389" t="str">
            <v>Production</v>
          </cell>
          <cell r="F389" t="str">
            <v>Lamination</v>
          </cell>
          <cell r="G389" t="str">
            <v>Operator</v>
          </cell>
          <cell r="H389">
            <v>44344</v>
          </cell>
          <cell r="I389">
            <v>8</v>
          </cell>
          <cell r="J389">
            <v>8</v>
          </cell>
          <cell r="K389" t="str">
            <v>Đ</v>
          </cell>
          <cell r="L389" t="str">
            <v>CN</v>
          </cell>
          <cell r="M389">
            <v>8</v>
          </cell>
          <cell r="N389">
            <v>8</v>
          </cell>
          <cell r="O389">
            <v>8</v>
          </cell>
          <cell r="P389">
            <v>8</v>
          </cell>
          <cell r="Q389" t="str">
            <v>Đ</v>
          </cell>
          <cell r="R389" t="str">
            <v>Đ</v>
          </cell>
          <cell r="S389" t="str">
            <v>CN</v>
          </cell>
          <cell r="T389">
            <v>8</v>
          </cell>
          <cell r="U389">
            <v>8</v>
          </cell>
          <cell r="V389">
            <v>8</v>
          </cell>
          <cell r="W389">
            <v>8</v>
          </cell>
          <cell r="X389">
            <v>8</v>
          </cell>
          <cell r="Y389" t="str">
            <v>AL8</v>
          </cell>
          <cell r="Z389" t="str">
            <v>CN</v>
          </cell>
          <cell r="AA389">
            <v>8</v>
          </cell>
          <cell r="AB389">
            <v>8</v>
          </cell>
          <cell r="AC389">
            <v>8</v>
          </cell>
          <cell r="AD389">
            <v>8</v>
          </cell>
          <cell r="AE389" t="str">
            <v>Đ</v>
          </cell>
          <cell r="AF389" t="str">
            <v>Đ</v>
          </cell>
          <cell r="AG389" t="str">
            <v>CN</v>
          </cell>
          <cell r="AH389">
            <v>8</v>
          </cell>
          <cell r="AI389">
            <v>8</v>
          </cell>
          <cell r="AJ389">
            <v>8</v>
          </cell>
          <cell r="AN389">
            <v>40</v>
          </cell>
          <cell r="AO389">
            <v>144</v>
          </cell>
          <cell r="AP389">
            <v>0</v>
          </cell>
          <cell r="AQ389">
            <v>0</v>
          </cell>
          <cell r="AR389">
            <v>0</v>
          </cell>
          <cell r="AS389">
            <v>0</v>
          </cell>
          <cell r="AT389">
            <v>0</v>
          </cell>
          <cell r="AU389">
            <v>0</v>
          </cell>
          <cell r="AV389">
            <v>0</v>
          </cell>
          <cell r="AW389">
            <v>0</v>
          </cell>
          <cell r="AX389">
            <v>0</v>
          </cell>
          <cell r="AY389">
            <v>0</v>
          </cell>
          <cell r="AZ389">
            <v>0</v>
          </cell>
          <cell r="BA389">
            <v>8</v>
          </cell>
          <cell r="BB389">
            <v>0</v>
          </cell>
          <cell r="BC389">
            <v>0</v>
          </cell>
          <cell r="BD389">
            <v>0</v>
          </cell>
          <cell r="BE389">
            <v>0</v>
          </cell>
          <cell r="BF389">
            <v>0</v>
          </cell>
          <cell r="BG389">
            <v>192</v>
          </cell>
          <cell r="BH389">
            <v>1</v>
          </cell>
          <cell r="BI389">
            <v>1</v>
          </cell>
          <cell r="BJ389">
            <v>1.5</v>
          </cell>
          <cell r="BL389">
            <v>0</v>
          </cell>
          <cell r="BM389">
            <v>4</v>
          </cell>
          <cell r="BN389">
            <v>4</v>
          </cell>
          <cell r="BO389">
            <v>0</v>
          </cell>
          <cell r="BP389">
            <v>0</v>
          </cell>
          <cell r="BQ389">
            <v>0</v>
          </cell>
          <cell r="BR389">
            <v>0</v>
          </cell>
          <cell r="BS389">
            <v>0</v>
          </cell>
          <cell r="BT389">
            <v>3</v>
          </cell>
          <cell r="BU389">
            <v>4</v>
          </cell>
          <cell r="BV389">
            <v>0</v>
          </cell>
          <cell r="BW389">
            <v>0</v>
          </cell>
          <cell r="BX389">
            <v>4</v>
          </cell>
          <cell r="BY389">
            <v>0</v>
          </cell>
          <cell r="BZ389">
            <v>0</v>
          </cell>
          <cell r="CA389">
            <v>4</v>
          </cell>
          <cell r="CB389">
            <v>0</v>
          </cell>
          <cell r="CC389">
            <v>0</v>
          </cell>
          <cell r="CD389">
            <v>0</v>
          </cell>
          <cell r="CE389">
            <v>0</v>
          </cell>
          <cell r="CF389">
            <v>0</v>
          </cell>
          <cell r="CG389">
            <v>4</v>
          </cell>
          <cell r="CH389">
            <v>4</v>
          </cell>
          <cell r="CI389">
            <v>4</v>
          </cell>
          <cell r="CJ389">
            <v>0</v>
          </cell>
          <cell r="CK389">
            <v>4</v>
          </cell>
          <cell r="CL389">
            <v>0</v>
          </cell>
          <cell r="CM389">
            <v>0</v>
          </cell>
          <cell r="CR389">
            <v>0</v>
          </cell>
          <cell r="CS389">
            <v>0</v>
          </cell>
          <cell r="CT389">
            <v>39</v>
          </cell>
          <cell r="CU389">
            <v>0</v>
          </cell>
          <cell r="CV389">
            <v>0</v>
          </cell>
          <cell r="CZ389">
            <v>39</v>
          </cell>
        </row>
        <row r="390">
          <cell r="C390" t="str">
            <v>02976</v>
          </cell>
          <cell r="D390" t="str">
            <v>Nguyễn Thị Trúc Phương</v>
          </cell>
          <cell r="E390" t="str">
            <v>Production</v>
          </cell>
          <cell r="F390" t="str">
            <v>Logo</v>
          </cell>
          <cell r="G390" t="str">
            <v>Worker</v>
          </cell>
          <cell r="H390">
            <v>44344</v>
          </cell>
          <cell r="I390">
            <v>8</v>
          </cell>
          <cell r="J390">
            <v>8</v>
          </cell>
          <cell r="K390">
            <v>8</v>
          </cell>
          <cell r="L390" t="str">
            <v>CN</v>
          </cell>
          <cell r="M390" t="str">
            <v>Đ</v>
          </cell>
          <cell r="N390" t="str">
            <v>Đ</v>
          </cell>
          <cell r="O390" t="str">
            <v>Đ</v>
          </cell>
          <cell r="P390" t="str">
            <v>Đ</v>
          </cell>
          <cell r="Q390" t="str">
            <v>Đ</v>
          </cell>
          <cell r="R390" t="str">
            <v>Đ</v>
          </cell>
          <cell r="S390" t="str">
            <v>CN</v>
          </cell>
          <cell r="T390">
            <v>8</v>
          </cell>
          <cell r="U390">
            <v>8</v>
          </cell>
          <cell r="V390">
            <v>8</v>
          </cell>
          <cell r="W390">
            <v>8</v>
          </cell>
          <cell r="X390">
            <v>8</v>
          </cell>
          <cell r="Y390">
            <v>8</v>
          </cell>
          <cell r="Z390" t="str">
            <v>CN</v>
          </cell>
          <cell r="AA390" t="str">
            <v>Đ</v>
          </cell>
          <cell r="AB390" t="str">
            <v>Đ</v>
          </cell>
          <cell r="AC390" t="str">
            <v>Đ</v>
          </cell>
          <cell r="AD390" t="str">
            <v>Đ</v>
          </cell>
          <cell r="AE390" t="str">
            <v>Đ</v>
          </cell>
          <cell r="AF390" t="str">
            <v>AL8</v>
          </cell>
          <cell r="AG390" t="str">
            <v>CN</v>
          </cell>
          <cell r="AH390">
            <v>8</v>
          </cell>
          <cell r="AI390">
            <v>8</v>
          </cell>
          <cell r="AJ390">
            <v>8</v>
          </cell>
          <cell r="AN390">
            <v>88</v>
          </cell>
          <cell r="AO390">
            <v>96</v>
          </cell>
          <cell r="AP390">
            <v>0</v>
          </cell>
          <cell r="AQ390">
            <v>0</v>
          </cell>
          <cell r="AR390">
            <v>0</v>
          </cell>
          <cell r="AS390">
            <v>0</v>
          </cell>
          <cell r="AT390">
            <v>0</v>
          </cell>
          <cell r="AU390">
            <v>0</v>
          </cell>
          <cell r="AV390">
            <v>0</v>
          </cell>
          <cell r="AW390">
            <v>0</v>
          </cell>
          <cell r="AX390">
            <v>0</v>
          </cell>
          <cell r="AY390">
            <v>0</v>
          </cell>
          <cell r="AZ390">
            <v>0</v>
          </cell>
          <cell r="BA390">
            <v>8</v>
          </cell>
          <cell r="BB390">
            <v>0</v>
          </cell>
          <cell r="BC390">
            <v>0</v>
          </cell>
          <cell r="BD390">
            <v>0</v>
          </cell>
          <cell r="BE390">
            <v>0</v>
          </cell>
          <cell r="BF390">
            <v>0</v>
          </cell>
          <cell r="BG390">
            <v>192</v>
          </cell>
          <cell r="BH390">
            <v>1</v>
          </cell>
          <cell r="BI390">
            <v>1</v>
          </cell>
          <cell r="BJ390">
            <v>5</v>
          </cell>
          <cell r="BL390">
            <v>0</v>
          </cell>
          <cell r="BM390">
            <v>0</v>
          </cell>
          <cell r="BN390">
            <v>0</v>
          </cell>
          <cell r="BO390">
            <v>0</v>
          </cell>
          <cell r="BP390">
            <v>1.5</v>
          </cell>
          <cell r="BQ390">
            <v>3</v>
          </cell>
          <cell r="BR390">
            <v>0</v>
          </cell>
          <cell r="BS390">
            <v>3</v>
          </cell>
          <cell r="BT390">
            <v>3</v>
          </cell>
          <cell r="BU390">
            <v>0</v>
          </cell>
          <cell r="BV390">
            <v>0</v>
          </cell>
          <cell r="BW390">
            <v>3</v>
          </cell>
          <cell r="BX390">
            <v>3</v>
          </cell>
          <cell r="BY390">
            <v>3</v>
          </cell>
          <cell r="BZ390">
            <v>3</v>
          </cell>
          <cell r="CA390">
            <v>3</v>
          </cell>
          <cell r="CB390">
            <v>3</v>
          </cell>
          <cell r="CC390">
            <v>8</v>
          </cell>
          <cell r="CD390">
            <v>1.5</v>
          </cell>
          <cell r="CE390">
            <v>4</v>
          </cell>
          <cell r="CF390">
            <v>4</v>
          </cell>
          <cell r="CG390">
            <v>4</v>
          </cell>
          <cell r="CH390">
            <v>1.5</v>
          </cell>
          <cell r="CI390">
            <v>0</v>
          </cell>
          <cell r="CJ390">
            <v>0</v>
          </cell>
          <cell r="CK390">
            <v>1.5</v>
          </cell>
          <cell r="CL390">
            <v>3</v>
          </cell>
          <cell r="CM390">
            <v>1.5</v>
          </cell>
          <cell r="CR390">
            <v>0</v>
          </cell>
          <cell r="CS390">
            <v>0</v>
          </cell>
          <cell r="CT390">
            <v>49.5</v>
          </cell>
          <cell r="CU390">
            <v>8</v>
          </cell>
          <cell r="CV390">
            <v>0</v>
          </cell>
          <cell r="CZ390">
            <v>57.5</v>
          </cell>
        </row>
        <row r="391">
          <cell r="C391" t="str">
            <v>03001</v>
          </cell>
          <cell r="D391" t="str">
            <v>Tô Pha Đol</v>
          </cell>
          <cell r="E391" t="str">
            <v>Production</v>
          </cell>
          <cell r="F391" t="str">
            <v>Die Cut</v>
          </cell>
          <cell r="G391" t="str">
            <v>Worker</v>
          </cell>
          <cell r="H391">
            <v>44358</v>
          </cell>
          <cell r="I391" t="str">
            <v>Đ</v>
          </cell>
          <cell r="J391" t="str">
            <v>Đ</v>
          </cell>
          <cell r="K391" t="str">
            <v>Đ</v>
          </cell>
          <cell r="L391" t="str">
            <v>CN</v>
          </cell>
          <cell r="M391">
            <v>8</v>
          </cell>
          <cell r="N391">
            <v>8</v>
          </cell>
          <cell r="O391" t="str">
            <v>AL4</v>
          </cell>
          <cell r="P391">
            <v>8</v>
          </cell>
          <cell r="Q391">
            <v>8</v>
          </cell>
          <cell r="R391">
            <v>8</v>
          </cell>
          <cell r="S391" t="str">
            <v>CN</v>
          </cell>
          <cell r="T391" t="str">
            <v>Đ</v>
          </cell>
          <cell r="U391" t="str">
            <v>Đ</v>
          </cell>
          <cell r="V391" t="str">
            <v>Đ</v>
          </cell>
          <cell r="W391" t="str">
            <v>Đ</v>
          </cell>
          <cell r="X391" t="str">
            <v>Đ</v>
          </cell>
          <cell r="Y391" t="str">
            <v>Đ</v>
          </cell>
          <cell r="Z391" t="str">
            <v>CN</v>
          </cell>
          <cell r="AA391">
            <v>8</v>
          </cell>
          <cell r="AB391">
            <v>8</v>
          </cell>
          <cell r="AC391">
            <v>8</v>
          </cell>
          <cell r="AD391">
            <v>8</v>
          </cell>
          <cell r="AE391">
            <v>8</v>
          </cell>
          <cell r="AF391">
            <v>8</v>
          </cell>
          <cell r="AG391" t="str">
            <v>CN</v>
          </cell>
          <cell r="AH391" t="str">
            <v>Đ</v>
          </cell>
          <cell r="AI391" t="str">
            <v>Đ</v>
          </cell>
          <cell r="AJ391" t="str">
            <v>Đ</v>
          </cell>
          <cell r="AN391">
            <v>96</v>
          </cell>
          <cell r="AO391">
            <v>92</v>
          </cell>
          <cell r="AP391">
            <v>4</v>
          </cell>
          <cell r="AQ391">
            <v>0</v>
          </cell>
          <cell r="AR391">
            <v>0</v>
          </cell>
          <cell r="AS391">
            <v>0</v>
          </cell>
          <cell r="AT391">
            <v>0</v>
          </cell>
          <cell r="AU391">
            <v>0</v>
          </cell>
          <cell r="AV391">
            <v>0</v>
          </cell>
          <cell r="AW391">
            <v>0</v>
          </cell>
          <cell r="AX391">
            <v>0</v>
          </cell>
          <cell r="AY391">
            <v>0</v>
          </cell>
          <cell r="AZ391">
            <v>0</v>
          </cell>
          <cell r="BA391">
            <v>4</v>
          </cell>
          <cell r="BB391">
            <v>0</v>
          </cell>
          <cell r="BC391">
            <v>0</v>
          </cell>
          <cell r="BD391">
            <v>0</v>
          </cell>
          <cell r="BE391">
            <v>0</v>
          </cell>
          <cell r="BF391">
            <v>0</v>
          </cell>
          <cell r="BG391">
            <v>192</v>
          </cell>
          <cell r="BH391">
            <v>0.5</v>
          </cell>
          <cell r="BI391">
            <v>0.5</v>
          </cell>
          <cell r="BJ391">
            <v>2</v>
          </cell>
          <cell r="BL391">
            <v>0</v>
          </cell>
          <cell r="BM391">
            <v>0</v>
          </cell>
          <cell r="BN391">
            <v>0</v>
          </cell>
          <cell r="BO391">
            <v>0</v>
          </cell>
          <cell r="BP391">
            <v>1.5</v>
          </cell>
          <cell r="BQ391">
            <v>3</v>
          </cell>
          <cell r="BR391">
            <v>0</v>
          </cell>
          <cell r="BS391">
            <v>3</v>
          </cell>
          <cell r="BT391">
            <v>3</v>
          </cell>
          <cell r="BU391">
            <v>0</v>
          </cell>
          <cell r="BV391">
            <v>0</v>
          </cell>
          <cell r="BW391">
            <v>3</v>
          </cell>
          <cell r="BX391">
            <v>4</v>
          </cell>
          <cell r="BY391">
            <v>4</v>
          </cell>
          <cell r="BZ391">
            <v>4</v>
          </cell>
          <cell r="CA391">
            <v>4</v>
          </cell>
          <cell r="CB391">
            <v>4</v>
          </cell>
          <cell r="CC391">
            <v>0</v>
          </cell>
          <cell r="CD391">
            <v>3</v>
          </cell>
          <cell r="CE391">
            <v>3</v>
          </cell>
          <cell r="CF391">
            <v>3</v>
          </cell>
          <cell r="CG391">
            <v>3</v>
          </cell>
          <cell r="CH391">
            <v>0</v>
          </cell>
          <cell r="CI391">
            <v>1.5</v>
          </cell>
          <cell r="CJ391">
            <v>8</v>
          </cell>
          <cell r="CK391">
            <v>1.5</v>
          </cell>
          <cell r="CL391">
            <v>1.5</v>
          </cell>
          <cell r="CM391">
            <v>1.5</v>
          </cell>
          <cell r="CR391">
            <v>0</v>
          </cell>
          <cell r="CS391">
            <v>0</v>
          </cell>
          <cell r="CT391">
            <v>51.5</v>
          </cell>
          <cell r="CU391">
            <v>8</v>
          </cell>
          <cell r="CV391">
            <v>0</v>
          </cell>
          <cell r="CZ391">
            <v>59.5</v>
          </cell>
        </row>
        <row r="392">
          <cell r="C392" t="str">
            <v>03008</v>
          </cell>
          <cell r="D392" t="str">
            <v>Hoàng Đức Hùng</v>
          </cell>
          <cell r="E392" t="str">
            <v>Production</v>
          </cell>
          <cell r="F392" t="str">
            <v>Prefitting</v>
          </cell>
          <cell r="G392" t="str">
            <v>Operator</v>
          </cell>
          <cell r="H392">
            <v>44363</v>
          </cell>
          <cell r="I392" t="str">
            <v>Đ</v>
          </cell>
          <cell r="J392" t="str">
            <v>CN</v>
          </cell>
          <cell r="K392">
            <v>8</v>
          </cell>
          <cell r="L392">
            <v>8</v>
          </cell>
          <cell r="M392">
            <v>8</v>
          </cell>
          <cell r="N392">
            <v>8</v>
          </cell>
          <cell r="O392">
            <v>8</v>
          </cell>
          <cell r="P392">
            <v>8</v>
          </cell>
          <cell r="Q392" t="str">
            <v>CN</v>
          </cell>
          <cell r="R392" t="str">
            <v>Đ</v>
          </cell>
          <cell r="S392" t="str">
            <v>Đ</v>
          </cell>
          <cell r="T392" t="str">
            <v>Đ</v>
          </cell>
          <cell r="U392" t="str">
            <v>Đ</v>
          </cell>
          <cell r="V392" t="str">
            <v>Đ</v>
          </cell>
          <cell r="W392" t="str">
            <v>Đ</v>
          </cell>
          <cell r="X392" t="str">
            <v>CN</v>
          </cell>
          <cell r="Y392">
            <v>8</v>
          </cell>
          <cell r="Z392">
            <v>8</v>
          </cell>
          <cell r="AA392">
            <v>8</v>
          </cell>
          <cell r="AB392">
            <v>8</v>
          </cell>
          <cell r="AC392">
            <v>8</v>
          </cell>
          <cell r="AD392">
            <v>8</v>
          </cell>
          <cell r="AE392" t="str">
            <v>CN</v>
          </cell>
          <cell r="AF392" t="str">
            <v>Đ</v>
          </cell>
          <cell r="AG392" t="str">
            <v>Đ</v>
          </cell>
          <cell r="AH392" t="str">
            <v>Đ</v>
          </cell>
          <cell r="AI392" t="str">
            <v>Đ</v>
          </cell>
          <cell r="AJ392" t="str">
            <v>Đ</v>
          </cell>
          <cell r="AN392">
            <v>96</v>
          </cell>
          <cell r="AO392">
            <v>96</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192</v>
          </cell>
          <cell r="BH392">
            <v>0</v>
          </cell>
          <cell r="BI392">
            <v>0</v>
          </cell>
          <cell r="BJ392">
            <v>1.5</v>
          </cell>
          <cell r="BL392">
            <v>0</v>
          </cell>
          <cell r="BM392">
            <v>0</v>
          </cell>
          <cell r="BN392">
            <v>4</v>
          </cell>
          <cell r="BO392">
            <v>4</v>
          </cell>
          <cell r="BP392">
            <v>0</v>
          </cell>
          <cell r="BQ392">
            <v>0</v>
          </cell>
          <cell r="BR392">
            <v>0</v>
          </cell>
          <cell r="BS392">
            <v>0</v>
          </cell>
          <cell r="BT392">
            <v>0</v>
          </cell>
          <cell r="BU392">
            <v>4</v>
          </cell>
          <cell r="BV392">
            <v>4</v>
          </cell>
          <cell r="BW392">
            <v>0</v>
          </cell>
          <cell r="BX392">
            <v>0</v>
          </cell>
          <cell r="BY392">
            <v>0</v>
          </cell>
          <cell r="BZ392">
            <v>4</v>
          </cell>
          <cell r="CA392">
            <v>0</v>
          </cell>
          <cell r="CB392">
            <v>4</v>
          </cell>
          <cell r="CC392">
            <v>4</v>
          </cell>
          <cell r="CD392">
            <v>0</v>
          </cell>
          <cell r="CE392">
            <v>0</v>
          </cell>
          <cell r="CF392">
            <v>0</v>
          </cell>
          <cell r="CG392">
            <v>4</v>
          </cell>
          <cell r="CH392">
            <v>0</v>
          </cell>
          <cell r="CI392">
            <v>4</v>
          </cell>
          <cell r="CJ392">
            <v>4</v>
          </cell>
          <cell r="CK392">
            <v>0</v>
          </cell>
          <cell r="CL392">
            <v>4</v>
          </cell>
          <cell r="CM392">
            <v>0</v>
          </cell>
          <cell r="CR392">
            <v>0</v>
          </cell>
          <cell r="CS392">
            <v>0</v>
          </cell>
          <cell r="CT392">
            <v>44</v>
          </cell>
          <cell r="CU392">
            <v>0</v>
          </cell>
          <cell r="CV392">
            <v>0</v>
          </cell>
          <cell r="CZ392">
            <v>44</v>
          </cell>
        </row>
        <row r="393">
          <cell r="C393" t="str">
            <v>03012</v>
          </cell>
          <cell r="D393" t="str">
            <v>Trương Thanh Thảo</v>
          </cell>
          <cell r="E393" t="str">
            <v>PD</v>
          </cell>
          <cell r="F393" t="str">
            <v>PD office</v>
          </cell>
          <cell r="G393" t="str">
            <v>Staff</v>
          </cell>
          <cell r="H393">
            <v>44363</v>
          </cell>
          <cell r="I393">
            <v>8</v>
          </cell>
          <cell r="J393">
            <v>8</v>
          </cell>
          <cell r="K393" t="str">
            <v>PO</v>
          </cell>
          <cell r="L393" t="str">
            <v>CN</v>
          </cell>
          <cell r="M393">
            <v>8</v>
          </cell>
          <cell r="N393">
            <v>8</v>
          </cell>
          <cell r="O393">
            <v>8</v>
          </cell>
          <cell r="P393" t="str">
            <v>AL8</v>
          </cell>
          <cell r="Q393">
            <v>8</v>
          </cell>
          <cell r="R393" t="str">
            <v>PO</v>
          </cell>
          <cell r="S393" t="str">
            <v>CN</v>
          </cell>
          <cell r="T393">
            <v>8</v>
          </cell>
          <cell r="U393">
            <v>8</v>
          </cell>
          <cell r="V393">
            <v>8</v>
          </cell>
          <cell r="W393">
            <v>8</v>
          </cell>
          <cell r="X393">
            <v>8</v>
          </cell>
          <cell r="Y393" t="str">
            <v>PO</v>
          </cell>
          <cell r="Z393" t="str">
            <v>CN</v>
          </cell>
          <cell r="AA393">
            <v>8</v>
          </cell>
          <cell r="AB393">
            <v>8</v>
          </cell>
          <cell r="AC393">
            <v>8</v>
          </cell>
          <cell r="AD393">
            <v>8</v>
          </cell>
          <cell r="AE393">
            <v>8</v>
          </cell>
          <cell r="AF393" t="str">
            <v>PO</v>
          </cell>
          <cell r="AG393" t="str">
            <v>CN</v>
          </cell>
          <cell r="AH393">
            <v>8</v>
          </cell>
          <cell r="AI393">
            <v>8</v>
          </cell>
          <cell r="AJ393">
            <v>8</v>
          </cell>
          <cell r="AN393">
            <v>0</v>
          </cell>
          <cell r="AO393">
            <v>152</v>
          </cell>
          <cell r="AP393">
            <v>0</v>
          </cell>
          <cell r="AQ393">
            <v>0</v>
          </cell>
          <cell r="AR393">
            <v>0</v>
          </cell>
          <cell r="AS393">
            <v>0</v>
          </cell>
          <cell r="AT393">
            <v>0</v>
          </cell>
          <cell r="AU393">
            <v>0</v>
          </cell>
          <cell r="AV393">
            <v>32</v>
          </cell>
          <cell r="AW393">
            <v>0</v>
          </cell>
          <cell r="AX393">
            <v>0</v>
          </cell>
          <cell r="AY393">
            <v>0</v>
          </cell>
          <cell r="AZ393">
            <v>0</v>
          </cell>
          <cell r="BA393">
            <v>8</v>
          </cell>
          <cell r="BB393">
            <v>0</v>
          </cell>
          <cell r="BC393">
            <v>0</v>
          </cell>
          <cell r="BD393">
            <v>0</v>
          </cell>
          <cell r="BE393">
            <v>0</v>
          </cell>
          <cell r="BF393">
            <v>0</v>
          </cell>
          <cell r="BG393">
            <v>192</v>
          </cell>
          <cell r="BH393">
            <v>1</v>
          </cell>
          <cell r="BI393">
            <v>1</v>
          </cell>
          <cell r="BJ393">
            <v>3.5</v>
          </cell>
          <cell r="BL393">
            <v>0</v>
          </cell>
          <cell r="BM393">
            <v>0</v>
          </cell>
          <cell r="BN393">
            <v>0</v>
          </cell>
          <cell r="BO393">
            <v>0</v>
          </cell>
          <cell r="BP393">
            <v>0</v>
          </cell>
          <cell r="BQ393">
            <v>0</v>
          </cell>
          <cell r="BR393">
            <v>0</v>
          </cell>
          <cell r="BS393">
            <v>0</v>
          </cell>
          <cell r="BT393">
            <v>0</v>
          </cell>
          <cell r="BU393">
            <v>0</v>
          </cell>
          <cell r="BV393">
            <v>0</v>
          </cell>
          <cell r="BW393">
            <v>0</v>
          </cell>
          <cell r="BX393">
            <v>0</v>
          </cell>
          <cell r="BY393">
            <v>0</v>
          </cell>
          <cell r="BZ393">
            <v>0</v>
          </cell>
          <cell r="CA393">
            <v>0</v>
          </cell>
          <cell r="CB393">
            <v>0</v>
          </cell>
          <cell r="CC393">
            <v>0</v>
          </cell>
          <cell r="CD393">
            <v>0</v>
          </cell>
          <cell r="CE393">
            <v>0</v>
          </cell>
          <cell r="CF393">
            <v>0</v>
          </cell>
          <cell r="CG393">
            <v>0</v>
          </cell>
          <cell r="CH393">
            <v>0</v>
          </cell>
          <cell r="CI393">
            <v>0</v>
          </cell>
          <cell r="CJ393">
            <v>0</v>
          </cell>
          <cell r="CK393">
            <v>0</v>
          </cell>
          <cell r="CL393">
            <v>0</v>
          </cell>
          <cell r="CM393">
            <v>0</v>
          </cell>
          <cell r="CR393">
            <v>0</v>
          </cell>
          <cell r="CS393">
            <v>0</v>
          </cell>
          <cell r="CT393">
            <v>0</v>
          </cell>
          <cell r="CU393">
            <v>0</v>
          </cell>
          <cell r="CV393">
            <v>0</v>
          </cell>
          <cell r="CZ393">
            <v>0</v>
          </cell>
        </row>
        <row r="394">
          <cell r="C394" t="str">
            <v>03013</v>
          </cell>
          <cell r="D394" t="str">
            <v>Mai Thị Thùy Trang</v>
          </cell>
          <cell r="E394" t="str">
            <v>Purchasing</v>
          </cell>
          <cell r="F394" t="str">
            <v>Purchasing</v>
          </cell>
          <cell r="G394" t="str">
            <v xml:space="preserve"> Senior Staff</v>
          </cell>
          <cell r="H394" t="str">
            <v>18/06/2021</v>
          </cell>
          <cell r="I394">
            <v>8</v>
          </cell>
          <cell r="J394">
            <v>8</v>
          </cell>
          <cell r="K394" t="str">
            <v>PO</v>
          </cell>
          <cell r="L394" t="str">
            <v>CN</v>
          </cell>
          <cell r="M394">
            <v>8</v>
          </cell>
          <cell r="N394">
            <v>8</v>
          </cell>
          <cell r="O394">
            <v>8</v>
          </cell>
          <cell r="P394">
            <v>8</v>
          </cell>
          <cell r="Q394">
            <v>8</v>
          </cell>
          <cell r="R394" t="str">
            <v>PO</v>
          </cell>
          <cell r="S394" t="str">
            <v>CN</v>
          </cell>
          <cell r="T394">
            <v>8</v>
          </cell>
          <cell r="U394">
            <v>8</v>
          </cell>
          <cell r="V394">
            <v>8</v>
          </cell>
          <cell r="W394">
            <v>8</v>
          </cell>
          <cell r="X394">
            <v>8</v>
          </cell>
          <cell r="Y394" t="str">
            <v>PO</v>
          </cell>
          <cell r="Z394" t="str">
            <v>CN</v>
          </cell>
          <cell r="AA394">
            <v>8</v>
          </cell>
          <cell r="AB394">
            <v>8</v>
          </cell>
          <cell r="AC394">
            <v>8</v>
          </cell>
          <cell r="AD394">
            <v>8</v>
          </cell>
          <cell r="AE394" t="str">
            <v>AL4</v>
          </cell>
          <cell r="AF394" t="str">
            <v>PO</v>
          </cell>
          <cell r="AG394" t="str">
            <v>CN</v>
          </cell>
          <cell r="AH394">
            <v>8</v>
          </cell>
          <cell r="AI394">
            <v>8</v>
          </cell>
          <cell r="AJ394">
            <v>8</v>
          </cell>
          <cell r="AN394">
            <v>0</v>
          </cell>
          <cell r="AO394">
            <v>156</v>
          </cell>
          <cell r="AP394">
            <v>4</v>
          </cell>
          <cell r="AQ394">
            <v>0</v>
          </cell>
          <cell r="AR394">
            <v>0</v>
          </cell>
          <cell r="AS394">
            <v>0</v>
          </cell>
          <cell r="AT394">
            <v>0</v>
          </cell>
          <cell r="AU394">
            <v>0</v>
          </cell>
          <cell r="AV394">
            <v>32</v>
          </cell>
          <cell r="AW394">
            <v>0</v>
          </cell>
          <cell r="AX394">
            <v>0</v>
          </cell>
          <cell r="AY394">
            <v>0</v>
          </cell>
          <cell r="AZ394">
            <v>0</v>
          </cell>
          <cell r="BA394">
            <v>4</v>
          </cell>
          <cell r="BB394">
            <v>0</v>
          </cell>
          <cell r="BC394">
            <v>0</v>
          </cell>
          <cell r="BD394">
            <v>0</v>
          </cell>
          <cell r="BE394">
            <v>0</v>
          </cell>
          <cell r="BF394">
            <v>0</v>
          </cell>
          <cell r="BG394">
            <v>192</v>
          </cell>
          <cell r="BH394">
            <v>0.5</v>
          </cell>
          <cell r="BI394">
            <v>0.5</v>
          </cell>
          <cell r="BJ394">
            <v>1.5</v>
          </cell>
          <cell r="BL394">
            <v>0</v>
          </cell>
          <cell r="BM394">
            <v>1.5</v>
          </cell>
          <cell r="BN394">
            <v>0</v>
          </cell>
          <cell r="BO394">
            <v>0</v>
          </cell>
          <cell r="BP394">
            <v>4</v>
          </cell>
          <cell r="BQ394">
            <v>4</v>
          </cell>
          <cell r="BR394">
            <v>0</v>
          </cell>
          <cell r="BS394">
            <v>4</v>
          </cell>
          <cell r="BT394">
            <v>0</v>
          </cell>
          <cell r="BU394">
            <v>0</v>
          </cell>
          <cell r="BV394">
            <v>0</v>
          </cell>
          <cell r="BW394">
            <v>4</v>
          </cell>
          <cell r="BX394">
            <v>4</v>
          </cell>
          <cell r="BY394">
            <v>0</v>
          </cell>
          <cell r="BZ394">
            <v>0</v>
          </cell>
          <cell r="CA394">
            <v>0</v>
          </cell>
          <cell r="CB394">
            <v>0</v>
          </cell>
          <cell r="CC394">
            <v>0</v>
          </cell>
          <cell r="CD394">
            <v>4</v>
          </cell>
          <cell r="CE394">
            <v>4</v>
          </cell>
          <cell r="CF394">
            <v>4</v>
          </cell>
          <cell r="CG394">
            <v>0</v>
          </cell>
          <cell r="CH394">
            <v>0</v>
          </cell>
          <cell r="CI394">
            <v>0</v>
          </cell>
          <cell r="CJ394">
            <v>0</v>
          </cell>
          <cell r="CK394">
            <v>0</v>
          </cell>
          <cell r="CL394">
            <v>3</v>
          </cell>
          <cell r="CM394">
            <v>0</v>
          </cell>
          <cell r="CR394">
            <v>0</v>
          </cell>
          <cell r="CS394">
            <v>0</v>
          </cell>
          <cell r="CT394">
            <v>36.5</v>
          </cell>
          <cell r="CU394">
            <v>0</v>
          </cell>
          <cell r="CV394">
            <v>0</v>
          </cell>
          <cell r="CZ394">
            <v>36.5</v>
          </cell>
        </row>
        <row r="395">
          <cell r="C395" t="str">
            <v>03016</v>
          </cell>
          <cell r="D395" t="str">
            <v>Nguyễn Phương Hoài Linh</v>
          </cell>
          <cell r="E395" t="str">
            <v>Production</v>
          </cell>
          <cell r="F395" t="str">
            <v>Prefitting</v>
          </cell>
          <cell r="G395" t="str">
            <v>Worker</v>
          </cell>
          <cell r="H395">
            <v>44368</v>
          </cell>
          <cell r="I395">
            <v>8</v>
          </cell>
          <cell r="J395">
            <v>8</v>
          </cell>
          <cell r="K395">
            <v>8</v>
          </cell>
          <cell r="L395" t="str">
            <v>CN</v>
          </cell>
          <cell r="M395" t="str">
            <v>Đ</v>
          </cell>
          <cell r="N395" t="str">
            <v>Đ</v>
          </cell>
          <cell r="O395" t="str">
            <v>Đ</v>
          </cell>
          <cell r="P395" t="str">
            <v>Đ</v>
          </cell>
          <cell r="Q395" t="str">
            <v>Đ</v>
          </cell>
          <cell r="R395" t="str">
            <v>Đ</v>
          </cell>
          <cell r="S395" t="str">
            <v>CN</v>
          </cell>
          <cell r="T395">
            <v>8</v>
          </cell>
          <cell r="U395">
            <v>8</v>
          </cell>
          <cell r="V395">
            <v>8</v>
          </cell>
          <cell r="W395">
            <v>8</v>
          </cell>
          <cell r="X395">
            <v>8</v>
          </cell>
          <cell r="Y395">
            <v>8</v>
          </cell>
          <cell r="Z395" t="str">
            <v>CN</v>
          </cell>
          <cell r="AA395">
            <v>8</v>
          </cell>
          <cell r="AB395">
            <v>8</v>
          </cell>
          <cell r="AC395">
            <v>8</v>
          </cell>
          <cell r="AD395">
            <v>8</v>
          </cell>
          <cell r="AE395">
            <v>8</v>
          </cell>
          <cell r="AF395">
            <v>8</v>
          </cell>
          <cell r="AG395" t="str">
            <v>CN</v>
          </cell>
          <cell r="AH395">
            <v>8</v>
          </cell>
          <cell r="AI395">
            <v>8</v>
          </cell>
          <cell r="AJ395">
            <v>8</v>
          </cell>
          <cell r="AN395">
            <v>48</v>
          </cell>
          <cell r="AO395">
            <v>144</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192</v>
          </cell>
          <cell r="BH395">
            <v>0</v>
          </cell>
          <cell r="BI395">
            <v>0</v>
          </cell>
          <cell r="BJ395">
            <v>1</v>
          </cell>
          <cell r="BL395">
            <v>0</v>
          </cell>
          <cell r="BM395">
            <v>0</v>
          </cell>
          <cell r="BN395">
            <v>0</v>
          </cell>
          <cell r="BO395">
            <v>0</v>
          </cell>
          <cell r="BP395">
            <v>4</v>
          </cell>
          <cell r="BQ395">
            <v>0</v>
          </cell>
          <cell r="BR395">
            <v>0</v>
          </cell>
          <cell r="BS395">
            <v>0</v>
          </cell>
          <cell r="BT395">
            <v>0</v>
          </cell>
          <cell r="BU395">
            <v>0</v>
          </cell>
          <cell r="BV395">
            <v>0</v>
          </cell>
          <cell r="BW395">
            <v>0</v>
          </cell>
          <cell r="BX395">
            <v>0</v>
          </cell>
          <cell r="BY395">
            <v>0</v>
          </cell>
          <cell r="BZ395">
            <v>0</v>
          </cell>
          <cell r="CA395">
            <v>0</v>
          </cell>
          <cell r="CB395">
            <v>0</v>
          </cell>
          <cell r="CC395">
            <v>0</v>
          </cell>
          <cell r="CD395">
            <v>0</v>
          </cell>
          <cell r="CE395">
            <v>0</v>
          </cell>
          <cell r="CF395">
            <v>0</v>
          </cell>
          <cell r="CG395">
            <v>0</v>
          </cell>
          <cell r="CH395">
            <v>4</v>
          </cell>
          <cell r="CI395">
            <v>4</v>
          </cell>
          <cell r="CJ395">
            <v>0</v>
          </cell>
          <cell r="CK395">
            <v>0</v>
          </cell>
          <cell r="CL395">
            <v>0</v>
          </cell>
          <cell r="CM395">
            <v>0</v>
          </cell>
          <cell r="CR395">
            <v>0</v>
          </cell>
          <cell r="CS395">
            <v>0</v>
          </cell>
          <cell r="CT395">
            <v>12</v>
          </cell>
          <cell r="CU395">
            <v>0</v>
          </cell>
          <cell r="CV395">
            <v>0</v>
          </cell>
          <cell r="CZ395">
            <v>12</v>
          </cell>
        </row>
        <row r="396">
          <cell r="C396" t="str">
            <v>03023</v>
          </cell>
          <cell r="D396" t="str">
            <v>Lê Phạm Huyền Trân</v>
          </cell>
          <cell r="E396" t="str">
            <v>Lab</v>
          </cell>
          <cell r="F396" t="str">
            <v>Lab</v>
          </cell>
          <cell r="G396" t="str">
            <v>Technician</v>
          </cell>
          <cell r="H396">
            <v>44368</v>
          </cell>
          <cell r="I396">
            <v>8</v>
          </cell>
          <cell r="J396">
            <v>8</v>
          </cell>
          <cell r="K396" t="str">
            <v>PO</v>
          </cell>
          <cell r="L396" t="str">
            <v>CN</v>
          </cell>
          <cell r="M396">
            <v>8</v>
          </cell>
          <cell r="N396">
            <v>8</v>
          </cell>
          <cell r="O396">
            <v>8</v>
          </cell>
          <cell r="P396">
            <v>8</v>
          </cell>
          <cell r="Q396">
            <v>8</v>
          </cell>
          <cell r="R396" t="str">
            <v>PO</v>
          </cell>
          <cell r="S396" t="str">
            <v>CN</v>
          </cell>
          <cell r="T396">
            <v>8</v>
          </cell>
          <cell r="U396">
            <v>8</v>
          </cell>
          <cell r="V396" t="str">
            <v>AL8</v>
          </cell>
          <cell r="W396">
            <v>8</v>
          </cell>
          <cell r="X396">
            <v>8</v>
          </cell>
          <cell r="Y396" t="str">
            <v>PO</v>
          </cell>
          <cell r="Z396" t="str">
            <v>CN</v>
          </cell>
          <cell r="AA396">
            <v>8</v>
          </cell>
          <cell r="AB396">
            <v>8</v>
          </cell>
          <cell r="AC396">
            <v>8</v>
          </cell>
          <cell r="AD396">
            <v>8</v>
          </cell>
          <cell r="AE396">
            <v>8</v>
          </cell>
          <cell r="AF396" t="str">
            <v>PO</v>
          </cell>
          <cell r="AG396" t="str">
            <v>CN</v>
          </cell>
          <cell r="AH396">
            <v>8</v>
          </cell>
          <cell r="AI396">
            <v>8</v>
          </cell>
          <cell r="AJ396">
            <v>8</v>
          </cell>
          <cell r="AN396">
            <v>0</v>
          </cell>
          <cell r="AO396">
            <v>152</v>
          </cell>
          <cell r="AP396">
            <v>0</v>
          </cell>
          <cell r="AQ396">
            <v>0</v>
          </cell>
          <cell r="AR396">
            <v>0</v>
          </cell>
          <cell r="AS396">
            <v>0</v>
          </cell>
          <cell r="AT396">
            <v>0</v>
          </cell>
          <cell r="AU396">
            <v>0</v>
          </cell>
          <cell r="AV396">
            <v>32</v>
          </cell>
          <cell r="AW396">
            <v>0</v>
          </cell>
          <cell r="AX396">
            <v>0</v>
          </cell>
          <cell r="AY396">
            <v>0</v>
          </cell>
          <cell r="AZ396">
            <v>0</v>
          </cell>
          <cell r="BA396">
            <v>8</v>
          </cell>
          <cell r="BB396">
            <v>0</v>
          </cell>
          <cell r="BC396">
            <v>0</v>
          </cell>
          <cell r="BD396">
            <v>0</v>
          </cell>
          <cell r="BE396">
            <v>0</v>
          </cell>
          <cell r="BF396">
            <v>0</v>
          </cell>
          <cell r="BG396">
            <v>192</v>
          </cell>
          <cell r="BH396">
            <v>1</v>
          </cell>
          <cell r="BI396">
            <v>1</v>
          </cell>
          <cell r="BJ396">
            <v>6</v>
          </cell>
          <cell r="BL396">
            <v>0</v>
          </cell>
          <cell r="BM396">
            <v>0</v>
          </cell>
          <cell r="BN396">
            <v>0</v>
          </cell>
          <cell r="BO396">
            <v>0</v>
          </cell>
          <cell r="BP396">
            <v>0</v>
          </cell>
          <cell r="BQ396">
            <v>0</v>
          </cell>
          <cell r="BR396">
            <v>1.5</v>
          </cell>
          <cell r="BS396">
            <v>1.75</v>
          </cell>
          <cell r="BT396">
            <v>0</v>
          </cell>
          <cell r="BU396">
            <v>0</v>
          </cell>
          <cell r="BV396">
            <v>0</v>
          </cell>
          <cell r="BW396">
            <v>0</v>
          </cell>
          <cell r="BX396">
            <v>0</v>
          </cell>
          <cell r="BY396">
            <v>0</v>
          </cell>
          <cell r="BZ396">
            <v>0</v>
          </cell>
          <cell r="CA396">
            <v>2.5</v>
          </cell>
          <cell r="CB396">
            <v>0</v>
          </cell>
          <cell r="CC396">
            <v>0</v>
          </cell>
          <cell r="CD396">
            <v>0</v>
          </cell>
          <cell r="CE396">
            <v>0</v>
          </cell>
          <cell r="CF396">
            <v>2</v>
          </cell>
          <cell r="CG396">
            <v>2</v>
          </cell>
          <cell r="CH396">
            <v>0</v>
          </cell>
          <cell r="CI396">
            <v>0</v>
          </cell>
          <cell r="CJ396">
            <v>0</v>
          </cell>
          <cell r="CK396">
            <v>1.75</v>
          </cell>
          <cell r="CL396">
            <v>0</v>
          </cell>
          <cell r="CM396">
            <v>0</v>
          </cell>
          <cell r="CR396">
            <v>0</v>
          </cell>
          <cell r="CS396">
            <v>0</v>
          </cell>
          <cell r="CT396">
            <v>11.5</v>
          </cell>
          <cell r="CU396">
            <v>0</v>
          </cell>
          <cell r="CV396">
            <v>0</v>
          </cell>
          <cell r="CZ396">
            <v>11.5</v>
          </cell>
        </row>
        <row r="397">
          <cell r="C397" t="str">
            <v>03040</v>
          </cell>
          <cell r="D397" t="str">
            <v>Bùi Ngọc Hải</v>
          </cell>
          <cell r="E397" t="str">
            <v>Production</v>
          </cell>
          <cell r="F397" t="str">
            <v>Prefitting</v>
          </cell>
          <cell r="G397" t="str">
            <v>Operator</v>
          </cell>
          <cell r="H397">
            <v>44391</v>
          </cell>
          <cell r="I397">
            <v>8</v>
          </cell>
          <cell r="J397" t="str">
            <v>Đ</v>
          </cell>
          <cell r="K397" t="str">
            <v>Đ</v>
          </cell>
          <cell r="L397" t="str">
            <v>CN</v>
          </cell>
          <cell r="M397">
            <v>8</v>
          </cell>
          <cell r="N397">
            <v>8</v>
          </cell>
          <cell r="O397">
            <v>8</v>
          </cell>
          <cell r="P397">
            <v>8</v>
          </cell>
          <cell r="Q397">
            <v>8</v>
          </cell>
          <cell r="R397">
            <v>8</v>
          </cell>
          <cell r="S397" t="str">
            <v>CN</v>
          </cell>
          <cell r="T397" t="str">
            <v>AL8</v>
          </cell>
          <cell r="U397">
            <v>8</v>
          </cell>
          <cell r="V397">
            <v>8</v>
          </cell>
          <cell r="W397">
            <v>8</v>
          </cell>
          <cell r="X397" t="str">
            <v>Đ</v>
          </cell>
          <cell r="Y397" t="str">
            <v>Đ</v>
          </cell>
          <cell r="Z397" t="str">
            <v>CN</v>
          </cell>
          <cell r="AA397">
            <v>8</v>
          </cell>
          <cell r="AB397">
            <v>8</v>
          </cell>
          <cell r="AC397">
            <v>8</v>
          </cell>
          <cell r="AD397">
            <v>8</v>
          </cell>
          <cell r="AE397">
            <v>8</v>
          </cell>
          <cell r="AF397">
            <v>8</v>
          </cell>
          <cell r="AG397" t="str">
            <v>CN</v>
          </cell>
          <cell r="AH397">
            <v>8</v>
          </cell>
          <cell r="AI397" t="str">
            <v>AL8</v>
          </cell>
          <cell r="AJ397">
            <v>8</v>
          </cell>
          <cell r="AN397">
            <v>32</v>
          </cell>
          <cell r="AO397">
            <v>144</v>
          </cell>
          <cell r="AP397">
            <v>0</v>
          </cell>
          <cell r="AQ397">
            <v>0</v>
          </cell>
          <cell r="AR397">
            <v>0</v>
          </cell>
          <cell r="AS397">
            <v>0</v>
          </cell>
          <cell r="AT397">
            <v>0</v>
          </cell>
          <cell r="AU397">
            <v>0</v>
          </cell>
          <cell r="AV397">
            <v>0</v>
          </cell>
          <cell r="AW397">
            <v>0</v>
          </cell>
          <cell r="AX397">
            <v>0</v>
          </cell>
          <cell r="AY397">
            <v>0</v>
          </cell>
          <cell r="AZ397">
            <v>0</v>
          </cell>
          <cell r="BA397">
            <v>16</v>
          </cell>
          <cell r="BB397">
            <v>0</v>
          </cell>
          <cell r="BC397">
            <v>0</v>
          </cell>
          <cell r="BD397">
            <v>0</v>
          </cell>
          <cell r="BE397">
            <v>0</v>
          </cell>
          <cell r="BF397">
            <v>0</v>
          </cell>
          <cell r="BG397">
            <v>192</v>
          </cell>
          <cell r="BH397">
            <v>2</v>
          </cell>
          <cell r="BI397">
            <v>2</v>
          </cell>
          <cell r="BJ397">
            <v>1</v>
          </cell>
          <cell r="BL397">
            <v>0</v>
          </cell>
          <cell r="BM397">
            <v>4</v>
          </cell>
          <cell r="BN397">
            <v>4</v>
          </cell>
          <cell r="BO397">
            <v>0</v>
          </cell>
          <cell r="BP397">
            <v>0</v>
          </cell>
          <cell r="BQ397">
            <v>0</v>
          </cell>
          <cell r="BR397">
            <v>0</v>
          </cell>
          <cell r="BS397">
            <v>0</v>
          </cell>
          <cell r="BT397">
            <v>4</v>
          </cell>
          <cell r="BU397">
            <v>4</v>
          </cell>
          <cell r="BV397">
            <v>0</v>
          </cell>
          <cell r="BW397">
            <v>0</v>
          </cell>
          <cell r="BX397">
            <v>0</v>
          </cell>
          <cell r="BY397">
            <v>0</v>
          </cell>
          <cell r="BZ397">
            <v>0</v>
          </cell>
          <cell r="CA397">
            <v>4</v>
          </cell>
          <cell r="CB397">
            <v>4</v>
          </cell>
          <cell r="CC397">
            <v>0</v>
          </cell>
          <cell r="CD397">
            <v>0</v>
          </cell>
          <cell r="CE397">
            <v>0</v>
          </cell>
          <cell r="CF397">
            <v>0</v>
          </cell>
          <cell r="CG397">
            <v>0</v>
          </cell>
          <cell r="CH397">
            <v>4</v>
          </cell>
          <cell r="CI397">
            <v>0</v>
          </cell>
          <cell r="CJ397">
            <v>0</v>
          </cell>
          <cell r="CK397">
            <v>0</v>
          </cell>
          <cell r="CL397">
            <v>0</v>
          </cell>
          <cell r="CM397">
            <v>0</v>
          </cell>
          <cell r="CR397">
            <v>0</v>
          </cell>
          <cell r="CS397">
            <v>0</v>
          </cell>
          <cell r="CT397">
            <v>28</v>
          </cell>
          <cell r="CU397">
            <v>0</v>
          </cell>
          <cell r="CV397">
            <v>0</v>
          </cell>
          <cell r="CZ397">
            <v>28</v>
          </cell>
        </row>
        <row r="398">
          <cell r="C398" t="str">
            <v>03041</v>
          </cell>
          <cell r="D398" t="str">
            <v>Hà Thị Sen</v>
          </cell>
          <cell r="E398" t="str">
            <v>Production</v>
          </cell>
          <cell r="F398" t="str">
            <v>Logo</v>
          </cell>
          <cell r="G398" t="str">
            <v>Worker</v>
          </cell>
          <cell r="H398">
            <v>44391</v>
          </cell>
          <cell r="I398">
            <v>8</v>
          </cell>
          <cell r="J398">
            <v>8</v>
          </cell>
          <cell r="K398">
            <v>8</v>
          </cell>
          <cell r="L398" t="str">
            <v>CN</v>
          </cell>
          <cell r="M398" t="str">
            <v>Đ</v>
          </cell>
          <cell r="N398" t="str">
            <v>Đ</v>
          </cell>
          <cell r="O398" t="str">
            <v>Đ</v>
          </cell>
          <cell r="P398" t="str">
            <v>Đ</v>
          </cell>
          <cell r="Q398" t="str">
            <v>Đ</v>
          </cell>
          <cell r="R398" t="str">
            <v>Đ</v>
          </cell>
          <cell r="S398" t="str">
            <v>CN</v>
          </cell>
          <cell r="T398">
            <v>8</v>
          </cell>
          <cell r="U398">
            <v>8</v>
          </cell>
          <cell r="V398">
            <v>8</v>
          </cell>
          <cell r="W398">
            <v>8</v>
          </cell>
          <cell r="X398" t="str">
            <v>SL</v>
          </cell>
          <cell r="Y398" t="str">
            <v>AL8</v>
          </cell>
          <cell r="Z398" t="str">
            <v>CN</v>
          </cell>
          <cell r="AA398" t="str">
            <v>Đ</v>
          </cell>
          <cell r="AB398" t="str">
            <v>Đ</v>
          </cell>
          <cell r="AC398" t="str">
            <v>Đ</v>
          </cell>
          <cell r="AD398" t="str">
            <v>Đ</v>
          </cell>
          <cell r="AE398" t="str">
            <v>Đ</v>
          </cell>
          <cell r="AF398" t="str">
            <v>Đ</v>
          </cell>
          <cell r="AG398" t="str">
            <v>CN</v>
          </cell>
          <cell r="AH398">
            <v>8</v>
          </cell>
          <cell r="AI398">
            <v>8</v>
          </cell>
          <cell r="AJ398">
            <v>8</v>
          </cell>
          <cell r="AN398">
            <v>96</v>
          </cell>
          <cell r="AO398">
            <v>80</v>
          </cell>
          <cell r="AP398">
            <v>0</v>
          </cell>
          <cell r="AQ398">
            <v>1</v>
          </cell>
          <cell r="AR398">
            <v>0</v>
          </cell>
          <cell r="AS398">
            <v>0</v>
          </cell>
          <cell r="AT398">
            <v>0</v>
          </cell>
          <cell r="AU398">
            <v>0</v>
          </cell>
          <cell r="AV398">
            <v>0</v>
          </cell>
          <cell r="AW398">
            <v>0</v>
          </cell>
          <cell r="AX398">
            <v>0</v>
          </cell>
          <cell r="AY398">
            <v>0</v>
          </cell>
          <cell r="AZ398">
            <v>0</v>
          </cell>
          <cell r="BA398">
            <v>8</v>
          </cell>
          <cell r="BB398">
            <v>0</v>
          </cell>
          <cell r="BC398">
            <v>0</v>
          </cell>
          <cell r="BD398">
            <v>0</v>
          </cell>
          <cell r="BE398">
            <v>0</v>
          </cell>
          <cell r="BF398">
            <v>0</v>
          </cell>
          <cell r="BG398">
            <v>184</v>
          </cell>
          <cell r="BH398">
            <v>1</v>
          </cell>
          <cell r="BI398">
            <v>1</v>
          </cell>
          <cell r="BJ398">
            <v>-1.5</v>
          </cell>
          <cell r="BL398">
            <v>1.5</v>
          </cell>
          <cell r="BM398">
            <v>1.5</v>
          </cell>
          <cell r="BN398">
            <v>0</v>
          </cell>
          <cell r="BO398">
            <v>0</v>
          </cell>
          <cell r="BP398">
            <v>1.5</v>
          </cell>
          <cell r="BQ398">
            <v>0</v>
          </cell>
          <cell r="BR398">
            <v>0</v>
          </cell>
          <cell r="BS398">
            <v>0</v>
          </cell>
          <cell r="BT398">
            <v>0</v>
          </cell>
          <cell r="BU398">
            <v>0</v>
          </cell>
          <cell r="BV398">
            <v>0</v>
          </cell>
          <cell r="BW398">
            <v>3</v>
          </cell>
          <cell r="BX398">
            <v>3</v>
          </cell>
          <cell r="BY398">
            <v>3</v>
          </cell>
          <cell r="BZ398">
            <v>3</v>
          </cell>
          <cell r="CA398">
            <v>0</v>
          </cell>
          <cell r="CB398">
            <v>0</v>
          </cell>
          <cell r="CC398">
            <v>0</v>
          </cell>
          <cell r="CD398">
            <v>4</v>
          </cell>
          <cell r="CE398">
            <v>4</v>
          </cell>
          <cell r="CF398">
            <v>4</v>
          </cell>
          <cell r="CG398">
            <v>4</v>
          </cell>
          <cell r="CH398">
            <v>4</v>
          </cell>
          <cell r="CI398">
            <v>0</v>
          </cell>
          <cell r="CJ398">
            <v>0</v>
          </cell>
          <cell r="CK398">
            <v>3</v>
          </cell>
          <cell r="CL398">
            <v>0</v>
          </cell>
          <cell r="CM398">
            <v>3</v>
          </cell>
          <cell r="CR398">
            <v>0</v>
          </cell>
          <cell r="CS398">
            <v>0</v>
          </cell>
          <cell r="CT398">
            <v>42.5</v>
          </cell>
          <cell r="CU398">
            <v>0</v>
          </cell>
          <cell r="CV398">
            <v>0</v>
          </cell>
          <cell r="CZ398">
            <v>42.5</v>
          </cell>
        </row>
        <row r="399">
          <cell r="C399" t="str">
            <v>03044</v>
          </cell>
          <cell r="D399" t="str">
            <v>Võ Phú Cường</v>
          </cell>
          <cell r="E399" t="str">
            <v>Production office</v>
          </cell>
          <cell r="F399" t="str">
            <v>Production office</v>
          </cell>
          <cell r="G399" t="str">
            <v>Production Engineer</v>
          </cell>
          <cell r="H399">
            <v>44455</v>
          </cell>
          <cell r="I399" t="str">
            <v>AL8</v>
          </cell>
          <cell r="J399">
            <v>8</v>
          </cell>
          <cell r="K399" t="str">
            <v>PO</v>
          </cell>
          <cell r="L399" t="str">
            <v>CN</v>
          </cell>
          <cell r="M399">
            <v>8</v>
          </cell>
          <cell r="N399">
            <v>8</v>
          </cell>
          <cell r="O399">
            <v>8</v>
          </cell>
          <cell r="P399">
            <v>8</v>
          </cell>
          <cell r="Q399" t="str">
            <v>PO</v>
          </cell>
          <cell r="R399" t="str">
            <v>PO</v>
          </cell>
          <cell r="S399" t="str">
            <v>CN</v>
          </cell>
          <cell r="T399">
            <v>8</v>
          </cell>
          <cell r="U399">
            <v>8</v>
          </cell>
          <cell r="V399">
            <v>8</v>
          </cell>
          <cell r="W399">
            <v>8</v>
          </cell>
          <cell r="X399">
            <v>8</v>
          </cell>
          <cell r="Y399" t="str">
            <v>PO</v>
          </cell>
          <cell r="Z399" t="str">
            <v>CN</v>
          </cell>
          <cell r="AA399">
            <v>8</v>
          </cell>
          <cell r="AB399">
            <v>8</v>
          </cell>
          <cell r="AC399">
            <v>8</v>
          </cell>
          <cell r="AD399" t="str">
            <v>AL4</v>
          </cell>
          <cell r="AE399">
            <v>8</v>
          </cell>
          <cell r="AF399" t="str">
            <v>PO</v>
          </cell>
          <cell r="AG399" t="str">
            <v>CN</v>
          </cell>
          <cell r="AH399">
            <v>8</v>
          </cell>
          <cell r="AI399">
            <v>8</v>
          </cell>
          <cell r="AJ399">
            <v>8</v>
          </cell>
          <cell r="AN399">
            <v>0</v>
          </cell>
          <cell r="AO399">
            <v>140</v>
          </cell>
          <cell r="AP399">
            <v>4</v>
          </cell>
          <cell r="AQ399">
            <v>0</v>
          </cell>
          <cell r="AR399">
            <v>0</v>
          </cell>
          <cell r="AS399">
            <v>0</v>
          </cell>
          <cell r="AT399">
            <v>0</v>
          </cell>
          <cell r="AU399">
            <v>0</v>
          </cell>
          <cell r="AV399">
            <v>40</v>
          </cell>
          <cell r="AW399">
            <v>0</v>
          </cell>
          <cell r="AX399">
            <v>0</v>
          </cell>
          <cell r="AY399">
            <v>0</v>
          </cell>
          <cell r="AZ399">
            <v>0</v>
          </cell>
          <cell r="BA399">
            <v>12</v>
          </cell>
          <cell r="BB399">
            <v>0</v>
          </cell>
          <cell r="BC399">
            <v>0</v>
          </cell>
          <cell r="BD399">
            <v>0</v>
          </cell>
          <cell r="BE399">
            <v>0</v>
          </cell>
          <cell r="BF399">
            <v>0</v>
          </cell>
          <cell r="BG399">
            <v>192</v>
          </cell>
          <cell r="BH399">
            <v>1.5</v>
          </cell>
          <cell r="BI399">
            <v>1.5</v>
          </cell>
          <cell r="BJ399">
            <v>0</v>
          </cell>
          <cell r="BL399">
            <v>0</v>
          </cell>
          <cell r="BM399">
            <v>0</v>
          </cell>
          <cell r="BN399">
            <v>0</v>
          </cell>
          <cell r="BO399">
            <v>0</v>
          </cell>
          <cell r="BP399">
            <v>0</v>
          </cell>
          <cell r="BQ399">
            <v>0</v>
          </cell>
          <cell r="BR399">
            <v>0</v>
          </cell>
          <cell r="BS399">
            <v>0</v>
          </cell>
          <cell r="BT399">
            <v>0</v>
          </cell>
          <cell r="BU399">
            <v>0</v>
          </cell>
          <cell r="BV399">
            <v>0</v>
          </cell>
          <cell r="BW399">
            <v>0</v>
          </cell>
          <cell r="BX399">
            <v>0</v>
          </cell>
          <cell r="BY399">
            <v>0</v>
          </cell>
          <cell r="BZ399">
            <v>0</v>
          </cell>
          <cell r="CA399">
            <v>0</v>
          </cell>
          <cell r="CB399">
            <v>0</v>
          </cell>
          <cell r="CC399">
            <v>0</v>
          </cell>
          <cell r="CD399">
            <v>0</v>
          </cell>
          <cell r="CE399">
            <v>0</v>
          </cell>
          <cell r="CF399">
            <v>0</v>
          </cell>
          <cell r="CG399">
            <v>0</v>
          </cell>
          <cell r="CH399">
            <v>0</v>
          </cell>
          <cell r="CI399">
            <v>0</v>
          </cell>
          <cell r="CJ399">
            <v>0</v>
          </cell>
          <cell r="CK399">
            <v>0</v>
          </cell>
          <cell r="CL399">
            <v>0</v>
          </cell>
          <cell r="CM399">
            <v>0</v>
          </cell>
          <cell r="CR399">
            <v>0</v>
          </cell>
          <cell r="CS399">
            <v>0</v>
          </cell>
          <cell r="CT399">
            <v>0</v>
          </cell>
          <cell r="CU399">
            <v>0</v>
          </cell>
          <cell r="CV399">
            <v>0</v>
          </cell>
          <cell r="CZ399">
            <v>0</v>
          </cell>
        </row>
        <row r="400">
          <cell r="C400" t="str">
            <v>03053</v>
          </cell>
          <cell r="D400" t="str">
            <v>Nguyễn Việt Hưng</v>
          </cell>
          <cell r="E400" t="str">
            <v>Foaming</v>
          </cell>
          <cell r="F400" t="str">
            <v>FOAMING Rectangular</v>
          </cell>
          <cell r="G400" t="str">
            <v>Worker</v>
          </cell>
          <cell r="H400">
            <v>44504</v>
          </cell>
          <cell r="I400" t="str">
            <v>Đ</v>
          </cell>
          <cell r="J400" t="str">
            <v>Đ</v>
          </cell>
          <cell r="K400" t="str">
            <v>Đ</v>
          </cell>
          <cell r="L400" t="str">
            <v>CN</v>
          </cell>
          <cell r="M400" t="str">
            <v>Đ</v>
          </cell>
          <cell r="N400" t="str">
            <v>Đ</v>
          </cell>
          <cell r="O400" t="str">
            <v>Đ</v>
          </cell>
          <cell r="P400" t="str">
            <v>Đ</v>
          </cell>
          <cell r="Q400" t="str">
            <v>Đ</v>
          </cell>
          <cell r="R400" t="str">
            <v>Đ</v>
          </cell>
          <cell r="S400" t="str">
            <v>CN</v>
          </cell>
          <cell r="T400" t="str">
            <v>Đ</v>
          </cell>
          <cell r="U400" t="str">
            <v>Đ</v>
          </cell>
          <cell r="V400" t="str">
            <v>Đ</v>
          </cell>
          <cell r="W400" t="str">
            <v>Đ</v>
          </cell>
          <cell r="X400" t="str">
            <v>Đ</v>
          </cell>
          <cell r="Y400" t="str">
            <v>Đ</v>
          </cell>
          <cell r="Z400" t="str">
            <v>CN</v>
          </cell>
          <cell r="AA400">
            <v>8</v>
          </cell>
          <cell r="AB400">
            <v>8</v>
          </cell>
          <cell r="AC400">
            <v>8</v>
          </cell>
          <cell r="AD400">
            <v>8</v>
          </cell>
          <cell r="AE400">
            <v>8</v>
          </cell>
          <cell r="AF400">
            <v>8</v>
          </cell>
          <cell r="AG400" t="str">
            <v>CN</v>
          </cell>
          <cell r="AH400">
            <v>8</v>
          </cell>
          <cell r="AI400">
            <v>8</v>
          </cell>
          <cell r="AJ400">
            <v>8</v>
          </cell>
          <cell r="AN400">
            <v>120</v>
          </cell>
          <cell r="AO400">
            <v>72</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192</v>
          </cell>
          <cell r="BH400">
            <v>0</v>
          </cell>
          <cell r="BI400">
            <v>0</v>
          </cell>
          <cell r="BJ400">
            <v>7</v>
          </cell>
          <cell r="BL400">
            <v>4</v>
          </cell>
          <cell r="BM400">
            <v>4</v>
          </cell>
          <cell r="BN400">
            <v>4</v>
          </cell>
          <cell r="BO400" t="str">
            <v>12Đ</v>
          </cell>
          <cell r="BP400">
            <v>4</v>
          </cell>
          <cell r="BQ400">
            <v>4</v>
          </cell>
          <cell r="BR400">
            <v>4</v>
          </cell>
          <cell r="BS400">
            <v>4</v>
          </cell>
          <cell r="BT400">
            <v>4</v>
          </cell>
          <cell r="BU400">
            <v>4</v>
          </cell>
          <cell r="BV400" t="str">
            <v>12Đ</v>
          </cell>
          <cell r="BW400">
            <v>4</v>
          </cell>
          <cell r="BX400">
            <v>4</v>
          </cell>
          <cell r="BY400">
            <v>4</v>
          </cell>
          <cell r="BZ400">
            <v>4</v>
          </cell>
          <cell r="CA400">
            <v>4</v>
          </cell>
          <cell r="CB400">
            <v>4</v>
          </cell>
          <cell r="CC400">
            <v>0</v>
          </cell>
          <cell r="CD400">
            <v>4</v>
          </cell>
          <cell r="CE400">
            <v>4</v>
          </cell>
          <cell r="CF400">
            <v>4</v>
          </cell>
          <cell r="CG400">
            <v>4</v>
          </cell>
          <cell r="CH400">
            <v>4</v>
          </cell>
          <cell r="CI400">
            <v>4</v>
          </cell>
          <cell r="CJ400">
            <v>12</v>
          </cell>
          <cell r="CK400">
            <v>4</v>
          </cell>
          <cell r="CL400">
            <v>4</v>
          </cell>
          <cell r="CM400">
            <v>4</v>
          </cell>
          <cell r="CR400">
            <v>0</v>
          </cell>
          <cell r="CS400">
            <v>0</v>
          </cell>
          <cell r="CT400">
            <v>96</v>
          </cell>
          <cell r="CU400">
            <v>20</v>
          </cell>
          <cell r="CV400">
            <v>16</v>
          </cell>
          <cell r="CZ400">
            <v>132</v>
          </cell>
        </row>
        <row r="401">
          <cell r="C401" t="str">
            <v>03054</v>
          </cell>
          <cell r="D401" t="str">
            <v>Kim Thị Diên</v>
          </cell>
          <cell r="E401" t="str">
            <v>Technical Development</v>
          </cell>
          <cell r="F401" t="str">
            <v>PD Sample</v>
          </cell>
          <cell r="G401" t="str">
            <v>Worker</v>
          </cell>
          <cell r="H401">
            <v>44504</v>
          </cell>
          <cell r="I401">
            <v>8</v>
          </cell>
          <cell r="J401">
            <v>8</v>
          </cell>
          <cell r="K401">
            <v>8</v>
          </cell>
          <cell r="L401" t="str">
            <v>CN</v>
          </cell>
          <cell r="M401">
            <v>8</v>
          </cell>
          <cell r="N401">
            <v>8</v>
          </cell>
          <cell r="O401">
            <v>8</v>
          </cell>
          <cell r="P401">
            <v>8</v>
          </cell>
          <cell r="Q401" t="str">
            <v>AL4</v>
          </cell>
          <cell r="R401">
            <v>8</v>
          </cell>
          <cell r="S401" t="str">
            <v>CN</v>
          </cell>
          <cell r="T401">
            <v>8</v>
          </cell>
          <cell r="U401">
            <v>8</v>
          </cell>
          <cell r="V401">
            <v>8</v>
          </cell>
          <cell r="W401">
            <v>8</v>
          </cell>
          <cell r="X401">
            <v>8</v>
          </cell>
          <cell r="Y401">
            <v>8</v>
          </cell>
          <cell r="Z401" t="str">
            <v>CN</v>
          </cell>
          <cell r="AA401">
            <v>8</v>
          </cell>
          <cell r="AB401">
            <v>8</v>
          </cell>
          <cell r="AC401">
            <v>8</v>
          </cell>
          <cell r="AD401">
            <v>8</v>
          </cell>
          <cell r="AE401">
            <v>8</v>
          </cell>
          <cell r="AF401">
            <v>8</v>
          </cell>
          <cell r="AG401" t="str">
            <v>CN</v>
          </cell>
          <cell r="AH401">
            <v>8</v>
          </cell>
          <cell r="AI401">
            <v>8</v>
          </cell>
          <cell r="AJ401">
            <v>8</v>
          </cell>
          <cell r="AN401">
            <v>0</v>
          </cell>
          <cell r="AO401">
            <v>188</v>
          </cell>
          <cell r="AP401">
            <v>4</v>
          </cell>
          <cell r="AQ401">
            <v>0</v>
          </cell>
          <cell r="AR401">
            <v>0</v>
          </cell>
          <cell r="AS401">
            <v>0</v>
          </cell>
          <cell r="AT401">
            <v>0</v>
          </cell>
          <cell r="AU401">
            <v>0</v>
          </cell>
          <cell r="AV401">
            <v>0</v>
          </cell>
          <cell r="AW401">
            <v>0</v>
          </cell>
          <cell r="AX401">
            <v>0</v>
          </cell>
          <cell r="AY401">
            <v>0</v>
          </cell>
          <cell r="AZ401">
            <v>0</v>
          </cell>
          <cell r="BA401">
            <v>4</v>
          </cell>
          <cell r="BB401">
            <v>0</v>
          </cell>
          <cell r="BC401">
            <v>0</v>
          </cell>
          <cell r="BD401">
            <v>0</v>
          </cell>
          <cell r="BE401">
            <v>0</v>
          </cell>
          <cell r="BF401">
            <v>0</v>
          </cell>
          <cell r="BG401">
            <v>192</v>
          </cell>
          <cell r="BH401">
            <v>0.5</v>
          </cell>
          <cell r="BI401">
            <v>0.5</v>
          </cell>
          <cell r="BJ401">
            <v>1</v>
          </cell>
          <cell r="BL401">
            <v>3</v>
          </cell>
          <cell r="BM401">
            <v>3</v>
          </cell>
          <cell r="BN401">
            <v>0</v>
          </cell>
          <cell r="BO401">
            <v>0</v>
          </cell>
          <cell r="BP401">
            <v>3</v>
          </cell>
          <cell r="BQ401">
            <v>1</v>
          </cell>
          <cell r="BR401">
            <v>3</v>
          </cell>
          <cell r="BS401">
            <v>3</v>
          </cell>
          <cell r="BT401">
            <v>0</v>
          </cell>
          <cell r="BU401">
            <v>0</v>
          </cell>
          <cell r="BV401">
            <v>0</v>
          </cell>
          <cell r="BW401">
            <v>3</v>
          </cell>
          <cell r="BX401">
            <v>3</v>
          </cell>
          <cell r="BY401">
            <v>3</v>
          </cell>
          <cell r="BZ401">
            <v>3</v>
          </cell>
          <cell r="CA401">
            <v>0</v>
          </cell>
          <cell r="CB401">
            <v>0</v>
          </cell>
          <cell r="CC401">
            <v>0</v>
          </cell>
          <cell r="CD401">
            <v>3</v>
          </cell>
          <cell r="CE401">
            <v>1</v>
          </cell>
          <cell r="CF401">
            <v>0</v>
          </cell>
          <cell r="CG401">
            <v>3</v>
          </cell>
          <cell r="CH401">
            <v>3</v>
          </cell>
          <cell r="CI401">
            <v>0</v>
          </cell>
          <cell r="CJ401">
            <v>0</v>
          </cell>
          <cell r="CK401">
            <v>0</v>
          </cell>
          <cell r="CL401">
            <v>0</v>
          </cell>
          <cell r="CM401">
            <v>0</v>
          </cell>
          <cell r="CR401">
            <v>0</v>
          </cell>
          <cell r="CS401">
            <v>0</v>
          </cell>
          <cell r="CT401">
            <v>38</v>
          </cell>
          <cell r="CU401">
            <v>0</v>
          </cell>
          <cell r="CV401">
            <v>0</v>
          </cell>
          <cell r="CZ401">
            <v>38</v>
          </cell>
        </row>
        <row r="402">
          <cell r="C402" t="str">
            <v>03055</v>
          </cell>
          <cell r="D402" t="str">
            <v>Cao Hoàng Giang</v>
          </cell>
          <cell r="E402" t="str">
            <v>Technical Development</v>
          </cell>
          <cell r="F402" t="str">
            <v>PD Sample</v>
          </cell>
          <cell r="G402" t="str">
            <v>Worker</v>
          </cell>
          <cell r="H402">
            <v>44504</v>
          </cell>
          <cell r="I402" t="str">
            <v>AL8</v>
          </cell>
          <cell r="J402">
            <v>8</v>
          </cell>
          <cell r="K402">
            <v>8</v>
          </cell>
          <cell r="L402" t="str">
            <v>CN</v>
          </cell>
          <cell r="M402">
            <v>8</v>
          </cell>
          <cell r="N402" t="str">
            <v>AL4</v>
          </cell>
          <cell r="O402">
            <v>8</v>
          </cell>
          <cell r="P402">
            <v>8</v>
          </cell>
          <cell r="Q402">
            <v>8</v>
          </cell>
          <cell r="R402">
            <v>8</v>
          </cell>
          <cell r="S402" t="str">
            <v>CN</v>
          </cell>
          <cell r="T402">
            <v>8</v>
          </cell>
          <cell r="U402">
            <v>8</v>
          </cell>
          <cell r="V402">
            <v>8</v>
          </cell>
          <cell r="W402">
            <v>8</v>
          </cell>
          <cell r="X402">
            <v>8</v>
          </cell>
          <cell r="Y402" t="str">
            <v>UP8</v>
          </cell>
          <cell r="Z402" t="str">
            <v>CN</v>
          </cell>
          <cell r="AA402">
            <v>8</v>
          </cell>
          <cell r="AB402">
            <v>8</v>
          </cell>
          <cell r="AC402">
            <v>8</v>
          </cell>
          <cell r="AD402">
            <v>8</v>
          </cell>
          <cell r="AE402">
            <v>8</v>
          </cell>
          <cell r="AF402">
            <v>8</v>
          </cell>
          <cell r="AG402" t="str">
            <v>CN</v>
          </cell>
          <cell r="AH402">
            <v>8</v>
          </cell>
          <cell r="AI402">
            <v>8</v>
          </cell>
          <cell r="AJ402">
            <v>8</v>
          </cell>
          <cell r="AN402">
            <v>0</v>
          </cell>
          <cell r="AO402">
            <v>172</v>
          </cell>
          <cell r="AP402">
            <v>4</v>
          </cell>
          <cell r="AQ402">
            <v>0</v>
          </cell>
          <cell r="AR402">
            <v>0</v>
          </cell>
          <cell r="AS402">
            <v>8</v>
          </cell>
          <cell r="AT402">
            <v>0</v>
          </cell>
          <cell r="AU402">
            <v>0</v>
          </cell>
          <cell r="AV402">
            <v>0</v>
          </cell>
          <cell r="AW402">
            <v>0</v>
          </cell>
          <cell r="AX402">
            <v>0</v>
          </cell>
          <cell r="AY402">
            <v>0</v>
          </cell>
          <cell r="AZ402">
            <v>0</v>
          </cell>
          <cell r="BA402">
            <v>12</v>
          </cell>
          <cell r="BB402">
            <v>0</v>
          </cell>
          <cell r="BC402">
            <v>0</v>
          </cell>
          <cell r="BD402">
            <v>0</v>
          </cell>
          <cell r="BE402">
            <v>0</v>
          </cell>
          <cell r="BF402">
            <v>0</v>
          </cell>
          <cell r="BG402">
            <v>184</v>
          </cell>
          <cell r="BH402">
            <v>1.5</v>
          </cell>
          <cell r="BI402">
            <v>1.5</v>
          </cell>
          <cell r="BJ402">
            <v>0.5</v>
          </cell>
          <cell r="BL402">
            <v>0</v>
          </cell>
          <cell r="BM402">
            <v>3</v>
          </cell>
          <cell r="BN402">
            <v>0</v>
          </cell>
          <cell r="BO402">
            <v>0</v>
          </cell>
          <cell r="BP402">
            <v>0</v>
          </cell>
          <cell r="BQ402">
            <v>0</v>
          </cell>
          <cell r="BR402">
            <v>3</v>
          </cell>
          <cell r="BS402">
            <v>2</v>
          </cell>
          <cell r="BT402">
            <v>0</v>
          </cell>
          <cell r="BU402">
            <v>0</v>
          </cell>
          <cell r="BV402">
            <v>0</v>
          </cell>
          <cell r="BW402">
            <v>3</v>
          </cell>
          <cell r="BX402">
            <v>0</v>
          </cell>
          <cell r="BY402">
            <v>3</v>
          </cell>
          <cell r="BZ402">
            <v>3</v>
          </cell>
          <cell r="CA402">
            <v>0</v>
          </cell>
          <cell r="CB402">
            <v>0</v>
          </cell>
          <cell r="CC402">
            <v>0</v>
          </cell>
          <cell r="CD402">
            <v>3</v>
          </cell>
          <cell r="CE402">
            <v>3</v>
          </cell>
          <cell r="CF402">
            <v>0</v>
          </cell>
          <cell r="CG402">
            <v>3</v>
          </cell>
          <cell r="CH402">
            <v>0</v>
          </cell>
          <cell r="CI402">
            <v>0</v>
          </cell>
          <cell r="CJ402">
            <v>0</v>
          </cell>
          <cell r="CK402">
            <v>0</v>
          </cell>
          <cell r="CL402">
            <v>0</v>
          </cell>
          <cell r="CM402">
            <v>0</v>
          </cell>
          <cell r="CR402">
            <v>0</v>
          </cell>
          <cell r="CS402">
            <v>0</v>
          </cell>
          <cell r="CT402">
            <v>26</v>
          </cell>
          <cell r="CU402">
            <v>0</v>
          </cell>
          <cell r="CV402">
            <v>0</v>
          </cell>
          <cell r="CZ402">
            <v>26</v>
          </cell>
        </row>
        <row r="403">
          <cell r="C403" t="str">
            <v>03061</v>
          </cell>
          <cell r="D403" t="str">
            <v>Dương Văn Trọng</v>
          </cell>
          <cell r="E403" t="str">
            <v>Production</v>
          </cell>
          <cell r="F403" t="str">
            <v>Lamination</v>
          </cell>
          <cell r="G403" t="str">
            <v>Worker</v>
          </cell>
          <cell r="H403">
            <v>44508</v>
          </cell>
          <cell r="I403" t="str">
            <v>Đ</v>
          </cell>
          <cell r="J403" t="str">
            <v>Đ</v>
          </cell>
          <cell r="K403" t="str">
            <v>CN</v>
          </cell>
          <cell r="L403">
            <v>8</v>
          </cell>
          <cell r="M403">
            <v>8</v>
          </cell>
          <cell r="N403">
            <v>8</v>
          </cell>
          <cell r="O403">
            <v>8</v>
          </cell>
          <cell r="P403">
            <v>8</v>
          </cell>
          <cell r="Q403">
            <v>8</v>
          </cell>
          <cell r="R403" t="str">
            <v>CN</v>
          </cell>
          <cell r="S403" t="str">
            <v>Đ</v>
          </cell>
          <cell r="T403" t="str">
            <v>Đ</v>
          </cell>
          <cell r="U403" t="str">
            <v>Đ</v>
          </cell>
          <cell r="V403" t="str">
            <v>Đ</v>
          </cell>
          <cell r="W403" t="str">
            <v>Đ</v>
          </cell>
          <cell r="X403" t="str">
            <v>Đ</v>
          </cell>
          <cell r="Y403" t="str">
            <v>CN</v>
          </cell>
          <cell r="Z403">
            <v>8</v>
          </cell>
          <cell r="AA403">
            <v>8</v>
          </cell>
          <cell r="AB403">
            <v>8</v>
          </cell>
          <cell r="AC403">
            <v>8</v>
          </cell>
          <cell r="AD403">
            <v>8</v>
          </cell>
          <cell r="AE403">
            <v>8</v>
          </cell>
          <cell r="AF403" t="str">
            <v>CN</v>
          </cell>
          <cell r="AG403">
            <v>8</v>
          </cell>
          <cell r="AH403" t="str">
            <v>AL8</v>
          </cell>
          <cell r="AI403">
            <v>8</v>
          </cell>
          <cell r="AJ403">
            <v>8</v>
          </cell>
          <cell r="AN403">
            <v>64</v>
          </cell>
          <cell r="AO403">
            <v>120</v>
          </cell>
          <cell r="AP403">
            <v>0</v>
          </cell>
          <cell r="AQ403">
            <v>0</v>
          </cell>
          <cell r="AR403">
            <v>0</v>
          </cell>
          <cell r="AS403">
            <v>0</v>
          </cell>
          <cell r="AT403">
            <v>0</v>
          </cell>
          <cell r="AU403">
            <v>0</v>
          </cell>
          <cell r="AV403">
            <v>0</v>
          </cell>
          <cell r="AW403">
            <v>0</v>
          </cell>
          <cell r="AX403">
            <v>0</v>
          </cell>
          <cell r="AY403">
            <v>0</v>
          </cell>
          <cell r="AZ403">
            <v>0</v>
          </cell>
          <cell r="BA403">
            <v>8</v>
          </cell>
          <cell r="BB403">
            <v>0</v>
          </cell>
          <cell r="BC403">
            <v>0</v>
          </cell>
          <cell r="BD403">
            <v>0</v>
          </cell>
          <cell r="BE403">
            <v>0</v>
          </cell>
          <cell r="BF403">
            <v>0</v>
          </cell>
          <cell r="BG403">
            <v>192</v>
          </cell>
          <cell r="BH403">
            <v>1</v>
          </cell>
          <cell r="BI403">
            <v>1</v>
          </cell>
          <cell r="BJ403">
            <v>5</v>
          </cell>
          <cell r="BL403">
            <v>0</v>
          </cell>
          <cell r="BM403">
            <v>0</v>
          </cell>
          <cell r="BN403">
            <v>0</v>
          </cell>
          <cell r="BO403">
            <v>4</v>
          </cell>
          <cell r="BP403">
            <v>0</v>
          </cell>
          <cell r="BQ403">
            <v>0</v>
          </cell>
          <cell r="BR403">
            <v>0</v>
          </cell>
          <cell r="BS403">
            <v>0</v>
          </cell>
          <cell r="BT403">
            <v>4</v>
          </cell>
          <cell r="BU403">
            <v>0</v>
          </cell>
          <cell r="BV403">
            <v>4</v>
          </cell>
          <cell r="BW403">
            <v>0</v>
          </cell>
          <cell r="BX403">
            <v>0</v>
          </cell>
          <cell r="BY403">
            <v>0</v>
          </cell>
          <cell r="BZ403">
            <v>0</v>
          </cell>
          <cell r="CA403">
            <v>4</v>
          </cell>
          <cell r="CB403">
            <v>0</v>
          </cell>
          <cell r="CC403">
            <v>4</v>
          </cell>
          <cell r="CD403">
            <v>0</v>
          </cell>
          <cell r="CE403">
            <v>0</v>
          </cell>
          <cell r="CF403">
            <v>0</v>
          </cell>
          <cell r="CG403">
            <v>4</v>
          </cell>
          <cell r="CH403">
            <v>4</v>
          </cell>
          <cell r="CI403">
            <v>0</v>
          </cell>
          <cell r="CJ403">
            <v>4</v>
          </cell>
          <cell r="CK403">
            <v>0</v>
          </cell>
          <cell r="CL403">
            <v>0</v>
          </cell>
          <cell r="CM403">
            <v>0</v>
          </cell>
          <cell r="CR403">
            <v>0</v>
          </cell>
          <cell r="CS403">
            <v>0</v>
          </cell>
          <cell r="CT403">
            <v>32</v>
          </cell>
          <cell r="CU403">
            <v>0</v>
          </cell>
          <cell r="CV403">
            <v>0</v>
          </cell>
          <cell r="CZ403">
            <v>32</v>
          </cell>
        </row>
        <row r="404">
          <cell r="C404" t="str">
            <v>03062</v>
          </cell>
          <cell r="D404" t="str">
            <v>Phạm Văn Trọng</v>
          </cell>
          <cell r="E404" t="str">
            <v>Warehouse</v>
          </cell>
          <cell r="F404" t="str">
            <v>FGS Warehouse</v>
          </cell>
          <cell r="G404" t="str">
            <v>Worker</v>
          </cell>
          <cell r="H404">
            <v>44508</v>
          </cell>
          <cell r="I404">
            <v>8</v>
          </cell>
          <cell r="J404">
            <v>8</v>
          </cell>
          <cell r="K404">
            <v>8</v>
          </cell>
          <cell r="L404" t="str">
            <v>CN</v>
          </cell>
          <cell r="M404">
            <v>8</v>
          </cell>
          <cell r="N404">
            <v>8</v>
          </cell>
          <cell r="O404">
            <v>8</v>
          </cell>
          <cell r="P404">
            <v>8</v>
          </cell>
          <cell r="Q404">
            <v>8</v>
          </cell>
          <cell r="R404" t="str">
            <v>AL4</v>
          </cell>
          <cell r="S404" t="str">
            <v>CN</v>
          </cell>
          <cell r="T404">
            <v>8</v>
          </cell>
          <cell r="U404">
            <v>8</v>
          </cell>
          <cell r="V404">
            <v>8</v>
          </cell>
          <cell r="W404">
            <v>8</v>
          </cell>
          <cell r="X404">
            <v>8</v>
          </cell>
          <cell r="Y404">
            <v>8</v>
          </cell>
          <cell r="Z404" t="str">
            <v>CN</v>
          </cell>
          <cell r="AA404">
            <v>8</v>
          </cell>
          <cell r="AB404">
            <v>8</v>
          </cell>
          <cell r="AC404">
            <v>8</v>
          </cell>
          <cell r="AD404">
            <v>8</v>
          </cell>
          <cell r="AE404">
            <v>8</v>
          </cell>
          <cell r="AF404">
            <v>8</v>
          </cell>
          <cell r="AG404" t="str">
            <v>CN</v>
          </cell>
          <cell r="AH404">
            <v>8</v>
          </cell>
          <cell r="AI404">
            <v>8</v>
          </cell>
          <cell r="AJ404">
            <v>8</v>
          </cell>
          <cell r="AN404">
            <v>0</v>
          </cell>
          <cell r="AO404">
            <v>188</v>
          </cell>
          <cell r="AP404">
            <v>4</v>
          </cell>
          <cell r="AQ404">
            <v>0</v>
          </cell>
          <cell r="AR404">
            <v>0</v>
          </cell>
          <cell r="AS404">
            <v>0</v>
          </cell>
          <cell r="AT404">
            <v>0</v>
          </cell>
          <cell r="AU404">
            <v>0</v>
          </cell>
          <cell r="AV404">
            <v>0</v>
          </cell>
          <cell r="AW404">
            <v>0</v>
          </cell>
          <cell r="AX404">
            <v>0</v>
          </cell>
          <cell r="AY404">
            <v>0</v>
          </cell>
          <cell r="AZ404">
            <v>0</v>
          </cell>
          <cell r="BA404">
            <v>4</v>
          </cell>
          <cell r="BB404">
            <v>0</v>
          </cell>
          <cell r="BC404">
            <v>0</v>
          </cell>
          <cell r="BD404">
            <v>0</v>
          </cell>
          <cell r="BE404">
            <v>0</v>
          </cell>
          <cell r="BF404">
            <v>0</v>
          </cell>
          <cell r="BG404">
            <v>192</v>
          </cell>
          <cell r="BH404">
            <v>0.5</v>
          </cell>
          <cell r="BI404">
            <v>0.5</v>
          </cell>
          <cell r="BJ404">
            <v>2</v>
          </cell>
          <cell r="BL404">
            <v>1</v>
          </cell>
          <cell r="BM404">
            <v>0</v>
          </cell>
          <cell r="BN404">
            <v>0</v>
          </cell>
          <cell r="BO404">
            <v>0</v>
          </cell>
          <cell r="BP404">
            <v>0</v>
          </cell>
          <cell r="BQ404">
            <v>0</v>
          </cell>
          <cell r="BR404">
            <v>3</v>
          </cell>
          <cell r="BS404">
            <v>0</v>
          </cell>
          <cell r="BT404">
            <v>0</v>
          </cell>
          <cell r="BU404">
            <v>0</v>
          </cell>
          <cell r="BV404">
            <v>0</v>
          </cell>
          <cell r="BW404">
            <v>0</v>
          </cell>
          <cell r="BX404">
            <v>3</v>
          </cell>
          <cell r="BY404">
            <v>0</v>
          </cell>
          <cell r="BZ404">
            <v>0</v>
          </cell>
          <cell r="CA404">
            <v>3</v>
          </cell>
          <cell r="CB404">
            <v>0</v>
          </cell>
          <cell r="CC404">
            <v>0</v>
          </cell>
          <cell r="CD404">
            <v>0</v>
          </cell>
          <cell r="CE404">
            <v>3</v>
          </cell>
          <cell r="CF404">
            <v>0</v>
          </cell>
          <cell r="CG404">
            <v>3</v>
          </cell>
          <cell r="CH404">
            <v>0</v>
          </cell>
          <cell r="CI404">
            <v>0</v>
          </cell>
          <cell r="CJ404">
            <v>0</v>
          </cell>
          <cell r="CK404">
            <v>0</v>
          </cell>
          <cell r="CL404">
            <v>0</v>
          </cell>
          <cell r="CM404">
            <v>0</v>
          </cell>
          <cell r="CR404">
            <v>0</v>
          </cell>
          <cell r="CS404">
            <v>0</v>
          </cell>
          <cell r="CT404">
            <v>16</v>
          </cell>
          <cell r="CU404">
            <v>0</v>
          </cell>
          <cell r="CV404">
            <v>0</v>
          </cell>
          <cell r="CZ404">
            <v>16</v>
          </cell>
        </row>
        <row r="405">
          <cell r="C405" t="str">
            <v>03063</v>
          </cell>
          <cell r="D405" t="str">
            <v>Phạm Tấn Lộc</v>
          </cell>
          <cell r="E405" t="str">
            <v>Warehouse</v>
          </cell>
          <cell r="F405" t="str">
            <v>FGS Warehouse</v>
          </cell>
          <cell r="G405" t="str">
            <v>Worker</v>
          </cell>
          <cell r="H405">
            <v>44508</v>
          </cell>
          <cell r="I405">
            <v>8</v>
          </cell>
          <cell r="J405">
            <v>8</v>
          </cell>
          <cell r="K405">
            <v>8</v>
          </cell>
          <cell r="L405" t="str">
            <v>CN</v>
          </cell>
          <cell r="M405">
            <v>8</v>
          </cell>
          <cell r="N405">
            <v>8</v>
          </cell>
          <cell r="O405">
            <v>8</v>
          </cell>
          <cell r="P405">
            <v>8</v>
          </cell>
          <cell r="Q405">
            <v>8</v>
          </cell>
          <cell r="R405">
            <v>8</v>
          </cell>
          <cell r="S405" t="str">
            <v>CN</v>
          </cell>
          <cell r="T405">
            <v>8</v>
          </cell>
          <cell r="U405">
            <v>8</v>
          </cell>
          <cell r="V405">
            <v>8</v>
          </cell>
          <cell r="W405">
            <v>8</v>
          </cell>
          <cell r="X405">
            <v>8</v>
          </cell>
          <cell r="Y405" t="str">
            <v>AL8</v>
          </cell>
          <cell r="Z405" t="str">
            <v>CN</v>
          </cell>
          <cell r="AA405">
            <v>8</v>
          </cell>
          <cell r="AB405">
            <v>8</v>
          </cell>
          <cell r="AC405">
            <v>8</v>
          </cell>
          <cell r="AD405" t="str">
            <v>AL8</v>
          </cell>
          <cell r="AE405">
            <v>8</v>
          </cell>
          <cell r="AF405">
            <v>8</v>
          </cell>
          <cell r="AG405" t="str">
            <v>CN</v>
          </cell>
          <cell r="AH405">
            <v>8</v>
          </cell>
          <cell r="AI405">
            <v>8</v>
          </cell>
          <cell r="AJ405">
            <v>8</v>
          </cell>
          <cell r="AN405">
            <v>0</v>
          </cell>
          <cell r="AO405">
            <v>176</v>
          </cell>
          <cell r="AP405">
            <v>0</v>
          </cell>
          <cell r="AQ405">
            <v>0</v>
          </cell>
          <cell r="AR405">
            <v>0</v>
          </cell>
          <cell r="AS405">
            <v>0</v>
          </cell>
          <cell r="AT405">
            <v>0</v>
          </cell>
          <cell r="AU405">
            <v>0</v>
          </cell>
          <cell r="AV405">
            <v>0</v>
          </cell>
          <cell r="AW405">
            <v>0</v>
          </cell>
          <cell r="AX405">
            <v>0</v>
          </cell>
          <cell r="AY405">
            <v>0</v>
          </cell>
          <cell r="AZ405">
            <v>0</v>
          </cell>
          <cell r="BA405">
            <v>16</v>
          </cell>
          <cell r="BB405">
            <v>0</v>
          </cell>
          <cell r="BC405">
            <v>0</v>
          </cell>
          <cell r="BD405">
            <v>0</v>
          </cell>
          <cell r="BE405">
            <v>0</v>
          </cell>
          <cell r="BF405">
            <v>0</v>
          </cell>
          <cell r="BG405">
            <v>192</v>
          </cell>
          <cell r="BH405">
            <v>2</v>
          </cell>
          <cell r="BI405">
            <v>2</v>
          </cell>
          <cell r="BJ405">
            <v>0</v>
          </cell>
          <cell r="BL405">
            <v>0</v>
          </cell>
          <cell r="BM405">
            <v>0</v>
          </cell>
          <cell r="BN405">
            <v>0</v>
          </cell>
          <cell r="BO405">
            <v>0</v>
          </cell>
          <cell r="BP405">
            <v>0</v>
          </cell>
          <cell r="BQ405">
            <v>0</v>
          </cell>
          <cell r="BR405">
            <v>0</v>
          </cell>
          <cell r="BS405">
            <v>0</v>
          </cell>
          <cell r="BT405">
            <v>0</v>
          </cell>
          <cell r="BU405">
            <v>0</v>
          </cell>
          <cell r="BV405">
            <v>0</v>
          </cell>
          <cell r="BW405">
            <v>0</v>
          </cell>
          <cell r="BX405">
            <v>0</v>
          </cell>
          <cell r="BY405">
            <v>0</v>
          </cell>
          <cell r="BZ405">
            <v>0</v>
          </cell>
          <cell r="CA405">
            <v>0</v>
          </cell>
          <cell r="CB405">
            <v>0</v>
          </cell>
          <cell r="CC405">
            <v>0</v>
          </cell>
          <cell r="CD405">
            <v>0</v>
          </cell>
          <cell r="CE405">
            <v>0</v>
          </cell>
          <cell r="CF405">
            <v>0</v>
          </cell>
          <cell r="CG405">
            <v>0</v>
          </cell>
          <cell r="CH405">
            <v>0</v>
          </cell>
          <cell r="CI405">
            <v>0</v>
          </cell>
          <cell r="CJ405">
            <v>0</v>
          </cell>
          <cell r="CK405">
            <v>0</v>
          </cell>
          <cell r="CL405">
            <v>0</v>
          </cell>
          <cell r="CM405">
            <v>0</v>
          </cell>
          <cell r="CR405">
            <v>0</v>
          </cell>
          <cell r="CS405">
            <v>0</v>
          </cell>
          <cell r="CT405">
            <v>0</v>
          </cell>
          <cell r="CU405">
            <v>0</v>
          </cell>
          <cell r="CV405">
            <v>0</v>
          </cell>
          <cell r="CZ405">
            <v>0</v>
          </cell>
        </row>
        <row r="406">
          <cell r="C406" t="str">
            <v>03065</v>
          </cell>
          <cell r="D406" t="str">
            <v>Nguyễn Ngọc Đức</v>
          </cell>
          <cell r="E406" t="str">
            <v>Foaming</v>
          </cell>
          <cell r="F406" t="str">
            <v>FOAMING Splitting</v>
          </cell>
          <cell r="G406" t="str">
            <v>Worker</v>
          </cell>
          <cell r="H406" t="str">
            <v>11/11/2021</v>
          </cell>
          <cell r="I406">
            <v>8</v>
          </cell>
          <cell r="J406">
            <v>8</v>
          </cell>
          <cell r="K406">
            <v>8</v>
          </cell>
          <cell r="L406" t="str">
            <v>CN</v>
          </cell>
          <cell r="M406" t="str">
            <v>Đ</v>
          </cell>
          <cell r="N406" t="str">
            <v>Đ</v>
          </cell>
          <cell r="O406" t="str">
            <v>Đ</v>
          </cell>
          <cell r="P406" t="str">
            <v>Đ</v>
          </cell>
          <cell r="Q406" t="str">
            <v>Đ</v>
          </cell>
          <cell r="R406" t="str">
            <v>Đ</v>
          </cell>
          <cell r="S406" t="str">
            <v>CN</v>
          </cell>
          <cell r="T406" t="str">
            <v>Đ</v>
          </cell>
          <cell r="U406" t="str">
            <v>Đ</v>
          </cell>
          <cell r="V406" t="str">
            <v>Đ</v>
          </cell>
          <cell r="W406" t="str">
            <v>Đ</v>
          </cell>
          <cell r="X406" t="str">
            <v>Đ</v>
          </cell>
          <cell r="Y406" t="str">
            <v>Đ</v>
          </cell>
          <cell r="Z406" t="str">
            <v>CN</v>
          </cell>
          <cell r="AA406">
            <v>8</v>
          </cell>
          <cell r="AB406">
            <v>8</v>
          </cell>
          <cell r="AC406">
            <v>8</v>
          </cell>
          <cell r="AD406">
            <v>8</v>
          </cell>
          <cell r="AE406">
            <v>8</v>
          </cell>
          <cell r="AF406">
            <v>8</v>
          </cell>
          <cell r="AG406" t="str">
            <v>CN</v>
          </cell>
          <cell r="AH406">
            <v>8</v>
          </cell>
          <cell r="AI406">
            <v>8</v>
          </cell>
          <cell r="AJ406">
            <v>8</v>
          </cell>
          <cell r="AN406">
            <v>96</v>
          </cell>
          <cell r="AO406">
            <v>96</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192</v>
          </cell>
          <cell r="BH406">
            <v>0</v>
          </cell>
          <cell r="BI406">
            <v>0</v>
          </cell>
          <cell r="BJ406">
            <v>1</v>
          </cell>
          <cell r="BL406">
            <v>4</v>
          </cell>
          <cell r="BM406">
            <v>4</v>
          </cell>
          <cell r="BN406">
            <v>4</v>
          </cell>
          <cell r="BO406">
            <v>12</v>
          </cell>
          <cell r="BP406">
            <v>2</v>
          </cell>
          <cell r="BQ406">
            <v>4</v>
          </cell>
          <cell r="BR406">
            <v>4</v>
          </cell>
          <cell r="BS406">
            <v>4</v>
          </cell>
          <cell r="BT406">
            <v>4</v>
          </cell>
          <cell r="BU406">
            <v>4</v>
          </cell>
          <cell r="BV406" t="str">
            <v>12Đ</v>
          </cell>
          <cell r="BW406">
            <v>4</v>
          </cell>
          <cell r="BX406">
            <v>4</v>
          </cell>
          <cell r="BY406">
            <v>4</v>
          </cell>
          <cell r="BZ406">
            <v>4</v>
          </cell>
          <cell r="CA406">
            <v>4</v>
          </cell>
          <cell r="CB406">
            <v>4</v>
          </cell>
          <cell r="CC406">
            <v>0</v>
          </cell>
          <cell r="CD406">
            <v>4</v>
          </cell>
          <cell r="CE406">
            <v>4</v>
          </cell>
          <cell r="CF406">
            <v>4</v>
          </cell>
          <cell r="CG406">
            <v>2</v>
          </cell>
          <cell r="CH406">
            <v>4</v>
          </cell>
          <cell r="CI406">
            <v>2</v>
          </cell>
          <cell r="CJ406">
            <v>12</v>
          </cell>
          <cell r="CK406">
            <v>4</v>
          </cell>
          <cell r="CL406">
            <v>3</v>
          </cell>
          <cell r="CM406">
            <v>4</v>
          </cell>
          <cell r="CR406">
            <v>0</v>
          </cell>
          <cell r="CS406">
            <v>0</v>
          </cell>
          <cell r="CT406">
            <v>89</v>
          </cell>
          <cell r="CU406">
            <v>28</v>
          </cell>
          <cell r="CV406">
            <v>8</v>
          </cell>
          <cell r="CZ406">
            <v>125</v>
          </cell>
        </row>
        <row r="407">
          <cell r="C407" t="str">
            <v>03071</v>
          </cell>
          <cell r="D407" t="str">
            <v>Hồ Phú Hữu</v>
          </cell>
          <cell r="E407" t="str">
            <v>Foaming</v>
          </cell>
          <cell r="F407" t="str">
            <v>FOAMING Rectangular</v>
          </cell>
          <cell r="G407" t="str">
            <v>Operator</v>
          </cell>
          <cell r="H407">
            <v>44516</v>
          </cell>
          <cell r="I407">
            <v>8</v>
          </cell>
          <cell r="J407">
            <v>8</v>
          </cell>
          <cell r="K407" t="str">
            <v>AL8</v>
          </cell>
          <cell r="L407" t="str">
            <v>CN</v>
          </cell>
          <cell r="M407">
            <v>8</v>
          </cell>
          <cell r="N407">
            <v>8</v>
          </cell>
          <cell r="O407">
            <v>8</v>
          </cell>
          <cell r="P407">
            <v>8</v>
          </cell>
          <cell r="Q407" t="str">
            <v>PL</v>
          </cell>
          <cell r="R407" t="str">
            <v>PL</v>
          </cell>
          <cell r="S407" t="str">
            <v>CN</v>
          </cell>
          <cell r="T407" t="str">
            <v>PL</v>
          </cell>
          <cell r="U407" t="str">
            <v>PL</v>
          </cell>
          <cell r="V407" t="str">
            <v>PL</v>
          </cell>
          <cell r="W407" t="str">
            <v>PL</v>
          </cell>
          <cell r="X407" t="str">
            <v>PL</v>
          </cell>
          <cell r="Y407" t="str">
            <v>AL8</v>
          </cell>
          <cell r="Z407" t="str">
            <v>CN</v>
          </cell>
          <cell r="AA407" t="str">
            <v>Đ</v>
          </cell>
          <cell r="AB407" t="str">
            <v>Đ</v>
          </cell>
          <cell r="AC407" t="str">
            <v>Đ</v>
          </cell>
          <cell r="AD407" t="str">
            <v>Đ</v>
          </cell>
          <cell r="AE407" t="str">
            <v>Đ</v>
          </cell>
          <cell r="AF407" t="str">
            <v>Đ</v>
          </cell>
          <cell r="AG407" t="str">
            <v>CN</v>
          </cell>
          <cell r="AH407" t="str">
            <v>Đ</v>
          </cell>
          <cell r="AI407" t="str">
            <v>Đ</v>
          </cell>
          <cell r="AJ407" t="str">
            <v>Đ</v>
          </cell>
          <cell r="AN407">
            <v>72</v>
          </cell>
          <cell r="AO407">
            <v>48</v>
          </cell>
          <cell r="AP407">
            <v>0</v>
          </cell>
          <cell r="AQ407">
            <v>0</v>
          </cell>
          <cell r="AR407">
            <v>0</v>
          </cell>
          <cell r="AS407">
            <v>0</v>
          </cell>
          <cell r="AT407">
            <v>0</v>
          </cell>
          <cell r="AU407">
            <v>0</v>
          </cell>
          <cell r="AV407">
            <v>0</v>
          </cell>
          <cell r="AW407">
            <v>0</v>
          </cell>
          <cell r="AX407">
            <v>0</v>
          </cell>
          <cell r="AY407">
            <v>56</v>
          </cell>
          <cell r="AZ407">
            <v>0</v>
          </cell>
          <cell r="BA407">
            <v>16</v>
          </cell>
          <cell r="BB407">
            <v>0</v>
          </cell>
          <cell r="BC407">
            <v>0</v>
          </cell>
          <cell r="BD407">
            <v>0</v>
          </cell>
          <cell r="BE407">
            <v>0</v>
          </cell>
          <cell r="BF407">
            <v>0</v>
          </cell>
          <cell r="BG407">
            <v>136</v>
          </cell>
          <cell r="BH407">
            <v>2</v>
          </cell>
          <cell r="BI407">
            <v>2</v>
          </cell>
          <cell r="BJ407">
            <v>-0.5</v>
          </cell>
          <cell r="BL407">
            <v>4</v>
          </cell>
          <cell r="BM407">
            <v>4</v>
          </cell>
          <cell r="BN407">
            <v>0</v>
          </cell>
          <cell r="BO407">
            <v>12</v>
          </cell>
          <cell r="BP407">
            <v>0</v>
          </cell>
          <cell r="BQ407">
            <v>4</v>
          </cell>
          <cell r="BR407">
            <v>4</v>
          </cell>
          <cell r="BS407">
            <v>4</v>
          </cell>
          <cell r="BT407">
            <v>0</v>
          </cell>
          <cell r="BU407">
            <v>0</v>
          </cell>
          <cell r="BV407">
            <v>0</v>
          </cell>
          <cell r="BW407">
            <v>0</v>
          </cell>
          <cell r="BX407">
            <v>0</v>
          </cell>
          <cell r="BY407">
            <v>0</v>
          </cell>
          <cell r="BZ407">
            <v>0</v>
          </cell>
          <cell r="CA407">
            <v>0</v>
          </cell>
          <cell r="CB407">
            <v>0</v>
          </cell>
          <cell r="CC407" t="str">
            <v>12Đ</v>
          </cell>
          <cell r="CD407">
            <v>4</v>
          </cell>
          <cell r="CE407">
            <v>4</v>
          </cell>
          <cell r="CF407">
            <v>4</v>
          </cell>
          <cell r="CG407">
            <v>4</v>
          </cell>
          <cell r="CH407">
            <v>4</v>
          </cell>
          <cell r="CI407">
            <v>4</v>
          </cell>
          <cell r="CJ407" t="str">
            <v>12Đ</v>
          </cell>
          <cell r="CK407">
            <v>4</v>
          </cell>
          <cell r="CL407">
            <v>4</v>
          </cell>
          <cell r="CM407">
            <v>4</v>
          </cell>
          <cell r="CR407">
            <v>0</v>
          </cell>
          <cell r="CS407">
            <v>0</v>
          </cell>
          <cell r="CT407">
            <v>56</v>
          </cell>
          <cell r="CU407">
            <v>20</v>
          </cell>
          <cell r="CV407">
            <v>16</v>
          </cell>
          <cell r="CZ407">
            <v>92</v>
          </cell>
        </row>
        <row r="408">
          <cell r="C408" t="str">
            <v>03075</v>
          </cell>
          <cell r="D408" t="str">
            <v>Nguyễn Thị Muội</v>
          </cell>
          <cell r="E408" t="str">
            <v>Foaming</v>
          </cell>
          <cell r="F408" t="str">
            <v>FOAMING Splitting</v>
          </cell>
          <cell r="G408" t="str">
            <v>Worker</v>
          </cell>
          <cell r="H408">
            <v>44516</v>
          </cell>
          <cell r="I408">
            <v>8</v>
          </cell>
          <cell r="J408">
            <v>8</v>
          </cell>
          <cell r="K408">
            <v>8</v>
          </cell>
          <cell r="L408" t="str">
            <v>CN</v>
          </cell>
          <cell r="M408">
            <v>8</v>
          </cell>
          <cell r="N408">
            <v>8</v>
          </cell>
          <cell r="O408">
            <v>8</v>
          </cell>
          <cell r="P408">
            <v>8</v>
          </cell>
          <cell r="Q408">
            <v>8</v>
          </cell>
          <cell r="R408">
            <v>8</v>
          </cell>
          <cell r="S408" t="str">
            <v>CN</v>
          </cell>
          <cell r="T408">
            <v>8</v>
          </cell>
          <cell r="U408">
            <v>8</v>
          </cell>
          <cell r="V408">
            <v>8</v>
          </cell>
          <cell r="W408">
            <v>8</v>
          </cell>
          <cell r="X408">
            <v>8</v>
          </cell>
          <cell r="Y408">
            <v>8</v>
          </cell>
          <cell r="Z408" t="str">
            <v>CN</v>
          </cell>
          <cell r="AA408">
            <v>8</v>
          </cell>
          <cell r="AB408">
            <v>8</v>
          </cell>
          <cell r="AC408">
            <v>8</v>
          </cell>
          <cell r="AD408">
            <v>8</v>
          </cell>
          <cell r="AE408">
            <v>8</v>
          </cell>
          <cell r="AF408">
            <v>8</v>
          </cell>
          <cell r="AG408" t="str">
            <v>CN</v>
          </cell>
          <cell r="AH408">
            <v>8</v>
          </cell>
          <cell r="AI408">
            <v>8</v>
          </cell>
          <cell r="AJ408">
            <v>8</v>
          </cell>
          <cell r="AN408">
            <v>0</v>
          </cell>
          <cell r="AO408">
            <v>192</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192</v>
          </cell>
          <cell r="BH408">
            <v>0</v>
          </cell>
          <cell r="BI408">
            <v>0</v>
          </cell>
          <cell r="BJ408">
            <v>1</v>
          </cell>
          <cell r="BL408">
            <v>4</v>
          </cell>
          <cell r="BM408">
            <v>4</v>
          </cell>
          <cell r="BN408">
            <v>3</v>
          </cell>
          <cell r="BO408">
            <v>0</v>
          </cell>
          <cell r="BP408">
            <v>0</v>
          </cell>
          <cell r="BQ408">
            <v>3</v>
          </cell>
          <cell r="BR408">
            <v>3</v>
          </cell>
          <cell r="BS408">
            <v>3</v>
          </cell>
          <cell r="BT408">
            <v>3</v>
          </cell>
          <cell r="BU408">
            <v>3</v>
          </cell>
          <cell r="BV408">
            <v>12</v>
          </cell>
          <cell r="BW408">
            <v>4</v>
          </cell>
          <cell r="BX408">
            <v>4</v>
          </cell>
          <cell r="BY408">
            <v>4</v>
          </cell>
          <cell r="BZ408">
            <v>4</v>
          </cell>
          <cell r="CA408">
            <v>4</v>
          </cell>
          <cell r="CB408">
            <v>4</v>
          </cell>
          <cell r="CC408">
            <v>0</v>
          </cell>
          <cell r="CD408">
            <v>4</v>
          </cell>
          <cell r="CE408">
            <v>4</v>
          </cell>
          <cell r="CF408">
            <v>4</v>
          </cell>
          <cell r="CG408">
            <v>4</v>
          </cell>
          <cell r="CH408">
            <v>4</v>
          </cell>
          <cell r="CI408">
            <v>4</v>
          </cell>
          <cell r="CJ408">
            <v>12</v>
          </cell>
          <cell r="CK408">
            <v>4</v>
          </cell>
          <cell r="CL408">
            <v>0</v>
          </cell>
          <cell r="CM408">
            <v>4</v>
          </cell>
          <cell r="CR408">
            <v>0</v>
          </cell>
          <cell r="CS408">
            <v>0</v>
          </cell>
          <cell r="CT408">
            <v>82</v>
          </cell>
          <cell r="CU408">
            <v>24</v>
          </cell>
          <cell r="CV408">
            <v>0</v>
          </cell>
          <cell r="CZ408">
            <v>106</v>
          </cell>
        </row>
        <row r="409">
          <cell r="C409" t="str">
            <v>03080</v>
          </cell>
          <cell r="D409" t="str">
            <v>Lê Phương Lam</v>
          </cell>
          <cell r="E409" t="str">
            <v>Production</v>
          </cell>
          <cell r="F409" t="str">
            <v>Die Cut</v>
          </cell>
          <cell r="G409" t="str">
            <v>Worker</v>
          </cell>
          <cell r="H409">
            <v>44519</v>
          </cell>
          <cell r="I409">
            <v>8</v>
          </cell>
          <cell r="J409" t="str">
            <v>AL8</v>
          </cell>
          <cell r="K409">
            <v>8</v>
          </cell>
          <cell r="L409" t="str">
            <v>CN</v>
          </cell>
          <cell r="M409" t="str">
            <v>Đ</v>
          </cell>
          <cell r="N409" t="str">
            <v>Đ</v>
          </cell>
          <cell r="O409" t="str">
            <v>Đ</v>
          </cell>
          <cell r="P409" t="str">
            <v>Đ</v>
          </cell>
          <cell r="Q409" t="str">
            <v>Đ</v>
          </cell>
          <cell r="R409" t="str">
            <v>Đ</v>
          </cell>
          <cell r="S409" t="str">
            <v>CN</v>
          </cell>
          <cell r="T409">
            <v>8</v>
          </cell>
          <cell r="U409">
            <v>8</v>
          </cell>
          <cell r="V409">
            <v>8</v>
          </cell>
          <cell r="W409">
            <v>8</v>
          </cell>
          <cell r="X409">
            <v>8</v>
          </cell>
          <cell r="Y409">
            <v>8</v>
          </cell>
          <cell r="Z409" t="str">
            <v>CN</v>
          </cell>
          <cell r="AA409" t="str">
            <v>Đ</v>
          </cell>
          <cell r="AB409" t="str">
            <v>Đ</v>
          </cell>
          <cell r="AC409" t="str">
            <v>Đ</v>
          </cell>
          <cell r="AD409" t="str">
            <v>Đ</v>
          </cell>
          <cell r="AE409" t="str">
            <v>Đ</v>
          </cell>
          <cell r="AF409" t="str">
            <v>Đ</v>
          </cell>
          <cell r="AG409" t="str">
            <v>CN</v>
          </cell>
          <cell r="AH409" t="str">
            <v>UP8</v>
          </cell>
          <cell r="AI409">
            <v>8</v>
          </cell>
          <cell r="AJ409">
            <v>8</v>
          </cell>
          <cell r="AN409">
            <v>96</v>
          </cell>
          <cell r="AO409">
            <v>80</v>
          </cell>
          <cell r="AP409">
            <v>0</v>
          </cell>
          <cell r="AQ409">
            <v>0</v>
          </cell>
          <cell r="AR409">
            <v>0</v>
          </cell>
          <cell r="AS409">
            <v>8</v>
          </cell>
          <cell r="AT409">
            <v>0</v>
          </cell>
          <cell r="AU409">
            <v>0</v>
          </cell>
          <cell r="AV409">
            <v>0</v>
          </cell>
          <cell r="AW409">
            <v>0</v>
          </cell>
          <cell r="AX409">
            <v>0</v>
          </cell>
          <cell r="AY409">
            <v>0</v>
          </cell>
          <cell r="AZ409">
            <v>0</v>
          </cell>
          <cell r="BA409">
            <v>8</v>
          </cell>
          <cell r="BB409">
            <v>0</v>
          </cell>
          <cell r="BC409">
            <v>0</v>
          </cell>
          <cell r="BD409">
            <v>0</v>
          </cell>
          <cell r="BE409">
            <v>0</v>
          </cell>
          <cell r="BF409">
            <v>0</v>
          </cell>
          <cell r="BG409">
            <v>184</v>
          </cell>
          <cell r="BH409">
            <v>1</v>
          </cell>
          <cell r="BI409">
            <v>1</v>
          </cell>
          <cell r="BJ409">
            <v>0</v>
          </cell>
          <cell r="BL409">
            <v>0</v>
          </cell>
          <cell r="BM409">
            <v>0</v>
          </cell>
          <cell r="BN409">
            <v>0</v>
          </cell>
          <cell r="BO409">
            <v>0</v>
          </cell>
          <cell r="BP409">
            <v>1.5</v>
          </cell>
          <cell r="BQ409">
            <v>0</v>
          </cell>
          <cell r="BR409">
            <v>0</v>
          </cell>
          <cell r="BS409">
            <v>4</v>
          </cell>
          <cell r="BT409">
            <v>1.5</v>
          </cell>
          <cell r="BU409">
            <v>0</v>
          </cell>
          <cell r="BV409">
            <v>0</v>
          </cell>
          <cell r="BW409">
            <v>3</v>
          </cell>
          <cell r="BX409">
            <v>3</v>
          </cell>
          <cell r="BY409">
            <v>0</v>
          </cell>
          <cell r="BZ409">
            <v>3</v>
          </cell>
          <cell r="CA409">
            <v>3</v>
          </cell>
          <cell r="CB409">
            <v>0</v>
          </cell>
          <cell r="CC409">
            <v>8</v>
          </cell>
          <cell r="CD409">
            <v>4</v>
          </cell>
          <cell r="CE409">
            <v>4</v>
          </cell>
          <cell r="CF409">
            <v>4</v>
          </cell>
          <cell r="CG409">
            <v>4</v>
          </cell>
          <cell r="CH409">
            <v>3</v>
          </cell>
          <cell r="CI409">
            <v>4</v>
          </cell>
          <cell r="CJ409">
            <v>0</v>
          </cell>
          <cell r="CK409">
            <v>0</v>
          </cell>
          <cell r="CL409">
            <v>3</v>
          </cell>
          <cell r="CM409">
            <v>3</v>
          </cell>
          <cell r="CR409">
            <v>0</v>
          </cell>
          <cell r="CS409">
            <v>0</v>
          </cell>
          <cell r="CT409">
            <v>48</v>
          </cell>
          <cell r="CU409">
            <v>8</v>
          </cell>
          <cell r="CV409">
            <v>0</v>
          </cell>
          <cell r="CZ409">
            <v>56</v>
          </cell>
        </row>
        <row r="410">
          <cell r="C410" t="str">
            <v>03089</v>
          </cell>
          <cell r="D410" t="str">
            <v>Trần Quốc Phất</v>
          </cell>
          <cell r="E410" t="str">
            <v>Production</v>
          </cell>
          <cell r="F410" t="str">
            <v>Lamination</v>
          </cell>
          <cell r="G410" t="str">
            <v>Worker</v>
          </cell>
          <cell r="H410">
            <v>44522</v>
          </cell>
          <cell r="I410" t="str">
            <v>Đ</v>
          </cell>
          <cell r="J410" t="str">
            <v>Đ</v>
          </cell>
          <cell r="K410" t="str">
            <v>CN</v>
          </cell>
          <cell r="L410">
            <v>8</v>
          </cell>
          <cell r="M410">
            <v>8</v>
          </cell>
          <cell r="N410">
            <v>8</v>
          </cell>
          <cell r="O410">
            <v>8</v>
          </cell>
          <cell r="P410">
            <v>8</v>
          </cell>
          <cell r="Q410">
            <v>8</v>
          </cell>
          <cell r="R410" t="str">
            <v>CN</v>
          </cell>
          <cell r="S410" t="str">
            <v>Đ</v>
          </cell>
          <cell r="T410" t="str">
            <v>Đ</v>
          </cell>
          <cell r="U410" t="str">
            <v>Đ</v>
          </cell>
          <cell r="V410" t="str">
            <v>Đ</v>
          </cell>
          <cell r="W410" t="str">
            <v>Đ</v>
          </cell>
          <cell r="X410" t="str">
            <v>Đ</v>
          </cell>
          <cell r="Y410" t="str">
            <v>CN</v>
          </cell>
          <cell r="Z410">
            <v>8</v>
          </cell>
          <cell r="AA410">
            <v>8</v>
          </cell>
          <cell r="AB410">
            <v>8</v>
          </cell>
          <cell r="AC410">
            <v>8</v>
          </cell>
          <cell r="AD410">
            <v>8</v>
          </cell>
          <cell r="AE410">
            <v>8</v>
          </cell>
          <cell r="AF410" t="str">
            <v>CN</v>
          </cell>
          <cell r="AG410">
            <v>8</v>
          </cell>
          <cell r="AH410">
            <v>8</v>
          </cell>
          <cell r="AI410">
            <v>8</v>
          </cell>
          <cell r="AJ410">
            <v>8</v>
          </cell>
          <cell r="AN410">
            <v>64</v>
          </cell>
          <cell r="AO410">
            <v>128</v>
          </cell>
          <cell r="AP410">
            <v>0</v>
          </cell>
          <cell r="AQ410">
            <v>0</v>
          </cell>
          <cell r="AR410">
            <v>0</v>
          </cell>
          <cell r="AS410">
            <v>0</v>
          </cell>
          <cell r="AT410">
            <v>0</v>
          </cell>
          <cell r="AU410">
            <v>0</v>
          </cell>
          <cell r="AV410">
            <v>0</v>
          </cell>
          <cell r="AW410">
            <v>0</v>
          </cell>
          <cell r="AX410">
            <v>0</v>
          </cell>
          <cell r="AY410">
            <v>0</v>
          </cell>
          <cell r="AZ410">
            <v>0</v>
          </cell>
          <cell r="BA410">
            <v>0</v>
          </cell>
          <cell r="BB410">
            <v>0</v>
          </cell>
          <cell r="BC410">
            <v>0</v>
          </cell>
          <cell r="BD410">
            <v>0</v>
          </cell>
          <cell r="BE410">
            <v>0</v>
          </cell>
          <cell r="BF410">
            <v>0</v>
          </cell>
          <cell r="BG410">
            <v>192</v>
          </cell>
          <cell r="BH410">
            <v>0</v>
          </cell>
          <cell r="BI410">
            <v>0</v>
          </cell>
          <cell r="BJ410">
            <v>1</v>
          </cell>
          <cell r="BL410">
            <v>0</v>
          </cell>
          <cell r="BM410">
            <v>4</v>
          </cell>
          <cell r="BN410">
            <v>0</v>
          </cell>
          <cell r="BO410">
            <v>4</v>
          </cell>
          <cell r="BP410">
            <v>0</v>
          </cell>
          <cell r="BQ410">
            <v>0</v>
          </cell>
          <cell r="BR410">
            <v>0</v>
          </cell>
          <cell r="BS410">
            <v>0</v>
          </cell>
          <cell r="BT410">
            <v>4</v>
          </cell>
          <cell r="BU410">
            <v>0</v>
          </cell>
          <cell r="BV410">
            <v>4</v>
          </cell>
          <cell r="BW410">
            <v>0</v>
          </cell>
          <cell r="BX410">
            <v>0</v>
          </cell>
          <cell r="BY410">
            <v>0</v>
          </cell>
          <cell r="BZ410">
            <v>4</v>
          </cell>
          <cell r="CA410">
            <v>4</v>
          </cell>
          <cell r="CB410">
            <v>0</v>
          </cell>
          <cell r="CC410">
            <v>4</v>
          </cell>
          <cell r="CD410">
            <v>0</v>
          </cell>
          <cell r="CE410">
            <v>0</v>
          </cell>
          <cell r="CF410">
            <v>0</v>
          </cell>
          <cell r="CG410">
            <v>0</v>
          </cell>
          <cell r="CH410">
            <v>4</v>
          </cell>
          <cell r="CI410">
            <v>0</v>
          </cell>
          <cell r="CJ410">
            <v>4</v>
          </cell>
          <cell r="CK410">
            <v>0</v>
          </cell>
          <cell r="CL410">
            <v>0</v>
          </cell>
          <cell r="CM410">
            <v>0</v>
          </cell>
          <cell r="CR410">
            <v>0</v>
          </cell>
          <cell r="CS410">
            <v>0</v>
          </cell>
          <cell r="CT410">
            <v>36</v>
          </cell>
          <cell r="CU410">
            <v>0</v>
          </cell>
          <cell r="CV410">
            <v>0</v>
          </cell>
          <cell r="CZ410">
            <v>36</v>
          </cell>
        </row>
        <row r="411">
          <cell r="C411" t="str">
            <v>03103</v>
          </cell>
          <cell r="D411" t="str">
            <v>Lê Thị Lý</v>
          </cell>
          <cell r="E411" t="str">
            <v>Production</v>
          </cell>
          <cell r="F411" t="str">
            <v>Logo</v>
          </cell>
          <cell r="G411" t="str">
            <v>Worker</v>
          </cell>
          <cell r="H411">
            <v>44526</v>
          </cell>
          <cell r="I411">
            <v>8</v>
          </cell>
          <cell r="J411">
            <v>8</v>
          </cell>
          <cell r="K411">
            <v>8</v>
          </cell>
          <cell r="L411" t="str">
            <v>CN</v>
          </cell>
          <cell r="M411" t="str">
            <v>Đ</v>
          </cell>
          <cell r="N411" t="str">
            <v>Đ</v>
          </cell>
          <cell r="O411" t="str">
            <v>Đ</v>
          </cell>
          <cell r="P411" t="str">
            <v>AL8</v>
          </cell>
          <cell r="Q411" t="str">
            <v>Đ</v>
          </cell>
          <cell r="R411" t="str">
            <v>Đ</v>
          </cell>
          <cell r="S411" t="str">
            <v>CN</v>
          </cell>
          <cell r="T411">
            <v>8</v>
          </cell>
          <cell r="U411">
            <v>8</v>
          </cell>
          <cell r="V411">
            <v>8</v>
          </cell>
          <cell r="W411">
            <v>8</v>
          </cell>
          <cell r="X411">
            <v>8</v>
          </cell>
          <cell r="Y411">
            <v>8</v>
          </cell>
          <cell r="Z411" t="str">
            <v>CN</v>
          </cell>
          <cell r="AA411" t="str">
            <v>Đ</v>
          </cell>
          <cell r="AB411" t="str">
            <v>Đ</v>
          </cell>
          <cell r="AC411" t="str">
            <v>Đ</v>
          </cell>
          <cell r="AD411" t="str">
            <v>Đ</v>
          </cell>
          <cell r="AE411" t="str">
            <v>Đ</v>
          </cell>
          <cell r="AF411" t="str">
            <v>Đ</v>
          </cell>
          <cell r="AG411" t="str">
            <v>CN</v>
          </cell>
          <cell r="AH411">
            <v>8</v>
          </cell>
          <cell r="AI411">
            <v>8</v>
          </cell>
          <cell r="AJ411">
            <v>8</v>
          </cell>
          <cell r="AN411">
            <v>88</v>
          </cell>
          <cell r="AO411">
            <v>96</v>
          </cell>
          <cell r="AP411">
            <v>0</v>
          </cell>
          <cell r="AQ411">
            <v>0</v>
          </cell>
          <cell r="AR411">
            <v>0</v>
          </cell>
          <cell r="AS411">
            <v>0</v>
          </cell>
          <cell r="AT411">
            <v>0</v>
          </cell>
          <cell r="AU411">
            <v>0</v>
          </cell>
          <cell r="AV411">
            <v>0</v>
          </cell>
          <cell r="AW411">
            <v>0</v>
          </cell>
          <cell r="AX411">
            <v>0</v>
          </cell>
          <cell r="AY411">
            <v>0</v>
          </cell>
          <cell r="AZ411">
            <v>0</v>
          </cell>
          <cell r="BA411">
            <v>8</v>
          </cell>
          <cell r="BB411">
            <v>0</v>
          </cell>
          <cell r="BC411">
            <v>0</v>
          </cell>
          <cell r="BD411">
            <v>0</v>
          </cell>
          <cell r="BE411">
            <v>0</v>
          </cell>
          <cell r="BF411">
            <v>0</v>
          </cell>
          <cell r="BG411">
            <v>192</v>
          </cell>
          <cell r="BH411">
            <v>1</v>
          </cell>
          <cell r="BI411">
            <v>1</v>
          </cell>
          <cell r="BJ411">
            <v>2</v>
          </cell>
          <cell r="BL411">
            <v>0</v>
          </cell>
          <cell r="BM411">
            <v>0</v>
          </cell>
          <cell r="BN411">
            <v>0</v>
          </cell>
          <cell r="BO411">
            <v>0</v>
          </cell>
          <cell r="BP411">
            <v>1.5</v>
          </cell>
          <cell r="BQ411">
            <v>3</v>
          </cell>
          <cell r="BR411">
            <v>0</v>
          </cell>
          <cell r="BS411">
            <v>0</v>
          </cell>
          <cell r="BT411">
            <v>3</v>
          </cell>
          <cell r="BU411">
            <v>0</v>
          </cell>
          <cell r="BV411">
            <v>0</v>
          </cell>
          <cell r="BW411">
            <v>3</v>
          </cell>
          <cell r="BX411">
            <v>3</v>
          </cell>
          <cell r="BY411">
            <v>3</v>
          </cell>
          <cell r="BZ411">
            <v>3</v>
          </cell>
          <cell r="CA411">
            <v>3</v>
          </cell>
          <cell r="CB411">
            <v>3</v>
          </cell>
          <cell r="CC411">
            <v>8</v>
          </cell>
          <cell r="CD411">
            <v>1.5</v>
          </cell>
          <cell r="CE411">
            <v>4</v>
          </cell>
          <cell r="CF411">
            <v>4</v>
          </cell>
          <cell r="CG411">
            <v>4</v>
          </cell>
          <cell r="CH411">
            <v>1.5</v>
          </cell>
          <cell r="CI411">
            <v>1.5</v>
          </cell>
          <cell r="CJ411">
            <v>0</v>
          </cell>
          <cell r="CK411">
            <v>1.5</v>
          </cell>
          <cell r="CL411">
            <v>3</v>
          </cell>
          <cell r="CM411">
            <v>1.25</v>
          </cell>
          <cell r="CR411">
            <v>0</v>
          </cell>
          <cell r="CS411">
            <v>0</v>
          </cell>
          <cell r="CT411">
            <v>47.75</v>
          </cell>
          <cell r="CU411">
            <v>8</v>
          </cell>
          <cell r="CV411">
            <v>0</v>
          </cell>
          <cell r="CZ411">
            <v>55.75</v>
          </cell>
        </row>
        <row r="412">
          <cell r="C412" t="str">
            <v>03104</v>
          </cell>
          <cell r="D412" t="str">
            <v>Trương Trí Đức Em</v>
          </cell>
          <cell r="E412" t="str">
            <v>Production</v>
          </cell>
          <cell r="F412" t="str">
            <v>Die Cut</v>
          </cell>
          <cell r="G412" t="str">
            <v>Worker</v>
          </cell>
          <cell r="H412">
            <v>44526</v>
          </cell>
          <cell r="I412">
            <v>8</v>
          </cell>
          <cell r="J412">
            <v>8</v>
          </cell>
          <cell r="K412">
            <v>8</v>
          </cell>
          <cell r="L412" t="str">
            <v>CN</v>
          </cell>
          <cell r="M412" t="str">
            <v>AL8</v>
          </cell>
          <cell r="N412" t="str">
            <v>Đ</v>
          </cell>
          <cell r="O412" t="str">
            <v>Đ</v>
          </cell>
          <cell r="P412" t="str">
            <v>Đ</v>
          </cell>
          <cell r="Q412" t="str">
            <v>Đ</v>
          </cell>
          <cell r="R412" t="str">
            <v>Đ</v>
          </cell>
          <cell r="S412" t="str">
            <v>CN</v>
          </cell>
          <cell r="T412">
            <v>8</v>
          </cell>
          <cell r="U412">
            <v>8</v>
          </cell>
          <cell r="V412">
            <v>8</v>
          </cell>
          <cell r="W412">
            <v>8</v>
          </cell>
          <cell r="X412">
            <v>8</v>
          </cell>
          <cell r="Y412">
            <v>8</v>
          </cell>
          <cell r="Z412" t="str">
            <v>CN</v>
          </cell>
          <cell r="AA412" t="str">
            <v>Đ</v>
          </cell>
          <cell r="AB412" t="str">
            <v>Đ</v>
          </cell>
          <cell r="AC412" t="str">
            <v>Đ</v>
          </cell>
          <cell r="AD412" t="str">
            <v>Đ</v>
          </cell>
          <cell r="AE412" t="str">
            <v>Đ</v>
          </cell>
          <cell r="AF412" t="str">
            <v>Đ</v>
          </cell>
          <cell r="AG412" t="str">
            <v>CN</v>
          </cell>
          <cell r="AH412">
            <v>8</v>
          </cell>
          <cell r="AI412">
            <v>8</v>
          </cell>
          <cell r="AJ412">
            <v>8</v>
          </cell>
          <cell r="AN412">
            <v>88</v>
          </cell>
          <cell r="AO412">
            <v>96</v>
          </cell>
          <cell r="AP412">
            <v>0</v>
          </cell>
          <cell r="AQ412">
            <v>0</v>
          </cell>
          <cell r="AR412">
            <v>0</v>
          </cell>
          <cell r="AS412">
            <v>0</v>
          </cell>
          <cell r="AT412">
            <v>0</v>
          </cell>
          <cell r="AU412">
            <v>0</v>
          </cell>
          <cell r="AV412">
            <v>0</v>
          </cell>
          <cell r="AW412">
            <v>0</v>
          </cell>
          <cell r="AX412">
            <v>0</v>
          </cell>
          <cell r="AY412">
            <v>0</v>
          </cell>
          <cell r="AZ412">
            <v>0</v>
          </cell>
          <cell r="BA412">
            <v>8</v>
          </cell>
          <cell r="BB412">
            <v>0</v>
          </cell>
          <cell r="BC412">
            <v>0</v>
          </cell>
          <cell r="BD412">
            <v>0</v>
          </cell>
          <cell r="BE412">
            <v>0</v>
          </cell>
          <cell r="BF412">
            <v>0</v>
          </cell>
          <cell r="BG412">
            <v>192</v>
          </cell>
          <cell r="BH412">
            <v>1</v>
          </cell>
          <cell r="BI412">
            <v>1</v>
          </cell>
          <cell r="BJ412">
            <v>1</v>
          </cell>
          <cell r="BL412">
            <v>1.5</v>
          </cell>
          <cell r="BM412">
            <v>1.5</v>
          </cell>
          <cell r="BN412">
            <v>0</v>
          </cell>
          <cell r="BO412">
            <v>0</v>
          </cell>
          <cell r="BP412">
            <v>0</v>
          </cell>
          <cell r="BQ412">
            <v>0</v>
          </cell>
          <cell r="BR412">
            <v>0</v>
          </cell>
          <cell r="BS412">
            <v>4</v>
          </cell>
          <cell r="BT412">
            <v>4</v>
          </cell>
          <cell r="BU412">
            <v>4</v>
          </cell>
          <cell r="BV412">
            <v>0</v>
          </cell>
          <cell r="BW412">
            <v>3</v>
          </cell>
          <cell r="BX412">
            <v>3</v>
          </cell>
          <cell r="BY412">
            <v>3</v>
          </cell>
          <cell r="BZ412">
            <v>3</v>
          </cell>
          <cell r="CA412">
            <v>3</v>
          </cell>
          <cell r="CB412">
            <v>2</v>
          </cell>
          <cell r="CC412">
            <v>0</v>
          </cell>
          <cell r="CD412">
            <v>4</v>
          </cell>
          <cell r="CE412">
            <v>4</v>
          </cell>
          <cell r="CF412">
            <v>4</v>
          </cell>
          <cell r="CG412">
            <v>4</v>
          </cell>
          <cell r="CH412">
            <v>4</v>
          </cell>
          <cell r="CI412">
            <v>4</v>
          </cell>
          <cell r="CJ412">
            <v>0</v>
          </cell>
          <cell r="CK412">
            <v>3</v>
          </cell>
          <cell r="CL412">
            <v>3</v>
          </cell>
          <cell r="CM412">
            <v>3</v>
          </cell>
          <cell r="CR412">
            <v>0</v>
          </cell>
          <cell r="CS412">
            <v>0</v>
          </cell>
          <cell r="CT412">
            <v>65</v>
          </cell>
          <cell r="CU412">
            <v>0</v>
          </cell>
          <cell r="CV412">
            <v>0</v>
          </cell>
          <cell r="CZ412">
            <v>65</v>
          </cell>
        </row>
        <row r="413">
          <cell r="C413" t="str">
            <v>03107</v>
          </cell>
          <cell r="D413" t="str">
            <v>Nguyễn Thị Thu Thảo</v>
          </cell>
          <cell r="E413" t="str">
            <v>Foaming</v>
          </cell>
          <cell r="F413" t="str">
            <v>FOAMING Splitting</v>
          </cell>
          <cell r="G413" t="str">
            <v>Worker</v>
          </cell>
          <cell r="H413">
            <v>44529</v>
          </cell>
          <cell r="I413">
            <v>8</v>
          </cell>
          <cell r="J413">
            <v>8</v>
          </cell>
          <cell r="K413">
            <v>8</v>
          </cell>
          <cell r="L413" t="str">
            <v>CN</v>
          </cell>
          <cell r="M413">
            <v>8</v>
          </cell>
          <cell r="N413">
            <v>8</v>
          </cell>
          <cell r="O413">
            <v>8</v>
          </cell>
          <cell r="P413">
            <v>8</v>
          </cell>
          <cell r="Q413">
            <v>8</v>
          </cell>
          <cell r="R413">
            <v>8</v>
          </cell>
          <cell r="S413" t="str">
            <v>CN</v>
          </cell>
          <cell r="T413" t="str">
            <v>Đ</v>
          </cell>
          <cell r="U413" t="str">
            <v>Đ</v>
          </cell>
          <cell r="V413" t="str">
            <v>Đ</v>
          </cell>
          <cell r="W413" t="str">
            <v>Đ</v>
          </cell>
          <cell r="X413" t="str">
            <v>Đ</v>
          </cell>
          <cell r="Y413" t="str">
            <v>Đ</v>
          </cell>
          <cell r="Z413" t="str">
            <v>CN</v>
          </cell>
          <cell r="AA413">
            <v>8</v>
          </cell>
          <cell r="AB413">
            <v>8</v>
          </cell>
          <cell r="AC413">
            <v>8</v>
          </cell>
          <cell r="AD413">
            <v>8</v>
          </cell>
          <cell r="AE413">
            <v>8</v>
          </cell>
          <cell r="AF413">
            <v>8</v>
          </cell>
          <cell r="AG413" t="str">
            <v>CN</v>
          </cell>
          <cell r="AH413">
            <v>8</v>
          </cell>
          <cell r="AI413">
            <v>8</v>
          </cell>
          <cell r="AJ413">
            <v>8</v>
          </cell>
          <cell r="AN413">
            <v>48</v>
          </cell>
          <cell r="AO413">
            <v>144</v>
          </cell>
          <cell r="AP413">
            <v>0</v>
          </cell>
          <cell r="AQ413">
            <v>0</v>
          </cell>
          <cell r="AR413">
            <v>0</v>
          </cell>
          <cell r="AS413">
            <v>0</v>
          </cell>
          <cell r="AT413">
            <v>0</v>
          </cell>
          <cell r="AU413">
            <v>0</v>
          </cell>
          <cell r="AV413">
            <v>0</v>
          </cell>
          <cell r="AW413">
            <v>0</v>
          </cell>
          <cell r="AX413">
            <v>0</v>
          </cell>
          <cell r="AY413">
            <v>0</v>
          </cell>
          <cell r="AZ413">
            <v>0</v>
          </cell>
          <cell r="BA413">
            <v>0</v>
          </cell>
          <cell r="BB413">
            <v>0</v>
          </cell>
          <cell r="BC413">
            <v>0</v>
          </cell>
          <cell r="BD413">
            <v>0</v>
          </cell>
          <cell r="BE413">
            <v>0</v>
          </cell>
          <cell r="BF413">
            <v>0</v>
          </cell>
          <cell r="BG413">
            <v>192</v>
          </cell>
          <cell r="BH413">
            <v>0</v>
          </cell>
          <cell r="BI413">
            <v>0</v>
          </cell>
          <cell r="BJ413">
            <v>0</v>
          </cell>
          <cell r="BL413">
            <v>4</v>
          </cell>
          <cell r="BM413">
            <v>4</v>
          </cell>
          <cell r="BN413">
            <v>0</v>
          </cell>
          <cell r="BO413">
            <v>12</v>
          </cell>
          <cell r="BP413">
            <v>0</v>
          </cell>
          <cell r="BQ413">
            <v>4</v>
          </cell>
          <cell r="BR413">
            <v>4</v>
          </cell>
          <cell r="BS413">
            <v>4</v>
          </cell>
          <cell r="BT413">
            <v>4</v>
          </cell>
          <cell r="BU413">
            <v>4</v>
          </cell>
          <cell r="BV413" t="str">
            <v>12Đ</v>
          </cell>
          <cell r="BW413">
            <v>4</v>
          </cell>
          <cell r="BX413">
            <v>4</v>
          </cell>
          <cell r="BY413">
            <v>4</v>
          </cell>
          <cell r="BZ413">
            <v>4</v>
          </cell>
          <cell r="CA413">
            <v>4</v>
          </cell>
          <cell r="CB413">
            <v>4</v>
          </cell>
          <cell r="CC413">
            <v>0</v>
          </cell>
          <cell r="CD413">
            <v>4</v>
          </cell>
          <cell r="CE413">
            <v>4</v>
          </cell>
          <cell r="CF413">
            <v>4</v>
          </cell>
          <cell r="CG413">
            <v>4</v>
          </cell>
          <cell r="CH413">
            <v>4</v>
          </cell>
          <cell r="CI413">
            <v>4</v>
          </cell>
          <cell r="CJ413">
            <v>12</v>
          </cell>
          <cell r="CK413">
            <v>4</v>
          </cell>
          <cell r="CL413">
            <v>4</v>
          </cell>
          <cell r="CM413">
            <v>4</v>
          </cell>
          <cell r="CR413">
            <v>0</v>
          </cell>
          <cell r="CS413">
            <v>0</v>
          </cell>
          <cell r="CT413">
            <v>88</v>
          </cell>
          <cell r="CU413">
            <v>28</v>
          </cell>
          <cell r="CV413">
            <v>8</v>
          </cell>
          <cell r="CZ413">
            <v>124</v>
          </cell>
        </row>
        <row r="414">
          <cell r="C414" t="str">
            <v>03108</v>
          </cell>
          <cell r="D414" t="str">
            <v>Nguyễn Thị Cẩm Nguyên</v>
          </cell>
          <cell r="E414" t="str">
            <v>Foaming</v>
          </cell>
          <cell r="F414" t="str">
            <v>FOAMING Splitting</v>
          </cell>
          <cell r="G414" t="str">
            <v>Worker</v>
          </cell>
          <cell r="H414">
            <v>44529</v>
          </cell>
          <cell r="I414">
            <v>8</v>
          </cell>
          <cell r="J414">
            <v>8</v>
          </cell>
          <cell r="K414">
            <v>8</v>
          </cell>
          <cell r="L414" t="str">
            <v>CN</v>
          </cell>
          <cell r="M414">
            <v>8</v>
          </cell>
          <cell r="N414">
            <v>8</v>
          </cell>
          <cell r="O414">
            <v>8</v>
          </cell>
          <cell r="P414">
            <v>8</v>
          </cell>
          <cell r="Q414">
            <v>8</v>
          </cell>
          <cell r="R414">
            <v>8</v>
          </cell>
          <cell r="S414" t="str">
            <v>CN</v>
          </cell>
          <cell r="T414">
            <v>8</v>
          </cell>
          <cell r="U414">
            <v>8</v>
          </cell>
          <cell r="V414">
            <v>8</v>
          </cell>
          <cell r="W414">
            <v>8</v>
          </cell>
          <cell r="X414">
            <v>8</v>
          </cell>
          <cell r="Y414">
            <v>8</v>
          </cell>
          <cell r="Z414" t="str">
            <v>CN</v>
          </cell>
          <cell r="AA414">
            <v>8</v>
          </cell>
          <cell r="AB414">
            <v>8</v>
          </cell>
          <cell r="AC414">
            <v>8</v>
          </cell>
          <cell r="AD414">
            <v>8</v>
          </cell>
          <cell r="AE414">
            <v>8</v>
          </cell>
          <cell r="AF414">
            <v>8</v>
          </cell>
          <cell r="AG414" t="str">
            <v>CN</v>
          </cell>
          <cell r="AH414">
            <v>8</v>
          </cell>
          <cell r="AI414">
            <v>8</v>
          </cell>
          <cell r="AJ414">
            <v>8</v>
          </cell>
          <cell r="AN414">
            <v>0</v>
          </cell>
          <cell r="AO414">
            <v>192</v>
          </cell>
          <cell r="AP414">
            <v>0</v>
          </cell>
          <cell r="AQ414">
            <v>0</v>
          </cell>
          <cell r="AR414">
            <v>0</v>
          </cell>
          <cell r="AS414">
            <v>0</v>
          </cell>
          <cell r="AT414">
            <v>0</v>
          </cell>
          <cell r="AU414">
            <v>0</v>
          </cell>
          <cell r="AV414">
            <v>0</v>
          </cell>
          <cell r="AW414">
            <v>0</v>
          </cell>
          <cell r="AX414">
            <v>0</v>
          </cell>
          <cell r="AY414">
            <v>0</v>
          </cell>
          <cell r="AZ414">
            <v>0</v>
          </cell>
          <cell r="BA414">
            <v>0</v>
          </cell>
          <cell r="BB414">
            <v>0</v>
          </cell>
          <cell r="BC414">
            <v>0</v>
          </cell>
          <cell r="BD414">
            <v>0</v>
          </cell>
          <cell r="BE414">
            <v>0</v>
          </cell>
          <cell r="BF414">
            <v>0</v>
          </cell>
          <cell r="BG414">
            <v>192</v>
          </cell>
          <cell r="BH414">
            <v>0</v>
          </cell>
          <cell r="BI414">
            <v>0</v>
          </cell>
          <cell r="BJ414">
            <v>3.5</v>
          </cell>
          <cell r="BL414">
            <v>0</v>
          </cell>
          <cell r="BM414">
            <v>0</v>
          </cell>
          <cell r="BN414">
            <v>0</v>
          </cell>
          <cell r="BO414">
            <v>9</v>
          </cell>
          <cell r="BP414">
            <v>0</v>
          </cell>
          <cell r="BQ414">
            <v>0</v>
          </cell>
          <cell r="BR414">
            <v>0</v>
          </cell>
          <cell r="BS414">
            <v>2</v>
          </cell>
          <cell r="BT414">
            <v>2</v>
          </cell>
          <cell r="BU414">
            <v>2</v>
          </cell>
          <cell r="BV414">
            <v>12</v>
          </cell>
          <cell r="BW414">
            <v>2</v>
          </cell>
          <cell r="BX414">
            <v>3</v>
          </cell>
          <cell r="BY414">
            <v>3</v>
          </cell>
          <cell r="BZ414">
            <v>3</v>
          </cell>
          <cell r="CA414">
            <v>3</v>
          </cell>
          <cell r="CB414">
            <v>3</v>
          </cell>
          <cell r="CC414">
            <v>0</v>
          </cell>
          <cell r="CD414">
            <v>3</v>
          </cell>
          <cell r="CE414">
            <v>3</v>
          </cell>
          <cell r="CF414">
            <v>0</v>
          </cell>
          <cell r="CG414">
            <v>3</v>
          </cell>
          <cell r="CH414">
            <v>3</v>
          </cell>
          <cell r="CI414">
            <v>1</v>
          </cell>
          <cell r="CJ414">
            <v>12</v>
          </cell>
          <cell r="CK414">
            <v>3</v>
          </cell>
          <cell r="CL414">
            <v>3</v>
          </cell>
          <cell r="CM414">
            <v>3</v>
          </cell>
          <cell r="CR414">
            <v>0</v>
          </cell>
          <cell r="CS414">
            <v>0</v>
          </cell>
          <cell r="CT414">
            <v>45</v>
          </cell>
          <cell r="CU414">
            <v>33</v>
          </cell>
          <cell r="CV414">
            <v>0</v>
          </cell>
          <cell r="CZ414">
            <v>78</v>
          </cell>
        </row>
        <row r="415">
          <cell r="C415" t="str">
            <v>03114</v>
          </cell>
          <cell r="D415" t="str">
            <v>Lê Thị Hồng Đào</v>
          </cell>
          <cell r="E415" t="str">
            <v>Production</v>
          </cell>
          <cell r="F415" t="str">
            <v>Die Cut</v>
          </cell>
          <cell r="G415" t="str">
            <v>Worker</v>
          </cell>
          <cell r="H415" t="str">
            <v>30/11/2021</v>
          </cell>
          <cell r="I415" t="str">
            <v>Đ</v>
          </cell>
          <cell r="J415" t="str">
            <v>Đ</v>
          </cell>
          <cell r="K415" t="str">
            <v>Đ</v>
          </cell>
          <cell r="L415" t="str">
            <v>CN</v>
          </cell>
          <cell r="M415">
            <v>8</v>
          </cell>
          <cell r="N415">
            <v>8</v>
          </cell>
          <cell r="O415">
            <v>8</v>
          </cell>
          <cell r="P415">
            <v>8</v>
          </cell>
          <cell r="Q415">
            <v>8</v>
          </cell>
          <cell r="R415">
            <v>8</v>
          </cell>
          <cell r="S415" t="str">
            <v>CN</v>
          </cell>
          <cell r="T415" t="str">
            <v>Đ</v>
          </cell>
          <cell r="U415" t="str">
            <v>Đ</v>
          </cell>
          <cell r="V415" t="str">
            <v>Đ</v>
          </cell>
          <cell r="W415" t="str">
            <v>Đ</v>
          </cell>
          <cell r="X415" t="str">
            <v>Đ</v>
          </cell>
          <cell r="Y415" t="str">
            <v>Đ</v>
          </cell>
          <cell r="Z415" t="str">
            <v>CN</v>
          </cell>
          <cell r="AA415">
            <v>8</v>
          </cell>
          <cell r="AB415">
            <v>8</v>
          </cell>
          <cell r="AC415">
            <v>8</v>
          </cell>
          <cell r="AD415">
            <v>8</v>
          </cell>
          <cell r="AE415">
            <v>8</v>
          </cell>
          <cell r="AF415">
            <v>8</v>
          </cell>
          <cell r="AG415" t="str">
            <v>CN</v>
          </cell>
          <cell r="AH415" t="str">
            <v>Đ</v>
          </cell>
          <cell r="AI415" t="str">
            <v>Đ</v>
          </cell>
          <cell r="AJ415" t="str">
            <v>Đ</v>
          </cell>
          <cell r="AN415">
            <v>96</v>
          </cell>
          <cell r="AO415">
            <v>96</v>
          </cell>
          <cell r="AP415">
            <v>0</v>
          </cell>
          <cell r="AQ415">
            <v>0</v>
          </cell>
          <cell r="AR415">
            <v>0</v>
          </cell>
          <cell r="AS415">
            <v>0</v>
          </cell>
          <cell r="AT415">
            <v>0</v>
          </cell>
          <cell r="AU415">
            <v>0</v>
          </cell>
          <cell r="AV415">
            <v>0</v>
          </cell>
          <cell r="AW415">
            <v>0</v>
          </cell>
          <cell r="AX415">
            <v>0</v>
          </cell>
          <cell r="AY415">
            <v>0</v>
          </cell>
          <cell r="AZ415">
            <v>0</v>
          </cell>
          <cell r="BA415">
            <v>0</v>
          </cell>
          <cell r="BB415">
            <v>0</v>
          </cell>
          <cell r="BC415">
            <v>0</v>
          </cell>
          <cell r="BD415">
            <v>0</v>
          </cell>
          <cell r="BE415">
            <v>0</v>
          </cell>
          <cell r="BF415">
            <v>0</v>
          </cell>
          <cell r="BG415">
            <v>192</v>
          </cell>
          <cell r="BH415">
            <v>0</v>
          </cell>
          <cell r="BI415">
            <v>0</v>
          </cell>
          <cell r="BJ415">
            <v>2</v>
          </cell>
          <cell r="BL415">
            <v>0</v>
          </cell>
          <cell r="BM415">
            <v>0</v>
          </cell>
          <cell r="BN415">
            <v>0</v>
          </cell>
          <cell r="BO415">
            <v>0</v>
          </cell>
          <cell r="BP415">
            <v>1.5</v>
          </cell>
          <cell r="BQ415">
            <v>3</v>
          </cell>
          <cell r="BR415">
            <v>0</v>
          </cell>
          <cell r="BS415">
            <v>3</v>
          </cell>
          <cell r="BT415">
            <v>0</v>
          </cell>
          <cell r="BU415">
            <v>0</v>
          </cell>
          <cell r="BV415">
            <v>0</v>
          </cell>
          <cell r="BW415">
            <v>3</v>
          </cell>
          <cell r="BX415">
            <v>4</v>
          </cell>
          <cell r="BY415">
            <v>4</v>
          </cell>
          <cell r="BZ415">
            <v>4</v>
          </cell>
          <cell r="CA415">
            <v>4</v>
          </cell>
          <cell r="CB415">
            <v>4</v>
          </cell>
          <cell r="CC415">
            <v>0</v>
          </cell>
          <cell r="CD415">
            <v>3</v>
          </cell>
          <cell r="CE415">
            <v>0</v>
          </cell>
          <cell r="CF415">
            <v>3</v>
          </cell>
          <cell r="CG415">
            <v>3</v>
          </cell>
          <cell r="CH415">
            <v>1.5</v>
          </cell>
          <cell r="CI415">
            <v>1.5</v>
          </cell>
          <cell r="CJ415">
            <v>0</v>
          </cell>
          <cell r="CK415">
            <v>1.5</v>
          </cell>
          <cell r="CL415">
            <v>1.5</v>
          </cell>
          <cell r="CM415">
            <v>1.5</v>
          </cell>
          <cell r="CR415">
            <v>0</v>
          </cell>
          <cell r="CS415">
            <v>0</v>
          </cell>
          <cell r="CT415">
            <v>47</v>
          </cell>
          <cell r="CU415">
            <v>0</v>
          </cell>
          <cell r="CV415">
            <v>0</v>
          </cell>
          <cell r="CZ415">
            <v>47</v>
          </cell>
        </row>
        <row r="416">
          <cell r="C416" t="str">
            <v>03122</v>
          </cell>
          <cell r="D416" t="str">
            <v>Đào Đình Luyện</v>
          </cell>
          <cell r="E416" t="str">
            <v>Production</v>
          </cell>
          <cell r="F416" t="str">
            <v>Lamination</v>
          </cell>
          <cell r="G416" t="str">
            <v>Worker</v>
          </cell>
          <cell r="H416">
            <v>44532</v>
          </cell>
          <cell r="I416">
            <v>8</v>
          </cell>
          <cell r="J416">
            <v>8</v>
          </cell>
          <cell r="K416">
            <v>8</v>
          </cell>
          <cell r="L416" t="str">
            <v>CN</v>
          </cell>
          <cell r="M416" t="str">
            <v>Đ</v>
          </cell>
          <cell r="N416" t="str">
            <v>Đ</v>
          </cell>
          <cell r="O416" t="str">
            <v>Đ</v>
          </cell>
          <cell r="P416" t="str">
            <v>Đ</v>
          </cell>
          <cell r="Q416" t="str">
            <v>Đ</v>
          </cell>
          <cell r="R416" t="str">
            <v>Đ</v>
          </cell>
          <cell r="S416" t="str">
            <v>CN</v>
          </cell>
          <cell r="T416">
            <v>8</v>
          </cell>
          <cell r="U416">
            <v>8</v>
          </cell>
          <cell r="V416">
            <v>8</v>
          </cell>
          <cell r="W416">
            <v>8</v>
          </cell>
          <cell r="X416">
            <v>8</v>
          </cell>
          <cell r="Y416" t="str">
            <v>AL8</v>
          </cell>
          <cell r="Z416" t="str">
            <v>CN</v>
          </cell>
          <cell r="AA416" t="str">
            <v>Đ</v>
          </cell>
          <cell r="AB416" t="str">
            <v>Đ</v>
          </cell>
          <cell r="AC416" t="str">
            <v>Đ</v>
          </cell>
          <cell r="AD416" t="str">
            <v>Đ</v>
          </cell>
          <cell r="AE416" t="str">
            <v>Đ</v>
          </cell>
          <cell r="AF416" t="str">
            <v>Đ</v>
          </cell>
          <cell r="AG416" t="str">
            <v>CN</v>
          </cell>
          <cell r="AH416" t="str">
            <v>UP4</v>
          </cell>
          <cell r="AI416">
            <v>8</v>
          </cell>
          <cell r="AJ416">
            <v>8</v>
          </cell>
          <cell r="AN416">
            <v>96</v>
          </cell>
          <cell r="AO416">
            <v>84</v>
          </cell>
          <cell r="AP416">
            <v>0</v>
          </cell>
          <cell r="AQ416">
            <v>0</v>
          </cell>
          <cell r="AR416">
            <v>4</v>
          </cell>
          <cell r="AS416">
            <v>4</v>
          </cell>
          <cell r="AT416">
            <v>0</v>
          </cell>
          <cell r="AU416">
            <v>0</v>
          </cell>
          <cell r="AV416">
            <v>0</v>
          </cell>
          <cell r="AW416">
            <v>0</v>
          </cell>
          <cell r="AX416">
            <v>0</v>
          </cell>
          <cell r="AY416">
            <v>0</v>
          </cell>
          <cell r="AZ416">
            <v>0</v>
          </cell>
          <cell r="BA416">
            <v>8</v>
          </cell>
          <cell r="BB416">
            <v>0</v>
          </cell>
          <cell r="BC416">
            <v>0</v>
          </cell>
          <cell r="BD416">
            <v>0</v>
          </cell>
          <cell r="BE416">
            <v>0</v>
          </cell>
          <cell r="BF416">
            <v>0</v>
          </cell>
          <cell r="BG416">
            <v>188</v>
          </cell>
          <cell r="BH416">
            <v>1</v>
          </cell>
          <cell r="BI416">
            <v>1</v>
          </cell>
          <cell r="BJ416">
            <v>-0.5</v>
          </cell>
          <cell r="BL416">
            <v>3</v>
          </cell>
          <cell r="BM416">
            <v>3</v>
          </cell>
          <cell r="BN416">
            <v>0</v>
          </cell>
          <cell r="BO416">
            <v>0</v>
          </cell>
          <cell r="BP416">
            <v>0</v>
          </cell>
          <cell r="BQ416">
            <v>0</v>
          </cell>
          <cell r="BR416">
            <v>0</v>
          </cell>
          <cell r="BS416">
            <v>0</v>
          </cell>
          <cell r="BT416">
            <v>0</v>
          </cell>
          <cell r="BU416">
            <v>4</v>
          </cell>
          <cell r="BV416">
            <v>0</v>
          </cell>
          <cell r="BW416">
            <v>0</v>
          </cell>
          <cell r="BX416">
            <v>3</v>
          </cell>
          <cell r="BY416">
            <v>3</v>
          </cell>
          <cell r="BZ416">
            <v>3</v>
          </cell>
          <cell r="CA416">
            <v>0</v>
          </cell>
          <cell r="CB416">
            <v>0</v>
          </cell>
          <cell r="CC416">
            <v>8</v>
          </cell>
          <cell r="CD416">
            <v>4</v>
          </cell>
          <cell r="CE416">
            <v>0</v>
          </cell>
          <cell r="CF416">
            <v>0</v>
          </cell>
          <cell r="CG416">
            <v>4</v>
          </cell>
          <cell r="CH416">
            <v>0</v>
          </cell>
          <cell r="CI416">
            <v>4</v>
          </cell>
          <cell r="CJ416">
            <v>0</v>
          </cell>
          <cell r="CK416">
            <v>3</v>
          </cell>
          <cell r="CL416">
            <v>3</v>
          </cell>
          <cell r="CM416">
            <v>0</v>
          </cell>
          <cell r="CR416">
            <v>0</v>
          </cell>
          <cell r="CS416">
            <v>0</v>
          </cell>
          <cell r="CT416">
            <v>37</v>
          </cell>
          <cell r="CU416">
            <v>8</v>
          </cell>
          <cell r="CV416">
            <v>0</v>
          </cell>
          <cell r="CZ416">
            <v>45</v>
          </cell>
        </row>
        <row r="417">
          <cell r="C417" t="str">
            <v>03123</v>
          </cell>
          <cell r="D417" t="str">
            <v>Nguyễn Thùy Loan</v>
          </cell>
          <cell r="E417" t="str">
            <v>Production</v>
          </cell>
          <cell r="F417" t="str">
            <v>Molding</v>
          </cell>
          <cell r="G417" t="str">
            <v>Worker</v>
          </cell>
          <cell r="H417">
            <v>44532</v>
          </cell>
          <cell r="I417" t="str">
            <v>Đ</v>
          </cell>
          <cell r="J417" t="str">
            <v>Đ</v>
          </cell>
          <cell r="K417" t="str">
            <v>CN</v>
          </cell>
          <cell r="L417">
            <v>8</v>
          </cell>
          <cell r="M417">
            <v>8</v>
          </cell>
          <cell r="N417">
            <v>8</v>
          </cell>
          <cell r="O417">
            <v>8</v>
          </cell>
          <cell r="P417">
            <v>8</v>
          </cell>
          <cell r="Q417">
            <v>8</v>
          </cell>
          <cell r="R417" t="str">
            <v>CN</v>
          </cell>
          <cell r="S417" t="str">
            <v>Đ</v>
          </cell>
          <cell r="T417" t="str">
            <v>Đ</v>
          </cell>
          <cell r="U417" t="str">
            <v>Đ</v>
          </cell>
          <cell r="V417" t="str">
            <v>Đ</v>
          </cell>
          <cell r="W417" t="str">
            <v>Đ</v>
          </cell>
          <cell r="X417" t="str">
            <v>Đ</v>
          </cell>
          <cell r="Y417" t="str">
            <v>CN</v>
          </cell>
          <cell r="Z417">
            <v>8</v>
          </cell>
          <cell r="AA417">
            <v>8</v>
          </cell>
          <cell r="AB417">
            <v>8</v>
          </cell>
          <cell r="AC417">
            <v>8</v>
          </cell>
          <cell r="AD417">
            <v>8</v>
          </cell>
          <cell r="AE417">
            <v>8</v>
          </cell>
          <cell r="AF417" t="str">
            <v>CN</v>
          </cell>
          <cell r="AG417" t="str">
            <v>Đ</v>
          </cell>
          <cell r="AH417" t="str">
            <v>Đ</v>
          </cell>
          <cell r="AI417" t="str">
            <v>Đ</v>
          </cell>
          <cell r="AJ417" t="str">
            <v>Đ</v>
          </cell>
          <cell r="AN417">
            <v>96</v>
          </cell>
          <cell r="AO417">
            <v>96</v>
          </cell>
          <cell r="AP417">
            <v>0</v>
          </cell>
          <cell r="AQ417">
            <v>0</v>
          </cell>
          <cell r="AR417">
            <v>0</v>
          </cell>
          <cell r="AS417">
            <v>0</v>
          </cell>
          <cell r="AT417">
            <v>0</v>
          </cell>
          <cell r="AU417">
            <v>0</v>
          </cell>
          <cell r="AV417">
            <v>0</v>
          </cell>
          <cell r="AW417">
            <v>0</v>
          </cell>
          <cell r="AX417">
            <v>0</v>
          </cell>
          <cell r="AY417">
            <v>0</v>
          </cell>
          <cell r="AZ417">
            <v>0</v>
          </cell>
          <cell r="BA417">
            <v>0</v>
          </cell>
          <cell r="BB417">
            <v>0</v>
          </cell>
          <cell r="BC417">
            <v>0</v>
          </cell>
          <cell r="BD417">
            <v>0</v>
          </cell>
          <cell r="BE417">
            <v>0</v>
          </cell>
          <cell r="BF417">
            <v>0</v>
          </cell>
          <cell r="BG417">
            <v>192</v>
          </cell>
          <cell r="BH417">
            <v>0</v>
          </cell>
          <cell r="BI417">
            <v>0</v>
          </cell>
          <cell r="BJ417">
            <v>4.5</v>
          </cell>
          <cell r="BL417">
            <v>0</v>
          </cell>
          <cell r="BM417">
            <v>4</v>
          </cell>
          <cell r="BN417">
            <v>0</v>
          </cell>
          <cell r="BO417">
            <v>4</v>
          </cell>
          <cell r="BP417">
            <v>0</v>
          </cell>
          <cell r="BQ417">
            <v>0</v>
          </cell>
          <cell r="BR417">
            <v>4</v>
          </cell>
          <cell r="BS417">
            <v>0</v>
          </cell>
          <cell r="BT417">
            <v>4</v>
          </cell>
          <cell r="BU417">
            <v>0</v>
          </cell>
          <cell r="BV417">
            <v>4</v>
          </cell>
          <cell r="BW417">
            <v>0</v>
          </cell>
          <cell r="BX417">
            <v>0</v>
          </cell>
          <cell r="BY417">
            <v>0</v>
          </cell>
          <cell r="BZ417">
            <v>0</v>
          </cell>
          <cell r="CA417">
            <v>4</v>
          </cell>
          <cell r="CB417">
            <v>0</v>
          </cell>
          <cell r="CC417">
            <v>4</v>
          </cell>
          <cell r="CD417">
            <v>0</v>
          </cell>
          <cell r="CE417">
            <v>0</v>
          </cell>
          <cell r="CF417">
            <v>0</v>
          </cell>
          <cell r="CG417">
            <v>0</v>
          </cell>
          <cell r="CH417">
            <v>4</v>
          </cell>
          <cell r="CI417">
            <v>0</v>
          </cell>
          <cell r="CJ417">
            <v>4</v>
          </cell>
          <cell r="CK417">
            <v>0</v>
          </cell>
          <cell r="CL417">
            <v>0</v>
          </cell>
          <cell r="CM417">
            <v>0</v>
          </cell>
          <cell r="CR417">
            <v>0</v>
          </cell>
          <cell r="CS417">
            <v>0</v>
          </cell>
          <cell r="CT417">
            <v>36</v>
          </cell>
          <cell r="CU417">
            <v>0</v>
          </cell>
          <cell r="CV417">
            <v>0</v>
          </cell>
          <cell r="CZ417">
            <v>36</v>
          </cell>
        </row>
        <row r="418">
          <cell r="C418" t="str">
            <v>03126</v>
          </cell>
          <cell r="D418" t="str">
            <v>Đỗ Thị Diềng</v>
          </cell>
          <cell r="E418" t="str">
            <v>Production</v>
          </cell>
          <cell r="F418" t="str">
            <v>Logo</v>
          </cell>
          <cell r="G418" t="str">
            <v>Worker</v>
          </cell>
          <cell r="H418">
            <v>44536</v>
          </cell>
          <cell r="I418">
            <v>8</v>
          </cell>
          <cell r="J418">
            <v>8</v>
          </cell>
          <cell r="K418">
            <v>8</v>
          </cell>
          <cell r="L418" t="str">
            <v>CN</v>
          </cell>
          <cell r="M418" t="str">
            <v>Đ</v>
          </cell>
          <cell r="N418" t="str">
            <v>Đ</v>
          </cell>
          <cell r="O418" t="str">
            <v>Đ</v>
          </cell>
          <cell r="P418" t="str">
            <v>Đ</v>
          </cell>
          <cell r="Q418" t="str">
            <v>Đ</v>
          </cell>
          <cell r="R418" t="str">
            <v>Đ</v>
          </cell>
          <cell r="S418" t="str">
            <v>CN</v>
          </cell>
          <cell r="T418">
            <v>8</v>
          </cell>
          <cell r="U418">
            <v>8</v>
          </cell>
          <cell r="V418">
            <v>8</v>
          </cell>
          <cell r="W418">
            <v>8</v>
          </cell>
          <cell r="X418">
            <v>8</v>
          </cell>
          <cell r="Y418">
            <v>8</v>
          </cell>
          <cell r="Z418" t="str">
            <v>CN</v>
          </cell>
          <cell r="AA418" t="str">
            <v>Đ</v>
          </cell>
          <cell r="AB418" t="str">
            <v>Đ</v>
          </cell>
          <cell r="AC418" t="str">
            <v>Đ</v>
          </cell>
          <cell r="AD418" t="str">
            <v>Đ</v>
          </cell>
          <cell r="AE418" t="str">
            <v>Đ</v>
          </cell>
          <cell r="AF418" t="str">
            <v>Đ</v>
          </cell>
          <cell r="AG418" t="str">
            <v>CN</v>
          </cell>
          <cell r="AH418">
            <v>8</v>
          </cell>
          <cell r="AI418">
            <v>8</v>
          </cell>
          <cell r="AJ418">
            <v>8</v>
          </cell>
          <cell r="AN418">
            <v>96</v>
          </cell>
          <cell r="AO418">
            <v>96</v>
          </cell>
          <cell r="AP418">
            <v>0</v>
          </cell>
          <cell r="AQ418">
            <v>0</v>
          </cell>
          <cell r="AR418">
            <v>0</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192</v>
          </cell>
          <cell r="BH418">
            <v>0</v>
          </cell>
          <cell r="BI418">
            <v>0</v>
          </cell>
          <cell r="BJ418">
            <v>6</v>
          </cell>
          <cell r="BL418">
            <v>0</v>
          </cell>
          <cell r="BM418">
            <v>0</v>
          </cell>
          <cell r="BN418">
            <v>0</v>
          </cell>
          <cell r="BO418">
            <v>0</v>
          </cell>
          <cell r="BP418">
            <v>0</v>
          </cell>
          <cell r="BQ418">
            <v>3</v>
          </cell>
          <cell r="BR418">
            <v>0</v>
          </cell>
          <cell r="BS418">
            <v>3</v>
          </cell>
          <cell r="BT418">
            <v>0</v>
          </cell>
          <cell r="BU418">
            <v>0</v>
          </cell>
          <cell r="BV418">
            <v>0</v>
          </cell>
          <cell r="BW418">
            <v>3</v>
          </cell>
          <cell r="BX418">
            <v>3</v>
          </cell>
          <cell r="BY418">
            <v>3</v>
          </cell>
          <cell r="BZ418">
            <v>3</v>
          </cell>
          <cell r="CA418">
            <v>3</v>
          </cell>
          <cell r="CB418">
            <v>3</v>
          </cell>
          <cell r="CC418">
            <v>8</v>
          </cell>
          <cell r="CD418">
            <v>4</v>
          </cell>
          <cell r="CE418">
            <v>4</v>
          </cell>
          <cell r="CF418">
            <v>4</v>
          </cell>
          <cell r="CG418">
            <v>4</v>
          </cell>
          <cell r="CH418">
            <v>1.5</v>
          </cell>
          <cell r="CI418">
            <v>1.5</v>
          </cell>
          <cell r="CJ418">
            <v>0</v>
          </cell>
          <cell r="CK418">
            <v>1.5</v>
          </cell>
          <cell r="CL418">
            <v>1.5</v>
          </cell>
          <cell r="CM418">
            <v>1.5</v>
          </cell>
          <cell r="CR418">
            <v>0</v>
          </cell>
          <cell r="CS418">
            <v>0</v>
          </cell>
          <cell r="CT418">
            <v>47.5</v>
          </cell>
          <cell r="CU418">
            <v>8</v>
          </cell>
          <cell r="CV418">
            <v>0</v>
          </cell>
          <cell r="CZ418">
            <v>55.5</v>
          </cell>
        </row>
        <row r="419">
          <cell r="C419" t="str">
            <v>03129</v>
          </cell>
          <cell r="D419" t="str">
            <v>Lê Minh Chí Em</v>
          </cell>
          <cell r="E419" t="str">
            <v>Production</v>
          </cell>
          <cell r="F419" t="str">
            <v>Lamination</v>
          </cell>
          <cell r="G419" t="str">
            <v>Operator</v>
          </cell>
          <cell r="H419">
            <v>44536</v>
          </cell>
          <cell r="I419">
            <v>8</v>
          </cell>
          <cell r="J419">
            <v>8</v>
          </cell>
          <cell r="K419" t="str">
            <v>Đ</v>
          </cell>
          <cell r="L419" t="str">
            <v>CN</v>
          </cell>
          <cell r="M419" t="str">
            <v>AL4</v>
          </cell>
          <cell r="N419">
            <v>8</v>
          </cell>
          <cell r="O419">
            <v>8</v>
          </cell>
          <cell r="P419">
            <v>8</v>
          </cell>
          <cell r="Q419" t="str">
            <v>Đ</v>
          </cell>
          <cell r="R419" t="str">
            <v>Đ</v>
          </cell>
          <cell r="S419" t="str">
            <v>CN</v>
          </cell>
          <cell r="T419">
            <v>8</v>
          </cell>
          <cell r="U419">
            <v>8</v>
          </cell>
          <cell r="V419">
            <v>8</v>
          </cell>
          <cell r="W419">
            <v>8</v>
          </cell>
          <cell r="X419">
            <v>8</v>
          </cell>
          <cell r="Y419" t="str">
            <v>Đ</v>
          </cell>
          <cell r="Z419" t="str">
            <v>CN</v>
          </cell>
          <cell r="AA419">
            <v>8</v>
          </cell>
          <cell r="AB419">
            <v>8</v>
          </cell>
          <cell r="AC419">
            <v>8</v>
          </cell>
          <cell r="AD419">
            <v>8</v>
          </cell>
          <cell r="AE419" t="str">
            <v>Đ</v>
          </cell>
          <cell r="AF419" t="str">
            <v>Đ</v>
          </cell>
          <cell r="AG419" t="str">
            <v>CN</v>
          </cell>
          <cell r="AH419">
            <v>8</v>
          </cell>
          <cell r="AI419">
            <v>8</v>
          </cell>
          <cell r="AJ419" t="str">
            <v>AL8</v>
          </cell>
          <cell r="AN419">
            <v>48</v>
          </cell>
          <cell r="AO419">
            <v>132</v>
          </cell>
          <cell r="AP419">
            <v>4</v>
          </cell>
          <cell r="AQ419">
            <v>0</v>
          </cell>
          <cell r="AR419">
            <v>0</v>
          </cell>
          <cell r="AS419">
            <v>0</v>
          </cell>
          <cell r="AT419">
            <v>0</v>
          </cell>
          <cell r="AU419">
            <v>0</v>
          </cell>
          <cell r="AV419">
            <v>0</v>
          </cell>
          <cell r="AW419">
            <v>0</v>
          </cell>
          <cell r="AX419">
            <v>0</v>
          </cell>
          <cell r="AY419">
            <v>0</v>
          </cell>
          <cell r="AZ419">
            <v>0</v>
          </cell>
          <cell r="BA419">
            <v>12</v>
          </cell>
          <cell r="BB419">
            <v>0</v>
          </cell>
          <cell r="BC419">
            <v>0</v>
          </cell>
          <cell r="BD419">
            <v>0</v>
          </cell>
          <cell r="BE419">
            <v>0</v>
          </cell>
          <cell r="BF419">
            <v>0</v>
          </cell>
          <cell r="BG419">
            <v>192</v>
          </cell>
          <cell r="BH419">
            <v>1.5</v>
          </cell>
          <cell r="BI419">
            <v>1.5</v>
          </cell>
          <cell r="BJ419">
            <v>1.5</v>
          </cell>
          <cell r="BL419">
            <v>0</v>
          </cell>
          <cell r="BM419">
            <v>0</v>
          </cell>
          <cell r="BN419">
            <v>4</v>
          </cell>
          <cell r="BO419">
            <v>0</v>
          </cell>
          <cell r="BP419">
            <v>0</v>
          </cell>
          <cell r="BQ419">
            <v>0</v>
          </cell>
          <cell r="BR419">
            <v>0</v>
          </cell>
          <cell r="BS419">
            <v>0</v>
          </cell>
          <cell r="BT419">
            <v>3</v>
          </cell>
          <cell r="BU419">
            <v>4</v>
          </cell>
          <cell r="BV419">
            <v>0</v>
          </cell>
          <cell r="BW419">
            <v>0</v>
          </cell>
          <cell r="BX419">
            <v>0</v>
          </cell>
          <cell r="BY419">
            <v>0</v>
          </cell>
          <cell r="BZ419">
            <v>4</v>
          </cell>
          <cell r="CA419">
            <v>4</v>
          </cell>
          <cell r="CB419">
            <v>4</v>
          </cell>
          <cell r="CC419">
            <v>0</v>
          </cell>
          <cell r="CD419">
            <v>0</v>
          </cell>
          <cell r="CE419">
            <v>0</v>
          </cell>
          <cell r="CF419">
            <v>0</v>
          </cell>
          <cell r="CG419">
            <v>4</v>
          </cell>
          <cell r="CH419">
            <v>4</v>
          </cell>
          <cell r="CI419">
            <v>0</v>
          </cell>
          <cell r="CJ419">
            <v>0</v>
          </cell>
          <cell r="CK419">
            <v>4</v>
          </cell>
          <cell r="CL419">
            <v>0</v>
          </cell>
          <cell r="CM419">
            <v>0</v>
          </cell>
          <cell r="CR419">
            <v>0</v>
          </cell>
          <cell r="CS419">
            <v>0</v>
          </cell>
          <cell r="CT419">
            <v>35</v>
          </cell>
          <cell r="CU419">
            <v>0</v>
          </cell>
          <cell r="CV419">
            <v>0</v>
          </cell>
          <cell r="CZ419">
            <v>35</v>
          </cell>
        </row>
        <row r="420">
          <cell r="C420" t="str">
            <v>03140</v>
          </cell>
          <cell r="D420" t="str">
            <v>Trần Thị Mỹ Nương</v>
          </cell>
          <cell r="E420" t="str">
            <v>Production</v>
          </cell>
          <cell r="F420" t="str">
            <v>Logo</v>
          </cell>
          <cell r="G420" t="str">
            <v>Worker</v>
          </cell>
          <cell r="H420">
            <v>44539</v>
          </cell>
          <cell r="I420" t="str">
            <v>Đ</v>
          </cell>
          <cell r="J420" t="str">
            <v>Đ</v>
          </cell>
          <cell r="K420" t="str">
            <v>Đ</v>
          </cell>
          <cell r="L420" t="str">
            <v>CN</v>
          </cell>
          <cell r="M420">
            <v>8</v>
          </cell>
          <cell r="N420">
            <v>8</v>
          </cell>
          <cell r="O420">
            <v>8</v>
          </cell>
          <cell r="P420">
            <v>8</v>
          </cell>
          <cell r="Q420">
            <v>8</v>
          </cell>
          <cell r="R420">
            <v>8</v>
          </cell>
          <cell r="S420" t="str">
            <v>CN</v>
          </cell>
          <cell r="T420" t="str">
            <v>Đ</v>
          </cell>
          <cell r="U420" t="str">
            <v>Đ</v>
          </cell>
          <cell r="V420" t="str">
            <v>Đ</v>
          </cell>
          <cell r="W420" t="str">
            <v>Đ</v>
          </cell>
          <cell r="X420" t="str">
            <v>Đ</v>
          </cell>
          <cell r="Y420" t="str">
            <v>Đ</v>
          </cell>
          <cell r="Z420" t="str">
            <v>CN</v>
          </cell>
          <cell r="AA420">
            <v>8</v>
          </cell>
          <cell r="AB420">
            <v>8</v>
          </cell>
          <cell r="AC420">
            <v>8</v>
          </cell>
          <cell r="AD420">
            <v>8</v>
          </cell>
          <cell r="AE420">
            <v>8</v>
          </cell>
          <cell r="AF420">
            <v>8</v>
          </cell>
          <cell r="AG420" t="str">
            <v>CN</v>
          </cell>
          <cell r="AH420" t="str">
            <v>AL8</v>
          </cell>
          <cell r="AI420" t="str">
            <v>AL8</v>
          </cell>
          <cell r="AJ420" t="str">
            <v>AL8</v>
          </cell>
          <cell r="AN420">
            <v>72</v>
          </cell>
          <cell r="AO420">
            <v>96</v>
          </cell>
          <cell r="AP420">
            <v>0</v>
          </cell>
          <cell r="AQ420">
            <v>0</v>
          </cell>
          <cell r="AR420">
            <v>0</v>
          </cell>
          <cell r="AS420">
            <v>0</v>
          </cell>
          <cell r="AT420">
            <v>0</v>
          </cell>
          <cell r="AU420">
            <v>0</v>
          </cell>
          <cell r="AV420">
            <v>0</v>
          </cell>
          <cell r="AW420">
            <v>0</v>
          </cell>
          <cell r="AX420">
            <v>0</v>
          </cell>
          <cell r="AY420">
            <v>0</v>
          </cell>
          <cell r="AZ420">
            <v>0</v>
          </cell>
          <cell r="BA420">
            <v>24</v>
          </cell>
          <cell r="BB420">
            <v>0</v>
          </cell>
          <cell r="BC420">
            <v>0</v>
          </cell>
          <cell r="BD420">
            <v>0</v>
          </cell>
          <cell r="BE420">
            <v>0</v>
          </cell>
          <cell r="BF420">
            <v>0</v>
          </cell>
          <cell r="BG420">
            <v>192</v>
          </cell>
          <cell r="BH420">
            <v>3</v>
          </cell>
          <cell r="BI420">
            <v>3</v>
          </cell>
          <cell r="BJ420">
            <v>3</v>
          </cell>
          <cell r="BL420">
            <v>1.5</v>
          </cell>
          <cell r="BM420">
            <v>1.5</v>
          </cell>
          <cell r="BN420">
            <v>1.5</v>
          </cell>
          <cell r="BO420">
            <v>0</v>
          </cell>
          <cell r="BP420">
            <v>1.5</v>
          </cell>
          <cell r="BQ420">
            <v>0</v>
          </cell>
          <cell r="BR420">
            <v>0</v>
          </cell>
          <cell r="BS420">
            <v>3</v>
          </cell>
          <cell r="BT420">
            <v>3</v>
          </cell>
          <cell r="BU420">
            <v>3</v>
          </cell>
          <cell r="BV420">
            <v>0</v>
          </cell>
          <cell r="BW420">
            <v>4</v>
          </cell>
          <cell r="BX420">
            <v>4</v>
          </cell>
          <cell r="BY420">
            <v>4</v>
          </cell>
          <cell r="BZ420">
            <v>4</v>
          </cell>
          <cell r="CA420">
            <v>4</v>
          </cell>
          <cell r="CB420">
            <v>4</v>
          </cell>
          <cell r="CC420">
            <v>0</v>
          </cell>
          <cell r="CD420">
            <v>3</v>
          </cell>
          <cell r="CE420">
            <v>3</v>
          </cell>
          <cell r="CF420">
            <v>3</v>
          </cell>
          <cell r="CG420">
            <v>3</v>
          </cell>
          <cell r="CH420">
            <v>3</v>
          </cell>
          <cell r="CI420">
            <v>3</v>
          </cell>
          <cell r="CJ420">
            <v>0</v>
          </cell>
          <cell r="CK420">
            <v>0</v>
          </cell>
          <cell r="CL420">
            <v>0</v>
          </cell>
          <cell r="CM420">
            <v>0</v>
          </cell>
          <cell r="CR420">
            <v>0</v>
          </cell>
          <cell r="CS420">
            <v>0</v>
          </cell>
          <cell r="CT420">
            <v>57</v>
          </cell>
          <cell r="CU420">
            <v>0</v>
          </cell>
          <cell r="CV420">
            <v>0</v>
          </cell>
          <cell r="CZ420">
            <v>57</v>
          </cell>
        </row>
        <row r="421">
          <cell r="C421" t="str">
            <v>03150</v>
          </cell>
          <cell r="D421" t="str">
            <v>Hồ Thị Mộng Cầm</v>
          </cell>
          <cell r="E421" t="str">
            <v>Production</v>
          </cell>
          <cell r="F421" t="str">
            <v>Molding</v>
          </cell>
          <cell r="G421" t="str">
            <v>Worker</v>
          </cell>
          <cell r="H421">
            <v>44543</v>
          </cell>
          <cell r="I421">
            <v>8</v>
          </cell>
          <cell r="J421">
            <v>8</v>
          </cell>
          <cell r="K421">
            <v>8</v>
          </cell>
          <cell r="L421" t="str">
            <v>CN</v>
          </cell>
          <cell r="M421">
            <v>8</v>
          </cell>
          <cell r="N421">
            <v>8</v>
          </cell>
          <cell r="O421">
            <v>8</v>
          </cell>
          <cell r="P421">
            <v>8</v>
          </cell>
          <cell r="Q421" t="str">
            <v>Đ</v>
          </cell>
          <cell r="R421" t="str">
            <v>Đ</v>
          </cell>
          <cell r="S421" t="str">
            <v>CN</v>
          </cell>
          <cell r="T421">
            <v>8</v>
          </cell>
          <cell r="U421">
            <v>8</v>
          </cell>
          <cell r="V421">
            <v>8</v>
          </cell>
          <cell r="W421">
            <v>8</v>
          </cell>
          <cell r="X421">
            <v>8</v>
          </cell>
          <cell r="Y421">
            <v>8</v>
          </cell>
          <cell r="Z421" t="str">
            <v>CN</v>
          </cell>
          <cell r="AA421">
            <v>8</v>
          </cell>
          <cell r="AB421">
            <v>8</v>
          </cell>
          <cell r="AC421">
            <v>8</v>
          </cell>
          <cell r="AD421">
            <v>8</v>
          </cell>
          <cell r="AE421" t="str">
            <v>Đ</v>
          </cell>
          <cell r="AF421" t="str">
            <v>Đ</v>
          </cell>
          <cell r="AG421" t="str">
            <v>CN</v>
          </cell>
          <cell r="AH421">
            <v>8</v>
          </cell>
          <cell r="AI421">
            <v>8</v>
          </cell>
          <cell r="AJ421">
            <v>8</v>
          </cell>
          <cell r="AN421">
            <v>32</v>
          </cell>
          <cell r="AO421">
            <v>160</v>
          </cell>
          <cell r="AP421">
            <v>0</v>
          </cell>
          <cell r="AQ421">
            <v>0</v>
          </cell>
          <cell r="AR421">
            <v>0</v>
          </cell>
          <cell r="AS421">
            <v>0</v>
          </cell>
          <cell r="AT421">
            <v>0</v>
          </cell>
          <cell r="AU421">
            <v>0</v>
          </cell>
          <cell r="AV421">
            <v>0</v>
          </cell>
          <cell r="AW421">
            <v>0</v>
          </cell>
          <cell r="AX421">
            <v>0</v>
          </cell>
          <cell r="AY421">
            <v>0</v>
          </cell>
          <cell r="AZ421">
            <v>0</v>
          </cell>
          <cell r="BA421">
            <v>0</v>
          </cell>
          <cell r="BB421">
            <v>0</v>
          </cell>
          <cell r="BC421">
            <v>0</v>
          </cell>
          <cell r="BD421">
            <v>0</v>
          </cell>
          <cell r="BE421">
            <v>0</v>
          </cell>
          <cell r="BF421">
            <v>0</v>
          </cell>
          <cell r="BG421">
            <v>192</v>
          </cell>
          <cell r="BH421">
            <v>0</v>
          </cell>
          <cell r="BI421">
            <v>0</v>
          </cell>
          <cell r="BJ421">
            <v>3</v>
          </cell>
          <cell r="BL421">
            <v>0</v>
          </cell>
          <cell r="BM421">
            <v>4</v>
          </cell>
          <cell r="BN421">
            <v>4</v>
          </cell>
          <cell r="BO421">
            <v>0</v>
          </cell>
          <cell r="BP421">
            <v>0</v>
          </cell>
          <cell r="BQ421">
            <v>0</v>
          </cell>
          <cell r="BR421">
            <v>4</v>
          </cell>
          <cell r="BS421">
            <v>0</v>
          </cell>
          <cell r="BT421">
            <v>4</v>
          </cell>
          <cell r="BU421">
            <v>4</v>
          </cell>
          <cell r="BV421">
            <v>0</v>
          </cell>
          <cell r="BW421">
            <v>0</v>
          </cell>
          <cell r="BX421">
            <v>0</v>
          </cell>
          <cell r="BY421">
            <v>0</v>
          </cell>
          <cell r="BZ421">
            <v>0</v>
          </cell>
          <cell r="CA421">
            <v>4</v>
          </cell>
          <cell r="CB421">
            <v>4</v>
          </cell>
          <cell r="CC421">
            <v>0</v>
          </cell>
          <cell r="CD421">
            <v>0</v>
          </cell>
          <cell r="CE421">
            <v>0</v>
          </cell>
          <cell r="CF421">
            <v>0</v>
          </cell>
          <cell r="CG421">
            <v>0</v>
          </cell>
          <cell r="CH421">
            <v>4</v>
          </cell>
          <cell r="CI421">
            <v>4</v>
          </cell>
          <cell r="CJ421">
            <v>0</v>
          </cell>
          <cell r="CK421">
            <v>0</v>
          </cell>
          <cell r="CL421">
            <v>0</v>
          </cell>
          <cell r="CM421">
            <v>0</v>
          </cell>
          <cell r="CR421">
            <v>0</v>
          </cell>
          <cell r="CS421">
            <v>0</v>
          </cell>
          <cell r="CT421">
            <v>36</v>
          </cell>
          <cell r="CU421">
            <v>0</v>
          </cell>
          <cell r="CV421">
            <v>0</v>
          </cell>
          <cell r="CZ421">
            <v>36</v>
          </cell>
        </row>
        <row r="422">
          <cell r="C422" t="str">
            <v>03154</v>
          </cell>
          <cell r="D422" t="str">
            <v>Mai Thủy Tiên</v>
          </cell>
          <cell r="E422" t="str">
            <v>Purchasing</v>
          </cell>
          <cell r="F422" t="str">
            <v>Purchasing</v>
          </cell>
          <cell r="G422" t="str">
            <v>Staff</v>
          </cell>
          <cell r="H422">
            <v>44543</v>
          </cell>
          <cell r="I422">
            <v>8</v>
          </cell>
          <cell r="J422">
            <v>8</v>
          </cell>
          <cell r="K422" t="str">
            <v>PO</v>
          </cell>
          <cell r="L422" t="str">
            <v>CN</v>
          </cell>
          <cell r="M422">
            <v>8</v>
          </cell>
          <cell r="N422">
            <v>8</v>
          </cell>
          <cell r="O422">
            <v>8</v>
          </cell>
          <cell r="P422">
            <v>8</v>
          </cell>
          <cell r="Q422">
            <v>8</v>
          </cell>
          <cell r="R422" t="str">
            <v>PO</v>
          </cell>
          <cell r="S422" t="str">
            <v>CN</v>
          </cell>
          <cell r="T422">
            <v>8</v>
          </cell>
          <cell r="U422">
            <v>8</v>
          </cell>
          <cell r="V422">
            <v>8</v>
          </cell>
          <cell r="W422">
            <v>8</v>
          </cell>
          <cell r="X422">
            <v>8</v>
          </cell>
          <cell r="Y422" t="str">
            <v>PO</v>
          </cell>
          <cell r="Z422" t="str">
            <v>CN</v>
          </cell>
          <cell r="AA422">
            <v>8</v>
          </cell>
          <cell r="AB422">
            <v>8</v>
          </cell>
          <cell r="AC422">
            <v>8</v>
          </cell>
          <cell r="AD422">
            <v>8</v>
          </cell>
          <cell r="AE422">
            <v>8</v>
          </cell>
          <cell r="AF422" t="str">
            <v>PO</v>
          </cell>
          <cell r="AG422" t="str">
            <v>CN</v>
          </cell>
          <cell r="AH422">
            <v>8</v>
          </cell>
          <cell r="AI422">
            <v>8</v>
          </cell>
          <cell r="AJ422" t="str">
            <v>WH</v>
          </cell>
          <cell r="AN422">
            <v>0</v>
          </cell>
          <cell r="AO422">
            <v>152</v>
          </cell>
          <cell r="AP422">
            <v>0</v>
          </cell>
          <cell r="AQ422">
            <v>0</v>
          </cell>
          <cell r="AR422">
            <v>0</v>
          </cell>
          <cell r="AS422">
            <v>0</v>
          </cell>
          <cell r="AT422">
            <v>0</v>
          </cell>
          <cell r="AU422">
            <v>0</v>
          </cell>
          <cell r="AV422">
            <v>32</v>
          </cell>
          <cell r="AW422">
            <v>0</v>
          </cell>
          <cell r="AX422">
            <v>0</v>
          </cell>
          <cell r="AY422">
            <v>0</v>
          </cell>
          <cell r="AZ422">
            <v>0</v>
          </cell>
          <cell r="BA422">
            <v>0</v>
          </cell>
          <cell r="BB422">
            <v>0</v>
          </cell>
          <cell r="BC422">
            <v>0</v>
          </cell>
          <cell r="BD422">
            <v>8</v>
          </cell>
          <cell r="BE422">
            <v>0</v>
          </cell>
          <cell r="BF422">
            <v>0</v>
          </cell>
          <cell r="BG422">
            <v>192</v>
          </cell>
          <cell r="BH422">
            <v>0</v>
          </cell>
          <cell r="BI422">
            <v>0</v>
          </cell>
          <cell r="BJ422">
            <v>2</v>
          </cell>
          <cell r="BL422">
            <v>0</v>
          </cell>
          <cell r="BM422">
            <v>4</v>
          </cell>
          <cell r="BN422">
            <v>0</v>
          </cell>
          <cell r="BO422">
            <v>0</v>
          </cell>
          <cell r="BP422">
            <v>4</v>
          </cell>
          <cell r="BQ422">
            <v>0</v>
          </cell>
          <cell r="BR422">
            <v>0</v>
          </cell>
          <cell r="BS422">
            <v>4</v>
          </cell>
          <cell r="BT422">
            <v>4</v>
          </cell>
          <cell r="BU422">
            <v>0</v>
          </cell>
          <cell r="BV422">
            <v>0</v>
          </cell>
          <cell r="BW422">
            <v>4</v>
          </cell>
          <cell r="BX422">
            <v>4</v>
          </cell>
          <cell r="BY422">
            <v>0</v>
          </cell>
          <cell r="BZ422">
            <v>0</v>
          </cell>
          <cell r="CA422">
            <v>4</v>
          </cell>
          <cell r="CB422">
            <v>0</v>
          </cell>
          <cell r="CC422">
            <v>0</v>
          </cell>
          <cell r="CD422">
            <v>4</v>
          </cell>
          <cell r="CE422">
            <v>0</v>
          </cell>
          <cell r="CF422">
            <v>0</v>
          </cell>
          <cell r="CG422">
            <v>0</v>
          </cell>
          <cell r="CH422">
            <v>4</v>
          </cell>
          <cell r="CI422">
            <v>0</v>
          </cell>
          <cell r="CJ422">
            <v>0</v>
          </cell>
          <cell r="CK422">
            <v>0</v>
          </cell>
          <cell r="CL422">
            <v>0</v>
          </cell>
          <cell r="CM422">
            <v>0</v>
          </cell>
          <cell r="CR422">
            <v>0</v>
          </cell>
          <cell r="CS422">
            <v>0</v>
          </cell>
          <cell r="CT422">
            <v>36</v>
          </cell>
          <cell r="CU422">
            <v>0</v>
          </cell>
          <cell r="CV422">
            <v>0</v>
          </cell>
          <cell r="CZ422">
            <v>36</v>
          </cell>
        </row>
        <row r="423">
          <cell r="C423" t="str">
            <v>03156</v>
          </cell>
          <cell r="D423" t="str">
            <v>Lưu Anh Đức</v>
          </cell>
          <cell r="E423" t="str">
            <v>Production</v>
          </cell>
          <cell r="F423" t="str">
            <v>Molding</v>
          </cell>
          <cell r="G423" t="str">
            <v>Vice Leader</v>
          </cell>
          <cell r="H423">
            <v>44547</v>
          </cell>
          <cell r="I423" t="str">
            <v>Đ</v>
          </cell>
          <cell r="J423" t="str">
            <v>Đ</v>
          </cell>
          <cell r="K423" t="str">
            <v>CN</v>
          </cell>
          <cell r="L423">
            <v>8</v>
          </cell>
          <cell r="M423">
            <v>8</v>
          </cell>
          <cell r="N423">
            <v>8</v>
          </cell>
          <cell r="O423">
            <v>8</v>
          </cell>
          <cell r="P423">
            <v>8</v>
          </cell>
          <cell r="Q423">
            <v>8</v>
          </cell>
          <cell r="R423" t="str">
            <v>CN</v>
          </cell>
          <cell r="S423" t="str">
            <v>Đ</v>
          </cell>
          <cell r="T423" t="str">
            <v>Đ</v>
          </cell>
          <cell r="U423" t="str">
            <v>Đ</v>
          </cell>
          <cell r="V423" t="str">
            <v>Đ</v>
          </cell>
          <cell r="W423" t="str">
            <v>Đ</v>
          </cell>
          <cell r="X423" t="str">
            <v>Đ</v>
          </cell>
          <cell r="Y423" t="str">
            <v>CN</v>
          </cell>
          <cell r="Z423">
            <v>8</v>
          </cell>
          <cell r="AA423">
            <v>8</v>
          </cell>
          <cell r="AB423">
            <v>8</v>
          </cell>
          <cell r="AC423">
            <v>8</v>
          </cell>
          <cell r="AD423">
            <v>8</v>
          </cell>
          <cell r="AE423">
            <v>8</v>
          </cell>
          <cell r="AF423" t="str">
            <v>CN</v>
          </cell>
          <cell r="AG423" t="str">
            <v>Đ</v>
          </cell>
          <cell r="AH423" t="str">
            <v>Đ</v>
          </cell>
          <cell r="AI423" t="str">
            <v>Đ</v>
          </cell>
          <cell r="AJ423" t="str">
            <v>Đ</v>
          </cell>
          <cell r="AN423">
            <v>96</v>
          </cell>
          <cell r="AO423">
            <v>96</v>
          </cell>
          <cell r="AP423">
            <v>0</v>
          </cell>
          <cell r="AQ423">
            <v>0</v>
          </cell>
          <cell r="AR423">
            <v>0</v>
          </cell>
          <cell r="AS423">
            <v>0</v>
          </cell>
          <cell r="AT423">
            <v>0</v>
          </cell>
          <cell r="AU423">
            <v>0</v>
          </cell>
          <cell r="AV423">
            <v>0</v>
          </cell>
          <cell r="AW423">
            <v>0</v>
          </cell>
          <cell r="AX423">
            <v>0</v>
          </cell>
          <cell r="AY423">
            <v>0</v>
          </cell>
          <cell r="AZ423">
            <v>0</v>
          </cell>
          <cell r="BA423">
            <v>0</v>
          </cell>
          <cell r="BB423">
            <v>0</v>
          </cell>
          <cell r="BC423">
            <v>0</v>
          </cell>
          <cell r="BD423">
            <v>0</v>
          </cell>
          <cell r="BE423">
            <v>0</v>
          </cell>
          <cell r="BF423">
            <v>0</v>
          </cell>
          <cell r="BG423">
            <v>192</v>
          </cell>
          <cell r="BH423">
            <v>0</v>
          </cell>
          <cell r="BI423">
            <v>0</v>
          </cell>
          <cell r="BJ423">
            <v>2</v>
          </cell>
          <cell r="BL423">
            <v>0</v>
          </cell>
          <cell r="BM423">
            <v>4</v>
          </cell>
          <cell r="BN423">
            <v>0</v>
          </cell>
          <cell r="BO423">
            <v>4</v>
          </cell>
          <cell r="BP423">
            <v>0</v>
          </cell>
          <cell r="BQ423">
            <v>0</v>
          </cell>
          <cell r="BR423">
            <v>0</v>
          </cell>
          <cell r="BS423">
            <v>4</v>
          </cell>
          <cell r="BT423">
            <v>4</v>
          </cell>
          <cell r="BU423">
            <v>0</v>
          </cell>
          <cell r="BV423">
            <v>0</v>
          </cell>
          <cell r="BW423">
            <v>0</v>
          </cell>
          <cell r="BX423">
            <v>0</v>
          </cell>
          <cell r="BY423">
            <v>0</v>
          </cell>
          <cell r="BZ423">
            <v>4</v>
          </cell>
          <cell r="CA423">
            <v>4</v>
          </cell>
          <cell r="CB423">
            <v>0</v>
          </cell>
          <cell r="CC423">
            <v>4</v>
          </cell>
          <cell r="CD423">
            <v>0</v>
          </cell>
          <cell r="CE423">
            <v>0</v>
          </cell>
          <cell r="CF423">
            <v>0</v>
          </cell>
          <cell r="CG423">
            <v>4</v>
          </cell>
          <cell r="CH423">
            <v>4</v>
          </cell>
          <cell r="CI423">
            <v>0</v>
          </cell>
          <cell r="CJ423">
            <v>4</v>
          </cell>
          <cell r="CK423">
            <v>0</v>
          </cell>
          <cell r="CL423">
            <v>2</v>
          </cell>
          <cell r="CM423">
            <v>0</v>
          </cell>
          <cell r="CR423">
            <v>0</v>
          </cell>
          <cell r="CS423">
            <v>0</v>
          </cell>
          <cell r="CT423">
            <v>42</v>
          </cell>
          <cell r="CU423">
            <v>0</v>
          </cell>
          <cell r="CV423">
            <v>0</v>
          </cell>
          <cell r="CZ423">
            <v>42</v>
          </cell>
        </row>
        <row r="424">
          <cell r="C424" t="str">
            <v>03158</v>
          </cell>
          <cell r="D424" t="str">
            <v>Thái Bình Trọng</v>
          </cell>
          <cell r="E424" t="str">
            <v>Production</v>
          </cell>
          <cell r="F424" t="str">
            <v>Lamination</v>
          </cell>
          <cell r="G424" t="str">
            <v>Worker</v>
          </cell>
          <cell r="H424">
            <v>44547</v>
          </cell>
          <cell r="I424">
            <v>8</v>
          </cell>
          <cell r="J424" t="str">
            <v>AL4</v>
          </cell>
          <cell r="K424">
            <v>8</v>
          </cell>
          <cell r="L424" t="str">
            <v>CN</v>
          </cell>
          <cell r="M424" t="str">
            <v>Đ</v>
          </cell>
          <cell r="N424" t="str">
            <v>Đ</v>
          </cell>
          <cell r="O424" t="str">
            <v>Đ</v>
          </cell>
          <cell r="P424" t="str">
            <v>Đ</v>
          </cell>
          <cell r="Q424" t="str">
            <v>Đ</v>
          </cell>
          <cell r="R424" t="str">
            <v>Đ</v>
          </cell>
          <cell r="S424" t="str">
            <v>CN</v>
          </cell>
          <cell r="T424">
            <v>8</v>
          </cell>
          <cell r="U424">
            <v>8</v>
          </cell>
          <cell r="V424">
            <v>8</v>
          </cell>
          <cell r="W424">
            <v>8</v>
          </cell>
          <cell r="X424">
            <v>8</v>
          </cell>
          <cell r="Y424" t="str">
            <v>Đ</v>
          </cell>
          <cell r="Z424" t="str">
            <v>CN</v>
          </cell>
          <cell r="AA424">
            <v>8</v>
          </cell>
          <cell r="AB424">
            <v>8</v>
          </cell>
          <cell r="AC424">
            <v>8</v>
          </cell>
          <cell r="AD424">
            <v>8</v>
          </cell>
          <cell r="AE424" t="str">
            <v>Đ</v>
          </cell>
          <cell r="AF424" t="str">
            <v>Đ</v>
          </cell>
          <cell r="AG424" t="str">
            <v>CN</v>
          </cell>
          <cell r="AH424">
            <v>8</v>
          </cell>
          <cell r="AI424">
            <v>8</v>
          </cell>
          <cell r="AJ424">
            <v>8</v>
          </cell>
          <cell r="AN424">
            <v>72</v>
          </cell>
          <cell r="AO424">
            <v>116</v>
          </cell>
          <cell r="AP424">
            <v>4</v>
          </cell>
          <cell r="AQ424">
            <v>0</v>
          </cell>
          <cell r="AR424">
            <v>0</v>
          </cell>
          <cell r="AS424">
            <v>0</v>
          </cell>
          <cell r="AT424">
            <v>0</v>
          </cell>
          <cell r="AU424">
            <v>0</v>
          </cell>
          <cell r="AV424">
            <v>0</v>
          </cell>
          <cell r="AW424">
            <v>0</v>
          </cell>
          <cell r="AX424">
            <v>0</v>
          </cell>
          <cell r="AY424">
            <v>0</v>
          </cell>
          <cell r="AZ424">
            <v>0</v>
          </cell>
          <cell r="BA424">
            <v>4</v>
          </cell>
          <cell r="BB424">
            <v>0</v>
          </cell>
          <cell r="BC424">
            <v>0</v>
          </cell>
          <cell r="BD424">
            <v>0</v>
          </cell>
          <cell r="BE424">
            <v>0</v>
          </cell>
          <cell r="BF424">
            <v>0</v>
          </cell>
          <cell r="BG424">
            <v>192</v>
          </cell>
          <cell r="BH424">
            <v>0.5</v>
          </cell>
          <cell r="BI424">
            <v>0.5</v>
          </cell>
          <cell r="BJ424">
            <v>1.5</v>
          </cell>
          <cell r="BL424">
            <v>4</v>
          </cell>
          <cell r="BM424">
            <v>0</v>
          </cell>
          <cell r="BN424">
            <v>0</v>
          </cell>
          <cell r="BO424">
            <v>0</v>
          </cell>
          <cell r="BP424">
            <v>0</v>
          </cell>
          <cell r="BQ424">
            <v>0</v>
          </cell>
          <cell r="BR424">
            <v>0</v>
          </cell>
          <cell r="BS424">
            <v>0</v>
          </cell>
          <cell r="BT424">
            <v>0</v>
          </cell>
          <cell r="BU424">
            <v>0</v>
          </cell>
          <cell r="BV424">
            <v>0</v>
          </cell>
          <cell r="BW424">
            <v>0</v>
          </cell>
          <cell r="BX424">
            <v>0</v>
          </cell>
          <cell r="BY424">
            <v>0</v>
          </cell>
          <cell r="BZ424">
            <v>0</v>
          </cell>
          <cell r="CA424">
            <v>0</v>
          </cell>
          <cell r="CB424">
            <v>4</v>
          </cell>
          <cell r="CC424">
            <v>0</v>
          </cell>
          <cell r="CD424">
            <v>0</v>
          </cell>
          <cell r="CE424">
            <v>0</v>
          </cell>
          <cell r="CF424">
            <v>0</v>
          </cell>
          <cell r="CG424">
            <v>0</v>
          </cell>
          <cell r="CH424">
            <v>4</v>
          </cell>
          <cell r="CI424">
            <v>4</v>
          </cell>
          <cell r="CJ424">
            <v>0</v>
          </cell>
          <cell r="CK424">
            <v>0</v>
          </cell>
          <cell r="CL424">
            <v>0</v>
          </cell>
          <cell r="CM424">
            <v>0</v>
          </cell>
          <cell r="CR424">
            <v>0</v>
          </cell>
          <cell r="CS424">
            <v>0</v>
          </cell>
          <cell r="CT424">
            <v>16</v>
          </cell>
          <cell r="CU424">
            <v>0</v>
          </cell>
          <cell r="CV424">
            <v>0</v>
          </cell>
          <cell r="CZ424">
            <v>16</v>
          </cell>
        </row>
        <row r="425">
          <cell r="C425" t="str">
            <v>03159</v>
          </cell>
          <cell r="D425" t="str">
            <v>Đặng Giang Chiêu Linh</v>
          </cell>
          <cell r="E425" t="str">
            <v>Production</v>
          </cell>
          <cell r="F425" t="str">
            <v>Lamination</v>
          </cell>
          <cell r="G425" t="str">
            <v>Operator</v>
          </cell>
          <cell r="H425">
            <v>44547</v>
          </cell>
          <cell r="I425">
            <v>8</v>
          </cell>
          <cell r="J425" t="str">
            <v>CN</v>
          </cell>
          <cell r="K425">
            <v>8</v>
          </cell>
          <cell r="L425" t="str">
            <v>Đ</v>
          </cell>
          <cell r="M425" t="str">
            <v>Đ</v>
          </cell>
          <cell r="N425" t="str">
            <v>Đ</v>
          </cell>
          <cell r="O425" t="str">
            <v>Đ</v>
          </cell>
          <cell r="P425" t="str">
            <v>Đ</v>
          </cell>
          <cell r="Q425" t="str">
            <v>CN</v>
          </cell>
          <cell r="R425">
            <v>8</v>
          </cell>
          <cell r="S425">
            <v>8</v>
          </cell>
          <cell r="T425">
            <v>8</v>
          </cell>
          <cell r="U425">
            <v>8</v>
          </cell>
          <cell r="V425">
            <v>8</v>
          </cell>
          <cell r="W425">
            <v>8</v>
          </cell>
          <cell r="X425" t="str">
            <v>CN</v>
          </cell>
          <cell r="Y425">
            <v>8</v>
          </cell>
          <cell r="Z425" t="str">
            <v>Đ</v>
          </cell>
          <cell r="AA425" t="str">
            <v>Đ</v>
          </cell>
          <cell r="AB425" t="str">
            <v>Đ</v>
          </cell>
          <cell r="AC425" t="str">
            <v>AL8</v>
          </cell>
          <cell r="AD425" t="str">
            <v>Đ</v>
          </cell>
          <cell r="AE425" t="str">
            <v>CN</v>
          </cell>
          <cell r="AF425">
            <v>8</v>
          </cell>
          <cell r="AG425" t="str">
            <v>Đ</v>
          </cell>
          <cell r="AH425" t="str">
            <v>Đ</v>
          </cell>
          <cell r="AI425" t="str">
            <v>Đ</v>
          </cell>
          <cell r="AJ425" t="str">
            <v>Đ</v>
          </cell>
          <cell r="AN425">
            <v>104</v>
          </cell>
          <cell r="AO425">
            <v>80</v>
          </cell>
          <cell r="AP425">
            <v>0</v>
          </cell>
          <cell r="AQ425">
            <v>0</v>
          </cell>
          <cell r="AR425">
            <v>0</v>
          </cell>
          <cell r="AS425">
            <v>0</v>
          </cell>
          <cell r="AT425">
            <v>0</v>
          </cell>
          <cell r="AU425">
            <v>0</v>
          </cell>
          <cell r="AV425">
            <v>0</v>
          </cell>
          <cell r="AW425">
            <v>0</v>
          </cell>
          <cell r="AX425">
            <v>0</v>
          </cell>
          <cell r="AY425">
            <v>0</v>
          </cell>
          <cell r="AZ425">
            <v>0</v>
          </cell>
          <cell r="BA425">
            <v>8</v>
          </cell>
          <cell r="BB425">
            <v>0</v>
          </cell>
          <cell r="BC425">
            <v>0</v>
          </cell>
          <cell r="BD425">
            <v>0</v>
          </cell>
          <cell r="BE425">
            <v>0</v>
          </cell>
          <cell r="BF425">
            <v>0</v>
          </cell>
          <cell r="BG425">
            <v>192</v>
          </cell>
          <cell r="BH425">
            <v>1</v>
          </cell>
          <cell r="BI425">
            <v>1</v>
          </cell>
          <cell r="BJ425">
            <v>-0.5</v>
          </cell>
          <cell r="BL425">
            <v>0</v>
          </cell>
          <cell r="BM425">
            <v>0</v>
          </cell>
          <cell r="BN425">
            <v>4</v>
          </cell>
          <cell r="BO425">
            <v>4</v>
          </cell>
          <cell r="BP425">
            <v>0</v>
          </cell>
          <cell r="BQ425">
            <v>0</v>
          </cell>
          <cell r="BR425">
            <v>4</v>
          </cell>
          <cell r="BS425">
            <v>0</v>
          </cell>
          <cell r="BT425">
            <v>0</v>
          </cell>
          <cell r="BU425">
            <v>4</v>
          </cell>
          <cell r="BV425">
            <v>4</v>
          </cell>
          <cell r="BW425">
            <v>0</v>
          </cell>
          <cell r="BX425">
            <v>0</v>
          </cell>
          <cell r="BY425">
            <v>0</v>
          </cell>
          <cell r="BZ425">
            <v>0</v>
          </cell>
          <cell r="CA425">
            <v>0</v>
          </cell>
          <cell r="CB425">
            <v>4</v>
          </cell>
          <cell r="CC425">
            <v>4</v>
          </cell>
          <cell r="CD425">
            <v>0</v>
          </cell>
          <cell r="CE425">
            <v>0</v>
          </cell>
          <cell r="CF425">
            <v>0</v>
          </cell>
          <cell r="CG425">
            <v>4</v>
          </cell>
          <cell r="CH425">
            <v>0</v>
          </cell>
          <cell r="CI425">
            <v>4</v>
          </cell>
          <cell r="CJ425">
            <v>4</v>
          </cell>
          <cell r="CK425">
            <v>4</v>
          </cell>
          <cell r="CL425">
            <v>0</v>
          </cell>
          <cell r="CM425">
            <v>0</v>
          </cell>
          <cell r="CR425">
            <v>0</v>
          </cell>
          <cell r="CS425">
            <v>0</v>
          </cell>
          <cell r="CT425">
            <v>44</v>
          </cell>
          <cell r="CU425">
            <v>0</v>
          </cell>
          <cell r="CV425">
            <v>0</v>
          </cell>
          <cell r="CZ425">
            <v>44</v>
          </cell>
        </row>
        <row r="426">
          <cell r="C426" t="str">
            <v>03163</v>
          </cell>
          <cell r="D426" t="str">
            <v>Trần Thanh Thúy</v>
          </cell>
          <cell r="E426" t="str">
            <v>HR &amp; Admin</v>
          </cell>
          <cell r="F426" t="str">
            <v>HR</v>
          </cell>
          <cell r="G426" t="str">
            <v>Specialist</v>
          </cell>
          <cell r="H426">
            <v>44550</v>
          </cell>
          <cell r="I426">
            <v>8</v>
          </cell>
          <cell r="J426">
            <v>8</v>
          </cell>
          <cell r="K426" t="str">
            <v>PO</v>
          </cell>
          <cell r="L426" t="str">
            <v>CN</v>
          </cell>
          <cell r="M426">
            <v>8</v>
          </cell>
          <cell r="N426">
            <v>8</v>
          </cell>
          <cell r="O426">
            <v>8</v>
          </cell>
          <cell r="P426">
            <v>8</v>
          </cell>
          <cell r="Q426">
            <v>8</v>
          </cell>
          <cell r="R426" t="str">
            <v>PO</v>
          </cell>
          <cell r="S426" t="str">
            <v>CN</v>
          </cell>
          <cell r="T426">
            <v>8</v>
          </cell>
          <cell r="U426">
            <v>8</v>
          </cell>
          <cell r="V426">
            <v>8</v>
          </cell>
          <cell r="W426">
            <v>8</v>
          </cell>
          <cell r="X426">
            <v>8</v>
          </cell>
          <cell r="Y426" t="str">
            <v>PO</v>
          </cell>
          <cell r="Z426" t="str">
            <v>CN</v>
          </cell>
          <cell r="AA426">
            <v>8</v>
          </cell>
          <cell r="AB426">
            <v>8</v>
          </cell>
          <cell r="AC426">
            <v>8</v>
          </cell>
          <cell r="AD426">
            <v>8</v>
          </cell>
          <cell r="AE426">
            <v>8</v>
          </cell>
          <cell r="AF426" t="str">
            <v>PO</v>
          </cell>
          <cell r="AG426" t="str">
            <v>CN</v>
          </cell>
          <cell r="AH426">
            <v>8</v>
          </cell>
          <cell r="AI426">
            <v>8</v>
          </cell>
          <cell r="AJ426">
            <v>8</v>
          </cell>
          <cell r="AN426">
            <v>0</v>
          </cell>
          <cell r="AO426">
            <v>160</v>
          </cell>
          <cell r="AP426">
            <v>0</v>
          </cell>
          <cell r="AQ426">
            <v>0</v>
          </cell>
          <cell r="AR426">
            <v>0</v>
          </cell>
          <cell r="AS426">
            <v>0</v>
          </cell>
          <cell r="AT426">
            <v>0</v>
          </cell>
          <cell r="AU426">
            <v>0</v>
          </cell>
          <cell r="AV426">
            <v>32</v>
          </cell>
          <cell r="AW426">
            <v>0</v>
          </cell>
          <cell r="AX426">
            <v>0</v>
          </cell>
          <cell r="AY426">
            <v>0</v>
          </cell>
          <cell r="AZ426">
            <v>0</v>
          </cell>
          <cell r="BA426">
            <v>0</v>
          </cell>
          <cell r="BB426">
            <v>0</v>
          </cell>
          <cell r="BC426">
            <v>0</v>
          </cell>
          <cell r="BD426">
            <v>0</v>
          </cell>
          <cell r="BE426">
            <v>0</v>
          </cell>
          <cell r="BF426">
            <v>0</v>
          </cell>
          <cell r="BG426">
            <v>192</v>
          </cell>
          <cell r="BH426">
            <v>0</v>
          </cell>
          <cell r="BI426">
            <v>0</v>
          </cell>
          <cell r="BJ426">
            <v>6.5</v>
          </cell>
          <cell r="BL426">
            <v>0</v>
          </cell>
          <cell r="BM426">
            <v>0</v>
          </cell>
          <cell r="BN426">
            <v>0</v>
          </cell>
          <cell r="BO426">
            <v>8</v>
          </cell>
          <cell r="BP426">
            <v>0</v>
          </cell>
          <cell r="BQ426">
            <v>0</v>
          </cell>
          <cell r="BR426">
            <v>0</v>
          </cell>
          <cell r="BS426">
            <v>0</v>
          </cell>
          <cell r="BT426">
            <v>0</v>
          </cell>
          <cell r="BU426">
            <v>0</v>
          </cell>
          <cell r="BV426">
            <v>0</v>
          </cell>
          <cell r="BW426">
            <v>0</v>
          </cell>
          <cell r="BX426">
            <v>0</v>
          </cell>
          <cell r="BY426">
            <v>0</v>
          </cell>
          <cell r="BZ426">
            <v>0</v>
          </cell>
          <cell r="CA426">
            <v>0</v>
          </cell>
          <cell r="CB426">
            <v>0</v>
          </cell>
          <cell r="CC426">
            <v>0</v>
          </cell>
          <cell r="CD426">
            <v>0</v>
          </cell>
          <cell r="CE426">
            <v>0</v>
          </cell>
          <cell r="CF426">
            <v>0</v>
          </cell>
          <cell r="CG426">
            <v>0</v>
          </cell>
          <cell r="CH426">
            <v>0</v>
          </cell>
          <cell r="CI426">
            <v>0</v>
          </cell>
          <cell r="CJ426">
            <v>0</v>
          </cell>
          <cell r="CK426">
            <v>0</v>
          </cell>
          <cell r="CL426">
            <v>0</v>
          </cell>
          <cell r="CM426">
            <v>0</v>
          </cell>
          <cell r="CR426">
            <v>0</v>
          </cell>
          <cell r="CS426">
            <v>0</v>
          </cell>
          <cell r="CT426">
            <v>0</v>
          </cell>
          <cell r="CU426">
            <v>8</v>
          </cell>
          <cell r="CV426">
            <v>0</v>
          </cell>
          <cell r="CZ426">
            <v>8</v>
          </cell>
        </row>
        <row r="427">
          <cell r="C427" t="str">
            <v>03165</v>
          </cell>
          <cell r="D427" t="str">
            <v>Lê Thị Như Thảo</v>
          </cell>
          <cell r="E427" t="str">
            <v>Production</v>
          </cell>
          <cell r="F427" t="str">
            <v>Packing</v>
          </cell>
          <cell r="G427" t="str">
            <v>Worker</v>
          </cell>
          <cell r="H427">
            <v>44552</v>
          </cell>
          <cell r="I427">
            <v>8</v>
          </cell>
          <cell r="J427">
            <v>8</v>
          </cell>
          <cell r="K427">
            <v>8</v>
          </cell>
          <cell r="L427" t="str">
            <v>CN</v>
          </cell>
          <cell r="M427" t="str">
            <v>Đ</v>
          </cell>
          <cell r="N427" t="str">
            <v>Đ</v>
          </cell>
          <cell r="O427" t="str">
            <v>Đ</v>
          </cell>
          <cell r="P427" t="str">
            <v>Đ</v>
          </cell>
          <cell r="Q427" t="str">
            <v>Đ</v>
          </cell>
          <cell r="R427" t="str">
            <v>Đ</v>
          </cell>
          <cell r="S427" t="str">
            <v>CN</v>
          </cell>
          <cell r="T427">
            <v>8</v>
          </cell>
          <cell r="U427">
            <v>8</v>
          </cell>
          <cell r="V427">
            <v>8</v>
          </cell>
          <cell r="W427">
            <v>8</v>
          </cell>
          <cell r="X427">
            <v>8</v>
          </cell>
          <cell r="Y427">
            <v>8</v>
          </cell>
          <cell r="Z427" t="str">
            <v>CN</v>
          </cell>
          <cell r="AA427" t="str">
            <v>Đ</v>
          </cell>
          <cell r="AB427" t="str">
            <v>Đ</v>
          </cell>
          <cell r="AC427" t="str">
            <v>Đ</v>
          </cell>
          <cell r="AD427" t="str">
            <v>Đ</v>
          </cell>
          <cell r="AE427" t="str">
            <v>Đ</v>
          </cell>
          <cell r="AF427" t="str">
            <v>Đ</v>
          </cell>
          <cell r="AG427" t="str">
            <v>CN</v>
          </cell>
          <cell r="AH427">
            <v>8</v>
          </cell>
          <cell r="AI427">
            <v>8</v>
          </cell>
          <cell r="AJ427">
            <v>8</v>
          </cell>
          <cell r="AN427">
            <v>96</v>
          </cell>
          <cell r="AO427">
            <v>96</v>
          </cell>
          <cell r="AP427">
            <v>0</v>
          </cell>
          <cell r="AQ427">
            <v>0</v>
          </cell>
          <cell r="AR427">
            <v>0</v>
          </cell>
          <cell r="AS427">
            <v>0</v>
          </cell>
          <cell r="AT427">
            <v>0</v>
          </cell>
          <cell r="AU427">
            <v>0</v>
          </cell>
          <cell r="AV427">
            <v>0</v>
          </cell>
          <cell r="AW427">
            <v>0</v>
          </cell>
          <cell r="AX427">
            <v>0</v>
          </cell>
          <cell r="AY427">
            <v>0</v>
          </cell>
          <cell r="AZ427">
            <v>0</v>
          </cell>
          <cell r="BA427">
            <v>0</v>
          </cell>
          <cell r="BB427">
            <v>0</v>
          </cell>
          <cell r="BC427">
            <v>0</v>
          </cell>
          <cell r="BD427">
            <v>0</v>
          </cell>
          <cell r="BE427">
            <v>0</v>
          </cell>
          <cell r="BF427">
            <v>0</v>
          </cell>
          <cell r="BG427">
            <v>192</v>
          </cell>
          <cell r="BH427">
            <v>0</v>
          </cell>
          <cell r="BI427">
            <v>0</v>
          </cell>
          <cell r="BJ427">
            <v>2</v>
          </cell>
          <cell r="BL427">
            <v>0</v>
          </cell>
          <cell r="BM427">
            <v>1.5</v>
          </cell>
          <cell r="BN427">
            <v>0</v>
          </cell>
          <cell r="BO427">
            <v>0</v>
          </cell>
          <cell r="BP427">
            <v>1.5</v>
          </cell>
          <cell r="BQ427">
            <v>0</v>
          </cell>
          <cell r="BR427">
            <v>0</v>
          </cell>
          <cell r="BS427">
            <v>4</v>
          </cell>
          <cell r="BT427">
            <v>4</v>
          </cell>
          <cell r="BU427">
            <v>4</v>
          </cell>
          <cell r="BV427">
            <v>0</v>
          </cell>
          <cell r="BW427">
            <v>3</v>
          </cell>
          <cell r="BX427">
            <v>3</v>
          </cell>
          <cell r="BY427">
            <v>3</v>
          </cell>
          <cell r="BZ427">
            <v>3</v>
          </cell>
          <cell r="CA427">
            <v>3</v>
          </cell>
          <cell r="CB427">
            <v>3</v>
          </cell>
          <cell r="CC427">
            <v>8</v>
          </cell>
          <cell r="CD427">
            <v>4</v>
          </cell>
          <cell r="CE427">
            <v>4</v>
          </cell>
          <cell r="CF427">
            <v>4</v>
          </cell>
          <cell r="CG427">
            <v>4</v>
          </cell>
          <cell r="CH427">
            <v>4</v>
          </cell>
          <cell r="CI427">
            <v>4</v>
          </cell>
          <cell r="CJ427">
            <v>0</v>
          </cell>
          <cell r="CK427">
            <v>3</v>
          </cell>
          <cell r="CL427">
            <v>3</v>
          </cell>
          <cell r="CM427">
            <v>3</v>
          </cell>
          <cell r="CR427">
            <v>0</v>
          </cell>
          <cell r="CS427">
            <v>0</v>
          </cell>
          <cell r="CT427">
            <v>66</v>
          </cell>
          <cell r="CU427">
            <v>8</v>
          </cell>
          <cell r="CV427">
            <v>0</v>
          </cell>
          <cell r="CZ427">
            <v>74</v>
          </cell>
        </row>
        <row r="428">
          <cell r="C428" t="str">
            <v>03176</v>
          </cell>
          <cell r="D428" t="str">
            <v>Trương Thanh Tài</v>
          </cell>
          <cell r="E428" t="str">
            <v>Production</v>
          </cell>
          <cell r="F428" t="str">
            <v>Packing</v>
          </cell>
          <cell r="G428" t="str">
            <v>Worker</v>
          </cell>
          <cell r="H428">
            <v>44557</v>
          </cell>
          <cell r="I428">
            <v>8</v>
          </cell>
          <cell r="J428">
            <v>8</v>
          </cell>
          <cell r="K428">
            <v>8</v>
          </cell>
          <cell r="L428" t="str">
            <v>CN</v>
          </cell>
          <cell r="M428">
            <v>8</v>
          </cell>
          <cell r="N428">
            <v>8</v>
          </cell>
          <cell r="O428">
            <v>8</v>
          </cell>
          <cell r="P428">
            <v>8</v>
          </cell>
          <cell r="Q428" t="str">
            <v>PO</v>
          </cell>
          <cell r="R428">
            <v>8</v>
          </cell>
          <cell r="S428" t="str">
            <v>CN</v>
          </cell>
          <cell r="T428">
            <v>8</v>
          </cell>
          <cell r="U428" t="str">
            <v>AL4</v>
          </cell>
          <cell r="V428">
            <v>8</v>
          </cell>
          <cell r="W428">
            <v>8</v>
          </cell>
          <cell r="X428">
            <v>8</v>
          </cell>
          <cell r="Y428">
            <v>8</v>
          </cell>
          <cell r="Z428" t="str">
            <v>CN</v>
          </cell>
          <cell r="AA428">
            <v>8</v>
          </cell>
          <cell r="AB428">
            <v>8</v>
          </cell>
          <cell r="AC428">
            <v>8</v>
          </cell>
          <cell r="AD428">
            <v>8</v>
          </cell>
          <cell r="AE428">
            <v>8</v>
          </cell>
          <cell r="AF428">
            <v>8</v>
          </cell>
          <cell r="AG428" t="str">
            <v>CN</v>
          </cell>
          <cell r="AH428">
            <v>8</v>
          </cell>
          <cell r="AI428">
            <v>8</v>
          </cell>
          <cell r="AJ428">
            <v>8</v>
          </cell>
          <cell r="AN428">
            <v>0</v>
          </cell>
          <cell r="AO428">
            <v>180</v>
          </cell>
          <cell r="AP428">
            <v>4</v>
          </cell>
          <cell r="AQ428">
            <v>0</v>
          </cell>
          <cell r="AR428">
            <v>0</v>
          </cell>
          <cell r="AS428">
            <v>0</v>
          </cell>
          <cell r="AT428">
            <v>0</v>
          </cell>
          <cell r="AU428">
            <v>0</v>
          </cell>
          <cell r="AV428">
            <v>8</v>
          </cell>
          <cell r="AW428">
            <v>0</v>
          </cell>
          <cell r="AX428">
            <v>0</v>
          </cell>
          <cell r="AY428">
            <v>0</v>
          </cell>
          <cell r="AZ428">
            <v>0</v>
          </cell>
          <cell r="BA428">
            <v>4</v>
          </cell>
          <cell r="BB428">
            <v>0</v>
          </cell>
          <cell r="BC428">
            <v>0</v>
          </cell>
          <cell r="BD428">
            <v>0</v>
          </cell>
          <cell r="BE428">
            <v>0</v>
          </cell>
          <cell r="BF428">
            <v>0</v>
          </cell>
          <cell r="BG428">
            <v>192</v>
          </cell>
          <cell r="BH428">
            <v>0.5</v>
          </cell>
          <cell r="BI428">
            <v>0.5</v>
          </cell>
          <cell r="BJ428">
            <v>0.5</v>
          </cell>
          <cell r="BL428">
            <v>0</v>
          </cell>
          <cell r="BM428">
            <v>3</v>
          </cell>
          <cell r="BN428">
            <v>0</v>
          </cell>
          <cell r="BO428">
            <v>0</v>
          </cell>
          <cell r="BP428">
            <v>0</v>
          </cell>
          <cell r="BQ428">
            <v>0</v>
          </cell>
          <cell r="BR428">
            <v>0</v>
          </cell>
          <cell r="BS428">
            <v>0</v>
          </cell>
          <cell r="BT428">
            <v>2</v>
          </cell>
          <cell r="BU428">
            <v>3</v>
          </cell>
          <cell r="BV428">
            <v>0</v>
          </cell>
          <cell r="BW428">
            <v>3</v>
          </cell>
          <cell r="BX428">
            <v>2</v>
          </cell>
          <cell r="BY428">
            <v>0</v>
          </cell>
          <cell r="BZ428">
            <v>3</v>
          </cell>
          <cell r="CA428">
            <v>3</v>
          </cell>
          <cell r="CB428">
            <v>3</v>
          </cell>
          <cell r="CC428">
            <v>0</v>
          </cell>
          <cell r="CD428">
            <v>0</v>
          </cell>
          <cell r="CE428">
            <v>3</v>
          </cell>
          <cell r="CF428">
            <v>3</v>
          </cell>
          <cell r="CG428">
            <v>3</v>
          </cell>
          <cell r="CH428">
            <v>3</v>
          </cell>
          <cell r="CI428">
            <v>0</v>
          </cell>
          <cell r="CJ428">
            <v>8</v>
          </cell>
          <cell r="CK428">
            <v>0</v>
          </cell>
          <cell r="CL428">
            <v>3</v>
          </cell>
          <cell r="CM428">
            <v>3</v>
          </cell>
          <cell r="CR428">
            <v>0</v>
          </cell>
          <cell r="CS428">
            <v>0</v>
          </cell>
          <cell r="CT428">
            <v>40</v>
          </cell>
          <cell r="CU428">
            <v>8</v>
          </cell>
          <cell r="CV428">
            <v>0</v>
          </cell>
          <cell r="CZ428">
            <v>48</v>
          </cell>
        </row>
        <row r="429">
          <cell r="C429" t="str">
            <v>03190</v>
          </cell>
          <cell r="D429" t="str">
            <v>Lê Văn Ba</v>
          </cell>
          <cell r="E429" t="str">
            <v>Production</v>
          </cell>
          <cell r="F429" t="str">
            <v>Lamination</v>
          </cell>
          <cell r="G429" t="str">
            <v>Worker</v>
          </cell>
          <cell r="H429">
            <v>44565</v>
          </cell>
          <cell r="I429">
            <v>7.983333333</v>
          </cell>
          <cell r="J429">
            <v>8</v>
          </cell>
          <cell r="K429">
            <v>8</v>
          </cell>
          <cell r="L429" t="str">
            <v>CN</v>
          </cell>
          <cell r="M429">
            <v>8</v>
          </cell>
          <cell r="N429">
            <v>8</v>
          </cell>
          <cell r="O429">
            <v>8</v>
          </cell>
          <cell r="P429">
            <v>8</v>
          </cell>
          <cell r="Q429">
            <v>8</v>
          </cell>
          <cell r="R429">
            <v>8</v>
          </cell>
          <cell r="S429" t="str">
            <v>CN</v>
          </cell>
          <cell r="T429">
            <v>8</v>
          </cell>
          <cell r="U429">
            <v>8</v>
          </cell>
          <cell r="V429">
            <v>8</v>
          </cell>
          <cell r="W429">
            <v>8</v>
          </cell>
          <cell r="X429">
            <v>8</v>
          </cell>
          <cell r="Y429">
            <v>8</v>
          </cell>
          <cell r="Z429" t="str">
            <v>CN</v>
          </cell>
          <cell r="AA429">
            <v>8</v>
          </cell>
          <cell r="AB429">
            <v>8</v>
          </cell>
          <cell r="AC429">
            <v>8</v>
          </cell>
          <cell r="AD429">
            <v>8</v>
          </cell>
          <cell r="AE429">
            <v>8</v>
          </cell>
          <cell r="AF429">
            <v>7.983333333</v>
          </cell>
          <cell r="AG429" t="str">
            <v>CN</v>
          </cell>
          <cell r="AH429">
            <v>8</v>
          </cell>
          <cell r="AI429">
            <v>8</v>
          </cell>
          <cell r="AJ429">
            <v>8</v>
          </cell>
          <cell r="AN429">
            <v>0</v>
          </cell>
          <cell r="AO429">
            <v>191.96666666600001</v>
          </cell>
          <cell r="AP429">
            <v>0</v>
          </cell>
          <cell r="AQ429">
            <v>0</v>
          </cell>
          <cell r="AR429">
            <v>0</v>
          </cell>
          <cell r="AS429">
            <v>0</v>
          </cell>
          <cell r="AT429">
            <v>0</v>
          </cell>
          <cell r="AU429">
            <v>0</v>
          </cell>
          <cell r="AV429">
            <v>0</v>
          </cell>
          <cell r="AW429">
            <v>0</v>
          </cell>
          <cell r="AX429">
            <v>0</v>
          </cell>
          <cell r="AY429">
            <v>0</v>
          </cell>
          <cell r="AZ429">
            <v>0</v>
          </cell>
          <cell r="BA429">
            <v>0</v>
          </cell>
          <cell r="BB429">
            <v>0</v>
          </cell>
          <cell r="BC429">
            <v>0</v>
          </cell>
          <cell r="BD429">
            <v>0</v>
          </cell>
          <cell r="BE429">
            <v>0</v>
          </cell>
          <cell r="BF429">
            <v>0</v>
          </cell>
          <cell r="BG429">
            <v>191.96666666600001</v>
          </cell>
          <cell r="BH429">
            <v>0</v>
          </cell>
          <cell r="BI429">
            <v>0</v>
          </cell>
          <cell r="BJ429">
            <v>5.5</v>
          </cell>
          <cell r="BL429">
            <v>0</v>
          </cell>
          <cell r="BM429">
            <v>0</v>
          </cell>
          <cell r="BN429">
            <v>0</v>
          </cell>
          <cell r="BO429">
            <v>0</v>
          </cell>
          <cell r="BP429">
            <v>3</v>
          </cell>
          <cell r="BQ429">
            <v>3</v>
          </cell>
          <cell r="BR429">
            <v>3</v>
          </cell>
          <cell r="BS429">
            <v>0</v>
          </cell>
          <cell r="BT429">
            <v>0</v>
          </cell>
          <cell r="BU429">
            <v>0</v>
          </cell>
          <cell r="BV429">
            <v>0</v>
          </cell>
          <cell r="BW429">
            <v>0</v>
          </cell>
          <cell r="BX429">
            <v>0</v>
          </cell>
          <cell r="BY429">
            <v>0</v>
          </cell>
          <cell r="BZ429">
            <v>0</v>
          </cell>
          <cell r="CA429">
            <v>0</v>
          </cell>
          <cell r="CB429">
            <v>0</v>
          </cell>
          <cell r="CC429">
            <v>0</v>
          </cell>
          <cell r="CD429">
            <v>0</v>
          </cell>
          <cell r="CE429">
            <v>0</v>
          </cell>
          <cell r="CF429">
            <v>0</v>
          </cell>
          <cell r="CG429">
            <v>0</v>
          </cell>
          <cell r="CH429">
            <v>0</v>
          </cell>
          <cell r="CI429">
            <v>0</v>
          </cell>
          <cell r="CJ429">
            <v>0</v>
          </cell>
          <cell r="CK429">
            <v>0</v>
          </cell>
          <cell r="CL429">
            <v>0</v>
          </cell>
          <cell r="CM429">
            <v>0</v>
          </cell>
          <cell r="CR429">
            <v>0</v>
          </cell>
          <cell r="CS429">
            <v>0</v>
          </cell>
          <cell r="CT429">
            <v>9</v>
          </cell>
          <cell r="CU429">
            <v>0</v>
          </cell>
          <cell r="CV429">
            <v>0</v>
          </cell>
          <cell r="CZ429">
            <v>9</v>
          </cell>
        </row>
        <row r="430">
          <cell r="C430" t="str">
            <v>03198</v>
          </cell>
          <cell r="D430" t="str">
            <v>Lê Thị Trà My</v>
          </cell>
          <cell r="E430" t="str">
            <v>Production</v>
          </cell>
          <cell r="F430" t="str">
            <v>Packing</v>
          </cell>
          <cell r="G430" t="str">
            <v>Worker</v>
          </cell>
          <cell r="H430">
            <v>44568</v>
          </cell>
          <cell r="I430" t="str">
            <v>Đ</v>
          </cell>
          <cell r="J430" t="str">
            <v>Đ</v>
          </cell>
          <cell r="K430" t="str">
            <v>Đ</v>
          </cell>
          <cell r="L430" t="str">
            <v>CN</v>
          </cell>
          <cell r="M430">
            <v>8</v>
          </cell>
          <cell r="N430">
            <v>8</v>
          </cell>
          <cell r="O430">
            <v>8</v>
          </cell>
          <cell r="P430">
            <v>8</v>
          </cell>
          <cell r="Q430">
            <v>8</v>
          </cell>
          <cell r="R430">
            <v>8</v>
          </cell>
          <cell r="S430" t="str">
            <v>CN</v>
          </cell>
          <cell r="T430" t="str">
            <v>Đ</v>
          </cell>
          <cell r="U430" t="str">
            <v>Đ</v>
          </cell>
          <cell r="V430" t="str">
            <v>Đ</v>
          </cell>
          <cell r="W430" t="str">
            <v>Đ</v>
          </cell>
          <cell r="X430" t="str">
            <v>Đ</v>
          </cell>
          <cell r="Y430" t="str">
            <v>Đ</v>
          </cell>
          <cell r="Z430" t="str">
            <v>CN</v>
          </cell>
          <cell r="AA430">
            <v>8</v>
          </cell>
          <cell r="AB430">
            <v>8</v>
          </cell>
          <cell r="AC430">
            <v>8</v>
          </cell>
          <cell r="AD430">
            <v>8</v>
          </cell>
          <cell r="AE430" t="str">
            <v>UP4</v>
          </cell>
          <cell r="AF430">
            <v>8</v>
          </cell>
          <cell r="AG430" t="str">
            <v>CN</v>
          </cell>
          <cell r="AH430" t="str">
            <v>Đ</v>
          </cell>
          <cell r="AI430" t="str">
            <v>Đ</v>
          </cell>
          <cell r="AJ430" t="str">
            <v>Đ</v>
          </cell>
          <cell r="AN430">
            <v>96</v>
          </cell>
          <cell r="AO430">
            <v>92</v>
          </cell>
          <cell r="AP430">
            <v>0</v>
          </cell>
          <cell r="AQ430">
            <v>0</v>
          </cell>
          <cell r="AR430">
            <v>4</v>
          </cell>
          <cell r="AS430">
            <v>4</v>
          </cell>
          <cell r="AT430">
            <v>0</v>
          </cell>
          <cell r="AU430">
            <v>0</v>
          </cell>
          <cell r="AV430">
            <v>0</v>
          </cell>
          <cell r="AW430">
            <v>0</v>
          </cell>
          <cell r="AX430">
            <v>0</v>
          </cell>
          <cell r="AY430">
            <v>0</v>
          </cell>
          <cell r="AZ430">
            <v>0</v>
          </cell>
          <cell r="BA430">
            <v>0</v>
          </cell>
          <cell r="BB430">
            <v>0</v>
          </cell>
          <cell r="BC430">
            <v>0</v>
          </cell>
          <cell r="BD430">
            <v>0</v>
          </cell>
          <cell r="BE430">
            <v>0</v>
          </cell>
          <cell r="BF430">
            <v>0</v>
          </cell>
          <cell r="BG430">
            <v>188</v>
          </cell>
          <cell r="BH430">
            <v>0</v>
          </cell>
          <cell r="BI430">
            <v>0</v>
          </cell>
          <cell r="BJ430">
            <v>1</v>
          </cell>
          <cell r="BL430">
            <v>1.5</v>
          </cell>
          <cell r="BM430">
            <v>4</v>
          </cell>
          <cell r="BN430">
            <v>0</v>
          </cell>
          <cell r="BO430">
            <v>0</v>
          </cell>
          <cell r="BP430">
            <v>1.5</v>
          </cell>
          <cell r="BQ430">
            <v>0</v>
          </cell>
          <cell r="BR430">
            <v>0</v>
          </cell>
          <cell r="BS430">
            <v>3</v>
          </cell>
          <cell r="BT430">
            <v>3</v>
          </cell>
          <cell r="BU430">
            <v>3</v>
          </cell>
          <cell r="BV430">
            <v>0</v>
          </cell>
          <cell r="BW430">
            <v>4</v>
          </cell>
          <cell r="BX430">
            <v>4</v>
          </cell>
          <cell r="BY430">
            <v>4</v>
          </cell>
          <cell r="BZ430">
            <v>4</v>
          </cell>
          <cell r="CA430">
            <v>4</v>
          </cell>
          <cell r="CB430">
            <v>4</v>
          </cell>
          <cell r="CC430">
            <v>0</v>
          </cell>
          <cell r="CD430">
            <v>3</v>
          </cell>
          <cell r="CE430">
            <v>3</v>
          </cell>
          <cell r="CF430">
            <v>3</v>
          </cell>
          <cell r="CG430">
            <v>3</v>
          </cell>
          <cell r="CH430">
            <v>2</v>
          </cell>
          <cell r="CI430">
            <v>3</v>
          </cell>
          <cell r="CJ430">
            <v>11</v>
          </cell>
          <cell r="CK430">
            <v>4</v>
          </cell>
          <cell r="CL430">
            <v>4</v>
          </cell>
          <cell r="CM430">
            <v>4</v>
          </cell>
          <cell r="CR430">
            <v>0</v>
          </cell>
          <cell r="CS430">
            <v>0</v>
          </cell>
          <cell r="CT430">
            <v>69</v>
          </cell>
          <cell r="CU430">
            <v>11</v>
          </cell>
          <cell r="CV430">
            <v>0</v>
          </cell>
          <cell r="CZ430">
            <v>80</v>
          </cell>
        </row>
        <row r="431">
          <cell r="C431" t="str">
            <v>03199</v>
          </cell>
          <cell r="D431" t="str">
            <v>Nguyễn Văn Kiên</v>
          </cell>
          <cell r="E431" t="str">
            <v>Technical Development</v>
          </cell>
          <cell r="F431" t="str">
            <v>PD Sample</v>
          </cell>
          <cell r="G431" t="str">
            <v>Worker</v>
          </cell>
          <cell r="H431">
            <v>44568</v>
          </cell>
          <cell r="I431">
            <v>8</v>
          </cell>
          <cell r="J431">
            <v>8</v>
          </cell>
          <cell r="K431">
            <v>8</v>
          </cell>
          <cell r="L431" t="str">
            <v>CN</v>
          </cell>
          <cell r="M431">
            <v>8</v>
          </cell>
          <cell r="N431">
            <v>8</v>
          </cell>
          <cell r="O431">
            <v>8</v>
          </cell>
          <cell r="P431">
            <v>8</v>
          </cell>
          <cell r="Q431">
            <v>8</v>
          </cell>
          <cell r="R431">
            <v>8</v>
          </cell>
          <cell r="S431" t="str">
            <v>CN</v>
          </cell>
          <cell r="T431">
            <v>8</v>
          </cell>
          <cell r="U431">
            <v>8</v>
          </cell>
          <cell r="V431">
            <v>8</v>
          </cell>
          <cell r="W431">
            <v>8</v>
          </cell>
          <cell r="X431">
            <v>8</v>
          </cell>
          <cell r="Y431">
            <v>8</v>
          </cell>
          <cell r="Z431" t="str">
            <v>CN</v>
          </cell>
          <cell r="AA431">
            <v>8</v>
          </cell>
          <cell r="AB431">
            <v>8</v>
          </cell>
          <cell r="AC431">
            <v>8</v>
          </cell>
          <cell r="AD431">
            <v>8</v>
          </cell>
          <cell r="AE431">
            <v>8</v>
          </cell>
          <cell r="AF431">
            <v>8</v>
          </cell>
          <cell r="AG431" t="str">
            <v>CN</v>
          </cell>
          <cell r="AH431">
            <v>8</v>
          </cell>
          <cell r="AI431">
            <v>8</v>
          </cell>
          <cell r="AJ431">
            <v>8</v>
          </cell>
          <cell r="AN431">
            <v>0</v>
          </cell>
          <cell r="AO431">
            <v>192</v>
          </cell>
          <cell r="AP431">
            <v>0</v>
          </cell>
          <cell r="AQ431">
            <v>0</v>
          </cell>
          <cell r="AR431">
            <v>0</v>
          </cell>
          <cell r="AS431">
            <v>0</v>
          </cell>
          <cell r="AT431">
            <v>0</v>
          </cell>
          <cell r="AU431">
            <v>0</v>
          </cell>
          <cell r="AV431">
            <v>0</v>
          </cell>
          <cell r="AW431">
            <v>0</v>
          </cell>
          <cell r="AX431">
            <v>0</v>
          </cell>
          <cell r="AY431">
            <v>0</v>
          </cell>
          <cell r="AZ431">
            <v>0</v>
          </cell>
          <cell r="BA431">
            <v>0</v>
          </cell>
          <cell r="BB431">
            <v>0</v>
          </cell>
          <cell r="BC431">
            <v>0</v>
          </cell>
          <cell r="BD431">
            <v>0</v>
          </cell>
          <cell r="BE431">
            <v>0</v>
          </cell>
          <cell r="BF431">
            <v>0</v>
          </cell>
          <cell r="BG431">
            <v>192</v>
          </cell>
          <cell r="BH431">
            <v>0</v>
          </cell>
          <cell r="BI431">
            <v>0</v>
          </cell>
          <cell r="BJ431">
            <v>1.5</v>
          </cell>
          <cell r="BL431">
            <v>3</v>
          </cell>
          <cell r="BM431">
            <v>3</v>
          </cell>
          <cell r="BN431">
            <v>0</v>
          </cell>
          <cell r="BO431">
            <v>0</v>
          </cell>
          <cell r="BP431">
            <v>0</v>
          </cell>
          <cell r="BQ431">
            <v>3</v>
          </cell>
          <cell r="BR431">
            <v>3</v>
          </cell>
          <cell r="BS431">
            <v>3</v>
          </cell>
          <cell r="BT431">
            <v>0</v>
          </cell>
          <cell r="BU431">
            <v>0</v>
          </cell>
          <cell r="BV431">
            <v>0</v>
          </cell>
          <cell r="BW431">
            <v>3</v>
          </cell>
          <cell r="BX431">
            <v>3</v>
          </cell>
          <cell r="BY431">
            <v>3</v>
          </cell>
          <cell r="BZ431">
            <v>3</v>
          </cell>
          <cell r="CA431">
            <v>0</v>
          </cell>
          <cell r="CB431">
            <v>0</v>
          </cell>
          <cell r="CC431">
            <v>0</v>
          </cell>
          <cell r="CD431">
            <v>3</v>
          </cell>
          <cell r="CE431">
            <v>3</v>
          </cell>
          <cell r="CF431">
            <v>0</v>
          </cell>
          <cell r="CG431">
            <v>3</v>
          </cell>
          <cell r="CH431">
            <v>3</v>
          </cell>
          <cell r="CI431">
            <v>0</v>
          </cell>
          <cell r="CJ431">
            <v>0</v>
          </cell>
          <cell r="CK431">
            <v>0</v>
          </cell>
          <cell r="CL431">
            <v>0</v>
          </cell>
          <cell r="CM431">
            <v>0</v>
          </cell>
          <cell r="CR431">
            <v>0</v>
          </cell>
          <cell r="CS431">
            <v>0</v>
          </cell>
          <cell r="CT431">
            <v>39</v>
          </cell>
          <cell r="CU431">
            <v>0</v>
          </cell>
          <cell r="CV431">
            <v>0</v>
          </cell>
          <cell r="CZ431">
            <v>39</v>
          </cell>
        </row>
        <row r="432">
          <cell r="C432" t="str">
            <v>03200</v>
          </cell>
          <cell r="D432" t="str">
            <v>Lê Văn Giang</v>
          </cell>
          <cell r="E432" t="str">
            <v>Production</v>
          </cell>
          <cell r="F432" t="str">
            <v>Lamination</v>
          </cell>
          <cell r="G432" t="str">
            <v>Worker</v>
          </cell>
          <cell r="H432">
            <v>44574</v>
          </cell>
          <cell r="I432">
            <v>8</v>
          </cell>
          <cell r="J432">
            <v>8</v>
          </cell>
          <cell r="K432">
            <v>8</v>
          </cell>
          <cell r="L432" t="str">
            <v>CN</v>
          </cell>
          <cell r="M432" t="str">
            <v>Đ</v>
          </cell>
          <cell r="N432" t="str">
            <v>Đ</v>
          </cell>
          <cell r="O432" t="str">
            <v>AL8</v>
          </cell>
          <cell r="P432" t="str">
            <v>Đ</v>
          </cell>
          <cell r="Q432" t="str">
            <v>Đ</v>
          </cell>
          <cell r="R432" t="str">
            <v>Đ</v>
          </cell>
          <cell r="S432" t="str">
            <v>CN</v>
          </cell>
          <cell r="T432">
            <v>8</v>
          </cell>
          <cell r="U432">
            <v>8</v>
          </cell>
          <cell r="V432">
            <v>8</v>
          </cell>
          <cell r="W432">
            <v>8</v>
          </cell>
          <cell r="X432">
            <v>8</v>
          </cell>
          <cell r="Y432">
            <v>8</v>
          </cell>
          <cell r="Z432" t="str">
            <v>CN</v>
          </cell>
          <cell r="AA432">
            <v>8</v>
          </cell>
          <cell r="AB432">
            <v>8</v>
          </cell>
          <cell r="AC432">
            <v>8</v>
          </cell>
          <cell r="AD432">
            <v>8</v>
          </cell>
          <cell r="AE432" t="str">
            <v>Đ</v>
          </cell>
          <cell r="AF432" t="str">
            <v>Đ</v>
          </cell>
          <cell r="AG432" t="str">
            <v>CN</v>
          </cell>
          <cell r="AH432">
            <v>8</v>
          </cell>
          <cell r="AI432">
            <v>8</v>
          </cell>
          <cell r="AJ432">
            <v>8</v>
          </cell>
          <cell r="AN432">
            <v>56</v>
          </cell>
          <cell r="AO432">
            <v>128</v>
          </cell>
          <cell r="AP432">
            <v>0</v>
          </cell>
          <cell r="AQ432">
            <v>0</v>
          </cell>
          <cell r="AR432">
            <v>0</v>
          </cell>
          <cell r="AS432">
            <v>0</v>
          </cell>
          <cell r="AT432">
            <v>0</v>
          </cell>
          <cell r="AU432">
            <v>0</v>
          </cell>
          <cell r="AV432">
            <v>0</v>
          </cell>
          <cell r="AW432">
            <v>0</v>
          </cell>
          <cell r="AX432">
            <v>0</v>
          </cell>
          <cell r="AY432">
            <v>0</v>
          </cell>
          <cell r="AZ432">
            <v>0</v>
          </cell>
          <cell r="BA432">
            <v>8</v>
          </cell>
          <cell r="BB432">
            <v>0</v>
          </cell>
          <cell r="BC432">
            <v>0</v>
          </cell>
          <cell r="BD432">
            <v>0</v>
          </cell>
          <cell r="BE432">
            <v>0</v>
          </cell>
          <cell r="BF432">
            <v>0</v>
          </cell>
          <cell r="BG432">
            <v>192</v>
          </cell>
          <cell r="BH432">
            <v>1</v>
          </cell>
          <cell r="BI432">
            <v>1</v>
          </cell>
          <cell r="BJ432">
            <v>5</v>
          </cell>
          <cell r="BL432">
            <v>0</v>
          </cell>
          <cell r="BM432">
            <v>0</v>
          </cell>
          <cell r="BN432">
            <v>0</v>
          </cell>
          <cell r="BO432">
            <v>0</v>
          </cell>
          <cell r="BP432">
            <v>0</v>
          </cell>
          <cell r="BQ432">
            <v>0</v>
          </cell>
          <cell r="BR432">
            <v>0</v>
          </cell>
          <cell r="BS432">
            <v>0</v>
          </cell>
          <cell r="BT432">
            <v>0</v>
          </cell>
          <cell r="BU432">
            <v>0</v>
          </cell>
          <cell r="BV432">
            <v>0</v>
          </cell>
          <cell r="BW432">
            <v>0</v>
          </cell>
          <cell r="BX432">
            <v>0</v>
          </cell>
          <cell r="BY432">
            <v>0</v>
          </cell>
          <cell r="BZ432">
            <v>0</v>
          </cell>
          <cell r="CA432">
            <v>0</v>
          </cell>
          <cell r="CB432">
            <v>0</v>
          </cell>
          <cell r="CC432">
            <v>0</v>
          </cell>
          <cell r="CD432">
            <v>0</v>
          </cell>
          <cell r="CE432">
            <v>4</v>
          </cell>
          <cell r="CF432">
            <v>4</v>
          </cell>
          <cell r="CG432">
            <v>0</v>
          </cell>
          <cell r="CH432">
            <v>4</v>
          </cell>
          <cell r="CI432">
            <v>4</v>
          </cell>
          <cell r="CJ432">
            <v>0</v>
          </cell>
          <cell r="CK432">
            <v>0</v>
          </cell>
          <cell r="CL432">
            <v>0</v>
          </cell>
          <cell r="CM432">
            <v>4</v>
          </cell>
          <cell r="CR432">
            <v>0</v>
          </cell>
          <cell r="CS432">
            <v>0</v>
          </cell>
          <cell r="CT432">
            <v>20</v>
          </cell>
          <cell r="CU432">
            <v>0</v>
          </cell>
          <cell r="CV432">
            <v>0</v>
          </cell>
          <cell r="CZ432">
            <v>20</v>
          </cell>
        </row>
        <row r="433">
          <cell r="C433" t="str">
            <v>03206</v>
          </cell>
          <cell r="D433" t="str">
            <v>Trần Thị Hồng</v>
          </cell>
          <cell r="E433" t="str">
            <v>HR &amp; Admin</v>
          </cell>
          <cell r="F433" t="str">
            <v>Admin</v>
          </cell>
          <cell r="G433" t="str">
            <v>Cleaner</v>
          </cell>
          <cell r="H433">
            <v>44579</v>
          </cell>
          <cell r="I433">
            <v>8</v>
          </cell>
          <cell r="J433">
            <v>8</v>
          </cell>
          <cell r="K433">
            <v>8</v>
          </cell>
          <cell r="L433" t="str">
            <v>CN</v>
          </cell>
          <cell r="M433">
            <v>8</v>
          </cell>
          <cell r="N433">
            <v>8</v>
          </cell>
          <cell r="O433">
            <v>8</v>
          </cell>
          <cell r="P433">
            <v>8</v>
          </cell>
          <cell r="Q433">
            <v>8</v>
          </cell>
          <cell r="R433">
            <v>8</v>
          </cell>
          <cell r="S433" t="str">
            <v>CN</v>
          </cell>
          <cell r="T433">
            <v>8</v>
          </cell>
          <cell r="U433">
            <v>8</v>
          </cell>
          <cell r="V433">
            <v>8</v>
          </cell>
          <cell r="W433">
            <v>8</v>
          </cell>
          <cell r="X433">
            <v>8</v>
          </cell>
          <cell r="Y433">
            <v>8</v>
          </cell>
          <cell r="Z433" t="str">
            <v>CN</v>
          </cell>
          <cell r="AA433">
            <v>8</v>
          </cell>
          <cell r="AB433">
            <v>8</v>
          </cell>
          <cell r="AC433">
            <v>8</v>
          </cell>
          <cell r="AD433">
            <v>8</v>
          </cell>
          <cell r="AE433">
            <v>8</v>
          </cell>
          <cell r="AF433">
            <v>8</v>
          </cell>
          <cell r="AG433" t="str">
            <v>CN</v>
          </cell>
          <cell r="AH433">
            <v>8</v>
          </cell>
          <cell r="AI433">
            <v>8</v>
          </cell>
          <cell r="AJ433">
            <v>8</v>
          </cell>
          <cell r="AN433">
            <v>0</v>
          </cell>
          <cell r="AO433">
            <v>192</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192</v>
          </cell>
          <cell r="BH433">
            <v>0</v>
          </cell>
          <cell r="BI433">
            <v>0</v>
          </cell>
          <cell r="BJ433">
            <v>4</v>
          </cell>
          <cell r="BL433">
            <v>1</v>
          </cell>
          <cell r="BM433">
            <v>1</v>
          </cell>
          <cell r="BN433">
            <v>0</v>
          </cell>
          <cell r="BO433">
            <v>0</v>
          </cell>
          <cell r="BP433">
            <v>1</v>
          </cell>
          <cell r="BQ433">
            <v>1</v>
          </cell>
          <cell r="BR433">
            <v>1</v>
          </cell>
          <cell r="BS433">
            <v>1</v>
          </cell>
          <cell r="BT433">
            <v>1</v>
          </cell>
          <cell r="BU433">
            <v>0</v>
          </cell>
          <cell r="BV433">
            <v>0</v>
          </cell>
          <cell r="BW433">
            <v>1</v>
          </cell>
          <cell r="BX433">
            <v>1</v>
          </cell>
          <cell r="BY433">
            <v>1</v>
          </cell>
          <cell r="BZ433">
            <v>1</v>
          </cell>
          <cell r="CA433">
            <v>1</v>
          </cell>
          <cell r="CB433">
            <v>0</v>
          </cell>
          <cell r="CC433">
            <v>0</v>
          </cell>
          <cell r="CD433">
            <v>1</v>
          </cell>
          <cell r="CE433">
            <v>1</v>
          </cell>
          <cell r="CF433">
            <v>1</v>
          </cell>
          <cell r="CG433">
            <v>1</v>
          </cell>
          <cell r="CH433">
            <v>1</v>
          </cell>
          <cell r="CI433">
            <v>0</v>
          </cell>
          <cell r="CJ433">
            <v>0</v>
          </cell>
          <cell r="CK433">
            <v>1</v>
          </cell>
          <cell r="CL433">
            <v>1</v>
          </cell>
          <cell r="CM433">
            <v>1</v>
          </cell>
          <cell r="CR433">
            <v>0</v>
          </cell>
          <cell r="CS433">
            <v>0</v>
          </cell>
          <cell r="CT433">
            <v>20</v>
          </cell>
          <cell r="CU433">
            <v>0</v>
          </cell>
          <cell r="CV433">
            <v>0</v>
          </cell>
          <cell r="CZ433">
            <v>20</v>
          </cell>
        </row>
        <row r="434">
          <cell r="C434" t="str">
            <v>03210</v>
          </cell>
          <cell r="D434" t="str">
            <v>Bùi Văn Linh</v>
          </cell>
          <cell r="E434" t="str">
            <v>Production</v>
          </cell>
          <cell r="F434" t="str">
            <v>Lamination</v>
          </cell>
          <cell r="G434" t="str">
            <v>Worker</v>
          </cell>
          <cell r="H434">
            <v>44601</v>
          </cell>
          <cell r="I434" t="str">
            <v>AL8</v>
          </cell>
          <cell r="J434" t="str">
            <v>CN</v>
          </cell>
          <cell r="K434">
            <v>8</v>
          </cell>
          <cell r="L434" t="str">
            <v>Đ</v>
          </cell>
          <cell r="M434" t="str">
            <v>Đ</v>
          </cell>
          <cell r="N434" t="str">
            <v>Đ</v>
          </cell>
          <cell r="O434" t="str">
            <v>Đ</v>
          </cell>
          <cell r="P434" t="str">
            <v>Đ</v>
          </cell>
          <cell r="Q434" t="str">
            <v>CN</v>
          </cell>
          <cell r="R434">
            <v>8</v>
          </cell>
          <cell r="S434">
            <v>8</v>
          </cell>
          <cell r="T434">
            <v>8</v>
          </cell>
          <cell r="U434">
            <v>8</v>
          </cell>
          <cell r="V434">
            <v>8</v>
          </cell>
          <cell r="W434">
            <v>8</v>
          </cell>
          <cell r="X434" t="str">
            <v>CN</v>
          </cell>
          <cell r="Y434">
            <v>8</v>
          </cell>
          <cell r="Z434" t="str">
            <v>Đ</v>
          </cell>
          <cell r="AA434" t="str">
            <v>Đ</v>
          </cell>
          <cell r="AB434" t="str">
            <v>Đ</v>
          </cell>
          <cell r="AC434" t="str">
            <v>Đ</v>
          </cell>
          <cell r="AD434" t="str">
            <v>Đ</v>
          </cell>
          <cell r="AE434" t="str">
            <v>CN</v>
          </cell>
          <cell r="AF434">
            <v>8</v>
          </cell>
          <cell r="AG434" t="str">
            <v>Đ</v>
          </cell>
          <cell r="AH434" t="str">
            <v>AL8</v>
          </cell>
          <cell r="AI434" t="str">
            <v>Đ</v>
          </cell>
          <cell r="AJ434" t="str">
            <v>Đ</v>
          </cell>
          <cell r="AN434">
            <v>104</v>
          </cell>
          <cell r="AO434">
            <v>72</v>
          </cell>
          <cell r="AP434">
            <v>0</v>
          </cell>
          <cell r="AQ434">
            <v>0</v>
          </cell>
          <cell r="AR434">
            <v>0</v>
          </cell>
          <cell r="AS434">
            <v>0</v>
          </cell>
          <cell r="AT434">
            <v>0</v>
          </cell>
          <cell r="AU434">
            <v>0</v>
          </cell>
          <cell r="AV434">
            <v>0</v>
          </cell>
          <cell r="AW434">
            <v>0</v>
          </cell>
          <cell r="AX434">
            <v>0</v>
          </cell>
          <cell r="AY434">
            <v>0</v>
          </cell>
          <cell r="AZ434">
            <v>0</v>
          </cell>
          <cell r="BA434">
            <v>16</v>
          </cell>
          <cell r="BB434">
            <v>0</v>
          </cell>
          <cell r="BC434">
            <v>0</v>
          </cell>
          <cell r="BD434">
            <v>0</v>
          </cell>
          <cell r="BE434">
            <v>0</v>
          </cell>
          <cell r="BF434">
            <v>0</v>
          </cell>
          <cell r="BG434">
            <v>192</v>
          </cell>
          <cell r="BH434">
            <v>2</v>
          </cell>
          <cell r="BI434">
            <v>2</v>
          </cell>
          <cell r="BJ434">
            <v>-1</v>
          </cell>
          <cell r="BL434">
            <v>0</v>
          </cell>
          <cell r="BM434">
            <v>0</v>
          </cell>
          <cell r="BN434">
            <v>4</v>
          </cell>
          <cell r="BO434">
            <v>4</v>
          </cell>
          <cell r="BP434">
            <v>0</v>
          </cell>
          <cell r="BQ434">
            <v>0</v>
          </cell>
          <cell r="BR434">
            <v>0</v>
          </cell>
          <cell r="BS434">
            <v>0</v>
          </cell>
          <cell r="BT434">
            <v>0</v>
          </cell>
          <cell r="BU434">
            <v>4</v>
          </cell>
          <cell r="BV434">
            <v>3</v>
          </cell>
          <cell r="BW434">
            <v>0</v>
          </cell>
          <cell r="BX434">
            <v>0</v>
          </cell>
          <cell r="BY434">
            <v>0</v>
          </cell>
          <cell r="BZ434">
            <v>0</v>
          </cell>
          <cell r="CA434">
            <v>0</v>
          </cell>
          <cell r="CB434">
            <v>4</v>
          </cell>
          <cell r="CC434">
            <v>4</v>
          </cell>
          <cell r="CD434">
            <v>0</v>
          </cell>
          <cell r="CE434">
            <v>0</v>
          </cell>
          <cell r="CF434">
            <v>0</v>
          </cell>
          <cell r="CG434">
            <v>4</v>
          </cell>
          <cell r="CH434">
            <v>0</v>
          </cell>
          <cell r="CI434">
            <v>4</v>
          </cell>
          <cell r="CJ434">
            <v>4</v>
          </cell>
          <cell r="CK434">
            <v>0</v>
          </cell>
          <cell r="CL434">
            <v>0</v>
          </cell>
          <cell r="CM434">
            <v>4</v>
          </cell>
          <cell r="CR434">
            <v>0</v>
          </cell>
          <cell r="CS434">
            <v>0</v>
          </cell>
          <cell r="CT434">
            <v>39</v>
          </cell>
          <cell r="CU434">
            <v>0</v>
          </cell>
          <cell r="CV434">
            <v>0</v>
          </cell>
          <cell r="CZ434">
            <v>39</v>
          </cell>
        </row>
        <row r="435">
          <cell r="C435" t="str">
            <v>03212</v>
          </cell>
          <cell r="D435" t="str">
            <v>Nguyễn Bé Vũ</v>
          </cell>
          <cell r="E435" t="str">
            <v>Production</v>
          </cell>
          <cell r="F435" t="str">
            <v>Lamination</v>
          </cell>
          <cell r="G435" t="str">
            <v>Worker</v>
          </cell>
          <cell r="H435">
            <v>44601</v>
          </cell>
          <cell r="I435">
            <v>8</v>
          </cell>
          <cell r="J435" t="str">
            <v>CN</v>
          </cell>
          <cell r="K435">
            <v>8</v>
          </cell>
          <cell r="L435" t="str">
            <v>Đ</v>
          </cell>
          <cell r="M435" t="str">
            <v>Đ</v>
          </cell>
          <cell r="N435" t="str">
            <v>Đ</v>
          </cell>
          <cell r="O435" t="str">
            <v>Đ</v>
          </cell>
          <cell r="P435" t="str">
            <v>Đ</v>
          </cell>
          <cell r="Q435" t="str">
            <v>CN</v>
          </cell>
          <cell r="R435">
            <v>8</v>
          </cell>
          <cell r="S435">
            <v>8</v>
          </cell>
          <cell r="T435">
            <v>8</v>
          </cell>
          <cell r="U435">
            <v>8</v>
          </cell>
          <cell r="V435">
            <v>8</v>
          </cell>
          <cell r="W435">
            <v>8</v>
          </cell>
          <cell r="X435" t="str">
            <v>CN</v>
          </cell>
          <cell r="Y435">
            <v>8</v>
          </cell>
          <cell r="Z435" t="str">
            <v>Đ</v>
          </cell>
          <cell r="AA435" t="str">
            <v>Đ</v>
          </cell>
          <cell r="AB435" t="str">
            <v>Đ</v>
          </cell>
          <cell r="AC435" t="str">
            <v>Đ</v>
          </cell>
          <cell r="AD435" t="str">
            <v>Đ</v>
          </cell>
          <cell r="AE435" t="str">
            <v>CN</v>
          </cell>
          <cell r="AF435">
            <v>8</v>
          </cell>
          <cell r="AG435" t="str">
            <v>Đ</v>
          </cell>
          <cell r="AH435" t="str">
            <v>Đ</v>
          </cell>
          <cell r="AI435" t="str">
            <v>Đ</v>
          </cell>
          <cell r="AJ435" t="str">
            <v>Đ</v>
          </cell>
          <cell r="AN435">
            <v>112</v>
          </cell>
          <cell r="AO435">
            <v>80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192</v>
          </cell>
          <cell r="BH435">
            <v>0</v>
          </cell>
          <cell r="BI435">
            <v>0</v>
          </cell>
          <cell r="BJ435">
            <v>1.5</v>
          </cell>
          <cell r="BL435">
            <v>0</v>
          </cell>
          <cell r="BM435">
            <v>0</v>
          </cell>
          <cell r="BN435">
            <v>0</v>
          </cell>
          <cell r="BO435">
            <v>2</v>
          </cell>
          <cell r="BP435">
            <v>0</v>
          </cell>
          <cell r="BQ435">
            <v>0</v>
          </cell>
          <cell r="BR435">
            <v>0</v>
          </cell>
          <cell r="BS435">
            <v>0</v>
          </cell>
          <cell r="BT435">
            <v>0</v>
          </cell>
          <cell r="BU435">
            <v>4</v>
          </cell>
          <cell r="BV435">
            <v>4</v>
          </cell>
          <cell r="BW435">
            <v>0</v>
          </cell>
          <cell r="BX435">
            <v>0</v>
          </cell>
          <cell r="BY435">
            <v>4</v>
          </cell>
          <cell r="BZ435">
            <v>0</v>
          </cell>
          <cell r="CA435">
            <v>0</v>
          </cell>
          <cell r="CB435">
            <v>4</v>
          </cell>
          <cell r="CC435">
            <v>4</v>
          </cell>
          <cell r="CD435">
            <v>0</v>
          </cell>
          <cell r="CE435">
            <v>0</v>
          </cell>
          <cell r="CF435">
            <v>4</v>
          </cell>
          <cell r="CG435">
            <v>0</v>
          </cell>
          <cell r="CH435">
            <v>0</v>
          </cell>
          <cell r="CI435">
            <v>4</v>
          </cell>
          <cell r="CJ435">
            <v>4</v>
          </cell>
          <cell r="CK435">
            <v>0</v>
          </cell>
          <cell r="CL435">
            <v>0</v>
          </cell>
          <cell r="CM435">
            <v>0</v>
          </cell>
          <cell r="CR435">
            <v>0</v>
          </cell>
          <cell r="CS435">
            <v>0</v>
          </cell>
          <cell r="CT435">
            <v>34</v>
          </cell>
          <cell r="CU435">
            <v>0</v>
          </cell>
          <cell r="CV435">
            <v>0</v>
          </cell>
          <cell r="CZ435">
            <v>34</v>
          </cell>
        </row>
        <row r="436">
          <cell r="C436" t="str">
            <v>03216</v>
          </cell>
          <cell r="D436" t="str">
            <v>Hoàng Thị Tuyết Sương</v>
          </cell>
          <cell r="E436" t="str">
            <v>Purchasing</v>
          </cell>
          <cell r="F436" t="str">
            <v>Purchasing</v>
          </cell>
          <cell r="G436" t="str">
            <v>Staff</v>
          </cell>
          <cell r="H436">
            <v>44602</v>
          </cell>
          <cell r="I436">
            <v>8</v>
          </cell>
          <cell r="J436">
            <v>8</v>
          </cell>
          <cell r="K436" t="str">
            <v>PO</v>
          </cell>
          <cell r="L436" t="str">
            <v>CN</v>
          </cell>
          <cell r="M436">
            <v>8</v>
          </cell>
          <cell r="N436">
            <v>8</v>
          </cell>
          <cell r="O436">
            <v>8</v>
          </cell>
          <cell r="P436" t="str">
            <v>BS</v>
          </cell>
          <cell r="Q436">
            <v>8</v>
          </cell>
          <cell r="R436" t="str">
            <v>PO</v>
          </cell>
          <cell r="S436" t="str">
            <v>CN</v>
          </cell>
          <cell r="T436">
            <v>8</v>
          </cell>
          <cell r="U436">
            <v>8</v>
          </cell>
          <cell r="V436">
            <v>8</v>
          </cell>
          <cell r="W436">
            <v>8</v>
          </cell>
          <cell r="X436">
            <v>8</v>
          </cell>
          <cell r="Y436" t="str">
            <v>PO</v>
          </cell>
          <cell r="Z436" t="str">
            <v>CN</v>
          </cell>
          <cell r="AA436">
            <v>8</v>
          </cell>
          <cell r="AB436">
            <v>8</v>
          </cell>
          <cell r="AC436">
            <v>8</v>
          </cell>
          <cell r="AD436">
            <v>8</v>
          </cell>
          <cell r="AE436">
            <v>8</v>
          </cell>
          <cell r="AF436" t="str">
            <v>PO</v>
          </cell>
          <cell r="AG436" t="str">
            <v>CN</v>
          </cell>
          <cell r="AH436">
            <v>8</v>
          </cell>
          <cell r="AI436">
            <v>8</v>
          </cell>
          <cell r="AJ436">
            <v>8</v>
          </cell>
          <cell r="AN436">
            <v>0</v>
          </cell>
          <cell r="AO436">
            <v>152</v>
          </cell>
          <cell r="AP436">
            <v>0</v>
          </cell>
          <cell r="AQ436">
            <v>0</v>
          </cell>
          <cell r="AR436">
            <v>0</v>
          </cell>
          <cell r="AS436">
            <v>0</v>
          </cell>
          <cell r="AT436">
            <v>0</v>
          </cell>
          <cell r="AU436">
            <v>8</v>
          </cell>
          <cell r="AV436">
            <v>32</v>
          </cell>
          <cell r="AW436">
            <v>0</v>
          </cell>
          <cell r="AX436">
            <v>0</v>
          </cell>
          <cell r="AY436">
            <v>0</v>
          </cell>
          <cell r="AZ436">
            <v>0</v>
          </cell>
          <cell r="BA436">
            <v>0</v>
          </cell>
          <cell r="BB436">
            <v>0</v>
          </cell>
          <cell r="BC436">
            <v>0</v>
          </cell>
          <cell r="BD436">
            <v>0</v>
          </cell>
          <cell r="BE436">
            <v>0</v>
          </cell>
          <cell r="BF436">
            <v>0</v>
          </cell>
          <cell r="BG436">
            <v>192</v>
          </cell>
          <cell r="BH436">
            <v>0</v>
          </cell>
          <cell r="BI436">
            <v>0</v>
          </cell>
          <cell r="BJ436">
            <v>6</v>
          </cell>
          <cell r="BL436">
            <v>0</v>
          </cell>
          <cell r="BM436">
            <v>0</v>
          </cell>
          <cell r="BN436">
            <v>0</v>
          </cell>
          <cell r="BO436">
            <v>0</v>
          </cell>
          <cell r="BP436">
            <v>0</v>
          </cell>
          <cell r="BQ436">
            <v>4</v>
          </cell>
          <cell r="BR436">
            <v>4</v>
          </cell>
          <cell r="BS436">
            <v>4</v>
          </cell>
          <cell r="BT436">
            <v>0</v>
          </cell>
          <cell r="BU436">
            <v>0</v>
          </cell>
          <cell r="BV436">
            <v>0</v>
          </cell>
          <cell r="BW436">
            <v>0</v>
          </cell>
          <cell r="BX436">
            <v>4</v>
          </cell>
          <cell r="BY436">
            <v>4</v>
          </cell>
          <cell r="BZ436">
            <v>4</v>
          </cell>
          <cell r="CA436">
            <v>0</v>
          </cell>
          <cell r="CB436">
            <v>0</v>
          </cell>
          <cell r="CC436">
            <v>0</v>
          </cell>
          <cell r="CD436">
            <v>0</v>
          </cell>
          <cell r="CE436">
            <v>4</v>
          </cell>
          <cell r="CF436">
            <v>4</v>
          </cell>
          <cell r="CG436">
            <v>4</v>
          </cell>
          <cell r="CH436">
            <v>0</v>
          </cell>
          <cell r="CI436">
            <v>0</v>
          </cell>
          <cell r="CJ436">
            <v>0</v>
          </cell>
          <cell r="CK436">
            <v>0</v>
          </cell>
          <cell r="CL436">
            <v>0</v>
          </cell>
          <cell r="CM436">
            <v>0</v>
          </cell>
          <cell r="CR436">
            <v>0</v>
          </cell>
          <cell r="CS436">
            <v>0</v>
          </cell>
          <cell r="CT436">
            <v>36</v>
          </cell>
          <cell r="CU436">
            <v>0</v>
          </cell>
          <cell r="CV436">
            <v>0</v>
          </cell>
          <cell r="CZ436">
            <v>36</v>
          </cell>
        </row>
        <row r="437">
          <cell r="C437" t="str">
            <v>03221</v>
          </cell>
          <cell r="D437" t="str">
            <v>Lê Thị Bé Chín</v>
          </cell>
          <cell r="E437" t="str">
            <v>Production</v>
          </cell>
          <cell r="F437" t="str">
            <v>Logo</v>
          </cell>
          <cell r="G437" t="str">
            <v>Worker</v>
          </cell>
          <cell r="H437">
            <v>44603</v>
          </cell>
          <cell r="I437">
            <v>8</v>
          </cell>
          <cell r="J437">
            <v>8</v>
          </cell>
          <cell r="K437">
            <v>8</v>
          </cell>
          <cell r="L437" t="str">
            <v>CN</v>
          </cell>
          <cell r="M437" t="str">
            <v>Đ</v>
          </cell>
          <cell r="N437" t="str">
            <v>Đ</v>
          </cell>
          <cell r="O437" t="str">
            <v>Đ</v>
          </cell>
          <cell r="P437" t="str">
            <v>Đ</v>
          </cell>
          <cell r="Q437" t="str">
            <v>Đ</v>
          </cell>
          <cell r="R437" t="str">
            <v>Đ</v>
          </cell>
          <cell r="S437" t="str">
            <v>CN</v>
          </cell>
          <cell r="T437">
            <v>8</v>
          </cell>
          <cell r="U437">
            <v>8</v>
          </cell>
          <cell r="V437">
            <v>8</v>
          </cell>
          <cell r="W437">
            <v>8</v>
          </cell>
          <cell r="X437">
            <v>8</v>
          </cell>
          <cell r="Y437">
            <v>8</v>
          </cell>
          <cell r="Z437" t="str">
            <v>CN</v>
          </cell>
          <cell r="AA437" t="str">
            <v>Đ</v>
          </cell>
          <cell r="AB437" t="str">
            <v>Đ</v>
          </cell>
          <cell r="AC437" t="str">
            <v>Đ</v>
          </cell>
          <cell r="AD437" t="str">
            <v>Đ</v>
          </cell>
          <cell r="AE437" t="str">
            <v>Đ</v>
          </cell>
          <cell r="AF437" t="str">
            <v>Đ</v>
          </cell>
          <cell r="AG437" t="str">
            <v>CN</v>
          </cell>
          <cell r="AH437">
            <v>8</v>
          </cell>
          <cell r="AI437">
            <v>8</v>
          </cell>
          <cell r="AJ437">
            <v>8</v>
          </cell>
          <cell r="AN437">
            <v>96</v>
          </cell>
          <cell r="AO437">
            <v>96</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192</v>
          </cell>
          <cell r="BH437">
            <v>0</v>
          </cell>
          <cell r="BI437">
            <v>0</v>
          </cell>
          <cell r="BJ437">
            <v>5.5</v>
          </cell>
          <cell r="BL437">
            <v>0</v>
          </cell>
          <cell r="BM437">
            <v>0</v>
          </cell>
          <cell r="BN437">
            <v>0</v>
          </cell>
          <cell r="BO437">
            <v>0</v>
          </cell>
          <cell r="BP437">
            <v>1.5</v>
          </cell>
          <cell r="BQ437">
            <v>3</v>
          </cell>
          <cell r="BR437">
            <v>0</v>
          </cell>
          <cell r="BS437">
            <v>3</v>
          </cell>
          <cell r="BT437">
            <v>3</v>
          </cell>
          <cell r="BU437">
            <v>0</v>
          </cell>
          <cell r="BV437">
            <v>0</v>
          </cell>
          <cell r="BW437">
            <v>3</v>
          </cell>
          <cell r="BX437">
            <v>3</v>
          </cell>
          <cell r="BY437">
            <v>3</v>
          </cell>
          <cell r="BZ437">
            <v>3</v>
          </cell>
          <cell r="CA437">
            <v>3</v>
          </cell>
          <cell r="CB437">
            <v>3</v>
          </cell>
          <cell r="CC437">
            <v>8</v>
          </cell>
          <cell r="CD437">
            <v>1.5</v>
          </cell>
          <cell r="CE437">
            <v>4</v>
          </cell>
          <cell r="CF437">
            <v>4</v>
          </cell>
          <cell r="CG437">
            <v>4</v>
          </cell>
          <cell r="CH437">
            <v>1.5</v>
          </cell>
          <cell r="CI437">
            <v>1.5</v>
          </cell>
          <cell r="CJ437">
            <v>0</v>
          </cell>
          <cell r="CK437">
            <v>1.5</v>
          </cell>
          <cell r="CL437">
            <v>3</v>
          </cell>
          <cell r="CM437">
            <v>1.5</v>
          </cell>
          <cell r="CR437">
            <v>0</v>
          </cell>
          <cell r="CS437">
            <v>0</v>
          </cell>
          <cell r="CT437">
            <v>51</v>
          </cell>
          <cell r="CU437">
            <v>8</v>
          </cell>
          <cell r="CV437">
            <v>0</v>
          </cell>
          <cell r="CZ437">
            <v>59</v>
          </cell>
        </row>
        <row r="438">
          <cell r="C438" t="str">
            <v>03227</v>
          </cell>
          <cell r="D438" t="str">
            <v>Nguyễn Văn Kha</v>
          </cell>
          <cell r="E438" t="str">
            <v>Foaming</v>
          </cell>
          <cell r="F438" t="str">
            <v>FOAMING Rectangular</v>
          </cell>
          <cell r="G438" t="str">
            <v>Operator</v>
          </cell>
          <cell r="H438">
            <v>44603</v>
          </cell>
          <cell r="I438">
            <v>8</v>
          </cell>
          <cell r="J438">
            <v>8</v>
          </cell>
          <cell r="K438">
            <v>8</v>
          </cell>
          <cell r="L438" t="str">
            <v>CN</v>
          </cell>
          <cell r="M438" t="str">
            <v>Đ</v>
          </cell>
          <cell r="N438" t="str">
            <v>Đ</v>
          </cell>
          <cell r="O438" t="str">
            <v>Đ</v>
          </cell>
          <cell r="P438" t="str">
            <v>Đ</v>
          </cell>
          <cell r="Q438" t="str">
            <v>Đ</v>
          </cell>
          <cell r="R438" t="str">
            <v>Đ</v>
          </cell>
          <cell r="S438" t="str">
            <v>CN</v>
          </cell>
          <cell r="T438" t="str">
            <v>Đ</v>
          </cell>
          <cell r="U438" t="str">
            <v>Đ</v>
          </cell>
          <cell r="V438" t="str">
            <v>Đ</v>
          </cell>
          <cell r="W438" t="str">
            <v>Đ</v>
          </cell>
          <cell r="X438" t="str">
            <v>Đ</v>
          </cell>
          <cell r="Y438" t="str">
            <v>Đ</v>
          </cell>
          <cell r="Z438" t="str">
            <v>CN</v>
          </cell>
          <cell r="AA438" t="str">
            <v>AL8</v>
          </cell>
          <cell r="AB438">
            <v>8</v>
          </cell>
          <cell r="AC438">
            <v>8</v>
          </cell>
          <cell r="AD438">
            <v>8</v>
          </cell>
          <cell r="AE438">
            <v>8</v>
          </cell>
          <cell r="AF438">
            <v>8</v>
          </cell>
          <cell r="AG438" t="str">
            <v>CN</v>
          </cell>
          <cell r="AH438">
            <v>8</v>
          </cell>
          <cell r="AI438">
            <v>8</v>
          </cell>
          <cell r="AJ438">
            <v>8</v>
          </cell>
          <cell r="AN438">
            <v>96</v>
          </cell>
          <cell r="AO438">
            <v>88</v>
          </cell>
          <cell r="AP438">
            <v>0</v>
          </cell>
          <cell r="AQ438">
            <v>0</v>
          </cell>
          <cell r="AR438">
            <v>0</v>
          </cell>
          <cell r="AS438">
            <v>0</v>
          </cell>
          <cell r="AT438">
            <v>0</v>
          </cell>
          <cell r="AU438">
            <v>0</v>
          </cell>
          <cell r="AV438">
            <v>0</v>
          </cell>
          <cell r="AW438">
            <v>0</v>
          </cell>
          <cell r="AX438">
            <v>0</v>
          </cell>
          <cell r="AY438">
            <v>0</v>
          </cell>
          <cell r="AZ438">
            <v>0</v>
          </cell>
          <cell r="BA438">
            <v>8</v>
          </cell>
          <cell r="BB438">
            <v>0</v>
          </cell>
          <cell r="BC438">
            <v>0</v>
          </cell>
          <cell r="BD438">
            <v>0</v>
          </cell>
          <cell r="BE438">
            <v>0</v>
          </cell>
          <cell r="BF438">
            <v>0</v>
          </cell>
          <cell r="BG438">
            <v>192</v>
          </cell>
          <cell r="BH438">
            <v>1</v>
          </cell>
          <cell r="BI438">
            <v>1</v>
          </cell>
          <cell r="BJ438">
            <v>0.5</v>
          </cell>
          <cell r="BL438">
            <v>4</v>
          </cell>
          <cell r="BM438">
            <v>0</v>
          </cell>
          <cell r="BN438">
            <v>0</v>
          </cell>
          <cell r="BO438" t="str">
            <v>11Đ</v>
          </cell>
          <cell r="BP438">
            <v>2</v>
          </cell>
          <cell r="BQ438">
            <v>0</v>
          </cell>
          <cell r="BR438">
            <v>4</v>
          </cell>
          <cell r="BS438">
            <v>4</v>
          </cell>
          <cell r="BT438">
            <v>4</v>
          </cell>
          <cell r="BU438">
            <v>4</v>
          </cell>
          <cell r="BV438" t="str">
            <v>12Đ</v>
          </cell>
          <cell r="BW438">
            <v>4</v>
          </cell>
          <cell r="BX438">
            <v>4</v>
          </cell>
          <cell r="BY438">
            <v>4</v>
          </cell>
          <cell r="BZ438">
            <v>4</v>
          </cell>
          <cell r="CA438">
            <v>4</v>
          </cell>
          <cell r="CB438">
            <v>4</v>
          </cell>
          <cell r="CC438">
            <v>0</v>
          </cell>
          <cell r="CD438">
            <v>0</v>
          </cell>
          <cell r="CE438">
            <v>4</v>
          </cell>
          <cell r="CF438">
            <v>4</v>
          </cell>
          <cell r="CG438">
            <v>4</v>
          </cell>
          <cell r="CH438">
            <v>4</v>
          </cell>
          <cell r="CI438">
            <v>4</v>
          </cell>
          <cell r="CJ438">
            <v>12</v>
          </cell>
          <cell r="CK438">
            <v>4</v>
          </cell>
          <cell r="CL438">
            <v>4</v>
          </cell>
          <cell r="CM438">
            <v>4</v>
          </cell>
          <cell r="CR438">
            <v>0</v>
          </cell>
          <cell r="CS438">
            <v>0</v>
          </cell>
          <cell r="CT438">
            <v>78</v>
          </cell>
          <cell r="CU438">
            <v>19</v>
          </cell>
          <cell r="CV438">
            <v>16</v>
          </cell>
          <cell r="CZ438">
            <v>113</v>
          </cell>
        </row>
        <row r="439">
          <cell r="C439" t="str">
            <v>03231</v>
          </cell>
          <cell r="D439" t="str">
            <v>Liêu Phanh</v>
          </cell>
          <cell r="E439" t="str">
            <v>Production</v>
          </cell>
          <cell r="F439" t="str">
            <v>Logo</v>
          </cell>
          <cell r="G439" t="str">
            <v>Worker</v>
          </cell>
          <cell r="H439">
            <v>44607</v>
          </cell>
          <cell r="I439" t="str">
            <v>Đ</v>
          </cell>
          <cell r="J439" t="str">
            <v>Đ</v>
          </cell>
          <cell r="K439" t="str">
            <v>Đ</v>
          </cell>
          <cell r="L439" t="str">
            <v>CN</v>
          </cell>
          <cell r="M439">
            <v>8</v>
          </cell>
          <cell r="N439">
            <v>8</v>
          </cell>
          <cell r="O439">
            <v>8</v>
          </cell>
          <cell r="P439">
            <v>8</v>
          </cell>
          <cell r="Q439">
            <v>8</v>
          </cell>
          <cell r="R439">
            <v>8</v>
          </cell>
          <cell r="S439" t="str">
            <v>CN</v>
          </cell>
          <cell r="T439" t="str">
            <v>Đ</v>
          </cell>
          <cell r="U439" t="str">
            <v>Đ</v>
          </cell>
          <cell r="V439" t="str">
            <v>Đ</v>
          </cell>
          <cell r="W439" t="str">
            <v>Đ</v>
          </cell>
          <cell r="X439" t="str">
            <v>Đ</v>
          </cell>
          <cell r="Y439" t="str">
            <v>Đ</v>
          </cell>
          <cell r="Z439" t="str">
            <v>CN</v>
          </cell>
          <cell r="AA439">
            <v>8</v>
          </cell>
          <cell r="AB439">
            <v>8</v>
          </cell>
          <cell r="AC439">
            <v>8</v>
          </cell>
          <cell r="AD439">
            <v>8</v>
          </cell>
          <cell r="AE439">
            <v>8</v>
          </cell>
          <cell r="AF439">
            <v>8</v>
          </cell>
          <cell r="AG439" t="str">
            <v>CN</v>
          </cell>
          <cell r="AH439" t="str">
            <v>Đ</v>
          </cell>
          <cell r="AI439" t="str">
            <v>Đ</v>
          </cell>
          <cell r="AJ439" t="str">
            <v>Đ</v>
          </cell>
          <cell r="AN439">
            <v>96</v>
          </cell>
          <cell r="AO439">
            <v>96</v>
          </cell>
          <cell r="AP439">
            <v>0</v>
          </cell>
          <cell r="AQ439">
            <v>0</v>
          </cell>
          <cell r="AR439">
            <v>0</v>
          </cell>
          <cell r="AS439">
            <v>0</v>
          </cell>
          <cell r="AT439">
            <v>0</v>
          </cell>
          <cell r="AU439">
            <v>0</v>
          </cell>
          <cell r="AV439">
            <v>0</v>
          </cell>
          <cell r="AW439">
            <v>0</v>
          </cell>
          <cell r="AX439">
            <v>0</v>
          </cell>
          <cell r="AY439">
            <v>0</v>
          </cell>
          <cell r="AZ439">
            <v>0</v>
          </cell>
          <cell r="BA439">
            <v>0</v>
          </cell>
          <cell r="BB439">
            <v>0</v>
          </cell>
          <cell r="BC439">
            <v>0</v>
          </cell>
          <cell r="BD439">
            <v>0</v>
          </cell>
          <cell r="BE439">
            <v>0</v>
          </cell>
          <cell r="BF439">
            <v>0</v>
          </cell>
          <cell r="BG439">
            <v>192</v>
          </cell>
          <cell r="BH439">
            <v>0</v>
          </cell>
          <cell r="BI439">
            <v>0</v>
          </cell>
          <cell r="BJ439">
            <v>3.5</v>
          </cell>
          <cell r="BL439">
            <v>1.5</v>
          </cell>
          <cell r="BM439">
            <v>1.5</v>
          </cell>
          <cell r="BN439">
            <v>1.5</v>
          </cell>
          <cell r="BO439">
            <v>0</v>
          </cell>
          <cell r="BP439">
            <v>1.5</v>
          </cell>
          <cell r="BQ439">
            <v>0</v>
          </cell>
          <cell r="BR439">
            <v>0</v>
          </cell>
          <cell r="BS439">
            <v>0</v>
          </cell>
          <cell r="BT439">
            <v>0</v>
          </cell>
          <cell r="BU439">
            <v>3</v>
          </cell>
          <cell r="BV439">
            <v>0</v>
          </cell>
          <cell r="BW439">
            <v>4</v>
          </cell>
          <cell r="BX439">
            <v>4</v>
          </cell>
          <cell r="BY439">
            <v>4</v>
          </cell>
          <cell r="BZ439">
            <v>4</v>
          </cell>
          <cell r="CA439">
            <v>4</v>
          </cell>
          <cell r="CB439">
            <v>4</v>
          </cell>
          <cell r="CC439">
            <v>0</v>
          </cell>
          <cell r="CD439">
            <v>3</v>
          </cell>
          <cell r="CE439">
            <v>3</v>
          </cell>
          <cell r="CF439">
            <v>3</v>
          </cell>
          <cell r="CG439">
            <v>3</v>
          </cell>
          <cell r="CH439">
            <v>3</v>
          </cell>
          <cell r="CI439">
            <v>3</v>
          </cell>
          <cell r="CJ439">
            <v>8</v>
          </cell>
          <cell r="CK439">
            <v>4</v>
          </cell>
          <cell r="CL439">
            <v>4</v>
          </cell>
          <cell r="CM439">
            <v>4</v>
          </cell>
          <cell r="CR439">
            <v>0</v>
          </cell>
          <cell r="CS439">
            <v>0</v>
          </cell>
          <cell r="CT439">
            <v>63</v>
          </cell>
          <cell r="CU439">
            <v>8</v>
          </cell>
          <cell r="CV439">
            <v>0</v>
          </cell>
          <cell r="CZ439">
            <v>71</v>
          </cell>
        </row>
        <row r="440">
          <cell r="C440" t="str">
            <v>03233</v>
          </cell>
          <cell r="D440" t="str">
            <v>Trần Thị Mộng Nghi</v>
          </cell>
          <cell r="E440" t="str">
            <v>Production</v>
          </cell>
          <cell r="F440" t="str">
            <v>Molding</v>
          </cell>
          <cell r="G440" t="str">
            <v>Worker</v>
          </cell>
          <cell r="H440">
            <v>44607</v>
          </cell>
          <cell r="I440">
            <v>8</v>
          </cell>
          <cell r="J440" t="str">
            <v>CN</v>
          </cell>
          <cell r="K440" t="str">
            <v>Đ</v>
          </cell>
          <cell r="L440" t="str">
            <v>Đ</v>
          </cell>
          <cell r="M440" t="str">
            <v>Đ</v>
          </cell>
          <cell r="N440" t="str">
            <v>Đ</v>
          </cell>
          <cell r="O440" t="str">
            <v>Đ</v>
          </cell>
          <cell r="P440" t="str">
            <v>Đ</v>
          </cell>
          <cell r="Q440" t="str">
            <v>CN</v>
          </cell>
          <cell r="R440">
            <v>8</v>
          </cell>
          <cell r="S440">
            <v>8</v>
          </cell>
          <cell r="T440">
            <v>8</v>
          </cell>
          <cell r="U440">
            <v>8</v>
          </cell>
          <cell r="V440">
            <v>8</v>
          </cell>
          <cell r="W440">
            <v>8</v>
          </cell>
          <cell r="X440" t="str">
            <v>CN</v>
          </cell>
          <cell r="Y440" t="str">
            <v>Đ</v>
          </cell>
          <cell r="Z440" t="str">
            <v>Đ</v>
          </cell>
          <cell r="AA440" t="str">
            <v>Đ</v>
          </cell>
          <cell r="AB440" t="str">
            <v>Đ</v>
          </cell>
          <cell r="AC440" t="str">
            <v>Đ</v>
          </cell>
          <cell r="AD440" t="str">
            <v>Đ</v>
          </cell>
          <cell r="AE440" t="str">
            <v>CN</v>
          </cell>
          <cell r="AF440">
            <v>8</v>
          </cell>
          <cell r="AG440">
            <v>8</v>
          </cell>
          <cell r="AH440">
            <v>8</v>
          </cell>
          <cell r="AI440">
            <v>8</v>
          </cell>
          <cell r="AJ440">
            <v>8</v>
          </cell>
          <cell r="AN440">
            <v>96</v>
          </cell>
          <cell r="AO440">
            <v>96</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192</v>
          </cell>
          <cell r="BH440">
            <v>0</v>
          </cell>
          <cell r="BI440">
            <v>0</v>
          </cell>
          <cell r="BJ440">
            <v>1</v>
          </cell>
          <cell r="BL440">
            <v>0</v>
          </cell>
          <cell r="BM440">
            <v>0</v>
          </cell>
          <cell r="BN440">
            <v>4</v>
          </cell>
          <cell r="BO440">
            <v>4</v>
          </cell>
          <cell r="BP440">
            <v>0</v>
          </cell>
          <cell r="BQ440">
            <v>0</v>
          </cell>
          <cell r="BR440">
            <v>0</v>
          </cell>
          <cell r="BS440">
            <v>0</v>
          </cell>
          <cell r="BT440">
            <v>0</v>
          </cell>
          <cell r="BU440">
            <v>4</v>
          </cell>
          <cell r="BV440">
            <v>4</v>
          </cell>
          <cell r="BW440">
            <v>0</v>
          </cell>
          <cell r="BX440">
            <v>0</v>
          </cell>
          <cell r="BY440">
            <v>0</v>
          </cell>
          <cell r="BZ440">
            <v>0</v>
          </cell>
          <cell r="CA440">
            <v>0</v>
          </cell>
          <cell r="CB440">
            <v>4</v>
          </cell>
          <cell r="CC440">
            <v>4</v>
          </cell>
          <cell r="CD440">
            <v>4</v>
          </cell>
          <cell r="CE440">
            <v>0</v>
          </cell>
          <cell r="CF440">
            <v>0</v>
          </cell>
          <cell r="CG440">
            <v>0</v>
          </cell>
          <cell r="CH440">
            <v>0</v>
          </cell>
          <cell r="CI440">
            <v>4</v>
          </cell>
          <cell r="CJ440">
            <v>4</v>
          </cell>
          <cell r="CK440">
            <v>0</v>
          </cell>
          <cell r="CL440">
            <v>0</v>
          </cell>
          <cell r="CM440">
            <v>0</v>
          </cell>
          <cell r="CR440">
            <v>0</v>
          </cell>
          <cell r="CS440">
            <v>0</v>
          </cell>
          <cell r="CT440">
            <v>36</v>
          </cell>
          <cell r="CU440">
            <v>0</v>
          </cell>
          <cell r="CV440">
            <v>0</v>
          </cell>
          <cell r="CZ440">
            <v>36</v>
          </cell>
        </row>
        <row r="441">
          <cell r="C441" t="str">
            <v>03236</v>
          </cell>
          <cell r="D441" t="str">
            <v>Lê Kim Duyên</v>
          </cell>
          <cell r="E441" t="str">
            <v>Production</v>
          </cell>
          <cell r="F441" t="str">
            <v>Die Cut</v>
          </cell>
          <cell r="G441" t="str">
            <v>Worker</v>
          </cell>
          <cell r="H441">
            <v>44607</v>
          </cell>
          <cell r="I441">
            <v>8</v>
          </cell>
          <cell r="J441">
            <v>8</v>
          </cell>
          <cell r="K441">
            <v>8</v>
          </cell>
          <cell r="L441" t="str">
            <v>CN</v>
          </cell>
          <cell r="M441" t="str">
            <v>Đ</v>
          </cell>
          <cell r="N441" t="str">
            <v>Đ</v>
          </cell>
          <cell r="O441" t="str">
            <v>Đ</v>
          </cell>
          <cell r="P441" t="str">
            <v>Đ</v>
          </cell>
          <cell r="Q441" t="str">
            <v>Đ</v>
          </cell>
          <cell r="R441" t="str">
            <v>Đ</v>
          </cell>
          <cell r="S441" t="str">
            <v>CN</v>
          </cell>
          <cell r="T441">
            <v>8</v>
          </cell>
          <cell r="U441">
            <v>8</v>
          </cell>
          <cell r="V441">
            <v>8</v>
          </cell>
          <cell r="W441">
            <v>8</v>
          </cell>
          <cell r="X441">
            <v>8</v>
          </cell>
          <cell r="Y441" t="str">
            <v>AL4</v>
          </cell>
          <cell r="Z441" t="str">
            <v>CN</v>
          </cell>
          <cell r="AA441" t="str">
            <v>Đ</v>
          </cell>
          <cell r="AB441" t="str">
            <v>Đ</v>
          </cell>
          <cell r="AC441" t="str">
            <v>Đ</v>
          </cell>
          <cell r="AD441" t="str">
            <v>Đ</v>
          </cell>
          <cell r="AE441" t="str">
            <v>Đ</v>
          </cell>
          <cell r="AF441" t="str">
            <v>Đ</v>
          </cell>
          <cell r="AG441" t="str">
            <v>CN</v>
          </cell>
          <cell r="AH441">
            <v>8</v>
          </cell>
          <cell r="AI441">
            <v>8</v>
          </cell>
          <cell r="AJ441">
            <v>8</v>
          </cell>
          <cell r="AN441">
            <v>96</v>
          </cell>
          <cell r="AO441">
            <v>92</v>
          </cell>
          <cell r="AP441">
            <v>4</v>
          </cell>
          <cell r="AQ441">
            <v>0</v>
          </cell>
          <cell r="AR441">
            <v>0</v>
          </cell>
          <cell r="AS441">
            <v>0</v>
          </cell>
          <cell r="AT441">
            <v>0</v>
          </cell>
          <cell r="AU441">
            <v>0</v>
          </cell>
          <cell r="AV441">
            <v>0</v>
          </cell>
          <cell r="AW441">
            <v>0</v>
          </cell>
          <cell r="AX441">
            <v>0</v>
          </cell>
          <cell r="AY441">
            <v>0</v>
          </cell>
          <cell r="AZ441">
            <v>0</v>
          </cell>
          <cell r="BA441">
            <v>4</v>
          </cell>
          <cell r="BB441">
            <v>0</v>
          </cell>
          <cell r="BC441">
            <v>0</v>
          </cell>
          <cell r="BD441">
            <v>0</v>
          </cell>
          <cell r="BE441">
            <v>0</v>
          </cell>
          <cell r="BF441">
            <v>0</v>
          </cell>
          <cell r="BG441">
            <v>192</v>
          </cell>
          <cell r="BH441">
            <v>0.5</v>
          </cell>
          <cell r="BI441">
            <v>0.5</v>
          </cell>
          <cell r="BJ441">
            <v>0.5</v>
          </cell>
          <cell r="BL441">
            <v>0</v>
          </cell>
          <cell r="BM441">
            <v>0</v>
          </cell>
          <cell r="BN441">
            <v>0</v>
          </cell>
          <cell r="BO441">
            <v>0</v>
          </cell>
          <cell r="BP441">
            <v>1.5</v>
          </cell>
          <cell r="BQ441">
            <v>3</v>
          </cell>
          <cell r="BR441">
            <v>0</v>
          </cell>
          <cell r="BS441">
            <v>3</v>
          </cell>
          <cell r="BT441">
            <v>3</v>
          </cell>
          <cell r="BU441">
            <v>0</v>
          </cell>
          <cell r="BV441">
            <v>0</v>
          </cell>
          <cell r="BW441">
            <v>3</v>
          </cell>
          <cell r="BX441">
            <v>3</v>
          </cell>
          <cell r="BY441">
            <v>3</v>
          </cell>
          <cell r="BZ441">
            <v>3</v>
          </cell>
          <cell r="CA441">
            <v>0</v>
          </cell>
          <cell r="CB441">
            <v>2</v>
          </cell>
          <cell r="CC441">
            <v>0</v>
          </cell>
          <cell r="CD441">
            <v>1.5</v>
          </cell>
          <cell r="CE441">
            <v>4</v>
          </cell>
          <cell r="CF441">
            <v>4</v>
          </cell>
          <cell r="CG441">
            <v>4</v>
          </cell>
          <cell r="CH441">
            <v>1.5</v>
          </cell>
          <cell r="CI441">
            <v>0</v>
          </cell>
          <cell r="CJ441">
            <v>0</v>
          </cell>
          <cell r="CK441">
            <v>1.5</v>
          </cell>
          <cell r="CL441">
            <v>3</v>
          </cell>
          <cell r="CM441">
            <v>0</v>
          </cell>
          <cell r="CR441">
            <v>0</v>
          </cell>
          <cell r="CS441">
            <v>0</v>
          </cell>
          <cell r="CT441">
            <v>44</v>
          </cell>
          <cell r="CU441">
            <v>0</v>
          </cell>
          <cell r="CV441">
            <v>0</v>
          </cell>
          <cell r="CZ441">
            <v>44</v>
          </cell>
        </row>
        <row r="442">
          <cell r="C442" t="str">
            <v>03242</v>
          </cell>
          <cell r="D442" t="str">
            <v>Hồ Thị Bích Phượng</v>
          </cell>
          <cell r="E442" t="str">
            <v>Production</v>
          </cell>
          <cell r="F442" t="str">
            <v>Packing</v>
          </cell>
          <cell r="G442" t="str">
            <v>Worker</v>
          </cell>
          <cell r="H442">
            <v>44607</v>
          </cell>
          <cell r="I442" t="str">
            <v>Đ</v>
          </cell>
          <cell r="J442" t="str">
            <v>Đ</v>
          </cell>
          <cell r="K442" t="str">
            <v>Đ</v>
          </cell>
          <cell r="L442" t="str">
            <v>CN</v>
          </cell>
          <cell r="M442">
            <v>8</v>
          </cell>
          <cell r="N442">
            <v>8</v>
          </cell>
          <cell r="O442" t="str">
            <v>AL4</v>
          </cell>
          <cell r="P442">
            <v>8</v>
          </cell>
          <cell r="Q442">
            <v>8</v>
          </cell>
          <cell r="R442">
            <v>8</v>
          </cell>
          <cell r="S442" t="str">
            <v>CN</v>
          </cell>
          <cell r="T442" t="str">
            <v>Đ</v>
          </cell>
          <cell r="U442" t="str">
            <v>Đ</v>
          </cell>
          <cell r="V442" t="str">
            <v>Đ</v>
          </cell>
          <cell r="W442" t="str">
            <v>Đ</v>
          </cell>
          <cell r="X442" t="str">
            <v>Đ</v>
          </cell>
          <cell r="Y442" t="str">
            <v>Đ</v>
          </cell>
          <cell r="Z442" t="str">
            <v>CN</v>
          </cell>
          <cell r="AA442">
            <v>8</v>
          </cell>
          <cell r="AB442" t="str">
            <v>SL</v>
          </cell>
          <cell r="AC442">
            <v>8</v>
          </cell>
          <cell r="AD442">
            <v>8</v>
          </cell>
          <cell r="AE442">
            <v>8</v>
          </cell>
          <cell r="AF442">
            <v>8</v>
          </cell>
          <cell r="AG442" t="str">
            <v>CN</v>
          </cell>
          <cell r="AH442" t="str">
            <v>Đ</v>
          </cell>
          <cell r="AI442" t="str">
            <v>AL8</v>
          </cell>
          <cell r="AJ442" t="str">
            <v>Đ</v>
          </cell>
          <cell r="AN442">
            <v>88</v>
          </cell>
          <cell r="AO442">
            <v>84</v>
          </cell>
          <cell r="AP442">
            <v>4</v>
          </cell>
          <cell r="AQ442">
            <v>1</v>
          </cell>
          <cell r="AR442">
            <v>0</v>
          </cell>
          <cell r="AS442">
            <v>0</v>
          </cell>
          <cell r="AT442">
            <v>0</v>
          </cell>
          <cell r="AU442">
            <v>0</v>
          </cell>
          <cell r="AV442">
            <v>0</v>
          </cell>
          <cell r="AW442">
            <v>0</v>
          </cell>
          <cell r="AX442">
            <v>0</v>
          </cell>
          <cell r="AY442">
            <v>0</v>
          </cell>
          <cell r="AZ442">
            <v>0</v>
          </cell>
          <cell r="BA442">
            <v>12</v>
          </cell>
          <cell r="BB442">
            <v>0</v>
          </cell>
          <cell r="BC442">
            <v>0</v>
          </cell>
          <cell r="BD442">
            <v>0</v>
          </cell>
          <cell r="BE442">
            <v>0</v>
          </cell>
          <cell r="BF442">
            <v>0</v>
          </cell>
          <cell r="BG442">
            <v>184</v>
          </cell>
          <cell r="BH442">
            <v>1.5</v>
          </cell>
          <cell r="BI442">
            <v>1.5</v>
          </cell>
          <cell r="BJ442">
            <v>0</v>
          </cell>
          <cell r="BL442">
            <v>1.5</v>
          </cell>
          <cell r="BM442">
            <v>1.5</v>
          </cell>
          <cell r="BN442">
            <v>1.5</v>
          </cell>
          <cell r="BO442">
            <v>0</v>
          </cell>
          <cell r="BP442">
            <v>1.5</v>
          </cell>
          <cell r="BQ442">
            <v>0</v>
          </cell>
          <cell r="BR442">
            <v>0</v>
          </cell>
          <cell r="BS442">
            <v>3</v>
          </cell>
          <cell r="BT442">
            <v>3</v>
          </cell>
          <cell r="BU442">
            <v>3</v>
          </cell>
          <cell r="BV442">
            <v>0</v>
          </cell>
          <cell r="BW442">
            <v>4</v>
          </cell>
          <cell r="BX442">
            <v>4</v>
          </cell>
          <cell r="BY442">
            <v>4</v>
          </cell>
          <cell r="BZ442">
            <v>4</v>
          </cell>
          <cell r="CA442">
            <v>4</v>
          </cell>
          <cell r="CB442">
            <v>4</v>
          </cell>
          <cell r="CC442">
            <v>0</v>
          </cell>
          <cell r="CD442">
            <v>3</v>
          </cell>
          <cell r="CE442">
            <v>0</v>
          </cell>
          <cell r="CF442">
            <v>3</v>
          </cell>
          <cell r="CG442">
            <v>3</v>
          </cell>
          <cell r="CH442">
            <v>3</v>
          </cell>
          <cell r="CI442">
            <v>3</v>
          </cell>
          <cell r="CJ442">
            <v>8</v>
          </cell>
          <cell r="CK442">
            <v>4</v>
          </cell>
          <cell r="CL442">
            <v>0</v>
          </cell>
          <cell r="CM442">
            <v>4</v>
          </cell>
          <cell r="CR442">
            <v>0</v>
          </cell>
          <cell r="CS442">
            <v>0</v>
          </cell>
          <cell r="CT442">
            <v>62</v>
          </cell>
          <cell r="CU442">
            <v>8</v>
          </cell>
          <cell r="CV442">
            <v>0</v>
          </cell>
          <cell r="CZ442">
            <v>70</v>
          </cell>
        </row>
        <row r="443">
          <cell r="C443" t="str">
            <v>03243</v>
          </cell>
          <cell r="D443" t="str">
            <v>Lý Thị Bích Ngọc</v>
          </cell>
          <cell r="E443" t="str">
            <v>Production</v>
          </cell>
          <cell r="F443" t="str">
            <v>Logo</v>
          </cell>
          <cell r="G443" t="str">
            <v>Worker</v>
          </cell>
          <cell r="H443">
            <v>44607</v>
          </cell>
          <cell r="I443" t="str">
            <v>Đ</v>
          </cell>
          <cell r="J443" t="str">
            <v>Đ</v>
          </cell>
          <cell r="K443" t="str">
            <v>Đ</v>
          </cell>
          <cell r="L443" t="str">
            <v>CN</v>
          </cell>
          <cell r="M443">
            <v>8</v>
          </cell>
          <cell r="N443">
            <v>8</v>
          </cell>
          <cell r="O443">
            <v>8</v>
          </cell>
          <cell r="P443">
            <v>8</v>
          </cell>
          <cell r="Q443">
            <v>8</v>
          </cell>
          <cell r="R443">
            <v>8</v>
          </cell>
          <cell r="S443" t="str">
            <v>CN</v>
          </cell>
          <cell r="T443" t="str">
            <v>Đ</v>
          </cell>
          <cell r="U443" t="str">
            <v>Đ</v>
          </cell>
          <cell r="V443" t="str">
            <v>Đ</v>
          </cell>
          <cell r="W443" t="str">
            <v>Đ</v>
          </cell>
          <cell r="X443" t="str">
            <v>Đ</v>
          </cell>
          <cell r="Y443" t="str">
            <v>Đ</v>
          </cell>
          <cell r="Z443" t="str">
            <v>CN</v>
          </cell>
          <cell r="AA443">
            <v>8</v>
          </cell>
          <cell r="AB443">
            <v>8</v>
          </cell>
          <cell r="AC443">
            <v>8</v>
          </cell>
          <cell r="AD443">
            <v>8</v>
          </cell>
          <cell r="AE443">
            <v>8</v>
          </cell>
          <cell r="AF443">
            <v>8</v>
          </cell>
          <cell r="AG443" t="str">
            <v>CN</v>
          </cell>
          <cell r="AH443" t="str">
            <v>Đ</v>
          </cell>
          <cell r="AI443" t="str">
            <v>Đ</v>
          </cell>
          <cell r="AJ443" t="str">
            <v>Đ</v>
          </cell>
          <cell r="AN443">
            <v>96</v>
          </cell>
          <cell r="AO443">
            <v>96</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192</v>
          </cell>
          <cell r="BH443">
            <v>0</v>
          </cell>
          <cell r="BI443">
            <v>0</v>
          </cell>
          <cell r="BJ443">
            <v>5</v>
          </cell>
          <cell r="BL443">
            <v>1.5</v>
          </cell>
          <cell r="BM443">
            <v>1.5</v>
          </cell>
          <cell r="BN443">
            <v>1.5</v>
          </cell>
          <cell r="BO443">
            <v>0</v>
          </cell>
          <cell r="BP443">
            <v>1.5</v>
          </cell>
          <cell r="BQ443">
            <v>0</v>
          </cell>
          <cell r="BR443">
            <v>0</v>
          </cell>
          <cell r="BS443">
            <v>3</v>
          </cell>
          <cell r="BT443">
            <v>3</v>
          </cell>
          <cell r="BU443">
            <v>3</v>
          </cell>
          <cell r="BV443">
            <v>0</v>
          </cell>
          <cell r="BW443">
            <v>4</v>
          </cell>
          <cell r="BX443">
            <v>4</v>
          </cell>
          <cell r="BY443">
            <v>4</v>
          </cell>
          <cell r="BZ443">
            <v>4</v>
          </cell>
          <cell r="CA443">
            <v>4</v>
          </cell>
          <cell r="CB443">
            <v>4</v>
          </cell>
          <cell r="CC443">
            <v>0</v>
          </cell>
          <cell r="CD443">
            <v>3</v>
          </cell>
          <cell r="CE443">
            <v>3</v>
          </cell>
          <cell r="CF443">
            <v>3</v>
          </cell>
          <cell r="CG443">
            <v>3</v>
          </cell>
          <cell r="CH443">
            <v>3</v>
          </cell>
          <cell r="CI443">
            <v>3</v>
          </cell>
          <cell r="CJ443">
            <v>11</v>
          </cell>
          <cell r="CK443">
            <v>4</v>
          </cell>
          <cell r="CL443">
            <v>4</v>
          </cell>
          <cell r="CM443">
            <v>4</v>
          </cell>
          <cell r="CR443">
            <v>0</v>
          </cell>
          <cell r="CS443">
            <v>0</v>
          </cell>
          <cell r="CT443">
            <v>69</v>
          </cell>
          <cell r="CU443">
            <v>11</v>
          </cell>
          <cell r="CV443">
            <v>0</v>
          </cell>
          <cell r="CZ443">
            <v>80</v>
          </cell>
        </row>
        <row r="444">
          <cell r="C444" t="str">
            <v>03250</v>
          </cell>
          <cell r="D444" t="str">
            <v>Liêu Phấn</v>
          </cell>
          <cell r="E444" t="str">
            <v>Production</v>
          </cell>
          <cell r="F444" t="str">
            <v>Logo Making</v>
          </cell>
          <cell r="G444" t="str">
            <v>Worker</v>
          </cell>
          <cell r="H444">
            <v>44608</v>
          </cell>
          <cell r="I444">
            <v>8</v>
          </cell>
          <cell r="J444">
            <v>8</v>
          </cell>
          <cell r="K444">
            <v>8</v>
          </cell>
          <cell r="L444" t="str">
            <v>CN</v>
          </cell>
          <cell r="M444">
            <v>8</v>
          </cell>
          <cell r="N444">
            <v>8</v>
          </cell>
          <cell r="O444">
            <v>8</v>
          </cell>
          <cell r="P444">
            <v>8</v>
          </cell>
          <cell r="Q444">
            <v>8</v>
          </cell>
          <cell r="R444">
            <v>8</v>
          </cell>
          <cell r="S444" t="str">
            <v>CN</v>
          </cell>
          <cell r="T444">
            <v>8</v>
          </cell>
          <cell r="U444">
            <v>8</v>
          </cell>
          <cell r="V444">
            <v>8</v>
          </cell>
          <cell r="W444">
            <v>8</v>
          </cell>
          <cell r="X444">
            <v>8</v>
          </cell>
          <cell r="Y444">
            <v>8</v>
          </cell>
          <cell r="Z444" t="str">
            <v>CN</v>
          </cell>
          <cell r="AA444">
            <v>8</v>
          </cell>
          <cell r="AB444">
            <v>8</v>
          </cell>
          <cell r="AC444" t="str">
            <v>AL8</v>
          </cell>
          <cell r="AD444">
            <v>8</v>
          </cell>
          <cell r="AE444">
            <v>8</v>
          </cell>
          <cell r="AF444">
            <v>8</v>
          </cell>
          <cell r="AG444" t="str">
            <v>CN</v>
          </cell>
          <cell r="AH444">
            <v>8</v>
          </cell>
          <cell r="AI444">
            <v>8</v>
          </cell>
          <cell r="AJ444">
            <v>8</v>
          </cell>
          <cell r="AN444">
            <v>0</v>
          </cell>
          <cell r="AO444">
            <v>184</v>
          </cell>
          <cell r="AP444">
            <v>0</v>
          </cell>
          <cell r="AQ444">
            <v>0</v>
          </cell>
          <cell r="AR444">
            <v>0</v>
          </cell>
          <cell r="AS444">
            <v>0</v>
          </cell>
          <cell r="AT444">
            <v>0</v>
          </cell>
          <cell r="AU444">
            <v>0</v>
          </cell>
          <cell r="AV444">
            <v>0</v>
          </cell>
          <cell r="AW444">
            <v>0</v>
          </cell>
          <cell r="AX444">
            <v>0</v>
          </cell>
          <cell r="AY444">
            <v>0</v>
          </cell>
          <cell r="AZ444">
            <v>0</v>
          </cell>
          <cell r="BA444">
            <v>8</v>
          </cell>
          <cell r="BB444">
            <v>0</v>
          </cell>
          <cell r="BC444">
            <v>0</v>
          </cell>
          <cell r="BD444">
            <v>0</v>
          </cell>
          <cell r="BE444">
            <v>0</v>
          </cell>
          <cell r="BF444">
            <v>0</v>
          </cell>
          <cell r="BG444">
            <v>192</v>
          </cell>
          <cell r="BH444">
            <v>1</v>
          </cell>
          <cell r="BI444">
            <v>1</v>
          </cell>
          <cell r="BJ444">
            <v>4</v>
          </cell>
          <cell r="BL444">
            <v>0</v>
          </cell>
          <cell r="BM444">
            <v>0</v>
          </cell>
          <cell r="BN444">
            <v>0</v>
          </cell>
          <cell r="BO444">
            <v>0</v>
          </cell>
          <cell r="BP444">
            <v>0</v>
          </cell>
          <cell r="BQ444">
            <v>0</v>
          </cell>
          <cell r="BR444">
            <v>0</v>
          </cell>
          <cell r="BS444">
            <v>0</v>
          </cell>
          <cell r="BT444">
            <v>3</v>
          </cell>
          <cell r="BU444">
            <v>3</v>
          </cell>
          <cell r="BV444">
            <v>0</v>
          </cell>
          <cell r="BW444">
            <v>3</v>
          </cell>
          <cell r="BX444">
            <v>3</v>
          </cell>
          <cell r="BY444">
            <v>0</v>
          </cell>
          <cell r="BZ444">
            <v>3</v>
          </cell>
          <cell r="CA444">
            <v>0</v>
          </cell>
          <cell r="CB444">
            <v>0</v>
          </cell>
          <cell r="CC444">
            <v>10</v>
          </cell>
          <cell r="CD444">
            <v>0</v>
          </cell>
          <cell r="CE444">
            <v>0</v>
          </cell>
          <cell r="CF444">
            <v>0</v>
          </cell>
          <cell r="CG444">
            <v>0</v>
          </cell>
          <cell r="CH444">
            <v>0</v>
          </cell>
          <cell r="CI444">
            <v>0</v>
          </cell>
          <cell r="CJ444">
            <v>10</v>
          </cell>
          <cell r="CK444">
            <v>0</v>
          </cell>
          <cell r="CL444">
            <v>0</v>
          </cell>
          <cell r="CM444">
            <v>0</v>
          </cell>
          <cell r="CR444">
            <v>0</v>
          </cell>
          <cell r="CS444">
            <v>0</v>
          </cell>
          <cell r="CT444">
            <v>15</v>
          </cell>
          <cell r="CU444">
            <v>20</v>
          </cell>
          <cell r="CV444">
            <v>0</v>
          </cell>
          <cell r="CZ444">
            <v>35</v>
          </cell>
        </row>
        <row r="445">
          <cell r="C445" t="str">
            <v>03251</v>
          </cell>
          <cell r="D445" t="str">
            <v>Nguyễn Thị Trúc Linh</v>
          </cell>
          <cell r="E445" t="str">
            <v>Production</v>
          </cell>
          <cell r="F445" t="str">
            <v>Logo</v>
          </cell>
          <cell r="G445" t="str">
            <v>Worker</v>
          </cell>
          <cell r="H445">
            <v>44608</v>
          </cell>
          <cell r="I445">
            <v>8</v>
          </cell>
          <cell r="J445">
            <v>8</v>
          </cell>
          <cell r="K445">
            <v>8</v>
          </cell>
          <cell r="L445" t="str">
            <v>CN</v>
          </cell>
          <cell r="M445" t="str">
            <v>Đ</v>
          </cell>
          <cell r="N445" t="str">
            <v>Đ</v>
          </cell>
          <cell r="O445" t="str">
            <v>Đ</v>
          </cell>
          <cell r="P445" t="str">
            <v>Đ</v>
          </cell>
          <cell r="Q445" t="str">
            <v>Đ</v>
          </cell>
          <cell r="R445" t="str">
            <v>Đ</v>
          </cell>
          <cell r="S445" t="str">
            <v>CN</v>
          </cell>
          <cell r="T445">
            <v>8</v>
          </cell>
          <cell r="U445">
            <v>8</v>
          </cell>
          <cell r="V445">
            <v>8</v>
          </cell>
          <cell r="W445">
            <v>8</v>
          </cell>
          <cell r="X445">
            <v>8</v>
          </cell>
          <cell r="Y445">
            <v>8</v>
          </cell>
          <cell r="Z445" t="str">
            <v>CN</v>
          </cell>
          <cell r="AA445" t="str">
            <v>Đ</v>
          </cell>
          <cell r="AB445" t="str">
            <v>Đ</v>
          </cell>
          <cell r="AC445" t="str">
            <v>Đ</v>
          </cell>
          <cell r="AD445" t="str">
            <v>Đ</v>
          </cell>
          <cell r="AE445" t="str">
            <v>Đ</v>
          </cell>
          <cell r="AF445" t="str">
            <v>Đ</v>
          </cell>
          <cell r="AG445" t="str">
            <v>CN</v>
          </cell>
          <cell r="AH445" t="str">
            <v>AL8</v>
          </cell>
          <cell r="AI445">
            <v>8</v>
          </cell>
          <cell r="AJ445">
            <v>8</v>
          </cell>
          <cell r="AN445">
            <v>96</v>
          </cell>
          <cell r="AO445">
            <v>88</v>
          </cell>
          <cell r="AP445">
            <v>0</v>
          </cell>
          <cell r="AQ445">
            <v>0</v>
          </cell>
          <cell r="AR445">
            <v>0</v>
          </cell>
          <cell r="AS445">
            <v>0</v>
          </cell>
          <cell r="AT445">
            <v>0</v>
          </cell>
          <cell r="AU445">
            <v>0</v>
          </cell>
          <cell r="AV445">
            <v>0</v>
          </cell>
          <cell r="AW445">
            <v>0</v>
          </cell>
          <cell r="AX445">
            <v>0</v>
          </cell>
          <cell r="AY445">
            <v>0</v>
          </cell>
          <cell r="AZ445">
            <v>0</v>
          </cell>
          <cell r="BA445">
            <v>8</v>
          </cell>
          <cell r="BB445">
            <v>0</v>
          </cell>
          <cell r="BC445">
            <v>0</v>
          </cell>
          <cell r="BD445">
            <v>0</v>
          </cell>
          <cell r="BE445">
            <v>0</v>
          </cell>
          <cell r="BF445">
            <v>0</v>
          </cell>
          <cell r="BG445">
            <v>192</v>
          </cell>
          <cell r="BH445">
            <v>1</v>
          </cell>
          <cell r="BI445">
            <v>1</v>
          </cell>
          <cell r="BJ445">
            <v>1</v>
          </cell>
          <cell r="BL445">
            <v>0</v>
          </cell>
          <cell r="BM445">
            <v>0</v>
          </cell>
          <cell r="BN445">
            <v>0</v>
          </cell>
          <cell r="BO445">
            <v>0</v>
          </cell>
          <cell r="BP445">
            <v>1.5</v>
          </cell>
          <cell r="BQ445">
            <v>0</v>
          </cell>
          <cell r="BR445">
            <v>0</v>
          </cell>
          <cell r="BS445">
            <v>4</v>
          </cell>
          <cell r="BT445">
            <v>4</v>
          </cell>
          <cell r="BU445">
            <v>4</v>
          </cell>
          <cell r="BV445">
            <v>0</v>
          </cell>
          <cell r="BW445">
            <v>3</v>
          </cell>
          <cell r="BX445">
            <v>3</v>
          </cell>
          <cell r="BY445">
            <v>3</v>
          </cell>
          <cell r="BZ445">
            <v>3</v>
          </cell>
          <cell r="CA445">
            <v>0</v>
          </cell>
          <cell r="CB445">
            <v>3</v>
          </cell>
          <cell r="CC445">
            <v>8</v>
          </cell>
          <cell r="CD445">
            <v>4</v>
          </cell>
          <cell r="CE445">
            <v>4</v>
          </cell>
          <cell r="CF445">
            <v>4</v>
          </cell>
          <cell r="CG445">
            <v>4</v>
          </cell>
          <cell r="CH445">
            <v>4</v>
          </cell>
          <cell r="CI445">
            <v>4</v>
          </cell>
          <cell r="CJ445">
            <v>0</v>
          </cell>
          <cell r="CK445">
            <v>0</v>
          </cell>
          <cell r="CL445">
            <v>3</v>
          </cell>
          <cell r="CM445">
            <v>3</v>
          </cell>
          <cell r="CR445">
            <v>0</v>
          </cell>
          <cell r="CS445">
            <v>0</v>
          </cell>
          <cell r="CT445">
            <v>58.5</v>
          </cell>
          <cell r="CU445">
            <v>8</v>
          </cell>
          <cell r="CV445">
            <v>0</v>
          </cell>
          <cell r="CZ445">
            <v>66.5</v>
          </cell>
        </row>
        <row r="446">
          <cell r="C446" t="str">
            <v>03255</v>
          </cell>
          <cell r="D446" t="str">
            <v>Nguyễn Hữu Phước</v>
          </cell>
          <cell r="E446" t="str">
            <v>QC</v>
          </cell>
          <cell r="F446" t="str">
            <v>QC</v>
          </cell>
          <cell r="G446" t="str">
            <v>Worker</v>
          </cell>
          <cell r="H446">
            <v>44608</v>
          </cell>
          <cell r="I446">
            <v>8</v>
          </cell>
          <cell r="J446">
            <v>8</v>
          </cell>
          <cell r="K446">
            <v>8</v>
          </cell>
          <cell r="L446" t="str">
            <v>CN</v>
          </cell>
          <cell r="M446">
            <v>8</v>
          </cell>
          <cell r="N446">
            <v>8</v>
          </cell>
          <cell r="O446">
            <v>8</v>
          </cell>
          <cell r="P446">
            <v>8</v>
          </cell>
          <cell r="Q446">
            <v>8</v>
          </cell>
          <cell r="R446">
            <v>8</v>
          </cell>
          <cell r="S446" t="str">
            <v>CN</v>
          </cell>
          <cell r="T446">
            <v>8</v>
          </cell>
          <cell r="U446">
            <v>8</v>
          </cell>
          <cell r="V446">
            <v>8</v>
          </cell>
          <cell r="W446">
            <v>8</v>
          </cell>
          <cell r="X446">
            <v>8</v>
          </cell>
          <cell r="Y446">
            <v>8</v>
          </cell>
          <cell r="Z446" t="str">
            <v>CN</v>
          </cell>
          <cell r="AA446">
            <v>8</v>
          </cell>
          <cell r="AB446">
            <v>8</v>
          </cell>
          <cell r="AC446">
            <v>8</v>
          </cell>
          <cell r="AD446">
            <v>8</v>
          </cell>
          <cell r="AE446">
            <v>8</v>
          </cell>
          <cell r="AF446">
            <v>8</v>
          </cell>
          <cell r="AG446" t="str">
            <v>CN</v>
          </cell>
          <cell r="AH446">
            <v>8</v>
          </cell>
          <cell r="AI446">
            <v>8</v>
          </cell>
          <cell r="AJ446">
            <v>8</v>
          </cell>
          <cell r="AN446">
            <v>0</v>
          </cell>
          <cell r="AO446">
            <v>192</v>
          </cell>
          <cell r="AP446">
            <v>0</v>
          </cell>
          <cell r="AQ446">
            <v>0</v>
          </cell>
          <cell r="AR446">
            <v>0</v>
          </cell>
          <cell r="AS446">
            <v>0</v>
          </cell>
          <cell r="AT446">
            <v>0</v>
          </cell>
          <cell r="AU446">
            <v>0</v>
          </cell>
          <cell r="AV446">
            <v>0</v>
          </cell>
          <cell r="AW446">
            <v>0</v>
          </cell>
          <cell r="AX446">
            <v>0</v>
          </cell>
          <cell r="AY446">
            <v>0</v>
          </cell>
          <cell r="AZ446">
            <v>0</v>
          </cell>
          <cell r="BA446">
            <v>0</v>
          </cell>
          <cell r="BB446">
            <v>0</v>
          </cell>
          <cell r="BC446">
            <v>0</v>
          </cell>
          <cell r="BD446">
            <v>0</v>
          </cell>
          <cell r="BE446">
            <v>0</v>
          </cell>
          <cell r="BF446">
            <v>0</v>
          </cell>
          <cell r="BG446">
            <v>192</v>
          </cell>
          <cell r="BH446">
            <v>0</v>
          </cell>
          <cell r="BI446">
            <v>0</v>
          </cell>
          <cell r="BJ446">
            <v>2.5</v>
          </cell>
          <cell r="BL446">
            <v>2</v>
          </cell>
          <cell r="BM446">
            <v>2</v>
          </cell>
          <cell r="BN446">
            <v>2</v>
          </cell>
          <cell r="BO446">
            <v>0</v>
          </cell>
          <cell r="BP446">
            <v>3</v>
          </cell>
          <cell r="BQ446">
            <v>0</v>
          </cell>
          <cell r="BR446">
            <v>2</v>
          </cell>
          <cell r="BS446">
            <v>2</v>
          </cell>
          <cell r="BT446">
            <v>0</v>
          </cell>
          <cell r="BU446">
            <v>1</v>
          </cell>
          <cell r="BV446">
            <v>0</v>
          </cell>
          <cell r="BW446">
            <v>2</v>
          </cell>
          <cell r="BX446">
            <v>2</v>
          </cell>
          <cell r="BY446">
            <v>2</v>
          </cell>
          <cell r="BZ446">
            <v>1</v>
          </cell>
          <cell r="CA446">
            <v>2</v>
          </cell>
          <cell r="CB446">
            <v>1</v>
          </cell>
          <cell r="CC446">
            <v>0</v>
          </cell>
          <cell r="CD446">
            <v>2</v>
          </cell>
          <cell r="CE446">
            <v>2</v>
          </cell>
          <cell r="CF446">
            <v>2</v>
          </cell>
          <cell r="CG446">
            <v>2</v>
          </cell>
          <cell r="CH446">
            <v>2</v>
          </cell>
          <cell r="CI446">
            <v>0</v>
          </cell>
          <cell r="CJ446">
            <v>0</v>
          </cell>
          <cell r="CK446">
            <v>3</v>
          </cell>
          <cell r="CL446">
            <v>2</v>
          </cell>
          <cell r="CM446">
            <v>2</v>
          </cell>
          <cell r="CR446">
            <v>0</v>
          </cell>
          <cell r="CS446">
            <v>0</v>
          </cell>
          <cell r="CT446">
            <v>41</v>
          </cell>
          <cell r="CU446">
            <v>0</v>
          </cell>
          <cell r="CV446">
            <v>0</v>
          </cell>
          <cell r="CZ446">
            <v>41</v>
          </cell>
        </row>
        <row r="447">
          <cell r="C447" t="str">
            <v>03256</v>
          </cell>
          <cell r="D447" t="str">
            <v>Đoàn Thái Nhân</v>
          </cell>
          <cell r="E447" t="str">
            <v>Production</v>
          </cell>
          <cell r="F447" t="str">
            <v>Molding</v>
          </cell>
          <cell r="G447" t="str">
            <v>Worker</v>
          </cell>
          <cell r="H447">
            <v>44608</v>
          </cell>
          <cell r="I447">
            <v>8</v>
          </cell>
          <cell r="J447" t="str">
            <v>CN</v>
          </cell>
          <cell r="K447" t="str">
            <v>Đ</v>
          </cell>
          <cell r="L447" t="str">
            <v>Đ</v>
          </cell>
          <cell r="M447" t="str">
            <v>Đ</v>
          </cell>
          <cell r="N447" t="str">
            <v>Đ</v>
          </cell>
          <cell r="O447" t="str">
            <v>Đ</v>
          </cell>
          <cell r="P447" t="str">
            <v>Đ</v>
          </cell>
          <cell r="Q447" t="str">
            <v>CN</v>
          </cell>
          <cell r="R447">
            <v>8</v>
          </cell>
          <cell r="S447">
            <v>8</v>
          </cell>
          <cell r="T447">
            <v>8</v>
          </cell>
          <cell r="U447">
            <v>8</v>
          </cell>
          <cell r="V447">
            <v>8</v>
          </cell>
          <cell r="W447">
            <v>8</v>
          </cell>
          <cell r="X447" t="str">
            <v>CN</v>
          </cell>
          <cell r="Y447" t="str">
            <v>Đ</v>
          </cell>
          <cell r="Z447" t="str">
            <v>Đ</v>
          </cell>
          <cell r="AA447" t="str">
            <v>Đ</v>
          </cell>
          <cell r="AB447" t="str">
            <v>Đ</v>
          </cell>
          <cell r="AC447" t="str">
            <v>Đ</v>
          </cell>
          <cell r="AD447" t="str">
            <v>Đ</v>
          </cell>
          <cell r="AE447" t="str">
            <v>CN</v>
          </cell>
          <cell r="AF447">
            <v>8</v>
          </cell>
          <cell r="AG447">
            <v>8</v>
          </cell>
          <cell r="AH447">
            <v>8</v>
          </cell>
          <cell r="AI447">
            <v>8</v>
          </cell>
          <cell r="AJ447">
            <v>8</v>
          </cell>
          <cell r="AN447">
            <v>96</v>
          </cell>
          <cell r="AO447">
            <v>96</v>
          </cell>
          <cell r="AP447">
            <v>0</v>
          </cell>
          <cell r="AQ447">
            <v>0</v>
          </cell>
          <cell r="AR447">
            <v>0</v>
          </cell>
          <cell r="AS447">
            <v>0</v>
          </cell>
          <cell r="AT447">
            <v>0</v>
          </cell>
          <cell r="AU447">
            <v>0</v>
          </cell>
          <cell r="AV447">
            <v>0</v>
          </cell>
          <cell r="AW447">
            <v>0</v>
          </cell>
          <cell r="AX447">
            <v>0</v>
          </cell>
          <cell r="AY447">
            <v>0</v>
          </cell>
          <cell r="AZ447">
            <v>0</v>
          </cell>
          <cell r="BA447">
            <v>0</v>
          </cell>
          <cell r="BB447">
            <v>0</v>
          </cell>
          <cell r="BC447">
            <v>0</v>
          </cell>
          <cell r="BD447">
            <v>0</v>
          </cell>
          <cell r="BE447">
            <v>0</v>
          </cell>
          <cell r="BF447">
            <v>0</v>
          </cell>
          <cell r="BG447">
            <v>192</v>
          </cell>
          <cell r="BH447">
            <v>0</v>
          </cell>
          <cell r="BI447">
            <v>0</v>
          </cell>
          <cell r="BJ447">
            <v>0</v>
          </cell>
          <cell r="BL447">
            <v>0</v>
          </cell>
          <cell r="BM447">
            <v>0</v>
          </cell>
          <cell r="BN447">
            <v>4</v>
          </cell>
          <cell r="BO447">
            <v>4</v>
          </cell>
          <cell r="BP447">
            <v>0</v>
          </cell>
          <cell r="BQ447">
            <v>0</v>
          </cell>
          <cell r="BR447">
            <v>0</v>
          </cell>
          <cell r="BS447">
            <v>0</v>
          </cell>
          <cell r="BT447">
            <v>0</v>
          </cell>
          <cell r="BU447">
            <v>4</v>
          </cell>
          <cell r="BV447">
            <v>4</v>
          </cell>
          <cell r="BW447">
            <v>0</v>
          </cell>
          <cell r="BX447">
            <v>0</v>
          </cell>
          <cell r="BY447">
            <v>0</v>
          </cell>
          <cell r="BZ447">
            <v>0</v>
          </cell>
          <cell r="CA447">
            <v>0</v>
          </cell>
          <cell r="CB447">
            <v>4</v>
          </cell>
          <cell r="CC447">
            <v>4</v>
          </cell>
          <cell r="CD447">
            <v>0</v>
          </cell>
          <cell r="CE447">
            <v>0</v>
          </cell>
          <cell r="CF447">
            <v>0</v>
          </cell>
          <cell r="CG447">
            <v>0</v>
          </cell>
          <cell r="CH447">
            <v>0</v>
          </cell>
          <cell r="CI447">
            <v>4</v>
          </cell>
          <cell r="CJ447">
            <v>4</v>
          </cell>
          <cell r="CK447">
            <v>0</v>
          </cell>
          <cell r="CL447">
            <v>0</v>
          </cell>
          <cell r="CM447">
            <v>0</v>
          </cell>
          <cell r="CR447">
            <v>0</v>
          </cell>
          <cell r="CS447">
            <v>0</v>
          </cell>
          <cell r="CT447">
            <v>32</v>
          </cell>
          <cell r="CU447">
            <v>0</v>
          </cell>
          <cell r="CV447">
            <v>0</v>
          </cell>
          <cell r="CZ447">
            <v>32</v>
          </cell>
        </row>
        <row r="448">
          <cell r="C448" t="str">
            <v>03260</v>
          </cell>
          <cell r="D448" t="str">
            <v>Võ Thúy Quyên</v>
          </cell>
          <cell r="E448" t="str">
            <v>Production</v>
          </cell>
          <cell r="F448" t="str">
            <v>Packing</v>
          </cell>
          <cell r="G448" t="str">
            <v>Worker</v>
          </cell>
          <cell r="H448">
            <v>44608</v>
          </cell>
          <cell r="I448">
            <v>8</v>
          </cell>
          <cell r="J448">
            <v>8</v>
          </cell>
          <cell r="K448">
            <v>8</v>
          </cell>
          <cell r="L448" t="str">
            <v>CN</v>
          </cell>
          <cell r="M448" t="str">
            <v>Đ</v>
          </cell>
          <cell r="N448" t="str">
            <v>Đ</v>
          </cell>
          <cell r="O448" t="str">
            <v>Đ</v>
          </cell>
          <cell r="P448" t="str">
            <v>Đ</v>
          </cell>
          <cell r="Q448" t="str">
            <v>Đ</v>
          </cell>
          <cell r="R448" t="str">
            <v>Đ</v>
          </cell>
          <cell r="S448" t="str">
            <v>CN</v>
          </cell>
          <cell r="T448">
            <v>8</v>
          </cell>
          <cell r="U448">
            <v>8</v>
          </cell>
          <cell r="V448">
            <v>8</v>
          </cell>
          <cell r="W448">
            <v>8</v>
          </cell>
          <cell r="X448">
            <v>8</v>
          </cell>
          <cell r="Y448" t="str">
            <v>AL4</v>
          </cell>
          <cell r="Z448" t="str">
            <v>CN</v>
          </cell>
          <cell r="AA448" t="str">
            <v>Đ</v>
          </cell>
          <cell r="AB448" t="str">
            <v>Đ</v>
          </cell>
          <cell r="AC448" t="str">
            <v>Đ</v>
          </cell>
          <cell r="AD448" t="str">
            <v>Đ</v>
          </cell>
          <cell r="AE448" t="str">
            <v>Đ</v>
          </cell>
          <cell r="AF448" t="str">
            <v>Đ</v>
          </cell>
          <cell r="AG448" t="str">
            <v>CN</v>
          </cell>
          <cell r="AH448">
            <v>8</v>
          </cell>
          <cell r="AI448">
            <v>8</v>
          </cell>
          <cell r="AJ448">
            <v>8</v>
          </cell>
          <cell r="AN448">
            <v>96</v>
          </cell>
          <cell r="AO448">
            <v>92</v>
          </cell>
          <cell r="AP448">
            <v>4</v>
          </cell>
          <cell r="AQ448">
            <v>0</v>
          </cell>
          <cell r="AR448">
            <v>0</v>
          </cell>
          <cell r="AS448">
            <v>0</v>
          </cell>
          <cell r="AT448">
            <v>0</v>
          </cell>
          <cell r="AU448">
            <v>0</v>
          </cell>
          <cell r="AV448">
            <v>0</v>
          </cell>
          <cell r="AW448">
            <v>0</v>
          </cell>
          <cell r="AX448">
            <v>0</v>
          </cell>
          <cell r="AY448">
            <v>0</v>
          </cell>
          <cell r="AZ448">
            <v>0</v>
          </cell>
          <cell r="BA448">
            <v>4</v>
          </cell>
          <cell r="BB448">
            <v>0</v>
          </cell>
          <cell r="BC448">
            <v>0</v>
          </cell>
          <cell r="BD448">
            <v>0</v>
          </cell>
          <cell r="BE448">
            <v>0</v>
          </cell>
          <cell r="BF448">
            <v>0</v>
          </cell>
          <cell r="BG448">
            <v>192</v>
          </cell>
          <cell r="BH448">
            <v>0.5</v>
          </cell>
          <cell r="BI448">
            <v>0.5</v>
          </cell>
          <cell r="BJ448">
            <v>3</v>
          </cell>
          <cell r="BL448">
            <v>0</v>
          </cell>
          <cell r="BM448">
            <v>0</v>
          </cell>
          <cell r="BN448">
            <v>0</v>
          </cell>
          <cell r="BO448">
            <v>0</v>
          </cell>
          <cell r="BP448">
            <v>1.5</v>
          </cell>
          <cell r="BQ448">
            <v>3</v>
          </cell>
          <cell r="BR448">
            <v>0</v>
          </cell>
          <cell r="BS448">
            <v>3</v>
          </cell>
          <cell r="BT448">
            <v>0</v>
          </cell>
          <cell r="BU448">
            <v>0</v>
          </cell>
          <cell r="BV448">
            <v>0</v>
          </cell>
          <cell r="BW448">
            <v>3</v>
          </cell>
          <cell r="BX448">
            <v>3</v>
          </cell>
          <cell r="BY448">
            <v>3</v>
          </cell>
          <cell r="BZ448">
            <v>3</v>
          </cell>
          <cell r="CA448">
            <v>3</v>
          </cell>
          <cell r="CB448">
            <v>2</v>
          </cell>
          <cell r="CC448">
            <v>8</v>
          </cell>
          <cell r="CD448">
            <v>4</v>
          </cell>
          <cell r="CE448">
            <v>4</v>
          </cell>
          <cell r="CF448">
            <v>4</v>
          </cell>
          <cell r="CG448">
            <v>4</v>
          </cell>
          <cell r="CH448">
            <v>1.5</v>
          </cell>
          <cell r="CI448">
            <v>1.5</v>
          </cell>
          <cell r="CJ448">
            <v>0</v>
          </cell>
          <cell r="CK448">
            <v>1.5</v>
          </cell>
          <cell r="CL448">
            <v>1.5</v>
          </cell>
          <cell r="CM448">
            <v>1.5</v>
          </cell>
          <cell r="CR448">
            <v>0</v>
          </cell>
          <cell r="CS448">
            <v>0</v>
          </cell>
          <cell r="CT448">
            <v>48</v>
          </cell>
          <cell r="CU448">
            <v>8</v>
          </cell>
          <cell r="CV448">
            <v>0</v>
          </cell>
          <cell r="CZ448">
            <v>56</v>
          </cell>
        </row>
        <row r="449">
          <cell r="C449" t="str">
            <v>03262</v>
          </cell>
          <cell r="D449" t="str">
            <v>Lưu Ngọc Kim Minh</v>
          </cell>
          <cell r="E449" t="str">
            <v>Production</v>
          </cell>
          <cell r="F449" t="str">
            <v>Die Cut</v>
          </cell>
          <cell r="G449" t="str">
            <v>Worker</v>
          </cell>
          <cell r="H449">
            <v>44608</v>
          </cell>
          <cell r="I449" t="str">
            <v>TV</v>
          </cell>
          <cell r="J449" t="str">
            <v>TV</v>
          </cell>
          <cell r="K449" t="str">
            <v>TV</v>
          </cell>
          <cell r="L449" t="str">
            <v>TV</v>
          </cell>
          <cell r="M449" t="str">
            <v>TV</v>
          </cell>
          <cell r="N449" t="str">
            <v>TV</v>
          </cell>
          <cell r="O449" t="str">
            <v>TV</v>
          </cell>
          <cell r="P449" t="str">
            <v>TV</v>
          </cell>
          <cell r="Q449" t="str">
            <v>TV</v>
          </cell>
          <cell r="R449" t="str">
            <v>TV</v>
          </cell>
          <cell r="S449" t="str">
            <v>TV</v>
          </cell>
          <cell r="T449" t="str">
            <v>TV</v>
          </cell>
          <cell r="U449" t="str">
            <v>TV</v>
          </cell>
          <cell r="V449" t="str">
            <v>TV</v>
          </cell>
          <cell r="W449" t="str">
            <v>TV</v>
          </cell>
          <cell r="X449" t="str">
            <v>TV</v>
          </cell>
          <cell r="Y449" t="str">
            <v>TV</v>
          </cell>
          <cell r="Z449" t="str">
            <v>TV</v>
          </cell>
          <cell r="AA449" t="str">
            <v>TV</v>
          </cell>
          <cell r="AB449" t="str">
            <v>TV</v>
          </cell>
          <cell r="AC449" t="str">
            <v>TV</v>
          </cell>
          <cell r="AD449" t="str">
            <v>TV</v>
          </cell>
          <cell r="AE449" t="str">
            <v>TV</v>
          </cell>
          <cell r="AF449" t="str">
            <v>TV</v>
          </cell>
          <cell r="AG449" t="str">
            <v>TV</v>
          </cell>
          <cell r="AH449" t="str">
            <v>TV</v>
          </cell>
          <cell r="AI449" t="str">
            <v>TV</v>
          </cell>
          <cell r="AJ449" t="str">
            <v>TV</v>
          </cell>
          <cell r="AN449">
            <v>0</v>
          </cell>
          <cell r="AO449">
            <v>0</v>
          </cell>
          <cell r="AP449">
            <v>0</v>
          </cell>
          <cell r="AQ449">
            <v>0</v>
          </cell>
          <cell r="AR449">
            <v>0</v>
          </cell>
          <cell r="AS449">
            <v>0</v>
          </cell>
          <cell r="AT449">
            <v>0</v>
          </cell>
          <cell r="AU449">
            <v>0</v>
          </cell>
          <cell r="AV449">
            <v>0</v>
          </cell>
          <cell r="AW449">
            <v>0</v>
          </cell>
          <cell r="AX449">
            <v>0</v>
          </cell>
          <cell r="AY449">
            <v>0</v>
          </cell>
          <cell r="AZ449">
            <v>0</v>
          </cell>
          <cell r="BA449">
            <v>0</v>
          </cell>
          <cell r="BB449">
            <v>0</v>
          </cell>
          <cell r="BC449">
            <v>0</v>
          </cell>
          <cell r="BD449">
            <v>0</v>
          </cell>
          <cell r="BE449">
            <v>0</v>
          </cell>
          <cell r="BF449">
            <v>0</v>
          </cell>
          <cell r="BG449">
            <v>0</v>
          </cell>
          <cell r="BH449">
            <v>0</v>
          </cell>
          <cell r="BI449">
            <v>0</v>
          </cell>
          <cell r="BJ449">
            <v>1</v>
          </cell>
          <cell r="BL449">
            <v>0</v>
          </cell>
          <cell r="BM449">
            <v>0</v>
          </cell>
          <cell r="BN449">
            <v>0</v>
          </cell>
          <cell r="BO449">
            <v>0</v>
          </cell>
          <cell r="BP449">
            <v>0</v>
          </cell>
          <cell r="BQ449">
            <v>0</v>
          </cell>
          <cell r="BR449">
            <v>0</v>
          </cell>
          <cell r="BS449">
            <v>0</v>
          </cell>
          <cell r="BT449">
            <v>0</v>
          </cell>
          <cell r="BU449">
            <v>0</v>
          </cell>
          <cell r="BV449">
            <v>0</v>
          </cell>
          <cell r="BW449">
            <v>0</v>
          </cell>
          <cell r="BX449">
            <v>0</v>
          </cell>
          <cell r="BY449">
            <v>0</v>
          </cell>
          <cell r="BZ449">
            <v>0</v>
          </cell>
          <cell r="CA449">
            <v>0</v>
          </cell>
          <cell r="CB449">
            <v>0</v>
          </cell>
          <cell r="CC449">
            <v>0</v>
          </cell>
          <cell r="CD449">
            <v>0</v>
          </cell>
          <cell r="CE449">
            <v>0</v>
          </cell>
          <cell r="CF449">
            <v>0</v>
          </cell>
          <cell r="CG449">
            <v>0</v>
          </cell>
          <cell r="CH449">
            <v>0</v>
          </cell>
          <cell r="CI449">
            <v>0</v>
          </cell>
          <cell r="CJ449">
            <v>0</v>
          </cell>
          <cell r="CK449">
            <v>0</v>
          </cell>
          <cell r="CL449">
            <v>0</v>
          </cell>
          <cell r="CM449">
            <v>0</v>
          </cell>
          <cell r="CR449">
            <v>0</v>
          </cell>
          <cell r="CS449">
            <v>0</v>
          </cell>
          <cell r="CT449">
            <v>0</v>
          </cell>
          <cell r="CU449">
            <v>0</v>
          </cell>
          <cell r="CV449">
            <v>0</v>
          </cell>
          <cell r="CZ449">
            <v>0</v>
          </cell>
        </row>
        <row r="450">
          <cell r="C450" t="str">
            <v>03267</v>
          </cell>
          <cell r="D450" t="str">
            <v>Lê Duy Khang</v>
          </cell>
          <cell r="E450" t="str">
            <v>Foaming</v>
          </cell>
          <cell r="F450" t="str">
            <v>FOAMING Rectangular</v>
          </cell>
          <cell r="G450" t="str">
            <v>Operator</v>
          </cell>
          <cell r="H450">
            <v>44610</v>
          </cell>
          <cell r="I450">
            <v>8</v>
          </cell>
          <cell r="J450">
            <v>8</v>
          </cell>
          <cell r="K450">
            <v>8</v>
          </cell>
          <cell r="L450" t="str">
            <v>CN</v>
          </cell>
          <cell r="M450">
            <v>8</v>
          </cell>
          <cell r="N450">
            <v>8</v>
          </cell>
          <cell r="O450">
            <v>8</v>
          </cell>
          <cell r="P450">
            <v>8</v>
          </cell>
          <cell r="Q450">
            <v>8</v>
          </cell>
          <cell r="R450">
            <v>8</v>
          </cell>
          <cell r="S450" t="str">
            <v>CN</v>
          </cell>
          <cell r="T450">
            <v>8</v>
          </cell>
          <cell r="U450">
            <v>8</v>
          </cell>
          <cell r="V450">
            <v>8</v>
          </cell>
          <cell r="W450">
            <v>8</v>
          </cell>
          <cell r="X450">
            <v>8</v>
          </cell>
          <cell r="Y450">
            <v>8</v>
          </cell>
          <cell r="Z450" t="str">
            <v>CN</v>
          </cell>
          <cell r="AA450" t="str">
            <v>Đ</v>
          </cell>
          <cell r="AB450" t="str">
            <v>Đ</v>
          </cell>
          <cell r="AC450" t="str">
            <v>Đ</v>
          </cell>
          <cell r="AD450" t="str">
            <v>Đ</v>
          </cell>
          <cell r="AE450" t="str">
            <v>Đ</v>
          </cell>
          <cell r="AF450" t="str">
            <v>Đ</v>
          </cell>
          <cell r="AG450" t="str">
            <v>CN</v>
          </cell>
          <cell r="AH450" t="str">
            <v>Đ</v>
          </cell>
          <cell r="AI450" t="str">
            <v>Đ</v>
          </cell>
          <cell r="AJ450" t="str">
            <v>Đ</v>
          </cell>
          <cell r="AN450">
            <v>72</v>
          </cell>
          <cell r="AO450">
            <v>120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192</v>
          </cell>
          <cell r="BH450">
            <v>0</v>
          </cell>
          <cell r="BI450">
            <v>0</v>
          </cell>
          <cell r="BJ450">
            <v>-4.5</v>
          </cell>
          <cell r="BL450">
            <v>4</v>
          </cell>
          <cell r="BM450">
            <v>4</v>
          </cell>
          <cell r="BN450">
            <v>4</v>
          </cell>
          <cell r="BO450">
            <v>12</v>
          </cell>
          <cell r="BP450">
            <v>0</v>
          </cell>
          <cell r="BQ450">
            <v>4</v>
          </cell>
          <cell r="BR450">
            <v>4</v>
          </cell>
          <cell r="BS450">
            <v>4</v>
          </cell>
          <cell r="BT450">
            <v>4</v>
          </cell>
          <cell r="BU450">
            <v>4</v>
          </cell>
          <cell r="BV450">
            <v>12</v>
          </cell>
          <cell r="BW450">
            <v>4</v>
          </cell>
          <cell r="BX450">
            <v>4</v>
          </cell>
          <cell r="BY450">
            <v>4</v>
          </cell>
          <cell r="BZ450">
            <v>4</v>
          </cell>
          <cell r="CA450">
            <v>4</v>
          </cell>
          <cell r="CB450">
            <v>4</v>
          </cell>
          <cell r="CC450" t="str">
            <v>12Đ</v>
          </cell>
          <cell r="CD450">
            <v>4</v>
          </cell>
          <cell r="CE450">
            <v>4</v>
          </cell>
          <cell r="CF450">
            <v>4</v>
          </cell>
          <cell r="CG450">
            <v>4</v>
          </cell>
          <cell r="CH450">
            <v>4</v>
          </cell>
          <cell r="CI450">
            <v>4</v>
          </cell>
          <cell r="CJ450" t="str">
            <v>12Đ</v>
          </cell>
          <cell r="CK450">
            <v>0</v>
          </cell>
          <cell r="CL450">
            <v>4</v>
          </cell>
          <cell r="CM450">
            <v>4</v>
          </cell>
          <cell r="CR450">
            <v>0</v>
          </cell>
          <cell r="CS450">
            <v>0</v>
          </cell>
          <cell r="CT450">
            <v>88</v>
          </cell>
          <cell r="CU450">
            <v>32</v>
          </cell>
          <cell r="CV450">
            <v>16</v>
          </cell>
          <cell r="CZ450">
            <v>136</v>
          </cell>
        </row>
        <row r="451">
          <cell r="C451" t="str">
            <v>03277</v>
          </cell>
          <cell r="D451" t="str">
            <v>Lê Thị Anh Thư</v>
          </cell>
          <cell r="E451" t="str">
            <v>Production</v>
          </cell>
          <cell r="F451" t="str">
            <v>Prefitting</v>
          </cell>
          <cell r="G451" t="str">
            <v>Worker</v>
          </cell>
          <cell r="H451">
            <v>44610</v>
          </cell>
          <cell r="I451">
            <v>8</v>
          </cell>
          <cell r="J451">
            <v>8</v>
          </cell>
          <cell r="K451">
            <v>8</v>
          </cell>
          <cell r="L451" t="str">
            <v>CN</v>
          </cell>
          <cell r="M451">
            <v>8</v>
          </cell>
          <cell r="N451" t="str">
            <v>AL4</v>
          </cell>
          <cell r="O451">
            <v>8</v>
          </cell>
          <cell r="P451">
            <v>8</v>
          </cell>
          <cell r="Q451">
            <v>8</v>
          </cell>
          <cell r="R451">
            <v>8</v>
          </cell>
          <cell r="S451" t="str">
            <v>CN</v>
          </cell>
          <cell r="T451" t="str">
            <v>Đ</v>
          </cell>
          <cell r="U451" t="str">
            <v>Đ</v>
          </cell>
          <cell r="V451" t="str">
            <v>Đ</v>
          </cell>
          <cell r="W451" t="str">
            <v>Đ</v>
          </cell>
          <cell r="X451" t="str">
            <v>Đ</v>
          </cell>
          <cell r="Y451" t="str">
            <v>Đ</v>
          </cell>
          <cell r="Z451" t="str">
            <v>CN</v>
          </cell>
          <cell r="AA451">
            <v>8</v>
          </cell>
          <cell r="AB451">
            <v>8</v>
          </cell>
          <cell r="AC451">
            <v>8</v>
          </cell>
          <cell r="AD451">
            <v>8</v>
          </cell>
          <cell r="AE451">
            <v>8</v>
          </cell>
          <cell r="AF451">
            <v>8</v>
          </cell>
          <cell r="AG451" t="str">
            <v>CN</v>
          </cell>
          <cell r="AH451" t="str">
            <v>Đ</v>
          </cell>
          <cell r="AI451" t="str">
            <v>Đ</v>
          </cell>
          <cell r="AJ451" t="str">
            <v>Đ</v>
          </cell>
          <cell r="AN451">
            <v>72</v>
          </cell>
          <cell r="AO451">
            <v>116</v>
          </cell>
          <cell r="AP451">
            <v>4</v>
          </cell>
          <cell r="AQ451">
            <v>0</v>
          </cell>
          <cell r="AR451">
            <v>0</v>
          </cell>
          <cell r="AS451">
            <v>0</v>
          </cell>
          <cell r="AT451">
            <v>0</v>
          </cell>
          <cell r="AU451">
            <v>0</v>
          </cell>
          <cell r="AV451">
            <v>0</v>
          </cell>
          <cell r="AW451">
            <v>0</v>
          </cell>
          <cell r="AX451">
            <v>0</v>
          </cell>
          <cell r="AY451">
            <v>0</v>
          </cell>
          <cell r="AZ451">
            <v>0</v>
          </cell>
          <cell r="BA451">
            <v>4</v>
          </cell>
          <cell r="BB451">
            <v>0</v>
          </cell>
          <cell r="BC451">
            <v>0</v>
          </cell>
          <cell r="BD451">
            <v>0</v>
          </cell>
          <cell r="BE451">
            <v>0</v>
          </cell>
          <cell r="BF451">
            <v>0</v>
          </cell>
          <cell r="BG451">
            <v>192</v>
          </cell>
          <cell r="BH451">
            <v>0.5</v>
          </cell>
          <cell r="BI451">
            <v>0.5</v>
          </cell>
          <cell r="BJ451">
            <v>2.5</v>
          </cell>
          <cell r="BL451">
            <v>0</v>
          </cell>
          <cell r="BM451">
            <v>4</v>
          </cell>
          <cell r="BN451">
            <v>0</v>
          </cell>
          <cell r="BO451">
            <v>0</v>
          </cell>
          <cell r="BP451">
            <v>0</v>
          </cell>
          <cell r="BQ451">
            <v>0</v>
          </cell>
          <cell r="BR451">
            <v>0</v>
          </cell>
          <cell r="BS451">
            <v>0</v>
          </cell>
          <cell r="BT451">
            <v>0</v>
          </cell>
          <cell r="BU451">
            <v>0</v>
          </cell>
          <cell r="BV451">
            <v>0</v>
          </cell>
          <cell r="BW451">
            <v>0</v>
          </cell>
          <cell r="BX451">
            <v>0</v>
          </cell>
          <cell r="BY451">
            <v>0</v>
          </cell>
          <cell r="BZ451">
            <v>0</v>
          </cell>
          <cell r="CA451">
            <v>0</v>
          </cell>
          <cell r="CB451">
            <v>0</v>
          </cell>
          <cell r="CC451">
            <v>0</v>
          </cell>
          <cell r="CD451">
            <v>0</v>
          </cell>
          <cell r="CE451">
            <v>0</v>
          </cell>
          <cell r="CF451">
            <v>0</v>
          </cell>
          <cell r="CG451">
            <v>0</v>
          </cell>
          <cell r="CH451">
            <v>4</v>
          </cell>
          <cell r="CI451">
            <v>4</v>
          </cell>
          <cell r="CJ451">
            <v>0</v>
          </cell>
          <cell r="CK451">
            <v>0</v>
          </cell>
          <cell r="CL451">
            <v>0</v>
          </cell>
          <cell r="CM451">
            <v>4</v>
          </cell>
          <cell r="CR451">
            <v>0</v>
          </cell>
          <cell r="CS451">
            <v>0</v>
          </cell>
          <cell r="CT451">
            <v>16</v>
          </cell>
          <cell r="CU451">
            <v>0</v>
          </cell>
          <cell r="CV451">
            <v>0</v>
          </cell>
          <cell r="CZ451">
            <v>16</v>
          </cell>
        </row>
        <row r="452">
          <cell r="C452" t="str">
            <v>03282</v>
          </cell>
          <cell r="D452" t="str">
            <v>Huỳnh Trọng Tâm</v>
          </cell>
          <cell r="E452" t="str">
            <v>Production</v>
          </cell>
          <cell r="F452" t="str">
            <v>Logo Making</v>
          </cell>
          <cell r="G452" t="str">
            <v>Operator</v>
          </cell>
          <cell r="H452">
            <v>44613</v>
          </cell>
          <cell r="I452">
            <v>8</v>
          </cell>
          <cell r="J452">
            <v>8</v>
          </cell>
          <cell r="K452" t="str">
            <v>CN</v>
          </cell>
          <cell r="L452" t="str">
            <v>Đ</v>
          </cell>
          <cell r="M452" t="str">
            <v>Đ</v>
          </cell>
          <cell r="N452" t="str">
            <v>Đ</v>
          </cell>
          <cell r="O452" t="str">
            <v>Đ</v>
          </cell>
          <cell r="P452" t="str">
            <v>Đ</v>
          </cell>
          <cell r="Q452" t="str">
            <v>Đ</v>
          </cell>
          <cell r="R452" t="str">
            <v>CN</v>
          </cell>
          <cell r="S452">
            <v>8</v>
          </cell>
          <cell r="T452" t="str">
            <v>AL4</v>
          </cell>
          <cell r="U452" t="str">
            <v>AL4</v>
          </cell>
          <cell r="V452">
            <v>8</v>
          </cell>
          <cell r="W452">
            <v>8</v>
          </cell>
          <cell r="X452">
            <v>8</v>
          </cell>
          <cell r="Y452" t="str">
            <v>CN</v>
          </cell>
          <cell r="Z452" t="str">
            <v>Đ</v>
          </cell>
          <cell r="AA452" t="str">
            <v>Đ</v>
          </cell>
          <cell r="AB452" t="str">
            <v>Đ</v>
          </cell>
          <cell r="AC452" t="str">
            <v>Đ</v>
          </cell>
          <cell r="AD452" t="str">
            <v>Đ</v>
          </cell>
          <cell r="AE452" t="str">
            <v>Đ</v>
          </cell>
          <cell r="AF452" t="str">
            <v>CN</v>
          </cell>
          <cell r="AG452">
            <v>8</v>
          </cell>
          <cell r="AH452">
            <v>8</v>
          </cell>
          <cell r="AI452">
            <v>8</v>
          </cell>
          <cell r="AJ452">
            <v>8</v>
          </cell>
          <cell r="AN452">
            <v>96</v>
          </cell>
          <cell r="AO452">
            <v>88</v>
          </cell>
          <cell r="AP452">
            <v>8</v>
          </cell>
          <cell r="AQ452">
            <v>0</v>
          </cell>
          <cell r="AR452">
            <v>0</v>
          </cell>
          <cell r="AS452">
            <v>0</v>
          </cell>
          <cell r="AT452">
            <v>0</v>
          </cell>
          <cell r="AU452">
            <v>0</v>
          </cell>
          <cell r="AV452">
            <v>0</v>
          </cell>
          <cell r="AW452">
            <v>0</v>
          </cell>
          <cell r="AX452">
            <v>0</v>
          </cell>
          <cell r="AY452">
            <v>0</v>
          </cell>
          <cell r="AZ452">
            <v>0</v>
          </cell>
          <cell r="BA452">
            <v>8</v>
          </cell>
          <cell r="BB452">
            <v>0</v>
          </cell>
          <cell r="BC452">
            <v>0</v>
          </cell>
          <cell r="BD452">
            <v>0</v>
          </cell>
          <cell r="BE452">
            <v>0</v>
          </cell>
          <cell r="BF452">
            <v>0</v>
          </cell>
          <cell r="BG452">
            <v>192</v>
          </cell>
          <cell r="BH452">
            <v>1</v>
          </cell>
          <cell r="BI452">
            <v>1</v>
          </cell>
          <cell r="BJ452">
            <v>-5.5</v>
          </cell>
          <cell r="BL452">
            <v>0</v>
          </cell>
          <cell r="BM452">
            <v>3</v>
          </cell>
          <cell r="BN452">
            <v>0</v>
          </cell>
          <cell r="BO452">
            <v>4</v>
          </cell>
          <cell r="BP452">
            <v>4</v>
          </cell>
          <cell r="BQ452">
            <v>0</v>
          </cell>
          <cell r="BR452">
            <v>0</v>
          </cell>
          <cell r="BS452">
            <v>0</v>
          </cell>
          <cell r="BT452">
            <v>4</v>
          </cell>
          <cell r="BU452">
            <v>0</v>
          </cell>
          <cell r="BV452">
            <v>3</v>
          </cell>
          <cell r="BW452">
            <v>0</v>
          </cell>
          <cell r="BX452">
            <v>0</v>
          </cell>
          <cell r="BY452">
            <v>0</v>
          </cell>
          <cell r="BZ452">
            <v>4</v>
          </cell>
          <cell r="CA452">
            <v>4</v>
          </cell>
          <cell r="CB452">
            <v>0</v>
          </cell>
          <cell r="CC452">
            <v>4</v>
          </cell>
          <cell r="CD452">
            <v>0</v>
          </cell>
          <cell r="CE452">
            <v>0</v>
          </cell>
          <cell r="CF452">
            <v>0</v>
          </cell>
          <cell r="CG452">
            <v>0</v>
          </cell>
          <cell r="CH452">
            <v>4</v>
          </cell>
          <cell r="CI452">
            <v>0</v>
          </cell>
          <cell r="CJ452">
            <v>0</v>
          </cell>
          <cell r="CK452">
            <v>0</v>
          </cell>
          <cell r="CL452">
            <v>2</v>
          </cell>
          <cell r="CM452">
            <v>0</v>
          </cell>
          <cell r="CR452">
            <v>0</v>
          </cell>
          <cell r="CS452">
            <v>0</v>
          </cell>
          <cell r="CT452">
            <v>36</v>
          </cell>
          <cell r="CU452">
            <v>0</v>
          </cell>
          <cell r="CV452">
            <v>0</v>
          </cell>
          <cell r="CZ452">
            <v>36</v>
          </cell>
        </row>
        <row r="453">
          <cell r="C453" t="str">
            <v>03285</v>
          </cell>
          <cell r="D453" t="str">
            <v>Lục Thị Xuyến</v>
          </cell>
          <cell r="E453" t="str">
            <v>Production</v>
          </cell>
          <cell r="F453" t="str">
            <v>Prefitting</v>
          </cell>
          <cell r="G453" t="str">
            <v>Worker</v>
          </cell>
          <cell r="H453">
            <v>44613</v>
          </cell>
          <cell r="I453" t="str">
            <v>Đ</v>
          </cell>
          <cell r="J453" t="str">
            <v>CN</v>
          </cell>
          <cell r="K453">
            <v>8</v>
          </cell>
          <cell r="L453">
            <v>8</v>
          </cell>
          <cell r="M453">
            <v>8</v>
          </cell>
          <cell r="N453">
            <v>8</v>
          </cell>
          <cell r="O453">
            <v>8</v>
          </cell>
          <cell r="P453">
            <v>8</v>
          </cell>
          <cell r="Q453" t="str">
            <v>CN</v>
          </cell>
          <cell r="R453" t="str">
            <v>Đ</v>
          </cell>
          <cell r="S453" t="str">
            <v>Đ</v>
          </cell>
          <cell r="T453" t="str">
            <v>Đ</v>
          </cell>
          <cell r="U453" t="str">
            <v>Đ</v>
          </cell>
          <cell r="V453" t="str">
            <v>Đ</v>
          </cell>
          <cell r="W453" t="str">
            <v>Đ</v>
          </cell>
          <cell r="X453" t="str">
            <v>CN</v>
          </cell>
          <cell r="Y453">
            <v>8</v>
          </cell>
          <cell r="Z453">
            <v>8</v>
          </cell>
          <cell r="AA453">
            <v>8</v>
          </cell>
          <cell r="AB453">
            <v>8</v>
          </cell>
          <cell r="AC453">
            <v>8</v>
          </cell>
          <cell r="AD453">
            <v>8</v>
          </cell>
          <cell r="AE453" t="str">
            <v>CN</v>
          </cell>
          <cell r="AF453" t="str">
            <v>Đ</v>
          </cell>
          <cell r="AG453" t="str">
            <v>Đ</v>
          </cell>
          <cell r="AH453" t="str">
            <v>Đ</v>
          </cell>
          <cell r="AI453" t="str">
            <v>Đ</v>
          </cell>
          <cell r="AJ453" t="str">
            <v>Đ</v>
          </cell>
          <cell r="AN453">
            <v>96</v>
          </cell>
          <cell r="AO453">
            <v>96</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0</v>
          </cell>
          <cell r="BF453">
            <v>0</v>
          </cell>
          <cell r="BG453">
            <v>192</v>
          </cell>
          <cell r="BH453">
            <v>0</v>
          </cell>
          <cell r="BI453">
            <v>0</v>
          </cell>
          <cell r="BJ453">
            <v>2</v>
          </cell>
          <cell r="BL453">
            <v>0</v>
          </cell>
          <cell r="BM453">
            <v>0</v>
          </cell>
          <cell r="BN453">
            <v>0</v>
          </cell>
          <cell r="BO453">
            <v>4</v>
          </cell>
          <cell r="BP453">
            <v>0</v>
          </cell>
          <cell r="BQ453">
            <v>0</v>
          </cell>
          <cell r="BR453">
            <v>0</v>
          </cell>
          <cell r="BS453">
            <v>0</v>
          </cell>
          <cell r="BT453">
            <v>0</v>
          </cell>
          <cell r="BU453">
            <v>4</v>
          </cell>
          <cell r="BV453">
            <v>4</v>
          </cell>
          <cell r="BW453">
            <v>0</v>
          </cell>
          <cell r="BX453">
            <v>0</v>
          </cell>
          <cell r="BY453">
            <v>0</v>
          </cell>
          <cell r="BZ453">
            <v>0</v>
          </cell>
          <cell r="CA453">
            <v>0</v>
          </cell>
          <cell r="CB453">
            <v>4</v>
          </cell>
          <cell r="CC453">
            <v>4</v>
          </cell>
          <cell r="CD453">
            <v>0</v>
          </cell>
          <cell r="CE453">
            <v>0</v>
          </cell>
          <cell r="CF453">
            <v>0</v>
          </cell>
          <cell r="CG453">
            <v>0</v>
          </cell>
          <cell r="CH453">
            <v>0</v>
          </cell>
          <cell r="CI453">
            <v>4</v>
          </cell>
          <cell r="CJ453">
            <v>4</v>
          </cell>
          <cell r="CK453">
            <v>0</v>
          </cell>
          <cell r="CL453">
            <v>0</v>
          </cell>
          <cell r="CM453">
            <v>0</v>
          </cell>
          <cell r="CR453">
            <v>0</v>
          </cell>
          <cell r="CS453">
            <v>0</v>
          </cell>
          <cell r="CT453">
            <v>28</v>
          </cell>
          <cell r="CU453">
            <v>0</v>
          </cell>
          <cell r="CV453">
            <v>0</v>
          </cell>
          <cell r="CZ453">
            <v>28</v>
          </cell>
        </row>
        <row r="454">
          <cell r="C454" t="str">
            <v>03287</v>
          </cell>
          <cell r="D454" t="str">
            <v>Nguyễn Thị Mỹ Tiên</v>
          </cell>
          <cell r="E454" t="str">
            <v>Production</v>
          </cell>
          <cell r="F454" t="str">
            <v>Die Cut</v>
          </cell>
          <cell r="G454" t="str">
            <v>Worker</v>
          </cell>
          <cell r="H454">
            <v>44613</v>
          </cell>
          <cell r="I454">
            <v>8</v>
          </cell>
          <cell r="J454">
            <v>8</v>
          </cell>
          <cell r="K454">
            <v>8</v>
          </cell>
          <cell r="L454" t="str">
            <v>CN</v>
          </cell>
          <cell r="M454" t="str">
            <v>AL4</v>
          </cell>
          <cell r="N454">
            <v>8</v>
          </cell>
          <cell r="O454">
            <v>8</v>
          </cell>
          <cell r="P454">
            <v>8</v>
          </cell>
          <cell r="Q454">
            <v>8</v>
          </cell>
          <cell r="R454">
            <v>8</v>
          </cell>
          <cell r="S454" t="str">
            <v>CN</v>
          </cell>
          <cell r="T454" t="str">
            <v>Đ</v>
          </cell>
          <cell r="U454" t="str">
            <v>Đ</v>
          </cell>
          <cell r="V454" t="str">
            <v>Đ</v>
          </cell>
          <cell r="W454" t="str">
            <v>Đ</v>
          </cell>
          <cell r="X454" t="str">
            <v>Đ</v>
          </cell>
          <cell r="Y454" t="str">
            <v>Đ</v>
          </cell>
          <cell r="Z454" t="str">
            <v>CN</v>
          </cell>
          <cell r="AA454">
            <v>8</v>
          </cell>
          <cell r="AB454">
            <v>8</v>
          </cell>
          <cell r="AC454">
            <v>8</v>
          </cell>
          <cell r="AD454">
            <v>8</v>
          </cell>
          <cell r="AE454">
            <v>8</v>
          </cell>
          <cell r="AF454" t="str">
            <v>AL4</v>
          </cell>
          <cell r="AG454" t="str">
            <v>CN</v>
          </cell>
          <cell r="AH454">
            <v>8</v>
          </cell>
          <cell r="AI454">
            <v>8</v>
          </cell>
          <cell r="AJ454">
            <v>8</v>
          </cell>
          <cell r="AN454">
            <v>48</v>
          </cell>
          <cell r="AO454">
            <v>136</v>
          </cell>
          <cell r="AP454">
            <v>8</v>
          </cell>
          <cell r="AQ454">
            <v>0</v>
          </cell>
          <cell r="AR454">
            <v>0</v>
          </cell>
          <cell r="AS454">
            <v>0</v>
          </cell>
          <cell r="AT454">
            <v>0</v>
          </cell>
          <cell r="AU454">
            <v>0</v>
          </cell>
          <cell r="AV454">
            <v>0</v>
          </cell>
          <cell r="AW454">
            <v>0</v>
          </cell>
          <cell r="AX454">
            <v>0</v>
          </cell>
          <cell r="AY454">
            <v>0</v>
          </cell>
          <cell r="AZ454">
            <v>0</v>
          </cell>
          <cell r="BA454">
            <v>8</v>
          </cell>
          <cell r="BB454">
            <v>0</v>
          </cell>
          <cell r="BC454">
            <v>0</v>
          </cell>
          <cell r="BD454">
            <v>0</v>
          </cell>
          <cell r="BE454">
            <v>0</v>
          </cell>
          <cell r="BF454">
            <v>0</v>
          </cell>
          <cell r="BG454">
            <v>192</v>
          </cell>
          <cell r="BH454">
            <v>1</v>
          </cell>
          <cell r="BI454">
            <v>1</v>
          </cell>
          <cell r="BJ454">
            <v>0</v>
          </cell>
          <cell r="BL454">
            <v>0</v>
          </cell>
          <cell r="BM454">
            <v>0</v>
          </cell>
          <cell r="BN454">
            <v>4</v>
          </cell>
          <cell r="BO454">
            <v>0</v>
          </cell>
          <cell r="BP454">
            <v>0</v>
          </cell>
          <cell r="BQ454">
            <v>3</v>
          </cell>
          <cell r="BR454">
            <v>3</v>
          </cell>
          <cell r="BS454">
            <v>1.5</v>
          </cell>
          <cell r="BT454">
            <v>1.5</v>
          </cell>
          <cell r="BU454">
            <v>1.5</v>
          </cell>
          <cell r="BV454">
            <v>0</v>
          </cell>
          <cell r="BW454">
            <v>3</v>
          </cell>
          <cell r="BX454">
            <v>3</v>
          </cell>
          <cell r="BY454">
            <v>4</v>
          </cell>
          <cell r="BZ454">
            <v>4</v>
          </cell>
          <cell r="CA454">
            <v>4</v>
          </cell>
          <cell r="CB454">
            <v>4</v>
          </cell>
          <cell r="CC454">
            <v>0</v>
          </cell>
          <cell r="CD454">
            <v>0</v>
          </cell>
          <cell r="CE454">
            <v>4</v>
          </cell>
          <cell r="CF454">
            <v>4</v>
          </cell>
          <cell r="CG454">
            <v>4</v>
          </cell>
          <cell r="CH454">
            <v>4</v>
          </cell>
          <cell r="CI454">
            <v>4</v>
          </cell>
          <cell r="CJ454">
            <v>8</v>
          </cell>
          <cell r="CK454">
            <v>3</v>
          </cell>
          <cell r="CL454">
            <v>3</v>
          </cell>
          <cell r="CM454">
            <v>3</v>
          </cell>
          <cell r="CR454">
            <v>0</v>
          </cell>
          <cell r="CS454">
            <v>0</v>
          </cell>
          <cell r="CT454">
            <v>65.5</v>
          </cell>
          <cell r="CU454">
            <v>8</v>
          </cell>
          <cell r="CV454">
            <v>0</v>
          </cell>
          <cell r="CZ454">
            <v>73.5</v>
          </cell>
        </row>
        <row r="455">
          <cell r="C455" t="str">
            <v>03293</v>
          </cell>
          <cell r="D455" t="str">
            <v>Nguyễn Thành Thông</v>
          </cell>
          <cell r="E455" t="str">
            <v>Technical Development</v>
          </cell>
          <cell r="F455" t="str">
            <v>PD Technical</v>
          </cell>
          <cell r="G455" t="str">
            <v>Technician</v>
          </cell>
          <cell r="H455">
            <v>44613</v>
          </cell>
          <cell r="I455">
            <v>8</v>
          </cell>
          <cell r="J455">
            <v>8</v>
          </cell>
          <cell r="K455" t="str">
            <v>PO</v>
          </cell>
          <cell r="L455" t="str">
            <v>CN</v>
          </cell>
          <cell r="M455">
            <v>8</v>
          </cell>
          <cell r="N455">
            <v>8</v>
          </cell>
          <cell r="O455">
            <v>8</v>
          </cell>
          <cell r="P455">
            <v>8</v>
          </cell>
          <cell r="Q455">
            <v>8</v>
          </cell>
          <cell r="R455" t="str">
            <v>PO</v>
          </cell>
          <cell r="S455" t="str">
            <v>CN</v>
          </cell>
          <cell r="T455">
            <v>8</v>
          </cell>
          <cell r="U455">
            <v>8</v>
          </cell>
          <cell r="V455">
            <v>8</v>
          </cell>
          <cell r="W455">
            <v>8</v>
          </cell>
          <cell r="X455">
            <v>8</v>
          </cell>
          <cell r="Y455" t="str">
            <v>PO</v>
          </cell>
          <cell r="Z455" t="str">
            <v>CN</v>
          </cell>
          <cell r="AA455">
            <v>8</v>
          </cell>
          <cell r="AB455">
            <v>8</v>
          </cell>
          <cell r="AC455">
            <v>8</v>
          </cell>
          <cell r="AD455">
            <v>8</v>
          </cell>
          <cell r="AE455">
            <v>8</v>
          </cell>
          <cell r="AF455" t="str">
            <v>PO</v>
          </cell>
          <cell r="AG455" t="str">
            <v>CN</v>
          </cell>
          <cell r="AH455" t="str">
            <v>AL8</v>
          </cell>
          <cell r="AI455">
            <v>8</v>
          </cell>
          <cell r="AJ455">
            <v>8</v>
          </cell>
          <cell r="AN455">
            <v>0</v>
          </cell>
          <cell r="AO455">
            <v>152</v>
          </cell>
          <cell r="AP455">
            <v>0</v>
          </cell>
          <cell r="AQ455">
            <v>0</v>
          </cell>
          <cell r="AR455">
            <v>0</v>
          </cell>
          <cell r="AS455">
            <v>0</v>
          </cell>
          <cell r="AT455">
            <v>0</v>
          </cell>
          <cell r="AU455">
            <v>0</v>
          </cell>
          <cell r="AV455">
            <v>32</v>
          </cell>
          <cell r="AW455">
            <v>0</v>
          </cell>
          <cell r="AX455">
            <v>0</v>
          </cell>
          <cell r="AY455">
            <v>0</v>
          </cell>
          <cell r="AZ455">
            <v>0</v>
          </cell>
          <cell r="BA455">
            <v>8</v>
          </cell>
          <cell r="BB455">
            <v>0</v>
          </cell>
          <cell r="BC455">
            <v>0</v>
          </cell>
          <cell r="BD455">
            <v>0</v>
          </cell>
          <cell r="BE455">
            <v>0</v>
          </cell>
          <cell r="BF455">
            <v>0</v>
          </cell>
          <cell r="BG455">
            <v>192</v>
          </cell>
          <cell r="BH455">
            <v>1</v>
          </cell>
          <cell r="BI455">
            <v>1</v>
          </cell>
          <cell r="BJ455">
            <v>4.5</v>
          </cell>
          <cell r="BL455">
            <v>0</v>
          </cell>
          <cell r="BM455">
            <v>0</v>
          </cell>
          <cell r="BN455">
            <v>0</v>
          </cell>
          <cell r="BO455">
            <v>0</v>
          </cell>
          <cell r="BP455">
            <v>0</v>
          </cell>
          <cell r="BQ455">
            <v>0</v>
          </cell>
          <cell r="BR455">
            <v>0</v>
          </cell>
          <cell r="BS455">
            <v>0</v>
          </cell>
          <cell r="BT455">
            <v>0</v>
          </cell>
          <cell r="BU455">
            <v>0</v>
          </cell>
          <cell r="BV455">
            <v>0</v>
          </cell>
          <cell r="BW455">
            <v>0</v>
          </cell>
          <cell r="BX455">
            <v>0</v>
          </cell>
          <cell r="BY455">
            <v>0</v>
          </cell>
          <cell r="BZ455">
            <v>0</v>
          </cell>
          <cell r="CA455">
            <v>0</v>
          </cell>
          <cell r="CB455">
            <v>0</v>
          </cell>
          <cell r="CC455">
            <v>0</v>
          </cell>
          <cell r="CD455">
            <v>0</v>
          </cell>
          <cell r="CE455">
            <v>0</v>
          </cell>
          <cell r="CF455">
            <v>0</v>
          </cell>
          <cell r="CG455">
            <v>0</v>
          </cell>
          <cell r="CH455">
            <v>0</v>
          </cell>
          <cell r="CI455">
            <v>0</v>
          </cell>
          <cell r="CJ455">
            <v>0</v>
          </cell>
          <cell r="CK455">
            <v>0</v>
          </cell>
          <cell r="CL455">
            <v>0</v>
          </cell>
          <cell r="CM455">
            <v>0</v>
          </cell>
          <cell r="CR455">
            <v>0</v>
          </cell>
          <cell r="CS455">
            <v>0</v>
          </cell>
          <cell r="CT455">
            <v>0</v>
          </cell>
          <cell r="CU455">
            <v>0</v>
          </cell>
          <cell r="CV455">
            <v>0</v>
          </cell>
          <cell r="CZ455">
            <v>0</v>
          </cell>
        </row>
        <row r="456">
          <cell r="C456" t="str">
            <v>03296</v>
          </cell>
          <cell r="D456" t="str">
            <v>Siu H'Linh</v>
          </cell>
          <cell r="E456" t="str">
            <v>Production</v>
          </cell>
          <cell r="F456" t="str">
            <v>Packing</v>
          </cell>
          <cell r="G456" t="str">
            <v>Worker</v>
          </cell>
          <cell r="H456">
            <v>44616</v>
          </cell>
          <cell r="I456" t="str">
            <v>Đ</v>
          </cell>
          <cell r="J456" t="str">
            <v>Đ</v>
          </cell>
          <cell r="K456" t="str">
            <v>Đ</v>
          </cell>
          <cell r="L456" t="str">
            <v>CN</v>
          </cell>
          <cell r="M456">
            <v>8</v>
          </cell>
          <cell r="N456">
            <v>8</v>
          </cell>
          <cell r="O456">
            <v>8</v>
          </cell>
          <cell r="P456">
            <v>8</v>
          </cell>
          <cell r="Q456">
            <v>8</v>
          </cell>
          <cell r="R456" t="str">
            <v>AL4</v>
          </cell>
          <cell r="S456" t="str">
            <v>CN</v>
          </cell>
          <cell r="T456" t="str">
            <v>Đ</v>
          </cell>
          <cell r="U456" t="str">
            <v>Đ</v>
          </cell>
          <cell r="V456" t="str">
            <v>Đ</v>
          </cell>
          <cell r="W456" t="str">
            <v>Đ</v>
          </cell>
          <cell r="X456" t="str">
            <v>Đ</v>
          </cell>
          <cell r="Y456" t="str">
            <v>Đ</v>
          </cell>
          <cell r="Z456" t="str">
            <v>CN</v>
          </cell>
          <cell r="AA456">
            <v>8</v>
          </cell>
          <cell r="AB456">
            <v>8</v>
          </cell>
          <cell r="AC456">
            <v>8</v>
          </cell>
          <cell r="AD456">
            <v>8</v>
          </cell>
          <cell r="AE456">
            <v>8</v>
          </cell>
          <cell r="AF456">
            <v>8</v>
          </cell>
          <cell r="AG456" t="str">
            <v>CN</v>
          </cell>
          <cell r="AH456" t="str">
            <v>Đ</v>
          </cell>
          <cell r="AI456" t="str">
            <v>Đ</v>
          </cell>
          <cell r="AJ456" t="str">
            <v>Đ</v>
          </cell>
          <cell r="AN456">
            <v>96</v>
          </cell>
          <cell r="AO456">
            <v>92</v>
          </cell>
          <cell r="AP456">
            <v>4</v>
          </cell>
          <cell r="AQ456">
            <v>0</v>
          </cell>
          <cell r="AR456">
            <v>0</v>
          </cell>
          <cell r="AS456">
            <v>0</v>
          </cell>
          <cell r="AT456">
            <v>0</v>
          </cell>
          <cell r="AU456">
            <v>0</v>
          </cell>
          <cell r="AV456">
            <v>0</v>
          </cell>
          <cell r="AW456">
            <v>0</v>
          </cell>
          <cell r="AX456">
            <v>0</v>
          </cell>
          <cell r="AY456">
            <v>0</v>
          </cell>
          <cell r="AZ456">
            <v>0</v>
          </cell>
          <cell r="BA456">
            <v>4</v>
          </cell>
          <cell r="BB456">
            <v>0</v>
          </cell>
          <cell r="BC456">
            <v>0</v>
          </cell>
          <cell r="BD456">
            <v>0</v>
          </cell>
          <cell r="BE456">
            <v>0</v>
          </cell>
          <cell r="BF456">
            <v>0</v>
          </cell>
          <cell r="BG456">
            <v>192</v>
          </cell>
          <cell r="BH456">
            <v>0.5</v>
          </cell>
          <cell r="BI456">
            <v>0.5</v>
          </cell>
          <cell r="BJ456">
            <v>2</v>
          </cell>
          <cell r="BL456">
            <v>0</v>
          </cell>
          <cell r="BM456">
            <v>0</v>
          </cell>
          <cell r="BN456">
            <v>0</v>
          </cell>
          <cell r="BO456">
            <v>0</v>
          </cell>
          <cell r="BP456">
            <v>0</v>
          </cell>
          <cell r="BQ456">
            <v>3</v>
          </cell>
          <cell r="BR456">
            <v>0</v>
          </cell>
          <cell r="BS456">
            <v>3</v>
          </cell>
          <cell r="BT456">
            <v>0</v>
          </cell>
          <cell r="BU456">
            <v>0</v>
          </cell>
          <cell r="BV456">
            <v>0</v>
          </cell>
          <cell r="BW456">
            <v>3</v>
          </cell>
          <cell r="BX456">
            <v>4</v>
          </cell>
          <cell r="BY456">
            <v>4</v>
          </cell>
          <cell r="BZ456">
            <v>4</v>
          </cell>
          <cell r="CA456">
            <v>4</v>
          </cell>
          <cell r="CB456">
            <v>4</v>
          </cell>
          <cell r="CC456">
            <v>0</v>
          </cell>
          <cell r="CD456">
            <v>3</v>
          </cell>
          <cell r="CE456">
            <v>3</v>
          </cell>
          <cell r="CF456">
            <v>3</v>
          </cell>
          <cell r="CG456">
            <v>3</v>
          </cell>
          <cell r="CH456">
            <v>0</v>
          </cell>
          <cell r="CI456">
            <v>1.5</v>
          </cell>
          <cell r="CJ456">
            <v>8</v>
          </cell>
          <cell r="CK456">
            <v>1.5</v>
          </cell>
          <cell r="CL456">
            <v>1.5</v>
          </cell>
          <cell r="CM456">
            <v>0</v>
          </cell>
          <cell r="CR456">
            <v>0</v>
          </cell>
          <cell r="CS456">
            <v>0</v>
          </cell>
          <cell r="CT456">
            <v>45.5</v>
          </cell>
          <cell r="CU456">
            <v>8</v>
          </cell>
          <cell r="CV456">
            <v>0</v>
          </cell>
          <cell r="CZ456">
            <v>53.5</v>
          </cell>
        </row>
        <row r="457">
          <cell r="C457" t="str">
            <v>03302</v>
          </cell>
          <cell r="D457" t="str">
            <v>Lưu Tuấn Đạt</v>
          </cell>
          <cell r="E457" t="str">
            <v>Production</v>
          </cell>
          <cell r="F457" t="str">
            <v>Prefitting</v>
          </cell>
          <cell r="G457" t="str">
            <v>Worker</v>
          </cell>
          <cell r="H457">
            <v>44616</v>
          </cell>
          <cell r="I457">
            <v>8</v>
          </cell>
          <cell r="J457" t="str">
            <v>Đ</v>
          </cell>
          <cell r="K457" t="str">
            <v>Đ</v>
          </cell>
          <cell r="L457" t="str">
            <v>CN</v>
          </cell>
          <cell r="M457">
            <v>8</v>
          </cell>
          <cell r="N457">
            <v>8</v>
          </cell>
          <cell r="O457">
            <v>8</v>
          </cell>
          <cell r="P457">
            <v>8</v>
          </cell>
          <cell r="Q457">
            <v>8</v>
          </cell>
          <cell r="R457">
            <v>8</v>
          </cell>
          <cell r="S457" t="str">
            <v>CN</v>
          </cell>
          <cell r="T457">
            <v>8</v>
          </cell>
          <cell r="U457">
            <v>8</v>
          </cell>
          <cell r="V457">
            <v>8</v>
          </cell>
          <cell r="W457">
            <v>8</v>
          </cell>
          <cell r="X457" t="str">
            <v>Đ</v>
          </cell>
          <cell r="Y457" t="str">
            <v>Đ</v>
          </cell>
          <cell r="Z457" t="str">
            <v>CN</v>
          </cell>
          <cell r="AA457">
            <v>8</v>
          </cell>
          <cell r="AB457">
            <v>8</v>
          </cell>
          <cell r="AC457">
            <v>8</v>
          </cell>
          <cell r="AD457">
            <v>8</v>
          </cell>
          <cell r="AE457">
            <v>8</v>
          </cell>
          <cell r="AF457">
            <v>8</v>
          </cell>
          <cell r="AG457" t="str">
            <v>CN</v>
          </cell>
          <cell r="AH457">
            <v>8</v>
          </cell>
          <cell r="AI457">
            <v>8</v>
          </cell>
          <cell r="AJ457">
            <v>8</v>
          </cell>
          <cell r="AN457">
            <v>32</v>
          </cell>
          <cell r="AO457">
            <v>160</v>
          </cell>
          <cell r="AP457">
            <v>0</v>
          </cell>
          <cell r="AQ457">
            <v>0</v>
          </cell>
          <cell r="AR457">
            <v>0</v>
          </cell>
          <cell r="AS457">
            <v>0</v>
          </cell>
          <cell r="AT457">
            <v>0</v>
          </cell>
          <cell r="AU457">
            <v>0</v>
          </cell>
          <cell r="AV457">
            <v>0</v>
          </cell>
          <cell r="AW457">
            <v>0</v>
          </cell>
          <cell r="AX457">
            <v>0</v>
          </cell>
          <cell r="AY457">
            <v>0</v>
          </cell>
          <cell r="AZ457">
            <v>0</v>
          </cell>
          <cell r="BA457">
            <v>0</v>
          </cell>
          <cell r="BB457">
            <v>0</v>
          </cell>
          <cell r="BC457">
            <v>0</v>
          </cell>
          <cell r="BD457">
            <v>0</v>
          </cell>
          <cell r="BE457">
            <v>0</v>
          </cell>
          <cell r="BF457">
            <v>0</v>
          </cell>
          <cell r="BG457">
            <v>192</v>
          </cell>
          <cell r="BH457">
            <v>0</v>
          </cell>
          <cell r="BI457">
            <v>0</v>
          </cell>
          <cell r="BJ457">
            <v>6.5</v>
          </cell>
          <cell r="BL457">
            <v>0</v>
          </cell>
          <cell r="BM457">
            <v>0</v>
          </cell>
          <cell r="BN457">
            <v>4</v>
          </cell>
          <cell r="BO457">
            <v>0</v>
          </cell>
          <cell r="BP457">
            <v>0</v>
          </cell>
          <cell r="BQ457">
            <v>0</v>
          </cell>
          <cell r="BR457">
            <v>0</v>
          </cell>
          <cell r="BS457">
            <v>0</v>
          </cell>
          <cell r="BT457">
            <v>4</v>
          </cell>
          <cell r="BU457">
            <v>4</v>
          </cell>
          <cell r="BV457">
            <v>0</v>
          </cell>
          <cell r="BW457">
            <v>0</v>
          </cell>
          <cell r="BX457">
            <v>0</v>
          </cell>
          <cell r="BY457">
            <v>0</v>
          </cell>
          <cell r="BZ457">
            <v>0</v>
          </cell>
          <cell r="CA457">
            <v>4</v>
          </cell>
          <cell r="CB457">
            <v>4</v>
          </cell>
          <cell r="CC457">
            <v>0</v>
          </cell>
          <cell r="CD457">
            <v>0</v>
          </cell>
          <cell r="CE457">
            <v>0</v>
          </cell>
          <cell r="CF457">
            <v>0</v>
          </cell>
          <cell r="CG457">
            <v>0</v>
          </cell>
          <cell r="CH457">
            <v>4</v>
          </cell>
          <cell r="CI457">
            <v>4</v>
          </cell>
          <cell r="CJ457">
            <v>0</v>
          </cell>
          <cell r="CK457">
            <v>0</v>
          </cell>
          <cell r="CL457">
            <v>0</v>
          </cell>
          <cell r="CM457">
            <v>0</v>
          </cell>
          <cell r="CR457">
            <v>0</v>
          </cell>
          <cell r="CS457">
            <v>0</v>
          </cell>
          <cell r="CT457">
            <v>28</v>
          </cell>
          <cell r="CU457">
            <v>0</v>
          </cell>
          <cell r="CV457">
            <v>0</v>
          </cell>
          <cell r="CZ457">
            <v>28</v>
          </cell>
        </row>
        <row r="458">
          <cell r="C458" t="str">
            <v>03303</v>
          </cell>
          <cell r="D458" t="str">
            <v>Bùi Thị Diễm</v>
          </cell>
          <cell r="E458" t="str">
            <v>Production</v>
          </cell>
          <cell r="F458" t="str">
            <v>Molding</v>
          </cell>
          <cell r="G458" t="str">
            <v>Worker</v>
          </cell>
          <cell r="H458">
            <v>44616</v>
          </cell>
          <cell r="I458">
            <v>8</v>
          </cell>
          <cell r="J458" t="str">
            <v>CN</v>
          </cell>
          <cell r="K458" t="str">
            <v>Đ</v>
          </cell>
          <cell r="L458" t="str">
            <v>Đ</v>
          </cell>
          <cell r="M458" t="str">
            <v>Đ</v>
          </cell>
          <cell r="N458" t="str">
            <v>Đ</v>
          </cell>
          <cell r="O458" t="str">
            <v>Đ</v>
          </cell>
          <cell r="P458" t="str">
            <v>Đ</v>
          </cell>
          <cell r="Q458" t="str">
            <v>CN</v>
          </cell>
          <cell r="R458">
            <v>8</v>
          </cell>
          <cell r="S458">
            <v>8</v>
          </cell>
          <cell r="T458">
            <v>8</v>
          </cell>
          <cell r="U458">
            <v>8</v>
          </cell>
          <cell r="V458">
            <v>8</v>
          </cell>
          <cell r="W458" t="str">
            <v>AL8</v>
          </cell>
          <cell r="X458" t="str">
            <v>CN</v>
          </cell>
          <cell r="Y458" t="str">
            <v>Đ</v>
          </cell>
          <cell r="Z458" t="str">
            <v>Đ</v>
          </cell>
          <cell r="AA458" t="str">
            <v>Đ</v>
          </cell>
          <cell r="AB458" t="str">
            <v>Đ</v>
          </cell>
          <cell r="AC458" t="str">
            <v>Đ</v>
          </cell>
          <cell r="AD458" t="str">
            <v>Đ</v>
          </cell>
          <cell r="AE458" t="str">
            <v>CN</v>
          </cell>
          <cell r="AF458">
            <v>8</v>
          </cell>
          <cell r="AG458">
            <v>8</v>
          </cell>
          <cell r="AH458">
            <v>8</v>
          </cell>
          <cell r="AI458">
            <v>8</v>
          </cell>
          <cell r="AJ458" t="str">
            <v>AL8</v>
          </cell>
          <cell r="AN458">
            <v>96</v>
          </cell>
          <cell r="AO458">
            <v>80</v>
          </cell>
          <cell r="AP458">
            <v>0</v>
          </cell>
          <cell r="AQ458">
            <v>0</v>
          </cell>
          <cell r="AR458">
            <v>0</v>
          </cell>
          <cell r="AS458">
            <v>0</v>
          </cell>
          <cell r="AT458">
            <v>0</v>
          </cell>
          <cell r="AU458">
            <v>0</v>
          </cell>
          <cell r="AV458">
            <v>0</v>
          </cell>
          <cell r="AW458">
            <v>0</v>
          </cell>
          <cell r="AX458">
            <v>0</v>
          </cell>
          <cell r="AY458">
            <v>0</v>
          </cell>
          <cell r="AZ458">
            <v>0</v>
          </cell>
          <cell r="BA458">
            <v>16</v>
          </cell>
          <cell r="BB458">
            <v>0</v>
          </cell>
          <cell r="BC458">
            <v>0</v>
          </cell>
          <cell r="BD458">
            <v>0</v>
          </cell>
          <cell r="BE458">
            <v>0</v>
          </cell>
          <cell r="BF458">
            <v>0</v>
          </cell>
          <cell r="BG458">
            <v>192</v>
          </cell>
          <cell r="BH458">
            <v>2</v>
          </cell>
          <cell r="BI458">
            <v>2</v>
          </cell>
          <cell r="BJ458">
            <v>3</v>
          </cell>
          <cell r="BL458">
            <v>0</v>
          </cell>
          <cell r="BM458">
            <v>0</v>
          </cell>
          <cell r="BN458">
            <v>4</v>
          </cell>
          <cell r="BO458">
            <v>4</v>
          </cell>
          <cell r="BP458">
            <v>0</v>
          </cell>
          <cell r="BQ458">
            <v>0</v>
          </cell>
          <cell r="BR458">
            <v>0</v>
          </cell>
          <cell r="BS458">
            <v>0</v>
          </cell>
          <cell r="BT458">
            <v>0</v>
          </cell>
          <cell r="BU458">
            <v>4</v>
          </cell>
          <cell r="BV458">
            <v>4</v>
          </cell>
          <cell r="BW458">
            <v>0</v>
          </cell>
          <cell r="BX458">
            <v>0</v>
          </cell>
          <cell r="BY458">
            <v>0</v>
          </cell>
          <cell r="BZ458">
            <v>0</v>
          </cell>
          <cell r="CA458">
            <v>0</v>
          </cell>
          <cell r="CB458">
            <v>4</v>
          </cell>
          <cell r="CC458">
            <v>4</v>
          </cell>
          <cell r="CD458">
            <v>0</v>
          </cell>
          <cell r="CE458">
            <v>0</v>
          </cell>
          <cell r="CF458">
            <v>0</v>
          </cell>
          <cell r="CG458">
            <v>0</v>
          </cell>
          <cell r="CH458">
            <v>0</v>
          </cell>
          <cell r="CI458">
            <v>4</v>
          </cell>
          <cell r="CJ458">
            <v>4</v>
          </cell>
          <cell r="CK458">
            <v>0</v>
          </cell>
          <cell r="CL458">
            <v>0</v>
          </cell>
          <cell r="CM458">
            <v>0</v>
          </cell>
          <cell r="CR458">
            <v>0</v>
          </cell>
          <cell r="CS458">
            <v>0</v>
          </cell>
          <cell r="CT458">
            <v>32</v>
          </cell>
          <cell r="CU458">
            <v>0</v>
          </cell>
          <cell r="CV458">
            <v>0</v>
          </cell>
          <cell r="CZ458">
            <v>32</v>
          </cell>
        </row>
        <row r="459">
          <cell r="C459" t="str">
            <v>03304</v>
          </cell>
          <cell r="D459" t="str">
            <v>Lý Nhựt Sinh</v>
          </cell>
          <cell r="E459" t="str">
            <v>Production</v>
          </cell>
          <cell r="F459" t="str">
            <v>Die Cut</v>
          </cell>
          <cell r="G459" t="str">
            <v>Worker</v>
          </cell>
          <cell r="H459">
            <v>44616</v>
          </cell>
          <cell r="I459" t="str">
            <v>Đ</v>
          </cell>
          <cell r="J459" t="str">
            <v>Đ</v>
          </cell>
          <cell r="K459" t="str">
            <v>Đ</v>
          </cell>
          <cell r="L459" t="str">
            <v>CN</v>
          </cell>
          <cell r="M459">
            <v>8</v>
          </cell>
          <cell r="N459">
            <v>8</v>
          </cell>
          <cell r="O459">
            <v>8</v>
          </cell>
          <cell r="P459">
            <v>8</v>
          </cell>
          <cell r="Q459">
            <v>8</v>
          </cell>
          <cell r="R459">
            <v>8</v>
          </cell>
          <cell r="S459" t="str">
            <v>CN</v>
          </cell>
          <cell r="T459" t="str">
            <v>Đ</v>
          </cell>
          <cell r="U459" t="str">
            <v>Đ</v>
          </cell>
          <cell r="V459" t="str">
            <v>Đ</v>
          </cell>
          <cell r="W459" t="str">
            <v>Đ</v>
          </cell>
          <cell r="X459" t="str">
            <v>Đ</v>
          </cell>
          <cell r="Y459" t="str">
            <v>Đ</v>
          </cell>
          <cell r="Z459" t="str">
            <v>CN</v>
          </cell>
          <cell r="AA459" t="str">
            <v>AL8</v>
          </cell>
          <cell r="AB459">
            <v>8</v>
          </cell>
          <cell r="AC459">
            <v>8</v>
          </cell>
          <cell r="AD459" t="str">
            <v>AL8</v>
          </cell>
          <cell r="AE459" t="str">
            <v>TV</v>
          </cell>
          <cell r="AF459" t="str">
            <v>TV</v>
          </cell>
          <cell r="AG459" t="str">
            <v>TV</v>
          </cell>
          <cell r="AH459" t="str">
            <v>TV</v>
          </cell>
          <cell r="AI459" t="str">
            <v>TV</v>
          </cell>
          <cell r="AJ459" t="str">
            <v>TV</v>
          </cell>
          <cell r="AN459">
            <v>72</v>
          </cell>
          <cell r="AO459">
            <v>64</v>
          </cell>
          <cell r="AP459">
            <v>0</v>
          </cell>
          <cell r="AQ459">
            <v>0</v>
          </cell>
          <cell r="AR459">
            <v>0</v>
          </cell>
          <cell r="AS459">
            <v>0</v>
          </cell>
          <cell r="AT459">
            <v>0</v>
          </cell>
          <cell r="AU459">
            <v>0</v>
          </cell>
          <cell r="AV459">
            <v>0</v>
          </cell>
          <cell r="AW459">
            <v>0</v>
          </cell>
          <cell r="AX459">
            <v>0</v>
          </cell>
          <cell r="AY459">
            <v>0</v>
          </cell>
          <cell r="AZ459">
            <v>0</v>
          </cell>
          <cell r="BA459">
            <v>16</v>
          </cell>
          <cell r="BB459">
            <v>0</v>
          </cell>
          <cell r="BC459">
            <v>0</v>
          </cell>
          <cell r="BD459">
            <v>0</v>
          </cell>
          <cell r="BE459">
            <v>0</v>
          </cell>
          <cell r="BF459">
            <v>0</v>
          </cell>
          <cell r="BG459">
            <v>152</v>
          </cell>
          <cell r="BH459">
            <v>2</v>
          </cell>
          <cell r="BI459">
            <v>2</v>
          </cell>
          <cell r="BJ459">
            <v>0</v>
          </cell>
          <cell r="BL459">
            <v>1.5</v>
          </cell>
          <cell r="BM459">
            <v>1.5</v>
          </cell>
          <cell r="BN459">
            <v>1.5</v>
          </cell>
          <cell r="BO459">
            <v>0</v>
          </cell>
          <cell r="BP459">
            <v>1.5</v>
          </cell>
          <cell r="BQ459">
            <v>0</v>
          </cell>
          <cell r="BR459">
            <v>0</v>
          </cell>
          <cell r="BS459">
            <v>3</v>
          </cell>
          <cell r="BT459">
            <v>3</v>
          </cell>
          <cell r="BU459">
            <v>3</v>
          </cell>
          <cell r="BV459">
            <v>0</v>
          </cell>
          <cell r="BW459">
            <v>4</v>
          </cell>
          <cell r="BX459">
            <v>4</v>
          </cell>
          <cell r="BY459">
            <v>4</v>
          </cell>
          <cell r="BZ459">
            <v>4</v>
          </cell>
          <cell r="CA459">
            <v>4</v>
          </cell>
          <cell r="CB459">
            <v>4</v>
          </cell>
          <cell r="CC459">
            <v>0</v>
          </cell>
          <cell r="CD459">
            <v>0</v>
          </cell>
          <cell r="CE459">
            <v>3</v>
          </cell>
          <cell r="CF459">
            <v>3</v>
          </cell>
          <cell r="CG459">
            <v>2</v>
          </cell>
          <cell r="CH459">
            <v>0</v>
          </cell>
          <cell r="CI459">
            <v>0</v>
          </cell>
          <cell r="CJ459">
            <v>0</v>
          </cell>
          <cell r="CK459">
            <v>0</v>
          </cell>
          <cell r="CL459">
            <v>0</v>
          </cell>
          <cell r="CM459">
            <v>0</v>
          </cell>
          <cell r="CR459">
            <v>0</v>
          </cell>
          <cell r="CS459">
            <v>0</v>
          </cell>
          <cell r="CT459">
            <v>47</v>
          </cell>
          <cell r="CU459">
            <v>0</v>
          </cell>
          <cell r="CV459">
            <v>0</v>
          </cell>
          <cell r="CZ459">
            <v>47</v>
          </cell>
        </row>
        <row r="460">
          <cell r="C460" t="str">
            <v>03310</v>
          </cell>
          <cell r="D460" t="str">
            <v>Hà Thúy Kiều</v>
          </cell>
          <cell r="E460" t="str">
            <v>Production</v>
          </cell>
          <cell r="F460" t="str">
            <v>Logo</v>
          </cell>
          <cell r="G460" t="str">
            <v>Worker</v>
          </cell>
          <cell r="H460">
            <v>44620</v>
          </cell>
          <cell r="I460">
            <v>8</v>
          </cell>
          <cell r="J460">
            <v>8</v>
          </cell>
          <cell r="K460">
            <v>8</v>
          </cell>
          <cell r="L460" t="str">
            <v>CN</v>
          </cell>
          <cell r="M460" t="str">
            <v>Đ</v>
          </cell>
          <cell r="N460" t="str">
            <v>Đ</v>
          </cell>
          <cell r="O460" t="str">
            <v>Đ</v>
          </cell>
          <cell r="P460" t="str">
            <v>Đ</v>
          </cell>
          <cell r="Q460" t="str">
            <v>Đ</v>
          </cell>
          <cell r="R460" t="str">
            <v>Đ</v>
          </cell>
          <cell r="S460" t="str">
            <v>CN</v>
          </cell>
          <cell r="T460">
            <v>8</v>
          </cell>
          <cell r="U460">
            <v>8</v>
          </cell>
          <cell r="V460">
            <v>8</v>
          </cell>
          <cell r="W460">
            <v>8</v>
          </cell>
          <cell r="X460">
            <v>8</v>
          </cell>
          <cell r="Y460">
            <v>8</v>
          </cell>
          <cell r="Z460" t="str">
            <v>CN</v>
          </cell>
          <cell r="AA460" t="str">
            <v>Đ</v>
          </cell>
          <cell r="AB460" t="str">
            <v>Đ</v>
          </cell>
          <cell r="AC460" t="str">
            <v>Đ</v>
          </cell>
          <cell r="AD460" t="str">
            <v>Đ</v>
          </cell>
          <cell r="AE460" t="str">
            <v>Đ</v>
          </cell>
          <cell r="AF460" t="str">
            <v>Đ</v>
          </cell>
          <cell r="AG460" t="str">
            <v>CN</v>
          </cell>
          <cell r="AH460">
            <v>8</v>
          </cell>
          <cell r="AI460">
            <v>8</v>
          </cell>
          <cell r="AJ460">
            <v>8</v>
          </cell>
          <cell r="AN460">
            <v>96</v>
          </cell>
          <cell r="AO460">
            <v>96</v>
          </cell>
          <cell r="AP460">
            <v>0</v>
          </cell>
          <cell r="AQ460">
            <v>0</v>
          </cell>
          <cell r="AR460">
            <v>0</v>
          </cell>
          <cell r="AS460">
            <v>0</v>
          </cell>
          <cell r="AT460">
            <v>0</v>
          </cell>
          <cell r="AU460">
            <v>0</v>
          </cell>
          <cell r="AV460">
            <v>0</v>
          </cell>
          <cell r="AW460">
            <v>0</v>
          </cell>
          <cell r="AX460">
            <v>0</v>
          </cell>
          <cell r="AY460">
            <v>0</v>
          </cell>
          <cell r="AZ460">
            <v>0</v>
          </cell>
          <cell r="BA460">
            <v>0</v>
          </cell>
          <cell r="BB460">
            <v>0</v>
          </cell>
          <cell r="BC460">
            <v>0</v>
          </cell>
          <cell r="BD460">
            <v>0</v>
          </cell>
          <cell r="BE460">
            <v>0</v>
          </cell>
          <cell r="BF460">
            <v>0</v>
          </cell>
          <cell r="BG460">
            <v>192</v>
          </cell>
          <cell r="BH460">
            <v>0</v>
          </cell>
          <cell r="BI460">
            <v>0</v>
          </cell>
          <cell r="BJ460">
            <v>2.5</v>
          </cell>
          <cell r="BL460">
            <v>1.5</v>
          </cell>
          <cell r="BM460">
            <v>1.5</v>
          </cell>
          <cell r="BN460">
            <v>1.5</v>
          </cell>
          <cell r="BO460">
            <v>0</v>
          </cell>
          <cell r="BP460">
            <v>1.5</v>
          </cell>
          <cell r="BQ460">
            <v>0</v>
          </cell>
          <cell r="BR460">
            <v>0</v>
          </cell>
          <cell r="BS460">
            <v>4</v>
          </cell>
          <cell r="BT460">
            <v>4</v>
          </cell>
          <cell r="BU460">
            <v>4</v>
          </cell>
          <cell r="BV460">
            <v>0</v>
          </cell>
          <cell r="BW460">
            <v>3</v>
          </cell>
          <cell r="BX460">
            <v>3</v>
          </cell>
          <cell r="BY460">
            <v>3</v>
          </cell>
          <cell r="BZ460">
            <v>3</v>
          </cell>
          <cell r="CA460">
            <v>3</v>
          </cell>
          <cell r="CB460">
            <v>3</v>
          </cell>
          <cell r="CC460">
            <v>8</v>
          </cell>
          <cell r="CD460">
            <v>4</v>
          </cell>
          <cell r="CE460">
            <v>4</v>
          </cell>
          <cell r="CF460">
            <v>4</v>
          </cell>
          <cell r="CG460">
            <v>4</v>
          </cell>
          <cell r="CH460">
            <v>4</v>
          </cell>
          <cell r="CI460">
            <v>4</v>
          </cell>
          <cell r="CJ460">
            <v>0</v>
          </cell>
          <cell r="CK460">
            <v>3</v>
          </cell>
          <cell r="CL460">
            <v>3</v>
          </cell>
          <cell r="CM460">
            <v>3</v>
          </cell>
          <cell r="CR460">
            <v>0</v>
          </cell>
          <cell r="CS460">
            <v>0</v>
          </cell>
          <cell r="CT460">
            <v>69</v>
          </cell>
          <cell r="CU460">
            <v>8</v>
          </cell>
          <cell r="CV460">
            <v>0</v>
          </cell>
          <cell r="CZ460">
            <v>77</v>
          </cell>
        </row>
        <row r="461">
          <cell r="C461" t="str">
            <v>03312</v>
          </cell>
          <cell r="D461" t="str">
            <v>Nguyễn Thị Ngọc Bé</v>
          </cell>
          <cell r="E461" t="str">
            <v>Production</v>
          </cell>
          <cell r="F461" t="str">
            <v>Logo</v>
          </cell>
          <cell r="G461" t="str">
            <v>Worker</v>
          </cell>
          <cell r="H461">
            <v>44620</v>
          </cell>
          <cell r="I461">
            <v>8</v>
          </cell>
          <cell r="J461">
            <v>8</v>
          </cell>
          <cell r="K461">
            <v>8</v>
          </cell>
          <cell r="L461" t="str">
            <v>CN</v>
          </cell>
          <cell r="M461" t="str">
            <v>Đ</v>
          </cell>
          <cell r="N461" t="str">
            <v>Đ</v>
          </cell>
          <cell r="O461" t="str">
            <v>Đ</v>
          </cell>
          <cell r="P461" t="str">
            <v>Đ</v>
          </cell>
          <cell r="Q461" t="str">
            <v>Đ</v>
          </cell>
          <cell r="R461" t="str">
            <v>Đ</v>
          </cell>
          <cell r="S461" t="str">
            <v>CN</v>
          </cell>
          <cell r="T461">
            <v>8</v>
          </cell>
          <cell r="U461" t="str">
            <v>AL4</v>
          </cell>
          <cell r="V461">
            <v>8</v>
          </cell>
          <cell r="W461">
            <v>8</v>
          </cell>
          <cell r="X461">
            <v>8</v>
          </cell>
          <cell r="Y461">
            <v>8</v>
          </cell>
          <cell r="Z461" t="str">
            <v>CN</v>
          </cell>
          <cell r="AA461" t="str">
            <v>Đ</v>
          </cell>
          <cell r="AB461" t="str">
            <v>Đ</v>
          </cell>
          <cell r="AC461" t="str">
            <v>Đ</v>
          </cell>
          <cell r="AD461" t="str">
            <v>Đ</v>
          </cell>
          <cell r="AE461" t="str">
            <v>Đ</v>
          </cell>
          <cell r="AF461" t="str">
            <v>Đ</v>
          </cell>
          <cell r="AG461" t="str">
            <v>CN</v>
          </cell>
          <cell r="AH461">
            <v>8</v>
          </cell>
          <cell r="AI461">
            <v>8</v>
          </cell>
          <cell r="AJ461">
            <v>8</v>
          </cell>
          <cell r="AN461">
            <v>96</v>
          </cell>
          <cell r="AO461">
            <v>92</v>
          </cell>
          <cell r="AP461">
            <v>4</v>
          </cell>
          <cell r="AQ461">
            <v>0</v>
          </cell>
          <cell r="AR461">
            <v>0</v>
          </cell>
          <cell r="AS461">
            <v>0</v>
          </cell>
          <cell r="AT461">
            <v>0</v>
          </cell>
          <cell r="AU461">
            <v>0</v>
          </cell>
          <cell r="AV461">
            <v>0</v>
          </cell>
          <cell r="AW461">
            <v>0</v>
          </cell>
          <cell r="AX461">
            <v>0</v>
          </cell>
          <cell r="AY461">
            <v>0</v>
          </cell>
          <cell r="AZ461">
            <v>0</v>
          </cell>
          <cell r="BA461">
            <v>4</v>
          </cell>
          <cell r="BB461">
            <v>0</v>
          </cell>
          <cell r="BC461">
            <v>0</v>
          </cell>
          <cell r="BD461">
            <v>0</v>
          </cell>
          <cell r="BE461">
            <v>0</v>
          </cell>
          <cell r="BF461">
            <v>0</v>
          </cell>
          <cell r="BG461">
            <v>192</v>
          </cell>
          <cell r="BH461">
            <v>0.5</v>
          </cell>
          <cell r="BI461">
            <v>0.5</v>
          </cell>
          <cell r="BJ461">
            <v>5.5</v>
          </cell>
          <cell r="BL461">
            <v>0</v>
          </cell>
          <cell r="BM461">
            <v>0</v>
          </cell>
          <cell r="BN461">
            <v>0</v>
          </cell>
          <cell r="BO461">
            <v>0</v>
          </cell>
          <cell r="BP461">
            <v>1.5</v>
          </cell>
          <cell r="BQ461">
            <v>3</v>
          </cell>
          <cell r="BR461">
            <v>0</v>
          </cell>
          <cell r="BS461">
            <v>3</v>
          </cell>
          <cell r="BT461">
            <v>3</v>
          </cell>
          <cell r="BU461">
            <v>0</v>
          </cell>
          <cell r="BV461">
            <v>0</v>
          </cell>
          <cell r="BW461">
            <v>3</v>
          </cell>
          <cell r="BX461">
            <v>2</v>
          </cell>
          <cell r="BY461">
            <v>3</v>
          </cell>
          <cell r="BZ461">
            <v>3</v>
          </cell>
          <cell r="CA461">
            <v>3</v>
          </cell>
          <cell r="CB461">
            <v>3</v>
          </cell>
          <cell r="CC461">
            <v>8</v>
          </cell>
          <cell r="CD461">
            <v>4</v>
          </cell>
          <cell r="CE461">
            <v>4</v>
          </cell>
          <cell r="CF461">
            <v>4</v>
          </cell>
          <cell r="CG461">
            <v>4</v>
          </cell>
          <cell r="CH461">
            <v>1.5</v>
          </cell>
          <cell r="CI461">
            <v>1.5</v>
          </cell>
          <cell r="CJ461">
            <v>0</v>
          </cell>
          <cell r="CK461">
            <v>1.5</v>
          </cell>
          <cell r="CL461">
            <v>1.5</v>
          </cell>
          <cell r="CM461">
            <v>1.5</v>
          </cell>
          <cell r="CR461">
            <v>0</v>
          </cell>
          <cell r="CS461">
            <v>0</v>
          </cell>
          <cell r="CT461">
            <v>51</v>
          </cell>
          <cell r="CU461">
            <v>8</v>
          </cell>
          <cell r="CV461">
            <v>0</v>
          </cell>
          <cell r="CZ461">
            <v>59</v>
          </cell>
        </row>
        <row r="462">
          <cell r="C462" t="str">
            <v>03317</v>
          </cell>
          <cell r="D462" t="str">
            <v>Lê Thị Thu</v>
          </cell>
          <cell r="E462" t="str">
            <v>Production</v>
          </cell>
          <cell r="F462" t="str">
            <v>Logo</v>
          </cell>
          <cell r="G462" t="str">
            <v>Worker</v>
          </cell>
          <cell r="H462">
            <v>44623</v>
          </cell>
          <cell r="I462">
            <v>8</v>
          </cell>
          <cell r="J462">
            <v>8</v>
          </cell>
          <cell r="K462">
            <v>8</v>
          </cell>
          <cell r="L462" t="str">
            <v>CN</v>
          </cell>
          <cell r="M462" t="str">
            <v>Đ</v>
          </cell>
          <cell r="N462" t="str">
            <v>Đ</v>
          </cell>
          <cell r="O462" t="str">
            <v>Đ</v>
          </cell>
          <cell r="P462" t="str">
            <v>Đ</v>
          </cell>
          <cell r="Q462" t="str">
            <v>Đ</v>
          </cell>
          <cell r="R462" t="str">
            <v>Đ</v>
          </cell>
          <cell r="S462" t="str">
            <v>CN</v>
          </cell>
          <cell r="T462">
            <v>8</v>
          </cell>
          <cell r="U462">
            <v>8</v>
          </cell>
          <cell r="V462">
            <v>8</v>
          </cell>
          <cell r="W462">
            <v>8</v>
          </cell>
          <cell r="X462">
            <v>8</v>
          </cell>
          <cell r="Y462">
            <v>8</v>
          </cell>
          <cell r="Z462" t="str">
            <v>CN</v>
          </cell>
          <cell r="AA462" t="str">
            <v>Đ</v>
          </cell>
          <cell r="AB462" t="str">
            <v>Đ</v>
          </cell>
          <cell r="AC462" t="str">
            <v>Đ</v>
          </cell>
          <cell r="AD462" t="str">
            <v>Đ</v>
          </cell>
          <cell r="AE462" t="str">
            <v>Đ</v>
          </cell>
          <cell r="AF462" t="str">
            <v>Đ</v>
          </cell>
          <cell r="AG462" t="str">
            <v>CN</v>
          </cell>
          <cell r="AH462">
            <v>8</v>
          </cell>
          <cell r="AI462">
            <v>8</v>
          </cell>
          <cell r="AJ462">
            <v>8</v>
          </cell>
          <cell r="AN462">
            <v>96</v>
          </cell>
          <cell r="AO462">
            <v>96</v>
          </cell>
          <cell r="AP462">
            <v>0</v>
          </cell>
          <cell r="AQ462">
            <v>0</v>
          </cell>
          <cell r="AR462">
            <v>0</v>
          </cell>
          <cell r="AS462">
            <v>0</v>
          </cell>
          <cell r="AT462">
            <v>0</v>
          </cell>
          <cell r="AU462">
            <v>0</v>
          </cell>
          <cell r="AV462">
            <v>0</v>
          </cell>
          <cell r="AW462">
            <v>0</v>
          </cell>
          <cell r="AX462">
            <v>0</v>
          </cell>
          <cell r="AY462">
            <v>0</v>
          </cell>
          <cell r="AZ462">
            <v>0</v>
          </cell>
          <cell r="BA462">
            <v>0</v>
          </cell>
          <cell r="BB462">
            <v>0</v>
          </cell>
          <cell r="BC462">
            <v>0</v>
          </cell>
          <cell r="BD462">
            <v>0</v>
          </cell>
          <cell r="BE462">
            <v>0</v>
          </cell>
          <cell r="BF462">
            <v>0</v>
          </cell>
          <cell r="BG462">
            <v>192</v>
          </cell>
          <cell r="BH462">
            <v>0</v>
          </cell>
          <cell r="BI462">
            <v>0</v>
          </cell>
          <cell r="BJ462">
            <v>0.5</v>
          </cell>
          <cell r="BL462">
            <v>0</v>
          </cell>
          <cell r="BM462">
            <v>0</v>
          </cell>
          <cell r="BN462">
            <v>0</v>
          </cell>
          <cell r="BO462">
            <v>0</v>
          </cell>
          <cell r="BP462">
            <v>0</v>
          </cell>
          <cell r="BQ462">
            <v>3</v>
          </cell>
          <cell r="BR462">
            <v>0</v>
          </cell>
          <cell r="BS462">
            <v>3</v>
          </cell>
          <cell r="BT462">
            <v>0</v>
          </cell>
          <cell r="BU462">
            <v>0</v>
          </cell>
          <cell r="BV462">
            <v>0</v>
          </cell>
          <cell r="BW462">
            <v>3</v>
          </cell>
          <cell r="BX462">
            <v>3</v>
          </cell>
          <cell r="BY462">
            <v>3</v>
          </cell>
          <cell r="BZ462">
            <v>3</v>
          </cell>
          <cell r="CA462">
            <v>3</v>
          </cell>
          <cell r="CB462">
            <v>3</v>
          </cell>
          <cell r="CC462">
            <v>8</v>
          </cell>
          <cell r="CD462">
            <v>4</v>
          </cell>
          <cell r="CE462">
            <v>4</v>
          </cell>
          <cell r="CF462">
            <v>4</v>
          </cell>
          <cell r="CG462">
            <v>4</v>
          </cell>
          <cell r="CH462">
            <v>1.5</v>
          </cell>
          <cell r="CI462">
            <v>1.5</v>
          </cell>
          <cell r="CJ462">
            <v>0</v>
          </cell>
          <cell r="CK462">
            <v>1.5</v>
          </cell>
          <cell r="CL462">
            <v>1.5</v>
          </cell>
          <cell r="CM462">
            <v>1.5</v>
          </cell>
          <cell r="CR462">
            <v>0</v>
          </cell>
          <cell r="CS462">
            <v>0</v>
          </cell>
          <cell r="CT462">
            <v>47.5</v>
          </cell>
          <cell r="CU462">
            <v>8</v>
          </cell>
          <cell r="CV462">
            <v>0</v>
          </cell>
          <cell r="CZ462">
            <v>55.5</v>
          </cell>
        </row>
        <row r="463">
          <cell r="C463" t="str">
            <v>03318</v>
          </cell>
          <cell r="D463" t="str">
            <v>Nguyễn Thị Hồng Tiên</v>
          </cell>
          <cell r="E463" t="str">
            <v>Production</v>
          </cell>
          <cell r="F463" t="str">
            <v>Packing</v>
          </cell>
          <cell r="G463" t="str">
            <v>Worker</v>
          </cell>
          <cell r="H463">
            <v>44623</v>
          </cell>
          <cell r="I463">
            <v>8</v>
          </cell>
          <cell r="J463">
            <v>8</v>
          </cell>
          <cell r="K463">
            <v>8</v>
          </cell>
          <cell r="L463" t="str">
            <v>CN</v>
          </cell>
          <cell r="M463" t="str">
            <v>Đ</v>
          </cell>
          <cell r="N463" t="str">
            <v>Đ</v>
          </cell>
          <cell r="O463" t="str">
            <v>Đ</v>
          </cell>
          <cell r="P463" t="str">
            <v>Đ</v>
          </cell>
          <cell r="Q463" t="str">
            <v>Đ</v>
          </cell>
          <cell r="R463" t="str">
            <v>Đ</v>
          </cell>
          <cell r="S463" t="str">
            <v>CN</v>
          </cell>
          <cell r="T463">
            <v>8</v>
          </cell>
          <cell r="U463">
            <v>8</v>
          </cell>
          <cell r="V463" t="str">
            <v>SL</v>
          </cell>
          <cell r="W463" t="str">
            <v>SL</v>
          </cell>
          <cell r="X463" t="str">
            <v>SL</v>
          </cell>
          <cell r="Y463" t="str">
            <v>SL</v>
          </cell>
          <cell r="Z463" t="str">
            <v>CN</v>
          </cell>
          <cell r="AA463" t="str">
            <v>SL</v>
          </cell>
          <cell r="AB463" t="str">
            <v>SL</v>
          </cell>
          <cell r="AC463" t="str">
            <v>SL</v>
          </cell>
          <cell r="AD463" t="str">
            <v>SL</v>
          </cell>
          <cell r="AE463" t="str">
            <v>SL</v>
          </cell>
          <cell r="AF463" t="str">
            <v>SL</v>
          </cell>
          <cell r="AG463" t="str">
            <v>CN</v>
          </cell>
          <cell r="AH463" t="str">
            <v>SL</v>
          </cell>
          <cell r="AI463" t="str">
            <v>UP8</v>
          </cell>
          <cell r="AJ463" t="str">
            <v>UP8</v>
          </cell>
          <cell r="AN463">
            <v>48</v>
          </cell>
          <cell r="AO463">
            <v>40</v>
          </cell>
          <cell r="AP463">
            <v>0</v>
          </cell>
          <cell r="AQ463">
            <v>11</v>
          </cell>
          <cell r="AR463">
            <v>0</v>
          </cell>
          <cell r="AS463">
            <v>16</v>
          </cell>
          <cell r="AT463">
            <v>0</v>
          </cell>
          <cell r="AU463">
            <v>0</v>
          </cell>
          <cell r="AV463">
            <v>0</v>
          </cell>
          <cell r="AW463">
            <v>0</v>
          </cell>
          <cell r="AX463">
            <v>0</v>
          </cell>
          <cell r="AY463">
            <v>0</v>
          </cell>
          <cell r="AZ463">
            <v>0</v>
          </cell>
          <cell r="BA463">
            <v>0</v>
          </cell>
          <cell r="BB463">
            <v>0</v>
          </cell>
          <cell r="BC463">
            <v>0</v>
          </cell>
          <cell r="BD463">
            <v>0</v>
          </cell>
          <cell r="BE463">
            <v>0</v>
          </cell>
          <cell r="BF463">
            <v>0</v>
          </cell>
          <cell r="BG463">
            <v>88</v>
          </cell>
          <cell r="BH463">
            <v>0</v>
          </cell>
          <cell r="BI463">
            <v>0</v>
          </cell>
          <cell r="BJ463">
            <v>2</v>
          </cell>
          <cell r="BL463">
            <v>0</v>
          </cell>
          <cell r="BM463">
            <v>1.5</v>
          </cell>
          <cell r="BN463">
            <v>0</v>
          </cell>
          <cell r="BO463">
            <v>0</v>
          </cell>
          <cell r="BP463">
            <v>1.5</v>
          </cell>
          <cell r="BQ463">
            <v>0</v>
          </cell>
          <cell r="BR463">
            <v>0</v>
          </cell>
          <cell r="BS463">
            <v>4</v>
          </cell>
          <cell r="BT463">
            <v>4</v>
          </cell>
          <cell r="BU463">
            <v>4</v>
          </cell>
          <cell r="BV463">
            <v>0</v>
          </cell>
          <cell r="BW463">
            <v>3</v>
          </cell>
          <cell r="BX463">
            <v>3</v>
          </cell>
          <cell r="BY463">
            <v>0</v>
          </cell>
          <cell r="BZ463">
            <v>0</v>
          </cell>
          <cell r="CA463">
            <v>0</v>
          </cell>
          <cell r="CB463">
            <v>0</v>
          </cell>
          <cell r="CC463">
            <v>0</v>
          </cell>
          <cell r="CD463">
            <v>0</v>
          </cell>
          <cell r="CE463">
            <v>0</v>
          </cell>
          <cell r="CF463">
            <v>0</v>
          </cell>
          <cell r="CG463">
            <v>0</v>
          </cell>
          <cell r="CH463">
            <v>0</v>
          </cell>
          <cell r="CI463">
            <v>0</v>
          </cell>
          <cell r="CJ463">
            <v>0</v>
          </cell>
          <cell r="CK463">
            <v>0</v>
          </cell>
          <cell r="CL463">
            <v>0</v>
          </cell>
          <cell r="CM463">
            <v>0</v>
          </cell>
          <cell r="CR463">
            <v>0</v>
          </cell>
          <cell r="CS463">
            <v>0</v>
          </cell>
          <cell r="CT463">
            <v>21</v>
          </cell>
          <cell r="CU463">
            <v>0</v>
          </cell>
          <cell r="CV463">
            <v>0</v>
          </cell>
          <cell r="CZ463">
            <v>21</v>
          </cell>
        </row>
        <row r="464">
          <cell r="C464" t="str">
            <v>03322</v>
          </cell>
          <cell r="D464" t="str">
            <v>Đinh Thị Tiên</v>
          </cell>
          <cell r="E464" t="str">
            <v>Production</v>
          </cell>
          <cell r="F464" t="str">
            <v>Logo</v>
          </cell>
          <cell r="G464" t="str">
            <v>Worker</v>
          </cell>
          <cell r="H464">
            <v>44623</v>
          </cell>
          <cell r="I464" t="str">
            <v>Đ</v>
          </cell>
          <cell r="J464" t="str">
            <v>Đ</v>
          </cell>
          <cell r="K464" t="str">
            <v>Đ</v>
          </cell>
          <cell r="L464" t="str">
            <v>CN</v>
          </cell>
          <cell r="M464">
            <v>8</v>
          </cell>
          <cell r="N464">
            <v>8</v>
          </cell>
          <cell r="O464">
            <v>8</v>
          </cell>
          <cell r="P464">
            <v>8</v>
          </cell>
          <cell r="Q464">
            <v>8</v>
          </cell>
          <cell r="R464" t="str">
            <v>AL8</v>
          </cell>
          <cell r="S464" t="str">
            <v>CN</v>
          </cell>
          <cell r="T464" t="str">
            <v>Đ</v>
          </cell>
          <cell r="U464" t="str">
            <v>Đ</v>
          </cell>
          <cell r="V464" t="str">
            <v>Đ</v>
          </cell>
          <cell r="W464" t="str">
            <v>Đ</v>
          </cell>
          <cell r="X464" t="str">
            <v>Đ</v>
          </cell>
          <cell r="Y464" t="str">
            <v>Đ</v>
          </cell>
          <cell r="Z464" t="str">
            <v>CN</v>
          </cell>
          <cell r="AA464">
            <v>8</v>
          </cell>
          <cell r="AB464">
            <v>8</v>
          </cell>
          <cell r="AC464">
            <v>8</v>
          </cell>
          <cell r="AD464">
            <v>8</v>
          </cell>
          <cell r="AE464">
            <v>8</v>
          </cell>
          <cell r="AF464">
            <v>8</v>
          </cell>
          <cell r="AG464" t="str">
            <v>CN</v>
          </cell>
          <cell r="AH464" t="str">
            <v>Đ</v>
          </cell>
          <cell r="AI464" t="str">
            <v>Đ</v>
          </cell>
          <cell r="AJ464" t="str">
            <v>Đ</v>
          </cell>
          <cell r="AN464">
            <v>96</v>
          </cell>
          <cell r="AO464">
            <v>88</v>
          </cell>
          <cell r="AP464">
            <v>0</v>
          </cell>
          <cell r="AQ464">
            <v>0</v>
          </cell>
          <cell r="AR464">
            <v>0</v>
          </cell>
          <cell r="AS464">
            <v>0</v>
          </cell>
          <cell r="AT464">
            <v>0</v>
          </cell>
          <cell r="AU464">
            <v>0</v>
          </cell>
          <cell r="AV464">
            <v>0</v>
          </cell>
          <cell r="AW464">
            <v>0</v>
          </cell>
          <cell r="AX464">
            <v>0</v>
          </cell>
          <cell r="AY464">
            <v>0</v>
          </cell>
          <cell r="AZ464">
            <v>0</v>
          </cell>
          <cell r="BA464">
            <v>8</v>
          </cell>
          <cell r="BB464">
            <v>0</v>
          </cell>
          <cell r="BC464">
            <v>0</v>
          </cell>
          <cell r="BD464">
            <v>0</v>
          </cell>
          <cell r="BE464">
            <v>0</v>
          </cell>
          <cell r="BF464">
            <v>0</v>
          </cell>
          <cell r="BG464">
            <v>192</v>
          </cell>
          <cell r="BH464">
            <v>1</v>
          </cell>
          <cell r="BI464">
            <v>1</v>
          </cell>
          <cell r="BJ464">
            <v>4</v>
          </cell>
          <cell r="BL464">
            <v>1.5</v>
          </cell>
          <cell r="BM464">
            <v>1.5</v>
          </cell>
          <cell r="BN464">
            <v>1.5</v>
          </cell>
          <cell r="BO464">
            <v>0</v>
          </cell>
          <cell r="BP464">
            <v>1.5</v>
          </cell>
          <cell r="BQ464">
            <v>0</v>
          </cell>
          <cell r="BR464">
            <v>0</v>
          </cell>
          <cell r="BS464">
            <v>0</v>
          </cell>
          <cell r="BT464">
            <v>0</v>
          </cell>
          <cell r="BU464">
            <v>0</v>
          </cell>
          <cell r="BV464">
            <v>0</v>
          </cell>
          <cell r="BW464">
            <v>4</v>
          </cell>
          <cell r="BX464">
            <v>4</v>
          </cell>
          <cell r="BY464">
            <v>4</v>
          </cell>
          <cell r="BZ464">
            <v>4</v>
          </cell>
          <cell r="CA464">
            <v>4</v>
          </cell>
          <cell r="CB464">
            <v>4</v>
          </cell>
          <cell r="CC464">
            <v>0</v>
          </cell>
          <cell r="CD464">
            <v>3</v>
          </cell>
          <cell r="CE464">
            <v>3</v>
          </cell>
          <cell r="CF464">
            <v>3</v>
          </cell>
          <cell r="CG464">
            <v>3</v>
          </cell>
          <cell r="CH464">
            <v>3</v>
          </cell>
          <cell r="CI464">
            <v>3</v>
          </cell>
          <cell r="CJ464">
            <v>8</v>
          </cell>
          <cell r="CK464">
            <v>4</v>
          </cell>
          <cell r="CL464">
            <v>4</v>
          </cell>
          <cell r="CM464">
            <v>4</v>
          </cell>
          <cell r="CR464">
            <v>0</v>
          </cell>
          <cell r="CS464">
            <v>0</v>
          </cell>
          <cell r="CT464">
            <v>60</v>
          </cell>
          <cell r="CU464">
            <v>8</v>
          </cell>
          <cell r="CV464">
            <v>0</v>
          </cell>
          <cell r="CZ464">
            <v>68</v>
          </cell>
        </row>
        <row r="465">
          <cell r="C465" t="str">
            <v>03327</v>
          </cell>
          <cell r="D465" t="str">
            <v>Đường Thị Thảo</v>
          </cell>
          <cell r="E465" t="str">
            <v>Production</v>
          </cell>
          <cell r="F465" t="str">
            <v>Logo</v>
          </cell>
          <cell r="G465" t="str">
            <v>Worker</v>
          </cell>
          <cell r="H465">
            <v>44623</v>
          </cell>
          <cell r="I465" t="str">
            <v>Đ</v>
          </cell>
          <cell r="J465" t="str">
            <v>Đ</v>
          </cell>
          <cell r="K465" t="str">
            <v>Đ</v>
          </cell>
          <cell r="L465" t="str">
            <v>CN</v>
          </cell>
          <cell r="M465">
            <v>8</v>
          </cell>
          <cell r="N465">
            <v>8</v>
          </cell>
          <cell r="O465">
            <v>8</v>
          </cell>
          <cell r="P465">
            <v>8</v>
          </cell>
          <cell r="Q465">
            <v>8</v>
          </cell>
          <cell r="R465">
            <v>8</v>
          </cell>
          <cell r="S465" t="str">
            <v>CN</v>
          </cell>
          <cell r="T465" t="str">
            <v>Đ</v>
          </cell>
          <cell r="U465" t="str">
            <v>Đ</v>
          </cell>
          <cell r="V465" t="str">
            <v>Đ</v>
          </cell>
          <cell r="W465" t="str">
            <v>Đ</v>
          </cell>
          <cell r="X465" t="str">
            <v>Đ</v>
          </cell>
          <cell r="Y465" t="str">
            <v>Đ</v>
          </cell>
          <cell r="Z465" t="str">
            <v>CN</v>
          </cell>
          <cell r="AA465">
            <v>8</v>
          </cell>
          <cell r="AB465">
            <v>8</v>
          </cell>
          <cell r="AC465">
            <v>8</v>
          </cell>
          <cell r="AD465">
            <v>8</v>
          </cell>
          <cell r="AE465">
            <v>8</v>
          </cell>
          <cell r="AF465">
            <v>8</v>
          </cell>
          <cell r="AG465" t="str">
            <v>CN</v>
          </cell>
          <cell r="AH465" t="str">
            <v>Đ</v>
          </cell>
          <cell r="AI465" t="str">
            <v>Đ</v>
          </cell>
          <cell r="AJ465" t="str">
            <v>Đ</v>
          </cell>
          <cell r="AN465">
            <v>96</v>
          </cell>
          <cell r="AO465">
            <v>96</v>
          </cell>
          <cell r="AP465">
            <v>0</v>
          </cell>
          <cell r="AQ465">
            <v>0</v>
          </cell>
          <cell r="AR465">
            <v>0</v>
          </cell>
          <cell r="AS465">
            <v>0</v>
          </cell>
          <cell r="AT465">
            <v>0</v>
          </cell>
          <cell r="AU465">
            <v>0</v>
          </cell>
          <cell r="AV465">
            <v>0</v>
          </cell>
          <cell r="AW465">
            <v>0</v>
          </cell>
          <cell r="AX465">
            <v>0</v>
          </cell>
          <cell r="AY465">
            <v>0</v>
          </cell>
          <cell r="AZ465">
            <v>0</v>
          </cell>
          <cell r="BA465">
            <v>0</v>
          </cell>
          <cell r="BB465">
            <v>0</v>
          </cell>
          <cell r="BC465">
            <v>0</v>
          </cell>
          <cell r="BD465">
            <v>0</v>
          </cell>
          <cell r="BE465">
            <v>0</v>
          </cell>
          <cell r="BF465">
            <v>0</v>
          </cell>
          <cell r="BG465">
            <v>192</v>
          </cell>
          <cell r="BH465">
            <v>0</v>
          </cell>
          <cell r="BI465">
            <v>0</v>
          </cell>
          <cell r="BJ465">
            <v>2.5</v>
          </cell>
          <cell r="BL465">
            <v>1.5</v>
          </cell>
          <cell r="BM465">
            <v>1.5</v>
          </cell>
          <cell r="BN465">
            <v>1.5</v>
          </cell>
          <cell r="BO465">
            <v>0</v>
          </cell>
          <cell r="BP465">
            <v>1.5</v>
          </cell>
          <cell r="BQ465">
            <v>0</v>
          </cell>
          <cell r="BR465">
            <v>0</v>
          </cell>
          <cell r="BS465">
            <v>0</v>
          </cell>
          <cell r="BT465">
            <v>0</v>
          </cell>
          <cell r="BU465">
            <v>3</v>
          </cell>
          <cell r="BV465">
            <v>0</v>
          </cell>
          <cell r="BW465">
            <v>4</v>
          </cell>
          <cell r="BX465">
            <v>4</v>
          </cell>
          <cell r="BY465">
            <v>4</v>
          </cell>
          <cell r="BZ465">
            <v>4</v>
          </cell>
          <cell r="CA465">
            <v>4</v>
          </cell>
          <cell r="CB465">
            <v>4</v>
          </cell>
          <cell r="CC465">
            <v>0</v>
          </cell>
          <cell r="CD465">
            <v>3</v>
          </cell>
          <cell r="CE465">
            <v>3</v>
          </cell>
          <cell r="CF465">
            <v>3</v>
          </cell>
          <cell r="CG465">
            <v>3</v>
          </cell>
          <cell r="CH465">
            <v>3</v>
          </cell>
          <cell r="CI465">
            <v>3</v>
          </cell>
          <cell r="CJ465">
            <v>8</v>
          </cell>
          <cell r="CK465">
            <v>4</v>
          </cell>
          <cell r="CL465">
            <v>4</v>
          </cell>
          <cell r="CM465">
            <v>4</v>
          </cell>
          <cell r="CR465">
            <v>0</v>
          </cell>
          <cell r="CS465">
            <v>0</v>
          </cell>
          <cell r="CT465">
            <v>63</v>
          </cell>
          <cell r="CU465">
            <v>8</v>
          </cell>
          <cell r="CV465">
            <v>0</v>
          </cell>
          <cell r="CZ465">
            <v>71</v>
          </cell>
        </row>
        <row r="466">
          <cell r="C466" t="str">
            <v>03331</v>
          </cell>
          <cell r="D466" t="str">
            <v>Võ Quốc Tĩnh</v>
          </cell>
          <cell r="E466" t="str">
            <v>Technical Development</v>
          </cell>
          <cell r="F466" t="str">
            <v>PD Sample</v>
          </cell>
          <cell r="G466" t="str">
            <v>Worker</v>
          </cell>
          <cell r="H466">
            <v>44623</v>
          </cell>
          <cell r="I466">
            <v>8</v>
          </cell>
          <cell r="J466">
            <v>8</v>
          </cell>
          <cell r="K466">
            <v>8</v>
          </cell>
          <cell r="L466" t="str">
            <v>CN</v>
          </cell>
          <cell r="M466">
            <v>8</v>
          </cell>
          <cell r="N466">
            <v>8</v>
          </cell>
          <cell r="O466">
            <v>8</v>
          </cell>
          <cell r="P466" t="str">
            <v>AL4</v>
          </cell>
          <cell r="Q466">
            <v>8</v>
          </cell>
          <cell r="R466">
            <v>8</v>
          </cell>
          <cell r="S466" t="str">
            <v>CN</v>
          </cell>
          <cell r="T466">
            <v>8</v>
          </cell>
          <cell r="U466">
            <v>8</v>
          </cell>
          <cell r="V466">
            <v>8</v>
          </cell>
          <cell r="W466">
            <v>8</v>
          </cell>
          <cell r="X466">
            <v>8</v>
          </cell>
          <cell r="Y466">
            <v>8</v>
          </cell>
          <cell r="Z466" t="str">
            <v>CN</v>
          </cell>
          <cell r="AA466">
            <v>8</v>
          </cell>
          <cell r="AB466" t="str">
            <v>AL4</v>
          </cell>
          <cell r="AC466">
            <v>8</v>
          </cell>
          <cell r="AD466">
            <v>8</v>
          </cell>
          <cell r="AE466">
            <v>8</v>
          </cell>
          <cell r="AF466">
            <v>8</v>
          </cell>
          <cell r="AG466" t="str">
            <v>CN</v>
          </cell>
          <cell r="AH466">
            <v>8</v>
          </cell>
          <cell r="AI466">
            <v>8</v>
          </cell>
          <cell r="AJ466">
            <v>8</v>
          </cell>
          <cell r="AN466">
            <v>0</v>
          </cell>
          <cell r="AO466">
            <v>184</v>
          </cell>
          <cell r="AP466">
            <v>8</v>
          </cell>
          <cell r="AQ466">
            <v>0</v>
          </cell>
          <cell r="AR466">
            <v>0</v>
          </cell>
          <cell r="AS466">
            <v>0</v>
          </cell>
          <cell r="AT466">
            <v>0</v>
          </cell>
          <cell r="AU466">
            <v>0</v>
          </cell>
          <cell r="AV466">
            <v>0</v>
          </cell>
          <cell r="AW466">
            <v>0</v>
          </cell>
          <cell r="AX466">
            <v>0</v>
          </cell>
          <cell r="AY466">
            <v>0</v>
          </cell>
          <cell r="AZ466">
            <v>0</v>
          </cell>
          <cell r="BA466">
            <v>8</v>
          </cell>
          <cell r="BB466">
            <v>0</v>
          </cell>
          <cell r="BC466">
            <v>0</v>
          </cell>
          <cell r="BD466">
            <v>0</v>
          </cell>
          <cell r="BE466">
            <v>0</v>
          </cell>
          <cell r="BF466">
            <v>0</v>
          </cell>
          <cell r="BG466">
            <v>192</v>
          </cell>
          <cell r="BH466">
            <v>1</v>
          </cell>
          <cell r="BI466">
            <v>1</v>
          </cell>
          <cell r="BJ466">
            <v>0.5</v>
          </cell>
          <cell r="BL466">
            <v>3</v>
          </cell>
          <cell r="BM466">
            <v>3</v>
          </cell>
          <cell r="BN466">
            <v>0</v>
          </cell>
          <cell r="BO466">
            <v>0</v>
          </cell>
          <cell r="BP466">
            <v>3</v>
          </cell>
          <cell r="BQ466">
            <v>3</v>
          </cell>
          <cell r="BR466">
            <v>3</v>
          </cell>
          <cell r="BS466">
            <v>0</v>
          </cell>
          <cell r="BT466">
            <v>0</v>
          </cell>
          <cell r="BU466">
            <v>0</v>
          </cell>
          <cell r="BV466">
            <v>0</v>
          </cell>
          <cell r="BW466">
            <v>3</v>
          </cell>
          <cell r="BX466">
            <v>3</v>
          </cell>
          <cell r="BY466">
            <v>3</v>
          </cell>
          <cell r="BZ466">
            <v>3</v>
          </cell>
          <cell r="CA466">
            <v>0</v>
          </cell>
          <cell r="CB466">
            <v>0</v>
          </cell>
          <cell r="CC466">
            <v>0</v>
          </cell>
          <cell r="CD466">
            <v>3</v>
          </cell>
          <cell r="CE466">
            <v>3</v>
          </cell>
          <cell r="CF466">
            <v>0</v>
          </cell>
          <cell r="CG466">
            <v>3</v>
          </cell>
          <cell r="CH466">
            <v>3</v>
          </cell>
          <cell r="CI466">
            <v>0</v>
          </cell>
          <cell r="CJ466">
            <v>0</v>
          </cell>
          <cell r="CK466">
            <v>0</v>
          </cell>
          <cell r="CL466">
            <v>0</v>
          </cell>
          <cell r="CM466">
            <v>0</v>
          </cell>
          <cell r="CR466">
            <v>0</v>
          </cell>
          <cell r="CS466">
            <v>0</v>
          </cell>
          <cell r="CT466">
            <v>39</v>
          </cell>
          <cell r="CU466">
            <v>0</v>
          </cell>
          <cell r="CV466">
            <v>0</v>
          </cell>
          <cell r="CZ466">
            <v>39</v>
          </cell>
        </row>
        <row r="467">
          <cell r="C467" t="str">
            <v>03338</v>
          </cell>
          <cell r="D467" t="str">
            <v>Lô Thị Thanh Hương</v>
          </cell>
          <cell r="E467" t="str">
            <v>Production</v>
          </cell>
          <cell r="F467" t="str">
            <v>Molding</v>
          </cell>
          <cell r="G467" t="str">
            <v>Worker</v>
          </cell>
          <cell r="H467">
            <v>44627</v>
          </cell>
          <cell r="I467">
            <v>8</v>
          </cell>
          <cell r="J467">
            <v>8</v>
          </cell>
          <cell r="K467">
            <v>8</v>
          </cell>
          <cell r="L467" t="str">
            <v>CN</v>
          </cell>
          <cell r="M467">
            <v>8</v>
          </cell>
          <cell r="N467">
            <v>8</v>
          </cell>
          <cell r="O467">
            <v>8</v>
          </cell>
          <cell r="P467">
            <v>8</v>
          </cell>
          <cell r="Q467" t="str">
            <v>Đ</v>
          </cell>
          <cell r="R467" t="str">
            <v>Đ</v>
          </cell>
          <cell r="S467" t="str">
            <v>CN</v>
          </cell>
          <cell r="T467">
            <v>8</v>
          </cell>
          <cell r="U467">
            <v>8</v>
          </cell>
          <cell r="V467" t="str">
            <v>AL8</v>
          </cell>
          <cell r="W467">
            <v>8</v>
          </cell>
          <cell r="X467">
            <v>8</v>
          </cell>
          <cell r="Y467">
            <v>8</v>
          </cell>
          <cell r="Z467" t="str">
            <v>CN</v>
          </cell>
          <cell r="AA467">
            <v>8</v>
          </cell>
          <cell r="AB467">
            <v>8</v>
          </cell>
          <cell r="AC467">
            <v>8</v>
          </cell>
          <cell r="AD467">
            <v>8</v>
          </cell>
          <cell r="AE467" t="str">
            <v>Đ</v>
          </cell>
          <cell r="AF467" t="str">
            <v>Đ</v>
          </cell>
          <cell r="AG467" t="str">
            <v>CN</v>
          </cell>
          <cell r="AH467">
            <v>8</v>
          </cell>
          <cell r="AI467">
            <v>8</v>
          </cell>
          <cell r="AJ467">
            <v>8</v>
          </cell>
          <cell r="AN467">
            <v>32</v>
          </cell>
          <cell r="AO467">
            <v>152</v>
          </cell>
          <cell r="AP467">
            <v>0</v>
          </cell>
          <cell r="AQ467">
            <v>0</v>
          </cell>
          <cell r="AR467">
            <v>0</v>
          </cell>
          <cell r="AS467">
            <v>0</v>
          </cell>
          <cell r="AT467">
            <v>0</v>
          </cell>
          <cell r="AU467">
            <v>0</v>
          </cell>
          <cell r="AV467">
            <v>0</v>
          </cell>
          <cell r="AW467">
            <v>0</v>
          </cell>
          <cell r="AX467">
            <v>0</v>
          </cell>
          <cell r="AY467">
            <v>0</v>
          </cell>
          <cell r="AZ467">
            <v>0</v>
          </cell>
          <cell r="BA467">
            <v>8</v>
          </cell>
          <cell r="BB467">
            <v>0</v>
          </cell>
          <cell r="BC467">
            <v>0</v>
          </cell>
          <cell r="BD467">
            <v>0</v>
          </cell>
          <cell r="BE467">
            <v>0</v>
          </cell>
          <cell r="BF467">
            <v>0</v>
          </cell>
          <cell r="BG467">
            <v>192</v>
          </cell>
          <cell r="BH467">
            <v>1</v>
          </cell>
          <cell r="BI467">
            <v>1</v>
          </cell>
          <cell r="BJ467">
            <v>0</v>
          </cell>
          <cell r="BL467">
            <v>0</v>
          </cell>
          <cell r="BM467">
            <v>4</v>
          </cell>
          <cell r="BN467">
            <v>4</v>
          </cell>
          <cell r="BO467">
            <v>0</v>
          </cell>
          <cell r="BP467">
            <v>0</v>
          </cell>
          <cell r="BQ467">
            <v>0</v>
          </cell>
          <cell r="BR467">
            <v>0</v>
          </cell>
          <cell r="BS467">
            <v>0</v>
          </cell>
          <cell r="BT467">
            <v>4</v>
          </cell>
          <cell r="BU467">
            <v>4</v>
          </cell>
          <cell r="BV467">
            <v>0</v>
          </cell>
          <cell r="BW467">
            <v>0</v>
          </cell>
          <cell r="BX467">
            <v>0</v>
          </cell>
          <cell r="BY467">
            <v>0</v>
          </cell>
          <cell r="BZ467">
            <v>0</v>
          </cell>
          <cell r="CA467">
            <v>0</v>
          </cell>
          <cell r="CB467">
            <v>4</v>
          </cell>
          <cell r="CC467">
            <v>0</v>
          </cell>
          <cell r="CD467">
            <v>0</v>
          </cell>
          <cell r="CE467">
            <v>0</v>
          </cell>
          <cell r="CF467">
            <v>0</v>
          </cell>
          <cell r="CG467">
            <v>0</v>
          </cell>
          <cell r="CH467">
            <v>4</v>
          </cell>
          <cell r="CI467">
            <v>4</v>
          </cell>
          <cell r="CJ467">
            <v>0</v>
          </cell>
          <cell r="CK467">
            <v>0</v>
          </cell>
          <cell r="CL467">
            <v>0</v>
          </cell>
          <cell r="CM467">
            <v>0</v>
          </cell>
          <cell r="CR467">
            <v>0</v>
          </cell>
          <cell r="CS467">
            <v>0</v>
          </cell>
          <cell r="CT467">
            <v>28</v>
          </cell>
          <cell r="CU467">
            <v>0</v>
          </cell>
          <cell r="CV467">
            <v>0</v>
          </cell>
          <cell r="CZ467">
            <v>28</v>
          </cell>
        </row>
        <row r="468">
          <cell r="C468" t="str">
            <v>03346</v>
          </cell>
          <cell r="D468" t="str">
            <v>Bế Thị Luyến</v>
          </cell>
          <cell r="E468" t="str">
            <v>Production</v>
          </cell>
          <cell r="F468" t="str">
            <v>Die cut</v>
          </cell>
          <cell r="G468" t="str">
            <v>Worker</v>
          </cell>
          <cell r="H468">
            <v>44627</v>
          </cell>
          <cell r="I468" t="str">
            <v>Đ</v>
          </cell>
          <cell r="J468" t="str">
            <v>Đ</v>
          </cell>
          <cell r="K468" t="str">
            <v>Đ</v>
          </cell>
          <cell r="L468" t="str">
            <v>CN</v>
          </cell>
          <cell r="M468" t="str">
            <v>SL</v>
          </cell>
          <cell r="N468">
            <v>8</v>
          </cell>
          <cell r="O468">
            <v>8</v>
          </cell>
          <cell r="P468">
            <v>8</v>
          </cell>
          <cell r="Q468">
            <v>8</v>
          </cell>
          <cell r="R468">
            <v>8</v>
          </cell>
          <cell r="S468" t="str">
            <v>CN</v>
          </cell>
          <cell r="T468" t="str">
            <v>Đ</v>
          </cell>
          <cell r="U468" t="str">
            <v>Đ</v>
          </cell>
          <cell r="V468" t="str">
            <v>Đ</v>
          </cell>
          <cell r="W468" t="str">
            <v>Đ</v>
          </cell>
          <cell r="X468" t="str">
            <v>Đ</v>
          </cell>
          <cell r="Y468" t="str">
            <v>Đ</v>
          </cell>
          <cell r="Z468" t="str">
            <v>CN</v>
          </cell>
          <cell r="AA468">
            <v>8</v>
          </cell>
          <cell r="AB468">
            <v>8</v>
          </cell>
          <cell r="AC468">
            <v>8</v>
          </cell>
          <cell r="AD468">
            <v>8</v>
          </cell>
          <cell r="AE468">
            <v>8</v>
          </cell>
          <cell r="AF468" t="str">
            <v>AL8</v>
          </cell>
          <cell r="AG468" t="str">
            <v>CN</v>
          </cell>
          <cell r="AH468" t="str">
            <v>Đ</v>
          </cell>
          <cell r="AI468" t="str">
            <v>Đ</v>
          </cell>
          <cell r="AJ468" t="str">
            <v>Đ</v>
          </cell>
          <cell r="AN468">
            <v>96</v>
          </cell>
          <cell r="AO468">
            <v>80</v>
          </cell>
          <cell r="AP468">
            <v>0</v>
          </cell>
          <cell r="AQ468">
            <v>1</v>
          </cell>
          <cell r="AR468">
            <v>0</v>
          </cell>
          <cell r="AS468">
            <v>0</v>
          </cell>
          <cell r="AT468">
            <v>0</v>
          </cell>
          <cell r="AU468">
            <v>0</v>
          </cell>
          <cell r="AV468">
            <v>0</v>
          </cell>
          <cell r="AW468">
            <v>0</v>
          </cell>
          <cell r="AX468">
            <v>0</v>
          </cell>
          <cell r="AY468">
            <v>0</v>
          </cell>
          <cell r="AZ468">
            <v>0</v>
          </cell>
          <cell r="BA468">
            <v>8</v>
          </cell>
          <cell r="BB468">
            <v>0</v>
          </cell>
          <cell r="BC468">
            <v>0</v>
          </cell>
          <cell r="BD468">
            <v>0</v>
          </cell>
          <cell r="BE468">
            <v>0</v>
          </cell>
          <cell r="BF468">
            <v>0</v>
          </cell>
          <cell r="BG468">
            <v>184</v>
          </cell>
          <cell r="BH468">
            <v>1</v>
          </cell>
          <cell r="BI468">
            <v>1</v>
          </cell>
          <cell r="BJ468">
            <v>2.5</v>
          </cell>
          <cell r="BL468">
            <v>1.5</v>
          </cell>
          <cell r="BM468">
            <v>1.5</v>
          </cell>
          <cell r="BN468">
            <v>1.5</v>
          </cell>
          <cell r="BO468">
            <v>0</v>
          </cell>
          <cell r="BP468">
            <v>0</v>
          </cell>
          <cell r="BQ468">
            <v>0</v>
          </cell>
          <cell r="BR468">
            <v>0</v>
          </cell>
          <cell r="BS468">
            <v>0</v>
          </cell>
          <cell r="BT468">
            <v>0</v>
          </cell>
          <cell r="BU468">
            <v>3</v>
          </cell>
          <cell r="BV468">
            <v>0</v>
          </cell>
          <cell r="BW468">
            <v>4</v>
          </cell>
          <cell r="BX468">
            <v>4</v>
          </cell>
          <cell r="BY468">
            <v>4</v>
          </cell>
          <cell r="BZ468">
            <v>0</v>
          </cell>
          <cell r="CA468">
            <v>4</v>
          </cell>
          <cell r="CB468">
            <v>4</v>
          </cell>
          <cell r="CC468">
            <v>0</v>
          </cell>
          <cell r="CD468">
            <v>3</v>
          </cell>
          <cell r="CE468">
            <v>3</v>
          </cell>
          <cell r="CF468">
            <v>3</v>
          </cell>
          <cell r="CG468">
            <v>3</v>
          </cell>
          <cell r="CH468">
            <v>3</v>
          </cell>
          <cell r="CI468">
            <v>0</v>
          </cell>
          <cell r="CJ468">
            <v>0</v>
          </cell>
          <cell r="CK468">
            <v>4</v>
          </cell>
          <cell r="CL468">
            <v>4</v>
          </cell>
          <cell r="CM468">
            <v>4</v>
          </cell>
          <cell r="CR468">
            <v>0</v>
          </cell>
          <cell r="CS468">
            <v>0</v>
          </cell>
          <cell r="CT468">
            <v>54.5</v>
          </cell>
          <cell r="CU468">
            <v>0</v>
          </cell>
          <cell r="CV468">
            <v>0</v>
          </cell>
          <cell r="CZ468">
            <v>54.5</v>
          </cell>
        </row>
        <row r="469">
          <cell r="C469" t="str">
            <v>03352</v>
          </cell>
          <cell r="D469" t="str">
            <v>Lê Đăng Tịnh</v>
          </cell>
          <cell r="E469" t="str">
            <v>Production</v>
          </cell>
          <cell r="F469" t="str">
            <v>Die cut</v>
          </cell>
          <cell r="G469" t="str">
            <v>Worker</v>
          </cell>
          <cell r="H469">
            <v>44630</v>
          </cell>
          <cell r="I469" t="str">
            <v>Đ</v>
          </cell>
          <cell r="J469" t="str">
            <v>Đ</v>
          </cell>
          <cell r="K469" t="str">
            <v>Đ</v>
          </cell>
          <cell r="L469" t="str">
            <v>CN</v>
          </cell>
          <cell r="M469">
            <v>8</v>
          </cell>
          <cell r="N469">
            <v>8</v>
          </cell>
          <cell r="O469">
            <v>8</v>
          </cell>
          <cell r="P469" t="str">
            <v>AL8</v>
          </cell>
          <cell r="Q469">
            <v>8</v>
          </cell>
          <cell r="R469">
            <v>8</v>
          </cell>
          <cell r="S469" t="str">
            <v>CN</v>
          </cell>
          <cell r="T469" t="str">
            <v>Đ</v>
          </cell>
          <cell r="U469" t="str">
            <v>Đ</v>
          </cell>
          <cell r="V469" t="str">
            <v>Đ</v>
          </cell>
          <cell r="W469" t="str">
            <v>Đ</v>
          </cell>
          <cell r="X469" t="str">
            <v>Đ</v>
          </cell>
          <cell r="Y469" t="str">
            <v>Đ</v>
          </cell>
          <cell r="Z469" t="str">
            <v>CN</v>
          </cell>
          <cell r="AA469">
            <v>8</v>
          </cell>
          <cell r="AB469">
            <v>8</v>
          </cell>
          <cell r="AC469">
            <v>8</v>
          </cell>
          <cell r="AD469">
            <v>8</v>
          </cell>
          <cell r="AE469">
            <v>8</v>
          </cell>
          <cell r="AF469">
            <v>8</v>
          </cell>
          <cell r="AG469" t="str">
            <v>CN</v>
          </cell>
          <cell r="AH469" t="str">
            <v>Đ</v>
          </cell>
          <cell r="AI469" t="str">
            <v>Đ</v>
          </cell>
          <cell r="AJ469" t="str">
            <v>Đ</v>
          </cell>
          <cell r="AN469">
            <v>96</v>
          </cell>
          <cell r="AO469">
            <v>88</v>
          </cell>
          <cell r="AP469">
            <v>0</v>
          </cell>
          <cell r="AQ469">
            <v>0</v>
          </cell>
          <cell r="AR469">
            <v>0</v>
          </cell>
          <cell r="AS469">
            <v>0</v>
          </cell>
          <cell r="AT469">
            <v>0</v>
          </cell>
          <cell r="AU469">
            <v>0</v>
          </cell>
          <cell r="AV469">
            <v>0</v>
          </cell>
          <cell r="AW469">
            <v>0</v>
          </cell>
          <cell r="AX469">
            <v>0</v>
          </cell>
          <cell r="AY469">
            <v>0</v>
          </cell>
          <cell r="AZ469">
            <v>0</v>
          </cell>
          <cell r="BA469">
            <v>8</v>
          </cell>
          <cell r="BB469">
            <v>0</v>
          </cell>
          <cell r="BC469">
            <v>0</v>
          </cell>
          <cell r="BD469">
            <v>0</v>
          </cell>
          <cell r="BE469">
            <v>0</v>
          </cell>
          <cell r="BF469">
            <v>0</v>
          </cell>
          <cell r="BG469">
            <v>192</v>
          </cell>
          <cell r="BH469">
            <v>1</v>
          </cell>
          <cell r="BI469">
            <v>1</v>
          </cell>
          <cell r="BJ469">
            <v>-4</v>
          </cell>
          <cell r="BL469">
            <v>1.5</v>
          </cell>
          <cell r="BM469">
            <v>1.5</v>
          </cell>
          <cell r="BN469">
            <v>1.5</v>
          </cell>
          <cell r="BO469">
            <v>0</v>
          </cell>
          <cell r="BP469">
            <v>1.5</v>
          </cell>
          <cell r="BQ469">
            <v>0</v>
          </cell>
          <cell r="BR469">
            <v>3</v>
          </cell>
          <cell r="BS469">
            <v>0</v>
          </cell>
          <cell r="BT469">
            <v>3</v>
          </cell>
          <cell r="BU469">
            <v>2</v>
          </cell>
          <cell r="BV469">
            <v>0</v>
          </cell>
          <cell r="BW469">
            <v>4</v>
          </cell>
          <cell r="BX469">
            <v>4</v>
          </cell>
          <cell r="BY469">
            <v>4</v>
          </cell>
          <cell r="BZ469">
            <v>4</v>
          </cell>
          <cell r="CA469">
            <v>4</v>
          </cell>
          <cell r="CB469">
            <v>4</v>
          </cell>
          <cell r="CC469">
            <v>0</v>
          </cell>
          <cell r="CD469">
            <v>2</v>
          </cell>
          <cell r="CE469">
            <v>3</v>
          </cell>
          <cell r="CF469">
            <v>0</v>
          </cell>
          <cell r="CG469">
            <v>3</v>
          </cell>
          <cell r="CH469">
            <v>0</v>
          </cell>
          <cell r="CI469">
            <v>0</v>
          </cell>
          <cell r="CJ469">
            <v>8</v>
          </cell>
          <cell r="CK469">
            <v>0</v>
          </cell>
          <cell r="CL469">
            <v>4</v>
          </cell>
          <cell r="CM469">
            <v>4</v>
          </cell>
          <cell r="CR469">
            <v>0</v>
          </cell>
          <cell r="CS469">
            <v>0</v>
          </cell>
          <cell r="CT469">
            <v>54</v>
          </cell>
          <cell r="CU469">
            <v>8</v>
          </cell>
          <cell r="CV469">
            <v>0</v>
          </cell>
          <cell r="CZ469">
            <v>62</v>
          </cell>
        </row>
        <row r="470">
          <cell r="C470" t="str">
            <v>03355</v>
          </cell>
          <cell r="D470" t="str">
            <v>Nguyễn Thị Thúy</v>
          </cell>
          <cell r="E470" t="str">
            <v>Production</v>
          </cell>
          <cell r="F470" t="str">
            <v>Packing</v>
          </cell>
          <cell r="G470" t="str">
            <v>Worker</v>
          </cell>
          <cell r="H470">
            <v>44630</v>
          </cell>
          <cell r="I470" t="str">
            <v>Đ</v>
          </cell>
          <cell r="J470" t="str">
            <v>Đ</v>
          </cell>
          <cell r="K470" t="str">
            <v>Đ</v>
          </cell>
          <cell r="L470" t="str">
            <v>CN</v>
          </cell>
          <cell r="M470">
            <v>8</v>
          </cell>
          <cell r="N470">
            <v>8</v>
          </cell>
          <cell r="O470">
            <v>8</v>
          </cell>
          <cell r="P470">
            <v>8</v>
          </cell>
          <cell r="Q470">
            <v>8</v>
          </cell>
          <cell r="R470">
            <v>8</v>
          </cell>
          <cell r="S470" t="str">
            <v>CN</v>
          </cell>
          <cell r="T470" t="str">
            <v>AL8</v>
          </cell>
          <cell r="U470" t="str">
            <v>AL8</v>
          </cell>
          <cell r="V470" t="str">
            <v>Đ</v>
          </cell>
          <cell r="W470" t="str">
            <v>Đ</v>
          </cell>
          <cell r="X470" t="str">
            <v>Đ</v>
          </cell>
          <cell r="Y470" t="str">
            <v>Đ</v>
          </cell>
          <cell r="Z470" t="str">
            <v>CN</v>
          </cell>
          <cell r="AA470">
            <v>8</v>
          </cell>
          <cell r="AB470">
            <v>8</v>
          </cell>
          <cell r="AC470">
            <v>8</v>
          </cell>
          <cell r="AD470">
            <v>8</v>
          </cell>
          <cell r="AE470">
            <v>8</v>
          </cell>
          <cell r="AF470">
            <v>8</v>
          </cell>
          <cell r="AG470" t="str">
            <v>CN</v>
          </cell>
          <cell r="AH470" t="str">
            <v>Đ</v>
          </cell>
          <cell r="AI470" t="str">
            <v>Đ</v>
          </cell>
          <cell r="AJ470" t="str">
            <v>Đ</v>
          </cell>
          <cell r="AN470">
            <v>80</v>
          </cell>
          <cell r="AO470">
            <v>96</v>
          </cell>
          <cell r="AP470">
            <v>0</v>
          </cell>
          <cell r="AQ470">
            <v>0</v>
          </cell>
          <cell r="AR470">
            <v>0</v>
          </cell>
          <cell r="AS470">
            <v>0</v>
          </cell>
          <cell r="AT470">
            <v>0</v>
          </cell>
          <cell r="AU470">
            <v>0</v>
          </cell>
          <cell r="AV470">
            <v>0</v>
          </cell>
          <cell r="AW470">
            <v>0</v>
          </cell>
          <cell r="AX470">
            <v>0</v>
          </cell>
          <cell r="AY470">
            <v>0</v>
          </cell>
          <cell r="AZ470">
            <v>0</v>
          </cell>
          <cell r="BA470">
            <v>16</v>
          </cell>
          <cell r="BB470">
            <v>0</v>
          </cell>
          <cell r="BC470">
            <v>0</v>
          </cell>
          <cell r="BD470">
            <v>0</v>
          </cell>
          <cell r="BE470">
            <v>0</v>
          </cell>
          <cell r="BF470">
            <v>0</v>
          </cell>
          <cell r="BG470">
            <v>192</v>
          </cell>
          <cell r="BH470">
            <v>2</v>
          </cell>
          <cell r="BI470">
            <v>2</v>
          </cell>
          <cell r="BJ470">
            <v>1</v>
          </cell>
          <cell r="BL470">
            <v>0</v>
          </cell>
          <cell r="BM470">
            <v>0</v>
          </cell>
          <cell r="BN470">
            <v>0</v>
          </cell>
          <cell r="BO470">
            <v>0</v>
          </cell>
          <cell r="BP470">
            <v>1.5</v>
          </cell>
          <cell r="BQ470">
            <v>3</v>
          </cell>
          <cell r="BR470">
            <v>0</v>
          </cell>
          <cell r="BS470">
            <v>3</v>
          </cell>
          <cell r="BT470">
            <v>3</v>
          </cell>
          <cell r="BU470">
            <v>0</v>
          </cell>
          <cell r="BV470">
            <v>0</v>
          </cell>
          <cell r="BW470">
            <v>0</v>
          </cell>
          <cell r="BX470">
            <v>0</v>
          </cell>
          <cell r="BY470">
            <v>1.5</v>
          </cell>
          <cell r="BZ470">
            <v>4</v>
          </cell>
          <cell r="CA470">
            <v>4</v>
          </cell>
          <cell r="CB470">
            <v>4</v>
          </cell>
          <cell r="CC470">
            <v>0</v>
          </cell>
          <cell r="CD470">
            <v>3</v>
          </cell>
          <cell r="CE470">
            <v>3</v>
          </cell>
          <cell r="CF470">
            <v>3</v>
          </cell>
          <cell r="CG470">
            <v>2.5</v>
          </cell>
          <cell r="CH470">
            <v>1.5</v>
          </cell>
          <cell r="CI470">
            <v>1.5</v>
          </cell>
          <cell r="CJ470">
            <v>8</v>
          </cell>
          <cell r="CK470">
            <v>1.5</v>
          </cell>
          <cell r="CL470">
            <v>1.5</v>
          </cell>
          <cell r="CM470">
            <v>1.5</v>
          </cell>
          <cell r="CR470">
            <v>0</v>
          </cell>
          <cell r="CS470">
            <v>0</v>
          </cell>
          <cell r="CT470">
            <v>43</v>
          </cell>
          <cell r="CU470">
            <v>8</v>
          </cell>
          <cell r="CV470">
            <v>0</v>
          </cell>
          <cell r="CZ470">
            <v>51</v>
          </cell>
        </row>
        <row r="471">
          <cell r="C471" t="str">
            <v>03363</v>
          </cell>
          <cell r="D471" t="str">
            <v>Nguyễn Văn Sáng</v>
          </cell>
          <cell r="E471" t="str">
            <v>Foaming</v>
          </cell>
          <cell r="F471" t="str">
            <v>FOAMING Splitting</v>
          </cell>
          <cell r="G471" t="str">
            <v>Operator</v>
          </cell>
          <cell r="H471">
            <v>44630</v>
          </cell>
          <cell r="I471" t="str">
            <v>AL8</v>
          </cell>
          <cell r="J471" t="str">
            <v>UP8</v>
          </cell>
          <cell r="K471">
            <v>8</v>
          </cell>
          <cell r="L471" t="str">
            <v>CN</v>
          </cell>
          <cell r="M471">
            <v>8</v>
          </cell>
          <cell r="N471">
            <v>8</v>
          </cell>
          <cell r="O471">
            <v>8</v>
          </cell>
          <cell r="P471">
            <v>8</v>
          </cell>
          <cell r="Q471">
            <v>8</v>
          </cell>
          <cell r="R471">
            <v>8</v>
          </cell>
          <cell r="S471" t="str">
            <v>CN</v>
          </cell>
          <cell r="T471">
            <v>8</v>
          </cell>
          <cell r="U471">
            <v>8</v>
          </cell>
          <cell r="V471">
            <v>8</v>
          </cell>
          <cell r="W471">
            <v>8</v>
          </cell>
          <cell r="X471">
            <v>8</v>
          </cell>
          <cell r="Y471">
            <v>8</v>
          </cell>
          <cell r="Z471" t="str">
            <v>CN</v>
          </cell>
          <cell r="AA471" t="str">
            <v>Đ</v>
          </cell>
          <cell r="AB471" t="str">
            <v>Đ</v>
          </cell>
          <cell r="AC471" t="str">
            <v>Đ</v>
          </cell>
          <cell r="AD471" t="str">
            <v>Đ</v>
          </cell>
          <cell r="AE471" t="str">
            <v>Đ</v>
          </cell>
          <cell r="AF471" t="str">
            <v>Đ</v>
          </cell>
          <cell r="AG471" t="str">
            <v>CN</v>
          </cell>
          <cell r="AH471" t="str">
            <v>Đ</v>
          </cell>
          <cell r="AI471" t="str">
            <v>Đ</v>
          </cell>
          <cell r="AJ471" t="str">
            <v>Đ</v>
          </cell>
          <cell r="AN471">
            <v>72</v>
          </cell>
          <cell r="AO471">
            <v>104</v>
          </cell>
          <cell r="AP471">
            <v>0</v>
          </cell>
          <cell r="AQ471">
            <v>0</v>
          </cell>
          <cell r="AR471">
            <v>0</v>
          </cell>
          <cell r="AS471">
            <v>8</v>
          </cell>
          <cell r="AT471">
            <v>0</v>
          </cell>
          <cell r="AU471">
            <v>0</v>
          </cell>
          <cell r="AV471">
            <v>0</v>
          </cell>
          <cell r="AW471">
            <v>0</v>
          </cell>
          <cell r="AX471">
            <v>0</v>
          </cell>
          <cell r="AY471">
            <v>0</v>
          </cell>
          <cell r="AZ471">
            <v>0</v>
          </cell>
          <cell r="BA471">
            <v>8</v>
          </cell>
          <cell r="BB471">
            <v>0</v>
          </cell>
          <cell r="BC471">
            <v>0</v>
          </cell>
          <cell r="BD471">
            <v>0</v>
          </cell>
          <cell r="BE471">
            <v>0</v>
          </cell>
          <cell r="BF471">
            <v>0</v>
          </cell>
          <cell r="BG471">
            <v>184</v>
          </cell>
          <cell r="BH471">
            <v>1</v>
          </cell>
          <cell r="BI471">
            <v>1</v>
          </cell>
          <cell r="BJ471">
            <v>-1</v>
          </cell>
          <cell r="BL471">
            <v>0</v>
          </cell>
          <cell r="BM471">
            <v>0</v>
          </cell>
          <cell r="BN471">
            <v>0</v>
          </cell>
          <cell r="BO471">
            <v>12</v>
          </cell>
          <cell r="BP471">
            <v>0</v>
          </cell>
          <cell r="BQ471">
            <v>4</v>
          </cell>
          <cell r="BR471">
            <v>3</v>
          </cell>
          <cell r="BS471">
            <v>0</v>
          </cell>
          <cell r="BT471">
            <v>4</v>
          </cell>
          <cell r="BU471">
            <v>4</v>
          </cell>
          <cell r="BV471">
            <v>12</v>
          </cell>
          <cell r="BW471">
            <v>4</v>
          </cell>
          <cell r="BX471">
            <v>4</v>
          </cell>
          <cell r="BY471">
            <v>4</v>
          </cell>
          <cell r="BZ471">
            <v>4</v>
          </cell>
          <cell r="CA471">
            <v>4</v>
          </cell>
          <cell r="CB471">
            <v>4</v>
          </cell>
          <cell r="CC471" t="str">
            <v>11Đ</v>
          </cell>
          <cell r="CD471">
            <v>4</v>
          </cell>
          <cell r="CE471">
            <v>4</v>
          </cell>
          <cell r="CF471">
            <v>4</v>
          </cell>
          <cell r="CG471">
            <v>4</v>
          </cell>
          <cell r="CH471">
            <v>4</v>
          </cell>
          <cell r="CI471">
            <v>4</v>
          </cell>
          <cell r="CJ471" t="str">
            <v>12Đ</v>
          </cell>
          <cell r="CK471">
            <v>4</v>
          </cell>
          <cell r="CL471">
            <v>0</v>
          </cell>
          <cell r="CM471">
            <v>4</v>
          </cell>
          <cell r="CR471">
            <v>0</v>
          </cell>
          <cell r="CS471">
            <v>0</v>
          </cell>
          <cell r="CT471">
            <v>71</v>
          </cell>
          <cell r="CU471">
            <v>31</v>
          </cell>
          <cell r="CV471">
            <v>16</v>
          </cell>
          <cell r="CZ471">
            <v>118</v>
          </cell>
        </row>
        <row r="472">
          <cell r="C472" t="str">
            <v>03366</v>
          </cell>
          <cell r="D472" t="str">
            <v>Lê Chí Hiển</v>
          </cell>
          <cell r="E472" t="str">
            <v>Foaming</v>
          </cell>
          <cell r="F472" t="str">
            <v>FOAMING Rectangular</v>
          </cell>
          <cell r="G472" t="str">
            <v>Skilled worker</v>
          </cell>
          <cell r="H472">
            <v>44630</v>
          </cell>
          <cell r="I472">
            <v>8</v>
          </cell>
          <cell r="J472">
            <v>8</v>
          </cell>
          <cell r="K472">
            <v>8</v>
          </cell>
          <cell r="L472" t="str">
            <v>CN</v>
          </cell>
          <cell r="M472">
            <v>8</v>
          </cell>
          <cell r="N472">
            <v>8</v>
          </cell>
          <cell r="O472">
            <v>8</v>
          </cell>
          <cell r="P472">
            <v>8</v>
          </cell>
          <cell r="Q472">
            <v>8</v>
          </cell>
          <cell r="R472">
            <v>8</v>
          </cell>
          <cell r="S472" t="str">
            <v>CN</v>
          </cell>
          <cell r="T472">
            <v>8</v>
          </cell>
          <cell r="U472">
            <v>8</v>
          </cell>
          <cell r="V472">
            <v>8</v>
          </cell>
          <cell r="W472">
            <v>8</v>
          </cell>
          <cell r="X472" t="str">
            <v>UP4</v>
          </cell>
          <cell r="Y472">
            <v>8</v>
          </cell>
          <cell r="Z472" t="str">
            <v>CN</v>
          </cell>
          <cell r="AA472" t="str">
            <v>Đ</v>
          </cell>
          <cell r="AB472" t="str">
            <v>Đ</v>
          </cell>
          <cell r="AC472" t="str">
            <v>Đ</v>
          </cell>
          <cell r="AD472" t="str">
            <v>Đ</v>
          </cell>
          <cell r="AE472" t="str">
            <v>Đ</v>
          </cell>
          <cell r="AF472" t="str">
            <v>Đ</v>
          </cell>
          <cell r="AG472" t="str">
            <v>CN</v>
          </cell>
          <cell r="AH472" t="str">
            <v>Đ</v>
          </cell>
          <cell r="AI472" t="str">
            <v>Đ</v>
          </cell>
          <cell r="AJ472" t="str">
            <v>Đ</v>
          </cell>
          <cell r="AN472">
            <v>72</v>
          </cell>
          <cell r="AO472">
            <v>116</v>
          </cell>
          <cell r="AP472">
            <v>0</v>
          </cell>
          <cell r="AQ472">
            <v>0</v>
          </cell>
          <cell r="AR472">
            <v>4</v>
          </cell>
          <cell r="AS472">
            <v>4</v>
          </cell>
          <cell r="AT472">
            <v>0</v>
          </cell>
          <cell r="AU472">
            <v>0</v>
          </cell>
          <cell r="AV472">
            <v>0</v>
          </cell>
          <cell r="AW472">
            <v>0</v>
          </cell>
          <cell r="AX472">
            <v>0</v>
          </cell>
          <cell r="AY472">
            <v>0</v>
          </cell>
          <cell r="AZ472">
            <v>0</v>
          </cell>
          <cell r="BA472">
            <v>0</v>
          </cell>
          <cell r="BB472">
            <v>0</v>
          </cell>
          <cell r="BC472">
            <v>0</v>
          </cell>
          <cell r="BD472">
            <v>0</v>
          </cell>
          <cell r="BE472">
            <v>0</v>
          </cell>
          <cell r="BF472">
            <v>0</v>
          </cell>
          <cell r="BG472">
            <v>188</v>
          </cell>
          <cell r="BH472">
            <v>0</v>
          </cell>
          <cell r="BI472">
            <v>0</v>
          </cell>
          <cell r="BJ472">
            <v>2</v>
          </cell>
          <cell r="BL472">
            <v>4</v>
          </cell>
          <cell r="BM472">
            <v>4</v>
          </cell>
          <cell r="BN472">
            <v>0</v>
          </cell>
          <cell r="BO472">
            <v>12</v>
          </cell>
          <cell r="BP472">
            <v>0</v>
          </cell>
          <cell r="BQ472">
            <v>4</v>
          </cell>
          <cell r="BR472">
            <v>4</v>
          </cell>
          <cell r="BS472">
            <v>4</v>
          </cell>
          <cell r="BT472">
            <v>0</v>
          </cell>
          <cell r="BU472">
            <v>4</v>
          </cell>
          <cell r="BV472">
            <v>12</v>
          </cell>
          <cell r="BW472">
            <v>4</v>
          </cell>
          <cell r="BX472">
            <v>4</v>
          </cell>
          <cell r="BY472">
            <v>4</v>
          </cell>
          <cell r="BZ472">
            <v>4</v>
          </cell>
          <cell r="CA472">
            <v>0</v>
          </cell>
          <cell r="CB472">
            <v>4</v>
          </cell>
          <cell r="CC472" t="str">
            <v>12Đ</v>
          </cell>
          <cell r="CD472">
            <v>4</v>
          </cell>
          <cell r="CE472">
            <v>4</v>
          </cell>
          <cell r="CF472">
            <v>4</v>
          </cell>
          <cell r="CG472">
            <v>4</v>
          </cell>
          <cell r="CH472">
            <v>4</v>
          </cell>
          <cell r="CI472">
            <v>0</v>
          </cell>
          <cell r="CJ472" t="str">
            <v>12Đ</v>
          </cell>
          <cell r="CK472">
            <v>0</v>
          </cell>
          <cell r="CL472">
            <v>4</v>
          </cell>
          <cell r="CM472">
            <v>4</v>
          </cell>
          <cell r="CR472">
            <v>0</v>
          </cell>
          <cell r="CS472">
            <v>0</v>
          </cell>
          <cell r="CT472">
            <v>72</v>
          </cell>
          <cell r="CU472">
            <v>32</v>
          </cell>
          <cell r="CV472">
            <v>16</v>
          </cell>
          <cell r="CZ472">
            <v>120</v>
          </cell>
        </row>
        <row r="473">
          <cell r="C473" t="str">
            <v>03373</v>
          </cell>
          <cell r="D473" t="str">
            <v>Phan Minh Gạch</v>
          </cell>
          <cell r="E473" t="str">
            <v>Foaming</v>
          </cell>
          <cell r="F473" t="str">
            <v>FOAMING Splitting</v>
          </cell>
          <cell r="G473" t="str">
            <v>Operator</v>
          </cell>
          <cell r="H473">
            <v>44634</v>
          </cell>
          <cell r="I473">
            <v>8</v>
          </cell>
          <cell r="J473">
            <v>8</v>
          </cell>
          <cell r="K473">
            <v>8</v>
          </cell>
          <cell r="L473" t="str">
            <v>CN</v>
          </cell>
          <cell r="M473">
            <v>8</v>
          </cell>
          <cell r="N473">
            <v>8</v>
          </cell>
          <cell r="O473">
            <v>8</v>
          </cell>
          <cell r="P473">
            <v>8</v>
          </cell>
          <cell r="Q473">
            <v>8</v>
          </cell>
          <cell r="R473">
            <v>8</v>
          </cell>
          <cell r="S473" t="str">
            <v>CN</v>
          </cell>
          <cell r="T473">
            <v>8</v>
          </cell>
          <cell r="U473" t="str">
            <v>AL8</v>
          </cell>
          <cell r="V473">
            <v>8</v>
          </cell>
          <cell r="W473">
            <v>8</v>
          </cell>
          <cell r="X473">
            <v>8</v>
          </cell>
          <cell r="Y473">
            <v>8</v>
          </cell>
          <cell r="Z473" t="str">
            <v>CN</v>
          </cell>
          <cell r="AA473" t="str">
            <v>Đ</v>
          </cell>
          <cell r="AB473" t="str">
            <v>Đ</v>
          </cell>
          <cell r="AC473" t="str">
            <v>Đ</v>
          </cell>
          <cell r="AD473" t="str">
            <v>Đ</v>
          </cell>
          <cell r="AE473" t="str">
            <v>Đ</v>
          </cell>
          <cell r="AF473" t="str">
            <v>Đ</v>
          </cell>
          <cell r="AG473" t="str">
            <v>CN</v>
          </cell>
          <cell r="AH473" t="str">
            <v>Đ</v>
          </cell>
          <cell r="AI473" t="str">
            <v>Đ</v>
          </cell>
          <cell r="AJ473" t="str">
            <v>Đ</v>
          </cell>
          <cell r="AN473">
            <v>72</v>
          </cell>
          <cell r="AO473">
            <v>112</v>
          </cell>
          <cell r="AP473">
            <v>0</v>
          </cell>
          <cell r="AQ473">
            <v>0</v>
          </cell>
          <cell r="AR473">
            <v>0</v>
          </cell>
          <cell r="AS473">
            <v>0</v>
          </cell>
          <cell r="AT473">
            <v>0</v>
          </cell>
          <cell r="AU473">
            <v>0</v>
          </cell>
          <cell r="AV473">
            <v>0</v>
          </cell>
          <cell r="AW473">
            <v>0</v>
          </cell>
          <cell r="AX473">
            <v>0</v>
          </cell>
          <cell r="AY473">
            <v>0</v>
          </cell>
          <cell r="AZ473">
            <v>0</v>
          </cell>
          <cell r="BA473">
            <v>8</v>
          </cell>
          <cell r="BB473">
            <v>0</v>
          </cell>
          <cell r="BC473">
            <v>0</v>
          </cell>
          <cell r="BD473">
            <v>0</v>
          </cell>
          <cell r="BE473">
            <v>0</v>
          </cell>
          <cell r="BF473">
            <v>0</v>
          </cell>
          <cell r="BG473">
            <v>192</v>
          </cell>
          <cell r="BH473">
            <v>1</v>
          </cell>
          <cell r="BI473">
            <v>1</v>
          </cell>
          <cell r="BJ473">
            <v>-1</v>
          </cell>
          <cell r="BL473">
            <v>4</v>
          </cell>
          <cell r="BM473">
            <v>4</v>
          </cell>
          <cell r="BN473">
            <v>4</v>
          </cell>
          <cell r="BO473">
            <v>12</v>
          </cell>
          <cell r="BP473">
            <v>0</v>
          </cell>
          <cell r="BQ473">
            <v>3</v>
          </cell>
          <cell r="BR473">
            <v>4</v>
          </cell>
          <cell r="BS473">
            <v>4</v>
          </cell>
          <cell r="BT473">
            <v>4</v>
          </cell>
          <cell r="BU473">
            <v>4</v>
          </cell>
          <cell r="BV473">
            <v>12</v>
          </cell>
          <cell r="BW473">
            <v>4</v>
          </cell>
          <cell r="BX473">
            <v>0</v>
          </cell>
          <cell r="BY473">
            <v>4</v>
          </cell>
          <cell r="BZ473">
            <v>4</v>
          </cell>
          <cell r="CA473">
            <v>4</v>
          </cell>
          <cell r="CB473">
            <v>4</v>
          </cell>
          <cell r="CC473" t="str">
            <v>12Đ</v>
          </cell>
          <cell r="CD473">
            <v>4</v>
          </cell>
          <cell r="CE473">
            <v>4</v>
          </cell>
          <cell r="CF473">
            <v>4</v>
          </cell>
          <cell r="CG473">
            <v>4</v>
          </cell>
          <cell r="CH473">
            <v>4</v>
          </cell>
          <cell r="CI473">
            <v>4</v>
          </cell>
          <cell r="CJ473" t="str">
            <v>12Đ</v>
          </cell>
          <cell r="CK473">
            <v>4</v>
          </cell>
          <cell r="CL473">
            <v>0</v>
          </cell>
          <cell r="CM473">
            <v>4</v>
          </cell>
          <cell r="CR473">
            <v>0</v>
          </cell>
          <cell r="CS473">
            <v>0</v>
          </cell>
          <cell r="CT473">
            <v>83</v>
          </cell>
          <cell r="CU473">
            <v>32</v>
          </cell>
          <cell r="CV473">
            <v>16</v>
          </cell>
          <cell r="CZ473">
            <v>131</v>
          </cell>
        </row>
        <row r="474">
          <cell r="C474" t="str">
            <v>03376</v>
          </cell>
          <cell r="D474" t="str">
            <v>Ngô Vũ Luân</v>
          </cell>
          <cell r="E474" t="str">
            <v>Foaming</v>
          </cell>
          <cell r="F474" t="str">
            <v>FOAMING Rectangular</v>
          </cell>
          <cell r="G474" t="str">
            <v>Skilled worker</v>
          </cell>
          <cell r="H474">
            <v>44634</v>
          </cell>
          <cell r="I474" t="str">
            <v>Đ</v>
          </cell>
          <cell r="J474" t="str">
            <v>Đ</v>
          </cell>
          <cell r="K474" t="str">
            <v>Đ</v>
          </cell>
          <cell r="L474" t="str">
            <v>CN</v>
          </cell>
          <cell r="M474" t="str">
            <v>Đ</v>
          </cell>
          <cell r="N474" t="str">
            <v>Đ</v>
          </cell>
          <cell r="O474" t="str">
            <v>Đ</v>
          </cell>
          <cell r="P474" t="str">
            <v>Đ</v>
          </cell>
          <cell r="Q474" t="str">
            <v>Đ</v>
          </cell>
          <cell r="R474" t="str">
            <v>Đ</v>
          </cell>
          <cell r="S474" t="str">
            <v>CN</v>
          </cell>
          <cell r="T474" t="str">
            <v>Đ</v>
          </cell>
          <cell r="U474" t="str">
            <v>Đ</v>
          </cell>
          <cell r="V474" t="str">
            <v>Đ</v>
          </cell>
          <cell r="W474" t="str">
            <v>Đ</v>
          </cell>
          <cell r="X474" t="str">
            <v>Đ</v>
          </cell>
          <cell r="Y474" t="str">
            <v>Đ</v>
          </cell>
          <cell r="Z474" t="str">
            <v>CN</v>
          </cell>
          <cell r="AA474">
            <v>8</v>
          </cell>
          <cell r="AB474">
            <v>8</v>
          </cell>
          <cell r="AC474">
            <v>8</v>
          </cell>
          <cell r="AD474">
            <v>8</v>
          </cell>
          <cell r="AE474">
            <v>8</v>
          </cell>
          <cell r="AF474">
            <v>8</v>
          </cell>
          <cell r="AG474" t="str">
            <v>CN</v>
          </cell>
          <cell r="AH474">
            <v>8</v>
          </cell>
          <cell r="AI474">
            <v>8</v>
          </cell>
          <cell r="AJ474">
            <v>8</v>
          </cell>
          <cell r="AN474">
            <v>120</v>
          </cell>
          <cell r="AO474">
            <v>72</v>
          </cell>
          <cell r="AP474">
            <v>0</v>
          </cell>
          <cell r="AQ474">
            <v>0</v>
          </cell>
          <cell r="AR474">
            <v>0</v>
          </cell>
          <cell r="AS474">
            <v>0</v>
          </cell>
          <cell r="AT474">
            <v>0</v>
          </cell>
          <cell r="AU474">
            <v>0</v>
          </cell>
          <cell r="AV474">
            <v>0</v>
          </cell>
          <cell r="AW474">
            <v>0</v>
          </cell>
          <cell r="AX474">
            <v>0</v>
          </cell>
          <cell r="AY474">
            <v>0</v>
          </cell>
          <cell r="AZ474">
            <v>0</v>
          </cell>
          <cell r="BA474">
            <v>0</v>
          </cell>
          <cell r="BB474">
            <v>0</v>
          </cell>
          <cell r="BC474">
            <v>0</v>
          </cell>
          <cell r="BD474">
            <v>0</v>
          </cell>
          <cell r="BE474">
            <v>0</v>
          </cell>
          <cell r="BF474">
            <v>0</v>
          </cell>
          <cell r="BG474">
            <v>192</v>
          </cell>
          <cell r="BH474">
            <v>0</v>
          </cell>
          <cell r="BI474">
            <v>0</v>
          </cell>
          <cell r="BJ474">
            <v>0.5</v>
          </cell>
          <cell r="BL474">
            <v>4</v>
          </cell>
          <cell r="BM474">
            <v>4</v>
          </cell>
          <cell r="BN474">
            <v>4</v>
          </cell>
          <cell r="BO474" t="str">
            <v>12Đ</v>
          </cell>
          <cell r="BP474">
            <v>0</v>
          </cell>
          <cell r="BQ474">
            <v>4</v>
          </cell>
          <cell r="BR474">
            <v>4</v>
          </cell>
          <cell r="BS474">
            <v>4</v>
          </cell>
          <cell r="BT474">
            <v>4</v>
          </cell>
          <cell r="BU474">
            <v>4</v>
          </cell>
          <cell r="BV474" t="str">
            <v>12Đ</v>
          </cell>
          <cell r="BW474">
            <v>3</v>
          </cell>
          <cell r="BX474">
            <v>4</v>
          </cell>
          <cell r="BY474">
            <v>4</v>
          </cell>
          <cell r="BZ474">
            <v>4</v>
          </cell>
          <cell r="CA474">
            <v>4</v>
          </cell>
          <cell r="CB474">
            <v>3</v>
          </cell>
          <cell r="CC474">
            <v>0</v>
          </cell>
          <cell r="CD474">
            <v>4</v>
          </cell>
          <cell r="CE474">
            <v>4</v>
          </cell>
          <cell r="CF474">
            <v>4</v>
          </cell>
          <cell r="CG474">
            <v>4</v>
          </cell>
          <cell r="CH474">
            <v>4</v>
          </cell>
          <cell r="CI474">
            <v>4</v>
          </cell>
          <cell r="CJ474">
            <v>12</v>
          </cell>
          <cell r="CK474">
            <v>4</v>
          </cell>
          <cell r="CL474">
            <v>0</v>
          </cell>
          <cell r="CM474">
            <v>4</v>
          </cell>
          <cell r="CR474">
            <v>0</v>
          </cell>
          <cell r="CS474">
            <v>0</v>
          </cell>
          <cell r="CT474">
            <v>86</v>
          </cell>
          <cell r="CU474">
            <v>20</v>
          </cell>
          <cell r="CV474">
            <v>16</v>
          </cell>
          <cell r="CZ474">
            <v>122</v>
          </cell>
        </row>
        <row r="475">
          <cell r="C475" t="str">
            <v>03394</v>
          </cell>
          <cell r="D475" t="str">
            <v>Trần Thị Thúy Vi</v>
          </cell>
          <cell r="E475" t="str">
            <v>HR &amp; Admin</v>
          </cell>
          <cell r="F475" t="str">
            <v>HR</v>
          </cell>
          <cell r="G475" t="str">
            <v>Associate Specialist</v>
          </cell>
          <cell r="H475">
            <v>44643</v>
          </cell>
          <cell r="I475">
            <v>8</v>
          </cell>
          <cell r="J475">
            <v>8</v>
          </cell>
          <cell r="K475" t="str">
            <v>PO</v>
          </cell>
          <cell r="L475" t="str">
            <v>CN</v>
          </cell>
          <cell r="M475">
            <v>8</v>
          </cell>
          <cell r="N475">
            <v>8</v>
          </cell>
          <cell r="O475" t="str">
            <v>AL8</v>
          </cell>
          <cell r="P475">
            <v>8</v>
          </cell>
          <cell r="Q475" t="str">
            <v>PO</v>
          </cell>
          <cell r="R475" t="str">
            <v>PO</v>
          </cell>
          <cell r="S475" t="str">
            <v>CN</v>
          </cell>
          <cell r="T475">
            <v>8</v>
          </cell>
          <cell r="U475">
            <v>8</v>
          </cell>
          <cell r="V475">
            <v>8</v>
          </cell>
          <cell r="W475" t="str">
            <v>AL4</v>
          </cell>
          <cell r="X475">
            <v>8</v>
          </cell>
          <cell r="Y475" t="str">
            <v>PO</v>
          </cell>
          <cell r="Z475" t="str">
            <v>CN</v>
          </cell>
          <cell r="AA475">
            <v>8</v>
          </cell>
          <cell r="AB475">
            <v>8</v>
          </cell>
          <cell r="AC475">
            <v>8</v>
          </cell>
          <cell r="AD475">
            <v>8</v>
          </cell>
          <cell r="AE475">
            <v>8</v>
          </cell>
          <cell r="AF475" t="str">
            <v>PO</v>
          </cell>
          <cell r="AG475" t="str">
            <v>CN</v>
          </cell>
          <cell r="AH475">
            <v>8</v>
          </cell>
          <cell r="AI475">
            <v>8</v>
          </cell>
          <cell r="AJ475">
            <v>8</v>
          </cell>
          <cell r="AN475">
            <v>0</v>
          </cell>
          <cell r="AO475">
            <v>140</v>
          </cell>
          <cell r="AP475">
            <v>4</v>
          </cell>
          <cell r="AQ475">
            <v>0</v>
          </cell>
          <cell r="AR475">
            <v>0</v>
          </cell>
          <cell r="AS475">
            <v>0</v>
          </cell>
          <cell r="AT475">
            <v>0</v>
          </cell>
          <cell r="AU475">
            <v>0</v>
          </cell>
          <cell r="AV475">
            <v>40</v>
          </cell>
          <cell r="AW475">
            <v>0</v>
          </cell>
          <cell r="AX475">
            <v>0</v>
          </cell>
          <cell r="AY475">
            <v>0</v>
          </cell>
          <cell r="AZ475">
            <v>0</v>
          </cell>
          <cell r="BA475">
            <v>12</v>
          </cell>
          <cell r="BB475">
            <v>0</v>
          </cell>
          <cell r="BC475">
            <v>0</v>
          </cell>
          <cell r="BD475">
            <v>0</v>
          </cell>
          <cell r="BE475">
            <v>0</v>
          </cell>
          <cell r="BF475">
            <v>0</v>
          </cell>
          <cell r="BG475">
            <v>192</v>
          </cell>
          <cell r="BH475">
            <v>1.5</v>
          </cell>
          <cell r="BI475">
            <v>1.5</v>
          </cell>
          <cell r="BJ475">
            <v>4</v>
          </cell>
          <cell r="BL475">
            <v>0</v>
          </cell>
          <cell r="BM475">
            <v>0</v>
          </cell>
          <cell r="BN475">
            <v>0</v>
          </cell>
          <cell r="BO475">
            <v>0</v>
          </cell>
          <cell r="BP475">
            <v>0</v>
          </cell>
          <cell r="BQ475">
            <v>0</v>
          </cell>
          <cell r="BR475">
            <v>0</v>
          </cell>
          <cell r="BS475">
            <v>0</v>
          </cell>
          <cell r="BT475">
            <v>0</v>
          </cell>
          <cell r="BU475">
            <v>0</v>
          </cell>
          <cell r="BV475">
            <v>0</v>
          </cell>
          <cell r="BW475">
            <v>0</v>
          </cell>
          <cell r="BX475">
            <v>0</v>
          </cell>
          <cell r="BY475">
            <v>0</v>
          </cell>
          <cell r="BZ475">
            <v>0</v>
          </cell>
          <cell r="CA475">
            <v>0</v>
          </cell>
          <cell r="CB475">
            <v>0</v>
          </cell>
          <cell r="CC475">
            <v>0</v>
          </cell>
          <cell r="CD475">
            <v>0</v>
          </cell>
          <cell r="CE475">
            <v>0</v>
          </cell>
          <cell r="CF475">
            <v>0</v>
          </cell>
          <cell r="CG475">
            <v>0</v>
          </cell>
          <cell r="CH475">
            <v>0</v>
          </cell>
          <cell r="CI475">
            <v>0</v>
          </cell>
          <cell r="CJ475">
            <v>0</v>
          </cell>
          <cell r="CK475">
            <v>0</v>
          </cell>
          <cell r="CL475">
            <v>0</v>
          </cell>
          <cell r="CM475">
            <v>0</v>
          </cell>
          <cell r="CR475">
            <v>0</v>
          </cell>
          <cell r="CS475">
            <v>0</v>
          </cell>
          <cell r="CT475">
            <v>0</v>
          </cell>
          <cell r="CU475">
            <v>0</v>
          </cell>
          <cell r="CV475">
            <v>0</v>
          </cell>
          <cell r="CZ475">
            <v>0</v>
          </cell>
        </row>
        <row r="476">
          <cell r="C476" t="str">
            <v>03397</v>
          </cell>
          <cell r="D476" t="str">
            <v>Nguyễn Ngọc Thìn</v>
          </cell>
          <cell r="E476" t="str">
            <v>Production</v>
          </cell>
          <cell r="F476" t="str">
            <v>Molding</v>
          </cell>
          <cell r="G476" t="str">
            <v>Worker</v>
          </cell>
          <cell r="H476">
            <v>44648</v>
          </cell>
          <cell r="I476" t="str">
            <v>Đ</v>
          </cell>
          <cell r="J476" t="str">
            <v>Đ</v>
          </cell>
          <cell r="K476" t="str">
            <v>CN</v>
          </cell>
          <cell r="L476">
            <v>8</v>
          </cell>
          <cell r="M476">
            <v>8</v>
          </cell>
          <cell r="N476">
            <v>8</v>
          </cell>
          <cell r="O476">
            <v>8</v>
          </cell>
          <cell r="P476">
            <v>8</v>
          </cell>
          <cell r="Q476">
            <v>8</v>
          </cell>
          <cell r="R476" t="str">
            <v>CN</v>
          </cell>
          <cell r="S476" t="str">
            <v>Đ</v>
          </cell>
          <cell r="T476" t="str">
            <v>Đ</v>
          </cell>
          <cell r="U476" t="str">
            <v>Đ</v>
          </cell>
          <cell r="V476" t="str">
            <v>Đ</v>
          </cell>
          <cell r="W476" t="str">
            <v>Đ</v>
          </cell>
          <cell r="X476" t="str">
            <v>Đ</v>
          </cell>
          <cell r="Y476" t="str">
            <v>CN</v>
          </cell>
          <cell r="Z476">
            <v>8</v>
          </cell>
          <cell r="AA476" t="str">
            <v>AL8</v>
          </cell>
          <cell r="AB476">
            <v>8</v>
          </cell>
          <cell r="AC476">
            <v>8</v>
          </cell>
          <cell r="AD476">
            <v>8</v>
          </cell>
          <cell r="AE476">
            <v>8</v>
          </cell>
          <cell r="AF476" t="str">
            <v>CN</v>
          </cell>
          <cell r="AG476" t="str">
            <v>Đ</v>
          </cell>
          <cell r="AH476" t="str">
            <v>Đ</v>
          </cell>
          <cell r="AI476" t="str">
            <v>Đ</v>
          </cell>
          <cell r="AJ476" t="str">
            <v>Đ</v>
          </cell>
          <cell r="AN476">
            <v>96</v>
          </cell>
          <cell r="AO476">
            <v>88</v>
          </cell>
          <cell r="AP476">
            <v>0</v>
          </cell>
          <cell r="AQ476">
            <v>0</v>
          </cell>
          <cell r="AR476">
            <v>0</v>
          </cell>
          <cell r="AS476">
            <v>0</v>
          </cell>
          <cell r="AT476">
            <v>0</v>
          </cell>
          <cell r="AU476">
            <v>0</v>
          </cell>
          <cell r="AV476">
            <v>0</v>
          </cell>
          <cell r="AW476">
            <v>0</v>
          </cell>
          <cell r="AX476">
            <v>0</v>
          </cell>
          <cell r="AY476">
            <v>0</v>
          </cell>
          <cell r="AZ476">
            <v>0</v>
          </cell>
          <cell r="BA476">
            <v>8</v>
          </cell>
          <cell r="BB476">
            <v>0</v>
          </cell>
          <cell r="BC476">
            <v>0</v>
          </cell>
          <cell r="BD476">
            <v>0</v>
          </cell>
          <cell r="BE476">
            <v>0</v>
          </cell>
          <cell r="BF476">
            <v>0</v>
          </cell>
          <cell r="BG476">
            <v>192</v>
          </cell>
          <cell r="BH476">
            <v>1</v>
          </cell>
          <cell r="BI476">
            <v>1</v>
          </cell>
          <cell r="BJ476">
            <v>4</v>
          </cell>
          <cell r="BL476">
            <v>0</v>
          </cell>
          <cell r="BM476">
            <v>0</v>
          </cell>
          <cell r="BN476">
            <v>0</v>
          </cell>
          <cell r="BO476">
            <v>4</v>
          </cell>
          <cell r="BP476">
            <v>0</v>
          </cell>
          <cell r="BQ476">
            <v>0</v>
          </cell>
          <cell r="BR476">
            <v>0</v>
          </cell>
          <cell r="BS476">
            <v>0</v>
          </cell>
          <cell r="BT476">
            <v>4</v>
          </cell>
          <cell r="BU476">
            <v>0</v>
          </cell>
          <cell r="BV476">
            <v>4</v>
          </cell>
          <cell r="BW476">
            <v>0</v>
          </cell>
          <cell r="BX476">
            <v>4</v>
          </cell>
          <cell r="BY476">
            <v>0</v>
          </cell>
          <cell r="BZ476">
            <v>0</v>
          </cell>
          <cell r="CA476">
            <v>4</v>
          </cell>
          <cell r="CB476">
            <v>0</v>
          </cell>
          <cell r="CC476">
            <v>4</v>
          </cell>
          <cell r="CD476">
            <v>0</v>
          </cell>
          <cell r="CE476">
            <v>0</v>
          </cell>
          <cell r="CF476">
            <v>0</v>
          </cell>
          <cell r="CG476">
            <v>0</v>
          </cell>
          <cell r="CH476">
            <v>4</v>
          </cell>
          <cell r="CI476">
            <v>0</v>
          </cell>
          <cell r="CJ476">
            <v>4</v>
          </cell>
          <cell r="CK476">
            <v>0</v>
          </cell>
          <cell r="CL476">
            <v>4</v>
          </cell>
          <cell r="CM476">
            <v>0</v>
          </cell>
          <cell r="CR476">
            <v>0</v>
          </cell>
          <cell r="CS476">
            <v>0</v>
          </cell>
          <cell r="CT476">
            <v>36</v>
          </cell>
          <cell r="CU476">
            <v>0</v>
          </cell>
          <cell r="CV476">
            <v>0</v>
          </cell>
          <cell r="CZ476">
            <v>36</v>
          </cell>
        </row>
        <row r="477">
          <cell r="C477" t="str">
            <v>03399</v>
          </cell>
          <cell r="D477" t="str">
            <v>Lê Xuân Thắng</v>
          </cell>
          <cell r="E477" t="str">
            <v>Production</v>
          </cell>
          <cell r="F477" t="str">
            <v>Molding</v>
          </cell>
          <cell r="G477" t="str">
            <v>Team Leader</v>
          </cell>
          <cell r="H477">
            <v>44648</v>
          </cell>
          <cell r="I477" t="str">
            <v>Đ</v>
          </cell>
          <cell r="J477" t="str">
            <v>Đ</v>
          </cell>
          <cell r="K477" t="str">
            <v>CN</v>
          </cell>
          <cell r="L477">
            <v>8</v>
          </cell>
          <cell r="M477">
            <v>8</v>
          </cell>
          <cell r="N477">
            <v>8</v>
          </cell>
          <cell r="O477">
            <v>8</v>
          </cell>
          <cell r="P477">
            <v>8</v>
          </cell>
          <cell r="Q477" t="str">
            <v>PO</v>
          </cell>
          <cell r="R477" t="str">
            <v>CN</v>
          </cell>
          <cell r="S477" t="str">
            <v>Đ</v>
          </cell>
          <cell r="T477" t="str">
            <v>Đ</v>
          </cell>
          <cell r="U477" t="str">
            <v>Đ</v>
          </cell>
          <cell r="V477" t="str">
            <v>Đ</v>
          </cell>
          <cell r="W477" t="str">
            <v>Đ</v>
          </cell>
          <cell r="X477" t="str">
            <v>Đ</v>
          </cell>
          <cell r="Y477" t="str">
            <v>CN</v>
          </cell>
          <cell r="Z477">
            <v>8</v>
          </cell>
          <cell r="AA477">
            <v>8</v>
          </cell>
          <cell r="AB477">
            <v>8</v>
          </cell>
          <cell r="AC477">
            <v>8</v>
          </cell>
          <cell r="AD477">
            <v>8</v>
          </cell>
          <cell r="AE477">
            <v>8</v>
          </cell>
          <cell r="AF477" t="str">
            <v>CN</v>
          </cell>
          <cell r="AG477" t="str">
            <v>Đ</v>
          </cell>
          <cell r="AH477" t="str">
            <v>Đ</v>
          </cell>
          <cell r="AI477" t="str">
            <v>Đ</v>
          </cell>
          <cell r="AJ477" t="str">
            <v>Đ</v>
          </cell>
          <cell r="AN477">
            <v>96</v>
          </cell>
          <cell r="AO477">
            <v>88</v>
          </cell>
          <cell r="AP477">
            <v>0</v>
          </cell>
          <cell r="AQ477">
            <v>0</v>
          </cell>
          <cell r="AR477">
            <v>0</v>
          </cell>
          <cell r="AS477">
            <v>0</v>
          </cell>
          <cell r="AT477">
            <v>0</v>
          </cell>
          <cell r="AU477">
            <v>0</v>
          </cell>
          <cell r="AV477">
            <v>8</v>
          </cell>
          <cell r="AW477">
            <v>0</v>
          </cell>
          <cell r="AX477">
            <v>0</v>
          </cell>
          <cell r="AY477">
            <v>0</v>
          </cell>
          <cell r="AZ477">
            <v>0</v>
          </cell>
          <cell r="BA477">
            <v>0</v>
          </cell>
          <cell r="BB477">
            <v>0</v>
          </cell>
          <cell r="BC477">
            <v>0</v>
          </cell>
          <cell r="BD477">
            <v>0</v>
          </cell>
          <cell r="BE477">
            <v>0</v>
          </cell>
          <cell r="BF477">
            <v>0</v>
          </cell>
          <cell r="BG477">
            <v>192</v>
          </cell>
          <cell r="BH477">
            <v>0</v>
          </cell>
          <cell r="BI477">
            <v>0</v>
          </cell>
          <cell r="BJ477">
            <v>4</v>
          </cell>
          <cell r="BL477">
            <v>4</v>
          </cell>
          <cell r="BM477">
            <v>2</v>
          </cell>
          <cell r="BN477">
            <v>0</v>
          </cell>
          <cell r="BO477">
            <v>4</v>
          </cell>
          <cell r="BP477">
            <v>4</v>
          </cell>
          <cell r="BQ477">
            <v>4</v>
          </cell>
          <cell r="BR477">
            <v>0</v>
          </cell>
          <cell r="BS477">
            <v>0</v>
          </cell>
          <cell r="BT477">
            <v>0</v>
          </cell>
          <cell r="BU477">
            <v>0</v>
          </cell>
          <cell r="BV477">
            <v>4</v>
          </cell>
          <cell r="BW477">
            <v>0</v>
          </cell>
          <cell r="BX477">
            <v>4</v>
          </cell>
          <cell r="BY477">
            <v>0</v>
          </cell>
          <cell r="BZ477">
            <v>0</v>
          </cell>
          <cell r="CA477">
            <v>4</v>
          </cell>
          <cell r="CB477">
            <v>0</v>
          </cell>
          <cell r="CC477">
            <v>4</v>
          </cell>
          <cell r="CD477">
            <v>0</v>
          </cell>
          <cell r="CE477">
            <v>0</v>
          </cell>
          <cell r="CF477">
            <v>0</v>
          </cell>
          <cell r="CG477">
            <v>4</v>
          </cell>
          <cell r="CH477">
            <v>2</v>
          </cell>
          <cell r="CI477">
            <v>0</v>
          </cell>
          <cell r="CJ477">
            <v>3</v>
          </cell>
          <cell r="CK477">
            <v>0</v>
          </cell>
          <cell r="CL477">
            <v>2</v>
          </cell>
          <cell r="CM477">
            <v>0</v>
          </cell>
          <cell r="CR477">
            <v>0</v>
          </cell>
          <cell r="CS477">
            <v>0</v>
          </cell>
          <cell r="CT477">
            <v>45</v>
          </cell>
          <cell r="CU477">
            <v>0</v>
          </cell>
          <cell r="CV477">
            <v>0</v>
          </cell>
          <cell r="CZ477">
            <v>45</v>
          </cell>
        </row>
        <row r="478">
          <cell r="C478" t="str">
            <v>03400</v>
          </cell>
          <cell r="D478" t="str">
            <v xml:space="preserve">Phạm Thị Ánh Tuyết </v>
          </cell>
          <cell r="E478" t="str">
            <v>Production</v>
          </cell>
          <cell r="F478" t="str">
            <v>Packing</v>
          </cell>
          <cell r="G478" t="str">
            <v>Worker</v>
          </cell>
          <cell r="H478">
            <v>44648</v>
          </cell>
          <cell r="I478" t="str">
            <v>AL4</v>
          </cell>
          <cell r="J478">
            <v>8</v>
          </cell>
          <cell r="K478">
            <v>8</v>
          </cell>
          <cell r="L478" t="str">
            <v>CN</v>
          </cell>
          <cell r="M478">
            <v>8</v>
          </cell>
          <cell r="N478">
            <v>8</v>
          </cell>
          <cell r="O478">
            <v>8</v>
          </cell>
          <cell r="P478">
            <v>8</v>
          </cell>
          <cell r="Q478">
            <v>8</v>
          </cell>
          <cell r="R478">
            <v>8</v>
          </cell>
          <cell r="S478" t="str">
            <v>CN</v>
          </cell>
          <cell r="T478">
            <v>8</v>
          </cell>
          <cell r="U478">
            <v>8</v>
          </cell>
          <cell r="V478">
            <v>8</v>
          </cell>
          <cell r="W478">
            <v>8</v>
          </cell>
          <cell r="X478">
            <v>8</v>
          </cell>
          <cell r="Y478">
            <v>8</v>
          </cell>
          <cell r="Z478" t="str">
            <v>CN</v>
          </cell>
          <cell r="AA478">
            <v>8</v>
          </cell>
          <cell r="AB478">
            <v>8</v>
          </cell>
          <cell r="AC478">
            <v>8</v>
          </cell>
          <cell r="AD478">
            <v>8</v>
          </cell>
          <cell r="AE478">
            <v>8</v>
          </cell>
          <cell r="AF478">
            <v>8</v>
          </cell>
          <cell r="AG478" t="str">
            <v>CN</v>
          </cell>
          <cell r="AH478">
            <v>8</v>
          </cell>
          <cell r="AI478">
            <v>8</v>
          </cell>
          <cell r="AJ478">
            <v>8</v>
          </cell>
          <cell r="AN478">
            <v>0</v>
          </cell>
          <cell r="AO478">
            <v>188</v>
          </cell>
          <cell r="AP478">
            <v>4</v>
          </cell>
          <cell r="AQ478">
            <v>0</v>
          </cell>
          <cell r="AR478">
            <v>0</v>
          </cell>
          <cell r="AS478">
            <v>0</v>
          </cell>
          <cell r="AT478">
            <v>0</v>
          </cell>
          <cell r="AU478">
            <v>0</v>
          </cell>
          <cell r="AV478">
            <v>0</v>
          </cell>
          <cell r="AW478">
            <v>0</v>
          </cell>
          <cell r="AX478">
            <v>0</v>
          </cell>
          <cell r="AY478">
            <v>0</v>
          </cell>
          <cell r="AZ478">
            <v>0</v>
          </cell>
          <cell r="BA478">
            <v>4</v>
          </cell>
          <cell r="BB478">
            <v>0</v>
          </cell>
          <cell r="BC478">
            <v>0</v>
          </cell>
          <cell r="BD478">
            <v>0</v>
          </cell>
          <cell r="BE478">
            <v>0</v>
          </cell>
          <cell r="BF478">
            <v>0</v>
          </cell>
          <cell r="BG478">
            <v>192</v>
          </cell>
          <cell r="BH478">
            <v>0.5</v>
          </cell>
          <cell r="BI478">
            <v>0.5</v>
          </cell>
          <cell r="BJ478">
            <v>4.5</v>
          </cell>
          <cell r="BL478">
            <v>0</v>
          </cell>
          <cell r="BM478">
            <v>1.5</v>
          </cell>
          <cell r="BN478">
            <v>0</v>
          </cell>
          <cell r="BO478">
            <v>0</v>
          </cell>
          <cell r="BP478">
            <v>3</v>
          </cell>
          <cell r="BQ478">
            <v>1.5</v>
          </cell>
          <cell r="BR478">
            <v>1.5</v>
          </cell>
          <cell r="BS478">
            <v>1.5</v>
          </cell>
          <cell r="BT478">
            <v>1.5</v>
          </cell>
          <cell r="BU478">
            <v>1.5</v>
          </cell>
          <cell r="BV478">
            <v>0</v>
          </cell>
          <cell r="BW478">
            <v>3</v>
          </cell>
          <cell r="BX478">
            <v>1.5</v>
          </cell>
          <cell r="BY478">
            <v>1.5</v>
          </cell>
          <cell r="BZ478">
            <v>3</v>
          </cell>
          <cell r="CA478">
            <v>1.5</v>
          </cell>
          <cell r="CB478">
            <v>0</v>
          </cell>
          <cell r="CC478">
            <v>0</v>
          </cell>
          <cell r="CD478">
            <v>3</v>
          </cell>
          <cell r="CE478">
            <v>3</v>
          </cell>
          <cell r="CF478">
            <v>3</v>
          </cell>
          <cell r="CG478">
            <v>3</v>
          </cell>
          <cell r="CH478">
            <v>3</v>
          </cell>
          <cell r="CI478">
            <v>0</v>
          </cell>
          <cell r="CJ478">
            <v>0</v>
          </cell>
          <cell r="CK478">
            <v>3</v>
          </cell>
          <cell r="CL478">
            <v>3</v>
          </cell>
          <cell r="CM478">
            <v>3</v>
          </cell>
          <cell r="CR478">
            <v>0</v>
          </cell>
          <cell r="CS478">
            <v>0</v>
          </cell>
          <cell r="CT478">
            <v>46.5</v>
          </cell>
          <cell r="CU478">
            <v>0</v>
          </cell>
          <cell r="CV478">
            <v>0</v>
          </cell>
          <cell r="CZ478">
            <v>46.5</v>
          </cell>
        </row>
        <row r="479">
          <cell r="C479" t="str">
            <v>03404</v>
          </cell>
          <cell r="D479" t="str">
            <v>Ngô Tấn Hạnh</v>
          </cell>
          <cell r="E479" t="str">
            <v>Production</v>
          </cell>
          <cell r="F479" t="str">
            <v>Packing</v>
          </cell>
          <cell r="G479" t="str">
            <v>Worker</v>
          </cell>
          <cell r="H479">
            <v>44648</v>
          </cell>
          <cell r="I479" t="str">
            <v>Đ</v>
          </cell>
          <cell r="J479" t="str">
            <v>Đ</v>
          </cell>
          <cell r="K479" t="str">
            <v>Đ</v>
          </cell>
          <cell r="L479" t="str">
            <v>CN</v>
          </cell>
          <cell r="M479">
            <v>8</v>
          </cell>
          <cell r="N479">
            <v>8</v>
          </cell>
          <cell r="O479">
            <v>8</v>
          </cell>
          <cell r="P479">
            <v>8</v>
          </cell>
          <cell r="Q479">
            <v>8</v>
          </cell>
          <cell r="R479">
            <v>8</v>
          </cell>
          <cell r="S479" t="str">
            <v>CN</v>
          </cell>
          <cell r="T479" t="str">
            <v>Đ</v>
          </cell>
          <cell r="U479" t="str">
            <v>Đ</v>
          </cell>
          <cell r="V479" t="str">
            <v>Đ</v>
          </cell>
          <cell r="W479" t="str">
            <v>Đ</v>
          </cell>
          <cell r="X479" t="str">
            <v>Đ</v>
          </cell>
          <cell r="Y479" t="str">
            <v>Đ</v>
          </cell>
          <cell r="Z479" t="str">
            <v>CN</v>
          </cell>
          <cell r="AA479">
            <v>8</v>
          </cell>
          <cell r="AB479">
            <v>8</v>
          </cell>
          <cell r="AC479">
            <v>8</v>
          </cell>
          <cell r="AD479">
            <v>8</v>
          </cell>
          <cell r="AE479">
            <v>8</v>
          </cell>
          <cell r="AF479">
            <v>8</v>
          </cell>
          <cell r="AG479" t="str">
            <v>CN</v>
          </cell>
          <cell r="AH479" t="str">
            <v>Đ</v>
          </cell>
          <cell r="AI479" t="str">
            <v>Đ</v>
          </cell>
          <cell r="AJ479" t="str">
            <v>Đ</v>
          </cell>
          <cell r="AN479">
            <v>96</v>
          </cell>
          <cell r="AO479">
            <v>96</v>
          </cell>
          <cell r="AP479">
            <v>0</v>
          </cell>
          <cell r="AQ479">
            <v>0</v>
          </cell>
          <cell r="AR479">
            <v>0</v>
          </cell>
          <cell r="AS479">
            <v>0</v>
          </cell>
          <cell r="AT479">
            <v>0</v>
          </cell>
          <cell r="AU479">
            <v>0</v>
          </cell>
          <cell r="AV479">
            <v>0</v>
          </cell>
          <cell r="AW479">
            <v>0</v>
          </cell>
          <cell r="AX479">
            <v>0</v>
          </cell>
          <cell r="AY479">
            <v>0</v>
          </cell>
          <cell r="AZ479">
            <v>0</v>
          </cell>
          <cell r="BA479">
            <v>0</v>
          </cell>
          <cell r="BB479">
            <v>0</v>
          </cell>
          <cell r="BC479">
            <v>0</v>
          </cell>
          <cell r="BD479">
            <v>0</v>
          </cell>
          <cell r="BE479">
            <v>0</v>
          </cell>
          <cell r="BF479">
            <v>0</v>
          </cell>
          <cell r="BG479">
            <v>192</v>
          </cell>
          <cell r="BH479">
            <v>0</v>
          </cell>
          <cell r="BI479">
            <v>0</v>
          </cell>
          <cell r="BJ479">
            <v>7</v>
          </cell>
          <cell r="BL479">
            <v>1.5</v>
          </cell>
          <cell r="BM479">
            <v>4</v>
          </cell>
          <cell r="BN479">
            <v>0</v>
          </cell>
          <cell r="BO479">
            <v>0</v>
          </cell>
          <cell r="BP479">
            <v>1.5</v>
          </cell>
          <cell r="BQ479">
            <v>0</v>
          </cell>
          <cell r="BR479">
            <v>0</v>
          </cell>
          <cell r="BS479">
            <v>3</v>
          </cell>
          <cell r="BT479">
            <v>3</v>
          </cell>
          <cell r="BU479">
            <v>3</v>
          </cell>
          <cell r="BV479">
            <v>0</v>
          </cell>
          <cell r="BW479">
            <v>4</v>
          </cell>
          <cell r="BX479">
            <v>4</v>
          </cell>
          <cell r="BY479">
            <v>4</v>
          </cell>
          <cell r="BZ479">
            <v>4</v>
          </cell>
          <cell r="CA479">
            <v>4</v>
          </cell>
          <cell r="CB479">
            <v>4</v>
          </cell>
          <cell r="CC479">
            <v>0</v>
          </cell>
          <cell r="CD479">
            <v>3</v>
          </cell>
          <cell r="CE479">
            <v>3</v>
          </cell>
          <cell r="CF479">
            <v>3</v>
          </cell>
          <cell r="CG479">
            <v>3</v>
          </cell>
          <cell r="CH479">
            <v>3</v>
          </cell>
          <cell r="CI479">
            <v>3</v>
          </cell>
          <cell r="CJ479">
            <v>11</v>
          </cell>
          <cell r="CK479">
            <v>4</v>
          </cell>
          <cell r="CL479">
            <v>4</v>
          </cell>
          <cell r="CM479">
            <v>4</v>
          </cell>
          <cell r="CR479">
            <v>0</v>
          </cell>
          <cell r="CS479">
            <v>0</v>
          </cell>
          <cell r="CT479">
            <v>70</v>
          </cell>
          <cell r="CU479">
            <v>11</v>
          </cell>
          <cell r="CV479">
            <v>0</v>
          </cell>
          <cell r="CZ479">
            <v>81</v>
          </cell>
        </row>
        <row r="480">
          <cell r="C480" t="str">
            <v>03406</v>
          </cell>
          <cell r="D480" t="str">
            <v>Ngô Thị Mỹ Xuyên</v>
          </cell>
          <cell r="E480" t="str">
            <v>Foaming</v>
          </cell>
          <cell r="F480" t="str">
            <v>FOAMING Splitting</v>
          </cell>
          <cell r="G480" t="str">
            <v>Worker</v>
          </cell>
          <cell r="H480">
            <v>44648</v>
          </cell>
          <cell r="I480" t="str">
            <v>UP8</v>
          </cell>
          <cell r="J480" t="str">
            <v>UP8</v>
          </cell>
          <cell r="K480" t="str">
            <v>UP8</v>
          </cell>
          <cell r="L480" t="str">
            <v>CN</v>
          </cell>
          <cell r="M480" t="str">
            <v>UP8</v>
          </cell>
          <cell r="N480" t="str">
            <v>UP8</v>
          </cell>
          <cell r="O480" t="str">
            <v>UP8</v>
          </cell>
          <cell r="P480" t="str">
            <v>UP8</v>
          </cell>
          <cell r="Q480" t="str">
            <v>TS</v>
          </cell>
          <cell r="R480" t="str">
            <v>TS</v>
          </cell>
          <cell r="S480" t="str">
            <v>CN</v>
          </cell>
          <cell r="T480" t="str">
            <v>TS</v>
          </cell>
          <cell r="U480" t="str">
            <v>TS</v>
          </cell>
          <cell r="V480" t="str">
            <v>TS</v>
          </cell>
          <cell r="W480" t="str">
            <v>TS</v>
          </cell>
          <cell r="X480" t="str">
            <v>TS</v>
          </cell>
          <cell r="Y480" t="str">
            <v>TS</v>
          </cell>
          <cell r="Z480" t="str">
            <v>CN</v>
          </cell>
          <cell r="AA480" t="str">
            <v>TS</v>
          </cell>
          <cell r="AB480" t="str">
            <v>TS</v>
          </cell>
          <cell r="AC480" t="str">
            <v>TS</v>
          </cell>
          <cell r="AD480" t="str">
            <v>TS</v>
          </cell>
          <cell r="AE480" t="str">
            <v>TS</v>
          </cell>
          <cell r="AF480" t="str">
            <v>TS</v>
          </cell>
          <cell r="AG480" t="str">
            <v>TS</v>
          </cell>
          <cell r="AH480" t="str">
            <v>TS</v>
          </cell>
          <cell r="AI480" t="str">
            <v>TS</v>
          </cell>
          <cell r="AJ480" t="str">
            <v>TS</v>
          </cell>
          <cell r="AN480">
            <v>0</v>
          </cell>
          <cell r="AO480">
            <v>0</v>
          </cell>
          <cell r="AP480">
            <v>0</v>
          </cell>
          <cell r="AQ480">
            <v>0</v>
          </cell>
          <cell r="AR480">
            <v>0</v>
          </cell>
          <cell r="AS480">
            <v>56</v>
          </cell>
          <cell r="AT480">
            <v>0</v>
          </cell>
          <cell r="AU480">
            <v>0</v>
          </cell>
          <cell r="AV480">
            <v>0</v>
          </cell>
          <cell r="AW480">
            <v>0</v>
          </cell>
          <cell r="AX480">
            <v>0</v>
          </cell>
          <cell r="AY480">
            <v>0</v>
          </cell>
          <cell r="AZ480">
            <v>0</v>
          </cell>
          <cell r="BA480">
            <v>0</v>
          </cell>
          <cell r="BB480">
            <v>0</v>
          </cell>
          <cell r="BC480">
            <v>0</v>
          </cell>
          <cell r="BD480">
            <v>0</v>
          </cell>
          <cell r="BE480">
            <v>0</v>
          </cell>
          <cell r="BF480">
            <v>0</v>
          </cell>
          <cell r="BG480">
            <v>0</v>
          </cell>
          <cell r="BH480">
            <v>0</v>
          </cell>
          <cell r="BI480">
            <v>0</v>
          </cell>
          <cell r="BJ480">
            <v>1</v>
          </cell>
          <cell r="BL480">
            <v>0</v>
          </cell>
          <cell r="BM480">
            <v>0</v>
          </cell>
          <cell r="BN480">
            <v>0</v>
          </cell>
          <cell r="BO480">
            <v>0</v>
          </cell>
          <cell r="BP480">
            <v>0</v>
          </cell>
          <cell r="BQ480">
            <v>0</v>
          </cell>
          <cell r="BR480">
            <v>0</v>
          </cell>
          <cell r="BS480">
            <v>0</v>
          </cell>
          <cell r="BT480">
            <v>0</v>
          </cell>
          <cell r="BU480">
            <v>0</v>
          </cell>
          <cell r="BV480">
            <v>0</v>
          </cell>
          <cell r="BW480">
            <v>0</v>
          </cell>
          <cell r="BX480">
            <v>0</v>
          </cell>
          <cell r="BY480">
            <v>0</v>
          </cell>
          <cell r="BZ480">
            <v>0</v>
          </cell>
          <cell r="CA480">
            <v>0</v>
          </cell>
          <cell r="CB480">
            <v>0</v>
          </cell>
          <cell r="CC480">
            <v>0</v>
          </cell>
          <cell r="CD480">
            <v>0</v>
          </cell>
          <cell r="CE480">
            <v>0</v>
          </cell>
          <cell r="CF480">
            <v>0</v>
          </cell>
          <cell r="CG480">
            <v>0</v>
          </cell>
          <cell r="CH480">
            <v>0</v>
          </cell>
          <cell r="CI480">
            <v>0</v>
          </cell>
          <cell r="CJ480">
            <v>0</v>
          </cell>
          <cell r="CK480">
            <v>0</v>
          </cell>
          <cell r="CL480">
            <v>0</v>
          </cell>
          <cell r="CM480">
            <v>0</v>
          </cell>
          <cell r="CR480">
            <v>0</v>
          </cell>
          <cell r="CS480">
            <v>0</v>
          </cell>
          <cell r="CT480">
            <v>0</v>
          </cell>
          <cell r="CU480">
            <v>0</v>
          </cell>
          <cell r="CV480">
            <v>0</v>
          </cell>
          <cell r="CZ480">
            <v>0</v>
          </cell>
        </row>
        <row r="481">
          <cell r="C481" t="str">
            <v>03420</v>
          </cell>
          <cell r="D481" t="str">
            <v>Phạm Thị Vân</v>
          </cell>
          <cell r="E481" t="str">
            <v>Production</v>
          </cell>
          <cell r="F481" t="str">
            <v>Logo</v>
          </cell>
          <cell r="G481" t="str">
            <v>Worker</v>
          </cell>
          <cell r="H481">
            <v>44655</v>
          </cell>
          <cell r="I481" t="str">
            <v>AL8</v>
          </cell>
          <cell r="J481" t="str">
            <v>AL8</v>
          </cell>
          <cell r="K481" t="str">
            <v>AL8</v>
          </cell>
          <cell r="L481" t="str">
            <v>CN</v>
          </cell>
          <cell r="M481" t="str">
            <v>Đ</v>
          </cell>
          <cell r="N481" t="str">
            <v>Đ</v>
          </cell>
          <cell r="O481" t="str">
            <v>Đ</v>
          </cell>
          <cell r="P481" t="str">
            <v>Đ</v>
          </cell>
          <cell r="Q481" t="str">
            <v>Đ</v>
          </cell>
          <cell r="R481" t="str">
            <v>Đ</v>
          </cell>
          <cell r="S481" t="str">
            <v>CN</v>
          </cell>
          <cell r="T481">
            <v>8</v>
          </cell>
          <cell r="U481">
            <v>8</v>
          </cell>
          <cell r="V481" t="str">
            <v>AL4</v>
          </cell>
          <cell r="W481">
            <v>8</v>
          </cell>
          <cell r="X481">
            <v>8</v>
          </cell>
          <cell r="Y481">
            <v>8</v>
          </cell>
          <cell r="Z481" t="str">
            <v>CN</v>
          </cell>
          <cell r="AA481" t="str">
            <v>Đ</v>
          </cell>
          <cell r="AB481" t="str">
            <v>Đ</v>
          </cell>
          <cell r="AC481" t="str">
            <v>Đ</v>
          </cell>
          <cell r="AD481" t="str">
            <v>Đ</v>
          </cell>
          <cell r="AE481" t="str">
            <v>Đ</v>
          </cell>
          <cell r="AF481" t="str">
            <v>Đ</v>
          </cell>
          <cell r="AG481" t="str">
            <v>CN</v>
          </cell>
          <cell r="AH481">
            <v>8</v>
          </cell>
          <cell r="AI481">
            <v>8</v>
          </cell>
          <cell r="AJ481">
            <v>8</v>
          </cell>
          <cell r="AN481">
            <v>96</v>
          </cell>
          <cell r="AO481">
            <v>68</v>
          </cell>
          <cell r="AP481">
            <v>4</v>
          </cell>
          <cell r="AQ481">
            <v>0</v>
          </cell>
          <cell r="AR481">
            <v>0</v>
          </cell>
          <cell r="AS481">
            <v>0</v>
          </cell>
          <cell r="AT481">
            <v>0</v>
          </cell>
          <cell r="AU481">
            <v>0</v>
          </cell>
          <cell r="AV481">
            <v>0</v>
          </cell>
          <cell r="AW481">
            <v>0</v>
          </cell>
          <cell r="AX481">
            <v>0</v>
          </cell>
          <cell r="AY481">
            <v>0</v>
          </cell>
          <cell r="AZ481">
            <v>0</v>
          </cell>
          <cell r="BA481">
            <v>28</v>
          </cell>
          <cell r="BB481">
            <v>0</v>
          </cell>
          <cell r="BC481">
            <v>0</v>
          </cell>
          <cell r="BD481">
            <v>0</v>
          </cell>
          <cell r="BE481">
            <v>0</v>
          </cell>
          <cell r="BF481">
            <v>0</v>
          </cell>
          <cell r="BG481">
            <v>192</v>
          </cell>
          <cell r="BH481">
            <v>3.5</v>
          </cell>
          <cell r="BI481">
            <v>3.5</v>
          </cell>
          <cell r="BJ481">
            <v>0.5</v>
          </cell>
          <cell r="BL481">
            <v>0</v>
          </cell>
          <cell r="BM481">
            <v>0</v>
          </cell>
          <cell r="BN481">
            <v>0</v>
          </cell>
          <cell r="BO481">
            <v>0</v>
          </cell>
          <cell r="BP481">
            <v>1.5</v>
          </cell>
          <cell r="BQ481">
            <v>0</v>
          </cell>
          <cell r="BR481">
            <v>0</v>
          </cell>
          <cell r="BS481">
            <v>4</v>
          </cell>
          <cell r="BT481">
            <v>4</v>
          </cell>
          <cell r="BU481">
            <v>4</v>
          </cell>
          <cell r="BV481">
            <v>0</v>
          </cell>
          <cell r="BW481">
            <v>3</v>
          </cell>
          <cell r="BX481">
            <v>3</v>
          </cell>
          <cell r="BY481">
            <v>2</v>
          </cell>
          <cell r="BZ481">
            <v>3</v>
          </cell>
          <cell r="CA481">
            <v>3</v>
          </cell>
          <cell r="CB481">
            <v>3</v>
          </cell>
          <cell r="CC481">
            <v>8</v>
          </cell>
          <cell r="CD481">
            <v>4</v>
          </cell>
          <cell r="CE481">
            <v>4</v>
          </cell>
          <cell r="CF481">
            <v>4</v>
          </cell>
          <cell r="CG481">
            <v>4</v>
          </cell>
          <cell r="CH481">
            <v>4</v>
          </cell>
          <cell r="CI481">
            <v>4</v>
          </cell>
          <cell r="CJ481">
            <v>0</v>
          </cell>
          <cell r="CK481">
            <v>3</v>
          </cell>
          <cell r="CL481">
            <v>3</v>
          </cell>
          <cell r="CM481">
            <v>0</v>
          </cell>
          <cell r="CR481">
            <v>0</v>
          </cell>
          <cell r="CS481">
            <v>0</v>
          </cell>
          <cell r="CT481">
            <v>60.5</v>
          </cell>
          <cell r="CU481">
            <v>8</v>
          </cell>
          <cell r="CV481">
            <v>0</v>
          </cell>
          <cell r="CZ481">
            <v>68.5</v>
          </cell>
        </row>
        <row r="482">
          <cell r="C482" t="str">
            <v>03421</v>
          </cell>
          <cell r="D482" t="str">
            <v>Danh Thị Phương</v>
          </cell>
          <cell r="E482" t="str">
            <v>Production</v>
          </cell>
          <cell r="F482" t="str">
            <v>Logo</v>
          </cell>
          <cell r="G482" t="str">
            <v>Worker</v>
          </cell>
          <cell r="H482">
            <v>44655</v>
          </cell>
          <cell r="I482">
            <v>8</v>
          </cell>
          <cell r="J482">
            <v>8</v>
          </cell>
          <cell r="K482">
            <v>8</v>
          </cell>
          <cell r="L482" t="str">
            <v>CN</v>
          </cell>
          <cell r="M482" t="str">
            <v>Đ</v>
          </cell>
          <cell r="N482" t="str">
            <v>Đ</v>
          </cell>
          <cell r="O482" t="str">
            <v>Đ</v>
          </cell>
          <cell r="P482" t="str">
            <v>Đ</v>
          </cell>
          <cell r="Q482" t="str">
            <v>Đ</v>
          </cell>
          <cell r="R482" t="str">
            <v>Đ</v>
          </cell>
          <cell r="S482" t="str">
            <v>CN</v>
          </cell>
          <cell r="T482">
            <v>8</v>
          </cell>
          <cell r="U482">
            <v>8</v>
          </cell>
          <cell r="V482">
            <v>8</v>
          </cell>
          <cell r="W482">
            <v>8</v>
          </cell>
          <cell r="X482">
            <v>8</v>
          </cell>
          <cell r="Y482">
            <v>8</v>
          </cell>
          <cell r="Z482" t="str">
            <v>CN</v>
          </cell>
          <cell r="AA482" t="str">
            <v>Đ</v>
          </cell>
          <cell r="AB482" t="str">
            <v>Đ</v>
          </cell>
          <cell r="AC482" t="str">
            <v>Đ</v>
          </cell>
          <cell r="AD482" t="str">
            <v>Đ</v>
          </cell>
          <cell r="AE482" t="str">
            <v>Đ</v>
          </cell>
          <cell r="AF482" t="str">
            <v>Đ</v>
          </cell>
          <cell r="AG482" t="str">
            <v>CN</v>
          </cell>
          <cell r="AH482">
            <v>8</v>
          </cell>
          <cell r="AI482">
            <v>8</v>
          </cell>
          <cell r="AJ482">
            <v>8</v>
          </cell>
          <cell r="AN482">
            <v>96</v>
          </cell>
          <cell r="AO482">
            <v>96</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192</v>
          </cell>
          <cell r="BH482">
            <v>0</v>
          </cell>
          <cell r="BI482">
            <v>0</v>
          </cell>
          <cell r="BJ482">
            <v>5</v>
          </cell>
          <cell r="BL482">
            <v>0</v>
          </cell>
          <cell r="BM482">
            <v>0</v>
          </cell>
          <cell r="BN482">
            <v>0</v>
          </cell>
          <cell r="BO482">
            <v>0</v>
          </cell>
          <cell r="BP482">
            <v>1.5</v>
          </cell>
          <cell r="BQ482">
            <v>3</v>
          </cell>
          <cell r="BR482">
            <v>0</v>
          </cell>
          <cell r="BS482">
            <v>3</v>
          </cell>
          <cell r="BT482">
            <v>3</v>
          </cell>
          <cell r="BU482">
            <v>0</v>
          </cell>
          <cell r="BV482">
            <v>0</v>
          </cell>
          <cell r="BW482">
            <v>3</v>
          </cell>
          <cell r="BX482">
            <v>3</v>
          </cell>
          <cell r="BY482">
            <v>3</v>
          </cell>
          <cell r="BZ482">
            <v>3</v>
          </cell>
          <cell r="CA482">
            <v>3</v>
          </cell>
          <cell r="CB482">
            <v>3</v>
          </cell>
          <cell r="CC482">
            <v>8</v>
          </cell>
          <cell r="CD482">
            <v>1.5</v>
          </cell>
          <cell r="CE482">
            <v>4</v>
          </cell>
          <cell r="CF482">
            <v>4</v>
          </cell>
          <cell r="CG482">
            <v>4</v>
          </cell>
          <cell r="CH482">
            <v>1.5</v>
          </cell>
          <cell r="CI482">
            <v>1.5</v>
          </cell>
          <cell r="CJ482">
            <v>0</v>
          </cell>
          <cell r="CK482">
            <v>1.5</v>
          </cell>
          <cell r="CL482">
            <v>3</v>
          </cell>
          <cell r="CM482">
            <v>1.5</v>
          </cell>
          <cell r="CR482">
            <v>0</v>
          </cell>
          <cell r="CS482">
            <v>0</v>
          </cell>
          <cell r="CT482">
            <v>51</v>
          </cell>
          <cell r="CU482">
            <v>8</v>
          </cell>
          <cell r="CV482">
            <v>0</v>
          </cell>
          <cell r="CZ482">
            <v>59</v>
          </cell>
        </row>
        <row r="483">
          <cell r="C483" t="str">
            <v>03424</v>
          </cell>
          <cell r="D483" t="str">
            <v>Nông Văn Kỳ</v>
          </cell>
          <cell r="E483" t="str">
            <v>Production</v>
          </cell>
          <cell r="F483" t="str">
            <v>Die Cut</v>
          </cell>
          <cell r="G483" t="str">
            <v>Worker</v>
          </cell>
          <cell r="H483">
            <v>44658</v>
          </cell>
          <cell r="I483">
            <v>8</v>
          </cell>
          <cell r="J483">
            <v>8</v>
          </cell>
          <cell r="K483" t="str">
            <v>AL8</v>
          </cell>
          <cell r="L483" t="str">
            <v>CN</v>
          </cell>
          <cell r="M483" t="str">
            <v>Đ</v>
          </cell>
          <cell r="N483" t="str">
            <v>Đ</v>
          </cell>
          <cell r="O483" t="str">
            <v>Đ</v>
          </cell>
          <cell r="P483" t="str">
            <v>Đ</v>
          </cell>
          <cell r="Q483" t="str">
            <v>Đ</v>
          </cell>
          <cell r="R483" t="str">
            <v>Đ</v>
          </cell>
          <cell r="S483" t="str">
            <v>CN</v>
          </cell>
          <cell r="T483" t="str">
            <v>AL8</v>
          </cell>
          <cell r="U483" t="str">
            <v>NP</v>
          </cell>
          <cell r="V483" t="str">
            <v>UP8</v>
          </cell>
          <cell r="W483" t="str">
            <v>UP8</v>
          </cell>
          <cell r="X483" t="str">
            <v>UP8</v>
          </cell>
          <cell r="Y483" t="str">
            <v>UP8</v>
          </cell>
          <cell r="Z483" t="str">
            <v>CN</v>
          </cell>
          <cell r="AA483" t="str">
            <v>UP8</v>
          </cell>
          <cell r="AB483" t="str">
            <v>UP8</v>
          </cell>
          <cell r="AC483" t="str">
            <v>UP8</v>
          </cell>
          <cell r="AD483" t="str">
            <v>TV</v>
          </cell>
          <cell r="AE483" t="str">
            <v>TV</v>
          </cell>
          <cell r="AF483" t="str">
            <v>TV</v>
          </cell>
          <cell r="AG483" t="str">
            <v>TV</v>
          </cell>
          <cell r="AH483" t="str">
            <v>TV</v>
          </cell>
          <cell r="AI483" t="str">
            <v>TV</v>
          </cell>
          <cell r="AJ483" t="str">
            <v>TV</v>
          </cell>
          <cell r="AN483">
            <v>48</v>
          </cell>
          <cell r="AO483">
            <v>16</v>
          </cell>
          <cell r="AP483">
            <v>0</v>
          </cell>
          <cell r="AQ483">
            <v>0</v>
          </cell>
          <cell r="AR483">
            <v>0</v>
          </cell>
          <cell r="AS483">
            <v>56</v>
          </cell>
          <cell r="AT483">
            <v>1</v>
          </cell>
          <cell r="AU483">
            <v>0</v>
          </cell>
          <cell r="AV483">
            <v>0</v>
          </cell>
          <cell r="AW483">
            <v>0</v>
          </cell>
          <cell r="AX483">
            <v>0</v>
          </cell>
          <cell r="AY483">
            <v>0</v>
          </cell>
          <cell r="AZ483">
            <v>0</v>
          </cell>
          <cell r="BA483">
            <v>16</v>
          </cell>
          <cell r="BB483">
            <v>0</v>
          </cell>
          <cell r="BC483">
            <v>0</v>
          </cell>
          <cell r="BD483">
            <v>0</v>
          </cell>
          <cell r="BE483">
            <v>0</v>
          </cell>
          <cell r="BF483">
            <v>0</v>
          </cell>
          <cell r="BG483">
            <v>80</v>
          </cell>
          <cell r="BH483">
            <v>2</v>
          </cell>
          <cell r="BI483">
            <v>2</v>
          </cell>
          <cell r="BJ483">
            <v>0</v>
          </cell>
          <cell r="BL483">
            <v>1.5</v>
          </cell>
          <cell r="BM483">
            <v>1.5</v>
          </cell>
          <cell r="BN483">
            <v>0</v>
          </cell>
          <cell r="BO483">
            <v>0</v>
          </cell>
          <cell r="BP483">
            <v>1.5</v>
          </cell>
          <cell r="BQ483">
            <v>0</v>
          </cell>
          <cell r="BR483">
            <v>0</v>
          </cell>
          <cell r="BS483">
            <v>0</v>
          </cell>
          <cell r="BT483">
            <v>0</v>
          </cell>
          <cell r="BU483">
            <v>0</v>
          </cell>
          <cell r="BV483">
            <v>0</v>
          </cell>
          <cell r="BW483">
            <v>0</v>
          </cell>
          <cell r="BX483">
            <v>0</v>
          </cell>
          <cell r="BY483">
            <v>0</v>
          </cell>
          <cell r="BZ483">
            <v>0</v>
          </cell>
          <cell r="CA483">
            <v>0</v>
          </cell>
          <cell r="CB483">
            <v>0</v>
          </cell>
          <cell r="CC483">
            <v>0</v>
          </cell>
          <cell r="CD483">
            <v>0</v>
          </cell>
          <cell r="CE483">
            <v>0</v>
          </cell>
          <cell r="CF483">
            <v>0</v>
          </cell>
          <cell r="CG483">
            <v>0</v>
          </cell>
          <cell r="CH483">
            <v>0</v>
          </cell>
          <cell r="CI483">
            <v>0</v>
          </cell>
          <cell r="CJ483">
            <v>0</v>
          </cell>
          <cell r="CK483">
            <v>0</v>
          </cell>
          <cell r="CL483">
            <v>0</v>
          </cell>
          <cell r="CM483">
            <v>0</v>
          </cell>
          <cell r="CR483">
            <v>0</v>
          </cell>
          <cell r="CS483">
            <v>0</v>
          </cell>
          <cell r="CT483">
            <v>4.5</v>
          </cell>
          <cell r="CU483">
            <v>0</v>
          </cell>
          <cell r="CV483">
            <v>0</v>
          </cell>
          <cell r="CZ483">
            <v>4.5</v>
          </cell>
        </row>
        <row r="484">
          <cell r="C484" t="str">
            <v>03428</v>
          </cell>
          <cell r="D484" t="str">
            <v>Dương Thị Hồng Nhi</v>
          </cell>
          <cell r="E484" t="str">
            <v>Production</v>
          </cell>
          <cell r="F484" t="str">
            <v>Logo</v>
          </cell>
          <cell r="G484" t="str">
            <v>Worker</v>
          </cell>
          <cell r="H484">
            <v>44658</v>
          </cell>
          <cell r="I484">
            <v>8</v>
          </cell>
          <cell r="J484">
            <v>8</v>
          </cell>
          <cell r="K484">
            <v>8</v>
          </cell>
          <cell r="L484" t="str">
            <v>CN</v>
          </cell>
          <cell r="M484" t="str">
            <v>Đ</v>
          </cell>
          <cell r="N484" t="str">
            <v>Đ</v>
          </cell>
          <cell r="O484" t="str">
            <v>Đ</v>
          </cell>
          <cell r="P484" t="str">
            <v>Đ</v>
          </cell>
          <cell r="Q484" t="str">
            <v>Đ</v>
          </cell>
          <cell r="R484" t="str">
            <v>Đ</v>
          </cell>
          <cell r="S484" t="str">
            <v>CN</v>
          </cell>
          <cell r="T484">
            <v>8</v>
          </cell>
          <cell r="U484">
            <v>8</v>
          </cell>
          <cell r="V484">
            <v>8</v>
          </cell>
          <cell r="W484">
            <v>8</v>
          </cell>
          <cell r="X484">
            <v>8</v>
          </cell>
          <cell r="Y484">
            <v>8</v>
          </cell>
          <cell r="Z484" t="str">
            <v>CN</v>
          </cell>
          <cell r="AA484" t="str">
            <v>Đ</v>
          </cell>
          <cell r="AB484" t="str">
            <v>Đ</v>
          </cell>
          <cell r="AC484" t="str">
            <v>Đ</v>
          </cell>
          <cell r="AD484" t="str">
            <v>Đ</v>
          </cell>
          <cell r="AE484" t="str">
            <v>Đ</v>
          </cell>
          <cell r="AF484" t="str">
            <v>Đ</v>
          </cell>
          <cell r="AG484" t="str">
            <v>CN</v>
          </cell>
          <cell r="AH484">
            <v>8</v>
          </cell>
          <cell r="AI484">
            <v>8</v>
          </cell>
          <cell r="AJ484">
            <v>8</v>
          </cell>
          <cell r="AN484">
            <v>96</v>
          </cell>
          <cell r="AO484">
            <v>96</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192</v>
          </cell>
          <cell r="BH484">
            <v>0</v>
          </cell>
          <cell r="BI484">
            <v>0</v>
          </cell>
          <cell r="BJ484">
            <v>2</v>
          </cell>
          <cell r="BL484">
            <v>0</v>
          </cell>
          <cell r="BM484">
            <v>0</v>
          </cell>
          <cell r="BN484">
            <v>0</v>
          </cell>
          <cell r="BO484">
            <v>0</v>
          </cell>
          <cell r="BP484">
            <v>1.5</v>
          </cell>
          <cell r="BQ484">
            <v>3</v>
          </cell>
          <cell r="BR484">
            <v>0</v>
          </cell>
          <cell r="BS484">
            <v>3</v>
          </cell>
          <cell r="BT484">
            <v>3</v>
          </cell>
          <cell r="BU484">
            <v>0</v>
          </cell>
          <cell r="BV484">
            <v>0</v>
          </cell>
          <cell r="BW484">
            <v>3</v>
          </cell>
          <cell r="BX484">
            <v>3</v>
          </cell>
          <cell r="BY484">
            <v>3</v>
          </cell>
          <cell r="BZ484">
            <v>3</v>
          </cell>
          <cell r="CA484">
            <v>3</v>
          </cell>
          <cell r="CB484">
            <v>3</v>
          </cell>
          <cell r="CC484">
            <v>8</v>
          </cell>
          <cell r="CD484">
            <v>4</v>
          </cell>
          <cell r="CE484">
            <v>4</v>
          </cell>
          <cell r="CF484">
            <v>4</v>
          </cell>
          <cell r="CG484">
            <v>4</v>
          </cell>
          <cell r="CH484">
            <v>1.5</v>
          </cell>
          <cell r="CI484">
            <v>4</v>
          </cell>
          <cell r="CJ484">
            <v>0</v>
          </cell>
          <cell r="CK484">
            <v>1.5</v>
          </cell>
          <cell r="CL484">
            <v>1.5</v>
          </cell>
          <cell r="CM484">
            <v>1.5</v>
          </cell>
          <cell r="CR484">
            <v>0</v>
          </cell>
          <cell r="CS484">
            <v>0</v>
          </cell>
          <cell r="CT484">
            <v>54.5</v>
          </cell>
          <cell r="CU484">
            <v>8</v>
          </cell>
          <cell r="CV484">
            <v>0</v>
          </cell>
          <cell r="CZ484">
            <v>62.5</v>
          </cell>
        </row>
        <row r="485">
          <cell r="C485" t="str">
            <v>03429</v>
          </cell>
          <cell r="D485" t="str">
            <v>Lê Thị Bích Ngà</v>
          </cell>
          <cell r="E485" t="str">
            <v>Production</v>
          </cell>
          <cell r="F485" t="str">
            <v>Packing</v>
          </cell>
          <cell r="G485" t="str">
            <v>Worker</v>
          </cell>
          <cell r="H485">
            <v>44658</v>
          </cell>
          <cell r="I485">
            <v>8</v>
          </cell>
          <cell r="J485">
            <v>8</v>
          </cell>
          <cell r="K485">
            <v>8</v>
          </cell>
          <cell r="L485" t="str">
            <v>CN</v>
          </cell>
          <cell r="M485" t="str">
            <v>Đ</v>
          </cell>
          <cell r="N485" t="str">
            <v>Đ</v>
          </cell>
          <cell r="O485" t="str">
            <v>Đ</v>
          </cell>
          <cell r="P485" t="str">
            <v>Đ</v>
          </cell>
          <cell r="Q485" t="str">
            <v>Đ</v>
          </cell>
          <cell r="R485" t="str">
            <v>Đ</v>
          </cell>
          <cell r="S485" t="str">
            <v>CN</v>
          </cell>
          <cell r="T485">
            <v>8</v>
          </cell>
          <cell r="U485">
            <v>8</v>
          </cell>
          <cell r="V485">
            <v>8</v>
          </cell>
          <cell r="W485">
            <v>8</v>
          </cell>
          <cell r="X485">
            <v>8</v>
          </cell>
          <cell r="Y485">
            <v>8</v>
          </cell>
          <cell r="Z485" t="str">
            <v>CN</v>
          </cell>
          <cell r="AA485" t="str">
            <v>AL8</v>
          </cell>
          <cell r="AB485" t="str">
            <v>AL8</v>
          </cell>
          <cell r="AC485">
            <v>8</v>
          </cell>
          <cell r="AD485">
            <v>8</v>
          </cell>
          <cell r="AE485">
            <v>8</v>
          </cell>
          <cell r="AF485">
            <v>8</v>
          </cell>
          <cell r="AG485" t="str">
            <v>CN</v>
          </cell>
          <cell r="AH485">
            <v>8</v>
          </cell>
          <cell r="AI485">
            <v>8</v>
          </cell>
          <cell r="AJ485">
            <v>8</v>
          </cell>
          <cell r="AN485">
            <v>48</v>
          </cell>
          <cell r="AO485">
            <v>128</v>
          </cell>
          <cell r="AP485">
            <v>0</v>
          </cell>
          <cell r="AQ485">
            <v>0</v>
          </cell>
          <cell r="AR485">
            <v>0</v>
          </cell>
          <cell r="AS485">
            <v>0</v>
          </cell>
          <cell r="AT485">
            <v>0</v>
          </cell>
          <cell r="AU485">
            <v>0</v>
          </cell>
          <cell r="AV485">
            <v>0</v>
          </cell>
          <cell r="AW485">
            <v>0</v>
          </cell>
          <cell r="AX485">
            <v>0</v>
          </cell>
          <cell r="AY485">
            <v>0</v>
          </cell>
          <cell r="AZ485">
            <v>0</v>
          </cell>
          <cell r="BA485">
            <v>16</v>
          </cell>
          <cell r="BB485">
            <v>0</v>
          </cell>
          <cell r="BC485">
            <v>0</v>
          </cell>
          <cell r="BD485">
            <v>0</v>
          </cell>
          <cell r="BE485">
            <v>0</v>
          </cell>
          <cell r="BF485">
            <v>0</v>
          </cell>
          <cell r="BG485">
            <v>192</v>
          </cell>
          <cell r="BH485">
            <v>2</v>
          </cell>
          <cell r="BI485">
            <v>2</v>
          </cell>
          <cell r="BJ485">
            <v>1.5</v>
          </cell>
          <cell r="BL485">
            <v>1.5</v>
          </cell>
          <cell r="BM485">
            <v>1.5</v>
          </cell>
          <cell r="BN485">
            <v>1.5</v>
          </cell>
          <cell r="BO485">
            <v>0</v>
          </cell>
          <cell r="BP485">
            <v>1.5</v>
          </cell>
          <cell r="BQ485">
            <v>1.5</v>
          </cell>
          <cell r="BR485">
            <v>0</v>
          </cell>
          <cell r="BS485">
            <v>4</v>
          </cell>
          <cell r="BT485">
            <v>3</v>
          </cell>
          <cell r="BU485">
            <v>4</v>
          </cell>
          <cell r="BV485">
            <v>0</v>
          </cell>
          <cell r="BW485">
            <v>3</v>
          </cell>
          <cell r="BX485">
            <v>3</v>
          </cell>
          <cell r="BY485">
            <v>3</v>
          </cell>
          <cell r="BZ485">
            <v>3</v>
          </cell>
          <cell r="CA485">
            <v>3</v>
          </cell>
          <cell r="CB485">
            <v>3</v>
          </cell>
          <cell r="CC485">
            <v>0</v>
          </cell>
          <cell r="CD485">
            <v>0</v>
          </cell>
          <cell r="CE485">
            <v>0</v>
          </cell>
          <cell r="CF485">
            <v>3</v>
          </cell>
          <cell r="CG485">
            <v>3</v>
          </cell>
          <cell r="CH485">
            <v>3</v>
          </cell>
          <cell r="CI485">
            <v>3</v>
          </cell>
          <cell r="CJ485">
            <v>8</v>
          </cell>
          <cell r="CK485">
            <v>3</v>
          </cell>
          <cell r="CL485">
            <v>3</v>
          </cell>
          <cell r="CM485">
            <v>3</v>
          </cell>
          <cell r="CR485">
            <v>0</v>
          </cell>
          <cell r="CS485">
            <v>0</v>
          </cell>
          <cell r="CT485">
            <v>57.5</v>
          </cell>
          <cell r="CU485">
            <v>8</v>
          </cell>
          <cell r="CV485">
            <v>0</v>
          </cell>
          <cell r="CZ485">
            <v>65.5</v>
          </cell>
        </row>
        <row r="486">
          <cell r="C486" t="str">
            <v>03434</v>
          </cell>
          <cell r="D486" t="str">
            <v>Kim Chaan So Phy</v>
          </cell>
          <cell r="E486" t="str">
            <v>Production</v>
          </cell>
          <cell r="F486" t="str">
            <v>Logo</v>
          </cell>
          <cell r="G486" t="str">
            <v>Worker</v>
          </cell>
          <cell r="H486">
            <v>44658</v>
          </cell>
          <cell r="I486">
            <v>8</v>
          </cell>
          <cell r="J486">
            <v>8</v>
          </cell>
          <cell r="K486">
            <v>8</v>
          </cell>
          <cell r="L486" t="str">
            <v>CN</v>
          </cell>
          <cell r="M486" t="str">
            <v>Đ</v>
          </cell>
          <cell r="N486" t="str">
            <v>Đ</v>
          </cell>
          <cell r="O486" t="str">
            <v>Đ</v>
          </cell>
          <cell r="P486" t="str">
            <v>Đ</v>
          </cell>
          <cell r="Q486" t="str">
            <v>Đ</v>
          </cell>
          <cell r="R486" t="str">
            <v>Đ</v>
          </cell>
          <cell r="S486" t="str">
            <v>CN</v>
          </cell>
          <cell r="T486">
            <v>8</v>
          </cell>
          <cell r="U486">
            <v>8</v>
          </cell>
          <cell r="V486">
            <v>8</v>
          </cell>
          <cell r="W486">
            <v>8</v>
          </cell>
          <cell r="X486">
            <v>8</v>
          </cell>
          <cell r="Y486">
            <v>8</v>
          </cell>
          <cell r="Z486" t="str">
            <v>CN</v>
          </cell>
          <cell r="AA486" t="str">
            <v>Đ</v>
          </cell>
          <cell r="AB486" t="str">
            <v>Đ</v>
          </cell>
          <cell r="AC486" t="str">
            <v>Đ</v>
          </cell>
          <cell r="AD486" t="str">
            <v>Đ</v>
          </cell>
          <cell r="AE486" t="str">
            <v>Đ</v>
          </cell>
          <cell r="AF486" t="str">
            <v>Đ</v>
          </cell>
          <cell r="AG486" t="str">
            <v>CN</v>
          </cell>
          <cell r="AH486">
            <v>8</v>
          </cell>
          <cell r="AI486">
            <v>8</v>
          </cell>
          <cell r="AJ486">
            <v>8</v>
          </cell>
          <cell r="AN486">
            <v>96</v>
          </cell>
          <cell r="AO486">
            <v>96</v>
          </cell>
          <cell r="AP486">
            <v>0</v>
          </cell>
          <cell r="AQ486">
            <v>0</v>
          </cell>
          <cell r="AR486">
            <v>0</v>
          </cell>
          <cell r="AS486">
            <v>0</v>
          </cell>
          <cell r="AT486">
            <v>0</v>
          </cell>
          <cell r="AU486">
            <v>0</v>
          </cell>
          <cell r="AV486">
            <v>0</v>
          </cell>
          <cell r="AW486">
            <v>0</v>
          </cell>
          <cell r="AX486">
            <v>0</v>
          </cell>
          <cell r="AY486">
            <v>0</v>
          </cell>
          <cell r="AZ486">
            <v>0</v>
          </cell>
          <cell r="BA486">
            <v>0</v>
          </cell>
          <cell r="BB486">
            <v>0</v>
          </cell>
          <cell r="BC486">
            <v>0</v>
          </cell>
          <cell r="BD486">
            <v>0</v>
          </cell>
          <cell r="BE486">
            <v>0</v>
          </cell>
          <cell r="BF486">
            <v>0</v>
          </cell>
          <cell r="BG486">
            <v>192</v>
          </cell>
          <cell r="BH486">
            <v>0</v>
          </cell>
          <cell r="BI486">
            <v>0</v>
          </cell>
          <cell r="BJ486">
            <v>5.5</v>
          </cell>
          <cell r="BL486">
            <v>1.5</v>
          </cell>
          <cell r="BM486">
            <v>1.5</v>
          </cell>
          <cell r="BN486">
            <v>1.5</v>
          </cell>
          <cell r="BO486">
            <v>0</v>
          </cell>
          <cell r="BP486">
            <v>1.5</v>
          </cell>
          <cell r="BQ486">
            <v>0</v>
          </cell>
          <cell r="BR486">
            <v>0</v>
          </cell>
          <cell r="BS486">
            <v>4</v>
          </cell>
          <cell r="BT486">
            <v>0</v>
          </cell>
          <cell r="BU486">
            <v>4</v>
          </cell>
          <cell r="BV486">
            <v>0</v>
          </cell>
          <cell r="BW486">
            <v>3</v>
          </cell>
          <cell r="BX486">
            <v>3</v>
          </cell>
          <cell r="BY486">
            <v>3</v>
          </cell>
          <cell r="BZ486">
            <v>0</v>
          </cell>
          <cell r="CA486">
            <v>3</v>
          </cell>
          <cell r="CB486">
            <v>3</v>
          </cell>
          <cell r="CC486">
            <v>8</v>
          </cell>
          <cell r="CD486">
            <v>4</v>
          </cell>
          <cell r="CE486">
            <v>4</v>
          </cell>
          <cell r="CF486">
            <v>4</v>
          </cell>
          <cell r="CG486">
            <v>4</v>
          </cell>
          <cell r="CH486">
            <v>4</v>
          </cell>
          <cell r="CI486">
            <v>4</v>
          </cell>
          <cell r="CJ486">
            <v>0</v>
          </cell>
          <cell r="CK486">
            <v>3</v>
          </cell>
          <cell r="CL486">
            <v>3</v>
          </cell>
          <cell r="CM486">
            <v>3</v>
          </cell>
          <cell r="CR486">
            <v>0</v>
          </cell>
          <cell r="CS486">
            <v>0</v>
          </cell>
          <cell r="CT486">
            <v>62</v>
          </cell>
          <cell r="CU486">
            <v>8</v>
          </cell>
          <cell r="CV486">
            <v>0</v>
          </cell>
          <cell r="CZ486">
            <v>70</v>
          </cell>
        </row>
        <row r="487">
          <cell r="C487" t="str">
            <v>03439</v>
          </cell>
          <cell r="D487" t="str">
            <v>Lê Vũ Hồng Hạnh</v>
          </cell>
          <cell r="E487" t="str">
            <v>Purchasing</v>
          </cell>
          <cell r="F487" t="str">
            <v>Purchasing</v>
          </cell>
          <cell r="G487" t="str">
            <v>Senior Staff</v>
          </cell>
          <cell r="H487">
            <v>44669</v>
          </cell>
          <cell r="I487">
            <v>8</v>
          </cell>
          <cell r="J487">
            <v>8</v>
          </cell>
          <cell r="K487" t="str">
            <v>PO</v>
          </cell>
          <cell r="L487" t="str">
            <v>CN</v>
          </cell>
          <cell r="M487">
            <v>8</v>
          </cell>
          <cell r="N487">
            <v>8</v>
          </cell>
          <cell r="O487">
            <v>8</v>
          </cell>
          <cell r="P487">
            <v>8</v>
          </cell>
          <cell r="Q487" t="str">
            <v>PO</v>
          </cell>
          <cell r="R487" t="str">
            <v>PO</v>
          </cell>
          <cell r="S487" t="str">
            <v>CN</v>
          </cell>
          <cell r="T487">
            <v>8</v>
          </cell>
          <cell r="U487">
            <v>8</v>
          </cell>
          <cell r="V487">
            <v>8</v>
          </cell>
          <cell r="W487">
            <v>8</v>
          </cell>
          <cell r="X487">
            <v>8</v>
          </cell>
          <cell r="Y487" t="str">
            <v>PO</v>
          </cell>
          <cell r="Z487" t="str">
            <v>CN</v>
          </cell>
          <cell r="AA487">
            <v>8</v>
          </cell>
          <cell r="AB487">
            <v>8</v>
          </cell>
          <cell r="AC487">
            <v>8</v>
          </cell>
          <cell r="AD487">
            <v>8</v>
          </cell>
          <cell r="AE487" t="str">
            <v>WH</v>
          </cell>
          <cell r="AF487" t="str">
            <v>PO</v>
          </cell>
          <cell r="AG487" t="str">
            <v>CN</v>
          </cell>
          <cell r="AH487">
            <v>8</v>
          </cell>
          <cell r="AI487">
            <v>8</v>
          </cell>
          <cell r="AJ487" t="str">
            <v>WH</v>
          </cell>
          <cell r="AN487">
            <v>0</v>
          </cell>
          <cell r="AO487">
            <v>136</v>
          </cell>
          <cell r="AP487">
            <v>0</v>
          </cell>
          <cell r="AQ487">
            <v>0</v>
          </cell>
          <cell r="AR487">
            <v>0</v>
          </cell>
          <cell r="AS487">
            <v>0</v>
          </cell>
          <cell r="AT487">
            <v>0</v>
          </cell>
          <cell r="AU487">
            <v>0</v>
          </cell>
          <cell r="AV487">
            <v>40</v>
          </cell>
          <cell r="AW487">
            <v>0</v>
          </cell>
          <cell r="AX487">
            <v>0</v>
          </cell>
          <cell r="AY487">
            <v>0</v>
          </cell>
          <cell r="AZ487">
            <v>0</v>
          </cell>
          <cell r="BA487">
            <v>0</v>
          </cell>
          <cell r="BB487">
            <v>0</v>
          </cell>
          <cell r="BC487">
            <v>0</v>
          </cell>
          <cell r="BD487">
            <v>16</v>
          </cell>
          <cell r="BE487">
            <v>0</v>
          </cell>
          <cell r="BF487">
            <v>0</v>
          </cell>
          <cell r="BG487">
            <v>192</v>
          </cell>
          <cell r="BH487">
            <v>0</v>
          </cell>
          <cell r="BI487">
            <v>0</v>
          </cell>
          <cell r="BJ487">
            <v>5</v>
          </cell>
          <cell r="BL487">
            <v>0</v>
          </cell>
          <cell r="BM487">
            <v>0</v>
          </cell>
          <cell r="BN487">
            <v>0</v>
          </cell>
          <cell r="BO487">
            <v>0</v>
          </cell>
          <cell r="BP487">
            <v>4</v>
          </cell>
          <cell r="BQ487">
            <v>4</v>
          </cell>
          <cell r="BR487">
            <v>4</v>
          </cell>
          <cell r="BS487">
            <v>0</v>
          </cell>
          <cell r="BT487">
            <v>0</v>
          </cell>
          <cell r="BU487">
            <v>0</v>
          </cell>
          <cell r="BV487">
            <v>0</v>
          </cell>
          <cell r="BW487">
            <v>4</v>
          </cell>
          <cell r="BX487">
            <v>4</v>
          </cell>
          <cell r="BY487">
            <v>2</v>
          </cell>
          <cell r="BZ487">
            <v>0</v>
          </cell>
          <cell r="CA487">
            <v>0</v>
          </cell>
          <cell r="CB487">
            <v>0</v>
          </cell>
          <cell r="CC487">
            <v>0</v>
          </cell>
          <cell r="CD487">
            <v>4</v>
          </cell>
          <cell r="CE487">
            <v>4</v>
          </cell>
          <cell r="CF487">
            <v>4</v>
          </cell>
          <cell r="CG487">
            <v>0</v>
          </cell>
          <cell r="CH487">
            <v>0</v>
          </cell>
          <cell r="CI487">
            <v>0</v>
          </cell>
          <cell r="CJ487">
            <v>0</v>
          </cell>
          <cell r="CK487">
            <v>2</v>
          </cell>
          <cell r="CL487">
            <v>0</v>
          </cell>
          <cell r="CM487">
            <v>0</v>
          </cell>
          <cell r="CR487">
            <v>0</v>
          </cell>
          <cell r="CS487">
            <v>0</v>
          </cell>
          <cell r="CT487">
            <v>36</v>
          </cell>
          <cell r="CU487">
            <v>0</v>
          </cell>
          <cell r="CV487">
            <v>0</v>
          </cell>
          <cell r="CZ487">
            <v>36</v>
          </cell>
        </row>
        <row r="488">
          <cell r="C488" t="str">
            <v>03443</v>
          </cell>
          <cell r="D488" t="str">
            <v>Nguyễn Hữu Tuân</v>
          </cell>
          <cell r="E488" t="str">
            <v>Production</v>
          </cell>
          <cell r="F488" t="str">
            <v>Molding</v>
          </cell>
          <cell r="G488" t="str">
            <v>Worker</v>
          </cell>
          <cell r="H488">
            <v>44672</v>
          </cell>
          <cell r="I488" t="str">
            <v>Đ</v>
          </cell>
          <cell r="J488" t="str">
            <v>Đ</v>
          </cell>
          <cell r="K488" t="str">
            <v>CN</v>
          </cell>
          <cell r="L488">
            <v>8</v>
          </cell>
          <cell r="M488">
            <v>8</v>
          </cell>
          <cell r="N488">
            <v>8</v>
          </cell>
          <cell r="O488">
            <v>8</v>
          </cell>
          <cell r="P488">
            <v>8</v>
          </cell>
          <cell r="Q488">
            <v>8</v>
          </cell>
          <cell r="R488" t="str">
            <v>CN</v>
          </cell>
          <cell r="S488" t="str">
            <v>Đ</v>
          </cell>
          <cell r="T488" t="str">
            <v>Đ</v>
          </cell>
          <cell r="U488" t="str">
            <v>Đ</v>
          </cell>
          <cell r="V488" t="str">
            <v>Đ</v>
          </cell>
          <cell r="W488" t="str">
            <v>Đ</v>
          </cell>
          <cell r="X488" t="str">
            <v>Đ</v>
          </cell>
          <cell r="Y488" t="str">
            <v>CN</v>
          </cell>
          <cell r="Z488">
            <v>8</v>
          </cell>
          <cell r="AA488">
            <v>8</v>
          </cell>
          <cell r="AB488">
            <v>8</v>
          </cell>
          <cell r="AC488">
            <v>8</v>
          </cell>
          <cell r="AD488" t="str">
            <v>AL8</v>
          </cell>
          <cell r="AE488">
            <v>8</v>
          </cell>
          <cell r="AF488" t="str">
            <v>CN</v>
          </cell>
          <cell r="AG488" t="str">
            <v>Đ</v>
          </cell>
          <cell r="AH488" t="str">
            <v>Đ</v>
          </cell>
          <cell r="AI488" t="str">
            <v>Đ</v>
          </cell>
          <cell r="AJ488" t="str">
            <v>Đ</v>
          </cell>
          <cell r="AN488">
            <v>96</v>
          </cell>
          <cell r="AO488">
            <v>88</v>
          </cell>
          <cell r="AP488">
            <v>0</v>
          </cell>
          <cell r="AQ488">
            <v>0</v>
          </cell>
          <cell r="AR488">
            <v>0</v>
          </cell>
          <cell r="AS488">
            <v>0</v>
          </cell>
          <cell r="AT488">
            <v>0</v>
          </cell>
          <cell r="AU488">
            <v>0</v>
          </cell>
          <cell r="AV488">
            <v>0</v>
          </cell>
          <cell r="AW488">
            <v>0</v>
          </cell>
          <cell r="AX488">
            <v>0</v>
          </cell>
          <cell r="AY488">
            <v>0</v>
          </cell>
          <cell r="AZ488">
            <v>0</v>
          </cell>
          <cell r="BA488">
            <v>8</v>
          </cell>
          <cell r="BB488">
            <v>0</v>
          </cell>
          <cell r="BC488">
            <v>0</v>
          </cell>
          <cell r="BD488">
            <v>0</v>
          </cell>
          <cell r="BE488">
            <v>0</v>
          </cell>
          <cell r="BF488">
            <v>0</v>
          </cell>
          <cell r="BG488">
            <v>192</v>
          </cell>
          <cell r="BH488">
            <v>1</v>
          </cell>
          <cell r="BI488">
            <v>1</v>
          </cell>
          <cell r="BJ488">
            <v>1</v>
          </cell>
          <cell r="BL488">
            <v>0</v>
          </cell>
          <cell r="BM488">
            <v>4</v>
          </cell>
          <cell r="BN488">
            <v>0</v>
          </cell>
          <cell r="BO488">
            <v>3</v>
          </cell>
          <cell r="BP488">
            <v>0</v>
          </cell>
          <cell r="BQ488">
            <v>0</v>
          </cell>
          <cell r="BR488">
            <v>0</v>
          </cell>
          <cell r="BS488">
            <v>0</v>
          </cell>
          <cell r="BT488">
            <v>4</v>
          </cell>
          <cell r="BU488">
            <v>0</v>
          </cell>
          <cell r="BV488">
            <v>4</v>
          </cell>
          <cell r="BW488">
            <v>0</v>
          </cell>
          <cell r="BX488">
            <v>0</v>
          </cell>
          <cell r="BY488">
            <v>0</v>
          </cell>
          <cell r="BZ488">
            <v>0</v>
          </cell>
          <cell r="CA488">
            <v>4</v>
          </cell>
          <cell r="CB488">
            <v>0</v>
          </cell>
          <cell r="CC488">
            <v>4</v>
          </cell>
          <cell r="CD488">
            <v>0</v>
          </cell>
          <cell r="CE488">
            <v>0</v>
          </cell>
          <cell r="CF488">
            <v>0</v>
          </cell>
          <cell r="CG488">
            <v>0</v>
          </cell>
          <cell r="CH488">
            <v>4</v>
          </cell>
          <cell r="CI488">
            <v>0</v>
          </cell>
          <cell r="CJ488">
            <v>4</v>
          </cell>
          <cell r="CK488">
            <v>4</v>
          </cell>
          <cell r="CL488">
            <v>0</v>
          </cell>
          <cell r="CM488">
            <v>0</v>
          </cell>
          <cell r="CR488">
            <v>0</v>
          </cell>
          <cell r="CS488">
            <v>0</v>
          </cell>
          <cell r="CT488">
            <v>35</v>
          </cell>
          <cell r="CU488">
            <v>0</v>
          </cell>
          <cell r="CV488">
            <v>0</v>
          </cell>
          <cell r="CZ488">
            <v>35</v>
          </cell>
        </row>
        <row r="489">
          <cell r="C489" t="str">
            <v>03446</v>
          </cell>
          <cell r="D489" t="str">
            <v>Võ Công Tường</v>
          </cell>
          <cell r="E489" t="str">
            <v xml:space="preserve">EHS &amp; Facilities </v>
          </cell>
          <cell r="F489" t="str">
            <v>Maintenance</v>
          </cell>
          <cell r="G489" t="str">
            <v xml:space="preserve"> Technician</v>
          </cell>
          <cell r="H489">
            <v>44677</v>
          </cell>
          <cell r="I489">
            <v>8</v>
          </cell>
          <cell r="J489">
            <v>8</v>
          </cell>
          <cell r="K489">
            <v>8</v>
          </cell>
          <cell r="L489" t="str">
            <v>CN</v>
          </cell>
          <cell r="M489" t="str">
            <v>Đ</v>
          </cell>
          <cell r="N489" t="str">
            <v>Đ</v>
          </cell>
          <cell r="O489" t="str">
            <v>Đ</v>
          </cell>
          <cell r="P489" t="str">
            <v>Đ</v>
          </cell>
          <cell r="Q489" t="str">
            <v>Đ</v>
          </cell>
          <cell r="R489" t="str">
            <v>Đ</v>
          </cell>
          <cell r="S489" t="str">
            <v>CN</v>
          </cell>
          <cell r="T489" t="str">
            <v>AL4</v>
          </cell>
          <cell r="U489">
            <v>8</v>
          </cell>
          <cell r="V489">
            <v>8</v>
          </cell>
          <cell r="W489">
            <v>8</v>
          </cell>
          <cell r="X489">
            <v>8</v>
          </cell>
          <cell r="Y489">
            <v>8</v>
          </cell>
          <cell r="Z489" t="str">
            <v>CN</v>
          </cell>
          <cell r="AA489">
            <v>8</v>
          </cell>
          <cell r="AB489">
            <v>8</v>
          </cell>
          <cell r="AC489">
            <v>8</v>
          </cell>
          <cell r="AD489">
            <v>8</v>
          </cell>
          <cell r="AE489">
            <v>8</v>
          </cell>
          <cell r="AF489">
            <v>8</v>
          </cell>
          <cell r="AG489" t="str">
            <v>CN</v>
          </cell>
          <cell r="AH489" t="str">
            <v>Đ</v>
          </cell>
          <cell r="AI489" t="str">
            <v>Đ</v>
          </cell>
          <cell r="AJ489" t="str">
            <v>Đ</v>
          </cell>
          <cell r="AN489">
            <v>72</v>
          </cell>
          <cell r="AO489">
            <v>116</v>
          </cell>
          <cell r="AP489">
            <v>4</v>
          </cell>
          <cell r="AQ489">
            <v>0</v>
          </cell>
          <cell r="AR489">
            <v>0</v>
          </cell>
          <cell r="AS489">
            <v>0</v>
          </cell>
          <cell r="AT489">
            <v>0</v>
          </cell>
          <cell r="AU489">
            <v>0</v>
          </cell>
          <cell r="AV489">
            <v>0</v>
          </cell>
          <cell r="AW489">
            <v>0</v>
          </cell>
          <cell r="AX489">
            <v>0</v>
          </cell>
          <cell r="AY489">
            <v>0</v>
          </cell>
          <cell r="AZ489">
            <v>0</v>
          </cell>
          <cell r="BA489">
            <v>4</v>
          </cell>
          <cell r="BB489">
            <v>0</v>
          </cell>
          <cell r="BC489">
            <v>0</v>
          </cell>
          <cell r="BD489">
            <v>0</v>
          </cell>
          <cell r="BE489">
            <v>0</v>
          </cell>
          <cell r="BF489">
            <v>0</v>
          </cell>
          <cell r="BG489">
            <v>192</v>
          </cell>
          <cell r="BH489">
            <v>0.5</v>
          </cell>
          <cell r="BI489">
            <v>0.5</v>
          </cell>
          <cell r="BJ489">
            <v>1</v>
          </cell>
          <cell r="BL489">
            <v>0</v>
          </cell>
          <cell r="BM489">
            <v>0</v>
          </cell>
          <cell r="BN489">
            <v>0</v>
          </cell>
          <cell r="BO489">
            <v>0</v>
          </cell>
          <cell r="BP489">
            <v>0</v>
          </cell>
          <cell r="BQ489">
            <v>0</v>
          </cell>
          <cell r="BR489">
            <v>0</v>
          </cell>
          <cell r="BS489">
            <v>4</v>
          </cell>
          <cell r="BT489">
            <v>0</v>
          </cell>
          <cell r="BU489">
            <v>4</v>
          </cell>
          <cell r="BV489">
            <v>0</v>
          </cell>
          <cell r="BW489">
            <v>0</v>
          </cell>
          <cell r="BX489">
            <v>0</v>
          </cell>
          <cell r="BY489">
            <v>0</v>
          </cell>
          <cell r="BZ489">
            <v>4</v>
          </cell>
          <cell r="CA489">
            <v>0</v>
          </cell>
          <cell r="CB489">
            <v>0</v>
          </cell>
          <cell r="CC489">
            <v>0</v>
          </cell>
          <cell r="CD489">
            <v>0</v>
          </cell>
          <cell r="CE489">
            <v>0</v>
          </cell>
          <cell r="CF489">
            <v>0</v>
          </cell>
          <cell r="CG489">
            <v>4</v>
          </cell>
          <cell r="CH489">
            <v>0</v>
          </cell>
          <cell r="CI489">
            <v>0</v>
          </cell>
          <cell r="CJ489">
            <v>0</v>
          </cell>
          <cell r="CK489">
            <v>0</v>
          </cell>
          <cell r="CL489">
            <v>0</v>
          </cell>
          <cell r="CM489">
            <v>0</v>
          </cell>
          <cell r="CR489">
            <v>0</v>
          </cell>
          <cell r="CS489">
            <v>0</v>
          </cell>
          <cell r="CT489">
            <v>16</v>
          </cell>
          <cell r="CU489">
            <v>0</v>
          </cell>
          <cell r="CV489">
            <v>0</v>
          </cell>
          <cell r="CZ489">
            <v>16</v>
          </cell>
        </row>
        <row r="490">
          <cell r="C490" t="str">
            <v>03449</v>
          </cell>
          <cell r="D490" t="str">
            <v>Phạm Thanh Trúc</v>
          </cell>
          <cell r="E490" t="str">
            <v xml:space="preserve">EHS &amp; Facilities </v>
          </cell>
          <cell r="F490" t="str">
            <v>EHS</v>
          </cell>
          <cell r="G490" t="str">
            <v>Staff</v>
          </cell>
          <cell r="H490">
            <v>44679</v>
          </cell>
          <cell r="I490">
            <v>8</v>
          </cell>
          <cell r="J490">
            <v>8</v>
          </cell>
          <cell r="K490" t="str">
            <v>PO</v>
          </cell>
          <cell r="L490" t="str">
            <v>CN</v>
          </cell>
          <cell r="M490">
            <v>8</v>
          </cell>
          <cell r="N490">
            <v>8</v>
          </cell>
          <cell r="O490">
            <v>8</v>
          </cell>
          <cell r="P490" t="str">
            <v>AL4</v>
          </cell>
          <cell r="Q490">
            <v>8</v>
          </cell>
          <cell r="R490" t="str">
            <v>PO</v>
          </cell>
          <cell r="S490" t="str">
            <v>CN</v>
          </cell>
          <cell r="T490">
            <v>8</v>
          </cell>
          <cell r="U490">
            <v>8</v>
          </cell>
          <cell r="V490">
            <v>8</v>
          </cell>
          <cell r="W490">
            <v>8</v>
          </cell>
          <cell r="X490">
            <v>8</v>
          </cell>
          <cell r="Y490" t="str">
            <v>PO</v>
          </cell>
          <cell r="Z490" t="str">
            <v>CN</v>
          </cell>
          <cell r="AA490">
            <v>8</v>
          </cell>
          <cell r="AB490">
            <v>8</v>
          </cell>
          <cell r="AC490">
            <v>8</v>
          </cell>
          <cell r="AD490">
            <v>8</v>
          </cell>
          <cell r="AE490">
            <v>8</v>
          </cell>
          <cell r="AF490" t="str">
            <v>PO</v>
          </cell>
          <cell r="AG490" t="str">
            <v>CN</v>
          </cell>
          <cell r="AH490">
            <v>8</v>
          </cell>
          <cell r="AI490">
            <v>8</v>
          </cell>
          <cell r="AJ490">
            <v>8</v>
          </cell>
          <cell r="AN490">
            <v>0</v>
          </cell>
          <cell r="AO490">
            <v>156</v>
          </cell>
          <cell r="AP490">
            <v>4</v>
          </cell>
          <cell r="AQ490">
            <v>0</v>
          </cell>
          <cell r="AR490">
            <v>0</v>
          </cell>
          <cell r="AS490">
            <v>0</v>
          </cell>
          <cell r="AT490">
            <v>0</v>
          </cell>
          <cell r="AU490">
            <v>0</v>
          </cell>
          <cell r="AV490">
            <v>32</v>
          </cell>
          <cell r="AW490">
            <v>0</v>
          </cell>
          <cell r="AX490">
            <v>0</v>
          </cell>
          <cell r="AY490">
            <v>0</v>
          </cell>
          <cell r="AZ490">
            <v>0</v>
          </cell>
          <cell r="BA490">
            <v>4</v>
          </cell>
          <cell r="BB490">
            <v>0</v>
          </cell>
          <cell r="BC490">
            <v>0</v>
          </cell>
          <cell r="BD490">
            <v>0</v>
          </cell>
          <cell r="BE490">
            <v>0</v>
          </cell>
          <cell r="BF490">
            <v>0</v>
          </cell>
          <cell r="BG490">
            <v>192</v>
          </cell>
          <cell r="BH490">
            <v>0.5</v>
          </cell>
          <cell r="BI490">
            <v>0.5</v>
          </cell>
          <cell r="BJ490">
            <v>3.5</v>
          </cell>
          <cell r="BL490">
            <v>0</v>
          </cell>
          <cell r="BM490">
            <v>0</v>
          </cell>
          <cell r="BN490">
            <v>0</v>
          </cell>
          <cell r="BO490">
            <v>0</v>
          </cell>
          <cell r="BP490">
            <v>0</v>
          </cell>
          <cell r="BQ490">
            <v>0</v>
          </cell>
          <cell r="BR490">
            <v>0</v>
          </cell>
          <cell r="BS490">
            <v>0</v>
          </cell>
          <cell r="BT490">
            <v>0</v>
          </cell>
          <cell r="BU490">
            <v>0</v>
          </cell>
          <cell r="BV490">
            <v>0</v>
          </cell>
          <cell r="BW490">
            <v>0</v>
          </cell>
          <cell r="BX490">
            <v>0</v>
          </cell>
          <cell r="BY490">
            <v>0</v>
          </cell>
          <cell r="BZ490">
            <v>0</v>
          </cell>
          <cell r="CA490">
            <v>0</v>
          </cell>
          <cell r="CB490">
            <v>0</v>
          </cell>
          <cell r="CC490">
            <v>0</v>
          </cell>
          <cell r="CD490">
            <v>0</v>
          </cell>
          <cell r="CE490">
            <v>0</v>
          </cell>
          <cell r="CF490">
            <v>0</v>
          </cell>
          <cell r="CG490">
            <v>0</v>
          </cell>
          <cell r="CH490">
            <v>0</v>
          </cell>
          <cell r="CI490">
            <v>0</v>
          </cell>
          <cell r="CJ490">
            <v>0</v>
          </cell>
          <cell r="CK490">
            <v>0</v>
          </cell>
          <cell r="CL490">
            <v>0</v>
          </cell>
          <cell r="CM490">
            <v>0</v>
          </cell>
          <cell r="CR490">
            <v>0</v>
          </cell>
          <cell r="CS490">
            <v>0</v>
          </cell>
          <cell r="CT490">
            <v>0</v>
          </cell>
          <cell r="CU490">
            <v>0</v>
          </cell>
          <cell r="CV490">
            <v>0</v>
          </cell>
          <cell r="CZ490">
            <v>0</v>
          </cell>
        </row>
        <row r="491">
          <cell r="C491" t="str">
            <v>03450</v>
          </cell>
          <cell r="D491" t="str">
            <v>Trần Thị Ngọc Ánh</v>
          </cell>
          <cell r="E491" t="str">
            <v>PD</v>
          </cell>
          <cell r="F491" t="str">
            <v>PD office</v>
          </cell>
          <cell r="G491" t="str">
            <v>Senior staff</v>
          </cell>
          <cell r="H491">
            <v>44684</v>
          </cell>
          <cell r="I491">
            <v>8</v>
          </cell>
          <cell r="J491">
            <v>8</v>
          </cell>
          <cell r="K491" t="str">
            <v>PO</v>
          </cell>
          <cell r="L491" t="str">
            <v>CN</v>
          </cell>
          <cell r="M491">
            <v>8</v>
          </cell>
          <cell r="N491">
            <v>8</v>
          </cell>
          <cell r="O491">
            <v>8</v>
          </cell>
          <cell r="P491">
            <v>8</v>
          </cell>
          <cell r="Q491">
            <v>8</v>
          </cell>
          <cell r="R491" t="str">
            <v>PO</v>
          </cell>
          <cell r="S491" t="str">
            <v>CN</v>
          </cell>
          <cell r="T491">
            <v>8</v>
          </cell>
          <cell r="U491">
            <v>8</v>
          </cell>
          <cell r="V491">
            <v>8</v>
          </cell>
          <cell r="W491">
            <v>8</v>
          </cell>
          <cell r="X491">
            <v>8</v>
          </cell>
          <cell r="Y491" t="str">
            <v>PO</v>
          </cell>
          <cell r="Z491" t="str">
            <v>CN</v>
          </cell>
          <cell r="AA491">
            <v>8</v>
          </cell>
          <cell r="AB491">
            <v>8</v>
          </cell>
          <cell r="AC491">
            <v>8</v>
          </cell>
          <cell r="AD491">
            <v>8</v>
          </cell>
          <cell r="AE491">
            <v>8</v>
          </cell>
          <cell r="AF491" t="str">
            <v>PO</v>
          </cell>
          <cell r="AG491" t="str">
            <v>CN</v>
          </cell>
          <cell r="AH491">
            <v>8</v>
          </cell>
          <cell r="AI491">
            <v>8</v>
          </cell>
          <cell r="AJ491">
            <v>8</v>
          </cell>
          <cell r="AN491">
            <v>0</v>
          </cell>
          <cell r="AO491">
            <v>160</v>
          </cell>
          <cell r="AP491">
            <v>0</v>
          </cell>
          <cell r="AQ491">
            <v>0</v>
          </cell>
          <cell r="AR491">
            <v>0</v>
          </cell>
          <cell r="AS491">
            <v>0</v>
          </cell>
          <cell r="AT491">
            <v>0</v>
          </cell>
          <cell r="AU491">
            <v>0</v>
          </cell>
          <cell r="AV491">
            <v>32</v>
          </cell>
          <cell r="AW491">
            <v>0</v>
          </cell>
          <cell r="AX491">
            <v>0</v>
          </cell>
          <cell r="AY491">
            <v>0</v>
          </cell>
          <cell r="AZ491">
            <v>0</v>
          </cell>
          <cell r="BA491">
            <v>0</v>
          </cell>
          <cell r="BB491">
            <v>0</v>
          </cell>
          <cell r="BC491">
            <v>0</v>
          </cell>
          <cell r="BD491">
            <v>0</v>
          </cell>
          <cell r="BE491">
            <v>0</v>
          </cell>
          <cell r="BF491">
            <v>0</v>
          </cell>
          <cell r="BG491">
            <v>192</v>
          </cell>
          <cell r="BH491">
            <v>0</v>
          </cell>
          <cell r="BI491">
            <v>0</v>
          </cell>
          <cell r="BJ491">
            <v>10</v>
          </cell>
          <cell r="BL491">
            <v>0</v>
          </cell>
          <cell r="BM491">
            <v>0</v>
          </cell>
          <cell r="BN491">
            <v>0</v>
          </cell>
          <cell r="BO491">
            <v>0</v>
          </cell>
          <cell r="BP491">
            <v>0</v>
          </cell>
          <cell r="BQ491">
            <v>0</v>
          </cell>
          <cell r="BR491">
            <v>0</v>
          </cell>
          <cell r="BS491">
            <v>0</v>
          </cell>
          <cell r="BT491">
            <v>0</v>
          </cell>
          <cell r="BU491">
            <v>0</v>
          </cell>
          <cell r="BV491">
            <v>0</v>
          </cell>
          <cell r="BW491">
            <v>0</v>
          </cell>
          <cell r="BX491">
            <v>0</v>
          </cell>
          <cell r="BY491">
            <v>0</v>
          </cell>
          <cell r="BZ491">
            <v>0</v>
          </cell>
          <cell r="CA491">
            <v>2</v>
          </cell>
          <cell r="CB491">
            <v>0</v>
          </cell>
          <cell r="CC491">
            <v>0</v>
          </cell>
          <cell r="CD491">
            <v>0</v>
          </cell>
          <cell r="CE491">
            <v>0</v>
          </cell>
          <cell r="CF491">
            <v>2.5</v>
          </cell>
          <cell r="CG491">
            <v>0</v>
          </cell>
          <cell r="CH491">
            <v>0</v>
          </cell>
          <cell r="CI491">
            <v>0</v>
          </cell>
          <cell r="CJ491">
            <v>0</v>
          </cell>
          <cell r="CK491">
            <v>0</v>
          </cell>
          <cell r="CL491">
            <v>0</v>
          </cell>
          <cell r="CM491">
            <v>0</v>
          </cell>
          <cell r="CR491">
            <v>0</v>
          </cell>
          <cell r="CS491">
            <v>0</v>
          </cell>
          <cell r="CT491">
            <v>4.5</v>
          </cell>
          <cell r="CU491">
            <v>0</v>
          </cell>
          <cell r="CV491">
            <v>0</v>
          </cell>
          <cell r="CZ491">
            <v>4.5</v>
          </cell>
        </row>
        <row r="492">
          <cell r="C492" t="str">
            <v>03452</v>
          </cell>
          <cell r="D492" t="str">
            <v>Võ Trường Thi</v>
          </cell>
          <cell r="E492" t="str">
            <v xml:space="preserve">EHS &amp; Facilities </v>
          </cell>
          <cell r="F492" t="str">
            <v>Maintenance</v>
          </cell>
          <cell r="G492" t="str">
            <v>Automation Engineer</v>
          </cell>
          <cell r="H492">
            <v>44684</v>
          </cell>
          <cell r="I492">
            <v>8</v>
          </cell>
          <cell r="J492">
            <v>8</v>
          </cell>
          <cell r="K492" t="str">
            <v>PO</v>
          </cell>
          <cell r="L492" t="str">
            <v>CN</v>
          </cell>
          <cell r="M492">
            <v>8</v>
          </cell>
          <cell r="N492">
            <v>8</v>
          </cell>
          <cell r="O492">
            <v>8</v>
          </cell>
          <cell r="P492">
            <v>8</v>
          </cell>
          <cell r="Q492" t="str">
            <v>PO</v>
          </cell>
          <cell r="R492" t="str">
            <v>PO</v>
          </cell>
          <cell r="S492" t="str">
            <v>CN</v>
          </cell>
          <cell r="T492">
            <v>8</v>
          </cell>
          <cell r="U492">
            <v>8</v>
          </cell>
          <cell r="V492">
            <v>8</v>
          </cell>
          <cell r="W492">
            <v>8</v>
          </cell>
          <cell r="X492">
            <v>8</v>
          </cell>
          <cell r="Y492" t="str">
            <v>PO</v>
          </cell>
          <cell r="Z492" t="str">
            <v>CN</v>
          </cell>
          <cell r="AA492">
            <v>8</v>
          </cell>
          <cell r="AB492">
            <v>8</v>
          </cell>
          <cell r="AC492" t="str">
            <v>AL8</v>
          </cell>
          <cell r="AD492">
            <v>8</v>
          </cell>
          <cell r="AE492">
            <v>8</v>
          </cell>
          <cell r="AF492" t="str">
            <v>PO</v>
          </cell>
          <cell r="AG492" t="str">
            <v>CN</v>
          </cell>
          <cell r="AH492">
            <v>8</v>
          </cell>
          <cell r="AI492">
            <v>8</v>
          </cell>
          <cell r="AJ492">
            <v>8</v>
          </cell>
          <cell r="AN492">
            <v>0</v>
          </cell>
          <cell r="AO492">
            <v>144</v>
          </cell>
          <cell r="AP492">
            <v>0</v>
          </cell>
          <cell r="AQ492">
            <v>0</v>
          </cell>
          <cell r="AR492">
            <v>0</v>
          </cell>
          <cell r="AS492">
            <v>0</v>
          </cell>
          <cell r="AT492">
            <v>0</v>
          </cell>
          <cell r="AU492">
            <v>0</v>
          </cell>
          <cell r="AV492">
            <v>40</v>
          </cell>
          <cell r="AW492">
            <v>0</v>
          </cell>
          <cell r="AX492">
            <v>0</v>
          </cell>
          <cell r="AY492">
            <v>0</v>
          </cell>
          <cell r="AZ492">
            <v>0</v>
          </cell>
          <cell r="BA492">
            <v>8</v>
          </cell>
          <cell r="BB492">
            <v>0</v>
          </cell>
          <cell r="BC492">
            <v>0</v>
          </cell>
          <cell r="BD492">
            <v>0</v>
          </cell>
          <cell r="BE492">
            <v>0</v>
          </cell>
          <cell r="BF492">
            <v>0</v>
          </cell>
          <cell r="BG492">
            <v>192</v>
          </cell>
          <cell r="BH492">
            <v>1</v>
          </cell>
          <cell r="BI492">
            <v>1</v>
          </cell>
          <cell r="BJ492">
            <v>4.5</v>
          </cell>
          <cell r="BL492">
            <v>1</v>
          </cell>
          <cell r="BM492">
            <v>0</v>
          </cell>
          <cell r="BN492">
            <v>0</v>
          </cell>
          <cell r="BO492">
            <v>0</v>
          </cell>
          <cell r="BP492">
            <v>0.5</v>
          </cell>
          <cell r="BQ492">
            <v>0.75</v>
          </cell>
          <cell r="BR492">
            <v>0.75</v>
          </cell>
          <cell r="BS492">
            <v>1</v>
          </cell>
          <cell r="BT492">
            <v>0</v>
          </cell>
          <cell r="BU492">
            <v>0</v>
          </cell>
          <cell r="BV492">
            <v>0</v>
          </cell>
          <cell r="BW492">
            <v>0.5</v>
          </cell>
          <cell r="BX492">
            <v>0.5</v>
          </cell>
          <cell r="BY492">
            <v>0.5</v>
          </cell>
          <cell r="BZ492">
            <v>0</v>
          </cell>
          <cell r="CA492">
            <v>0.5</v>
          </cell>
          <cell r="CB492">
            <v>0</v>
          </cell>
          <cell r="CC492">
            <v>8</v>
          </cell>
          <cell r="CD492">
            <v>0</v>
          </cell>
          <cell r="CE492">
            <v>2</v>
          </cell>
          <cell r="CF492">
            <v>0</v>
          </cell>
          <cell r="CG492">
            <v>1.5</v>
          </cell>
          <cell r="CH492">
            <v>0</v>
          </cell>
          <cell r="CI492">
            <v>0</v>
          </cell>
          <cell r="CJ492">
            <v>0</v>
          </cell>
          <cell r="CK492">
            <v>1</v>
          </cell>
          <cell r="CL492">
            <v>0</v>
          </cell>
          <cell r="CM492">
            <v>0</v>
          </cell>
          <cell r="CR492">
            <v>0</v>
          </cell>
          <cell r="CS492">
            <v>0</v>
          </cell>
          <cell r="CT492">
            <v>10.5</v>
          </cell>
          <cell r="CU492">
            <v>8</v>
          </cell>
          <cell r="CV492">
            <v>0</v>
          </cell>
          <cell r="CZ492">
            <v>18.5</v>
          </cell>
        </row>
        <row r="493">
          <cell r="C493" t="str">
            <v>03455</v>
          </cell>
          <cell r="D493" t="str">
            <v>Bùi Thị Nhã Phương</v>
          </cell>
          <cell r="E493" t="str">
            <v>Production</v>
          </cell>
          <cell r="F493" t="str">
            <v>Die cut</v>
          </cell>
          <cell r="G493" t="str">
            <v>Worker</v>
          </cell>
          <cell r="H493">
            <v>44686</v>
          </cell>
          <cell r="I493" t="str">
            <v>Đ</v>
          </cell>
          <cell r="J493" t="str">
            <v>Đ</v>
          </cell>
          <cell r="K493" t="str">
            <v>Đ</v>
          </cell>
          <cell r="L493" t="str">
            <v>CN</v>
          </cell>
          <cell r="M493">
            <v>8</v>
          </cell>
          <cell r="N493">
            <v>8</v>
          </cell>
          <cell r="O493">
            <v>8</v>
          </cell>
          <cell r="P493" t="str">
            <v>AL4</v>
          </cell>
          <cell r="Q493">
            <v>8</v>
          </cell>
          <cell r="R493">
            <v>8</v>
          </cell>
          <cell r="S493" t="str">
            <v>CN</v>
          </cell>
          <cell r="T493" t="str">
            <v>Đ</v>
          </cell>
          <cell r="U493" t="str">
            <v>Đ</v>
          </cell>
          <cell r="V493" t="str">
            <v>Đ</v>
          </cell>
          <cell r="W493" t="str">
            <v>Đ</v>
          </cell>
          <cell r="X493" t="str">
            <v>Đ</v>
          </cell>
          <cell r="Y493" t="str">
            <v>AL8</v>
          </cell>
          <cell r="Z493" t="str">
            <v>CN</v>
          </cell>
          <cell r="AA493">
            <v>8</v>
          </cell>
          <cell r="AB493">
            <v>8</v>
          </cell>
          <cell r="AC493">
            <v>8</v>
          </cell>
          <cell r="AD493">
            <v>8</v>
          </cell>
          <cell r="AE493">
            <v>8</v>
          </cell>
          <cell r="AF493">
            <v>8</v>
          </cell>
          <cell r="AG493" t="str">
            <v>CN</v>
          </cell>
          <cell r="AH493" t="str">
            <v>Đ</v>
          </cell>
          <cell r="AI493" t="str">
            <v>Đ</v>
          </cell>
          <cell r="AJ493" t="str">
            <v>Đ</v>
          </cell>
          <cell r="AN493">
            <v>88</v>
          </cell>
          <cell r="AO493">
            <v>92</v>
          </cell>
          <cell r="AP493">
            <v>4</v>
          </cell>
          <cell r="AQ493">
            <v>0</v>
          </cell>
          <cell r="AR493">
            <v>0</v>
          </cell>
          <cell r="AS493">
            <v>0</v>
          </cell>
          <cell r="AT493">
            <v>0</v>
          </cell>
          <cell r="AU493">
            <v>0</v>
          </cell>
          <cell r="AV493">
            <v>0</v>
          </cell>
          <cell r="AW493">
            <v>0</v>
          </cell>
          <cell r="AX493">
            <v>0</v>
          </cell>
          <cell r="AY493">
            <v>0</v>
          </cell>
          <cell r="AZ493">
            <v>0</v>
          </cell>
          <cell r="BA493">
            <v>12</v>
          </cell>
          <cell r="BB493">
            <v>0</v>
          </cell>
          <cell r="BC493">
            <v>0</v>
          </cell>
          <cell r="BD493">
            <v>0</v>
          </cell>
          <cell r="BE493">
            <v>0</v>
          </cell>
          <cell r="BF493">
            <v>0</v>
          </cell>
          <cell r="BG493">
            <v>192</v>
          </cell>
          <cell r="BH493">
            <v>1.5</v>
          </cell>
          <cell r="BI493">
            <v>1.5</v>
          </cell>
          <cell r="BJ493">
            <v>1.5</v>
          </cell>
          <cell r="BL493">
            <v>1.5</v>
          </cell>
          <cell r="BM493">
            <v>1.5</v>
          </cell>
          <cell r="BN493">
            <v>1.5</v>
          </cell>
          <cell r="BO493">
            <v>0</v>
          </cell>
          <cell r="BP493">
            <v>1.5</v>
          </cell>
          <cell r="BQ493">
            <v>0</v>
          </cell>
          <cell r="BR493">
            <v>0</v>
          </cell>
          <cell r="BS493">
            <v>0</v>
          </cell>
          <cell r="BT493">
            <v>0</v>
          </cell>
          <cell r="BU493">
            <v>3</v>
          </cell>
          <cell r="BV493">
            <v>0</v>
          </cell>
          <cell r="BW493">
            <v>4</v>
          </cell>
          <cell r="BX493">
            <v>4</v>
          </cell>
          <cell r="BY493">
            <v>4</v>
          </cell>
          <cell r="BZ493">
            <v>4</v>
          </cell>
          <cell r="CA493">
            <v>4</v>
          </cell>
          <cell r="CB493">
            <v>0</v>
          </cell>
          <cell r="CC493">
            <v>0</v>
          </cell>
          <cell r="CD493">
            <v>3</v>
          </cell>
          <cell r="CE493">
            <v>3</v>
          </cell>
          <cell r="CF493">
            <v>3</v>
          </cell>
          <cell r="CG493">
            <v>3</v>
          </cell>
          <cell r="CH493">
            <v>3</v>
          </cell>
          <cell r="CI493">
            <v>3</v>
          </cell>
          <cell r="CJ493">
            <v>8</v>
          </cell>
          <cell r="CK493">
            <v>4</v>
          </cell>
          <cell r="CL493">
            <v>4</v>
          </cell>
          <cell r="CM493">
            <v>4</v>
          </cell>
          <cell r="CR493">
            <v>0</v>
          </cell>
          <cell r="CS493">
            <v>0</v>
          </cell>
          <cell r="CT493">
            <v>59</v>
          </cell>
          <cell r="CU493">
            <v>8</v>
          </cell>
          <cell r="CV493">
            <v>0</v>
          </cell>
          <cell r="CZ493">
            <v>67</v>
          </cell>
        </row>
        <row r="494">
          <cell r="C494" t="str">
            <v>03457</v>
          </cell>
          <cell r="D494" t="str">
            <v>Văn Thị Lan Anh</v>
          </cell>
          <cell r="E494" t="str">
            <v>Production</v>
          </cell>
          <cell r="F494" t="str">
            <v>Molding</v>
          </cell>
          <cell r="G494" t="str">
            <v>Worker</v>
          </cell>
          <cell r="H494">
            <v>44686</v>
          </cell>
          <cell r="I494" t="str">
            <v>Đ</v>
          </cell>
          <cell r="J494" t="str">
            <v>Đ</v>
          </cell>
          <cell r="K494" t="str">
            <v>CN</v>
          </cell>
          <cell r="L494">
            <v>8</v>
          </cell>
          <cell r="M494">
            <v>8</v>
          </cell>
          <cell r="N494">
            <v>8</v>
          </cell>
          <cell r="O494">
            <v>8</v>
          </cell>
          <cell r="P494">
            <v>8</v>
          </cell>
          <cell r="Q494">
            <v>8</v>
          </cell>
          <cell r="R494" t="str">
            <v>CN</v>
          </cell>
          <cell r="S494" t="str">
            <v>Đ</v>
          </cell>
          <cell r="T494" t="str">
            <v>Đ</v>
          </cell>
          <cell r="U494" t="str">
            <v>Đ</v>
          </cell>
          <cell r="V494" t="str">
            <v>Đ</v>
          </cell>
          <cell r="W494" t="str">
            <v>Đ</v>
          </cell>
          <cell r="X494" t="str">
            <v>Đ</v>
          </cell>
          <cell r="Y494" t="str">
            <v>CN</v>
          </cell>
          <cell r="Z494">
            <v>8</v>
          </cell>
          <cell r="AA494">
            <v>8</v>
          </cell>
          <cell r="AB494">
            <v>8</v>
          </cell>
          <cell r="AC494">
            <v>8</v>
          </cell>
          <cell r="AD494">
            <v>8</v>
          </cell>
          <cell r="AE494">
            <v>8</v>
          </cell>
          <cell r="AF494" t="str">
            <v>CN</v>
          </cell>
          <cell r="AG494" t="str">
            <v>Đ</v>
          </cell>
          <cell r="AH494" t="str">
            <v>Đ</v>
          </cell>
          <cell r="AI494" t="str">
            <v>Đ</v>
          </cell>
          <cell r="AJ494" t="str">
            <v>Đ</v>
          </cell>
          <cell r="AN494">
            <v>96</v>
          </cell>
          <cell r="AO494">
            <v>96</v>
          </cell>
          <cell r="AP494">
            <v>0</v>
          </cell>
          <cell r="AQ494">
            <v>0</v>
          </cell>
          <cell r="AR494">
            <v>0</v>
          </cell>
          <cell r="AS494">
            <v>0</v>
          </cell>
          <cell r="AT494">
            <v>0</v>
          </cell>
          <cell r="AU494">
            <v>0</v>
          </cell>
          <cell r="AV494">
            <v>0</v>
          </cell>
          <cell r="AW494">
            <v>0</v>
          </cell>
          <cell r="AX494">
            <v>0</v>
          </cell>
          <cell r="AY494">
            <v>0</v>
          </cell>
          <cell r="AZ494">
            <v>0</v>
          </cell>
          <cell r="BA494">
            <v>0</v>
          </cell>
          <cell r="BB494">
            <v>0</v>
          </cell>
          <cell r="BC494">
            <v>0</v>
          </cell>
          <cell r="BD494">
            <v>0</v>
          </cell>
          <cell r="BE494">
            <v>0</v>
          </cell>
          <cell r="BF494">
            <v>0</v>
          </cell>
          <cell r="BG494">
            <v>192</v>
          </cell>
          <cell r="BH494">
            <v>0</v>
          </cell>
          <cell r="BI494">
            <v>0</v>
          </cell>
          <cell r="BJ494">
            <v>0</v>
          </cell>
          <cell r="BL494">
            <v>0</v>
          </cell>
          <cell r="BM494">
            <v>4</v>
          </cell>
          <cell r="BN494">
            <v>0</v>
          </cell>
          <cell r="BO494">
            <v>4</v>
          </cell>
          <cell r="BP494">
            <v>0</v>
          </cell>
          <cell r="BQ494">
            <v>2</v>
          </cell>
          <cell r="BR494">
            <v>0</v>
          </cell>
          <cell r="BS494">
            <v>0</v>
          </cell>
          <cell r="BT494">
            <v>4</v>
          </cell>
          <cell r="BU494">
            <v>0</v>
          </cell>
          <cell r="BV494">
            <v>4</v>
          </cell>
          <cell r="BW494">
            <v>0</v>
          </cell>
          <cell r="BX494">
            <v>0</v>
          </cell>
          <cell r="BY494">
            <v>0</v>
          </cell>
          <cell r="BZ494">
            <v>0</v>
          </cell>
          <cell r="CA494">
            <v>4</v>
          </cell>
          <cell r="CB494">
            <v>0</v>
          </cell>
          <cell r="CC494">
            <v>0</v>
          </cell>
          <cell r="CD494">
            <v>0</v>
          </cell>
          <cell r="CE494">
            <v>0</v>
          </cell>
          <cell r="CF494">
            <v>0</v>
          </cell>
          <cell r="CG494">
            <v>0</v>
          </cell>
          <cell r="CH494">
            <v>4</v>
          </cell>
          <cell r="CI494">
            <v>0</v>
          </cell>
          <cell r="CJ494">
            <v>4</v>
          </cell>
          <cell r="CK494">
            <v>0</v>
          </cell>
          <cell r="CL494">
            <v>0</v>
          </cell>
          <cell r="CM494">
            <v>0</v>
          </cell>
          <cell r="CR494">
            <v>0</v>
          </cell>
          <cell r="CS494">
            <v>0</v>
          </cell>
          <cell r="CT494">
            <v>30</v>
          </cell>
          <cell r="CU494">
            <v>0</v>
          </cell>
          <cell r="CV494">
            <v>0</v>
          </cell>
          <cell r="CZ494">
            <v>30</v>
          </cell>
        </row>
        <row r="495">
          <cell r="C495" t="str">
            <v>03459</v>
          </cell>
          <cell r="D495" t="str">
            <v>Nguyễn Trúc Như</v>
          </cell>
          <cell r="E495" t="str">
            <v>Production</v>
          </cell>
          <cell r="F495" t="str">
            <v>Molding</v>
          </cell>
          <cell r="G495" t="str">
            <v>Worker</v>
          </cell>
          <cell r="H495">
            <v>44686</v>
          </cell>
          <cell r="I495" t="str">
            <v>Đ</v>
          </cell>
          <cell r="J495" t="str">
            <v>Đ</v>
          </cell>
          <cell r="K495" t="str">
            <v>CN</v>
          </cell>
          <cell r="L495">
            <v>8</v>
          </cell>
          <cell r="M495">
            <v>8</v>
          </cell>
          <cell r="N495">
            <v>8</v>
          </cell>
          <cell r="O495">
            <v>8</v>
          </cell>
          <cell r="P495">
            <v>8</v>
          </cell>
          <cell r="Q495">
            <v>8</v>
          </cell>
          <cell r="R495" t="str">
            <v>CN</v>
          </cell>
          <cell r="S495" t="str">
            <v>Đ</v>
          </cell>
          <cell r="T495" t="str">
            <v>Đ</v>
          </cell>
          <cell r="U495" t="str">
            <v>Đ</v>
          </cell>
          <cell r="V495" t="str">
            <v>Đ</v>
          </cell>
          <cell r="W495" t="str">
            <v>Đ</v>
          </cell>
          <cell r="X495" t="str">
            <v>Đ</v>
          </cell>
          <cell r="Y495" t="str">
            <v>CN</v>
          </cell>
          <cell r="Z495">
            <v>8</v>
          </cell>
          <cell r="AA495">
            <v>8</v>
          </cell>
          <cell r="AB495">
            <v>8</v>
          </cell>
          <cell r="AC495">
            <v>8</v>
          </cell>
          <cell r="AD495">
            <v>8</v>
          </cell>
          <cell r="AE495">
            <v>8</v>
          </cell>
          <cell r="AF495" t="str">
            <v>CN</v>
          </cell>
          <cell r="AG495" t="str">
            <v>Đ</v>
          </cell>
          <cell r="AH495" t="str">
            <v>Đ</v>
          </cell>
          <cell r="AI495" t="str">
            <v>Đ</v>
          </cell>
          <cell r="AJ495" t="str">
            <v>Đ</v>
          </cell>
          <cell r="AN495">
            <v>96</v>
          </cell>
          <cell r="AO495">
            <v>96</v>
          </cell>
          <cell r="AP495">
            <v>0</v>
          </cell>
          <cell r="AQ495">
            <v>0</v>
          </cell>
          <cell r="AR495">
            <v>0</v>
          </cell>
          <cell r="AS495">
            <v>0</v>
          </cell>
          <cell r="AT495">
            <v>0</v>
          </cell>
          <cell r="AU495">
            <v>0</v>
          </cell>
          <cell r="AV495">
            <v>0</v>
          </cell>
          <cell r="AW495">
            <v>0</v>
          </cell>
          <cell r="AX495">
            <v>0</v>
          </cell>
          <cell r="AY495">
            <v>0</v>
          </cell>
          <cell r="AZ495">
            <v>0</v>
          </cell>
          <cell r="BA495">
            <v>0</v>
          </cell>
          <cell r="BB495">
            <v>0</v>
          </cell>
          <cell r="BC495">
            <v>0</v>
          </cell>
          <cell r="BD495">
            <v>0</v>
          </cell>
          <cell r="BE495">
            <v>0</v>
          </cell>
          <cell r="BF495">
            <v>0</v>
          </cell>
          <cell r="BG495">
            <v>192</v>
          </cell>
          <cell r="BH495">
            <v>0</v>
          </cell>
          <cell r="BI495">
            <v>0</v>
          </cell>
          <cell r="BJ495">
            <v>0</v>
          </cell>
          <cell r="BL495">
            <v>0</v>
          </cell>
          <cell r="BM495">
            <v>4</v>
          </cell>
          <cell r="BN495">
            <v>0</v>
          </cell>
          <cell r="BO495">
            <v>4</v>
          </cell>
          <cell r="BP495">
            <v>0</v>
          </cell>
          <cell r="BQ495">
            <v>0</v>
          </cell>
          <cell r="BR495">
            <v>0</v>
          </cell>
          <cell r="BS495">
            <v>0</v>
          </cell>
          <cell r="BT495">
            <v>4</v>
          </cell>
          <cell r="BU495">
            <v>0</v>
          </cell>
          <cell r="BV495">
            <v>4</v>
          </cell>
          <cell r="BW495">
            <v>4</v>
          </cell>
          <cell r="BX495">
            <v>0</v>
          </cell>
          <cell r="BY495">
            <v>0</v>
          </cell>
          <cell r="BZ495">
            <v>0</v>
          </cell>
          <cell r="CA495">
            <v>4</v>
          </cell>
          <cell r="CB495">
            <v>0</v>
          </cell>
          <cell r="CC495">
            <v>4</v>
          </cell>
          <cell r="CD495">
            <v>0</v>
          </cell>
          <cell r="CE495">
            <v>0</v>
          </cell>
          <cell r="CF495">
            <v>0</v>
          </cell>
          <cell r="CG495">
            <v>0</v>
          </cell>
          <cell r="CH495">
            <v>4</v>
          </cell>
          <cell r="CI495">
            <v>0</v>
          </cell>
          <cell r="CJ495">
            <v>4</v>
          </cell>
          <cell r="CK495">
            <v>4</v>
          </cell>
          <cell r="CL495">
            <v>0</v>
          </cell>
          <cell r="CM495">
            <v>0</v>
          </cell>
          <cell r="CR495">
            <v>0</v>
          </cell>
          <cell r="CS495">
            <v>0</v>
          </cell>
          <cell r="CT495">
            <v>40</v>
          </cell>
          <cell r="CU495">
            <v>0</v>
          </cell>
          <cell r="CV495">
            <v>0</v>
          </cell>
          <cell r="CZ495">
            <v>40</v>
          </cell>
        </row>
        <row r="496">
          <cell r="C496" t="str">
            <v>03461</v>
          </cell>
          <cell r="D496" t="str">
            <v>Danh Mạnh Cường</v>
          </cell>
          <cell r="E496" t="str">
            <v>Production</v>
          </cell>
          <cell r="F496" t="str">
            <v>Molding</v>
          </cell>
          <cell r="G496" t="str">
            <v>Worker</v>
          </cell>
          <cell r="H496">
            <v>44686</v>
          </cell>
          <cell r="I496">
            <v>8</v>
          </cell>
          <cell r="J496" t="str">
            <v>CN</v>
          </cell>
          <cell r="K496" t="str">
            <v>Đ</v>
          </cell>
          <cell r="L496" t="str">
            <v>Đ</v>
          </cell>
          <cell r="M496" t="str">
            <v>Đ</v>
          </cell>
          <cell r="N496" t="str">
            <v>Đ</v>
          </cell>
          <cell r="O496" t="str">
            <v>Đ</v>
          </cell>
          <cell r="P496" t="str">
            <v>Đ</v>
          </cell>
          <cell r="Q496" t="str">
            <v>CN</v>
          </cell>
          <cell r="R496">
            <v>8</v>
          </cell>
          <cell r="S496">
            <v>8</v>
          </cell>
          <cell r="T496">
            <v>8</v>
          </cell>
          <cell r="U496">
            <v>8</v>
          </cell>
          <cell r="V496">
            <v>8</v>
          </cell>
          <cell r="W496">
            <v>8</v>
          </cell>
          <cell r="X496" t="str">
            <v>CN</v>
          </cell>
          <cell r="Y496" t="str">
            <v>AL8</v>
          </cell>
          <cell r="Z496" t="str">
            <v>AL8</v>
          </cell>
          <cell r="AA496" t="str">
            <v>UP8</v>
          </cell>
          <cell r="AB496" t="str">
            <v>UP8</v>
          </cell>
          <cell r="AC496" t="str">
            <v>UP8</v>
          </cell>
          <cell r="AD496" t="str">
            <v>UP8</v>
          </cell>
          <cell r="AE496" t="str">
            <v>CN</v>
          </cell>
          <cell r="AF496">
            <v>8</v>
          </cell>
          <cell r="AG496">
            <v>8</v>
          </cell>
          <cell r="AH496">
            <v>8</v>
          </cell>
          <cell r="AI496">
            <v>8</v>
          </cell>
          <cell r="AJ496">
            <v>8</v>
          </cell>
          <cell r="AN496">
            <v>48</v>
          </cell>
          <cell r="AO496">
            <v>96</v>
          </cell>
          <cell r="AP496">
            <v>0</v>
          </cell>
          <cell r="AQ496">
            <v>0</v>
          </cell>
          <cell r="AR496">
            <v>0</v>
          </cell>
          <cell r="AS496">
            <v>32</v>
          </cell>
          <cell r="AT496">
            <v>0</v>
          </cell>
          <cell r="AU496">
            <v>0</v>
          </cell>
          <cell r="AV496">
            <v>0</v>
          </cell>
          <cell r="AW496">
            <v>0</v>
          </cell>
          <cell r="AX496">
            <v>0</v>
          </cell>
          <cell r="AY496">
            <v>0</v>
          </cell>
          <cell r="AZ496">
            <v>0</v>
          </cell>
          <cell r="BA496">
            <v>16</v>
          </cell>
          <cell r="BB496">
            <v>0</v>
          </cell>
          <cell r="BC496">
            <v>0</v>
          </cell>
          <cell r="BD496">
            <v>0</v>
          </cell>
          <cell r="BE496">
            <v>0</v>
          </cell>
          <cell r="BF496">
            <v>0</v>
          </cell>
          <cell r="BG496">
            <v>160</v>
          </cell>
          <cell r="BH496">
            <v>2</v>
          </cell>
          <cell r="BI496">
            <v>2</v>
          </cell>
          <cell r="BJ496">
            <v>-1</v>
          </cell>
          <cell r="BL496">
            <v>0</v>
          </cell>
          <cell r="BM496">
            <v>0</v>
          </cell>
          <cell r="BN496">
            <v>4</v>
          </cell>
          <cell r="BO496">
            <v>4</v>
          </cell>
          <cell r="BP496">
            <v>0</v>
          </cell>
          <cell r="BQ496">
            <v>0</v>
          </cell>
          <cell r="BR496">
            <v>0</v>
          </cell>
          <cell r="BS496">
            <v>0</v>
          </cell>
          <cell r="BT496">
            <v>0</v>
          </cell>
          <cell r="BU496">
            <v>4</v>
          </cell>
          <cell r="BV496">
            <v>4</v>
          </cell>
          <cell r="BW496">
            <v>0</v>
          </cell>
          <cell r="BX496">
            <v>0</v>
          </cell>
          <cell r="BY496">
            <v>0</v>
          </cell>
          <cell r="BZ496">
            <v>0</v>
          </cell>
          <cell r="CA496">
            <v>0</v>
          </cell>
          <cell r="CB496">
            <v>0</v>
          </cell>
          <cell r="CC496">
            <v>0</v>
          </cell>
          <cell r="CD496">
            <v>0</v>
          </cell>
          <cell r="CE496">
            <v>0</v>
          </cell>
          <cell r="CF496">
            <v>0</v>
          </cell>
          <cell r="CG496">
            <v>0</v>
          </cell>
          <cell r="CH496">
            <v>0</v>
          </cell>
          <cell r="CI496">
            <v>4</v>
          </cell>
          <cell r="CJ496">
            <v>0</v>
          </cell>
          <cell r="CK496">
            <v>0</v>
          </cell>
          <cell r="CL496">
            <v>0</v>
          </cell>
          <cell r="CM496">
            <v>0</v>
          </cell>
          <cell r="CR496">
            <v>0</v>
          </cell>
          <cell r="CS496">
            <v>0</v>
          </cell>
          <cell r="CT496">
            <v>20</v>
          </cell>
          <cell r="CU496">
            <v>0</v>
          </cell>
          <cell r="CV496">
            <v>0</v>
          </cell>
          <cell r="CZ496">
            <v>20</v>
          </cell>
        </row>
        <row r="497">
          <cell r="C497" t="str">
            <v>03462</v>
          </cell>
          <cell r="D497" t="str">
            <v>Đặng Thị Như</v>
          </cell>
          <cell r="E497" t="str">
            <v>Production</v>
          </cell>
          <cell r="F497" t="str">
            <v>Packing</v>
          </cell>
          <cell r="G497" t="str">
            <v>Worker</v>
          </cell>
          <cell r="H497">
            <v>44686</v>
          </cell>
          <cell r="I497">
            <v>8</v>
          </cell>
          <cell r="J497">
            <v>8</v>
          </cell>
          <cell r="K497">
            <v>8</v>
          </cell>
          <cell r="L497" t="str">
            <v>CN</v>
          </cell>
          <cell r="M497">
            <v>8</v>
          </cell>
          <cell r="N497">
            <v>8</v>
          </cell>
          <cell r="O497">
            <v>8</v>
          </cell>
          <cell r="P497" t="str">
            <v>BS</v>
          </cell>
          <cell r="Q497">
            <v>8</v>
          </cell>
          <cell r="R497">
            <v>8</v>
          </cell>
          <cell r="S497" t="str">
            <v>CN</v>
          </cell>
          <cell r="T497" t="str">
            <v>BS</v>
          </cell>
          <cell r="U497" t="str">
            <v>BS</v>
          </cell>
          <cell r="V497" t="str">
            <v>BS</v>
          </cell>
          <cell r="W497" t="str">
            <v>BS</v>
          </cell>
          <cell r="X497" t="str">
            <v>BS</v>
          </cell>
          <cell r="Y497">
            <v>8</v>
          </cell>
          <cell r="Z497" t="str">
            <v>CN</v>
          </cell>
          <cell r="AA497">
            <v>8</v>
          </cell>
          <cell r="AB497">
            <v>8</v>
          </cell>
          <cell r="AC497">
            <v>8</v>
          </cell>
          <cell r="AD497">
            <v>8</v>
          </cell>
          <cell r="AE497" t="str">
            <v>BS</v>
          </cell>
          <cell r="AF497">
            <v>8</v>
          </cell>
          <cell r="AG497" t="str">
            <v>CN</v>
          </cell>
          <cell r="AH497" t="str">
            <v>BS</v>
          </cell>
          <cell r="AI497">
            <v>8</v>
          </cell>
          <cell r="AJ497" t="str">
            <v>BS</v>
          </cell>
          <cell r="AN497">
            <v>0</v>
          </cell>
          <cell r="AO497">
            <v>120</v>
          </cell>
          <cell r="AP497">
            <v>0</v>
          </cell>
          <cell r="AQ497">
            <v>0</v>
          </cell>
          <cell r="AR497">
            <v>0</v>
          </cell>
          <cell r="AS497">
            <v>0</v>
          </cell>
          <cell r="AT497">
            <v>0</v>
          </cell>
          <cell r="AU497">
            <v>72</v>
          </cell>
          <cell r="AV497">
            <v>0</v>
          </cell>
          <cell r="AW497">
            <v>0</v>
          </cell>
          <cell r="AX497">
            <v>0</v>
          </cell>
          <cell r="AY497">
            <v>0</v>
          </cell>
          <cell r="AZ497">
            <v>0</v>
          </cell>
          <cell r="BA497">
            <v>0</v>
          </cell>
          <cell r="BB497">
            <v>0</v>
          </cell>
          <cell r="BC497">
            <v>0</v>
          </cell>
          <cell r="BD497">
            <v>0</v>
          </cell>
          <cell r="BE497">
            <v>0</v>
          </cell>
          <cell r="BF497">
            <v>0</v>
          </cell>
          <cell r="BG497">
            <v>192</v>
          </cell>
          <cell r="BH497">
            <v>0</v>
          </cell>
          <cell r="BI497">
            <v>0</v>
          </cell>
          <cell r="BJ497">
            <v>4</v>
          </cell>
          <cell r="BL497">
            <v>1.5</v>
          </cell>
          <cell r="BM497">
            <v>1.5</v>
          </cell>
          <cell r="BN497">
            <v>1.5</v>
          </cell>
          <cell r="BO497">
            <v>0</v>
          </cell>
          <cell r="BP497">
            <v>0</v>
          </cell>
          <cell r="BQ497">
            <v>1.5</v>
          </cell>
          <cell r="BR497">
            <v>0</v>
          </cell>
          <cell r="BS497">
            <v>0</v>
          </cell>
          <cell r="BT497">
            <v>3</v>
          </cell>
          <cell r="BU497">
            <v>3</v>
          </cell>
          <cell r="BV497">
            <v>0</v>
          </cell>
          <cell r="BW497">
            <v>0</v>
          </cell>
          <cell r="BX497">
            <v>0</v>
          </cell>
          <cell r="BY497">
            <v>0</v>
          </cell>
          <cell r="BZ497">
            <v>0</v>
          </cell>
          <cell r="CA497">
            <v>0</v>
          </cell>
          <cell r="CB497">
            <v>3</v>
          </cell>
          <cell r="CC497">
            <v>8</v>
          </cell>
          <cell r="CD497">
            <v>3</v>
          </cell>
          <cell r="CE497">
            <v>3</v>
          </cell>
          <cell r="CF497">
            <v>0</v>
          </cell>
          <cell r="CG497">
            <v>3</v>
          </cell>
          <cell r="CH497">
            <v>0</v>
          </cell>
          <cell r="CI497">
            <v>3</v>
          </cell>
          <cell r="CJ497">
            <v>8</v>
          </cell>
          <cell r="CK497">
            <v>3</v>
          </cell>
          <cell r="CL497">
            <v>3</v>
          </cell>
          <cell r="CM497">
            <v>0</v>
          </cell>
          <cell r="CR497">
            <v>0</v>
          </cell>
          <cell r="CS497">
            <v>0</v>
          </cell>
          <cell r="CT497">
            <v>33</v>
          </cell>
          <cell r="CU497">
            <v>16</v>
          </cell>
          <cell r="CV497">
            <v>0</v>
          </cell>
          <cell r="CZ497">
            <v>49</v>
          </cell>
        </row>
        <row r="498">
          <cell r="C498" t="str">
            <v>03464</v>
          </cell>
          <cell r="D498" t="str">
            <v>Nguyễn Thị Bích Tuyền</v>
          </cell>
          <cell r="E498" t="str">
            <v>Production</v>
          </cell>
          <cell r="F498" t="str">
            <v>Die cut</v>
          </cell>
          <cell r="G498" t="str">
            <v>Worker</v>
          </cell>
          <cell r="H498">
            <v>44686</v>
          </cell>
          <cell r="I498">
            <v>8</v>
          </cell>
          <cell r="J498">
            <v>8</v>
          </cell>
          <cell r="K498">
            <v>8</v>
          </cell>
          <cell r="L498" t="str">
            <v>CN</v>
          </cell>
          <cell r="M498" t="str">
            <v>Đ</v>
          </cell>
          <cell r="N498" t="str">
            <v>Đ</v>
          </cell>
          <cell r="O498" t="str">
            <v>Đ</v>
          </cell>
          <cell r="P498" t="str">
            <v>Đ</v>
          </cell>
          <cell r="Q498" t="str">
            <v>Đ</v>
          </cell>
          <cell r="R498" t="str">
            <v>AL8</v>
          </cell>
          <cell r="S498" t="str">
            <v>CN</v>
          </cell>
          <cell r="T498" t="str">
            <v>SL</v>
          </cell>
          <cell r="U498">
            <v>8</v>
          </cell>
          <cell r="V498">
            <v>8</v>
          </cell>
          <cell r="W498">
            <v>8</v>
          </cell>
          <cell r="X498">
            <v>8</v>
          </cell>
          <cell r="Y498">
            <v>8</v>
          </cell>
          <cell r="Z498" t="str">
            <v>CN</v>
          </cell>
          <cell r="AA498" t="str">
            <v>Đ</v>
          </cell>
          <cell r="AB498" t="str">
            <v>Đ</v>
          </cell>
          <cell r="AC498" t="str">
            <v>Đ</v>
          </cell>
          <cell r="AD498" t="str">
            <v>Đ</v>
          </cell>
          <cell r="AE498" t="str">
            <v>Đ</v>
          </cell>
          <cell r="AF498" t="str">
            <v>Đ</v>
          </cell>
          <cell r="AG498" t="str">
            <v>CN</v>
          </cell>
          <cell r="AH498">
            <v>8</v>
          </cell>
          <cell r="AI498">
            <v>8</v>
          </cell>
          <cell r="AJ498">
            <v>8</v>
          </cell>
          <cell r="AN498">
            <v>88</v>
          </cell>
          <cell r="AO498">
            <v>88</v>
          </cell>
          <cell r="AP498">
            <v>0</v>
          </cell>
          <cell r="AQ498">
            <v>1</v>
          </cell>
          <cell r="AR498">
            <v>0</v>
          </cell>
          <cell r="AS498">
            <v>0</v>
          </cell>
          <cell r="AT498">
            <v>0</v>
          </cell>
          <cell r="AU498">
            <v>0</v>
          </cell>
          <cell r="AV498">
            <v>0</v>
          </cell>
          <cell r="AW498">
            <v>0</v>
          </cell>
          <cell r="AX498">
            <v>0</v>
          </cell>
          <cell r="AY498">
            <v>0</v>
          </cell>
          <cell r="AZ498">
            <v>0</v>
          </cell>
          <cell r="BA498">
            <v>8</v>
          </cell>
          <cell r="BB498">
            <v>0</v>
          </cell>
          <cell r="BC498">
            <v>0</v>
          </cell>
          <cell r="BD498">
            <v>0</v>
          </cell>
          <cell r="BE498">
            <v>0</v>
          </cell>
          <cell r="BF498">
            <v>0</v>
          </cell>
          <cell r="BG498">
            <v>184</v>
          </cell>
          <cell r="BH498">
            <v>1</v>
          </cell>
          <cell r="BI498">
            <v>1</v>
          </cell>
          <cell r="BJ498">
            <v>0</v>
          </cell>
          <cell r="BL498">
            <v>1.5</v>
          </cell>
          <cell r="BM498">
            <v>1.5</v>
          </cell>
          <cell r="BN498">
            <v>1.5</v>
          </cell>
          <cell r="BO498">
            <v>0</v>
          </cell>
          <cell r="BP498">
            <v>1.5</v>
          </cell>
          <cell r="BQ498">
            <v>0</v>
          </cell>
          <cell r="BR498">
            <v>0</v>
          </cell>
          <cell r="BS498">
            <v>0</v>
          </cell>
          <cell r="BT498">
            <v>0</v>
          </cell>
          <cell r="BU498">
            <v>0</v>
          </cell>
          <cell r="BV498">
            <v>0</v>
          </cell>
          <cell r="BW498">
            <v>0</v>
          </cell>
          <cell r="BX498">
            <v>3</v>
          </cell>
          <cell r="BY498">
            <v>3</v>
          </cell>
          <cell r="BZ498">
            <v>0</v>
          </cell>
          <cell r="CA498">
            <v>3</v>
          </cell>
          <cell r="CB498">
            <v>0</v>
          </cell>
          <cell r="CC498">
            <v>0</v>
          </cell>
          <cell r="CD498">
            <v>4</v>
          </cell>
          <cell r="CE498">
            <v>4</v>
          </cell>
          <cell r="CF498">
            <v>4</v>
          </cell>
          <cell r="CG498">
            <v>4</v>
          </cell>
          <cell r="CH498">
            <v>4</v>
          </cell>
          <cell r="CI498">
            <v>0</v>
          </cell>
          <cell r="CJ498">
            <v>0</v>
          </cell>
          <cell r="CK498">
            <v>3</v>
          </cell>
          <cell r="CL498">
            <v>3</v>
          </cell>
          <cell r="CM498">
            <v>0</v>
          </cell>
          <cell r="CR498">
            <v>0</v>
          </cell>
          <cell r="CS498">
            <v>0</v>
          </cell>
          <cell r="CT498">
            <v>41</v>
          </cell>
          <cell r="CU498">
            <v>0</v>
          </cell>
          <cell r="CV498">
            <v>0</v>
          </cell>
          <cell r="CZ498">
            <v>41</v>
          </cell>
        </row>
        <row r="499">
          <cell r="C499" t="str">
            <v>03465</v>
          </cell>
          <cell r="D499" t="str">
            <v>Trần Ngọc Huyền</v>
          </cell>
          <cell r="E499" t="str">
            <v>QC</v>
          </cell>
          <cell r="F499" t="str">
            <v>QC</v>
          </cell>
          <cell r="G499" t="str">
            <v>Worker</v>
          </cell>
          <cell r="H499">
            <v>44686</v>
          </cell>
          <cell r="I499">
            <v>8</v>
          </cell>
          <cell r="J499">
            <v>8</v>
          </cell>
          <cell r="K499">
            <v>8</v>
          </cell>
          <cell r="L499" t="str">
            <v>CN</v>
          </cell>
          <cell r="M499" t="str">
            <v>Đ</v>
          </cell>
          <cell r="N499" t="str">
            <v>Đ</v>
          </cell>
          <cell r="O499" t="str">
            <v>Đ</v>
          </cell>
          <cell r="P499" t="str">
            <v>Đ</v>
          </cell>
          <cell r="Q499" t="str">
            <v>Đ</v>
          </cell>
          <cell r="R499" t="str">
            <v>Đ</v>
          </cell>
          <cell r="S499" t="str">
            <v>CN</v>
          </cell>
          <cell r="T499">
            <v>8</v>
          </cell>
          <cell r="U499">
            <v>8</v>
          </cell>
          <cell r="V499">
            <v>8</v>
          </cell>
          <cell r="W499">
            <v>8</v>
          </cell>
          <cell r="X499">
            <v>8</v>
          </cell>
          <cell r="Y499">
            <v>8</v>
          </cell>
          <cell r="Z499" t="str">
            <v>CN</v>
          </cell>
          <cell r="AA499" t="str">
            <v>Đ</v>
          </cell>
          <cell r="AB499" t="str">
            <v>Đ</v>
          </cell>
          <cell r="AC499" t="str">
            <v>Đ</v>
          </cell>
          <cell r="AD499" t="str">
            <v>Đ</v>
          </cell>
          <cell r="AE499" t="str">
            <v>Đ</v>
          </cell>
          <cell r="AF499" t="str">
            <v>Đ</v>
          </cell>
          <cell r="AG499" t="str">
            <v>CN</v>
          </cell>
          <cell r="AH499">
            <v>8</v>
          </cell>
          <cell r="AI499">
            <v>8</v>
          </cell>
          <cell r="AJ499">
            <v>8</v>
          </cell>
          <cell r="AN499">
            <v>96</v>
          </cell>
          <cell r="AO499">
            <v>96</v>
          </cell>
          <cell r="AP499">
            <v>0</v>
          </cell>
          <cell r="AQ499">
            <v>0</v>
          </cell>
          <cell r="AR499">
            <v>0</v>
          </cell>
          <cell r="AS499">
            <v>0</v>
          </cell>
          <cell r="AT499">
            <v>0</v>
          </cell>
          <cell r="AU499">
            <v>0</v>
          </cell>
          <cell r="AV499">
            <v>0</v>
          </cell>
          <cell r="AW499">
            <v>0</v>
          </cell>
          <cell r="AX499">
            <v>0</v>
          </cell>
          <cell r="AY499">
            <v>0</v>
          </cell>
          <cell r="AZ499">
            <v>0</v>
          </cell>
          <cell r="BA499">
            <v>0</v>
          </cell>
          <cell r="BB499">
            <v>0</v>
          </cell>
          <cell r="BC499">
            <v>0</v>
          </cell>
          <cell r="BD499">
            <v>0</v>
          </cell>
          <cell r="BE499">
            <v>0</v>
          </cell>
          <cell r="BF499">
            <v>0</v>
          </cell>
          <cell r="BG499">
            <v>192</v>
          </cell>
          <cell r="BH499">
            <v>0</v>
          </cell>
          <cell r="BI499">
            <v>0</v>
          </cell>
          <cell r="BJ499">
            <v>3</v>
          </cell>
          <cell r="BL499">
            <v>0</v>
          </cell>
          <cell r="BM499">
            <v>0</v>
          </cell>
          <cell r="BN499">
            <v>0</v>
          </cell>
          <cell r="BO499">
            <v>0</v>
          </cell>
          <cell r="BP499">
            <v>1.5</v>
          </cell>
          <cell r="BQ499">
            <v>0</v>
          </cell>
          <cell r="BR499">
            <v>0</v>
          </cell>
          <cell r="BS499">
            <v>4</v>
          </cell>
          <cell r="BT499">
            <v>4</v>
          </cell>
          <cell r="BU499">
            <v>0</v>
          </cell>
          <cell r="BV499">
            <v>0</v>
          </cell>
          <cell r="BW499">
            <v>3</v>
          </cell>
          <cell r="BX499">
            <v>3</v>
          </cell>
          <cell r="BY499">
            <v>3</v>
          </cell>
          <cell r="BZ499">
            <v>3</v>
          </cell>
          <cell r="CA499">
            <v>3</v>
          </cell>
          <cell r="CB499">
            <v>3</v>
          </cell>
          <cell r="CC499">
            <v>8</v>
          </cell>
          <cell r="CD499">
            <v>4</v>
          </cell>
          <cell r="CE499">
            <v>4</v>
          </cell>
          <cell r="CF499">
            <v>4</v>
          </cell>
          <cell r="CG499">
            <v>4</v>
          </cell>
          <cell r="CH499">
            <v>4</v>
          </cell>
          <cell r="CI499">
            <v>4</v>
          </cell>
          <cell r="CJ499">
            <v>0</v>
          </cell>
          <cell r="CK499">
            <v>1.5</v>
          </cell>
          <cell r="CL499">
            <v>0</v>
          </cell>
          <cell r="CM499">
            <v>1.5</v>
          </cell>
          <cell r="CR499">
            <v>0</v>
          </cell>
          <cell r="CS499">
            <v>0</v>
          </cell>
          <cell r="CT499">
            <v>54.5</v>
          </cell>
          <cell r="CU499">
            <v>8</v>
          </cell>
          <cell r="CV499">
            <v>0</v>
          </cell>
          <cell r="CZ499">
            <v>62.5</v>
          </cell>
        </row>
        <row r="500">
          <cell r="C500" t="str">
            <v>03470</v>
          </cell>
          <cell r="D500" t="str">
            <v>Lê Thị Ngân</v>
          </cell>
          <cell r="E500" t="str">
            <v>QC</v>
          </cell>
          <cell r="F500" t="str">
            <v>QC</v>
          </cell>
          <cell r="G500" t="str">
            <v>Worker</v>
          </cell>
          <cell r="H500">
            <v>44693</v>
          </cell>
          <cell r="I500">
            <v>8</v>
          </cell>
          <cell r="J500">
            <v>8</v>
          </cell>
          <cell r="K500">
            <v>8</v>
          </cell>
          <cell r="L500" t="str">
            <v>CN</v>
          </cell>
          <cell r="M500">
            <v>8</v>
          </cell>
          <cell r="N500">
            <v>8</v>
          </cell>
          <cell r="O500">
            <v>8</v>
          </cell>
          <cell r="P500">
            <v>8</v>
          </cell>
          <cell r="Q500" t="str">
            <v>Đ</v>
          </cell>
          <cell r="R500" t="str">
            <v>Đ</v>
          </cell>
          <cell r="S500" t="str">
            <v>CN</v>
          </cell>
          <cell r="T500">
            <v>8</v>
          </cell>
          <cell r="U500">
            <v>8</v>
          </cell>
          <cell r="V500">
            <v>8</v>
          </cell>
          <cell r="W500">
            <v>8</v>
          </cell>
          <cell r="X500">
            <v>8</v>
          </cell>
          <cell r="Y500">
            <v>8</v>
          </cell>
          <cell r="Z500" t="str">
            <v>CN</v>
          </cell>
          <cell r="AA500">
            <v>8</v>
          </cell>
          <cell r="AB500">
            <v>8</v>
          </cell>
          <cell r="AC500">
            <v>8</v>
          </cell>
          <cell r="AD500">
            <v>8</v>
          </cell>
          <cell r="AE500">
            <v>8</v>
          </cell>
          <cell r="AF500">
            <v>8</v>
          </cell>
          <cell r="AG500" t="str">
            <v>CN</v>
          </cell>
          <cell r="AH500">
            <v>8</v>
          </cell>
          <cell r="AI500">
            <v>8</v>
          </cell>
          <cell r="AJ500">
            <v>8</v>
          </cell>
          <cell r="AN500">
            <v>16</v>
          </cell>
          <cell r="AO500">
            <v>176</v>
          </cell>
          <cell r="AP500">
            <v>0</v>
          </cell>
          <cell r="AQ500">
            <v>0</v>
          </cell>
          <cell r="AR500">
            <v>0</v>
          </cell>
          <cell r="AS500">
            <v>0</v>
          </cell>
          <cell r="AT500">
            <v>0</v>
          </cell>
          <cell r="AU500">
            <v>0</v>
          </cell>
          <cell r="AV500">
            <v>0</v>
          </cell>
          <cell r="AW500">
            <v>0</v>
          </cell>
          <cell r="AX500">
            <v>0</v>
          </cell>
          <cell r="AY500">
            <v>0</v>
          </cell>
          <cell r="AZ500">
            <v>0</v>
          </cell>
          <cell r="BA500">
            <v>0</v>
          </cell>
          <cell r="BB500">
            <v>0</v>
          </cell>
          <cell r="BC500">
            <v>0</v>
          </cell>
          <cell r="BD500">
            <v>0</v>
          </cell>
          <cell r="BE500">
            <v>0</v>
          </cell>
          <cell r="BF500">
            <v>0</v>
          </cell>
          <cell r="BG500">
            <v>192</v>
          </cell>
          <cell r="BH500">
            <v>0</v>
          </cell>
          <cell r="BI500">
            <v>0</v>
          </cell>
          <cell r="BJ500">
            <v>2</v>
          </cell>
          <cell r="BL500">
            <v>0</v>
          </cell>
          <cell r="BM500">
            <v>4</v>
          </cell>
          <cell r="BN500">
            <v>4</v>
          </cell>
          <cell r="BO500">
            <v>0</v>
          </cell>
          <cell r="BP500">
            <v>0</v>
          </cell>
          <cell r="BQ500">
            <v>0</v>
          </cell>
          <cell r="BR500">
            <v>0</v>
          </cell>
          <cell r="BS500">
            <v>0</v>
          </cell>
          <cell r="BT500">
            <v>0</v>
          </cell>
          <cell r="BU500">
            <v>4</v>
          </cell>
          <cell r="BV500">
            <v>0</v>
          </cell>
          <cell r="BW500">
            <v>0</v>
          </cell>
          <cell r="BX500">
            <v>0</v>
          </cell>
          <cell r="BY500">
            <v>0</v>
          </cell>
          <cell r="BZ500">
            <v>2</v>
          </cell>
          <cell r="CA500">
            <v>2</v>
          </cell>
          <cell r="CB500">
            <v>1</v>
          </cell>
          <cell r="CC500">
            <v>0</v>
          </cell>
          <cell r="CD500">
            <v>2</v>
          </cell>
          <cell r="CE500">
            <v>2</v>
          </cell>
          <cell r="CF500">
            <v>2</v>
          </cell>
          <cell r="CG500">
            <v>2</v>
          </cell>
          <cell r="CH500">
            <v>3</v>
          </cell>
          <cell r="CI500">
            <v>3</v>
          </cell>
          <cell r="CJ500">
            <v>8</v>
          </cell>
          <cell r="CK500">
            <v>0</v>
          </cell>
          <cell r="CL500">
            <v>0</v>
          </cell>
          <cell r="CM500">
            <v>0</v>
          </cell>
          <cell r="CR500">
            <v>0</v>
          </cell>
          <cell r="CS500">
            <v>0</v>
          </cell>
          <cell r="CT500">
            <v>31</v>
          </cell>
          <cell r="CU500">
            <v>8</v>
          </cell>
          <cell r="CV500">
            <v>0</v>
          </cell>
          <cell r="CZ500">
            <v>39</v>
          </cell>
        </row>
        <row r="501">
          <cell r="C501" t="str">
            <v>03476</v>
          </cell>
          <cell r="D501" t="str">
            <v>Phạm Văn Tính</v>
          </cell>
          <cell r="E501" t="str">
            <v>Technical Development</v>
          </cell>
          <cell r="F501" t="str">
            <v>PD Sample</v>
          </cell>
          <cell r="G501" t="str">
            <v>Technician</v>
          </cell>
          <cell r="H501">
            <v>44693</v>
          </cell>
          <cell r="I501">
            <v>8</v>
          </cell>
          <cell r="J501">
            <v>8</v>
          </cell>
          <cell r="K501">
            <v>8</v>
          </cell>
          <cell r="L501" t="str">
            <v>CN</v>
          </cell>
          <cell r="M501">
            <v>8</v>
          </cell>
          <cell r="N501">
            <v>8</v>
          </cell>
          <cell r="O501">
            <v>8</v>
          </cell>
          <cell r="P501">
            <v>8</v>
          </cell>
          <cell r="Q501" t="str">
            <v>PO</v>
          </cell>
          <cell r="R501">
            <v>8</v>
          </cell>
          <cell r="S501" t="str">
            <v>CN</v>
          </cell>
          <cell r="T501">
            <v>8</v>
          </cell>
          <cell r="U501">
            <v>8</v>
          </cell>
          <cell r="V501">
            <v>8</v>
          </cell>
          <cell r="W501">
            <v>8</v>
          </cell>
          <cell r="X501">
            <v>8</v>
          </cell>
          <cell r="Y501" t="str">
            <v>AL4</v>
          </cell>
          <cell r="Z501" t="str">
            <v>CN</v>
          </cell>
          <cell r="AA501">
            <v>8</v>
          </cell>
          <cell r="AB501">
            <v>8</v>
          </cell>
          <cell r="AC501">
            <v>8</v>
          </cell>
          <cell r="AD501">
            <v>8</v>
          </cell>
          <cell r="AE501">
            <v>8</v>
          </cell>
          <cell r="AF501">
            <v>8</v>
          </cell>
          <cell r="AG501" t="str">
            <v>CN</v>
          </cell>
          <cell r="AH501">
            <v>8</v>
          </cell>
          <cell r="AI501">
            <v>8</v>
          </cell>
          <cell r="AJ501">
            <v>8</v>
          </cell>
          <cell r="AN501">
            <v>0</v>
          </cell>
          <cell r="AO501">
            <v>180</v>
          </cell>
          <cell r="AP501">
            <v>4</v>
          </cell>
          <cell r="AQ501">
            <v>0</v>
          </cell>
          <cell r="AR501">
            <v>0</v>
          </cell>
          <cell r="AS501">
            <v>0</v>
          </cell>
          <cell r="AT501">
            <v>0</v>
          </cell>
          <cell r="AU501">
            <v>0</v>
          </cell>
          <cell r="AV501">
            <v>8</v>
          </cell>
          <cell r="AW501">
            <v>0</v>
          </cell>
          <cell r="AX501">
            <v>0</v>
          </cell>
          <cell r="AY501">
            <v>0</v>
          </cell>
          <cell r="AZ501">
            <v>0</v>
          </cell>
          <cell r="BA501">
            <v>4</v>
          </cell>
          <cell r="BB501">
            <v>0</v>
          </cell>
          <cell r="BC501">
            <v>0</v>
          </cell>
          <cell r="BD501">
            <v>0</v>
          </cell>
          <cell r="BE501">
            <v>0</v>
          </cell>
          <cell r="BF501">
            <v>0</v>
          </cell>
          <cell r="BG501">
            <v>192</v>
          </cell>
          <cell r="BH501">
            <v>0.5</v>
          </cell>
          <cell r="BI501">
            <v>0.5</v>
          </cell>
          <cell r="BJ501">
            <v>2</v>
          </cell>
          <cell r="BL501">
            <v>3</v>
          </cell>
          <cell r="BM501">
            <v>0</v>
          </cell>
          <cell r="BN501">
            <v>0</v>
          </cell>
          <cell r="BO501">
            <v>0</v>
          </cell>
          <cell r="BP501">
            <v>3</v>
          </cell>
          <cell r="BQ501">
            <v>3</v>
          </cell>
          <cell r="BR501">
            <v>3</v>
          </cell>
          <cell r="BS501">
            <v>2</v>
          </cell>
          <cell r="BT501">
            <v>0</v>
          </cell>
          <cell r="BU501">
            <v>0</v>
          </cell>
          <cell r="BV501">
            <v>0</v>
          </cell>
          <cell r="BW501">
            <v>3</v>
          </cell>
          <cell r="BX501">
            <v>3</v>
          </cell>
          <cell r="BY501">
            <v>3</v>
          </cell>
          <cell r="BZ501">
            <v>3</v>
          </cell>
          <cell r="CA501">
            <v>0</v>
          </cell>
          <cell r="CB501">
            <v>0</v>
          </cell>
          <cell r="CC501">
            <v>0</v>
          </cell>
          <cell r="CD501">
            <v>3</v>
          </cell>
          <cell r="CE501">
            <v>0</v>
          </cell>
          <cell r="CF501">
            <v>0</v>
          </cell>
          <cell r="CG501">
            <v>0</v>
          </cell>
          <cell r="CH501">
            <v>3</v>
          </cell>
          <cell r="CI501">
            <v>0</v>
          </cell>
          <cell r="CJ501">
            <v>0</v>
          </cell>
          <cell r="CK501">
            <v>0</v>
          </cell>
          <cell r="CL501">
            <v>0</v>
          </cell>
          <cell r="CM501">
            <v>0</v>
          </cell>
          <cell r="CR501">
            <v>0</v>
          </cell>
          <cell r="CS501">
            <v>0</v>
          </cell>
          <cell r="CT501">
            <v>32</v>
          </cell>
          <cell r="CU501">
            <v>0</v>
          </cell>
          <cell r="CV501">
            <v>0</v>
          </cell>
          <cell r="CZ501">
            <v>32</v>
          </cell>
        </row>
        <row r="502">
          <cell r="C502" t="str">
            <v>03478</v>
          </cell>
          <cell r="D502" t="str">
            <v>Tăng Thị Lệ Hằng</v>
          </cell>
          <cell r="E502" t="str">
            <v>Production</v>
          </cell>
          <cell r="F502" t="str">
            <v>Packing</v>
          </cell>
          <cell r="G502" t="str">
            <v>Worker</v>
          </cell>
          <cell r="H502">
            <v>44693</v>
          </cell>
          <cell r="I502" t="str">
            <v>Đ</v>
          </cell>
          <cell r="J502" t="str">
            <v>Đ</v>
          </cell>
          <cell r="K502" t="str">
            <v>Đ</v>
          </cell>
          <cell r="L502" t="str">
            <v>CN</v>
          </cell>
          <cell r="M502">
            <v>8</v>
          </cell>
          <cell r="N502">
            <v>8</v>
          </cell>
          <cell r="O502">
            <v>8</v>
          </cell>
          <cell r="P502">
            <v>8</v>
          </cell>
          <cell r="Q502">
            <v>8</v>
          </cell>
          <cell r="R502">
            <v>8</v>
          </cell>
          <cell r="S502" t="str">
            <v>CN</v>
          </cell>
          <cell r="T502" t="str">
            <v>Đ</v>
          </cell>
          <cell r="U502" t="str">
            <v>Đ</v>
          </cell>
          <cell r="V502" t="str">
            <v>Đ</v>
          </cell>
          <cell r="W502" t="str">
            <v>Đ</v>
          </cell>
          <cell r="X502" t="str">
            <v>Đ</v>
          </cell>
          <cell r="Y502" t="str">
            <v>Đ</v>
          </cell>
          <cell r="Z502" t="str">
            <v>CN</v>
          </cell>
          <cell r="AA502">
            <v>8</v>
          </cell>
          <cell r="AB502">
            <v>8</v>
          </cell>
          <cell r="AC502">
            <v>8</v>
          </cell>
          <cell r="AD502">
            <v>8</v>
          </cell>
          <cell r="AE502">
            <v>8</v>
          </cell>
          <cell r="AF502">
            <v>8</v>
          </cell>
          <cell r="AG502" t="str">
            <v>CN</v>
          </cell>
          <cell r="AH502" t="str">
            <v>Đ</v>
          </cell>
          <cell r="AI502" t="str">
            <v>Đ</v>
          </cell>
          <cell r="AJ502" t="str">
            <v>Đ</v>
          </cell>
          <cell r="AN502">
            <v>96</v>
          </cell>
          <cell r="AO502">
            <v>96</v>
          </cell>
          <cell r="AP502">
            <v>0</v>
          </cell>
          <cell r="AQ502">
            <v>0</v>
          </cell>
          <cell r="AR502">
            <v>0</v>
          </cell>
          <cell r="AS502">
            <v>0</v>
          </cell>
          <cell r="AT502">
            <v>0</v>
          </cell>
          <cell r="AU502">
            <v>0</v>
          </cell>
          <cell r="AV502">
            <v>0</v>
          </cell>
          <cell r="AW502">
            <v>0</v>
          </cell>
          <cell r="AX502">
            <v>0</v>
          </cell>
          <cell r="AY502">
            <v>0</v>
          </cell>
          <cell r="AZ502">
            <v>0</v>
          </cell>
          <cell r="BA502">
            <v>0</v>
          </cell>
          <cell r="BB502">
            <v>0</v>
          </cell>
          <cell r="BC502">
            <v>0</v>
          </cell>
          <cell r="BD502">
            <v>0</v>
          </cell>
          <cell r="BE502">
            <v>0</v>
          </cell>
          <cell r="BF502">
            <v>0</v>
          </cell>
          <cell r="BG502">
            <v>192</v>
          </cell>
          <cell r="BH502">
            <v>0</v>
          </cell>
          <cell r="BI502">
            <v>0</v>
          </cell>
          <cell r="BJ502">
            <v>5</v>
          </cell>
          <cell r="BL502">
            <v>1.5</v>
          </cell>
          <cell r="BM502">
            <v>1.5</v>
          </cell>
          <cell r="BN502">
            <v>1.5</v>
          </cell>
          <cell r="BO502">
            <v>0</v>
          </cell>
          <cell r="BP502">
            <v>1.5</v>
          </cell>
          <cell r="BQ502">
            <v>0</v>
          </cell>
          <cell r="BR502">
            <v>0</v>
          </cell>
          <cell r="BS502">
            <v>1</v>
          </cell>
          <cell r="BT502">
            <v>3</v>
          </cell>
          <cell r="BU502">
            <v>3</v>
          </cell>
          <cell r="BV502">
            <v>0</v>
          </cell>
          <cell r="BW502">
            <v>4</v>
          </cell>
          <cell r="BX502">
            <v>4</v>
          </cell>
          <cell r="BY502">
            <v>4</v>
          </cell>
          <cell r="BZ502">
            <v>4</v>
          </cell>
          <cell r="CA502">
            <v>4</v>
          </cell>
          <cell r="CB502">
            <v>4</v>
          </cell>
          <cell r="CC502">
            <v>0</v>
          </cell>
          <cell r="CD502">
            <v>3</v>
          </cell>
          <cell r="CE502">
            <v>3</v>
          </cell>
          <cell r="CF502">
            <v>3</v>
          </cell>
          <cell r="CG502">
            <v>3</v>
          </cell>
          <cell r="CH502">
            <v>3</v>
          </cell>
          <cell r="CI502">
            <v>3</v>
          </cell>
          <cell r="CJ502">
            <v>8</v>
          </cell>
          <cell r="CK502">
            <v>4</v>
          </cell>
          <cell r="CL502">
            <v>4</v>
          </cell>
          <cell r="CM502">
            <v>4</v>
          </cell>
          <cell r="CR502">
            <v>0</v>
          </cell>
          <cell r="CS502">
            <v>0</v>
          </cell>
          <cell r="CT502">
            <v>67</v>
          </cell>
          <cell r="CU502">
            <v>8</v>
          </cell>
          <cell r="CV502">
            <v>0</v>
          </cell>
          <cell r="CZ502">
            <v>75</v>
          </cell>
        </row>
        <row r="503">
          <cell r="C503" t="str">
            <v>03487</v>
          </cell>
          <cell r="D503" t="str">
            <v>Huỳnh Thị Mỹ Hạnh</v>
          </cell>
          <cell r="E503" t="str">
            <v>Production</v>
          </cell>
          <cell r="F503" t="str">
            <v>Molding</v>
          </cell>
          <cell r="G503" t="str">
            <v>Worker</v>
          </cell>
          <cell r="H503">
            <v>44693</v>
          </cell>
          <cell r="I503">
            <v>8</v>
          </cell>
          <cell r="J503">
            <v>8</v>
          </cell>
          <cell r="K503">
            <v>8</v>
          </cell>
          <cell r="L503" t="str">
            <v>CN</v>
          </cell>
          <cell r="M503" t="str">
            <v>Đ</v>
          </cell>
          <cell r="N503" t="str">
            <v>Đ</v>
          </cell>
          <cell r="O503" t="str">
            <v>Đ</v>
          </cell>
          <cell r="P503" t="str">
            <v>Đ</v>
          </cell>
          <cell r="Q503" t="str">
            <v>Đ</v>
          </cell>
          <cell r="R503" t="str">
            <v>Đ</v>
          </cell>
          <cell r="S503" t="str">
            <v>CN</v>
          </cell>
          <cell r="T503">
            <v>8</v>
          </cell>
          <cell r="U503">
            <v>8</v>
          </cell>
          <cell r="V503">
            <v>8</v>
          </cell>
          <cell r="W503">
            <v>8</v>
          </cell>
          <cell r="X503">
            <v>8</v>
          </cell>
          <cell r="Y503">
            <v>8</v>
          </cell>
          <cell r="Z503" t="str">
            <v>CN</v>
          </cell>
          <cell r="AA503" t="str">
            <v>Đ</v>
          </cell>
          <cell r="AB503" t="str">
            <v>Đ</v>
          </cell>
          <cell r="AC503" t="str">
            <v>Đ</v>
          </cell>
          <cell r="AD503" t="str">
            <v>Đ</v>
          </cell>
          <cell r="AE503" t="str">
            <v>Đ</v>
          </cell>
          <cell r="AF503" t="str">
            <v>Đ</v>
          </cell>
          <cell r="AG503" t="str">
            <v>CN</v>
          </cell>
          <cell r="AH503">
            <v>8</v>
          </cell>
          <cell r="AI503">
            <v>8</v>
          </cell>
          <cell r="AJ503">
            <v>8</v>
          </cell>
          <cell r="AN503">
            <v>96</v>
          </cell>
          <cell r="AO503">
            <v>96</v>
          </cell>
          <cell r="AP503">
            <v>0</v>
          </cell>
          <cell r="AQ503">
            <v>0</v>
          </cell>
          <cell r="AR503">
            <v>0</v>
          </cell>
          <cell r="AS503">
            <v>0</v>
          </cell>
          <cell r="AT503">
            <v>0</v>
          </cell>
          <cell r="AU503">
            <v>0</v>
          </cell>
          <cell r="AV503">
            <v>0</v>
          </cell>
          <cell r="AW503">
            <v>0</v>
          </cell>
          <cell r="AX503">
            <v>0</v>
          </cell>
          <cell r="AY503">
            <v>0</v>
          </cell>
          <cell r="AZ503">
            <v>0</v>
          </cell>
          <cell r="BA503">
            <v>0</v>
          </cell>
          <cell r="BB503">
            <v>0</v>
          </cell>
          <cell r="BC503">
            <v>0</v>
          </cell>
          <cell r="BD503">
            <v>0</v>
          </cell>
          <cell r="BE503">
            <v>0</v>
          </cell>
          <cell r="BF503">
            <v>0</v>
          </cell>
          <cell r="BG503">
            <v>192</v>
          </cell>
          <cell r="BH503">
            <v>0</v>
          </cell>
          <cell r="BI503">
            <v>0</v>
          </cell>
          <cell r="BJ503">
            <v>0.5</v>
          </cell>
          <cell r="BL503">
            <v>0</v>
          </cell>
          <cell r="BM503">
            <v>0</v>
          </cell>
          <cell r="BN503">
            <v>0</v>
          </cell>
          <cell r="BO503">
            <v>0</v>
          </cell>
          <cell r="BP503">
            <v>4</v>
          </cell>
          <cell r="BQ503">
            <v>0</v>
          </cell>
          <cell r="BR503">
            <v>0</v>
          </cell>
          <cell r="BS503">
            <v>4</v>
          </cell>
          <cell r="BT503">
            <v>4</v>
          </cell>
          <cell r="BU503">
            <v>0</v>
          </cell>
          <cell r="BV503">
            <v>0</v>
          </cell>
          <cell r="BW503">
            <v>0</v>
          </cell>
          <cell r="BX503">
            <v>0</v>
          </cell>
          <cell r="BY503">
            <v>0</v>
          </cell>
          <cell r="BZ503">
            <v>0</v>
          </cell>
          <cell r="CA503">
            <v>4</v>
          </cell>
          <cell r="CB503">
            <v>0</v>
          </cell>
          <cell r="CC503">
            <v>0</v>
          </cell>
          <cell r="CD503">
            <v>0</v>
          </cell>
          <cell r="CE503">
            <v>0</v>
          </cell>
          <cell r="CF503">
            <v>0</v>
          </cell>
          <cell r="CG503">
            <v>4</v>
          </cell>
          <cell r="CH503">
            <v>0</v>
          </cell>
          <cell r="CI503">
            <v>0</v>
          </cell>
          <cell r="CJ503">
            <v>0</v>
          </cell>
          <cell r="CK503">
            <v>0</v>
          </cell>
          <cell r="CL503">
            <v>0</v>
          </cell>
          <cell r="CM503">
            <v>0</v>
          </cell>
          <cell r="CR503">
            <v>0</v>
          </cell>
          <cell r="CS503">
            <v>0</v>
          </cell>
          <cell r="CT503">
            <v>20</v>
          </cell>
          <cell r="CU503">
            <v>0</v>
          </cell>
          <cell r="CV503">
            <v>0</v>
          </cell>
          <cell r="CZ503">
            <v>20</v>
          </cell>
        </row>
        <row r="504">
          <cell r="C504" t="str">
            <v>03488</v>
          </cell>
          <cell r="D504" t="str">
            <v>Thị Kim Oanh</v>
          </cell>
          <cell r="E504" t="str">
            <v>Production</v>
          </cell>
          <cell r="F504" t="str">
            <v>Packing</v>
          </cell>
          <cell r="G504" t="str">
            <v>Worker</v>
          </cell>
          <cell r="H504">
            <v>44693</v>
          </cell>
          <cell r="I504" t="str">
            <v>Đ</v>
          </cell>
          <cell r="J504" t="str">
            <v>Đ</v>
          </cell>
          <cell r="K504" t="str">
            <v>Đ</v>
          </cell>
          <cell r="L504" t="str">
            <v>CN</v>
          </cell>
          <cell r="M504">
            <v>8</v>
          </cell>
          <cell r="N504" t="str">
            <v>SL</v>
          </cell>
          <cell r="O504" t="str">
            <v>AL8</v>
          </cell>
          <cell r="P504">
            <v>8</v>
          </cell>
          <cell r="Q504">
            <v>8</v>
          </cell>
          <cell r="R504">
            <v>8</v>
          </cell>
          <cell r="S504" t="str">
            <v>CN</v>
          </cell>
          <cell r="T504" t="str">
            <v>Đ</v>
          </cell>
          <cell r="U504" t="str">
            <v>Đ</v>
          </cell>
          <cell r="V504" t="str">
            <v>Đ</v>
          </cell>
          <cell r="W504" t="str">
            <v>Đ</v>
          </cell>
          <cell r="X504" t="str">
            <v>AL8</v>
          </cell>
          <cell r="Y504" t="str">
            <v>Đ</v>
          </cell>
          <cell r="Z504" t="str">
            <v>CN</v>
          </cell>
          <cell r="AA504">
            <v>8</v>
          </cell>
          <cell r="AB504">
            <v>8</v>
          </cell>
          <cell r="AC504">
            <v>8</v>
          </cell>
          <cell r="AD504">
            <v>8</v>
          </cell>
          <cell r="AE504">
            <v>8</v>
          </cell>
          <cell r="AF504">
            <v>8</v>
          </cell>
          <cell r="AG504" t="str">
            <v>CN</v>
          </cell>
          <cell r="AH504" t="str">
            <v>Đ</v>
          </cell>
          <cell r="AI504" t="str">
            <v>Đ</v>
          </cell>
          <cell r="AJ504" t="str">
            <v>Đ</v>
          </cell>
          <cell r="AN504">
            <v>88</v>
          </cell>
          <cell r="AO504">
            <v>80</v>
          </cell>
          <cell r="AP504">
            <v>0</v>
          </cell>
          <cell r="AQ504">
            <v>1</v>
          </cell>
          <cell r="AR504">
            <v>0</v>
          </cell>
          <cell r="AS504">
            <v>0</v>
          </cell>
          <cell r="AT504">
            <v>0</v>
          </cell>
          <cell r="AU504">
            <v>0</v>
          </cell>
          <cell r="AV504">
            <v>0</v>
          </cell>
          <cell r="AW504">
            <v>0</v>
          </cell>
          <cell r="AX504">
            <v>0</v>
          </cell>
          <cell r="AY504">
            <v>0</v>
          </cell>
          <cell r="AZ504">
            <v>0</v>
          </cell>
          <cell r="BA504">
            <v>16</v>
          </cell>
          <cell r="BB504">
            <v>0</v>
          </cell>
          <cell r="BC504">
            <v>0</v>
          </cell>
          <cell r="BD504">
            <v>0</v>
          </cell>
          <cell r="BE504">
            <v>0</v>
          </cell>
          <cell r="BF504">
            <v>0</v>
          </cell>
          <cell r="BG504">
            <v>184</v>
          </cell>
          <cell r="BH504">
            <v>2</v>
          </cell>
          <cell r="BI504">
            <v>2</v>
          </cell>
          <cell r="BJ504">
            <v>-2</v>
          </cell>
          <cell r="BL504">
            <v>1.5</v>
          </cell>
          <cell r="BM504">
            <v>1.5</v>
          </cell>
          <cell r="BN504">
            <v>1.5</v>
          </cell>
          <cell r="BO504">
            <v>0</v>
          </cell>
          <cell r="BP504">
            <v>1.5</v>
          </cell>
          <cell r="BQ504">
            <v>0</v>
          </cell>
          <cell r="BR504">
            <v>0</v>
          </cell>
          <cell r="BS504">
            <v>3</v>
          </cell>
          <cell r="BT504">
            <v>3</v>
          </cell>
          <cell r="BU504">
            <v>3</v>
          </cell>
          <cell r="BV504">
            <v>0</v>
          </cell>
          <cell r="BW504">
            <v>4</v>
          </cell>
          <cell r="BX504">
            <v>4</v>
          </cell>
          <cell r="BY504">
            <v>4</v>
          </cell>
          <cell r="BZ504">
            <v>4</v>
          </cell>
          <cell r="CA504">
            <v>0</v>
          </cell>
          <cell r="CB504">
            <v>4</v>
          </cell>
          <cell r="CC504">
            <v>0</v>
          </cell>
          <cell r="CD504">
            <v>3</v>
          </cell>
          <cell r="CE504">
            <v>3</v>
          </cell>
          <cell r="CF504">
            <v>3</v>
          </cell>
          <cell r="CG504">
            <v>3</v>
          </cell>
          <cell r="CH504">
            <v>3</v>
          </cell>
          <cell r="CI504">
            <v>3</v>
          </cell>
          <cell r="CJ504">
            <v>8</v>
          </cell>
          <cell r="CK504">
            <v>4</v>
          </cell>
          <cell r="CL504">
            <v>4</v>
          </cell>
          <cell r="CM504">
            <v>4</v>
          </cell>
          <cell r="CR504">
            <v>0</v>
          </cell>
          <cell r="CS504">
            <v>0</v>
          </cell>
          <cell r="CT504">
            <v>65</v>
          </cell>
          <cell r="CU504">
            <v>8</v>
          </cell>
          <cell r="CV504">
            <v>0</v>
          </cell>
          <cell r="CZ504">
            <v>73</v>
          </cell>
        </row>
        <row r="505">
          <cell r="C505" t="str">
            <v>03490</v>
          </cell>
          <cell r="D505" t="str">
            <v>Phạm Thị Hồng Kha</v>
          </cell>
          <cell r="E505" t="str">
            <v>Production</v>
          </cell>
          <cell r="F505" t="str">
            <v>Die cut</v>
          </cell>
          <cell r="G505" t="str">
            <v>Worker</v>
          </cell>
          <cell r="H505">
            <v>44693</v>
          </cell>
          <cell r="I505" t="str">
            <v>Đ</v>
          </cell>
          <cell r="J505" t="str">
            <v>Đ</v>
          </cell>
          <cell r="K505" t="str">
            <v>Đ</v>
          </cell>
          <cell r="L505" t="str">
            <v>CN</v>
          </cell>
          <cell r="M505">
            <v>8</v>
          </cell>
          <cell r="N505">
            <v>8</v>
          </cell>
          <cell r="O505">
            <v>8</v>
          </cell>
          <cell r="P505">
            <v>8</v>
          </cell>
          <cell r="Q505">
            <v>8</v>
          </cell>
          <cell r="R505">
            <v>8</v>
          </cell>
          <cell r="S505" t="str">
            <v>CN</v>
          </cell>
          <cell r="T505" t="str">
            <v>Đ</v>
          </cell>
          <cell r="U505" t="str">
            <v>Đ</v>
          </cell>
          <cell r="V505" t="str">
            <v>Đ</v>
          </cell>
          <cell r="W505" t="str">
            <v>Đ</v>
          </cell>
          <cell r="X505" t="str">
            <v>Đ</v>
          </cell>
          <cell r="Y505" t="str">
            <v>Đ</v>
          </cell>
          <cell r="Z505" t="str">
            <v>CN</v>
          </cell>
          <cell r="AA505">
            <v>8</v>
          </cell>
          <cell r="AB505">
            <v>8</v>
          </cell>
          <cell r="AC505">
            <v>8</v>
          </cell>
          <cell r="AD505">
            <v>8</v>
          </cell>
          <cell r="AE505">
            <v>8</v>
          </cell>
          <cell r="AF505">
            <v>8</v>
          </cell>
          <cell r="AG505" t="str">
            <v>CN</v>
          </cell>
          <cell r="AH505" t="str">
            <v>Đ</v>
          </cell>
          <cell r="AI505" t="str">
            <v>Đ</v>
          </cell>
          <cell r="AJ505" t="str">
            <v>Đ</v>
          </cell>
          <cell r="AN505">
            <v>96</v>
          </cell>
          <cell r="AO505">
            <v>96</v>
          </cell>
          <cell r="AP505">
            <v>0</v>
          </cell>
          <cell r="AQ505">
            <v>0</v>
          </cell>
          <cell r="AR505">
            <v>0</v>
          </cell>
          <cell r="AS505">
            <v>0</v>
          </cell>
          <cell r="AT505">
            <v>0</v>
          </cell>
          <cell r="AU505">
            <v>0</v>
          </cell>
          <cell r="AV505">
            <v>0</v>
          </cell>
          <cell r="AW505">
            <v>0</v>
          </cell>
          <cell r="AX505">
            <v>0</v>
          </cell>
          <cell r="AY505">
            <v>0</v>
          </cell>
          <cell r="AZ505">
            <v>0</v>
          </cell>
          <cell r="BA505">
            <v>0</v>
          </cell>
          <cell r="BB505">
            <v>0</v>
          </cell>
          <cell r="BC505">
            <v>0</v>
          </cell>
          <cell r="BD505">
            <v>0</v>
          </cell>
          <cell r="BE505">
            <v>0</v>
          </cell>
          <cell r="BF505">
            <v>0</v>
          </cell>
          <cell r="BG505">
            <v>192</v>
          </cell>
          <cell r="BH505">
            <v>0</v>
          </cell>
          <cell r="BI505">
            <v>0</v>
          </cell>
          <cell r="BJ505">
            <v>6</v>
          </cell>
          <cell r="BL505">
            <v>0</v>
          </cell>
          <cell r="BM505">
            <v>0</v>
          </cell>
          <cell r="BN505">
            <v>0</v>
          </cell>
          <cell r="BO505">
            <v>0</v>
          </cell>
          <cell r="BP505">
            <v>1.5</v>
          </cell>
          <cell r="BQ505">
            <v>3</v>
          </cell>
          <cell r="BR505">
            <v>0</v>
          </cell>
          <cell r="BS505">
            <v>3</v>
          </cell>
          <cell r="BT505">
            <v>3</v>
          </cell>
          <cell r="BU505">
            <v>0</v>
          </cell>
          <cell r="BV505">
            <v>0</v>
          </cell>
          <cell r="BW505">
            <v>3</v>
          </cell>
          <cell r="BX505">
            <v>4</v>
          </cell>
          <cell r="BY505">
            <v>4</v>
          </cell>
          <cell r="BZ505">
            <v>4</v>
          </cell>
          <cell r="CA505">
            <v>4</v>
          </cell>
          <cell r="CB505">
            <v>4</v>
          </cell>
          <cell r="CC505">
            <v>0</v>
          </cell>
          <cell r="CD505">
            <v>3</v>
          </cell>
          <cell r="CE505">
            <v>3</v>
          </cell>
          <cell r="CF505">
            <v>3</v>
          </cell>
          <cell r="CG505">
            <v>3</v>
          </cell>
          <cell r="CH505">
            <v>1.5</v>
          </cell>
          <cell r="CI505">
            <v>1.5</v>
          </cell>
          <cell r="CJ505">
            <v>8</v>
          </cell>
          <cell r="CK505">
            <v>1.5</v>
          </cell>
          <cell r="CL505">
            <v>1.5</v>
          </cell>
          <cell r="CM505">
            <v>1.5</v>
          </cell>
          <cell r="CR505">
            <v>0</v>
          </cell>
          <cell r="CS505">
            <v>0</v>
          </cell>
          <cell r="CT505">
            <v>53</v>
          </cell>
          <cell r="CU505">
            <v>8</v>
          </cell>
          <cell r="CV505">
            <v>0</v>
          </cell>
          <cell r="CZ505">
            <v>61</v>
          </cell>
        </row>
        <row r="506">
          <cell r="C506" t="str">
            <v>03492</v>
          </cell>
          <cell r="D506" t="str">
            <v>Trần Ngọc Tú</v>
          </cell>
          <cell r="E506" t="str">
            <v>Production</v>
          </cell>
          <cell r="F506" t="str">
            <v>Lamination</v>
          </cell>
          <cell r="G506" t="str">
            <v>Operator</v>
          </cell>
          <cell r="H506">
            <v>44697</v>
          </cell>
          <cell r="I506" t="str">
            <v>Đ</v>
          </cell>
          <cell r="J506" t="str">
            <v>Đ</v>
          </cell>
          <cell r="K506" t="str">
            <v>CN</v>
          </cell>
          <cell r="L506">
            <v>8</v>
          </cell>
          <cell r="M506">
            <v>8</v>
          </cell>
          <cell r="N506">
            <v>8</v>
          </cell>
          <cell r="O506">
            <v>8</v>
          </cell>
          <cell r="P506">
            <v>8</v>
          </cell>
          <cell r="Q506">
            <v>8</v>
          </cell>
          <cell r="R506" t="str">
            <v>CN</v>
          </cell>
          <cell r="S506" t="str">
            <v>Đ</v>
          </cell>
          <cell r="T506" t="str">
            <v>Đ</v>
          </cell>
          <cell r="U506" t="str">
            <v>Đ</v>
          </cell>
          <cell r="V506" t="str">
            <v>Đ</v>
          </cell>
          <cell r="W506" t="str">
            <v>Đ</v>
          </cell>
          <cell r="X506" t="str">
            <v>Đ</v>
          </cell>
          <cell r="Y506" t="str">
            <v>CN</v>
          </cell>
          <cell r="Z506">
            <v>8</v>
          </cell>
          <cell r="AA506">
            <v>8</v>
          </cell>
          <cell r="AB506">
            <v>8</v>
          </cell>
          <cell r="AC506">
            <v>8</v>
          </cell>
          <cell r="AD506">
            <v>8</v>
          </cell>
          <cell r="AE506">
            <v>8</v>
          </cell>
          <cell r="AF506" t="str">
            <v>CN</v>
          </cell>
          <cell r="AG506">
            <v>8</v>
          </cell>
          <cell r="AH506">
            <v>8</v>
          </cell>
          <cell r="AI506">
            <v>8</v>
          </cell>
          <cell r="AJ506">
            <v>8</v>
          </cell>
          <cell r="AN506">
            <v>64</v>
          </cell>
          <cell r="AO506">
            <v>128</v>
          </cell>
          <cell r="AP506">
            <v>0</v>
          </cell>
          <cell r="AQ506">
            <v>0</v>
          </cell>
          <cell r="AR506">
            <v>0</v>
          </cell>
          <cell r="AS506">
            <v>0</v>
          </cell>
          <cell r="AT506">
            <v>0</v>
          </cell>
          <cell r="AU506">
            <v>0</v>
          </cell>
          <cell r="AV506">
            <v>0</v>
          </cell>
          <cell r="AW506">
            <v>0</v>
          </cell>
          <cell r="AX506">
            <v>0</v>
          </cell>
          <cell r="AY506">
            <v>0</v>
          </cell>
          <cell r="AZ506">
            <v>0</v>
          </cell>
          <cell r="BA506">
            <v>0</v>
          </cell>
          <cell r="BB506">
            <v>0</v>
          </cell>
          <cell r="BC506">
            <v>0</v>
          </cell>
          <cell r="BD506">
            <v>0</v>
          </cell>
          <cell r="BE506">
            <v>0</v>
          </cell>
          <cell r="BF506">
            <v>0</v>
          </cell>
          <cell r="BG506">
            <v>192</v>
          </cell>
          <cell r="BH506">
            <v>0</v>
          </cell>
          <cell r="BI506">
            <v>0</v>
          </cell>
          <cell r="BJ506">
            <v>6</v>
          </cell>
          <cell r="BL506">
            <v>0</v>
          </cell>
          <cell r="BM506">
            <v>4</v>
          </cell>
          <cell r="BN506">
            <v>0</v>
          </cell>
          <cell r="BO506">
            <v>4</v>
          </cell>
          <cell r="BP506">
            <v>0</v>
          </cell>
          <cell r="BQ506">
            <v>4</v>
          </cell>
          <cell r="BR506">
            <v>0</v>
          </cell>
          <cell r="BS506">
            <v>0</v>
          </cell>
          <cell r="BT506">
            <v>4</v>
          </cell>
          <cell r="BU506">
            <v>0</v>
          </cell>
          <cell r="BV506">
            <v>4</v>
          </cell>
          <cell r="BW506">
            <v>0</v>
          </cell>
          <cell r="BX506">
            <v>4</v>
          </cell>
          <cell r="BY506">
            <v>0</v>
          </cell>
          <cell r="BZ506">
            <v>0</v>
          </cell>
          <cell r="CA506">
            <v>3.5</v>
          </cell>
          <cell r="CB506">
            <v>0</v>
          </cell>
          <cell r="CC506">
            <v>4</v>
          </cell>
          <cell r="CD506">
            <v>0</v>
          </cell>
          <cell r="CE506">
            <v>4</v>
          </cell>
          <cell r="CF506">
            <v>4</v>
          </cell>
          <cell r="CG506">
            <v>4</v>
          </cell>
          <cell r="CH506">
            <v>4</v>
          </cell>
          <cell r="CI506">
            <v>0</v>
          </cell>
          <cell r="CJ506">
            <v>4</v>
          </cell>
          <cell r="CK506">
            <v>0</v>
          </cell>
          <cell r="CL506">
            <v>0</v>
          </cell>
          <cell r="CM506">
            <v>0</v>
          </cell>
          <cell r="CR506">
            <v>0</v>
          </cell>
          <cell r="CS506">
            <v>0</v>
          </cell>
          <cell r="CT506">
            <v>51.5</v>
          </cell>
          <cell r="CU506">
            <v>0</v>
          </cell>
          <cell r="CV506">
            <v>0</v>
          </cell>
          <cell r="CZ506">
            <v>51.5</v>
          </cell>
        </row>
        <row r="507">
          <cell r="C507" t="str">
            <v>03493</v>
          </cell>
          <cell r="D507" t="str">
            <v>Thị Trúc Phương</v>
          </cell>
          <cell r="E507" t="str">
            <v>Production</v>
          </cell>
          <cell r="F507" t="str">
            <v>Die cut</v>
          </cell>
          <cell r="G507" t="str">
            <v>Worker</v>
          </cell>
          <cell r="H507">
            <v>44697</v>
          </cell>
          <cell r="I507" t="str">
            <v>UP8</v>
          </cell>
          <cell r="J507" t="str">
            <v>Đ</v>
          </cell>
          <cell r="K507" t="str">
            <v>Đ</v>
          </cell>
          <cell r="L507" t="str">
            <v>CN</v>
          </cell>
          <cell r="M507">
            <v>8</v>
          </cell>
          <cell r="N507">
            <v>8</v>
          </cell>
          <cell r="O507">
            <v>8</v>
          </cell>
          <cell r="P507">
            <v>8</v>
          </cell>
          <cell r="Q507">
            <v>8</v>
          </cell>
          <cell r="R507">
            <v>8</v>
          </cell>
          <cell r="S507" t="str">
            <v>CN</v>
          </cell>
          <cell r="T507" t="str">
            <v>Đ</v>
          </cell>
          <cell r="U507" t="str">
            <v>Đ</v>
          </cell>
          <cell r="V507" t="str">
            <v>Đ</v>
          </cell>
          <cell r="W507" t="str">
            <v>Đ</v>
          </cell>
          <cell r="X507" t="str">
            <v>Đ</v>
          </cell>
          <cell r="Y507" t="str">
            <v>Đ</v>
          </cell>
          <cell r="Z507" t="str">
            <v>CN</v>
          </cell>
          <cell r="AA507">
            <v>8</v>
          </cell>
          <cell r="AB507">
            <v>8</v>
          </cell>
          <cell r="AC507">
            <v>8</v>
          </cell>
          <cell r="AD507">
            <v>8</v>
          </cell>
          <cell r="AE507">
            <v>8</v>
          </cell>
          <cell r="AF507">
            <v>8</v>
          </cell>
          <cell r="AG507" t="str">
            <v>CN</v>
          </cell>
          <cell r="AH507" t="str">
            <v>Đ</v>
          </cell>
          <cell r="AI507" t="str">
            <v>Đ</v>
          </cell>
          <cell r="AJ507" t="str">
            <v>Đ</v>
          </cell>
          <cell r="AN507">
            <v>88</v>
          </cell>
          <cell r="AO507">
            <v>96</v>
          </cell>
          <cell r="AP507">
            <v>0</v>
          </cell>
          <cell r="AQ507">
            <v>0</v>
          </cell>
          <cell r="AR507">
            <v>0</v>
          </cell>
          <cell r="AS507">
            <v>8</v>
          </cell>
          <cell r="AT507">
            <v>0</v>
          </cell>
          <cell r="AU507">
            <v>0</v>
          </cell>
          <cell r="AV507">
            <v>0</v>
          </cell>
          <cell r="AW507">
            <v>0</v>
          </cell>
          <cell r="AX507">
            <v>0</v>
          </cell>
          <cell r="AY507">
            <v>0</v>
          </cell>
          <cell r="AZ507">
            <v>0</v>
          </cell>
          <cell r="BA507">
            <v>0</v>
          </cell>
          <cell r="BB507">
            <v>0</v>
          </cell>
          <cell r="BC507">
            <v>0</v>
          </cell>
          <cell r="BD507">
            <v>0</v>
          </cell>
          <cell r="BE507">
            <v>0</v>
          </cell>
          <cell r="BF507">
            <v>0</v>
          </cell>
          <cell r="BG507">
            <v>184</v>
          </cell>
          <cell r="BH507">
            <v>0</v>
          </cell>
          <cell r="BI507">
            <v>0</v>
          </cell>
          <cell r="BJ507">
            <v>1.5</v>
          </cell>
          <cell r="BL507">
            <v>0</v>
          </cell>
          <cell r="BM507">
            <v>1.5</v>
          </cell>
          <cell r="BN507">
            <v>1.5</v>
          </cell>
          <cell r="BO507">
            <v>0</v>
          </cell>
          <cell r="BP507">
            <v>1.5</v>
          </cell>
          <cell r="BQ507">
            <v>0</v>
          </cell>
          <cell r="BR507">
            <v>0</v>
          </cell>
          <cell r="BS507">
            <v>0</v>
          </cell>
          <cell r="BT507">
            <v>3</v>
          </cell>
          <cell r="BU507">
            <v>3</v>
          </cell>
          <cell r="BV507">
            <v>0</v>
          </cell>
          <cell r="BW507">
            <v>4</v>
          </cell>
          <cell r="BX507">
            <v>4</v>
          </cell>
          <cell r="BY507">
            <v>4</v>
          </cell>
          <cell r="BZ507">
            <v>4</v>
          </cell>
          <cell r="CA507">
            <v>4</v>
          </cell>
          <cell r="CB507">
            <v>4</v>
          </cell>
          <cell r="CC507">
            <v>0</v>
          </cell>
          <cell r="CD507">
            <v>3</v>
          </cell>
          <cell r="CE507">
            <v>3</v>
          </cell>
          <cell r="CF507">
            <v>3</v>
          </cell>
          <cell r="CG507">
            <v>3</v>
          </cell>
          <cell r="CH507">
            <v>3</v>
          </cell>
          <cell r="CI507">
            <v>3</v>
          </cell>
          <cell r="CJ507">
            <v>0</v>
          </cell>
          <cell r="CK507">
            <v>4</v>
          </cell>
          <cell r="CL507">
            <v>4</v>
          </cell>
          <cell r="CM507">
            <v>4</v>
          </cell>
          <cell r="CR507">
            <v>0</v>
          </cell>
          <cell r="CS507">
            <v>0</v>
          </cell>
          <cell r="CT507">
            <v>64.5</v>
          </cell>
          <cell r="CU507">
            <v>0</v>
          </cell>
          <cell r="CV507">
            <v>0</v>
          </cell>
          <cell r="CZ507">
            <v>64.5</v>
          </cell>
        </row>
        <row r="508">
          <cell r="C508" t="str">
            <v>03501</v>
          </cell>
          <cell r="D508" t="str">
            <v>Huỳnh Thị Ngọc Điệp</v>
          </cell>
          <cell r="E508" t="str">
            <v>Production</v>
          </cell>
          <cell r="F508" t="str">
            <v>Packing</v>
          </cell>
          <cell r="G508" t="str">
            <v>Worker</v>
          </cell>
          <cell r="H508">
            <v>44697</v>
          </cell>
          <cell r="I508">
            <v>8</v>
          </cell>
          <cell r="J508">
            <v>8</v>
          </cell>
          <cell r="K508">
            <v>8</v>
          </cell>
          <cell r="L508" t="str">
            <v>CN</v>
          </cell>
          <cell r="M508" t="str">
            <v>AL8</v>
          </cell>
          <cell r="N508" t="str">
            <v>AL4</v>
          </cell>
          <cell r="O508">
            <v>8</v>
          </cell>
          <cell r="P508">
            <v>8</v>
          </cell>
          <cell r="Q508">
            <v>8</v>
          </cell>
          <cell r="R508">
            <v>8</v>
          </cell>
          <cell r="S508" t="str">
            <v>CN</v>
          </cell>
          <cell r="T508">
            <v>8</v>
          </cell>
          <cell r="U508">
            <v>8</v>
          </cell>
          <cell r="V508">
            <v>8</v>
          </cell>
          <cell r="W508">
            <v>8</v>
          </cell>
          <cell r="X508">
            <v>8</v>
          </cell>
          <cell r="Y508">
            <v>8</v>
          </cell>
          <cell r="Z508" t="str">
            <v>CN</v>
          </cell>
          <cell r="AA508">
            <v>8</v>
          </cell>
          <cell r="AB508">
            <v>8</v>
          </cell>
          <cell r="AC508">
            <v>8</v>
          </cell>
          <cell r="AD508">
            <v>8</v>
          </cell>
          <cell r="AE508">
            <v>8</v>
          </cell>
          <cell r="AF508">
            <v>8</v>
          </cell>
          <cell r="AG508" t="str">
            <v>CN</v>
          </cell>
          <cell r="AH508">
            <v>8</v>
          </cell>
          <cell r="AI508">
            <v>8</v>
          </cell>
          <cell r="AJ508">
            <v>8</v>
          </cell>
          <cell r="AN508">
            <v>0</v>
          </cell>
          <cell r="AO508">
            <v>180</v>
          </cell>
          <cell r="AP508">
            <v>4</v>
          </cell>
          <cell r="AQ508">
            <v>0</v>
          </cell>
          <cell r="AR508">
            <v>0</v>
          </cell>
          <cell r="AS508">
            <v>0</v>
          </cell>
          <cell r="AT508">
            <v>0</v>
          </cell>
          <cell r="AU508">
            <v>0</v>
          </cell>
          <cell r="AV508">
            <v>0</v>
          </cell>
          <cell r="AW508">
            <v>0</v>
          </cell>
          <cell r="AX508">
            <v>0</v>
          </cell>
          <cell r="AY508">
            <v>0</v>
          </cell>
          <cell r="AZ508">
            <v>0</v>
          </cell>
          <cell r="BA508">
            <v>12</v>
          </cell>
          <cell r="BB508">
            <v>0</v>
          </cell>
          <cell r="BC508">
            <v>0</v>
          </cell>
          <cell r="BD508">
            <v>0</v>
          </cell>
          <cell r="BE508">
            <v>0</v>
          </cell>
          <cell r="BF508">
            <v>0</v>
          </cell>
          <cell r="BG508">
            <v>192</v>
          </cell>
          <cell r="BH508">
            <v>1.5</v>
          </cell>
          <cell r="BI508">
            <v>1.5</v>
          </cell>
          <cell r="BJ508">
            <v>2.5</v>
          </cell>
          <cell r="BL508">
            <v>1.5</v>
          </cell>
          <cell r="BM508">
            <v>2.5</v>
          </cell>
          <cell r="BN508">
            <v>1.5</v>
          </cell>
          <cell r="BO508">
            <v>0</v>
          </cell>
          <cell r="BP508">
            <v>0</v>
          </cell>
          <cell r="BQ508">
            <v>2</v>
          </cell>
          <cell r="BR508">
            <v>1.5</v>
          </cell>
          <cell r="BS508">
            <v>2</v>
          </cell>
          <cell r="BT508">
            <v>3</v>
          </cell>
          <cell r="BU508">
            <v>1.5</v>
          </cell>
          <cell r="BV508">
            <v>0</v>
          </cell>
          <cell r="BW508">
            <v>2.5</v>
          </cell>
          <cell r="BX508">
            <v>1.5</v>
          </cell>
          <cell r="BY508">
            <v>3.5</v>
          </cell>
          <cell r="BZ508">
            <v>0</v>
          </cell>
          <cell r="CA508">
            <v>3</v>
          </cell>
          <cell r="CB508">
            <v>1.5</v>
          </cell>
          <cell r="CC508">
            <v>8</v>
          </cell>
          <cell r="CD508">
            <v>3</v>
          </cell>
          <cell r="CE508">
            <v>3</v>
          </cell>
          <cell r="CF508">
            <v>3</v>
          </cell>
          <cell r="CG508">
            <v>3</v>
          </cell>
          <cell r="CH508">
            <v>3</v>
          </cell>
          <cell r="CI508">
            <v>0</v>
          </cell>
          <cell r="CJ508">
            <v>8</v>
          </cell>
          <cell r="CK508">
            <v>2.5</v>
          </cell>
          <cell r="CL508">
            <v>3</v>
          </cell>
          <cell r="CM508">
            <v>3</v>
          </cell>
          <cell r="CR508">
            <v>0</v>
          </cell>
          <cell r="CS508">
            <v>0</v>
          </cell>
          <cell r="CT508">
            <v>51</v>
          </cell>
          <cell r="CU508">
            <v>16</v>
          </cell>
          <cell r="CV508">
            <v>0</v>
          </cell>
          <cell r="CZ508">
            <v>67</v>
          </cell>
        </row>
        <row r="509">
          <cell r="C509" t="str">
            <v>03503</v>
          </cell>
          <cell r="D509" t="str">
            <v>Triệu Thị Thơ</v>
          </cell>
          <cell r="E509" t="str">
            <v>Production</v>
          </cell>
          <cell r="F509" t="str">
            <v>Packing</v>
          </cell>
          <cell r="G509" t="str">
            <v>Worker</v>
          </cell>
          <cell r="H509">
            <v>44697</v>
          </cell>
          <cell r="I509" t="str">
            <v>Đ</v>
          </cell>
          <cell r="J509" t="str">
            <v>Đ</v>
          </cell>
          <cell r="K509" t="str">
            <v>Đ</v>
          </cell>
          <cell r="L509" t="str">
            <v>CN</v>
          </cell>
          <cell r="M509">
            <v>8</v>
          </cell>
          <cell r="N509">
            <v>8</v>
          </cell>
          <cell r="O509">
            <v>8</v>
          </cell>
          <cell r="P509" t="str">
            <v>AL8</v>
          </cell>
          <cell r="Q509" t="str">
            <v>AL8</v>
          </cell>
          <cell r="R509">
            <v>8</v>
          </cell>
          <cell r="S509" t="str">
            <v>CN</v>
          </cell>
          <cell r="T509" t="str">
            <v>Đ</v>
          </cell>
          <cell r="U509" t="str">
            <v>Đ</v>
          </cell>
          <cell r="V509" t="str">
            <v>Đ</v>
          </cell>
          <cell r="W509" t="str">
            <v>Đ</v>
          </cell>
          <cell r="X509" t="str">
            <v>Đ</v>
          </cell>
          <cell r="Y509" t="str">
            <v>AL8</v>
          </cell>
          <cell r="Z509" t="str">
            <v>CN</v>
          </cell>
          <cell r="AA509" t="str">
            <v>AL8</v>
          </cell>
          <cell r="AB509" t="str">
            <v>AL8</v>
          </cell>
          <cell r="AC509" t="str">
            <v>AL4/UP4</v>
          </cell>
          <cell r="AD509" t="str">
            <v>UP8</v>
          </cell>
          <cell r="AE509" t="str">
            <v>UP8</v>
          </cell>
          <cell r="AF509" t="str">
            <v>UP8</v>
          </cell>
          <cell r="AG509" t="str">
            <v>CN</v>
          </cell>
          <cell r="AH509" t="str">
            <v>TV</v>
          </cell>
          <cell r="AI509" t="str">
            <v>TV</v>
          </cell>
          <cell r="AJ509" t="str">
            <v>TV</v>
          </cell>
          <cell r="AN509">
            <v>64</v>
          </cell>
          <cell r="AO509">
            <v>32</v>
          </cell>
          <cell r="AP509">
            <v>0</v>
          </cell>
          <cell r="AQ509">
            <v>0</v>
          </cell>
          <cell r="AR509">
            <v>0</v>
          </cell>
          <cell r="AS509">
            <v>28</v>
          </cell>
          <cell r="AT509">
            <v>0</v>
          </cell>
          <cell r="AU509">
            <v>0</v>
          </cell>
          <cell r="AV509">
            <v>0</v>
          </cell>
          <cell r="AW509">
            <v>0</v>
          </cell>
          <cell r="AX509">
            <v>0</v>
          </cell>
          <cell r="AY509">
            <v>0</v>
          </cell>
          <cell r="AZ509">
            <v>0</v>
          </cell>
          <cell r="BA509">
            <v>44</v>
          </cell>
          <cell r="BB509">
            <v>0</v>
          </cell>
          <cell r="BC509">
            <v>0</v>
          </cell>
          <cell r="BD509">
            <v>0</v>
          </cell>
          <cell r="BE509">
            <v>0</v>
          </cell>
          <cell r="BF509">
            <v>0</v>
          </cell>
          <cell r="BG509">
            <v>140</v>
          </cell>
          <cell r="BH509">
            <v>5.5</v>
          </cell>
          <cell r="BI509">
            <v>5.5</v>
          </cell>
          <cell r="BJ509">
            <v>0</v>
          </cell>
          <cell r="BL509">
            <v>0</v>
          </cell>
          <cell r="BM509">
            <v>0</v>
          </cell>
          <cell r="BN509">
            <v>0</v>
          </cell>
          <cell r="BO509">
            <v>0</v>
          </cell>
          <cell r="BP509">
            <v>1.5</v>
          </cell>
          <cell r="BQ509">
            <v>3</v>
          </cell>
          <cell r="BR509">
            <v>0</v>
          </cell>
          <cell r="BS509">
            <v>0</v>
          </cell>
          <cell r="BT509">
            <v>0</v>
          </cell>
          <cell r="BU509">
            <v>0</v>
          </cell>
          <cell r="BV509">
            <v>0</v>
          </cell>
          <cell r="BW509">
            <v>3</v>
          </cell>
          <cell r="BX509">
            <v>4</v>
          </cell>
          <cell r="BY509">
            <v>4</v>
          </cell>
          <cell r="BZ509">
            <v>4</v>
          </cell>
          <cell r="CA509">
            <v>4</v>
          </cell>
          <cell r="CB509">
            <v>0</v>
          </cell>
          <cell r="CC509">
            <v>0</v>
          </cell>
          <cell r="CD509">
            <v>0</v>
          </cell>
          <cell r="CE509">
            <v>0</v>
          </cell>
          <cell r="CF509">
            <v>0</v>
          </cell>
          <cell r="CG509">
            <v>0</v>
          </cell>
          <cell r="CH509">
            <v>0</v>
          </cell>
          <cell r="CI509">
            <v>0</v>
          </cell>
          <cell r="CJ509">
            <v>0</v>
          </cell>
          <cell r="CK509">
            <v>0</v>
          </cell>
          <cell r="CL509">
            <v>0</v>
          </cell>
          <cell r="CM509">
            <v>0</v>
          </cell>
          <cell r="CR509">
            <v>0</v>
          </cell>
          <cell r="CS509">
            <v>0</v>
          </cell>
          <cell r="CT509">
            <v>23.5</v>
          </cell>
          <cell r="CU509">
            <v>0</v>
          </cell>
          <cell r="CV509">
            <v>0</v>
          </cell>
          <cell r="CZ509">
            <v>23.5</v>
          </cell>
        </row>
        <row r="510">
          <cell r="C510" t="str">
            <v>03504</v>
          </cell>
          <cell r="D510" t="str">
            <v>Thị Chanh Phà Ri</v>
          </cell>
          <cell r="E510" t="str">
            <v>Production</v>
          </cell>
          <cell r="F510" t="str">
            <v>Lamination</v>
          </cell>
          <cell r="G510" t="str">
            <v>Worker</v>
          </cell>
          <cell r="H510">
            <v>44697</v>
          </cell>
          <cell r="I510" t="str">
            <v>Đ</v>
          </cell>
          <cell r="J510" t="str">
            <v>Đ</v>
          </cell>
          <cell r="K510" t="str">
            <v>Đ</v>
          </cell>
          <cell r="L510" t="str">
            <v>CN</v>
          </cell>
          <cell r="M510">
            <v>8</v>
          </cell>
          <cell r="N510">
            <v>8</v>
          </cell>
          <cell r="O510">
            <v>8</v>
          </cell>
          <cell r="P510">
            <v>8</v>
          </cell>
          <cell r="Q510">
            <v>8</v>
          </cell>
          <cell r="R510">
            <v>8</v>
          </cell>
          <cell r="S510" t="str">
            <v>CN</v>
          </cell>
          <cell r="T510">
            <v>8</v>
          </cell>
          <cell r="U510">
            <v>8</v>
          </cell>
          <cell r="V510">
            <v>8</v>
          </cell>
          <cell r="W510">
            <v>8</v>
          </cell>
          <cell r="X510">
            <v>8</v>
          </cell>
          <cell r="Y510">
            <v>8</v>
          </cell>
          <cell r="Z510" t="str">
            <v>CN</v>
          </cell>
          <cell r="AA510">
            <v>8</v>
          </cell>
          <cell r="AB510">
            <v>8</v>
          </cell>
          <cell r="AC510">
            <v>8</v>
          </cell>
          <cell r="AD510">
            <v>8</v>
          </cell>
          <cell r="AE510">
            <v>8</v>
          </cell>
          <cell r="AF510" t="str">
            <v>CN</v>
          </cell>
          <cell r="AG510">
            <v>8</v>
          </cell>
          <cell r="AH510">
            <v>8</v>
          </cell>
          <cell r="AI510">
            <v>8</v>
          </cell>
          <cell r="AJ510">
            <v>8</v>
          </cell>
          <cell r="AN510">
            <v>24</v>
          </cell>
          <cell r="AO510">
            <v>168</v>
          </cell>
          <cell r="AP510">
            <v>0</v>
          </cell>
          <cell r="AQ510">
            <v>0</v>
          </cell>
          <cell r="AR510">
            <v>0</v>
          </cell>
          <cell r="AS510">
            <v>0</v>
          </cell>
          <cell r="AT510">
            <v>0</v>
          </cell>
          <cell r="AU510">
            <v>0</v>
          </cell>
          <cell r="AV510">
            <v>0</v>
          </cell>
          <cell r="AW510">
            <v>0</v>
          </cell>
          <cell r="AX510">
            <v>0</v>
          </cell>
          <cell r="AY510">
            <v>0</v>
          </cell>
          <cell r="AZ510">
            <v>0</v>
          </cell>
          <cell r="BA510">
            <v>0</v>
          </cell>
          <cell r="BB510">
            <v>0</v>
          </cell>
          <cell r="BC510">
            <v>0</v>
          </cell>
          <cell r="BD510">
            <v>0</v>
          </cell>
          <cell r="BE510">
            <v>0</v>
          </cell>
          <cell r="BF510">
            <v>0</v>
          </cell>
          <cell r="BG510">
            <v>192</v>
          </cell>
          <cell r="BH510">
            <v>0</v>
          </cell>
          <cell r="BI510">
            <v>0</v>
          </cell>
          <cell r="BJ510">
            <v>1.5</v>
          </cell>
          <cell r="BL510">
            <v>0</v>
          </cell>
          <cell r="BM510">
            <v>0</v>
          </cell>
          <cell r="BN510">
            <v>0</v>
          </cell>
          <cell r="BO510">
            <v>0</v>
          </cell>
          <cell r="BP510">
            <v>0</v>
          </cell>
          <cell r="BQ510">
            <v>0</v>
          </cell>
          <cell r="BR510">
            <v>4</v>
          </cell>
          <cell r="BS510">
            <v>4</v>
          </cell>
          <cell r="BT510">
            <v>0</v>
          </cell>
          <cell r="BU510">
            <v>0</v>
          </cell>
          <cell r="BV510">
            <v>0</v>
          </cell>
          <cell r="BW510">
            <v>0</v>
          </cell>
          <cell r="BX510">
            <v>4</v>
          </cell>
          <cell r="BY510">
            <v>0</v>
          </cell>
          <cell r="BZ510">
            <v>0</v>
          </cell>
          <cell r="CA510">
            <v>4</v>
          </cell>
          <cell r="CB510">
            <v>4</v>
          </cell>
          <cell r="CC510">
            <v>0</v>
          </cell>
          <cell r="CD510">
            <v>0</v>
          </cell>
          <cell r="CE510">
            <v>4</v>
          </cell>
          <cell r="CF510">
            <v>0</v>
          </cell>
          <cell r="CG510">
            <v>4</v>
          </cell>
          <cell r="CH510">
            <v>4</v>
          </cell>
          <cell r="CI510">
            <v>0</v>
          </cell>
          <cell r="CJ510">
            <v>4</v>
          </cell>
          <cell r="CK510">
            <v>0</v>
          </cell>
          <cell r="CL510">
            <v>4</v>
          </cell>
          <cell r="CM510">
            <v>0</v>
          </cell>
          <cell r="CR510">
            <v>0</v>
          </cell>
          <cell r="CS510">
            <v>0</v>
          </cell>
          <cell r="CT510">
            <v>40</v>
          </cell>
          <cell r="CU510">
            <v>0</v>
          </cell>
          <cell r="CV510">
            <v>0</v>
          </cell>
          <cell r="CZ510">
            <v>40</v>
          </cell>
        </row>
        <row r="511">
          <cell r="C511" t="str">
            <v>03506</v>
          </cell>
          <cell r="D511" t="str">
            <v>Hà Mẫn Đạt</v>
          </cell>
          <cell r="E511" t="str">
            <v>Production</v>
          </cell>
          <cell r="F511" t="str">
            <v>Logo</v>
          </cell>
          <cell r="G511" t="str">
            <v>Worker</v>
          </cell>
          <cell r="H511">
            <v>44697</v>
          </cell>
          <cell r="I511">
            <v>8</v>
          </cell>
          <cell r="J511">
            <v>8</v>
          </cell>
          <cell r="K511">
            <v>8</v>
          </cell>
          <cell r="L511" t="str">
            <v>CN</v>
          </cell>
          <cell r="M511" t="str">
            <v>Đ</v>
          </cell>
          <cell r="N511" t="str">
            <v>Đ</v>
          </cell>
          <cell r="O511" t="str">
            <v>Đ</v>
          </cell>
          <cell r="P511" t="str">
            <v>Đ</v>
          </cell>
          <cell r="Q511" t="str">
            <v>Đ</v>
          </cell>
          <cell r="R511" t="str">
            <v>Đ</v>
          </cell>
          <cell r="S511" t="str">
            <v>CN</v>
          </cell>
          <cell r="T511" t="str">
            <v>AL4</v>
          </cell>
          <cell r="U511">
            <v>8</v>
          </cell>
          <cell r="V511" t="str">
            <v>AL8</v>
          </cell>
          <cell r="W511" t="str">
            <v>AL8</v>
          </cell>
          <cell r="X511">
            <v>8</v>
          </cell>
          <cell r="Y511" t="str">
            <v>UP4</v>
          </cell>
          <cell r="Z511" t="str">
            <v>CN</v>
          </cell>
          <cell r="AA511" t="str">
            <v>Đ</v>
          </cell>
          <cell r="AB511" t="str">
            <v>Đ</v>
          </cell>
          <cell r="AC511" t="str">
            <v>Đ</v>
          </cell>
          <cell r="AD511" t="str">
            <v>Đ</v>
          </cell>
          <cell r="AE511" t="str">
            <v>Đ</v>
          </cell>
          <cell r="AF511" t="str">
            <v>Đ</v>
          </cell>
          <cell r="AG511" t="str">
            <v>CN</v>
          </cell>
          <cell r="AH511">
            <v>8</v>
          </cell>
          <cell r="AI511">
            <v>8</v>
          </cell>
          <cell r="AJ511">
            <v>8</v>
          </cell>
          <cell r="AN511">
            <v>96</v>
          </cell>
          <cell r="AO511">
            <v>72</v>
          </cell>
          <cell r="AP511">
            <v>4</v>
          </cell>
          <cell r="AQ511">
            <v>0</v>
          </cell>
          <cell r="AR511">
            <v>4</v>
          </cell>
          <cell r="AS511">
            <v>4</v>
          </cell>
          <cell r="AT511">
            <v>0</v>
          </cell>
          <cell r="AU511">
            <v>0</v>
          </cell>
          <cell r="AV511">
            <v>0</v>
          </cell>
          <cell r="AW511">
            <v>0</v>
          </cell>
          <cell r="AX511">
            <v>0</v>
          </cell>
          <cell r="AY511">
            <v>0</v>
          </cell>
          <cell r="AZ511">
            <v>0</v>
          </cell>
          <cell r="BA511">
            <v>20</v>
          </cell>
          <cell r="BB511">
            <v>0</v>
          </cell>
          <cell r="BC511">
            <v>0</v>
          </cell>
          <cell r="BD511">
            <v>0</v>
          </cell>
          <cell r="BE511">
            <v>0</v>
          </cell>
          <cell r="BF511">
            <v>0</v>
          </cell>
          <cell r="BG511">
            <v>188</v>
          </cell>
          <cell r="BH511">
            <v>2.5</v>
          </cell>
          <cell r="BI511">
            <v>2.5</v>
          </cell>
          <cell r="BJ511">
            <v>0</v>
          </cell>
          <cell r="BL511">
            <v>0</v>
          </cell>
          <cell r="BM511">
            <v>1.5</v>
          </cell>
          <cell r="BN511">
            <v>0</v>
          </cell>
          <cell r="BO511">
            <v>0</v>
          </cell>
          <cell r="BP511">
            <v>1.5</v>
          </cell>
          <cell r="BQ511">
            <v>0</v>
          </cell>
          <cell r="BR511">
            <v>0</v>
          </cell>
          <cell r="BS511">
            <v>4</v>
          </cell>
          <cell r="BT511">
            <v>4</v>
          </cell>
          <cell r="BU511">
            <v>4</v>
          </cell>
          <cell r="BV511">
            <v>0</v>
          </cell>
          <cell r="BW511">
            <v>2</v>
          </cell>
          <cell r="BX511">
            <v>3</v>
          </cell>
          <cell r="BY511">
            <v>0</v>
          </cell>
          <cell r="BZ511">
            <v>0</v>
          </cell>
          <cell r="CA511">
            <v>3</v>
          </cell>
          <cell r="CB511">
            <v>2</v>
          </cell>
          <cell r="CC511">
            <v>8</v>
          </cell>
          <cell r="CD511">
            <v>4</v>
          </cell>
          <cell r="CE511">
            <v>4</v>
          </cell>
          <cell r="CF511">
            <v>4</v>
          </cell>
          <cell r="CG511">
            <v>1.5</v>
          </cell>
          <cell r="CH511">
            <v>4</v>
          </cell>
          <cell r="CI511">
            <v>4</v>
          </cell>
          <cell r="CJ511">
            <v>0</v>
          </cell>
          <cell r="CK511">
            <v>3</v>
          </cell>
          <cell r="CL511">
            <v>3</v>
          </cell>
          <cell r="CM511">
            <v>0</v>
          </cell>
          <cell r="CR511">
            <v>0</v>
          </cell>
          <cell r="CS511">
            <v>0</v>
          </cell>
          <cell r="CT511">
            <v>52.5</v>
          </cell>
          <cell r="CU511">
            <v>8</v>
          </cell>
          <cell r="CV511">
            <v>0</v>
          </cell>
          <cell r="CZ511">
            <v>60.5</v>
          </cell>
        </row>
        <row r="512">
          <cell r="C512" t="str">
            <v>03507</v>
          </cell>
          <cell r="D512" t="str">
            <v>Trần Thị Tuyết</v>
          </cell>
          <cell r="E512" t="str">
            <v>Production</v>
          </cell>
          <cell r="F512" t="str">
            <v>Die Cut</v>
          </cell>
          <cell r="G512" t="str">
            <v>Worker</v>
          </cell>
          <cell r="H512">
            <v>44697</v>
          </cell>
          <cell r="I512" t="str">
            <v>Đ</v>
          </cell>
          <cell r="J512" t="str">
            <v>Đ</v>
          </cell>
          <cell r="K512" t="str">
            <v>Đ</v>
          </cell>
          <cell r="L512" t="str">
            <v>CN</v>
          </cell>
          <cell r="M512">
            <v>8</v>
          </cell>
          <cell r="N512">
            <v>8</v>
          </cell>
          <cell r="O512">
            <v>8</v>
          </cell>
          <cell r="P512" t="str">
            <v>AL8</v>
          </cell>
          <cell r="Q512">
            <v>8</v>
          </cell>
          <cell r="R512">
            <v>8</v>
          </cell>
          <cell r="S512" t="str">
            <v>CN</v>
          </cell>
          <cell r="T512" t="str">
            <v>Đ</v>
          </cell>
          <cell r="U512" t="str">
            <v>Đ</v>
          </cell>
          <cell r="V512" t="str">
            <v>Đ</v>
          </cell>
          <cell r="W512" t="str">
            <v>Đ</v>
          </cell>
          <cell r="X512" t="str">
            <v>Đ</v>
          </cell>
          <cell r="Y512" t="str">
            <v>Đ</v>
          </cell>
          <cell r="Z512" t="str">
            <v>CN</v>
          </cell>
          <cell r="AA512">
            <v>8</v>
          </cell>
          <cell r="AB512">
            <v>8</v>
          </cell>
          <cell r="AC512">
            <v>8</v>
          </cell>
          <cell r="AD512">
            <v>8</v>
          </cell>
          <cell r="AE512">
            <v>8</v>
          </cell>
          <cell r="AF512">
            <v>8</v>
          </cell>
          <cell r="AG512" t="str">
            <v>CN</v>
          </cell>
          <cell r="AH512" t="str">
            <v>Đ</v>
          </cell>
          <cell r="AI512" t="str">
            <v>Đ</v>
          </cell>
          <cell r="AJ512" t="str">
            <v>Đ</v>
          </cell>
          <cell r="AN512">
            <v>96</v>
          </cell>
          <cell r="AO512">
            <v>88</v>
          </cell>
          <cell r="AP512">
            <v>0</v>
          </cell>
          <cell r="AQ512">
            <v>0</v>
          </cell>
          <cell r="AR512">
            <v>0</v>
          </cell>
          <cell r="AS512">
            <v>0</v>
          </cell>
          <cell r="AT512">
            <v>0</v>
          </cell>
          <cell r="AU512">
            <v>0</v>
          </cell>
          <cell r="AV512">
            <v>0</v>
          </cell>
          <cell r="AW512">
            <v>0</v>
          </cell>
          <cell r="AX512">
            <v>0</v>
          </cell>
          <cell r="AY512">
            <v>0</v>
          </cell>
          <cell r="AZ512">
            <v>0</v>
          </cell>
          <cell r="BA512">
            <v>8</v>
          </cell>
          <cell r="BB512">
            <v>0</v>
          </cell>
          <cell r="BC512">
            <v>0</v>
          </cell>
          <cell r="BD512">
            <v>0</v>
          </cell>
          <cell r="BE512">
            <v>0</v>
          </cell>
          <cell r="BF512">
            <v>0</v>
          </cell>
          <cell r="BG512">
            <v>192</v>
          </cell>
          <cell r="BH512">
            <v>1</v>
          </cell>
          <cell r="BI512">
            <v>1</v>
          </cell>
          <cell r="BJ512">
            <v>6.5</v>
          </cell>
          <cell r="BL512">
            <v>1.5</v>
          </cell>
          <cell r="BM512">
            <v>1.5</v>
          </cell>
          <cell r="BN512">
            <v>1.5</v>
          </cell>
          <cell r="BO512">
            <v>0</v>
          </cell>
          <cell r="BP512">
            <v>1.5</v>
          </cell>
          <cell r="BQ512">
            <v>0</v>
          </cell>
          <cell r="BR512">
            <v>0</v>
          </cell>
          <cell r="BS512">
            <v>0</v>
          </cell>
          <cell r="BT512">
            <v>3</v>
          </cell>
          <cell r="BU512">
            <v>3</v>
          </cell>
          <cell r="BV512">
            <v>0</v>
          </cell>
          <cell r="BW512">
            <v>4</v>
          </cell>
          <cell r="BX512">
            <v>4</v>
          </cell>
          <cell r="BY512">
            <v>4</v>
          </cell>
          <cell r="BZ512">
            <v>4</v>
          </cell>
          <cell r="CA512">
            <v>4</v>
          </cell>
          <cell r="CB512">
            <v>4</v>
          </cell>
          <cell r="CC512">
            <v>0</v>
          </cell>
          <cell r="CD512">
            <v>3</v>
          </cell>
          <cell r="CE512">
            <v>3</v>
          </cell>
          <cell r="CF512">
            <v>3</v>
          </cell>
          <cell r="CG512">
            <v>3</v>
          </cell>
          <cell r="CH512">
            <v>3</v>
          </cell>
          <cell r="CI512">
            <v>3</v>
          </cell>
          <cell r="CJ512">
            <v>8</v>
          </cell>
          <cell r="CK512">
            <v>4</v>
          </cell>
          <cell r="CL512">
            <v>4</v>
          </cell>
          <cell r="CM512">
            <v>4</v>
          </cell>
          <cell r="CR512">
            <v>0</v>
          </cell>
          <cell r="CS512">
            <v>0</v>
          </cell>
          <cell r="CT512">
            <v>66</v>
          </cell>
          <cell r="CU512">
            <v>8</v>
          </cell>
          <cell r="CV512">
            <v>0</v>
          </cell>
          <cell r="CZ512">
            <v>74</v>
          </cell>
        </row>
        <row r="513">
          <cell r="C513" t="str">
            <v>03508</v>
          </cell>
          <cell r="D513" t="str">
            <v>Nguyễn Quang Trung</v>
          </cell>
          <cell r="E513" t="str">
            <v>Production</v>
          </cell>
          <cell r="F513" t="str">
            <v>Die Cut</v>
          </cell>
          <cell r="G513" t="str">
            <v>Worker</v>
          </cell>
          <cell r="H513">
            <v>44697</v>
          </cell>
          <cell r="I513" t="str">
            <v>Đ</v>
          </cell>
          <cell r="J513" t="str">
            <v>Đ</v>
          </cell>
          <cell r="K513" t="str">
            <v>Đ</v>
          </cell>
          <cell r="L513" t="str">
            <v>CN</v>
          </cell>
          <cell r="M513">
            <v>8</v>
          </cell>
          <cell r="N513">
            <v>8</v>
          </cell>
          <cell r="O513">
            <v>8</v>
          </cell>
          <cell r="P513">
            <v>8</v>
          </cell>
          <cell r="Q513">
            <v>8</v>
          </cell>
          <cell r="R513" t="str">
            <v>AL8</v>
          </cell>
          <cell r="S513" t="str">
            <v>CN</v>
          </cell>
          <cell r="T513" t="str">
            <v>Đ</v>
          </cell>
          <cell r="U513" t="str">
            <v>Đ</v>
          </cell>
          <cell r="V513" t="str">
            <v>Đ</v>
          </cell>
          <cell r="W513" t="str">
            <v>Đ</v>
          </cell>
          <cell r="X513" t="str">
            <v>Đ</v>
          </cell>
          <cell r="Y513" t="str">
            <v>Đ</v>
          </cell>
          <cell r="Z513" t="str">
            <v>CN</v>
          </cell>
          <cell r="AA513">
            <v>8</v>
          </cell>
          <cell r="AB513">
            <v>8</v>
          </cell>
          <cell r="AC513">
            <v>8</v>
          </cell>
          <cell r="AD513">
            <v>8</v>
          </cell>
          <cell r="AE513">
            <v>8</v>
          </cell>
          <cell r="AF513">
            <v>8</v>
          </cell>
          <cell r="AG513" t="str">
            <v>CN</v>
          </cell>
          <cell r="AH513" t="str">
            <v>Đ</v>
          </cell>
          <cell r="AI513" t="str">
            <v>Đ</v>
          </cell>
          <cell r="AJ513" t="str">
            <v>Đ</v>
          </cell>
          <cell r="AN513">
            <v>96</v>
          </cell>
          <cell r="AO513">
            <v>88</v>
          </cell>
          <cell r="AP513">
            <v>0</v>
          </cell>
          <cell r="AQ513">
            <v>0</v>
          </cell>
          <cell r="AR513">
            <v>0</v>
          </cell>
          <cell r="AS513">
            <v>0</v>
          </cell>
          <cell r="AT513">
            <v>0</v>
          </cell>
          <cell r="AU513">
            <v>0</v>
          </cell>
          <cell r="AV513">
            <v>0</v>
          </cell>
          <cell r="AW513">
            <v>0</v>
          </cell>
          <cell r="AX513">
            <v>0</v>
          </cell>
          <cell r="AY513">
            <v>0</v>
          </cell>
          <cell r="AZ513">
            <v>0</v>
          </cell>
          <cell r="BA513">
            <v>8</v>
          </cell>
          <cell r="BB513">
            <v>0</v>
          </cell>
          <cell r="BC513">
            <v>0</v>
          </cell>
          <cell r="BD513">
            <v>0</v>
          </cell>
          <cell r="BE513">
            <v>0</v>
          </cell>
          <cell r="BF513">
            <v>0</v>
          </cell>
          <cell r="BG513">
            <v>192</v>
          </cell>
          <cell r="BH513">
            <v>1</v>
          </cell>
          <cell r="BI513">
            <v>1</v>
          </cell>
          <cell r="BJ513">
            <v>0</v>
          </cell>
          <cell r="BL513">
            <v>1.5</v>
          </cell>
          <cell r="BM513">
            <v>1.5</v>
          </cell>
          <cell r="BN513">
            <v>1.5</v>
          </cell>
          <cell r="BO513">
            <v>0</v>
          </cell>
          <cell r="BP513">
            <v>1.5</v>
          </cell>
          <cell r="BQ513">
            <v>0</v>
          </cell>
          <cell r="BR513">
            <v>0</v>
          </cell>
          <cell r="BS513">
            <v>3</v>
          </cell>
          <cell r="BT513">
            <v>0</v>
          </cell>
          <cell r="BU513">
            <v>0</v>
          </cell>
          <cell r="BV513">
            <v>0</v>
          </cell>
          <cell r="BW513">
            <v>4</v>
          </cell>
          <cell r="BX513">
            <v>4</v>
          </cell>
          <cell r="BY513">
            <v>4</v>
          </cell>
          <cell r="BZ513">
            <v>4</v>
          </cell>
          <cell r="CA513">
            <v>4</v>
          </cell>
          <cell r="CB513">
            <v>4</v>
          </cell>
          <cell r="CC513">
            <v>0</v>
          </cell>
          <cell r="CD513">
            <v>3</v>
          </cell>
          <cell r="CE513">
            <v>3</v>
          </cell>
          <cell r="CF513">
            <v>3</v>
          </cell>
          <cell r="CG513">
            <v>3</v>
          </cell>
          <cell r="CH513">
            <v>3</v>
          </cell>
          <cell r="CI513">
            <v>3</v>
          </cell>
          <cell r="CJ513">
            <v>11</v>
          </cell>
          <cell r="CK513">
            <v>4</v>
          </cell>
          <cell r="CL513">
            <v>4</v>
          </cell>
          <cell r="CM513">
            <v>4</v>
          </cell>
          <cell r="CR513">
            <v>0</v>
          </cell>
          <cell r="CS513">
            <v>0</v>
          </cell>
          <cell r="CT513">
            <v>63</v>
          </cell>
          <cell r="CU513">
            <v>11</v>
          </cell>
          <cell r="CV513">
            <v>0</v>
          </cell>
          <cell r="CZ513">
            <v>74</v>
          </cell>
        </row>
        <row r="514">
          <cell r="C514" t="str">
            <v>03512</v>
          </cell>
          <cell r="D514" t="str">
            <v>Nguyễn Thị Họa My</v>
          </cell>
          <cell r="E514" t="str">
            <v>Production office</v>
          </cell>
          <cell r="F514" t="str">
            <v>Production office</v>
          </cell>
          <cell r="G514" t="str">
            <v>Staff</v>
          </cell>
          <cell r="H514">
            <v>44700</v>
          </cell>
          <cell r="I514">
            <v>8</v>
          </cell>
          <cell r="J514">
            <v>8</v>
          </cell>
          <cell r="K514" t="str">
            <v>PO</v>
          </cell>
          <cell r="L514" t="str">
            <v>CN</v>
          </cell>
          <cell r="M514">
            <v>8</v>
          </cell>
          <cell r="N514">
            <v>8</v>
          </cell>
          <cell r="O514">
            <v>8</v>
          </cell>
          <cell r="P514">
            <v>8</v>
          </cell>
          <cell r="Q514">
            <v>8</v>
          </cell>
          <cell r="R514" t="str">
            <v>PO</v>
          </cell>
          <cell r="S514" t="str">
            <v>CN</v>
          </cell>
          <cell r="T514">
            <v>8</v>
          </cell>
          <cell r="U514">
            <v>8</v>
          </cell>
          <cell r="V514">
            <v>8</v>
          </cell>
          <cell r="W514">
            <v>8</v>
          </cell>
          <cell r="X514">
            <v>8</v>
          </cell>
          <cell r="Y514" t="str">
            <v>PO</v>
          </cell>
          <cell r="Z514" t="str">
            <v>CN</v>
          </cell>
          <cell r="AA514">
            <v>8</v>
          </cell>
          <cell r="AB514" t="str">
            <v>AL4</v>
          </cell>
          <cell r="AC514">
            <v>8</v>
          </cell>
          <cell r="AD514">
            <v>8</v>
          </cell>
          <cell r="AE514">
            <v>8</v>
          </cell>
          <cell r="AF514" t="str">
            <v>PO</v>
          </cell>
          <cell r="AG514" t="str">
            <v>CN</v>
          </cell>
          <cell r="AH514">
            <v>8</v>
          </cell>
          <cell r="AI514">
            <v>8</v>
          </cell>
          <cell r="AJ514">
            <v>7.9666666670000001</v>
          </cell>
          <cell r="AN514">
            <v>0</v>
          </cell>
          <cell r="AO514">
            <v>155.966666667</v>
          </cell>
          <cell r="AP514">
            <v>4</v>
          </cell>
          <cell r="AQ514">
            <v>0</v>
          </cell>
          <cell r="AR514">
            <v>0</v>
          </cell>
          <cell r="AS514">
            <v>0</v>
          </cell>
          <cell r="AT514">
            <v>0</v>
          </cell>
          <cell r="AU514">
            <v>0</v>
          </cell>
          <cell r="AV514">
            <v>32</v>
          </cell>
          <cell r="AW514">
            <v>0</v>
          </cell>
          <cell r="AX514">
            <v>0</v>
          </cell>
          <cell r="AY514">
            <v>0</v>
          </cell>
          <cell r="AZ514">
            <v>0</v>
          </cell>
          <cell r="BA514">
            <v>4</v>
          </cell>
          <cell r="BB514">
            <v>0</v>
          </cell>
          <cell r="BC514">
            <v>0</v>
          </cell>
          <cell r="BD514">
            <v>0</v>
          </cell>
          <cell r="BE514">
            <v>0</v>
          </cell>
          <cell r="BF514">
            <v>0</v>
          </cell>
          <cell r="BG514">
            <v>191.966666667</v>
          </cell>
          <cell r="BH514">
            <v>0.5</v>
          </cell>
          <cell r="BI514">
            <v>0.5</v>
          </cell>
          <cell r="BJ514">
            <v>4</v>
          </cell>
          <cell r="BL514">
            <v>0</v>
          </cell>
          <cell r="BM514">
            <v>0</v>
          </cell>
          <cell r="BN514">
            <v>0</v>
          </cell>
          <cell r="BO514">
            <v>0</v>
          </cell>
          <cell r="BP514">
            <v>1</v>
          </cell>
          <cell r="BQ514">
            <v>0</v>
          </cell>
          <cell r="BR514">
            <v>0</v>
          </cell>
          <cell r="BS514">
            <v>0</v>
          </cell>
          <cell r="BT514">
            <v>0</v>
          </cell>
          <cell r="BU514">
            <v>0</v>
          </cell>
          <cell r="BV514">
            <v>0</v>
          </cell>
          <cell r="BW514">
            <v>3</v>
          </cell>
          <cell r="BX514">
            <v>0</v>
          </cell>
          <cell r="BY514">
            <v>0</v>
          </cell>
          <cell r="BZ514">
            <v>0</v>
          </cell>
          <cell r="CA514">
            <v>0</v>
          </cell>
          <cell r="CB514">
            <v>0</v>
          </cell>
          <cell r="CC514">
            <v>0</v>
          </cell>
          <cell r="CD514">
            <v>0</v>
          </cell>
          <cell r="CE514">
            <v>0</v>
          </cell>
          <cell r="CF514">
            <v>0</v>
          </cell>
          <cell r="CG514">
            <v>0</v>
          </cell>
          <cell r="CH514">
            <v>0</v>
          </cell>
          <cell r="CI514">
            <v>0</v>
          </cell>
          <cell r="CJ514">
            <v>6.5</v>
          </cell>
          <cell r="CK514">
            <v>0</v>
          </cell>
          <cell r="CL514">
            <v>0</v>
          </cell>
          <cell r="CM514">
            <v>0</v>
          </cell>
          <cell r="CR514">
            <v>0</v>
          </cell>
          <cell r="CS514">
            <v>0</v>
          </cell>
          <cell r="CT514">
            <v>4</v>
          </cell>
          <cell r="CU514">
            <v>6.5</v>
          </cell>
          <cell r="CV514">
            <v>0</v>
          </cell>
          <cell r="CZ514">
            <v>10.5</v>
          </cell>
        </row>
        <row r="515">
          <cell r="C515" t="str">
            <v>03514</v>
          </cell>
          <cell r="D515" t="str">
            <v>Giáp Thị Kiều</v>
          </cell>
          <cell r="E515" t="str">
            <v>Foaming</v>
          </cell>
          <cell r="F515" t="str">
            <v>FOAMING Splitting</v>
          </cell>
          <cell r="G515" t="str">
            <v>Worker</v>
          </cell>
          <cell r="H515">
            <v>44704</v>
          </cell>
          <cell r="I515">
            <v>8</v>
          </cell>
          <cell r="J515">
            <v>8</v>
          </cell>
          <cell r="K515">
            <v>8</v>
          </cell>
          <cell r="L515" t="str">
            <v>CN</v>
          </cell>
          <cell r="M515">
            <v>8</v>
          </cell>
          <cell r="N515">
            <v>8</v>
          </cell>
          <cell r="O515">
            <v>8</v>
          </cell>
          <cell r="P515">
            <v>8</v>
          </cell>
          <cell r="Q515">
            <v>8</v>
          </cell>
          <cell r="R515" t="str">
            <v>AL8</v>
          </cell>
          <cell r="S515" t="str">
            <v>CN</v>
          </cell>
          <cell r="T515" t="str">
            <v>AL8</v>
          </cell>
          <cell r="U515">
            <v>8</v>
          </cell>
          <cell r="V515">
            <v>8</v>
          </cell>
          <cell r="W515">
            <v>8</v>
          </cell>
          <cell r="X515">
            <v>8</v>
          </cell>
          <cell r="Y515">
            <v>8</v>
          </cell>
          <cell r="Z515" t="str">
            <v>CN</v>
          </cell>
          <cell r="AA515" t="str">
            <v>Đ</v>
          </cell>
          <cell r="AB515" t="str">
            <v>Đ</v>
          </cell>
          <cell r="AC515" t="str">
            <v>Đ</v>
          </cell>
          <cell r="AD515" t="str">
            <v>Đ</v>
          </cell>
          <cell r="AE515" t="str">
            <v>Đ</v>
          </cell>
          <cell r="AF515" t="str">
            <v>Đ</v>
          </cell>
          <cell r="AG515" t="str">
            <v>CN</v>
          </cell>
          <cell r="AH515" t="str">
            <v>Đ</v>
          </cell>
          <cell r="AI515" t="str">
            <v>Đ</v>
          </cell>
          <cell r="AJ515" t="str">
            <v>Đ</v>
          </cell>
          <cell r="AN515">
            <v>72</v>
          </cell>
          <cell r="AO515">
            <v>104</v>
          </cell>
          <cell r="AP515">
            <v>0</v>
          </cell>
          <cell r="AQ515">
            <v>0</v>
          </cell>
          <cell r="AR515">
            <v>0</v>
          </cell>
          <cell r="AS515">
            <v>0</v>
          </cell>
          <cell r="AT515">
            <v>0</v>
          </cell>
          <cell r="AU515">
            <v>0</v>
          </cell>
          <cell r="AV515">
            <v>0</v>
          </cell>
          <cell r="AW515">
            <v>0</v>
          </cell>
          <cell r="AX515">
            <v>0</v>
          </cell>
          <cell r="AY515">
            <v>0</v>
          </cell>
          <cell r="AZ515">
            <v>0</v>
          </cell>
          <cell r="BA515">
            <v>16</v>
          </cell>
          <cell r="BB515">
            <v>0</v>
          </cell>
          <cell r="BC515">
            <v>0</v>
          </cell>
          <cell r="BD515">
            <v>0</v>
          </cell>
          <cell r="BE515">
            <v>0</v>
          </cell>
          <cell r="BF515">
            <v>0</v>
          </cell>
          <cell r="BG515">
            <v>192</v>
          </cell>
          <cell r="BH515">
            <v>2</v>
          </cell>
          <cell r="BI515">
            <v>2</v>
          </cell>
          <cell r="BJ515">
            <v>3.5</v>
          </cell>
          <cell r="BL515">
            <v>4</v>
          </cell>
          <cell r="BM515">
            <v>4</v>
          </cell>
          <cell r="BN515">
            <v>4</v>
          </cell>
          <cell r="BO515">
            <v>12</v>
          </cell>
          <cell r="BP515">
            <v>0</v>
          </cell>
          <cell r="BQ515">
            <v>4</v>
          </cell>
          <cell r="BR515">
            <v>4</v>
          </cell>
          <cell r="BS515">
            <v>4</v>
          </cell>
          <cell r="BT515">
            <v>4</v>
          </cell>
          <cell r="BU515">
            <v>0</v>
          </cell>
          <cell r="BV515">
            <v>12</v>
          </cell>
          <cell r="BW515">
            <v>0</v>
          </cell>
          <cell r="BX515">
            <v>4</v>
          </cell>
          <cell r="BY515">
            <v>4</v>
          </cell>
          <cell r="BZ515">
            <v>4</v>
          </cell>
          <cell r="CA515">
            <v>4</v>
          </cell>
          <cell r="CB515">
            <v>4</v>
          </cell>
          <cell r="CC515">
            <v>0</v>
          </cell>
          <cell r="CD515">
            <v>4</v>
          </cell>
          <cell r="CE515">
            <v>4</v>
          </cell>
          <cell r="CF515">
            <v>4</v>
          </cell>
          <cell r="CG515">
            <v>4</v>
          </cell>
          <cell r="CH515">
            <v>4</v>
          </cell>
          <cell r="CI515">
            <v>4</v>
          </cell>
          <cell r="CJ515" t="str">
            <v>12Đ</v>
          </cell>
          <cell r="CK515">
            <v>4</v>
          </cell>
          <cell r="CL515">
            <v>0</v>
          </cell>
          <cell r="CM515">
            <v>4</v>
          </cell>
          <cell r="CR515">
            <v>0</v>
          </cell>
          <cell r="CS515">
            <v>0</v>
          </cell>
          <cell r="CT515">
            <v>80</v>
          </cell>
          <cell r="CU515">
            <v>28</v>
          </cell>
          <cell r="CV515">
            <v>8</v>
          </cell>
          <cell r="CZ515">
            <v>116</v>
          </cell>
        </row>
        <row r="516">
          <cell r="C516" t="str">
            <v>03515</v>
          </cell>
          <cell r="D516" t="str">
            <v>Phạm Thị Kim Nhung</v>
          </cell>
          <cell r="E516" t="str">
            <v>Foaming</v>
          </cell>
          <cell r="F516" t="str">
            <v>FOAMING Splitting</v>
          </cell>
          <cell r="G516" t="str">
            <v>Worker</v>
          </cell>
          <cell r="H516">
            <v>44704</v>
          </cell>
          <cell r="I516">
            <v>8</v>
          </cell>
          <cell r="J516">
            <v>8</v>
          </cell>
          <cell r="K516">
            <v>8</v>
          </cell>
          <cell r="L516" t="str">
            <v>CN</v>
          </cell>
          <cell r="M516">
            <v>8</v>
          </cell>
          <cell r="N516">
            <v>8</v>
          </cell>
          <cell r="O516">
            <v>8</v>
          </cell>
          <cell r="P516">
            <v>8</v>
          </cell>
          <cell r="Q516">
            <v>8</v>
          </cell>
          <cell r="R516">
            <v>8</v>
          </cell>
          <cell r="S516" t="str">
            <v>CN</v>
          </cell>
          <cell r="T516">
            <v>8</v>
          </cell>
          <cell r="U516">
            <v>8</v>
          </cell>
          <cell r="V516" t="str">
            <v>BS</v>
          </cell>
          <cell r="W516">
            <v>8</v>
          </cell>
          <cell r="X516">
            <v>8</v>
          </cell>
          <cell r="Y516">
            <v>8</v>
          </cell>
          <cell r="Z516" t="str">
            <v>CN</v>
          </cell>
          <cell r="AA516">
            <v>8</v>
          </cell>
          <cell r="AB516">
            <v>8</v>
          </cell>
          <cell r="AC516">
            <v>8</v>
          </cell>
          <cell r="AD516">
            <v>8</v>
          </cell>
          <cell r="AE516">
            <v>8</v>
          </cell>
          <cell r="AF516">
            <v>8</v>
          </cell>
          <cell r="AG516" t="str">
            <v>CN</v>
          </cell>
          <cell r="AH516">
            <v>8</v>
          </cell>
          <cell r="AI516">
            <v>8</v>
          </cell>
          <cell r="AJ516">
            <v>8</v>
          </cell>
          <cell r="AN516">
            <v>0</v>
          </cell>
          <cell r="AO516">
            <v>184</v>
          </cell>
          <cell r="AP516">
            <v>0</v>
          </cell>
          <cell r="AQ516">
            <v>0</v>
          </cell>
          <cell r="AR516">
            <v>0</v>
          </cell>
          <cell r="AS516">
            <v>0</v>
          </cell>
          <cell r="AT516">
            <v>0</v>
          </cell>
          <cell r="AU516">
            <v>8</v>
          </cell>
          <cell r="AV516">
            <v>0</v>
          </cell>
          <cell r="AW516">
            <v>0</v>
          </cell>
          <cell r="AX516">
            <v>0</v>
          </cell>
          <cell r="AY516">
            <v>0</v>
          </cell>
          <cell r="AZ516">
            <v>0</v>
          </cell>
          <cell r="BA516">
            <v>0</v>
          </cell>
          <cell r="BB516">
            <v>0</v>
          </cell>
          <cell r="BC516">
            <v>0</v>
          </cell>
          <cell r="BD516">
            <v>0</v>
          </cell>
          <cell r="BE516">
            <v>0</v>
          </cell>
          <cell r="BF516">
            <v>0</v>
          </cell>
          <cell r="BG516">
            <v>192</v>
          </cell>
          <cell r="BH516">
            <v>0</v>
          </cell>
          <cell r="BI516">
            <v>0</v>
          </cell>
          <cell r="BJ516">
            <v>2</v>
          </cell>
          <cell r="BL516">
            <v>4</v>
          </cell>
          <cell r="BM516">
            <v>4</v>
          </cell>
          <cell r="BN516">
            <v>4</v>
          </cell>
          <cell r="BO516">
            <v>12</v>
          </cell>
          <cell r="BP516">
            <v>0</v>
          </cell>
          <cell r="BQ516">
            <v>4</v>
          </cell>
          <cell r="BR516">
            <v>4</v>
          </cell>
          <cell r="BS516">
            <v>4</v>
          </cell>
          <cell r="BT516">
            <v>4</v>
          </cell>
          <cell r="BU516">
            <v>4</v>
          </cell>
          <cell r="BV516">
            <v>12</v>
          </cell>
          <cell r="BW516">
            <v>2</v>
          </cell>
          <cell r="BX516">
            <v>4</v>
          </cell>
          <cell r="BY516">
            <v>4</v>
          </cell>
          <cell r="BZ516">
            <v>4</v>
          </cell>
          <cell r="CA516">
            <v>4</v>
          </cell>
          <cell r="CB516">
            <v>4</v>
          </cell>
          <cell r="CC516">
            <v>0</v>
          </cell>
          <cell r="CD516">
            <v>4</v>
          </cell>
          <cell r="CE516">
            <v>4</v>
          </cell>
          <cell r="CF516">
            <v>4</v>
          </cell>
          <cell r="CG516">
            <v>4</v>
          </cell>
          <cell r="CH516">
            <v>4</v>
          </cell>
          <cell r="CI516">
            <v>2</v>
          </cell>
          <cell r="CJ516">
            <v>12</v>
          </cell>
          <cell r="CK516">
            <v>4</v>
          </cell>
          <cell r="CL516">
            <v>0</v>
          </cell>
          <cell r="CM516">
            <v>4</v>
          </cell>
          <cell r="CR516">
            <v>0</v>
          </cell>
          <cell r="CS516">
            <v>0</v>
          </cell>
          <cell r="CT516">
            <v>84</v>
          </cell>
          <cell r="CU516">
            <v>36</v>
          </cell>
          <cell r="CV516">
            <v>0</v>
          </cell>
          <cell r="CZ516">
            <v>120</v>
          </cell>
        </row>
        <row r="517">
          <cell r="C517" t="str">
            <v>03517</v>
          </cell>
          <cell r="D517" t="str">
            <v>Đỗ Thị Xuân</v>
          </cell>
          <cell r="E517" t="str">
            <v xml:space="preserve">EHS &amp; Facilities </v>
          </cell>
          <cell r="F517" t="str">
            <v>EHS</v>
          </cell>
          <cell r="G517" t="str">
            <v>Senior staff</v>
          </cell>
          <cell r="H517">
            <v>44704</v>
          </cell>
          <cell r="I517" t="str">
            <v>AL8</v>
          </cell>
          <cell r="J517" t="str">
            <v>AL8</v>
          </cell>
          <cell r="K517" t="str">
            <v>PO</v>
          </cell>
          <cell r="L517" t="str">
            <v>CN</v>
          </cell>
          <cell r="M517">
            <v>8</v>
          </cell>
          <cell r="N517">
            <v>8</v>
          </cell>
          <cell r="O517">
            <v>8</v>
          </cell>
          <cell r="P517">
            <v>8</v>
          </cell>
          <cell r="Q517" t="str">
            <v>PO</v>
          </cell>
          <cell r="R517" t="str">
            <v>PO</v>
          </cell>
          <cell r="S517" t="str">
            <v>CN</v>
          </cell>
          <cell r="T517">
            <v>8</v>
          </cell>
          <cell r="U517">
            <v>8</v>
          </cell>
          <cell r="V517">
            <v>8</v>
          </cell>
          <cell r="W517">
            <v>8</v>
          </cell>
          <cell r="X517">
            <v>8</v>
          </cell>
          <cell r="Y517" t="str">
            <v>PO</v>
          </cell>
          <cell r="Z517" t="str">
            <v>CN</v>
          </cell>
          <cell r="AA517">
            <v>8</v>
          </cell>
          <cell r="AB517">
            <v>8</v>
          </cell>
          <cell r="AC517">
            <v>8</v>
          </cell>
          <cell r="AD517">
            <v>8</v>
          </cell>
          <cell r="AE517">
            <v>8</v>
          </cell>
          <cell r="AF517" t="str">
            <v>PO</v>
          </cell>
          <cell r="AG517" t="str">
            <v>CN</v>
          </cell>
          <cell r="AH517">
            <v>8</v>
          </cell>
          <cell r="AI517">
            <v>8</v>
          </cell>
          <cell r="AJ517">
            <v>8</v>
          </cell>
          <cell r="AN517">
            <v>0</v>
          </cell>
          <cell r="AO517">
            <v>136</v>
          </cell>
          <cell r="AP517">
            <v>0</v>
          </cell>
          <cell r="AQ517">
            <v>0</v>
          </cell>
          <cell r="AR517">
            <v>0</v>
          </cell>
          <cell r="AS517">
            <v>0</v>
          </cell>
          <cell r="AT517">
            <v>0</v>
          </cell>
          <cell r="AU517">
            <v>0</v>
          </cell>
          <cell r="AV517">
            <v>40</v>
          </cell>
          <cell r="AW517">
            <v>0</v>
          </cell>
          <cell r="AX517">
            <v>0</v>
          </cell>
          <cell r="AY517">
            <v>0</v>
          </cell>
          <cell r="AZ517">
            <v>0</v>
          </cell>
          <cell r="BA517">
            <v>16</v>
          </cell>
          <cell r="BB517">
            <v>0</v>
          </cell>
          <cell r="BC517">
            <v>0</v>
          </cell>
          <cell r="BD517">
            <v>0</v>
          </cell>
          <cell r="BE517">
            <v>0</v>
          </cell>
          <cell r="BF517">
            <v>0</v>
          </cell>
          <cell r="BG517">
            <v>192</v>
          </cell>
          <cell r="BH517">
            <v>2</v>
          </cell>
          <cell r="BI517">
            <v>2</v>
          </cell>
          <cell r="BJ517">
            <v>1</v>
          </cell>
          <cell r="BL517">
            <v>0</v>
          </cell>
          <cell r="BM517">
            <v>0</v>
          </cell>
          <cell r="BN517">
            <v>0</v>
          </cell>
          <cell r="BO517">
            <v>0</v>
          </cell>
          <cell r="BP517">
            <v>0</v>
          </cell>
          <cell r="BQ517">
            <v>0</v>
          </cell>
          <cell r="BR517">
            <v>0</v>
          </cell>
          <cell r="BS517">
            <v>0</v>
          </cell>
          <cell r="BT517">
            <v>0</v>
          </cell>
          <cell r="BU517">
            <v>0</v>
          </cell>
          <cell r="BV517">
            <v>0</v>
          </cell>
          <cell r="BW517">
            <v>0</v>
          </cell>
          <cell r="BX517">
            <v>0</v>
          </cell>
          <cell r="BY517">
            <v>0</v>
          </cell>
          <cell r="BZ517">
            <v>0</v>
          </cell>
          <cell r="CA517">
            <v>0</v>
          </cell>
          <cell r="CB517">
            <v>0</v>
          </cell>
          <cell r="CC517">
            <v>0</v>
          </cell>
          <cell r="CD517">
            <v>0</v>
          </cell>
          <cell r="CE517">
            <v>0</v>
          </cell>
          <cell r="CF517">
            <v>0</v>
          </cell>
          <cell r="CG517">
            <v>0</v>
          </cell>
          <cell r="CH517">
            <v>0</v>
          </cell>
          <cell r="CI517">
            <v>0</v>
          </cell>
          <cell r="CJ517">
            <v>0</v>
          </cell>
          <cell r="CK517">
            <v>0</v>
          </cell>
          <cell r="CL517">
            <v>0</v>
          </cell>
          <cell r="CM517">
            <v>0</v>
          </cell>
          <cell r="CR517">
            <v>0</v>
          </cell>
          <cell r="CS517">
            <v>0</v>
          </cell>
          <cell r="CT517">
            <v>0</v>
          </cell>
          <cell r="CU517">
            <v>0</v>
          </cell>
          <cell r="CV517">
            <v>0</v>
          </cell>
          <cell r="CZ517">
            <v>0</v>
          </cell>
        </row>
        <row r="518">
          <cell r="C518" t="str">
            <v>03521</v>
          </cell>
          <cell r="D518" t="str">
            <v>Nguyễn Văn Sành</v>
          </cell>
          <cell r="E518" t="str">
            <v>Foaming</v>
          </cell>
          <cell r="F518" t="str">
            <v>FOAMING Rectangular</v>
          </cell>
          <cell r="G518" t="str">
            <v>Skilled worker</v>
          </cell>
          <cell r="H518">
            <v>44707</v>
          </cell>
          <cell r="I518">
            <v>8</v>
          </cell>
          <cell r="J518">
            <v>8</v>
          </cell>
          <cell r="K518">
            <v>8</v>
          </cell>
          <cell r="L518" t="str">
            <v>CN</v>
          </cell>
          <cell r="M518" t="str">
            <v>Đ</v>
          </cell>
          <cell r="N518" t="str">
            <v>Đ</v>
          </cell>
          <cell r="O518" t="str">
            <v>Đ</v>
          </cell>
          <cell r="P518" t="str">
            <v>Đ</v>
          </cell>
          <cell r="Q518" t="str">
            <v>Đ</v>
          </cell>
          <cell r="R518" t="str">
            <v>Đ</v>
          </cell>
          <cell r="S518" t="str">
            <v>CN</v>
          </cell>
          <cell r="T518" t="str">
            <v>Đ</v>
          </cell>
          <cell r="U518" t="str">
            <v>Đ</v>
          </cell>
          <cell r="V518" t="str">
            <v>Đ</v>
          </cell>
          <cell r="W518" t="str">
            <v>Đ</v>
          </cell>
          <cell r="X518" t="str">
            <v>Đ</v>
          </cell>
          <cell r="Y518" t="str">
            <v>Đ</v>
          </cell>
          <cell r="Z518" t="str">
            <v>CN</v>
          </cell>
          <cell r="AA518">
            <v>8</v>
          </cell>
          <cell r="AB518">
            <v>8</v>
          </cell>
          <cell r="AC518">
            <v>8</v>
          </cell>
          <cell r="AD518">
            <v>8</v>
          </cell>
          <cell r="AE518" t="str">
            <v>AL4</v>
          </cell>
          <cell r="AF518">
            <v>8</v>
          </cell>
          <cell r="AG518" t="str">
            <v>CN</v>
          </cell>
          <cell r="AH518">
            <v>8</v>
          </cell>
          <cell r="AI518">
            <v>8</v>
          </cell>
          <cell r="AJ518">
            <v>8</v>
          </cell>
          <cell r="AN518">
            <v>96</v>
          </cell>
          <cell r="AO518">
            <v>92</v>
          </cell>
          <cell r="AP518">
            <v>4</v>
          </cell>
          <cell r="AQ518">
            <v>0</v>
          </cell>
          <cell r="AR518">
            <v>0</v>
          </cell>
          <cell r="AS518">
            <v>0</v>
          </cell>
          <cell r="AT518">
            <v>0</v>
          </cell>
          <cell r="AU518">
            <v>0</v>
          </cell>
          <cell r="AV518">
            <v>0</v>
          </cell>
          <cell r="AW518">
            <v>0</v>
          </cell>
          <cell r="AX518">
            <v>0</v>
          </cell>
          <cell r="AY518">
            <v>0</v>
          </cell>
          <cell r="AZ518">
            <v>0</v>
          </cell>
          <cell r="BA518">
            <v>4</v>
          </cell>
          <cell r="BB518">
            <v>0</v>
          </cell>
          <cell r="BC518">
            <v>0</v>
          </cell>
          <cell r="BD518">
            <v>0</v>
          </cell>
          <cell r="BE518">
            <v>0</v>
          </cell>
          <cell r="BF518">
            <v>0</v>
          </cell>
          <cell r="BG518">
            <v>192</v>
          </cell>
          <cell r="BH518">
            <v>0.5</v>
          </cell>
          <cell r="BI518">
            <v>0.5</v>
          </cell>
          <cell r="BJ518">
            <v>1</v>
          </cell>
          <cell r="BL518">
            <v>4</v>
          </cell>
          <cell r="BM518">
            <v>4</v>
          </cell>
          <cell r="BN518">
            <v>4</v>
          </cell>
          <cell r="BO518" t="str">
            <v>12Đ</v>
          </cell>
          <cell r="BP518">
            <v>0</v>
          </cell>
          <cell r="BQ518">
            <v>4</v>
          </cell>
          <cell r="BR518">
            <v>4</v>
          </cell>
          <cell r="BS518">
            <v>4</v>
          </cell>
          <cell r="BT518">
            <v>4</v>
          </cell>
          <cell r="BU518">
            <v>4</v>
          </cell>
          <cell r="BV518" t="str">
            <v>12Đ</v>
          </cell>
          <cell r="BW518">
            <v>4</v>
          </cell>
          <cell r="BX518">
            <v>4</v>
          </cell>
          <cell r="BY518">
            <v>4</v>
          </cell>
          <cell r="BZ518">
            <v>4</v>
          </cell>
          <cell r="CA518">
            <v>4</v>
          </cell>
          <cell r="CB518">
            <v>4</v>
          </cell>
          <cell r="CC518">
            <v>0</v>
          </cell>
          <cell r="CD518">
            <v>4</v>
          </cell>
          <cell r="CE518">
            <v>4</v>
          </cell>
          <cell r="CF518">
            <v>4</v>
          </cell>
          <cell r="CG518">
            <v>4</v>
          </cell>
          <cell r="CH518">
            <v>4</v>
          </cell>
          <cell r="CI518">
            <v>4</v>
          </cell>
          <cell r="CJ518">
            <v>12</v>
          </cell>
          <cell r="CK518">
            <v>4</v>
          </cell>
          <cell r="CL518">
            <v>4</v>
          </cell>
          <cell r="CM518">
            <v>4</v>
          </cell>
          <cell r="CR518">
            <v>0</v>
          </cell>
          <cell r="CS518">
            <v>0</v>
          </cell>
          <cell r="CT518">
            <v>92</v>
          </cell>
          <cell r="CU518">
            <v>20</v>
          </cell>
          <cell r="CV518">
            <v>16</v>
          </cell>
          <cell r="CZ518">
            <v>128</v>
          </cell>
        </row>
        <row r="519">
          <cell r="C519" t="str">
            <v>03537</v>
          </cell>
          <cell r="D519" t="str">
            <v>Phan Thị Ngọc Huyền</v>
          </cell>
          <cell r="E519" t="str">
            <v>Production</v>
          </cell>
          <cell r="F519" t="str">
            <v>Packing</v>
          </cell>
          <cell r="G519" t="str">
            <v>Worker</v>
          </cell>
          <cell r="H519">
            <v>44707</v>
          </cell>
          <cell r="I519" t="str">
            <v>Đ</v>
          </cell>
          <cell r="J519" t="str">
            <v>AL8</v>
          </cell>
          <cell r="K519" t="str">
            <v>Đ</v>
          </cell>
          <cell r="L519" t="str">
            <v>CN</v>
          </cell>
          <cell r="M519">
            <v>8</v>
          </cell>
          <cell r="N519">
            <v>8</v>
          </cell>
          <cell r="O519">
            <v>8</v>
          </cell>
          <cell r="P519">
            <v>8</v>
          </cell>
          <cell r="Q519">
            <v>8</v>
          </cell>
          <cell r="R519">
            <v>8</v>
          </cell>
          <cell r="S519" t="str">
            <v>CN</v>
          </cell>
          <cell r="T519" t="str">
            <v>Đ</v>
          </cell>
          <cell r="U519" t="str">
            <v>Đ</v>
          </cell>
          <cell r="V519" t="str">
            <v>Đ</v>
          </cell>
          <cell r="W519" t="str">
            <v>Đ</v>
          </cell>
          <cell r="X519" t="str">
            <v>Đ</v>
          </cell>
          <cell r="Y519" t="str">
            <v>Đ</v>
          </cell>
          <cell r="Z519" t="str">
            <v>CN</v>
          </cell>
          <cell r="AA519">
            <v>8</v>
          </cell>
          <cell r="AB519">
            <v>8</v>
          </cell>
          <cell r="AC519">
            <v>8</v>
          </cell>
          <cell r="AD519">
            <v>8</v>
          </cell>
          <cell r="AE519">
            <v>8</v>
          </cell>
          <cell r="AF519">
            <v>8</v>
          </cell>
          <cell r="AG519" t="str">
            <v>CN</v>
          </cell>
          <cell r="AH519" t="str">
            <v>Đ</v>
          </cell>
          <cell r="AI519" t="str">
            <v>Đ</v>
          </cell>
          <cell r="AJ519" t="str">
            <v>Đ</v>
          </cell>
          <cell r="AN519">
            <v>88</v>
          </cell>
          <cell r="AO519">
            <v>96</v>
          </cell>
          <cell r="AP519">
            <v>0</v>
          </cell>
          <cell r="AQ519">
            <v>0</v>
          </cell>
          <cell r="AR519">
            <v>0</v>
          </cell>
          <cell r="AS519">
            <v>0</v>
          </cell>
          <cell r="AT519">
            <v>0</v>
          </cell>
          <cell r="AU519">
            <v>0</v>
          </cell>
          <cell r="AV519">
            <v>0</v>
          </cell>
          <cell r="AW519">
            <v>0</v>
          </cell>
          <cell r="AX519">
            <v>0</v>
          </cell>
          <cell r="AY519">
            <v>0</v>
          </cell>
          <cell r="AZ519">
            <v>0</v>
          </cell>
          <cell r="BA519">
            <v>8</v>
          </cell>
          <cell r="BB519">
            <v>0</v>
          </cell>
          <cell r="BC519">
            <v>0</v>
          </cell>
          <cell r="BD519">
            <v>0</v>
          </cell>
          <cell r="BE519">
            <v>0</v>
          </cell>
          <cell r="BF519">
            <v>0</v>
          </cell>
          <cell r="BG519">
            <v>192</v>
          </cell>
          <cell r="BH519">
            <v>1</v>
          </cell>
          <cell r="BI519">
            <v>1</v>
          </cell>
          <cell r="BJ519">
            <v>1</v>
          </cell>
          <cell r="BL519">
            <v>1.5</v>
          </cell>
          <cell r="BM519">
            <v>0</v>
          </cell>
          <cell r="BN519">
            <v>1.5</v>
          </cell>
          <cell r="BO519">
            <v>0</v>
          </cell>
          <cell r="BP519">
            <v>1.5</v>
          </cell>
          <cell r="BQ519">
            <v>0</v>
          </cell>
          <cell r="BR519">
            <v>0</v>
          </cell>
          <cell r="BS519">
            <v>0</v>
          </cell>
          <cell r="BT519">
            <v>0</v>
          </cell>
          <cell r="BU519">
            <v>3</v>
          </cell>
          <cell r="BV519">
            <v>0</v>
          </cell>
          <cell r="BW519">
            <v>4</v>
          </cell>
          <cell r="BX519">
            <v>4</v>
          </cell>
          <cell r="BY519">
            <v>4</v>
          </cell>
          <cell r="BZ519">
            <v>4</v>
          </cell>
          <cell r="CA519">
            <v>4</v>
          </cell>
          <cell r="CB519">
            <v>4</v>
          </cell>
          <cell r="CC519">
            <v>0</v>
          </cell>
          <cell r="CD519">
            <v>3</v>
          </cell>
          <cell r="CE519">
            <v>3</v>
          </cell>
          <cell r="CF519">
            <v>3</v>
          </cell>
          <cell r="CG519">
            <v>3</v>
          </cell>
          <cell r="CH519">
            <v>3</v>
          </cell>
          <cell r="CI519">
            <v>3</v>
          </cell>
          <cell r="CJ519">
            <v>8</v>
          </cell>
          <cell r="CK519">
            <v>4</v>
          </cell>
          <cell r="CL519">
            <v>4</v>
          </cell>
          <cell r="CM519">
            <v>4</v>
          </cell>
          <cell r="CR519">
            <v>0</v>
          </cell>
          <cell r="CS519">
            <v>0</v>
          </cell>
          <cell r="CT519">
            <v>61.5</v>
          </cell>
          <cell r="CU519">
            <v>8</v>
          </cell>
          <cell r="CV519">
            <v>0</v>
          </cell>
          <cell r="CZ519">
            <v>69.5</v>
          </cell>
        </row>
        <row r="520">
          <cell r="C520" t="str">
            <v>03540</v>
          </cell>
          <cell r="D520" t="str">
            <v>Lê Thị Thảo Quyên</v>
          </cell>
          <cell r="E520" t="str">
            <v>Production</v>
          </cell>
          <cell r="F520" t="str">
            <v>Prefitting</v>
          </cell>
          <cell r="G520" t="str">
            <v>Worker</v>
          </cell>
          <cell r="H520">
            <v>44707</v>
          </cell>
          <cell r="I520">
            <v>8</v>
          </cell>
          <cell r="J520">
            <v>8</v>
          </cell>
          <cell r="K520" t="str">
            <v>CN</v>
          </cell>
          <cell r="L520" t="str">
            <v>Đ</v>
          </cell>
          <cell r="M520" t="str">
            <v>Đ</v>
          </cell>
          <cell r="N520" t="str">
            <v>Đ</v>
          </cell>
          <cell r="O520" t="str">
            <v>Đ</v>
          </cell>
          <cell r="P520" t="str">
            <v>Đ</v>
          </cell>
          <cell r="Q520" t="str">
            <v>Đ</v>
          </cell>
          <cell r="R520" t="str">
            <v>CN</v>
          </cell>
          <cell r="S520">
            <v>8</v>
          </cell>
          <cell r="T520">
            <v>8</v>
          </cell>
          <cell r="U520">
            <v>8</v>
          </cell>
          <cell r="V520">
            <v>8</v>
          </cell>
          <cell r="W520">
            <v>8</v>
          </cell>
          <cell r="X520">
            <v>8</v>
          </cell>
          <cell r="Y520" t="str">
            <v>CN</v>
          </cell>
          <cell r="Z520" t="str">
            <v>Đ</v>
          </cell>
          <cell r="AA520" t="str">
            <v>Đ</v>
          </cell>
          <cell r="AB520" t="str">
            <v>Đ</v>
          </cell>
          <cell r="AC520" t="str">
            <v>Đ</v>
          </cell>
          <cell r="AD520" t="str">
            <v>Đ</v>
          </cell>
          <cell r="AE520" t="str">
            <v>Đ</v>
          </cell>
          <cell r="AF520" t="str">
            <v>CN</v>
          </cell>
          <cell r="AG520">
            <v>8</v>
          </cell>
          <cell r="AH520">
            <v>8</v>
          </cell>
          <cell r="AI520">
            <v>8</v>
          </cell>
          <cell r="AJ520">
            <v>8</v>
          </cell>
          <cell r="AN520">
            <v>96</v>
          </cell>
          <cell r="AO520">
            <v>96</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0</v>
          </cell>
          <cell r="BF520">
            <v>0</v>
          </cell>
          <cell r="BG520">
            <v>192</v>
          </cell>
          <cell r="BH520">
            <v>0</v>
          </cell>
          <cell r="BI520">
            <v>0</v>
          </cell>
          <cell r="BJ520">
            <v>1</v>
          </cell>
          <cell r="BL520">
            <v>0</v>
          </cell>
          <cell r="BM520">
            <v>0</v>
          </cell>
          <cell r="BN520">
            <v>0</v>
          </cell>
          <cell r="BO520">
            <v>4</v>
          </cell>
          <cell r="BP520">
            <v>0</v>
          </cell>
          <cell r="BQ520">
            <v>0</v>
          </cell>
          <cell r="BR520">
            <v>0</v>
          </cell>
          <cell r="BS520">
            <v>0</v>
          </cell>
          <cell r="BT520">
            <v>0</v>
          </cell>
          <cell r="BU520">
            <v>0</v>
          </cell>
          <cell r="BV520">
            <v>4</v>
          </cell>
          <cell r="BW520">
            <v>0</v>
          </cell>
          <cell r="BX520">
            <v>0</v>
          </cell>
          <cell r="BY520">
            <v>0</v>
          </cell>
          <cell r="BZ520">
            <v>0</v>
          </cell>
          <cell r="CA520">
            <v>4</v>
          </cell>
          <cell r="CB520">
            <v>0</v>
          </cell>
          <cell r="CC520">
            <v>4</v>
          </cell>
          <cell r="CD520">
            <v>0</v>
          </cell>
          <cell r="CE520">
            <v>0</v>
          </cell>
          <cell r="CF520">
            <v>0</v>
          </cell>
          <cell r="CG520">
            <v>0</v>
          </cell>
          <cell r="CH520">
            <v>4</v>
          </cell>
          <cell r="CI520">
            <v>0</v>
          </cell>
          <cell r="CJ520">
            <v>4</v>
          </cell>
          <cell r="CK520">
            <v>0</v>
          </cell>
          <cell r="CL520">
            <v>0</v>
          </cell>
          <cell r="CM520">
            <v>0</v>
          </cell>
          <cell r="CR520">
            <v>0</v>
          </cell>
          <cell r="CS520">
            <v>0</v>
          </cell>
          <cell r="CT520">
            <v>24</v>
          </cell>
          <cell r="CU520">
            <v>0</v>
          </cell>
          <cell r="CV520">
            <v>0</v>
          </cell>
          <cell r="CZ520">
            <v>24</v>
          </cell>
        </row>
        <row r="521">
          <cell r="C521" t="str">
            <v>03551</v>
          </cell>
          <cell r="D521" t="str">
            <v>Lê Thị Như Ngọc</v>
          </cell>
          <cell r="E521" t="str">
            <v>Production</v>
          </cell>
          <cell r="F521" t="str">
            <v>Molding</v>
          </cell>
          <cell r="G521" t="str">
            <v>Worker</v>
          </cell>
          <cell r="H521">
            <v>44714</v>
          </cell>
          <cell r="I521">
            <v>8</v>
          </cell>
          <cell r="J521" t="str">
            <v>CN</v>
          </cell>
          <cell r="K521" t="str">
            <v>Đ</v>
          </cell>
          <cell r="L521" t="str">
            <v>Đ</v>
          </cell>
          <cell r="M521" t="str">
            <v>Đ</v>
          </cell>
          <cell r="N521" t="str">
            <v>Đ</v>
          </cell>
          <cell r="O521" t="str">
            <v>Đ</v>
          </cell>
          <cell r="P521" t="str">
            <v>Đ</v>
          </cell>
          <cell r="Q521" t="str">
            <v>CN</v>
          </cell>
          <cell r="R521">
            <v>8</v>
          </cell>
          <cell r="S521">
            <v>8</v>
          </cell>
          <cell r="T521">
            <v>8</v>
          </cell>
          <cell r="U521" t="str">
            <v>AL8</v>
          </cell>
          <cell r="V521">
            <v>8</v>
          </cell>
          <cell r="W521">
            <v>8</v>
          </cell>
          <cell r="X521" t="str">
            <v>CN</v>
          </cell>
          <cell r="Y521" t="str">
            <v>Đ</v>
          </cell>
          <cell r="Z521" t="str">
            <v>Đ</v>
          </cell>
          <cell r="AA521" t="str">
            <v>Đ</v>
          </cell>
          <cell r="AB521" t="str">
            <v>Đ</v>
          </cell>
          <cell r="AC521" t="str">
            <v>Đ</v>
          </cell>
          <cell r="AD521" t="str">
            <v>Đ</v>
          </cell>
          <cell r="AE521" t="str">
            <v>CN</v>
          </cell>
          <cell r="AF521">
            <v>8</v>
          </cell>
          <cell r="AG521">
            <v>8</v>
          </cell>
          <cell r="AH521">
            <v>8</v>
          </cell>
          <cell r="AI521">
            <v>8</v>
          </cell>
          <cell r="AJ521">
            <v>8</v>
          </cell>
          <cell r="AN521">
            <v>96</v>
          </cell>
          <cell r="AO521">
            <v>88</v>
          </cell>
          <cell r="AP521">
            <v>0</v>
          </cell>
          <cell r="AQ521">
            <v>0</v>
          </cell>
          <cell r="AR521">
            <v>0</v>
          </cell>
          <cell r="AS521">
            <v>0</v>
          </cell>
          <cell r="AT521">
            <v>0</v>
          </cell>
          <cell r="AU521">
            <v>0</v>
          </cell>
          <cell r="AV521">
            <v>0</v>
          </cell>
          <cell r="AW521">
            <v>0</v>
          </cell>
          <cell r="AX521">
            <v>0</v>
          </cell>
          <cell r="AY521">
            <v>0</v>
          </cell>
          <cell r="AZ521">
            <v>0</v>
          </cell>
          <cell r="BA521">
            <v>8</v>
          </cell>
          <cell r="BB521">
            <v>0</v>
          </cell>
          <cell r="BC521">
            <v>0</v>
          </cell>
          <cell r="BD521">
            <v>0</v>
          </cell>
          <cell r="BE521">
            <v>0</v>
          </cell>
          <cell r="BF521">
            <v>0</v>
          </cell>
          <cell r="BG521">
            <v>192</v>
          </cell>
          <cell r="BH521">
            <v>1</v>
          </cell>
          <cell r="BI521">
            <v>1</v>
          </cell>
          <cell r="BJ521">
            <v>-0.5</v>
          </cell>
          <cell r="BL521">
            <v>0</v>
          </cell>
          <cell r="BM521">
            <v>0</v>
          </cell>
          <cell r="BN521">
            <v>4</v>
          </cell>
          <cell r="BO521">
            <v>4</v>
          </cell>
          <cell r="BP521">
            <v>0</v>
          </cell>
          <cell r="BQ521">
            <v>0</v>
          </cell>
          <cell r="BR521">
            <v>0</v>
          </cell>
          <cell r="BS521">
            <v>0</v>
          </cell>
          <cell r="BT521">
            <v>0</v>
          </cell>
          <cell r="BU521">
            <v>4</v>
          </cell>
          <cell r="BV521">
            <v>4</v>
          </cell>
          <cell r="BW521">
            <v>0</v>
          </cell>
          <cell r="BX521">
            <v>0</v>
          </cell>
          <cell r="BY521">
            <v>0</v>
          </cell>
          <cell r="BZ521">
            <v>0</v>
          </cell>
          <cell r="CA521">
            <v>0</v>
          </cell>
          <cell r="CB521">
            <v>4</v>
          </cell>
          <cell r="CC521">
            <v>4</v>
          </cell>
          <cell r="CD521">
            <v>0</v>
          </cell>
          <cell r="CE521">
            <v>0</v>
          </cell>
          <cell r="CF521">
            <v>0</v>
          </cell>
          <cell r="CG521">
            <v>0</v>
          </cell>
          <cell r="CH521">
            <v>0</v>
          </cell>
          <cell r="CI521">
            <v>4</v>
          </cell>
          <cell r="CJ521">
            <v>4</v>
          </cell>
          <cell r="CK521">
            <v>0</v>
          </cell>
          <cell r="CL521">
            <v>0</v>
          </cell>
          <cell r="CM521">
            <v>0</v>
          </cell>
          <cell r="CR521">
            <v>0</v>
          </cell>
          <cell r="CS521">
            <v>0</v>
          </cell>
          <cell r="CT521">
            <v>32</v>
          </cell>
          <cell r="CU521">
            <v>0</v>
          </cell>
          <cell r="CV521">
            <v>0</v>
          </cell>
          <cell r="CZ521">
            <v>32</v>
          </cell>
        </row>
        <row r="522">
          <cell r="C522" t="str">
            <v>03558</v>
          </cell>
          <cell r="D522" t="str">
            <v>Bùi Duy Khánh</v>
          </cell>
          <cell r="E522" t="str">
            <v>Production</v>
          </cell>
          <cell r="F522" t="str">
            <v>Molding</v>
          </cell>
          <cell r="G522" t="str">
            <v>Worker</v>
          </cell>
          <cell r="H522">
            <v>44714</v>
          </cell>
          <cell r="I522" t="str">
            <v>Đ</v>
          </cell>
          <cell r="J522" t="str">
            <v>Đ</v>
          </cell>
          <cell r="K522" t="str">
            <v>CN</v>
          </cell>
          <cell r="L522">
            <v>8</v>
          </cell>
          <cell r="M522">
            <v>8</v>
          </cell>
          <cell r="N522">
            <v>8</v>
          </cell>
          <cell r="O522">
            <v>8</v>
          </cell>
          <cell r="P522">
            <v>8</v>
          </cell>
          <cell r="Q522">
            <v>8</v>
          </cell>
          <cell r="R522" t="str">
            <v>CN</v>
          </cell>
          <cell r="S522" t="str">
            <v>Đ</v>
          </cell>
          <cell r="T522" t="str">
            <v>Đ</v>
          </cell>
          <cell r="U522" t="str">
            <v>Đ</v>
          </cell>
          <cell r="V522" t="str">
            <v>Đ</v>
          </cell>
          <cell r="W522" t="str">
            <v>AL8</v>
          </cell>
          <cell r="X522" t="str">
            <v>Đ</v>
          </cell>
          <cell r="Y522" t="str">
            <v>CN</v>
          </cell>
          <cell r="Z522">
            <v>8</v>
          </cell>
          <cell r="AA522">
            <v>8</v>
          </cell>
          <cell r="AB522">
            <v>8</v>
          </cell>
          <cell r="AC522">
            <v>8</v>
          </cell>
          <cell r="AD522">
            <v>8</v>
          </cell>
          <cell r="AE522">
            <v>8</v>
          </cell>
          <cell r="AF522" t="str">
            <v>CN</v>
          </cell>
          <cell r="AG522" t="str">
            <v>Đ</v>
          </cell>
          <cell r="AH522" t="str">
            <v>Đ</v>
          </cell>
          <cell r="AI522" t="str">
            <v>Đ</v>
          </cell>
          <cell r="AJ522" t="str">
            <v>Đ</v>
          </cell>
          <cell r="AN522">
            <v>88</v>
          </cell>
          <cell r="AO522">
            <v>96</v>
          </cell>
          <cell r="AP522">
            <v>0</v>
          </cell>
          <cell r="AQ522">
            <v>0</v>
          </cell>
          <cell r="AR522">
            <v>0</v>
          </cell>
          <cell r="AS522">
            <v>0</v>
          </cell>
          <cell r="AT522">
            <v>0</v>
          </cell>
          <cell r="AU522">
            <v>0</v>
          </cell>
          <cell r="AV522">
            <v>0</v>
          </cell>
          <cell r="AW522">
            <v>0</v>
          </cell>
          <cell r="AX522">
            <v>0</v>
          </cell>
          <cell r="AY522">
            <v>0</v>
          </cell>
          <cell r="AZ522">
            <v>0</v>
          </cell>
          <cell r="BA522">
            <v>8</v>
          </cell>
          <cell r="BB522">
            <v>0</v>
          </cell>
          <cell r="BC522">
            <v>0</v>
          </cell>
          <cell r="BD522">
            <v>0</v>
          </cell>
          <cell r="BE522">
            <v>0</v>
          </cell>
          <cell r="BF522">
            <v>0</v>
          </cell>
          <cell r="BG522">
            <v>192</v>
          </cell>
          <cell r="BH522">
            <v>1</v>
          </cell>
          <cell r="BI522">
            <v>1</v>
          </cell>
          <cell r="BJ522">
            <v>0.5</v>
          </cell>
          <cell r="BL522">
            <v>4</v>
          </cell>
          <cell r="BM522">
            <v>0</v>
          </cell>
          <cell r="BN522">
            <v>0</v>
          </cell>
          <cell r="BO522">
            <v>4</v>
          </cell>
          <cell r="BP522">
            <v>0</v>
          </cell>
          <cell r="BQ522">
            <v>0</v>
          </cell>
          <cell r="BR522">
            <v>0</v>
          </cell>
          <cell r="BS522">
            <v>0</v>
          </cell>
          <cell r="BT522">
            <v>4</v>
          </cell>
          <cell r="BU522">
            <v>0</v>
          </cell>
          <cell r="BV522">
            <v>4</v>
          </cell>
          <cell r="BW522">
            <v>0</v>
          </cell>
          <cell r="BX522">
            <v>0</v>
          </cell>
          <cell r="BY522">
            <v>0</v>
          </cell>
          <cell r="BZ522">
            <v>0</v>
          </cell>
          <cell r="CA522">
            <v>4</v>
          </cell>
          <cell r="CB522">
            <v>0</v>
          </cell>
          <cell r="CC522">
            <v>4</v>
          </cell>
          <cell r="CD522">
            <v>0</v>
          </cell>
          <cell r="CE522">
            <v>0</v>
          </cell>
          <cell r="CF522">
            <v>0</v>
          </cell>
          <cell r="CG522">
            <v>0</v>
          </cell>
          <cell r="CH522">
            <v>4</v>
          </cell>
          <cell r="CI522">
            <v>0</v>
          </cell>
          <cell r="CJ522">
            <v>4</v>
          </cell>
          <cell r="CK522">
            <v>0</v>
          </cell>
          <cell r="CL522">
            <v>1</v>
          </cell>
          <cell r="CM522">
            <v>0</v>
          </cell>
          <cell r="CR522">
            <v>0</v>
          </cell>
          <cell r="CS522">
            <v>0</v>
          </cell>
          <cell r="CT522">
            <v>33</v>
          </cell>
          <cell r="CU522">
            <v>0</v>
          </cell>
          <cell r="CV522">
            <v>0</v>
          </cell>
          <cell r="CZ522">
            <v>33</v>
          </cell>
        </row>
        <row r="523">
          <cell r="C523" t="str">
            <v>03559</v>
          </cell>
          <cell r="D523" t="str">
            <v>Trần Hoàng Trung</v>
          </cell>
          <cell r="E523" t="str">
            <v>Production</v>
          </cell>
          <cell r="F523" t="str">
            <v>Skiving</v>
          </cell>
          <cell r="G523" t="str">
            <v>Worker</v>
          </cell>
          <cell r="H523">
            <v>44714</v>
          </cell>
          <cell r="I523">
            <v>8</v>
          </cell>
          <cell r="J523">
            <v>8</v>
          </cell>
          <cell r="K523">
            <v>8</v>
          </cell>
          <cell r="L523" t="str">
            <v>CN</v>
          </cell>
          <cell r="M523" t="str">
            <v>Đ</v>
          </cell>
          <cell r="N523" t="str">
            <v>AL8</v>
          </cell>
          <cell r="O523" t="str">
            <v>Đ</v>
          </cell>
          <cell r="P523" t="str">
            <v>Đ</v>
          </cell>
          <cell r="Q523" t="str">
            <v>Đ</v>
          </cell>
          <cell r="R523" t="str">
            <v>Đ</v>
          </cell>
          <cell r="S523" t="str">
            <v>CN</v>
          </cell>
          <cell r="T523">
            <v>8</v>
          </cell>
          <cell r="U523">
            <v>8</v>
          </cell>
          <cell r="V523">
            <v>8</v>
          </cell>
          <cell r="W523">
            <v>8</v>
          </cell>
          <cell r="X523">
            <v>8</v>
          </cell>
          <cell r="Y523">
            <v>8</v>
          </cell>
          <cell r="Z523" t="str">
            <v>CN</v>
          </cell>
          <cell r="AA523" t="str">
            <v>Đ</v>
          </cell>
          <cell r="AB523" t="str">
            <v>Đ</v>
          </cell>
          <cell r="AC523" t="str">
            <v>Đ</v>
          </cell>
          <cell r="AD523" t="str">
            <v>Đ</v>
          </cell>
          <cell r="AE523" t="str">
            <v>Đ</v>
          </cell>
          <cell r="AF523" t="str">
            <v>Đ</v>
          </cell>
          <cell r="AG523" t="str">
            <v>CN</v>
          </cell>
          <cell r="AH523">
            <v>8</v>
          </cell>
          <cell r="AI523">
            <v>8</v>
          </cell>
          <cell r="AJ523">
            <v>8</v>
          </cell>
          <cell r="AN523">
            <v>88</v>
          </cell>
          <cell r="AO523">
            <v>96</v>
          </cell>
          <cell r="AP523">
            <v>0</v>
          </cell>
          <cell r="AQ523">
            <v>0</v>
          </cell>
          <cell r="AR523">
            <v>0</v>
          </cell>
          <cell r="AS523">
            <v>0</v>
          </cell>
          <cell r="AT523">
            <v>0</v>
          </cell>
          <cell r="AU523">
            <v>0</v>
          </cell>
          <cell r="AV523">
            <v>0</v>
          </cell>
          <cell r="AW523">
            <v>0</v>
          </cell>
          <cell r="AX523">
            <v>0</v>
          </cell>
          <cell r="AY523">
            <v>0</v>
          </cell>
          <cell r="AZ523">
            <v>0</v>
          </cell>
          <cell r="BA523">
            <v>8</v>
          </cell>
          <cell r="BB523">
            <v>0</v>
          </cell>
          <cell r="BC523">
            <v>0</v>
          </cell>
          <cell r="BD523">
            <v>0</v>
          </cell>
          <cell r="BE523">
            <v>0</v>
          </cell>
          <cell r="BF523">
            <v>0</v>
          </cell>
          <cell r="BG523">
            <v>192</v>
          </cell>
          <cell r="BH523">
            <v>1</v>
          </cell>
          <cell r="BI523">
            <v>1</v>
          </cell>
          <cell r="BJ523">
            <v>2</v>
          </cell>
          <cell r="BL523">
            <v>0</v>
          </cell>
          <cell r="BM523">
            <v>0</v>
          </cell>
          <cell r="BN523">
            <v>0</v>
          </cell>
          <cell r="BO523">
            <v>0</v>
          </cell>
          <cell r="BP523">
            <v>0</v>
          </cell>
          <cell r="BQ523">
            <v>0</v>
          </cell>
          <cell r="BR523">
            <v>0</v>
          </cell>
          <cell r="BS523">
            <v>3</v>
          </cell>
          <cell r="BT523">
            <v>3</v>
          </cell>
          <cell r="BU523">
            <v>0</v>
          </cell>
          <cell r="BV523">
            <v>0</v>
          </cell>
          <cell r="BW523">
            <v>3</v>
          </cell>
          <cell r="BX523">
            <v>3</v>
          </cell>
          <cell r="BY523">
            <v>3</v>
          </cell>
          <cell r="BZ523">
            <v>3</v>
          </cell>
          <cell r="CA523">
            <v>3</v>
          </cell>
          <cell r="CB523">
            <v>3</v>
          </cell>
          <cell r="CC523">
            <v>8</v>
          </cell>
          <cell r="CD523">
            <v>1.5</v>
          </cell>
          <cell r="CE523">
            <v>4</v>
          </cell>
          <cell r="CF523">
            <v>4</v>
          </cell>
          <cell r="CG523">
            <v>4</v>
          </cell>
          <cell r="CH523">
            <v>1.5</v>
          </cell>
          <cell r="CI523">
            <v>1.5</v>
          </cell>
          <cell r="CJ523">
            <v>0</v>
          </cell>
          <cell r="CK523">
            <v>1.5</v>
          </cell>
          <cell r="CL523">
            <v>3</v>
          </cell>
          <cell r="CM523">
            <v>1.5</v>
          </cell>
          <cell r="CR523">
            <v>0</v>
          </cell>
          <cell r="CS523">
            <v>0</v>
          </cell>
          <cell r="CT523">
            <v>46.5</v>
          </cell>
          <cell r="CU523">
            <v>8</v>
          </cell>
          <cell r="CV523">
            <v>0</v>
          </cell>
          <cell r="CZ523">
            <v>54.5</v>
          </cell>
        </row>
        <row r="524">
          <cell r="C524" t="str">
            <v>03561</v>
          </cell>
          <cell r="D524" t="str">
            <v>Phạm Thành Quốc</v>
          </cell>
          <cell r="E524" t="str">
            <v>Production</v>
          </cell>
          <cell r="F524" t="str">
            <v>Prefitting</v>
          </cell>
          <cell r="G524" t="str">
            <v>Worker</v>
          </cell>
          <cell r="H524">
            <v>44714</v>
          </cell>
          <cell r="I524" t="str">
            <v>Đ</v>
          </cell>
          <cell r="J524" t="str">
            <v>Đ</v>
          </cell>
          <cell r="K524" t="str">
            <v>Đ</v>
          </cell>
          <cell r="L524" t="str">
            <v>CN</v>
          </cell>
          <cell r="M524">
            <v>8</v>
          </cell>
          <cell r="N524">
            <v>8</v>
          </cell>
          <cell r="O524">
            <v>8</v>
          </cell>
          <cell r="P524">
            <v>8</v>
          </cell>
          <cell r="Q524">
            <v>8</v>
          </cell>
          <cell r="R524">
            <v>8</v>
          </cell>
          <cell r="S524" t="str">
            <v>CN</v>
          </cell>
          <cell r="T524">
            <v>8</v>
          </cell>
          <cell r="U524">
            <v>8</v>
          </cell>
          <cell r="V524">
            <v>8</v>
          </cell>
          <cell r="W524">
            <v>8</v>
          </cell>
          <cell r="X524">
            <v>8</v>
          </cell>
          <cell r="Y524">
            <v>8</v>
          </cell>
          <cell r="Z524" t="str">
            <v>CN</v>
          </cell>
          <cell r="AA524" t="str">
            <v>Đ</v>
          </cell>
          <cell r="AB524" t="str">
            <v>Đ</v>
          </cell>
          <cell r="AC524" t="str">
            <v>Đ</v>
          </cell>
          <cell r="AD524" t="str">
            <v>Đ</v>
          </cell>
          <cell r="AE524" t="str">
            <v>Đ</v>
          </cell>
          <cell r="AF524" t="str">
            <v>Đ</v>
          </cell>
          <cell r="AG524" t="str">
            <v>CN</v>
          </cell>
          <cell r="AH524">
            <v>8</v>
          </cell>
          <cell r="AI524">
            <v>8</v>
          </cell>
          <cell r="AJ524">
            <v>8</v>
          </cell>
          <cell r="AN524">
            <v>72</v>
          </cell>
          <cell r="AO524">
            <v>120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192</v>
          </cell>
          <cell r="BH524">
            <v>0</v>
          </cell>
          <cell r="BI524">
            <v>0</v>
          </cell>
          <cell r="BJ524">
            <v>2.5</v>
          </cell>
          <cell r="BL524">
            <v>0</v>
          </cell>
          <cell r="BM524">
            <v>4</v>
          </cell>
          <cell r="BN524">
            <v>0</v>
          </cell>
          <cell r="BO524">
            <v>0</v>
          </cell>
          <cell r="BP524">
            <v>0</v>
          </cell>
          <cell r="BQ524">
            <v>0</v>
          </cell>
          <cell r="BR524">
            <v>0</v>
          </cell>
          <cell r="BS524">
            <v>0</v>
          </cell>
          <cell r="BT524">
            <v>0</v>
          </cell>
          <cell r="BU524">
            <v>0</v>
          </cell>
          <cell r="BV524">
            <v>0</v>
          </cell>
          <cell r="BW524">
            <v>0</v>
          </cell>
          <cell r="BX524">
            <v>0</v>
          </cell>
          <cell r="BY524">
            <v>0</v>
          </cell>
          <cell r="BZ524">
            <v>0</v>
          </cell>
          <cell r="CA524">
            <v>0</v>
          </cell>
          <cell r="CB524">
            <v>0</v>
          </cell>
          <cell r="CC524">
            <v>0</v>
          </cell>
          <cell r="CD524">
            <v>0</v>
          </cell>
          <cell r="CE524">
            <v>0</v>
          </cell>
          <cell r="CF524">
            <v>0</v>
          </cell>
          <cell r="CG524">
            <v>0</v>
          </cell>
          <cell r="CH524">
            <v>4</v>
          </cell>
          <cell r="CI524">
            <v>4</v>
          </cell>
          <cell r="CJ524">
            <v>0</v>
          </cell>
          <cell r="CK524">
            <v>0</v>
          </cell>
          <cell r="CL524">
            <v>0</v>
          </cell>
          <cell r="CM524">
            <v>0</v>
          </cell>
          <cell r="CR524">
            <v>0</v>
          </cell>
          <cell r="CS524">
            <v>0</v>
          </cell>
          <cell r="CT524">
            <v>12</v>
          </cell>
          <cell r="CU524">
            <v>0</v>
          </cell>
          <cell r="CV524">
            <v>0</v>
          </cell>
          <cell r="CZ524">
            <v>12</v>
          </cell>
        </row>
        <row r="525">
          <cell r="C525" t="str">
            <v>03563</v>
          </cell>
          <cell r="D525" t="str">
            <v>Trương Thị Xuân Hồng</v>
          </cell>
          <cell r="E525" t="str">
            <v>PPC</v>
          </cell>
          <cell r="F525" t="str">
            <v>PPC</v>
          </cell>
          <cell r="G525" t="str">
            <v>Staff</v>
          </cell>
          <cell r="H525">
            <v>44718</v>
          </cell>
          <cell r="I525">
            <v>8</v>
          </cell>
          <cell r="J525">
            <v>8</v>
          </cell>
          <cell r="K525" t="str">
            <v>PO</v>
          </cell>
          <cell r="L525" t="str">
            <v>CN</v>
          </cell>
          <cell r="M525">
            <v>8</v>
          </cell>
          <cell r="N525">
            <v>8</v>
          </cell>
          <cell r="O525">
            <v>8</v>
          </cell>
          <cell r="P525">
            <v>8</v>
          </cell>
          <cell r="Q525">
            <v>8</v>
          </cell>
          <cell r="R525" t="str">
            <v>PO</v>
          </cell>
          <cell r="S525" t="str">
            <v>CN</v>
          </cell>
          <cell r="T525">
            <v>8</v>
          </cell>
          <cell r="U525">
            <v>8</v>
          </cell>
          <cell r="V525">
            <v>8</v>
          </cell>
          <cell r="W525">
            <v>8</v>
          </cell>
          <cell r="X525">
            <v>8</v>
          </cell>
          <cell r="Y525" t="str">
            <v>PO</v>
          </cell>
          <cell r="Z525" t="str">
            <v>CN</v>
          </cell>
          <cell r="AA525">
            <v>8</v>
          </cell>
          <cell r="AB525">
            <v>8</v>
          </cell>
          <cell r="AC525">
            <v>8</v>
          </cell>
          <cell r="AD525">
            <v>8</v>
          </cell>
          <cell r="AE525">
            <v>8</v>
          </cell>
          <cell r="AF525" t="str">
            <v>PO</v>
          </cell>
          <cell r="AG525" t="str">
            <v>CN</v>
          </cell>
          <cell r="AH525" t="str">
            <v>AL8</v>
          </cell>
          <cell r="AI525">
            <v>8</v>
          </cell>
          <cell r="AJ525">
            <v>8</v>
          </cell>
          <cell r="AN525">
            <v>0</v>
          </cell>
          <cell r="AO525">
            <v>152</v>
          </cell>
          <cell r="AP525">
            <v>0</v>
          </cell>
          <cell r="AQ525">
            <v>0</v>
          </cell>
          <cell r="AR525">
            <v>0</v>
          </cell>
          <cell r="AS525">
            <v>0</v>
          </cell>
          <cell r="AT525">
            <v>0</v>
          </cell>
          <cell r="AU525">
            <v>0</v>
          </cell>
          <cell r="AV525">
            <v>32</v>
          </cell>
          <cell r="AW525">
            <v>0</v>
          </cell>
          <cell r="AX525">
            <v>0</v>
          </cell>
          <cell r="AY525">
            <v>0</v>
          </cell>
          <cell r="AZ525">
            <v>0</v>
          </cell>
          <cell r="BA525">
            <v>8</v>
          </cell>
          <cell r="BB525">
            <v>0</v>
          </cell>
          <cell r="BC525">
            <v>0</v>
          </cell>
          <cell r="BD525">
            <v>0</v>
          </cell>
          <cell r="BE525">
            <v>0</v>
          </cell>
          <cell r="BF525">
            <v>0</v>
          </cell>
          <cell r="BG525">
            <v>192</v>
          </cell>
          <cell r="BH525">
            <v>1</v>
          </cell>
          <cell r="BI525">
            <v>1</v>
          </cell>
          <cell r="BJ525">
            <v>2.5</v>
          </cell>
          <cell r="BL525">
            <v>0</v>
          </cell>
          <cell r="BM525">
            <v>0</v>
          </cell>
          <cell r="BN525">
            <v>0</v>
          </cell>
          <cell r="BO525">
            <v>0</v>
          </cell>
          <cell r="BP525">
            <v>0</v>
          </cell>
          <cell r="BQ525">
            <v>0</v>
          </cell>
          <cell r="BR525">
            <v>0</v>
          </cell>
          <cell r="BS525">
            <v>0</v>
          </cell>
          <cell r="BT525">
            <v>0</v>
          </cell>
          <cell r="BU525">
            <v>0</v>
          </cell>
          <cell r="BV525">
            <v>0</v>
          </cell>
          <cell r="BW525">
            <v>0</v>
          </cell>
          <cell r="BX525">
            <v>0</v>
          </cell>
          <cell r="BY525">
            <v>0</v>
          </cell>
          <cell r="BZ525">
            <v>0</v>
          </cell>
          <cell r="CA525">
            <v>0</v>
          </cell>
          <cell r="CB525">
            <v>0</v>
          </cell>
          <cell r="CC525">
            <v>0</v>
          </cell>
          <cell r="CD525">
            <v>0</v>
          </cell>
          <cell r="CE525">
            <v>0</v>
          </cell>
          <cell r="CF525">
            <v>0</v>
          </cell>
          <cell r="CG525">
            <v>0</v>
          </cell>
          <cell r="CH525">
            <v>0</v>
          </cell>
          <cell r="CI525">
            <v>0</v>
          </cell>
          <cell r="CJ525">
            <v>0</v>
          </cell>
          <cell r="CK525">
            <v>0</v>
          </cell>
          <cell r="CL525">
            <v>0</v>
          </cell>
          <cell r="CM525">
            <v>0</v>
          </cell>
          <cell r="CR525">
            <v>0</v>
          </cell>
          <cell r="CS525">
            <v>0</v>
          </cell>
          <cell r="CT525">
            <v>0</v>
          </cell>
          <cell r="CU525">
            <v>0</v>
          </cell>
          <cell r="CV525">
            <v>0</v>
          </cell>
          <cell r="CZ525">
            <v>0</v>
          </cell>
        </row>
        <row r="526">
          <cell r="C526" t="str">
            <v>03564</v>
          </cell>
          <cell r="D526" t="str">
            <v>Nguyễn Tuấn Vũ</v>
          </cell>
          <cell r="E526" t="str">
            <v>Foaming</v>
          </cell>
          <cell r="F526" t="str">
            <v>FOAMING Rectangular</v>
          </cell>
          <cell r="G526" t="str">
            <v>Worker</v>
          </cell>
          <cell r="H526">
            <v>44719</v>
          </cell>
          <cell r="I526">
            <v>8</v>
          </cell>
          <cell r="J526">
            <v>8</v>
          </cell>
          <cell r="K526">
            <v>8</v>
          </cell>
          <cell r="L526" t="str">
            <v>CN</v>
          </cell>
          <cell r="M526">
            <v>8</v>
          </cell>
          <cell r="N526">
            <v>8</v>
          </cell>
          <cell r="O526">
            <v>8</v>
          </cell>
          <cell r="P526">
            <v>8</v>
          </cell>
          <cell r="Q526">
            <v>8</v>
          </cell>
          <cell r="R526">
            <v>8</v>
          </cell>
          <cell r="S526" t="str">
            <v>CN</v>
          </cell>
          <cell r="T526" t="str">
            <v>AL8</v>
          </cell>
          <cell r="U526">
            <v>8</v>
          </cell>
          <cell r="V526">
            <v>8</v>
          </cell>
          <cell r="W526">
            <v>8</v>
          </cell>
          <cell r="X526">
            <v>8</v>
          </cell>
          <cell r="Y526">
            <v>8</v>
          </cell>
          <cell r="Z526" t="str">
            <v>CN</v>
          </cell>
          <cell r="AA526" t="str">
            <v>Đ</v>
          </cell>
          <cell r="AB526" t="str">
            <v>Đ</v>
          </cell>
          <cell r="AC526" t="str">
            <v>Đ</v>
          </cell>
          <cell r="AD526" t="str">
            <v>Đ</v>
          </cell>
          <cell r="AE526" t="str">
            <v>Đ</v>
          </cell>
          <cell r="AF526" t="str">
            <v>Đ</v>
          </cell>
          <cell r="AG526" t="str">
            <v>CN</v>
          </cell>
          <cell r="AH526" t="str">
            <v>Đ</v>
          </cell>
          <cell r="AI526" t="str">
            <v>Đ</v>
          </cell>
          <cell r="AJ526" t="str">
            <v>Đ</v>
          </cell>
          <cell r="AN526">
            <v>72</v>
          </cell>
          <cell r="AO526">
            <v>112</v>
          </cell>
          <cell r="AP526">
            <v>0</v>
          </cell>
          <cell r="AQ526">
            <v>0</v>
          </cell>
          <cell r="AR526">
            <v>0</v>
          </cell>
          <cell r="AS526">
            <v>0</v>
          </cell>
          <cell r="AT526">
            <v>0</v>
          </cell>
          <cell r="AU526">
            <v>0</v>
          </cell>
          <cell r="AV526">
            <v>0</v>
          </cell>
          <cell r="AW526">
            <v>0</v>
          </cell>
          <cell r="AX526">
            <v>0</v>
          </cell>
          <cell r="AY526">
            <v>0</v>
          </cell>
          <cell r="AZ526">
            <v>0</v>
          </cell>
          <cell r="BA526">
            <v>8</v>
          </cell>
          <cell r="BB526">
            <v>0</v>
          </cell>
          <cell r="BC526">
            <v>0</v>
          </cell>
          <cell r="BD526">
            <v>0</v>
          </cell>
          <cell r="BE526">
            <v>0</v>
          </cell>
          <cell r="BF526">
            <v>0</v>
          </cell>
          <cell r="BG526">
            <v>192</v>
          </cell>
          <cell r="BH526">
            <v>1</v>
          </cell>
          <cell r="BI526">
            <v>1</v>
          </cell>
          <cell r="BJ526">
            <v>0</v>
          </cell>
          <cell r="BL526">
            <v>4</v>
          </cell>
          <cell r="BM526">
            <v>4</v>
          </cell>
          <cell r="BN526">
            <v>4</v>
          </cell>
          <cell r="BO526">
            <v>12</v>
          </cell>
          <cell r="BP526">
            <v>4</v>
          </cell>
          <cell r="BQ526">
            <v>4</v>
          </cell>
          <cell r="BR526">
            <v>4</v>
          </cell>
          <cell r="BS526">
            <v>4</v>
          </cell>
          <cell r="BT526">
            <v>4</v>
          </cell>
          <cell r="BU526">
            <v>4</v>
          </cell>
          <cell r="BV526">
            <v>12</v>
          </cell>
          <cell r="BW526">
            <v>0</v>
          </cell>
          <cell r="BX526">
            <v>4</v>
          </cell>
          <cell r="BY526">
            <v>4</v>
          </cell>
          <cell r="BZ526">
            <v>4</v>
          </cell>
          <cell r="CA526">
            <v>4</v>
          </cell>
          <cell r="CB526">
            <v>4</v>
          </cell>
          <cell r="CC526" t="str">
            <v>12Đ</v>
          </cell>
          <cell r="CD526">
            <v>4</v>
          </cell>
          <cell r="CE526">
            <v>4</v>
          </cell>
          <cell r="CF526">
            <v>4</v>
          </cell>
          <cell r="CG526">
            <v>4</v>
          </cell>
          <cell r="CH526">
            <v>4</v>
          </cell>
          <cell r="CI526">
            <v>4</v>
          </cell>
          <cell r="CJ526" t="str">
            <v>12Đ</v>
          </cell>
          <cell r="CK526">
            <v>4</v>
          </cell>
          <cell r="CL526">
            <v>4</v>
          </cell>
          <cell r="CM526">
            <v>4</v>
          </cell>
          <cell r="CR526">
            <v>0</v>
          </cell>
          <cell r="CS526">
            <v>0</v>
          </cell>
          <cell r="CT526">
            <v>92</v>
          </cell>
          <cell r="CU526">
            <v>32</v>
          </cell>
          <cell r="CV526">
            <v>16</v>
          </cell>
          <cell r="CZ526">
            <v>140</v>
          </cell>
        </row>
        <row r="527">
          <cell r="C527" t="str">
            <v>03566</v>
          </cell>
          <cell r="D527" t="str">
            <v>Lưu Xuân Vũ</v>
          </cell>
          <cell r="E527" t="str">
            <v>Production</v>
          </cell>
          <cell r="F527" t="str">
            <v>Lamination</v>
          </cell>
          <cell r="G527" t="str">
            <v>Worker</v>
          </cell>
          <cell r="H527">
            <v>44719</v>
          </cell>
          <cell r="I527" t="str">
            <v>Đ</v>
          </cell>
          <cell r="J527" t="str">
            <v>Đ</v>
          </cell>
          <cell r="K527" t="str">
            <v>CN</v>
          </cell>
          <cell r="L527">
            <v>8</v>
          </cell>
          <cell r="M527">
            <v>8</v>
          </cell>
          <cell r="N527">
            <v>8</v>
          </cell>
          <cell r="O527">
            <v>8</v>
          </cell>
          <cell r="P527">
            <v>8</v>
          </cell>
          <cell r="Q527">
            <v>8</v>
          </cell>
          <cell r="R527" t="str">
            <v>CN</v>
          </cell>
          <cell r="S527" t="str">
            <v>Đ</v>
          </cell>
          <cell r="T527" t="str">
            <v>Đ</v>
          </cell>
          <cell r="U527" t="str">
            <v>Đ</v>
          </cell>
          <cell r="V527" t="str">
            <v>Đ</v>
          </cell>
          <cell r="W527" t="str">
            <v>Đ</v>
          </cell>
          <cell r="X527" t="str">
            <v>Đ</v>
          </cell>
          <cell r="Y527" t="str">
            <v>CN</v>
          </cell>
          <cell r="Z527">
            <v>8</v>
          </cell>
          <cell r="AA527">
            <v>8</v>
          </cell>
          <cell r="AB527">
            <v>8</v>
          </cell>
          <cell r="AC527">
            <v>8</v>
          </cell>
          <cell r="AD527">
            <v>8</v>
          </cell>
          <cell r="AE527">
            <v>8</v>
          </cell>
          <cell r="AF527" t="str">
            <v>CN</v>
          </cell>
          <cell r="AG527">
            <v>8</v>
          </cell>
          <cell r="AH527">
            <v>8</v>
          </cell>
          <cell r="AI527">
            <v>8</v>
          </cell>
          <cell r="AJ527">
            <v>8</v>
          </cell>
          <cell r="AN527">
            <v>64</v>
          </cell>
          <cell r="AO527">
            <v>128</v>
          </cell>
          <cell r="AP527">
            <v>0</v>
          </cell>
          <cell r="AQ527">
            <v>0</v>
          </cell>
          <cell r="AR527">
            <v>0</v>
          </cell>
          <cell r="AS527">
            <v>0</v>
          </cell>
          <cell r="AT527">
            <v>0</v>
          </cell>
          <cell r="AU527">
            <v>0</v>
          </cell>
          <cell r="AV527">
            <v>0</v>
          </cell>
          <cell r="AW527">
            <v>0</v>
          </cell>
          <cell r="AX527">
            <v>0</v>
          </cell>
          <cell r="AY527">
            <v>0</v>
          </cell>
          <cell r="AZ527">
            <v>0</v>
          </cell>
          <cell r="BA527">
            <v>0</v>
          </cell>
          <cell r="BB527">
            <v>0</v>
          </cell>
          <cell r="BC527">
            <v>0</v>
          </cell>
          <cell r="BD527">
            <v>0</v>
          </cell>
          <cell r="BE527">
            <v>0</v>
          </cell>
          <cell r="BF527">
            <v>0</v>
          </cell>
          <cell r="BG527">
            <v>192</v>
          </cell>
          <cell r="BH527">
            <v>0</v>
          </cell>
          <cell r="BI527">
            <v>0</v>
          </cell>
          <cell r="BJ527">
            <v>4.5</v>
          </cell>
          <cell r="BL527">
            <v>4</v>
          </cell>
          <cell r="BM527">
            <v>4</v>
          </cell>
          <cell r="BN527">
            <v>0</v>
          </cell>
          <cell r="BO527">
            <v>4</v>
          </cell>
          <cell r="BP527">
            <v>0</v>
          </cell>
          <cell r="BQ527">
            <v>0</v>
          </cell>
          <cell r="BR527">
            <v>0</v>
          </cell>
          <cell r="BS527">
            <v>0</v>
          </cell>
          <cell r="BT527">
            <v>4</v>
          </cell>
          <cell r="BU527">
            <v>0</v>
          </cell>
          <cell r="BV527">
            <v>4</v>
          </cell>
          <cell r="BW527">
            <v>0</v>
          </cell>
          <cell r="BX527">
            <v>0</v>
          </cell>
          <cell r="BY527">
            <v>0</v>
          </cell>
          <cell r="BZ527">
            <v>0</v>
          </cell>
          <cell r="CA527">
            <v>4</v>
          </cell>
          <cell r="CB527">
            <v>0</v>
          </cell>
          <cell r="CC527">
            <v>4</v>
          </cell>
          <cell r="CD527">
            <v>0</v>
          </cell>
          <cell r="CE527">
            <v>0</v>
          </cell>
          <cell r="CF527">
            <v>0</v>
          </cell>
          <cell r="CG527">
            <v>4</v>
          </cell>
          <cell r="CH527">
            <v>4</v>
          </cell>
          <cell r="CI527">
            <v>0</v>
          </cell>
          <cell r="CJ527">
            <v>4</v>
          </cell>
          <cell r="CK527">
            <v>4</v>
          </cell>
          <cell r="CL527">
            <v>0</v>
          </cell>
          <cell r="CM527">
            <v>0</v>
          </cell>
          <cell r="CR527">
            <v>0</v>
          </cell>
          <cell r="CS527">
            <v>0</v>
          </cell>
          <cell r="CT527">
            <v>44</v>
          </cell>
          <cell r="CU527">
            <v>0</v>
          </cell>
          <cell r="CV527">
            <v>0</v>
          </cell>
          <cell r="CZ527">
            <v>44</v>
          </cell>
        </row>
        <row r="528">
          <cell r="C528" t="str">
            <v>03574</v>
          </cell>
          <cell r="D528" t="str">
            <v>Nguyễn Thị Ngọc Thảo</v>
          </cell>
          <cell r="E528" t="str">
            <v>IT</v>
          </cell>
          <cell r="F528" t="str">
            <v>IT</v>
          </cell>
          <cell r="G528" t="str">
            <v>Technician</v>
          </cell>
          <cell r="H528">
            <v>44725</v>
          </cell>
          <cell r="I528">
            <v>8</v>
          </cell>
          <cell r="J528">
            <v>8</v>
          </cell>
          <cell r="K528" t="str">
            <v>PO</v>
          </cell>
          <cell r="L528" t="str">
            <v>CN</v>
          </cell>
          <cell r="M528">
            <v>8</v>
          </cell>
          <cell r="N528">
            <v>8</v>
          </cell>
          <cell r="O528">
            <v>8</v>
          </cell>
          <cell r="P528" t="str">
            <v>AL4</v>
          </cell>
          <cell r="Q528" t="str">
            <v>AL8</v>
          </cell>
          <cell r="R528" t="str">
            <v>PO</v>
          </cell>
          <cell r="S528" t="str">
            <v>CN</v>
          </cell>
          <cell r="T528">
            <v>8</v>
          </cell>
          <cell r="U528">
            <v>8</v>
          </cell>
          <cell r="V528">
            <v>8</v>
          </cell>
          <cell r="W528">
            <v>8</v>
          </cell>
          <cell r="X528">
            <v>8</v>
          </cell>
          <cell r="Y528" t="str">
            <v>PO</v>
          </cell>
          <cell r="Z528" t="str">
            <v>CN</v>
          </cell>
          <cell r="AA528">
            <v>8</v>
          </cell>
          <cell r="AB528">
            <v>8</v>
          </cell>
          <cell r="AC528" t="str">
            <v>BS4</v>
          </cell>
          <cell r="AD528">
            <v>8</v>
          </cell>
          <cell r="AE528">
            <v>8</v>
          </cell>
          <cell r="AF528" t="str">
            <v>PO</v>
          </cell>
          <cell r="AG528" t="str">
            <v>CN</v>
          </cell>
          <cell r="AH528">
            <v>8</v>
          </cell>
          <cell r="AI528">
            <v>8</v>
          </cell>
          <cell r="AJ528">
            <v>8</v>
          </cell>
          <cell r="AN528">
            <v>0</v>
          </cell>
          <cell r="AO528">
            <v>144</v>
          </cell>
          <cell r="AP528">
            <v>4</v>
          </cell>
          <cell r="AQ528">
            <v>0</v>
          </cell>
          <cell r="AR528">
            <v>0</v>
          </cell>
          <cell r="AS528">
            <v>0</v>
          </cell>
          <cell r="AT528">
            <v>0</v>
          </cell>
          <cell r="AU528">
            <v>4</v>
          </cell>
          <cell r="AV528">
            <v>32</v>
          </cell>
          <cell r="AW528">
            <v>0</v>
          </cell>
          <cell r="AX528">
            <v>0</v>
          </cell>
          <cell r="AY528">
            <v>0</v>
          </cell>
          <cell r="AZ528">
            <v>0</v>
          </cell>
          <cell r="BA528">
            <v>12</v>
          </cell>
          <cell r="BB528">
            <v>0</v>
          </cell>
          <cell r="BC528">
            <v>0</v>
          </cell>
          <cell r="BD528">
            <v>0</v>
          </cell>
          <cell r="BE528">
            <v>0</v>
          </cell>
          <cell r="BF528">
            <v>0</v>
          </cell>
          <cell r="BG528">
            <v>192</v>
          </cell>
          <cell r="BH528">
            <v>1.5</v>
          </cell>
          <cell r="BI528">
            <v>1.5</v>
          </cell>
          <cell r="BJ528">
            <v>2</v>
          </cell>
          <cell r="BL528">
            <v>0</v>
          </cell>
          <cell r="BM528">
            <v>0</v>
          </cell>
          <cell r="BN528">
            <v>0</v>
          </cell>
          <cell r="BO528">
            <v>0</v>
          </cell>
          <cell r="BP528">
            <v>0</v>
          </cell>
          <cell r="BQ528">
            <v>0</v>
          </cell>
          <cell r="BR528">
            <v>0</v>
          </cell>
          <cell r="BS528">
            <v>0</v>
          </cell>
          <cell r="BT528">
            <v>0</v>
          </cell>
          <cell r="BU528">
            <v>0</v>
          </cell>
          <cell r="BV528">
            <v>0</v>
          </cell>
          <cell r="BW528">
            <v>0</v>
          </cell>
          <cell r="BX528">
            <v>0</v>
          </cell>
          <cell r="BY528">
            <v>0</v>
          </cell>
          <cell r="BZ528">
            <v>0</v>
          </cell>
          <cell r="CA528">
            <v>0</v>
          </cell>
          <cell r="CB528">
            <v>0</v>
          </cell>
          <cell r="CC528">
            <v>0</v>
          </cell>
          <cell r="CD528">
            <v>0</v>
          </cell>
          <cell r="CE528">
            <v>0</v>
          </cell>
          <cell r="CF528">
            <v>0</v>
          </cell>
          <cell r="CG528">
            <v>0</v>
          </cell>
          <cell r="CH528">
            <v>0</v>
          </cell>
          <cell r="CI528">
            <v>0</v>
          </cell>
          <cell r="CJ528">
            <v>0</v>
          </cell>
          <cell r="CK528">
            <v>0</v>
          </cell>
          <cell r="CL528">
            <v>0</v>
          </cell>
          <cell r="CM528">
            <v>0</v>
          </cell>
          <cell r="CR528">
            <v>0</v>
          </cell>
          <cell r="CS528">
            <v>0</v>
          </cell>
          <cell r="CT528">
            <v>0</v>
          </cell>
          <cell r="CU528">
            <v>0</v>
          </cell>
          <cell r="CV528">
            <v>0</v>
          </cell>
          <cell r="CZ528">
            <v>0</v>
          </cell>
        </row>
        <row r="529">
          <cell r="C529" t="str">
            <v>03578</v>
          </cell>
          <cell r="D529" t="str">
            <v>Lê Thị Châu Trang</v>
          </cell>
          <cell r="E529" t="str">
            <v>Purchasing</v>
          </cell>
          <cell r="F529" t="str">
            <v>Purchasing</v>
          </cell>
          <cell r="G529" t="str">
            <v xml:space="preserve"> Senior Staff</v>
          </cell>
          <cell r="H529">
            <v>44732</v>
          </cell>
          <cell r="I529" t="str">
            <v>WH</v>
          </cell>
          <cell r="J529">
            <v>8</v>
          </cell>
          <cell r="K529" t="str">
            <v>PO</v>
          </cell>
          <cell r="L529" t="str">
            <v>CN</v>
          </cell>
          <cell r="M529">
            <v>8</v>
          </cell>
          <cell r="N529">
            <v>8</v>
          </cell>
          <cell r="O529">
            <v>8</v>
          </cell>
          <cell r="P529">
            <v>8</v>
          </cell>
          <cell r="Q529">
            <v>8</v>
          </cell>
          <cell r="R529" t="str">
            <v>PO</v>
          </cell>
          <cell r="S529" t="str">
            <v>CN</v>
          </cell>
          <cell r="T529">
            <v>8</v>
          </cell>
          <cell r="U529">
            <v>8</v>
          </cell>
          <cell r="V529">
            <v>8</v>
          </cell>
          <cell r="W529">
            <v>8</v>
          </cell>
          <cell r="X529">
            <v>8</v>
          </cell>
          <cell r="Y529" t="str">
            <v>PO</v>
          </cell>
          <cell r="Z529" t="str">
            <v>CN</v>
          </cell>
          <cell r="AA529">
            <v>8</v>
          </cell>
          <cell r="AB529">
            <v>8</v>
          </cell>
          <cell r="AC529">
            <v>8</v>
          </cell>
          <cell r="AD529">
            <v>8</v>
          </cell>
          <cell r="AE529" t="str">
            <v>WH</v>
          </cell>
          <cell r="AF529" t="str">
            <v>PO</v>
          </cell>
          <cell r="AG529" t="str">
            <v>CN</v>
          </cell>
          <cell r="AH529">
            <v>8</v>
          </cell>
          <cell r="AI529">
            <v>8</v>
          </cell>
          <cell r="AJ529">
            <v>8</v>
          </cell>
          <cell r="AN529">
            <v>0</v>
          </cell>
          <cell r="AO529">
            <v>144</v>
          </cell>
          <cell r="AP529">
            <v>0</v>
          </cell>
          <cell r="AQ529">
            <v>0</v>
          </cell>
          <cell r="AR529">
            <v>0</v>
          </cell>
          <cell r="AS529">
            <v>0</v>
          </cell>
          <cell r="AT529">
            <v>0</v>
          </cell>
          <cell r="AU529">
            <v>0</v>
          </cell>
          <cell r="AV529">
            <v>32</v>
          </cell>
          <cell r="AW529">
            <v>0</v>
          </cell>
          <cell r="AX529">
            <v>0</v>
          </cell>
          <cell r="AY529">
            <v>0</v>
          </cell>
          <cell r="AZ529">
            <v>0</v>
          </cell>
          <cell r="BA529">
            <v>0</v>
          </cell>
          <cell r="BB529">
            <v>0</v>
          </cell>
          <cell r="BC529">
            <v>0</v>
          </cell>
          <cell r="BD529">
            <v>16</v>
          </cell>
          <cell r="BE529">
            <v>0</v>
          </cell>
          <cell r="BF529">
            <v>0</v>
          </cell>
          <cell r="BG529">
            <v>192</v>
          </cell>
          <cell r="BH529">
            <v>0</v>
          </cell>
          <cell r="BI529">
            <v>0</v>
          </cell>
          <cell r="BJ529">
            <v>4.5</v>
          </cell>
          <cell r="BL529">
            <v>0</v>
          </cell>
          <cell r="BM529">
            <v>0</v>
          </cell>
          <cell r="BN529">
            <v>0</v>
          </cell>
          <cell r="BO529">
            <v>0</v>
          </cell>
          <cell r="BP529">
            <v>3</v>
          </cell>
          <cell r="BQ529">
            <v>3</v>
          </cell>
          <cell r="BR529">
            <v>3</v>
          </cell>
          <cell r="BS529">
            <v>3</v>
          </cell>
          <cell r="BT529">
            <v>0</v>
          </cell>
          <cell r="BU529">
            <v>0</v>
          </cell>
          <cell r="BV529">
            <v>0</v>
          </cell>
          <cell r="BW529">
            <v>3</v>
          </cell>
          <cell r="BX529">
            <v>3</v>
          </cell>
          <cell r="BY529">
            <v>3</v>
          </cell>
          <cell r="BZ529">
            <v>3</v>
          </cell>
          <cell r="CA529">
            <v>0</v>
          </cell>
          <cell r="CB529">
            <v>0</v>
          </cell>
          <cell r="CC529">
            <v>0</v>
          </cell>
          <cell r="CD529">
            <v>3</v>
          </cell>
          <cell r="CE529">
            <v>3</v>
          </cell>
          <cell r="CF529">
            <v>3</v>
          </cell>
          <cell r="CG529">
            <v>3</v>
          </cell>
          <cell r="CH529">
            <v>0</v>
          </cell>
          <cell r="CI529">
            <v>0</v>
          </cell>
          <cell r="CJ529">
            <v>0</v>
          </cell>
          <cell r="CK529">
            <v>0</v>
          </cell>
          <cell r="CL529">
            <v>0</v>
          </cell>
          <cell r="CM529">
            <v>0</v>
          </cell>
          <cell r="CR529">
            <v>0</v>
          </cell>
          <cell r="CS529">
            <v>0</v>
          </cell>
          <cell r="CT529">
            <v>36</v>
          </cell>
          <cell r="CU529">
            <v>0</v>
          </cell>
          <cell r="CV529">
            <v>0</v>
          </cell>
          <cell r="CZ529">
            <v>36</v>
          </cell>
        </row>
        <row r="530">
          <cell r="C530" t="str">
            <v>03583</v>
          </cell>
          <cell r="D530" t="str">
            <v>Lý Thế Hùng</v>
          </cell>
          <cell r="E530" t="str">
            <v xml:space="preserve">EHS &amp; Facilities </v>
          </cell>
          <cell r="F530" t="str">
            <v>EHS</v>
          </cell>
          <cell r="G530" t="str">
            <v>Associate Specialist</v>
          </cell>
          <cell r="H530">
            <v>44746</v>
          </cell>
          <cell r="I530">
            <v>8</v>
          </cell>
          <cell r="J530">
            <v>8</v>
          </cell>
          <cell r="K530" t="str">
            <v>PO</v>
          </cell>
          <cell r="L530" t="str">
            <v>CN</v>
          </cell>
          <cell r="M530">
            <v>8</v>
          </cell>
          <cell r="N530">
            <v>8</v>
          </cell>
          <cell r="O530" t="str">
            <v>AL8</v>
          </cell>
          <cell r="P530">
            <v>8</v>
          </cell>
          <cell r="Q530" t="str">
            <v>PO</v>
          </cell>
          <cell r="R530" t="str">
            <v>PO</v>
          </cell>
          <cell r="S530" t="str">
            <v>CN</v>
          </cell>
          <cell r="T530">
            <v>8</v>
          </cell>
          <cell r="U530">
            <v>8</v>
          </cell>
          <cell r="V530">
            <v>8</v>
          </cell>
          <cell r="W530">
            <v>8</v>
          </cell>
          <cell r="X530">
            <v>8</v>
          </cell>
          <cell r="Y530" t="str">
            <v>PO</v>
          </cell>
          <cell r="Z530" t="str">
            <v>CN</v>
          </cell>
          <cell r="AA530">
            <v>8</v>
          </cell>
          <cell r="AB530">
            <v>8</v>
          </cell>
          <cell r="AC530">
            <v>8</v>
          </cell>
          <cell r="AD530">
            <v>8</v>
          </cell>
          <cell r="AE530">
            <v>8</v>
          </cell>
          <cell r="AF530" t="str">
            <v>PO</v>
          </cell>
          <cell r="AG530" t="str">
            <v>CN</v>
          </cell>
          <cell r="AH530">
            <v>8</v>
          </cell>
          <cell r="AI530">
            <v>8</v>
          </cell>
          <cell r="AJ530">
            <v>8</v>
          </cell>
          <cell r="AN530">
            <v>0</v>
          </cell>
          <cell r="AO530">
            <v>144</v>
          </cell>
          <cell r="AP530">
            <v>0</v>
          </cell>
          <cell r="AQ530">
            <v>0</v>
          </cell>
          <cell r="AR530">
            <v>0</v>
          </cell>
          <cell r="AS530">
            <v>0</v>
          </cell>
          <cell r="AT530">
            <v>0</v>
          </cell>
          <cell r="AU530">
            <v>0</v>
          </cell>
          <cell r="AV530">
            <v>40</v>
          </cell>
          <cell r="AW530">
            <v>0</v>
          </cell>
          <cell r="AX530">
            <v>0</v>
          </cell>
          <cell r="AY530">
            <v>0</v>
          </cell>
          <cell r="AZ530">
            <v>0</v>
          </cell>
          <cell r="BA530">
            <v>8</v>
          </cell>
          <cell r="BB530">
            <v>0</v>
          </cell>
          <cell r="BC530">
            <v>0</v>
          </cell>
          <cell r="BD530">
            <v>0</v>
          </cell>
          <cell r="BE530">
            <v>0</v>
          </cell>
          <cell r="BF530">
            <v>0</v>
          </cell>
          <cell r="BG530">
            <v>192</v>
          </cell>
          <cell r="BH530">
            <v>1</v>
          </cell>
          <cell r="BI530">
            <v>1</v>
          </cell>
          <cell r="BJ530">
            <v>5.5</v>
          </cell>
          <cell r="BL530">
            <v>0</v>
          </cell>
          <cell r="BM530">
            <v>0</v>
          </cell>
          <cell r="BN530">
            <v>0</v>
          </cell>
          <cell r="BO530">
            <v>0</v>
          </cell>
          <cell r="BP530">
            <v>0</v>
          </cell>
          <cell r="BQ530">
            <v>0</v>
          </cell>
          <cell r="BR530">
            <v>0</v>
          </cell>
          <cell r="BS530">
            <v>0</v>
          </cell>
          <cell r="BT530">
            <v>0</v>
          </cell>
          <cell r="BU530">
            <v>0</v>
          </cell>
          <cell r="BV530">
            <v>0</v>
          </cell>
          <cell r="BW530">
            <v>1.25</v>
          </cell>
          <cell r="BX530">
            <v>1</v>
          </cell>
          <cell r="BY530">
            <v>0</v>
          </cell>
          <cell r="BZ530">
            <v>0</v>
          </cell>
          <cell r="CA530">
            <v>1</v>
          </cell>
          <cell r="CB530">
            <v>0</v>
          </cell>
          <cell r="CC530">
            <v>0</v>
          </cell>
          <cell r="CD530">
            <v>0</v>
          </cell>
          <cell r="CE530">
            <v>1.25</v>
          </cell>
          <cell r="CF530">
            <v>1.25</v>
          </cell>
          <cell r="CG530">
            <v>1.25</v>
          </cell>
          <cell r="CH530">
            <v>0</v>
          </cell>
          <cell r="CI530">
            <v>0</v>
          </cell>
          <cell r="CJ530">
            <v>0</v>
          </cell>
          <cell r="CK530">
            <v>1</v>
          </cell>
          <cell r="CL530">
            <v>0.5</v>
          </cell>
          <cell r="CM530">
            <v>0.5</v>
          </cell>
          <cell r="CR530">
            <v>0</v>
          </cell>
          <cell r="CS530">
            <v>0</v>
          </cell>
          <cell r="CT530">
            <v>9</v>
          </cell>
          <cell r="CU530">
            <v>0</v>
          </cell>
          <cell r="CV530">
            <v>0</v>
          </cell>
          <cell r="CZ530">
            <v>9</v>
          </cell>
        </row>
        <row r="531">
          <cell r="C531" t="str">
            <v>03587</v>
          </cell>
          <cell r="D531" t="str">
            <v>Giáp Huy Đăng</v>
          </cell>
          <cell r="E531" t="str">
            <v>IT</v>
          </cell>
          <cell r="F531" t="str">
            <v>IT</v>
          </cell>
          <cell r="G531" t="str">
            <v>Senior Technician</v>
          </cell>
          <cell r="H531">
            <v>44747</v>
          </cell>
          <cell r="I531">
            <v>8</v>
          </cell>
          <cell r="J531">
            <v>8</v>
          </cell>
          <cell r="K531" t="str">
            <v>PO</v>
          </cell>
          <cell r="L531" t="str">
            <v>CN</v>
          </cell>
          <cell r="M531">
            <v>8</v>
          </cell>
          <cell r="N531">
            <v>8</v>
          </cell>
          <cell r="O531">
            <v>8</v>
          </cell>
          <cell r="P531">
            <v>8</v>
          </cell>
          <cell r="Q531">
            <v>8</v>
          </cell>
          <cell r="R531" t="str">
            <v>PO</v>
          </cell>
          <cell r="S531" t="str">
            <v>CN</v>
          </cell>
          <cell r="T531">
            <v>8</v>
          </cell>
          <cell r="U531">
            <v>8</v>
          </cell>
          <cell r="V531">
            <v>8</v>
          </cell>
          <cell r="W531">
            <v>8</v>
          </cell>
          <cell r="X531">
            <v>8</v>
          </cell>
          <cell r="Y531" t="str">
            <v>PO</v>
          </cell>
          <cell r="Z531" t="str">
            <v>CN</v>
          </cell>
          <cell r="AA531">
            <v>8</v>
          </cell>
          <cell r="AB531">
            <v>8</v>
          </cell>
          <cell r="AC531" t="str">
            <v>BS</v>
          </cell>
          <cell r="AD531">
            <v>8</v>
          </cell>
          <cell r="AE531">
            <v>8</v>
          </cell>
          <cell r="AF531" t="str">
            <v>PO</v>
          </cell>
          <cell r="AG531" t="str">
            <v>CN</v>
          </cell>
          <cell r="AH531">
            <v>8</v>
          </cell>
          <cell r="AI531">
            <v>8</v>
          </cell>
          <cell r="AJ531">
            <v>8</v>
          </cell>
          <cell r="AN531">
            <v>0</v>
          </cell>
          <cell r="AO531">
            <v>152</v>
          </cell>
          <cell r="AP531">
            <v>0</v>
          </cell>
          <cell r="AQ531">
            <v>0</v>
          </cell>
          <cell r="AR531">
            <v>0</v>
          </cell>
          <cell r="AS531">
            <v>0</v>
          </cell>
          <cell r="AT531">
            <v>0</v>
          </cell>
          <cell r="AU531">
            <v>8</v>
          </cell>
          <cell r="AV531">
            <v>32</v>
          </cell>
          <cell r="AW531">
            <v>0</v>
          </cell>
          <cell r="AX531">
            <v>0</v>
          </cell>
          <cell r="AY531">
            <v>0</v>
          </cell>
          <cell r="AZ531">
            <v>0</v>
          </cell>
          <cell r="BA531">
            <v>0</v>
          </cell>
          <cell r="BB531">
            <v>0</v>
          </cell>
          <cell r="BC531">
            <v>0</v>
          </cell>
          <cell r="BD531">
            <v>0</v>
          </cell>
          <cell r="BE531">
            <v>0</v>
          </cell>
          <cell r="BF531">
            <v>0</v>
          </cell>
          <cell r="BG531">
            <v>192</v>
          </cell>
          <cell r="BH531">
            <v>0</v>
          </cell>
          <cell r="BI531">
            <v>0</v>
          </cell>
          <cell r="BJ531">
            <v>3</v>
          </cell>
          <cell r="BL531">
            <v>0</v>
          </cell>
          <cell r="BM531">
            <v>0</v>
          </cell>
          <cell r="BN531">
            <v>0</v>
          </cell>
          <cell r="BO531">
            <v>0</v>
          </cell>
          <cell r="BP531">
            <v>0</v>
          </cell>
          <cell r="BQ531">
            <v>0</v>
          </cell>
          <cell r="BR531">
            <v>0</v>
          </cell>
          <cell r="BS531">
            <v>3.5</v>
          </cell>
          <cell r="BT531">
            <v>0</v>
          </cell>
          <cell r="BU531">
            <v>0</v>
          </cell>
          <cell r="BV531">
            <v>0</v>
          </cell>
          <cell r="BW531">
            <v>0</v>
          </cell>
          <cell r="BX531">
            <v>0</v>
          </cell>
          <cell r="BY531">
            <v>0</v>
          </cell>
          <cell r="BZ531">
            <v>0</v>
          </cell>
          <cell r="CA531">
            <v>2</v>
          </cell>
          <cell r="CB531">
            <v>0</v>
          </cell>
          <cell r="CC531">
            <v>0</v>
          </cell>
          <cell r="CD531">
            <v>0</v>
          </cell>
          <cell r="CE531">
            <v>0</v>
          </cell>
          <cell r="CF531">
            <v>0</v>
          </cell>
          <cell r="CG531">
            <v>0</v>
          </cell>
          <cell r="CH531">
            <v>0</v>
          </cell>
          <cell r="CI531">
            <v>0</v>
          </cell>
          <cell r="CJ531">
            <v>0</v>
          </cell>
          <cell r="CK531">
            <v>0</v>
          </cell>
          <cell r="CL531">
            <v>0</v>
          </cell>
          <cell r="CM531">
            <v>0</v>
          </cell>
          <cell r="CR531">
            <v>0</v>
          </cell>
          <cell r="CS531">
            <v>0</v>
          </cell>
          <cell r="CT531">
            <v>5.5</v>
          </cell>
          <cell r="CU531">
            <v>0</v>
          </cell>
          <cell r="CV531">
            <v>0</v>
          </cell>
          <cell r="CZ531">
            <v>5.5</v>
          </cell>
        </row>
        <row r="532">
          <cell r="C532" t="str">
            <v>03588</v>
          </cell>
          <cell r="D532" t="str">
            <v>Vũ Thị Ngọc Uyên</v>
          </cell>
          <cell r="E532" t="str">
            <v>PD</v>
          </cell>
          <cell r="F532" t="str">
            <v>PD office</v>
          </cell>
          <cell r="G532" t="str">
            <v>Staff</v>
          </cell>
          <cell r="H532">
            <v>44753</v>
          </cell>
          <cell r="I532" t="str">
            <v>WH</v>
          </cell>
          <cell r="J532">
            <v>8</v>
          </cell>
          <cell r="K532" t="str">
            <v>PO</v>
          </cell>
          <cell r="L532" t="str">
            <v>CN</v>
          </cell>
          <cell r="M532">
            <v>8</v>
          </cell>
          <cell r="N532" t="str">
            <v>WH</v>
          </cell>
          <cell r="O532">
            <v>8</v>
          </cell>
          <cell r="P532">
            <v>8</v>
          </cell>
          <cell r="Q532">
            <v>8</v>
          </cell>
          <cell r="R532" t="str">
            <v>PO</v>
          </cell>
          <cell r="S532" t="str">
            <v>CN</v>
          </cell>
          <cell r="T532">
            <v>8</v>
          </cell>
          <cell r="U532">
            <v>8</v>
          </cell>
          <cell r="V532">
            <v>8</v>
          </cell>
          <cell r="W532">
            <v>8</v>
          </cell>
          <cell r="X532">
            <v>8</v>
          </cell>
          <cell r="Y532" t="str">
            <v>PO</v>
          </cell>
          <cell r="Z532" t="str">
            <v>CN</v>
          </cell>
          <cell r="AA532">
            <v>8</v>
          </cell>
          <cell r="AB532">
            <v>8</v>
          </cell>
          <cell r="AC532">
            <v>8</v>
          </cell>
          <cell r="AD532">
            <v>8</v>
          </cell>
          <cell r="AE532">
            <v>8</v>
          </cell>
          <cell r="AF532" t="str">
            <v>PO</v>
          </cell>
          <cell r="AG532" t="str">
            <v>CN</v>
          </cell>
          <cell r="AH532">
            <v>8</v>
          </cell>
          <cell r="AI532">
            <v>8</v>
          </cell>
          <cell r="AJ532">
            <v>8</v>
          </cell>
          <cell r="AN532">
            <v>0</v>
          </cell>
          <cell r="AO532">
            <v>144</v>
          </cell>
          <cell r="AP532">
            <v>0</v>
          </cell>
          <cell r="AQ532">
            <v>0</v>
          </cell>
          <cell r="AR532">
            <v>0</v>
          </cell>
          <cell r="AS532">
            <v>0</v>
          </cell>
          <cell r="AT532">
            <v>0</v>
          </cell>
          <cell r="AU532">
            <v>0</v>
          </cell>
          <cell r="AV532">
            <v>32</v>
          </cell>
          <cell r="AW532">
            <v>0</v>
          </cell>
          <cell r="AX532">
            <v>0</v>
          </cell>
          <cell r="AY532">
            <v>0</v>
          </cell>
          <cell r="AZ532">
            <v>0</v>
          </cell>
          <cell r="BA532">
            <v>0</v>
          </cell>
          <cell r="BB532">
            <v>0</v>
          </cell>
          <cell r="BC532">
            <v>0</v>
          </cell>
          <cell r="BD532">
            <v>16</v>
          </cell>
          <cell r="BE532">
            <v>0</v>
          </cell>
          <cell r="BF532">
            <v>0</v>
          </cell>
          <cell r="BG532">
            <v>192</v>
          </cell>
          <cell r="BH532">
            <v>0</v>
          </cell>
          <cell r="BI532">
            <v>0</v>
          </cell>
          <cell r="BJ532">
            <v>3.5</v>
          </cell>
          <cell r="BL532">
            <v>0</v>
          </cell>
          <cell r="BM532">
            <v>0</v>
          </cell>
          <cell r="BN532">
            <v>0</v>
          </cell>
          <cell r="BO532">
            <v>0</v>
          </cell>
          <cell r="BP532">
            <v>0</v>
          </cell>
          <cell r="BQ532">
            <v>0</v>
          </cell>
          <cell r="BR532">
            <v>0</v>
          </cell>
          <cell r="BS532">
            <v>0</v>
          </cell>
          <cell r="BT532">
            <v>0</v>
          </cell>
          <cell r="BU532">
            <v>0</v>
          </cell>
          <cell r="BV532">
            <v>0</v>
          </cell>
          <cell r="BW532">
            <v>0</v>
          </cell>
          <cell r="BX532">
            <v>0</v>
          </cell>
          <cell r="BY532">
            <v>0</v>
          </cell>
          <cell r="BZ532">
            <v>0</v>
          </cell>
          <cell r="CA532">
            <v>0</v>
          </cell>
          <cell r="CB532">
            <v>0</v>
          </cell>
          <cell r="CC532">
            <v>0</v>
          </cell>
          <cell r="CD532">
            <v>0</v>
          </cell>
          <cell r="CE532">
            <v>0</v>
          </cell>
          <cell r="CF532">
            <v>0</v>
          </cell>
          <cell r="CG532">
            <v>0</v>
          </cell>
          <cell r="CH532">
            <v>0</v>
          </cell>
          <cell r="CI532">
            <v>0</v>
          </cell>
          <cell r="CJ532">
            <v>0</v>
          </cell>
          <cell r="CK532">
            <v>0</v>
          </cell>
          <cell r="CL532">
            <v>0</v>
          </cell>
          <cell r="CM532">
            <v>0</v>
          </cell>
          <cell r="CR532">
            <v>0</v>
          </cell>
          <cell r="CS532">
            <v>0</v>
          </cell>
          <cell r="CT532">
            <v>0</v>
          </cell>
          <cell r="CU532">
            <v>0</v>
          </cell>
          <cell r="CV532">
            <v>0</v>
          </cell>
          <cell r="CZ532">
            <v>0</v>
          </cell>
        </row>
        <row r="533">
          <cell r="C533" t="str">
            <v>03590</v>
          </cell>
          <cell r="D533" t="str">
            <v>Phan Kim Ngọc</v>
          </cell>
          <cell r="E533" t="str">
            <v>Technical Development</v>
          </cell>
          <cell r="F533" t="str">
            <v>PD Sample</v>
          </cell>
          <cell r="G533" t="str">
            <v>Staff</v>
          </cell>
          <cell r="H533">
            <v>44753</v>
          </cell>
          <cell r="I533">
            <v>8</v>
          </cell>
          <cell r="J533">
            <v>8</v>
          </cell>
          <cell r="K533" t="str">
            <v>PO</v>
          </cell>
          <cell r="L533" t="str">
            <v>CN</v>
          </cell>
          <cell r="M533">
            <v>8</v>
          </cell>
          <cell r="N533">
            <v>8</v>
          </cell>
          <cell r="O533">
            <v>8</v>
          </cell>
          <cell r="P533">
            <v>8</v>
          </cell>
          <cell r="Q533">
            <v>8</v>
          </cell>
          <cell r="R533" t="str">
            <v>PO</v>
          </cell>
          <cell r="S533" t="str">
            <v>CN</v>
          </cell>
          <cell r="T533">
            <v>8</v>
          </cell>
          <cell r="U533">
            <v>8</v>
          </cell>
          <cell r="V533">
            <v>8</v>
          </cell>
          <cell r="W533">
            <v>8</v>
          </cell>
          <cell r="X533">
            <v>8</v>
          </cell>
          <cell r="Y533" t="str">
            <v>PO</v>
          </cell>
          <cell r="Z533" t="str">
            <v>CN</v>
          </cell>
          <cell r="AA533">
            <v>8</v>
          </cell>
          <cell r="AB533">
            <v>8</v>
          </cell>
          <cell r="AC533">
            <v>8</v>
          </cell>
          <cell r="AD533">
            <v>8</v>
          </cell>
          <cell r="AE533" t="str">
            <v>AL4</v>
          </cell>
          <cell r="AF533" t="str">
            <v>PO</v>
          </cell>
          <cell r="AG533" t="str">
            <v>CN</v>
          </cell>
          <cell r="AH533">
            <v>8</v>
          </cell>
          <cell r="AI533">
            <v>8</v>
          </cell>
          <cell r="AJ533">
            <v>8</v>
          </cell>
          <cell r="AN533">
            <v>0</v>
          </cell>
          <cell r="AO533">
            <v>156</v>
          </cell>
          <cell r="AP533">
            <v>4</v>
          </cell>
          <cell r="AQ533">
            <v>0</v>
          </cell>
          <cell r="AR533">
            <v>0</v>
          </cell>
          <cell r="AS533">
            <v>0</v>
          </cell>
          <cell r="AT533">
            <v>0</v>
          </cell>
          <cell r="AU533">
            <v>0</v>
          </cell>
          <cell r="AV533">
            <v>32</v>
          </cell>
          <cell r="AW533">
            <v>0</v>
          </cell>
          <cell r="AX533">
            <v>0</v>
          </cell>
          <cell r="AY533">
            <v>0</v>
          </cell>
          <cell r="AZ533">
            <v>0</v>
          </cell>
          <cell r="BA533">
            <v>4</v>
          </cell>
          <cell r="BB533">
            <v>0</v>
          </cell>
          <cell r="BC533">
            <v>0</v>
          </cell>
          <cell r="BD533">
            <v>0</v>
          </cell>
          <cell r="BE533">
            <v>0</v>
          </cell>
          <cell r="BF533">
            <v>0</v>
          </cell>
          <cell r="BG533">
            <v>192</v>
          </cell>
          <cell r="BH533">
            <v>0.5</v>
          </cell>
          <cell r="BI533">
            <v>0.5</v>
          </cell>
          <cell r="BJ533">
            <v>2.5</v>
          </cell>
          <cell r="BL533">
            <v>0</v>
          </cell>
          <cell r="BM533">
            <v>0</v>
          </cell>
          <cell r="BN533">
            <v>0</v>
          </cell>
          <cell r="BO533">
            <v>0</v>
          </cell>
          <cell r="BP533">
            <v>0</v>
          </cell>
          <cell r="BQ533">
            <v>0</v>
          </cell>
          <cell r="BR533">
            <v>0</v>
          </cell>
          <cell r="BS533">
            <v>0</v>
          </cell>
          <cell r="BT533">
            <v>0</v>
          </cell>
          <cell r="BU533">
            <v>0</v>
          </cell>
          <cell r="BV533">
            <v>0</v>
          </cell>
          <cell r="BW533">
            <v>0</v>
          </cell>
          <cell r="BX533">
            <v>0</v>
          </cell>
          <cell r="BY533">
            <v>0</v>
          </cell>
          <cell r="BZ533">
            <v>0</v>
          </cell>
          <cell r="CA533">
            <v>0</v>
          </cell>
          <cell r="CB533">
            <v>0</v>
          </cell>
          <cell r="CC533">
            <v>0</v>
          </cell>
          <cell r="CD533">
            <v>0</v>
          </cell>
          <cell r="CE533">
            <v>0</v>
          </cell>
          <cell r="CF533">
            <v>0</v>
          </cell>
          <cell r="CG533">
            <v>0</v>
          </cell>
          <cell r="CH533">
            <v>0</v>
          </cell>
          <cell r="CI533">
            <v>0</v>
          </cell>
          <cell r="CJ533">
            <v>0</v>
          </cell>
          <cell r="CK533">
            <v>0</v>
          </cell>
          <cell r="CL533">
            <v>0</v>
          </cell>
          <cell r="CM533">
            <v>0</v>
          </cell>
          <cell r="CR533">
            <v>0</v>
          </cell>
          <cell r="CS533">
            <v>0</v>
          </cell>
          <cell r="CT533">
            <v>0</v>
          </cell>
          <cell r="CU533">
            <v>0</v>
          </cell>
          <cell r="CV533">
            <v>0</v>
          </cell>
          <cell r="CZ533">
            <v>0</v>
          </cell>
        </row>
        <row r="534">
          <cell r="C534" t="str">
            <v>03592</v>
          </cell>
          <cell r="D534" t="str">
            <v>Nguyễn Thúy Ngọc</v>
          </cell>
          <cell r="E534" t="str">
            <v>Technical Development</v>
          </cell>
          <cell r="F534" t="str">
            <v>PD Sample</v>
          </cell>
          <cell r="G534" t="str">
            <v>Worker</v>
          </cell>
          <cell r="H534">
            <v>44756</v>
          </cell>
          <cell r="I534">
            <v>8</v>
          </cell>
          <cell r="J534">
            <v>8</v>
          </cell>
          <cell r="K534">
            <v>8</v>
          </cell>
          <cell r="L534" t="str">
            <v>CN</v>
          </cell>
          <cell r="M534">
            <v>8</v>
          </cell>
          <cell r="N534">
            <v>8</v>
          </cell>
          <cell r="O534">
            <v>8</v>
          </cell>
          <cell r="P534">
            <v>8</v>
          </cell>
          <cell r="Q534">
            <v>8</v>
          </cell>
          <cell r="R534">
            <v>8</v>
          </cell>
          <cell r="S534" t="str">
            <v>CN</v>
          </cell>
          <cell r="T534">
            <v>8</v>
          </cell>
          <cell r="U534">
            <v>8</v>
          </cell>
          <cell r="V534">
            <v>8</v>
          </cell>
          <cell r="W534">
            <v>8</v>
          </cell>
          <cell r="X534">
            <v>8</v>
          </cell>
          <cell r="Y534">
            <v>8</v>
          </cell>
          <cell r="Z534" t="str">
            <v>CN</v>
          </cell>
          <cell r="AA534">
            <v>8</v>
          </cell>
          <cell r="AB534">
            <v>8</v>
          </cell>
          <cell r="AC534">
            <v>8</v>
          </cell>
          <cell r="AD534">
            <v>8</v>
          </cell>
          <cell r="AE534">
            <v>8</v>
          </cell>
          <cell r="AF534">
            <v>8</v>
          </cell>
          <cell r="AG534" t="str">
            <v>CN</v>
          </cell>
          <cell r="AH534">
            <v>8</v>
          </cell>
          <cell r="AI534">
            <v>8</v>
          </cell>
          <cell r="AJ534">
            <v>8</v>
          </cell>
          <cell r="AN534">
            <v>0</v>
          </cell>
          <cell r="AO534">
            <v>192</v>
          </cell>
          <cell r="AP534">
            <v>0</v>
          </cell>
          <cell r="AQ534">
            <v>0</v>
          </cell>
          <cell r="AR534">
            <v>0</v>
          </cell>
          <cell r="AS534">
            <v>0</v>
          </cell>
          <cell r="AT534">
            <v>0</v>
          </cell>
          <cell r="AU534">
            <v>0</v>
          </cell>
          <cell r="AV534">
            <v>0</v>
          </cell>
          <cell r="AW534">
            <v>0</v>
          </cell>
          <cell r="AX534">
            <v>0</v>
          </cell>
          <cell r="AY534">
            <v>0</v>
          </cell>
          <cell r="AZ534">
            <v>0</v>
          </cell>
          <cell r="BA534">
            <v>0</v>
          </cell>
          <cell r="BB534">
            <v>0</v>
          </cell>
          <cell r="BC534">
            <v>0</v>
          </cell>
          <cell r="BD534">
            <v>0</v>
          </cell>
          <cell r="BE534">
            <v>0</v>
          </cell>
          <cell r="BF534">
            <v>0</v>
          </cell>
          <cell r="BG534">
            <v>192</v>
          </cell>
          <cell r="BH534">
            <v>0</v>
          </cell>
          <cell r="BI534">
            <v>0</v>
          </cell>
          <cell r="BJ534">
            <v>1</v>
          </cell>
          <cell r="BL534">
            <v>3</v>
          </cell>
          <cell r="BM534">
            <v>3</v>
          </cell>
          <cell r="BN534">
            <v>0</v>
          </cell>
          <cell r="BO534">
            <v>0</v>
          </cell>
          <cell r="BP534">
            <v>3</v>
          </cell>
          <cell r="BQ534">
            <v>3</v>
          </cell>
          <cell r="BR534">
            <v>3</v>
          </cell>
          <cell r="BS534">
            <v>3</v>
          </cell>
          <cell r="BT534">
            <v>0</v>
          </cell>
          <cell r="BU534">
            <v>0</v>
          </cell>
          <cell r="BV534">
            <v>0</v>
          </cell>
          <cell r="BW534">
            <v>3</v>
          </cell>
          <cell r="BX534">
            <v>3</v>
          </cell>
          <cell r="BY534">
            <v>3</v>
          </cell>
          <cell r="BZ534">
            <v>3</v>
          </cell>
          <cell r="CA534">
            <v>0</v>
          </cell>
          <cell r="CB534">
            <v>0</v>
          </cell>
          <cell r="CC534">
            <v>0</v>
          </cell>
          <cell r="CD534">
            <v>3</v>
          </cell>
          <cell r="CE534">
            <v>3</v>
          </cell>
          <cell r="CF534">
            <v>0</v>
          </cell>
          <cell r="CG534">
            <v>3</v>
          </cell>
          <cell r="CH534">
            <v>3</v>
          </cell>
          <cell r="CI534">
            <v>0</v>
          </cell>
          <cell r="CJ534">
            <v>0</v>
          </cell>
          <cell r="CK534">
            <v>0</v>
          </cell>
          <cell r="CL534">
            <v>0</v>
          </cell>
          <cell r="CM534">
            <v>0</v>
          </cell>
          <cell r="CR534">
            <v>0</v>
          </cell>
          <cell r="CS534">
            <v>0</v>
          </cell>
          <cell r="CT534">
            <v>42</v>
          </cell>
          <cell r="CU534">
            <v>0</v>
          </cell>
          <cell r="CV534">
            <v>0</v>
          </cell>
          <cell r="CZ534">
            <v>42</v>
          </cell>
        </row>
        <row r="535">
          <cell r="C535" t="str">
            <v>03600</v>
          </cell>
          <cell r="D535" t="str">
            <v>Nguyễn Văn Phong</v>
          </cell>
          <cell r="E535" t="str">
            <v xml:space="preserve">EHS &amp; Facilities </v>
          </cell>
          <cell r="F535" t="str">
            <v>Maintenance</v>
          </cell>
          <cell r="G535" t="str">
            <v>Technician</v>
          </cell>
          <cell r="H535">
            <v>44763</v>
          </cell>
          <cell r="I535" t="str">
            <v>Đ</v>
          </cell>
          <cell r="J535" t="str">
            <v>Đ</v>
          </cell>
          <cell r="K535" t="str">
            <v>Đ</v>
          </cell>
          <cell r="L535" t="str">
            <v>CN</v>
          </cell>
          <cell r="M535">
            <v>8</v>
          </cell>
          <cell r="N535">
            <v>8</v>
          </cell>
          <cell r="O535">
            <v>8</v>
          </cell>
          <cell r="P535">
            <v>8</v>
          </cell>
          <cell r="Q535">
            <v>8</v>
          </cell>
          <cell r="R535">
            <v>8</v>
          </cell>
          <cell r="S535" t="str">
            <v>CN</v>
          </cell>
          <cell r="T535">
            <v>8</v>
          </cell>
          <cell r="U535">
            <v>8</v>
          </cell>
          <cell r="V535">
            <v>8</v>
          </cell>
          <cell r="W535">
            <v>8</v>
          </cell>
          <cell r="X535">
            <v>8</v>
          </cell>
          <cell r="Y535">
            <v>8</v>
          </cell>
          <cell r="Z535" t="str">
            <v>CN</v>
          </cell>
          <cell r="AA535" t="str">
            <v>Đ</v>
          </cell>
          <cell r="AB535" t="str">
            <v>Đ</v>
          </cell>
          <cell r="AC535" t="str">
            <v>Đ</v>
          </cell>
          <cell r="AD535" t="str">
            <v>Đ</v>
          </cell>
          <cell r="AE535" t="str">
            <v>Đ</v>
          </cell>
          <cell r="AF535" t="str">
            <v>Đ</v>
          </cell>
          <cell r="AG535" t="str">
            <v>CN</v>
          </cell>
          <cell r="AH535">
            <v>8</v>
          </cell>
          <cell r="AI535">
            <v>8</v>
          </cell>
          <cell r="AJ535">
            <v>8</v>
          </cell>
          <cell r="AN535">
            <v>72</v>
          </cell>
          <cell r="AO535">
            <v>120</v>
          </cell>
          <cell r="AP535">
            <v>0</v>
          </cell>
          <cell r="AQ535">
            <v>0</v>
          </cell>
          <cell r="AR535">
            <v>0</v>
          </cell>
          <cell r="AS535">
            <v>0</v>
          </cell>
          <cell r="AT535">
            <v>0</v>
          </cell>
          <cell r="AU535">
            <v>0</v>
          </cell>
          <cell r="AV535">
            <v>0</v>
          </cell>
          <cell r="AW535">
            <v>0</v>
          </cell>
          <cell r="AX535">
            <v>0</v>
          </cell>
          <cell r="AY535">
            <v>0</v>
          </cell>
          <cell r="AZ535">
            <v>0</v>
          </cell>
          <cell r="BA535">
            <v>0</v>
          </cell>
          <cell r="BB535">
            <v>0</v>
          </cell>
          <cell r="BC535">
            <v>0</v>
          </cell>
          <cell r="BD535">
            <v>0</v>
          </cell>
          <cell r="BE535">
            <v>0</v>
          </cell>
          <cell r="BF535">
            <v>0</v>
          </cell>
          <cell r="BG535">
            <v>192</v>
          </cell>
          <cell r="BH535">
            <v>0</v>
          </cell>
          <cell r="BI535">
            <v>0</v>
          </cell>
          <cell r="BJ535">
            <v>6</v>
          </cell>
          <cell r="BL535">
            <v>0</v>
          </cell>
          <cell r="BM535">
            <v>0</v>
          </cell>
          <cell r="BN535">
            <v>0</v>
          </cell>
          <cell r="BO535">
            <v>0</v>
          </cell>
          <cell r="BP535">
            <v>4</v>
          </cell>
          <cell r="BQ535">
            <v>4</v>
          </cell>
          <cell r="BR535">
            <v>0</v>
          </cell>
          <cell r="BS535">
            <v>0</v>
          </cell>
          <cell r="BT535">
            <v>0</v>
          </cell>
          <cell r="BU535">
            <v>0</v>
          </cell>
          <cell r="BV535">
            <v>0</v>
          </cell>
          <cell r="BW535">
            <v>0</v>
          </cell>
          <cell r="BX535">
            <v>0</v>
          </cell>
          <cell r="BY535">
            <v>2.5</v>
          </cell>
          <cell r="BZ535">
            <v>4</v>
          </cell>
          <cell r="CA535">
            <v>0</v>
          </cell>
          <cell r="CB535">
            <v>4</v>
          </cell>
          <cell r="CC535">
            <v>0</v>
          </cell>
          <cell r="CD535">
            <v>4</v>
          </cell>
          <cell r="CE535">
            <v>0</v>
          </cell>
          <cell r="CF535">
            <v>0</v>
          </cell>
          <cell r="CG535">
            <v>0</v>
          </cell>
          <cell r="CH535">
            <v>0</v>
          </cell>
          <cell r="CI535">
            <v>0</v>
          </cell>
          <cell r="CJ535">
            <v>0</v>
          </cell>
          <cell r="CK535">
            <v>0</v>
          </cell>
          <cell r="CL535">
            <v>0</v>
          </cell>
          <cell r="CM535">
            <v>0</v>
          </cell>
          <cell r="CR535">
            <v>0</v>
          </cell>
          <cell r="CS535">
            <v>0</v>
          </cell>
          <cell r="CT535">
            <v>22.5</v>
          </cell>
          <cell r="CU535">
            <v>0</v>
          </cell>
          <cell r="CV535">
            <v>0</v>
          </cell>
          <cell r="CZ535">
            <v>22.5</v>
          </cell>
        </row>
        <row r="536">
          <cell r="C536" t="str">
            <v>03607</v>
          </cell>
          <cell r="D536" t="str">
            <v xml:space="preserve">Huỳnh Thị Kim Quyên </v>
          </cell>
          <cell r="E536" t="str">
            <v>Production</v>
          </cell>
          <cell r="F536" t="str">
            <v>Molding</v>
          </cell>
          <cell r="G536" t="str">
            <v>Worker</v>
          </cell>
          <cell r="H536">
            <v>44781</v>
          </cell>
          <cell r="I536">
            <v>8</v>
          </cell>
          <cell r="J536">
            <v>8</v>
          </cell>
          <cell r="K536" t="str">
            <v>AL8</v>
          </cell>
          <cell r="L536" t="str">
            <v>CN</v>
          </cell>
          <cell r="M536">
            <v>8</v>
          </cell>
          <cell r="N536">
            <v>8</v>
          </cell>
          <cell r="O536">
            <v>8</v>
          </cell>
          <cell r="P536">
            <v>8</v>
          </cell>
          <cell r="Q536" t="str">
            <v>Đ</v>
          </cell>
          <cell r="R536" t="str">
            <v>Đ</v>
          </cell>
          <cell r="S536" t="str">
            <v>CN</v>
          </cell>
          <cell r="T536">
            <v>8</v>
          </cell>
          <cell r="U536">
            <v>8</v>
          </cell>
          <cell r="V536">
            <v>8</v>
          </cell>
          <cell r="W536">
            <v>8</v>
          </cell>
          <cell r="X536">
            <v>8</v>
          </cell>
          <cell r="Y536">
            <v>8</v>
          </cell>
          <cell r="Z536" t="str">
            <v>CN</v>
          </cell>
          <cell r="AA536">
            <v>8</v>
          </cell>
          <cell r="AB536">
            <v>8</v>
          </cell>
          <cell r="AC536">
            <v>8</v>
          </cell>
          <cell r="AD536">
            <v>8</v>
          </cell>
          <cell r="AE536" t="str">
            <v>Đ</v>
          </cell>
          <cell r="AF536" t="str">
            <v>Đ</v>
          </cell>
          <cell r="AG536" t="str">
            <v>CN</v>
          </cell>
          <cell r="AH536">
            <v>8</v>
          </cell>
          <cell r="AI536">
            <v>8</v>
          </cell>
          <cell r="AJ536">
            <v>8</v>
          </cell>
          <cell r="AN536">
            <v>32</v>
          </cell>
          <cell r="AO536">
            <v>152</v>
          </cell>
          <cell r="AP536">
            <v>0</v>
          </cell>
          <cell r="AQ536">
            <v>0</v>
          </cell>
          <cell r="AR536">
            <v>0</v>
          </cell>
          <cell r="AS536">
            <v>0</v>
          </cell>
          <cell r="AT536">
            <v>0</v>
          </cell>
          <cell r="AU536">
            <v>0</v>
          </cell>
          <cell r="AV536">
            <v>0</v>
          </cell>
          <cell r="AW536">
            <v>0</v>
          </cell>
          <cell r="AX536">
            <v>0</v>
          </cell>
          <cell r="AY536">
            <v>0</v>
          </cell>
          <cell r="AZ536">
            <v>0</v>
          </cell>
          <cell r="BA536">
            <v>8</v>
          </cell>
          <cell r="BB536">
            <v>0</v>
          </cell>
          <cell r="BC536">
            <v>0</v>
          </cell>
          <cell r="BD536">
            <v>0</v>
          </cell>
          <cell r="BE536">
            <v>0</v>
          </cell>
          <cell r="BF536">
            <v>0</v>
          </cell>
          <cell r="BG536">
            <v>192</v>
          </cell>
          <cell r="BH536">
            <v>1</v>
          </cell>
          <cell r="BI536">
            <v>1</v>
          </cell>
          <cell r="BJ536">
            <v>0.5</v>
          </cell>
          <cell r="BL536">
            <v>0</v>
          </cell>
          <cell r="BM536">
            <v>0</v>
          </cell>
          <cell r="BN536">
            <v>0</v>
          </cell>
          <cell r="BO536">
            <v>0</v>
          </cell>
          <cell r="BP536">
            <v>0</v>
          </cell>
          <cell r="BQ536">
            <v>0</v>
          </cell>
          <cell r="BR536">
            <v>0</v>
          </cell>
          <cell r="BS536">
            <v>0</v>
          </cell>
          <cell r="BT536">
            <v>4</v>
          </cell>
          <cell r="BU536">
            <v>4</v>
          </cell>
          <cell r="BV536">
            <v>0</v>
          </cell>
          <cell r="BW536">
            <v>0</v>
          </cell>
          <cell r="BX536">
            <v>0</v>
          </cell>
          <cell r="BY536">
            <v>0</v>
          </cell>
          <cell r="BZ536">
            <v>0</v>
          </cell>
          <cell r="CA536">
            <v>4</v>
          </cell>
          <cell r="CB536">
            <v>4</v>
          </cell>
          <cell r="CC536">
            <v>0</v>
          </cell>
          <cell r="CD536">
            <v>0</v>
          </cell>
          <cell r="CE536">
            <v>0</v>
          </cell>
          <cell r="CF536">
            <v>0</v>
          </cell>
          <cell r="CG536">
            <v>0</v>
          </cell>
          <cell r="CH536">
            <v>4</v>
          </cell>
          <cell r="CI536">
            <v>4</v>
          </cell>
          <cell r="CJ536">
            <v>0</v>
          </cell>
          <cell r="CK536">
            <v>0</v>
          </cell>
          <cell r="CL536">
            <v>0</v>
          </cell>
          <cell r="CM536">
            <v>4</v>
          </cell>
          <cell r="CR536">
            <v>0</v>
          </cell>
          <cell r="CS536">
            <v>0</v>
          </cell>
          <cell r="CT536">
            <v>28</v>
          </cell>
          <cell r="CU536">
            <v>0</v>
          </cell>
          <cell r="CV536">
            <v>0</v>
          </cell>
          <cell r="CZ536">
            <v>28</v>
          </cell>
        </row>
        <row r="537">
          <cell r="C537" t="str">
            <v>03608</v>
          </cell>
          <cell r="D537" t="str">
            <v>Sử Lê Nhân</v>
          </cell>
          <cell r="E537" t="str">
            <v>Production</v>
          </cell>
          <cell r="F537" t="str">
            <v>Molding</v>
          </cell>
          <cell r="G537" t="str">
            <v>Worker</v>
          </cell>
          <cell r="H537">
            <v>44781</v>
          </cell>
          <cell r="I537" t="str">
            <v>Đ</v>
          </cell>
          <cell r="J537" t="str">
            <v>Đ</v>
          </cell>
          <cell r="K537" t="str">
            <v>CN</v>
          </cell>
          <cell r="L537">
            <v>8</v>
          </cell>
          <cell r="M537">
            <v>8</v>
          </cell>
          <cell r="N537">
            <v>8</v>
          </cell>
          <cell r="O537">
            <v>8</v>
          </cell>
          <cell r="P537">
            <v>8</v>
          </cell>
          <cell r="Q537">
            <v>8</v>
          </cell>
          <cell r="R537" t="str">
            <v>CN</v>
          </cell>
          <cell r="S537" t="str">
            <v>Đ</v>
          </cell>
          <cell r="T537" t="str">
            <v>Đ</v>
          </cell>
          <cell r="U537" t="str">
            <v>Đ</v>
          </cell>
          <cell r="V537" t="str">
            <v>Đ</v>
          </cell>
          <cell r="W537" t="str">
            <v>Đ</v>
          </cell>
          <cell r="X537" t="str">
            <v>Đ</v>
          </cell>
          <cell r="Y537" t="str">
            <v>CN</v>
          </cell>
          <cell r="Z537">
            <v>8</v>
          </cell>
          <cell r="AA537">
            <v>8</v>
          </cell>
          <cell r="AB537" t="str">
            <v>AL4</v>
          </cell>
          <cell r="AC537">
            <v>8</v>
          </cell>
          <cell r="AD537">
            <v>8</v>
          </cell>
          <cell r="AE537">
            <v>8</v>
          </cell>
          <cell r="AF537" t="str">
            <v>CN</v>
          </cell>
          <cell r="AG537" t="str">
            <v>Đ</v>
          </cell>
          <cell r="AH537" t="str">
            <v>Đ</v>
          </cell>
          <cell r="AI537" t="str">
            <v>Đ</v>
          </cell>
          <cell r="AJ537" t="str">
            <v>Đ</v>
          </cell>
          <cell r="AN537">
            <v>96</v>
          </cell>
          <cell r="AO537">
            <v>92</v>
          </cell>
          <cell r="AP537">
            <v>4</v>
          </cell>
          <cell r="AQ537">
            <v>0</v>
          </cell>
          <cell r="AR537">
            <v>0</v>
          </cell>
          <cell r="AS537">
            <v>0</v>
          </cell>
          <cell r="AT537">
            <v>0</v>
          </cell>
          <cell r="AU537">
            <v>0</v>
          </cell>
          <cell r="AV537">
            <v>0</v>
          </cell>
          <cell r="AW537">
            <v>0</v>
          </cell>
          <cell r="AX537">
            <v>0</v>
          </cell>
          <cell r="AY537">
            <v>0</v>
          </cell>
          <cell r="AZ537">
            <v>0</v>
          </cell>
          <cell r="BA537">
            <v>4</v>
          </cell>
          <cell r="BB537">
            <v>0</v>
          </cell>
          <cell r="BC537">
            <v>0</v>
          </cell>
          <cell r="BD537">
            <v>0</v>
          </cell>
          <cell r="BE537">
            <v>0</v>
          </cell>
          <cell r="BF537">
            <v>0</v>
          </cell>
          <cell r="BG537">
            <v>192</v>
          </cell>
          <cell r="BH537">
            <v>0.5</v>
          </cell>
          <cell r="BI537">
            <v>0.5</v>
          </cell>
          <cell r="BJ537">
            <v>1.5</v>
          </cell>
          <cell r="BL537">
            <v>0</v>
          </cell>
          <cell r="BM537">
            <v>4</v>
          </cell>
          <cell r="BN537">
            <v>0</v>
          </cell>
          <cell r="BO537">
            <v>4</v>
          </cell>
          <cell r="BP537">
            <v>0</v>
          </cell>
          <cell r="BQ537">
            <v>0</v>
          </cell>
          <cell r="BR537">
            <v>0</v>
          </cell>
          <cell r="BS537">
            <v>0</v>
          </cell>
          <cell r="BT537">
            <v>4</v>
          </cell>
          <cell r="BU537">
            <v>0</v>
          </cell>
          <cell r="BV537">
            <v>4</v>
          </cell>
          <cell r="BW537">
            <v>0</v>
          </cell>
          <cell r="BX537">
            <v>0</v>
          </cell>
          <cell r="BY537">
            <v>4</v>
          </cell>
          <cell r="BZ537">
            <v>0</v>
          </cell>
          <cell r="CA537">
            <v>4</v>
          </cell>
          <cell r="CB537">
            <v>0</v>
          </cell>
          <cell r="CC537">
            <v>4</v>
          </cell>
          <cell r="CD537">
            <v>0</v>
          </cell>
          <cell r="CE537">
            <v>0</v>
          </cell>
          <cell r="CF537">
            <v>0</v>
          </cell>
          <cell r="CG537">
            <v>0</v>
          </cell>
          <cell r="CH537">
            <v>4</v>
          </cell>
          <cell r="CI537">
            <v>0</v>
          </cell>
          <cell r="CJ537">
            <v>4</v>
          </cell>
          <cell r="CK537">
            <v>4</v>
          </cell>
          <cell r="CL537">
            <v>0</v>
          </cell>
          <cell r="CM537">
            <v>0</v>
          </cell>
          <cell r="CR537">
            <v>0</v>
          </cell>
          <cell r="CS537">
            <v>0</v>
          </cell>
          <cell r="CT537">
            <v>40</v>
          </cell>
          <cell r="CU537">
            <v>0</v>
          </cell>
          <cell r="CV537">
            <v>0</v>
          </cell>
          <cell r="CZ537">
            <v>40</v>
          </cell>
        </row>
        <row r="538">
          <cell r="C538" t="str">
            <v>03612</v>
          </cell>
          <cell r="D538" t="str">
            <v>Trần Mộng Như</v>
          </cell>
          <cell r="E538" t="str">
            <v>Production</v>
          </cell>
          <cell r="F538" t="str">
            <v>Molding</v>
          </cell>
          <cell r="G538" t="str">
            <v>Worker</v>
          </cell>
          <cell r="H538">
            <v>44788</v>
          </cell>
          <cell r="I538" t="str">
            <v>Đ</v>
          </cell>
          <cell r="J538" t="str">
            <v>Đ</v>
          </cell>
          <cell r="K538" t="str">
            <v>CN</v>
          </cell>
          <cell r="L538">
            <v>8</v>
          </cell>
          <cell r="M538">
            <v>8</v>
          </cell>
          <cell r="N538">
            <v>8</v>
          </cell>
          <cell r="O538">
            <v>8</v>
          </cell>
          <cell r="P538">
            <v>8</v>
          </cell>
          <cell r="Q538">
            <v>8</v>
          </cell>
          <cell r="R538" t="str">
            <v>CN</v>
          </cell>
          <cell r="S538" t="str">
            <v>Đ</v>
          </cell>
          <cell r="T538" t="str">
            <v>Đ</v>
          </cell>
          <cell r="U538" t="str">
            <v>Đ</v>
          </cell>
          <cell r="V538" t="str">
            <v>Đ</v>
          </cell>
          <cell r="W538" t="str">
            <v>Đ</v>
          </cell>
          <cell r="X538" t="str">
            <v>Đ</v>
          </cell>
          <cell r="Y538" t="str">
            <v>CN</v>
          </cell>
          <cell r="Z538">
            <v>8</v>
          </cell>
          <cell r="AA538">
            <v>8</v>
          </cell>
          <cell r="AB538">
            <v>8</v>
          </cell>
          <cell r="AC538">
            <v>8</v>
          </cell>
          <cell r="AD538">
            <v>8</v>
          </cell>
          <cell r="AE538">
            <v>8</v>
          </cell>
          <cell r="AF538" t="str">
            <v>CN</v>
          </cell>
          <cell r="AG538" t="str">
            <v>Đ</v>
          </cell>
          <cell r="AH538" t="str">
            <v>Đ</v>
          </cell>
          <cell r="AI538" t="str">
            <v>Đ</v>
          </cell>
          <cell r="AJ538" t="str">
            <v>Đ</v>
          </cell>
          <cell r="AN538">
            <v>96</v>
          </cell>
          <cell r="AO538">
            <v>96</v>
          </cell>
          <cell r="AP538">
            <v>0</v>
          </cell>
          <cell r="AQ538">
            <v>0</v>
          </cell>
          <cell r="AR538">
            <v>0</v>
          </cell>
          <cell r="AS538">
            <v>0</v>
          </cell>
          <cell r="AT538">
            <v>0</v>
          </cell>
          <cell r="AU538">
            <v>0</v>
          </cell>
          <cell r="AV538">
            <v>0</v>
          </cell>
          <cell r="AW538">
            <v>0</v>
          </cell>
          <cell r="AX538">
            <v>0</v>
          </cell>
          <cell r="AY538">
            <v>0</v>
          </cell>
          <cell r="AZ538">
            <v>0</v>
          </cell>
          <cell r="BA538">
            <v>0</v>
          </cell>
          <cell r="BB538">
            <v>0</v>
          </cell>
          <cell r="BC538">
            <v>0</v>
          </cell>
          <cell r="BD538">
            <v>0</v>
          </cell>
          <cell r="BE538">
            <v>0</v>
          </cell>
          <cell r="BF538">
            <v>0</v>
          </cell>
          <cell r="BG538">
            <v>192</v>
          </cell>
          <cell r="BH538">
            <v>0</v>
          </cell>
          <cell r="BI538">
            <v>0</v>
          </cell>
          <cell r="BJ538">
            <v>3</v>
          </cell>
          <cell r="BL538">
            <v>0</v>
          </cell>
          <cell r="BM538">
            <v>4</v>
          </cell>
          <cell r="BN538">
            <v>0</v>
          </cell>
          <cell r="BO538">
            <v>4</v>
          </cell>
          <cell r="BP538">
            <v>4</v>
          </cell>
          <cell r="BQ538">
            <v>2</v>
          </cell>
          <cell r="BR538">
            <v>0</v>
          </cell>
          <cell r="BS538">
            <v>0</v>
          </cell>
          <cell r="BT538">
            <v>0</v>
          </cell>
          <cell r="BU538">
            <v>0</v>
          </cell>
          <cell r="BV538">
            <v>4</v>
          </cell>
          <cell r="BW538">
            <v>0</v>
          </cell>
          <cell r="BX538">
            <v>0</v>
          </cell>
          <cell r="BY538">
            <v>0</v>
          </cell>
          <cell r="BZ538">
            <v>0</v>
          </cell>
          <cell r="CA538">
            <v>4</v>
          </cell>
          <cell r="CB538">
            <v>0</v>
          </cell>
          <cell r="CC538">
            <v>4</v>
          </cell>
          <cell r="CD538">
            <v>0</v>
          </cell>
          <cell r="CE538">
            <v>4</v>
          </cell>
          <cell r="CF538">
            <v>0</v>
          </cell>
          <cell r="CG538">
            <v>0</v>
          </cell>
          <cell r="CH538">
            <v>4</v>
          </cell>
          <cell r="CI538">
            <v>0</v>
          </cell>
          <cell r="CJ538">
            <v>4</v>
          </cell>
          <cell r="CK538">
            <v>0</v>
          </cell>
          <cell r="CL538">
            <v>0</v>
          </cell>
          <cell r="CM538">
            <v>0</v>
          </cell>
          <cell r="CR538">
            <v>0</v>
          </cell>
          <cell r="CS538">
            <v>0</v>
          </cell>
          <cell r="CT538">
            <v>38</v>
          </cell>
          <cell r="CU538">
            <v>0</v>
          </cell>
          <cell r="CV538">
            <v>0</v>
          </cell>
          <cell r="CZ538">
            <v>38</v>
          </cell>
        </row>
        <row r="539">
          <cell r="C539" t="str">
            <v>03613</v>
          </cell>
          <cell r="D539" t="str">
            <v>Võ Thị Ngọc Bế</v>
          </cell>
          <cell r="E539" t="str">
            <v>Production</v>
          </cell>
          <cell r="F539" t="str">
            <v>Molding</v>
          </cell>
          <cell r="G539" t="str">
            <v>Worker</v>
          </cell>
          <cell r="H539">
            <v>44788</v>
          </cell>
          <cell r="I539">
            <v>8</v>
          </cell>
          <cell r="J539" t="str">
            <v>CN</v>
          </cell>
          <cell r="K539" t="str">
            <v>Đ</v>
          </cell>
          <cell r="L539" t="str">
            <v>Đ</v>
          </cell>
          <cell r="M539" t="str">
            <v>Đ</v>
          </cell>
          <cell r="N539" t="str">
            <v>Đ</v>
          </cell>
          <cell r="O539" t="str">
            <v>Đ</v>
          </cell>
          <cell r="P539" t="str">
            <v>Đ</v>
          </cell>
          <cell r="Q539" t="str">
            <v>CN</v>
          </cell>
          <cell r="R539">
            <v>8</v>
          </cell>
          <cell r="S539">
            <v>8</v>
          </cell>
          <cell r="T539">
            <v>8</v>
          </cell>
          <cell r="U539" t="str">
            <v>AL8</v>
          </cell>
          <cell r="V539">
            <v>8</v>
          </cell>
          <cell r="W539">
            <v>8</v>
          </cell>
          <cell r="X539" t="str">
            <v>CN</v>
          </cell>
          <cell r="Y539" t="str">
            <v>Đ</v>
          </cell>
          <cell r="Z539" t="str">
            <v>Đ</v>
          </cell>
          <cell r="AA539" t="str">
            <v>Đ</v>
          </cell>
          <cell r="AB539" t="str">
            <v>Đ</v>
          </cell>
          <cell r="AC539" t="str">
            <v>Đ</v>
          </cell>
          <cell r="AD539" t="str">
            <v>Đ</v>
          </cell>
          <cell r="AE539" t="str">
            <v>CN</v>
          </cell>
          <cell r="AF539">
            <v>8</v>
          </cell>
          <cell r="AG539">
            <v>8</v>
          </cell>
          <cell r="AH539">
            <v>8</v>
          </cell>
          <cell r="AI539">
            <v>8</v>
          </cell>
          <cell r="AJ539">
            <v>8</v>
          </cell>
          <cell r="AN539">
            <v>96</v>
          </cell>
          <cell r="AO539">
            <v>88</v>
          </cell>
          <cell r="AP539">
            <v>0</v>
          </cell>
          <cell r="AQ539">
            <v>0</v>
          </cell>
          <cell r="AR539">
            <v>0</v>
          </cell>
          <cell r="AS539">
            <v>0</v>
          </cell>
          <cell r="AT539">
            <v>0</v>
          </cell>
          <cell r="AU539">
            <v>0</v>
          </cell>
          <cell r="AV539">
            <v>0</v>
          </cell>
          <cell r="AW539">
            <v>0</v>
          </cell>
          <cell r="AX539">
            <v>0</v>
          </cell>
          <cell r="AY539">
            <v>0</v>
          </cell>
          <cell r="AZ539">
            <v>0</v>
          </cell>
          <cell r="BA539">
            <v>8</v>
          </cell>
          <cell r="BB539">
            <v>0</v>
          </cell>
          <cell r="BC539">
            <v>0</v>
          </cell>
          <cell r="BD539">
            <v>0</v>
          </cell>
          <cell r="BE539">
            <v>0</v>
          </cell>
          <cell r="BF539">
            <v>0</v>
          </cell>
          <cell r="BG539">
            <v>192</v>
          </cell>
          <cell r="BH539">
            <v>1</v>
          </cell>
          <cell r="BI539">
            <v>1</v>
          </cell>
          <cell r="BJ539">
            <v>1</v>
          </cell>
          <cell r="BL539">
            <v>0</v>
          </cell>
          <cell r="BM539">
            <v>0</v>
          </cell>
          <cell r="BN539">
            <v>4</v>
          </cell>
          <cell r="BO539">
            <v>4</v>
          </cell>
          <cell r="BP539">
            <v>0</v>
          </cell>
          <cell r="BQ539">
            <v>0</v>
          </cell>
          <cell r="BR539">
            <v>0</v>
          </cell>
          <cell r="BS539">
            <v>0</v>
          </cell>
          <cell r="BT539">
            <v>0</v>
          </cell>
          <cell r="BU539">
            <v>3</v>
          </cell>
          <cell r="BV539">
            <v>4</v>
          </cell>
          <cell r="BW539">
            <v>0</v>
          </cell>
          <cell r="BX539">
            <v>0</v>
          </cell>
          <cell r="BY539">
            <v>0</v>
          </cell>
          <cell r="BZ539">
            <v>0</v>
          </cell>
          <cell r="CA539">
            <v>0</v>
          </cell>
          <cell r="CB539">
            <v>4</v>
          </cell>
          <cell r="CC539">
            <v>4</v>
          </cell>
          <cell r="CD539">
            <v>0</v>
          </cell>
          <cell r="CE539">
            <v>0</v>
          </cell>
          <cell r="CF539">
            <v>0</v>
          </cell>
          <cell r="CG539">
            <v>0</v>
          </cell>
          <cell r="CH539">
            <v>0</v>
          </cell>
          <cell r="CI539">
            <v>4</v>
          </cell>
          <cell r="CJ539">
            <v>4</v>
          </cell>
          <cell r="CK539">
            <v>0</v>
          </cell>
          <cell r="CL539">
            <v>0</v>
          </cell>
          <cell r="CM539">
            <v>0</v>
          </cell>
          <cell r="CR539">
            <v>0</v>
          </cell>
          <cell r="CS539">
            <v>0</v>
          </cell>
          <cell r="CT539">
            <v>31</v>
          </cell>
          <cell r="CU539">
            <v>0</v>
          </cell>
          <cell r="CV539">
            <v>0</v>
          </cell>
          <cell r="CZ539">
            <v>31</v>
          </cell>
        </row>
        <row r="540">
          <cell r="C540" t="str">
            <v>03615</v>
          </cell>
          <cell r="D540" t="str">
            <v>Nguyễn Thị Bích Trâm</v>
          </cell>
          <cell r="E540" t="str">
            <v>Production</v>
          </cell>
          <cell r="F540" t="str">
            <v>Molding</v>
          </cell>
          <cell r="G540" t="str">
            <v>Worker</v>
          </cell>
          <cell r="H540">
            <v>44788</v>
          </cell>
          <cell r="I540">
            <v>8</v>
          </cell>
          <cell r="J540" t="str">
            <v>CN</v>
          </cell>
          <cell r="K540" t="str">
            <v>Đ</v>
          </cell>
          <cell r="L540" t="str">
            <v>Đ</v>
          </cell>
          <cell r="M540" t="str">
            <v>Đ</v>
          </cell>
          <cell r="N540" t="str">
            <v>Đ</v>
          </cell>
          <cell r="O540" t="str">
            <v>Đ</v>
          </cell>
          <cell r="P540" t="str">
            <v>Đ</v>
          </cell>
          <cell r="Q540" t="str">
            <v>CN</v>
          </cell>
          <cell r="R540">
            <v>8</v>
          </cell>
          <cell r="S540">
            <v>8</v>
          </cell>
          <cell r="T540">
            <v>8</v>
          </cell>
          <cell r="U540">
            <v>8</v>
          </cell>
          <cell r="V540">
            <v>8</v>
          </cell>
          <cell r="W540">
            <v>8</v>
          </cell>
          <cell r="X540" t="str">
            <v>CN</v>
          </cell>
          <cell r="Y540" t="str">
            <v>Đ</v>
          </cell>
          <cell r="Z540" t="str">
            <v>Đ</v>
          </cell>
          <cell r="AA540" t="str">
            <v>Đ</v>
          </cell>
          <cell r="AB540" t="str">
            <v>Đ</v>
          </cell>
          <cell r="AC540" t="str">
            <v>Đ</v>
          </cell>
          <cell r="AD540" t="str">
            <v>Đ</v>
          </cell>
          <cell r="AE540" t="str">
            <v>CN</v>
          </cell>
          <cell r="AF540">
            <v>8</v>
          </cell>
          <cell r="AG540">
            <v>8</v>
          </cell>
          <cell r="AH540">
            <v>8</v>
          </cell>
          <cell r="AI540">
            <v>8</v>
          </cell>
          <cell r="AJ540">
            <v>8</v>
          </cell>
          <cell r="AN540">
            <v>96</v>
          </cell>
          <cell r="AO540">
            <v>96</v>
          </cell>
          <cell r="AP540">
            <v>0</v>
          </cell>
          <cell r="AQ540">
            <v>0</v>
          </cell>
          <cell r="AR540">
            <v>0</v>
          </cell>
          <cell r="AS540">
            <v>0</v>
          </cell>
          <cell r="AT540">
            <v>0</v>
          </cell>
          <cell r="AU540">
            <v>0</v>
          </cell>
          <cell r="AV540">
            <v>0</v>
          </cell>
          <cell r="AW540">
            <v>0</v>
          </cell>
          <cell r="AX540">
            <v>0</v>
          </cell>
          <cell r="AY540">
            <v>0</v>
          </cell>
          <cell r="AZ540">
            <v>0</v>
          </cell>
          <cell r="BA540">
            <v>0</v>
          </cell>
          <cell r="BB540">
            <v>0</v>
          </cell>
          <cell r="BC540">
            <v>0</v>
          </cell>
          <cell r="BD540">
            <v>0</v>
          </cell>
          <cell r="BE540">
            <v>0</v>
          </cell>
          <cell r="BF540">
            <v>0</v>
          </cell>
          <cell r="BG540">
            <v>192</v>
          </cell>
          <cell r="BH540">
            <v>0</v>
          </cell>
          <cell r="BI540">
            <v>0</v>
          </cell>
          <cell r="BJ540">
            <v>1</v>
          </cell>
          <cell r="BL540">
            <v>0</v>
          </cell>
          <cell r="BM540">
            <v>0</v>
          </cell>
          <cell r="BN540">
            <v>4</v>
          </cell>
          <cell r="BO540">
            <v>4</v>
          </cell>
          <cell r="BP540">
            <v>0</v>
          </cell>
          <cell r="BQ540">
            <v>0</v>
          </cell>
          <cell r="BR540">
            <v>0</v>
          </cell>
          <cell r="BS540">
            <v>0</v>
          </cell>
          <cell r="BT540">
            <v>0</v>
          </cell>
          <cell r="BU540">
            <v>4</v>
          </cell>
          <cell r="BV540">
            <v>4</v>
          </cell>
          <cell r="BW540">
            <v>0</v>
          </cell>
          <cell r="BX540">
            <v>0</v>
          </cell>
          <cell r="BY540">
            <v>0</v>
          </cell>
          <cell r="BZ540">
            <v>0</v>
          </cell>
          <cell r="CA540">
            <v>0</v>
          </cell>
          <cell r="CB540">
            <v>4</v>
          </cell>
          <cell r="CC540">
            <v>4</v>
          </cell>
          <cell r="CD540">
            <v>0</v>
          </cell>
          <cell r="CE540">
            <v>0</v>
          </cell>
          <cell r="CF540">
            <v>0</v>
          </cell>
          <cell r="CG540">
            <v>0</v>
          </cell>
          <cell r="CH540">
            <v>0</v>
          </cell>
          <cell r="CI540">
            <v>4</v>
          </cell>
          <cell r="CJ540">
            <v>4</v>
          </cell>
          <cell r="CK540">
            <v>0</v>
          </cell>
          <cell r="CL540">
            <v>0</v>
          </cell>
          <cell r="CM540">
            <v>0</v>
          </cell>
          <cell r="CR540">
            <v>0</v>
          </cell>
          <cell r="CS540">
            <v>0</v>
          </cell>
          <cell r="CT540">
            <v>32</v>
          </cell>
          <cell r="CU540">
            <v>0</v>
          </cell>
          <cell r="CV540">
            <v>0</v>
          </cell>
          <cell r="CZ540">
            <v>32</v>
          </cell>
        </row>
        <row r="541">
          <cell r="C541" t="str">
            <v>03619</v>
          </cell>
          <cell r="D541" t="str">
            <v>Nguyễn Chỉ Nam</v>
          </cell>
          <cell r="E541" t="str">
            <v>Production</v>
          </cell>
          <cell r="F541" t="str">
            <v>Molding</v>
          </cell>
          <cell r="G541" t="str">
            <v>Worker</v>
          </cell>
          <cell r="H541">
            <v>44788</v>
          </cell>
          <cell r="I541">
            <v>8</v>
          </cell>
          <cell r="J541">
            <v>8</v>
          </cell>
          <cell r="K541">
            <v>8</v>
          </cell>
          <cell r="L541" t="str">
            <v>CN</v>
          </cell>
          <cell r="M541">
            <v>8</v>
          </cell>
          <cell r="N541">
            <v>8</v>
          </cell>
          <cell r="O541">
            <v>8</v>
          </cell>
          <cell r="P541">
            <v>8</v>
          </cell>
          <cell r="Q541" t="str">
            <v>Đ</v>
          </cell>
          <cell r="R541" t="str">
            <v>Đ</v>
          </cell>
          <cell r="S541" t="str">
            <v>CN</v>
          </cell>
          <cell r="T541">
            <v>8</v>
          </cell>
          <cell r="U541">
            <v>8</v>
          </cell>
          <cell r="V541">
            <v>8</v>
          </cell>
          <cell r="W541">
            <v>8</v>
          </cell>
          <cell r="X541">
            <v>8</v>
          </cell>
          <cell r="Y541">
            <v>8</v>
          </cell>
          <cell r="Z541" t="str">
            <v>CN</v>
          </cell>
          <cell r="AA541">
            <v>8</v>
          </cell>
          <cell r="AB541">
            <v>8</v>
          </cell>
          <cell r="AC541">
            <v>8</v>
          </cell>
          <cell r="AD541">
            <v>8</v>
          </cell>
          <cell r="AE541" t="str">
            <v>Đ</v>
          </cell>
          <cell r="AF541" t="str">
            <v>Đ</v>
          </cell>
          <cell r="AG541" t="str">
            <v>CN</v>
          </cell>
          <cell r="AH541">
            <v>8</v>
          </cell>
          <cell r="AI541">
            <v>8</v>
          </cell>
          <cell r="AJ541">
            <v>8</v>
          </cell>
          <cell r="AN541">
            <v>32</v>
          </cell>
          <cell r="AO541">
            <v>160</v>
          </cell>
          <cell r="AP541">
            <v>0</v>
          </cell>
          <cell r="AQ541">
            <v>0</v>
          </cell>
          <cell r="AR541">
            <v>0</v>
          </cell>
          <cell r="AS541">
            <v>0</v>
          </cell>
          <cell r="AT541">
            <v>0</v>
          </cell>
          <cell r="AU541">
            <v>0</v>
          </cell>
          <cell r="AV541">
            <v>0</v>
          </cell>
          <cell r="AW541">
            <v>0</v>
          </cell>
          <cell r="AX541">
            <v>0</v>
          </cell>
          <cell r="AY541">
            <v>0</v>
          </cell>
          <cell r="AZ541">
            <v>0</v>
          </cell>
          <cell r="BA541">
            <v>0</v>
          </cell>
          <cell r="BB541">
            <v>0</v>
          </cell>
          <cell r="BC541">
            <v>0</v>
          </cell>
          <cell r="BD541">
            <v>0</v>
          </cell>
          <cell r="BE541">
            <v>0</v>
          </cell>
          <cell r="BF541">
            <v>0</v>
          </cell>
          <cell r="BG541">
            <v>192</v>
          </cell>
          <cell r="BH541">
            <v>0</v>
          </cell>
          <cell r="BI541">
            <v>0</v>
          </cell>
          <cell r="BJ541">
            <v>1</v>
          </cell>
          <cell r="BL541">
            <v>0</v>
          </cell>
          <cell r="BM541">
            <v>0</v>
          </cell>
          <cell r="BN541">
            <v>4</v>
          </cell>
          <cell r="BO541">
            <v>0</v>
          </cell>
          <cell r="BP541">
            <v>0</v>
          </cell>
          <cell r="BQ541">
            <v>0</v>
          </cell>
          <cell r="BR541">
            <v>0</v>
          </cell>
          <cell r="BS541">
            <v>0</v>
          </cell>
          <cell r="BT541">
            <v>4</v>
          </cell>
          <cell r="BU541">
            <v>3</v>
          </cell>
          <cell r="BV541">
            <v>0</v>
          </cell>
          <cell r="BW541">
            <v>0</v>
          </cell>
          <cell r="BX541">
            <v>0</v>
          </cell>
          <cell r="BY541">
            <v>0</v>
          </cell>
          <cell r="BZ541">
            <v>0</v>
          </cell>
          <cell r="CA541">
            <v>4</v>
          </cell>
          <cell r="CB541">
            <v>4</v>
          </cell>
          <cell r="CC541">
            <v>0</v>
          </cell>
          <cell r="CD541">
            <v>0</v>
          </cell>
          <cell r="CE541">
            <v>0</v>
          </cell>
          <cell r="CF541">
            <v>0</v>
          </cell>
          <cell r="CG541">
            <v>0</v>
          </cell>
          <cell r="CH541">
            <v>4</v>
          </cell>
          <cell r="CI541">
            <v>4</v>
          </cell>
          <cell r="CJ541">
            <v>0</v>
          </cell>
          <cell r="CK541">
            <v>0</v>
          </cell>
          <cell r="CL541">
            <v>0</v>
          </cell>
          <cell r="CM541">
            <v>0</v>
          </cell>
          <cell r="CR541">
            <v>0</v>
          </cell>
          <cell r="CS541">
            <v>0</v>
          </cell>
          <cell r="CT541">
            <v>27</v>
          </cell>
          <cell r="CU541">
            <v>0</v>
          </cell>
          <cell r="CV541">
            <v>0</v>
          </cell>
          <cell r="CZ541">
            <v>27</v>
          </cell>
        </row>
        <row r="542">
          <cell r="C542" t="str">
            <v>03620</v>
          </cell>
          <cell r="D542" t="str">
            <v>Nguyễn Thị Kim Ba</v>
          </cell>
          <cell r="E542" t="str">
            <v>Production</v>
          </cell>
          <cell r="F542" t="str">
            <v>Molding</v>
          </cell>
          <cell r="G542" t="str">
            <v>Worker</v>
          </cell>
          <cell r="H542">
            <v>44788</v>
          </cell>
          <cell r="I542">
            <v>8</v>
          </cell>
          <cell r="J542">
            <v>8</v>
          </cell>
          <cell r="K542">
            <v>8</v>
          </cell>
          <cell r="L542" t="str">
            <v>CN</v>
          </cell>
          <cell r="M542">
            <v>8</v>
          </cell>
          <cell r="N542">
            <v>8</v>
          </cell>
          <cell r="O542" t="str">
            <v>AL8</v>
          </cell>
          <cell r="P542">
            <v>8</v>
          </cell>
          <cell r="Q542" t="str">
            <v>Đ</v>
          </cell>
          <cell r="R542" t="str">
            <v>Đ</v>
          </cell>
          <cell r="S542" t="str">
            <v>CN</v>
          </cell>
          <cell r="T542">
            <v>8</v>
          </cell>
          <cell r="U542">
            <v>8</v>
          </cell>
          <cell r="V542">
            <v>8</v>
          </cell>
          <cell r="W542">
            <v>8</v>
          </cell>
          <cell r="X542">
            <v>8</v>
          </cell>
          <cell r="Y542">
            <v>8</v>
          </cell>
          <cell r="Z542" t="str">
            <v>CN</v>
          </cell>
          <cell r="AA542" t="str">
            <v>Đ</v>
          </cell>
          <cell r="AB542" t="str">
            <v>Đ</v>
          </cell>
          <cell r="AC542" t="str">
            <v>Đ</v>
          </cell>
          <cell r="AD542" t="str">
            <v>Đ</v>
          </cell>
          <cell r="AE542" t="str">
            <v>Đ</v>
          </cell>
          <cell r="AF542" t="str">
            <v>Đ</v>
          </cell>
          <cell r="AG542" t="str">
            <v>CN</v>
          </cell>
          <cell r="AH542">
            <v>8</v>
          </cell>
          <cell r="AI542">
            <v>8</v>
          </cell>
          <cell r="AJ542">
            <v>8</v>
          </cell>
          <cell r="AN542">
            <v>64</v>
          </cell>
          <cell r="AO542">
            <v>120</v>
          </cell>
          <cell r="AP542">
            <v>0</v>
          </cell>
          <cell r="AQ542">
            <v>0</v>
          </cell>
          <cell r="AR542">
            <v>0</v>
          </cell>
          <cell r="AS542">
            <v>0</v>
          </cell>
          <cell r="AT542">
            <v>0</v>
          </cell>
          <cell r="AU542">
            <v>0</v>
          </cell>
          <cell r="AV542">
            <v>0</v>
          </cell>
          <cell r="AW542">
            <v>0</v>
          </cell>
          <cell r="AX542">
            <v>0</v>
          </cell>
          <cell r="AY542">
            <v>0</v>
          </cell>
          <cell r="AZ542">
            <v>0</v>
          </cell>
          <cell r="BA542">
            <v>8</v>
          </cell>
          <cell r="BB542">
            <v>0</v>
          </cell>
          <cell r="BC542">
            <v>0</v>
          </cell>
          <cell r="BD542">
            <v>0</v>
          </cell>
          <cell r="BE542">
            <v>0</v>
          </cell>
          <cell r="BF542">
            <v>0</v>
          </cell>
          <cell r="BG542">
            <v>192</v>
          </cell>
          <cell r="BH542">
            <v>1</v>
          </cell>
          <cell r="BI542">
            <v>1</v>
          </cell>
          <cell r="BJ542">
            <v>0.5</v>
          </cell>
          <cell r="BL542">
            <v>1.5</v>
          </cell>
          <cell r="BM542">
            <v>3</v>
          </cell>
          <cell r="BN542">
            <v>3</v>
          </cell>
          <cell r="BO542">
            <v>0</v>
          </cell>
          <cell r="BP542">
            <v>0</v>
          </cell>
          <cell r="BQ542">
            <v>0</v>
          </cell>
          <cell r="BR542">
            <v>0</v>
          </cell>
          <cell r="BS542">
            <v>0</v>
          </cell>
          <cell r="BT542">
            <v>3</v>
          </cell>
          <cell r="BU542">
            <v>4</v>
          </cell>
          <cell r="BV542">
            <v>0</v>
          </cell>
          <cell r="BW542">
            <v>0</v>
          </cell>
          <cell r="BX542">
            <v>0</v>
          </cell>
          <cell r="BY542">
            <v>0</v>
          </cell>
          <cell r="BZ542">
            <v>0</v>
          </cell>
          <cell r="CA542">
            <v>4</v>
          </cell>
          <cell r="CB542">
            <v>4</v>
          </cell>
          <cell r="CC542">
            <v>0</v>
          </cell>
          <cell r="CD542">
            <v>4</v>
          </cell>
          <cell r="CE542">
            <v>0</v>
          </cell>
          <cell r="CF542">
            <v>0</v>
          </cell>
          <cell r="CG542">
            <v>4</v>
          </cell>
          <cell r="CH542">
            <v>0</v>
          </cell>
          <cell r="CI542">
            <v>4</v>
          </cell>
          <cell r="CJ542">
            <v>0</v>
          </cell>
          <cell r="CK542">
            <v>3</v>
          </cell>
          <cell r="CL542">
            <v>3</v>
          </cell>
          <cell r="CM542">
            <v>0</v>
          </cell>
          <cell r="CR542">
            <v>0</v>
          </cell>
          <cell r="CS542">
            <v>0</v>
          </cell>
          <cell r="CT542">
            <v>40.5</v>
          </cell>
          <cell r="CU542">
            <v>0</v>
          </cell>
          <cell r="CV542">
            <v>0</v>
          </cell>
          <cell r="CZ542">
            <v>40.5</v>
          </cell>
        </row>
        <row r="543">
          <cell r="C543" t="str">
            <v>03626</v>
          </cell>
          <cell r="D543" t="str">
            <v>Nguyễn Thị Xuân</v>
          </cell>
          <cell r="E543" t="str">
            <v>Production</v>
          </cell>
          <cell r="F543" t="str">
            <v>Logo</v>
          </cell>
          <cell r="G543" t="str">
            <v>Worker</v>
          </cell>
          <cell r="H543">
            <v>44795</v>
          </cell>
          <cell r="I543" t="str">
            <v>Đ</v>
          </cell>
          <cell r="J543" t="str">
            <v>Đ</v>
          </cell>
          <cell r="K543" t="str">
            <v>Đ</v>
          </cell>
          <cell r="L543" t="str">
            <v>CN</v>
          </cell>
          <cell r="M543">
            <v>8</v>
          </cell>
          <cell r="N543" t="str">
            <v>SL</v>
          </cell>
          <cell r="O543">
            <v>8</v>
          </cell>
          <cell r="P543">
            <v>8</v>
          </cell>
          <cell r="Q543">
            <v>8</v>
          </cell>
          <cell r="R543">
            <v>8</v>
          </cell>
          <cell r="S543" t="str">
            <v>CN</v>
          </cell>
          <cell r="T543" t="str">
            <v>Đ</v>
          </cell>
          <cell r="U543" t="str">
            <v>Đ</v>
          </cell>
          <cell r="V543" t="str">
            <v>Đ</v>
          </cell>
          <cell r="W543" t="str">
            <v>Đ</v>
          </cell>
          <cell r="X543" t="str">
            <v>Đ</v>
          </cell>
          <cell r="Y543" t="str">
            <v>Đ</v>
          </cell>
          <cell r="Z543" t="str">
            <v>CN</v>
          </cell>
          <cell r="AA543">
            <v>8</v>
          </cell>
          <cell r="AB543">
            <v>8</v>
          </cell>
          <cell r="AC543">
            <v>8</v>
          </cell>
          <cell r="AD543">
            <v>8</v>
          </cell>
          <cell r="AE543">
            <v>8</v>
          </cell>
          <cell r="AF543">
            <v>8</v>
          </cell>
          <cell r="AG543" t="str">
            <v>CN</v>
          </cell>
          <cell r="AH543" t="str">
            <v>Đ</v>
          </cell>
          <cell r="AI543" t="str">
            <v>Đ</v>
          </cell>
          <cell r="AJ543" t="str">
            <v>Đ</v>
          </cell>
          <cell r="AN543">
            <v>96</v>
          </cell>
          <cell r="AO543">
            <v>88</v>
          </cell>
          <cell r="AP543">
            <v>0</v>
          </cell>
          <cell r="AQ543">
            <v>1</v>
          </cell>
          <cell r="AR543">
            <v>0</v>
          </cell>
          <cell r="AS543">
            <v>0</v>
          </cell>
          <cell r="AT543">
            <v>0</v>
          </cell>
          <cell r="AU543">
            <v>0</v>
          </cell>
          <cell r="AV543">
            <v>0</v>
          </cell>
          <cell r="AW543">
            <v>0</v>
          </cell>
          <cell r="AX543">
            <v>0</v>
          </cell>
          <cell r="AY543">
            <v>0</v>
          </cell>
          <cell r="AZ543">
            <v>0</v>
          </cell>
          <cell r="BA543">
            <v>0</v>
          </cell>
          <cell r="BB543">
            <v>0</v>
          </cell>
          <cell r="BC543">
            <v>0</v>
          </cell>
          <cell r="BD543">
            <v>0</v>
          </cell>
          <cell r="BE543">
            <v>0</v>
          </cell>
          <cell r="BF543">
            <v>0</v>
          </cell>
          <cell r="BG543">
            <v>184</v>
          </cell>
          <cell r="BH543">
            <v>0</v>
          </cell>
          <cell r="BI543">
            <v>0</v>
          </cell>
          <cell r="BJ543">
            <v>1</v>
          </cell>
          <cell r="BL543">
            <v>1.5</v>
          </cell>
          <cell r="BM543">
            <v>1.5</v>
          </cell>
          <cell r="BN543">
            <v>1.5</v>
          </cell>
          <cell r="BO543">
            <v>0</v>
          </cell>
          <cell r="BP543">
            <v>1.5</v>
          </cell>
          <cell r="BQ543">
            <v>0</v>
          </cell>
          <cell r="BR543">
            <v>0</v>
          </cell>
          <cell r="BS543">
            <v>0</v>
          </cell>
          <cell r="BT543">
            <v>0</v>
          </cell>
          <cell r="BU543">
            <v>3</v>
          </cell>
          <cell r="BV543">
            <v>0</v>
          </cell>
          <cell r="BW543">
            <v>4</v>
          </cell>
          <cell r="BX543">
            <v>4</v>
          </cell>
          <cell r="BY543">
            <v>4</v>
          </cell>
          <cell r="BZ543">
            <v>4</v>
          </cell>
          <cell r="CA543">
            <v>4</v>
          </cell>
          <cell r="CB543">
            <v>4</v>
          </cell>
          <cell r="CC543">
            <v>0</v>
          </cell>
          <cell r="CD543">
            <v>3</v>
          </cell>
          <cell r="CE543">
            <v>3</v>
          </cell>
          <cell r="CF543">
            <v>3</v>
          </cell>
          <cell r="CG543">
            <v>3</v>
          </cell>
          <cell r="CH543">
            <v>3</v>
          </cell>
          <cell r="CI543">
            <v>3</v>
          </cell>
          <cell r="CJ543">
            <v>8</v>
          </cell>
          <cell r="CK543">
            <v>4</v>
          </cell>
          <cell r="CL543">
            <v>4</v>
          </cell>
          <cell r="CM543">
            <v>4</v>
          </cell>
          <cell r="CR543">
            <v>0</v>
          </cell>
          <cell r="CS543">
            <v>0</v>
          </cell>
          <cell r="CT543">
            <v>63</v>
          </cell>
          <cell r="CU543">
            <v>8</v>
          </cell>
          <cell r="CV543">
            <v>0</v>
          </cell>
          <cell r="CZ543">
            <v>71</v>
          </cell>
        </row>
        <row r="544">
          <cell r="C544" t="str">
            <v>03630</v>
          </cell>
          <cell r="D544" t="str">
            <v>Nguyễn Thị Kim Ngân</v>
          </cell>
          <cell r="E544" t="str">
            <v>Production</v>
          </cell>
          <cell r="F544" t="str">
            <v>Packing</v>
          </cell>
          <cell r="G544" t="str">
            <v>Worker</v>
          </cell>
          <cell r="H544">
            <v>44795</v>
          </cell>
          <cell r="I544" t="str">
            <v>M</v>
          </cell>
          <cell r="J544">
            <v>8</v>
          </cell>
          <cell r="K544">
            <v>8</v>
          </cell>
          <cell r="L544" t="str">
            <v>CN</v>
          </cell>
          <cell r="M544">
            <v>8</v>
          </cell>
          <cell r="N544">
            <v>8</v>
          </cell>
          <cell r="O544">
            <v>8</v>
          </cell>
          <cell r="P544" t="str">
            <v>TS</v>
          </cell>
          <cell r="Q544" t="str">
            <v>TS</v>
          </cell>
          <cell r="R544" t="str">
            <v>TS</v>
          </cell>
          <cell r="S544" t="str">
            <v>CN</v>
          </cell>
          <cell r="T544" t="str">
            <v>TS</v>
          </cell>
          <cell r="U544" t="str">
            <v>TS</v>
          </cell>
          <cell r="V544" t="str">
            <v>TS</v>
          </cell>
          <cell r="W544" t="str">
            <v>TS</v>
          </cell>
          <cell r="X544" t="str">
            <v>TS</v>
          </cell>
          <cell r="Y544" t="str">
            <v>TS</v>
          </cell>
          <cell r="Z544" t="str">
            <v>TS</v>
          </cell>
          <cell r="AA544" t="str">
            <v>TS</v>
          </cell>
          <cell r="AB544" t="str">
            <v>TS</v>
          </cell>
          <cell r="AC544" t="str">
            <v>TS</v>
          </cell>
          <cell r="AD544" t="str">
            <v>TS</v>
          </cell>
          <cell r="AE544" t="str">
            <v>TS</v>
          </cell>
          <cell r="AF544" t="str">
            <v>TS</v>
          </cell>
          <cell r="AG544" t="str">
            <v>TS</v>
          </cell>
          <cell r="AH544" t="str">
            <v>TS</v>
          </cell>
          <cell r="AI544" t="str">
            <v>TS</v>
          </cell>
          <cell r="AJ544" t="str">
            <v>TS</v>
          </cell>
          <cell r="AN544">
            <v>0</v>
          </cell>
          <cell r="AO544">
            <v>40</v>
          </cell>
          <cell r="AP544">
            <v>0</v>
          </cell>
          <cell r="AQ544">
            <v>0</v>
          </cell>
          <cell r="AR544">
            <v>0</v>
          </cell>
          <cell r="AS544">
            <v>0</v>
          </cell>
          <cell r="AT544">
            <v>0</v>
          </cell>
          <cell r="AU544">
            <v>0</v>
          </cell>
          <cell r="AV544">
            <v>0</v>
          </cell>
          <cell r="AW544">
            <v>0</v>
          </cell>
          <cell r="AX544">
            <v>8</v>
          </cell>
          <cell r="AY544">
            <v>0</v>
          </cell>
          <cell r="AZ544">
            <v>0</v>
          </cell>
          <cell r="BA544">
            <v>0</v>
          </cell>
          <cell r="BB544">
            <v>0</v>
          </cell>
          <cell r="BC544">
            <v>0</v>
          </cell>
          <cell r="BD544">
            <v>0</v>
          </cell>
          <cell r="BE544">
            <v>0</v>
          </cell>
          <cell r="BF544">
            <v>0</v>
          </cell>
          <cell r="BG544">
            <v>40</v>
          </cell>
          <cell r="BH544">
            <v>0</v>
          </cell>
          <cell r="BI544">
            <v>0</v>
          </cell>
          <cell r="BJ544">
            <v>-0.5</v>
          </cell>
          <cell r="BL544">
            <v>0</v>
          </cell>
          <cell r="BM544">
            <v>0</v>
          </cell>
          <cell r="BN544">
            <v>0</v>
          </cell>
          <cell r="BO544">
            <v>0</v>
          </cell>
          <cell r="BP544">
            <v>0</v>
          </cell>
          <cell r="BQ544">
            <v>0</v>
          </cell>
          <cell r="BR544">
            <v>0</v>
          </cell>
          <cell r="BS544">
            <v>0</v>
          </cell>
          <cell r="BT544">
            <v>0</v>
          </cell>
          <cell r="BU544">
            <v>0</v>
          </cell>
          <cell r="BV544">
            <v>0</v>
          </cell>
          <cell r="BW544">
            <v>0</v>
          </cell>
          <cell r="BX544">
            <v>0</v>
          </cell>
          <cell r="BY544">
            <v>0</v>
          </cell>
          <cell r="BZ544">
            <v>0</v>
          </cell>
          <cell r="CA544">
            <v>0</v>
          </cell>
          <cell r="CB544">
            <v>0</v>
          </cell>
          <cell r="CC544">
            <v>0</v>
          </cell>
          <cell r="CD544">
            <v>0</v>
          </cell>
          <cell r="CE544">
            <v>0</v>
          </cell>
          <cell r="CF544">
            <v>0</v>
          </cell>
          <cell r="CG544">
            <v>0</v>
          </cell>
          <cell r="CH544">
            <v>0</v>
          </cell>
          <cell r="CI544">
            <v>0</v>
          </cell>
          <cell r="CJ544">
            <v>0</v>
          </cell>
          <cell r="CK544">
            <v>0</v>
          </cell>
          <cell r="CL544">
            <v>0</v>
          </cell>
          <cell r="CM544">
            <v>0</v>
          </cell>
          <cell r="CR544">
            <v>0</v>
          </cell>
          <cell r="CS544">
            <v>0</v>
          </cell>
          <cell r="CT544">
            <v>0</v>
          </cell>
          <cell r="CU544">
            <v>0</v>
          </cell>
          <cell r="CV544">
            <v>0</v>
          </cell>
          <cell r="CZ544">
            <v>0</v>
          </cell>
        </row>
        <row r="545">
          <cell r="C545" t="str">
            <v>03632</v>
          </cell>
          <cell r="D545" t="str">
            <v>Huỳnh Văn Hậu Anh</v>
          </cell>
          <cell r="E545" t="str">
            <v>Production</v>
          </cell>
          <cell r="F545" t="str">
            <v>Lamination</v>
          </cell>
          <cell r="G545" t="str">
            <v>Worker</v>
          </cell>
          <cell r="H545">
            <v>44795</v>
          </cell>
          <cell r="I545">
            <v>8</v>
          </cell>
          <cell r="J545" t="str">
            <v>CN</v>
          </cell>
          <cell r="K545">
            <v>8</v>
          </cell>
          <cell r="L545" t="str">
            <v>Đ</v>
          </cell>
          <cell r="M545" t="str">
            <v>Đ</v>
          </cell>
          <cell r="N545" t="str">
            <v>Đ</v>
          </cell>
          <cell r="O545" t="str">
            <v>Đ</v>
          </cell>
          <cell r="P545" t="str">
            <v>Đ</v>
          </cell>
          <cell r="Q545" t="str">
            <v>CN</v>
          </cell>
          <cell r="R545">
            <v>8</v>
          </cell>
          <cell r="S545">
            <v>8</v>
          </cell>
          <cell r="T545">
            <v>8</v>
          </cell>
          <cell r="U545">
            <v>8</v>
          </cell>
          <cell r="V545">
            <v>8</v>
          </cell>
          <cell r="W545">
            <v>8</v>
          </cell>
          <cell r="X545" t="str">
            <v>CN</v>
          </cell>
          <cell r="Y545">
            <v>8</v>
          </cell>
          <cell r="Z545" t="str">
            <v>Đ</v>
          </cell>
          <cell r="AA545" t="str">
            <v>Đ</v>
          </cell>
          <cell r="AB545" t="str">
            <v>Đ</v>
          </cell>
          <cell r="AC545" t="str">
            <v>Đ</v>
          </cell>
          <cell r="AD545" t="str">
            <v>Đ</v>
          </cell>
          <cell r="AE545" t="str">
            <v>CN</v>
          </cell>
          <cell r="AF545">
            <v>8</v>
          </cell>
          <cell r="AG545" t="str">
            <v>Đ</v>
          </cell>
          <cell r="AH545" t="str">
            <v>Đ</v>
          </cell>
          <cell r="AI545" t="str">
            <v>Đ</v>
          </cell>
          <cell r="AJ545" t="str">
            <v>Đ</v>
          </cell>
          <cell r="AN545">
            <v>112</v>
          </cell>
          <cell r="AO545">
            <v>80</v>
          </cell>
          <cell r="AP545">
            <v>0</v>
          </cell>
          <cell r="AQ545">
            <v>0</v>
          </cell>
          <cell r="AR545">
            <v>0</v>
          </cell>
          <cell r="AS545">
            <v>0</v>
          </cell>
          <cell r="AT545">
            <v>0</v>
          </cell>
          <cell r="AU545">
            <v>0</v>
          </cell>
          <cell r="AV545">
            <v>0</v>
          </cell>
          <cell r="AW545">
            <v>0</v>
          </cell>
          <cell r="AX545">
            <v>0</v>
          </cell>
          <cell r="AY545">
            <v>0</v>
          </cell>
          <cell r="AZ545">
            <v>0</v>
          </cell>
          <cell r="BA545">
            <v>0</v>
          </cell>
          <cell r="BB545">
            <v>0</v>
          </cell>
          <cell r="BC545">
            <v>0</v>
          </cell>
          <cell r="BD545">
            <v>0</v>
          </cell>
          <cell r="BE545">
            <v>0</v>
          </cell>
          <cell r="BF545">
            <v>0</v>
          </cell>
          <cell r="BG545">
            <v>192</v>
          </cell>
          <cell r="BH545">
            <v>0</v>
          </cell>
          <cell r="BI545">
            <v>0</v>
          </cell>
          <cell r="BJ545">
            <v>2.5</v>
          </cell>
          <cell r="BL545">
            <v>0</v>
          </cell>
          <cell r="BM545">
            <v>0</v>
          </cell>
          <cell r="BN545">
            <v>4</v>
          </cell>
          <cell r="BO545">
            <v>4</v>
          </cell>
          <cell r="BP545">
            <v>0</v>
          </cell>
          <cell r="BQ545">
            <v>0</v>
          </cell>
          <cell r="BR545">
            <v>0</v>
          </cell>
          <cell r="BS545">
            <v>4</v>
          </cell>
          <cell r="BT545">
            <v>0</v>
          </cell>
          <cell r="BU545">
            <v>4</v>
          </cell>
          <cell r="BV545">
            <v>4</v>
          </cell>
          <cell r="BW545">
            <v>0</v>
          </cell>
          <cell r="BX545">
            <v>0</v>
          </cell>
          <cell r="BY545">
            <v>0</v>
          </cell>
          <cell r="BZ545">
            <v>0</v>
          </cell>
          <cell r="CA545">
            <v>0</v>
          </cell>
          <cell r="CB545">
            <v>4</v>
          </cell>
          <cell r="CC545">
            <v>4</v>
          </cell>
          <cell r="CD545">
            <v>0</v>
          </cell>
          <cell r="CE545">
            <v>0</v>
          </cell>
          <cell r="CF545">
            <v>0</v>
          </cell>
          <cell r="CG545">
            <v>4</v>
          </cell>
          <cell r="CH545">
            <v>0</v>
          </cell>
          <cell r="CI545">
            <v>4</v>
          </cell>
          <cell r="CJ545">
            <v>4</v>
          </cell>
          <cell r="CK545">
            <v>0</v>
          </cell>
          <cell r="CL545">
            <v>0</v>
          </cell>
          <cell r="CM545">
            <v>0</v>
          </cell>
          <cell r="CR545">
            <v>0</v>
          </cell>
          <cell r="CS545">
            <v>0</v>
          </cell>
          <cell r="CT545">
            <v>40</v>
          </cell>
          <cell r="CU545">
            <v>0</v>
          </cell>
          <cell r="CV545">
            <v>0</v>
          </cell>
          <cell r="CZ545">
            <v>40</v>
          </cell>
        </row>
        <row r="546">
          <cell r="C546" t="str">
            <v>03633</v>
          </cell>
          <cell r="D546" t="str">
            <v>Nguyễn Quốc Thái</v>
          </cell>
          <cell r="E546" t="str">
            <v>Production</v>
          </cell>
          <cell r="F546" t="str">
            <v>Lamination</v>
          </cell>
          <cell r="G546" t="str">
            <v>Worker</v>
          </cell>
          <cell r="H546">
            <v>44795</v>
          </cell>
          <cell r="I546" t="str">
            <v>Đ</v>
          </cell>
          <cell r="J546" t="str">
            <v>Đ</v>
          </cell>
          <cell r="K546" t="str">
            <v>CN</v>
          </cell>
          <cell r="L546">
            <v>8</v>
          </cell>
          <cell r="M546">
            <v>8</v>
          </cell>
          <cell r="N546">
            <v>8</v>
          </cell>
          <cell r="O546">
            <v>8</v>
          </cell>
          <cell r="P546">
            <v>8</v>
          </cell>
          <cell r="Q546" t="str">
            <v>AL4</v>
          </cell>
          <cell r="R546" t="str">
            <v>CN</v>
          </cell>
          <cell r="S546" t="str">
            <v>Đ</v>
          </cell>
          <cell r="T546" t="str">
            <v>Đ</v>
          </cell>
          <cell r="U546" t="str">
            <v>Đ</v>
          </cell>
          <cell r="V546" t="str">
            <v>Đ</v>
          </cell>
          <cell r="W546" t="str">
            <v>Đ</v>
          </cell>
          <cell r="X546" t="str">
            <v>Đ</v>
          </cell>
          <cell r="Y546" t="str">
            <v>CN</v>
          </cell>
          <cell r="Z546">
            <v>8</v>
          </cell>
          <cell r="AA546">
            <v>8</v>
          </cell>
          <cell r="AB546">
            <v>8</v>
          </cell>
          <cell r="AC546">
            <v>8</v>
          </cell>
          <cell r="AD546">
            <v>8</v>
          </cell>
          <cell r="AE546">
            <v>8</v>
          </cell>
          <cell r="AF546" t="str">
            <v>CN</v>
          </cell>
          <cell r="AG546" t="str">
            <v>AL4</v>
          </cell>
          <cell r="AH546">
            <v>8</v>
          </cell>
          <cell r="AI546">
            <v>8</v>
          </cell>
          <cell r="AJ546">
            <v>8</v>
          </cell>
          <cell r="AN546">
            <v>64</v>
          </cell>
          <cell r="AO546">
            <v>120</v>
          </cell>
          <cell r="AP546">
            <v>8</v>
          </cell>
          <cell r="AQ546">
            <v>0</v>
          </cell>
          <cell r="AR546">
            <v>0</v>
          </cell>
          <cell r="AS546">
            <v>0</v>
          </cell>
          <cell r="AT546">
            <v>0</v>
          </cell>
          <cell r="AU546">
            <v>0</v>
          </cell>
          <cell r="AV546">
            <v>0</v>
          </cell>
          <cell r="AW546">
            <v>0</v>
          </cell>
          <cell r="AX546">
            <v>0</v>
          </cell>
          <cell r="AY546">
            <v>0</v>
          </cell>
          <cell r="AZ546">
            <v>0</v>
          </cell>
          <cell r="BA546">
            <v>8</v>
          </cell>
          <cell r="BB546">
            <v>0</v>
          </cell>
          <cell r="BC546">
            <v>0</v>
          </cell>
          <cell r="BD546">
            <v>0</v>
          </cell>
          <cell r="BE546">
            <v>0</v>
          </cell>
          <cell r="BF546">
            <v>0</v>
          </cell>
          <cell r="BG546">
            <v>192</v>
          </cell>
          <cell r="BH546">
            <v>1</v>
          </cell>
          <cell r="BI546">
            <v>1</v>
          </cell>
          <cell r="BJ546">
            <v>0</v>
          </cell>
          <cell r="BL546">
            <v>0</v>
          </cell>
          <cell r="BM546">
            <v>4</v>
          </cell>
          <cell r="BN546">
            <v>0</v>
          </cell>
          <cell r="BO546">
            <v>4</v>
          </cell>
          <cell r="BP546">
            <v>0</v>
          </cell>
          <cell r="BQ546">
            <v>0</v>
          </cell>
          <cell r="BR546">
            <v>0</v>
          </cell>
          <cell r="BS546">
            <v>0</v>
          </cell>
          <cell r="BT546">
            <v>4</v>
          </cell>
          <cell r="BU546">
            <v>0</v>
          </cell>
          <cell r="BV546">
            <v>4</v>
          </cell>
          <cell r="BW546">
            <v>0</v>
          </cell>
          <cell r="BX546">
            <v>0</v>
          </cell>
          <cell r="BY546">
            <v>0</v>
          </cell>
          <cell r="BZ546">
            <v>4</v>
          </cell>
          <cell r="CA546">
            <v>4</v>
          </cell>
          <cell r="CB546">
            <v>0</v>
          </cell>
          <cell r="CC546">
            <v>4</v>
          </cell>
          <cell r="CD546">
            <v>0</v>
          </cell>
          <cell r="CE546">
            <v>0</v>
          </cell>
          <cell r="CF546">
            <v>0</v>
          </cell>
          <cell r="CG546">
            <v>4</v>
          </cell>
          <cell r="CH546">
            <v>4</v>
          </cell>
          <cell r="CI546">
            <v>0</v>
          </cell>
          <cell r="CJ546">
            <v>4</v>
          </cell>
          <cell r="CK546">
            <v>0</v>
          </cell>
          <cell r="CL546">
            <v>0</v>
          </cell>
          <cell r="CM546">
            <v>4</v>
          </cell>
          <cell r="CR546">
            <v>0</v>
          </cell>
          <cell r="CS546">
            <v>0</v>
          </cell>
          <cell r="CT546">
            <v>44</v>
          </cell>
          <cell r="CU546">
            <v>0</v>
          </cell>
          <cell r="CV546">
            <v>0</v>
          </cell>
          <cell r="CZ546">
            <v>44</v>
          </cell>
        </row>
        <row r="547">
          <cell r="C547" t="str">
            <v>03639</v>
          </cell>
          <cell r="D547" t="str">
            <v>Sầm Thị Mỹ Kim Đoan</v>
          </cell>
          <cell r="E547" t="str">
            <v>Production</v>
          </cell>
          <cell r="F547" t="str">
            <v>Prefitting</v>
          </cell>
          <cell r="G547" t="str">
            <v>Worker</v>
          </cell>
          <cell r="H547">
            <v>44809</v>
          </cell>
          <cell r="I547">
            <v>8</v>
          </cell>
          <cell r="J547">
            <v>8</v>
          </cell>
          <cell r="K547" t="str">
            <v>CN</v>
          </cell>
          <cell r="L547" t="str">
            <v>Đ</v>
          </cell>
          <cell r="M547" t="str">
            <v>Đ</v>
          </cell>
          <cell r="N547" t="str">
            <v>Đ</v>
          </cell>
          <cell r="O547" t="str">
            <v>Đ</v>
          </cell>
          <cell r="P547" t="str">
            <v>Đ</v>
          </cell>
          <cell r="Q547" t="str">
            <v>Đ</v>
          </cell>
          <cell r="R547" t="str">
            <v>CN</v>
          </cell>
          <cell r="S547">
            <v>8</v>
          </cell>
          <cell r="T547">
            <v>8</v>
          </cell>
          <cell r="U547">
            <v>8</v>
          </cell>
          <cell r="V547">
            <v>8</v>
          </cell>
          <cell r="W547">
            <v>8</v>
          </cell>
          <cell r="X547">
            <v>8</v>
          </cell>
          <cell r="Y547" t="str">
            <v>CN</v>
          </cell>
          <cell r="Z547" t="str">
            <v>Đ</v>
          </cell>
          <cell r="AA547" t="str">
            <v>Đ</v>
          </cell>
          <cell r="AB547" t="str">
            <v>Đ</v>
          </cell>
          <cell r="AC547" t="str">
            <v>Đ</v>
          </cell>
          <cell r="AD547" t="str">
            <v>Đ</v>
          </cell>
          <cell r="AE547" t="str">
            <v>Đ</v>
          </cell>
          <cell r="AF547" t="str">
            <v>CN</v>
          </cell>
          <cell r="AG547">
            <v>8</v>
          </cell>
          <cell r="AH547">
            <v>8</v>
          </cell>
          <cell r="AI547">
            <v>8</v>
          </cell>
          <cell r="AJ547">
            <v>8</v>
          </cell>
          <cell r="AN547">
            <v>96</v>
          </cell>
          <cell r="AO547">
            <v>96</v>
          </cell>
          <cell r="AP547">
            <v>0</v>
          </cell>
          <cell r="AQ547">
            <v>0</v>
          </cell>
          <cell r="AR547">
            <v>0</v>
          </cell>
          <cell r="AS547">
            <v>0</v>
          </cell>
          <cell r="AT547">
            <v>0</v>
          </cell>
          <cell r="AU547">
            <v>0</v>
          </cell>
          <cell r="AV547">
            <v>0</v>
          </cell>
          <cell r="AW547">
            <v>0</v>
          </cell>
          <cell r="AX547">
            <v>0</v>
          </cell>
          <cell r="AY547">
            <v>0</v>
          </cell>
          <cell r="AZ547">
            <v>0</v>
          </cell>
          <cell r="BA547">
            <v>0</v>
          </cell>
          <cell r="BB547">
            <v>0</v>
          </cell>
          <cell r="BC547">
            <v>0</v>
          </cell>
          <cell r="BD547">
            <v>0</v>
          </cell>
          <cell r="BE547">
            <v>0</v>
          </cell>
          <cell r="BF547">
            <v>0</v>
          </cell>
          <cell r="BG547">
            <v>192</v>
          </cell>
          <cell r="BH547">
            <v>0</v>
          </cell>
          <cell r="BI547">
            <v>0</v>
          </cell>
          <cell r="BJ547">
            <v>7</v>
          </cell>
          <cell r="BL547">
            <v>0</v>
          </cell>
          <cell r="BM547">
            <v>4</v>
          </cell>
          <cell r="BN547">
            <v>0</v>
          </cell>
          <cell r="BO547">
            <v>4</v>
          </cell>
          <cell r="BP547">
            <v>0</v>
          </cell>
          <cell r="BQ547">
            <v>0</v>
          </cell>
          <cell r="BR547">
            <v>0</v>
          </cell>
          <cell r="BS547">
            <v>0</v>
          </cell>
          <cell r="BT547">
            <v>4</v>
          </cell>
          <cell r="BU547">
            <v>0</v>
          </cell>
          <cell r="BV547">
            <v>4</v>
          </cell>
          <cell r="BW547">
            <v>0</v>
          </cell>
          <cell r="BX547">
            <v>0</v>
          </cell>
          <cell r="BY547">
            <v>0</v>
          </cell>
          <cell r="BZ547">
            <v>0</v>
          </cell>
          <cell r="CA547">
            <v>4</v>
          </cell>
          <cell r="CB547">
            <v>0</v>
          </cell>
          <cell r="CC547">
            <v>4</v>
          </cell>
          <cell r="CD547">
            <v>0</v>
          </cell>
          <cell r="CE547">
            <v>0</v>
          </cell>
          <cell r="CF547">
            <v>0</v>
          </cell>
          <cell r="CG547">
            <v>0</v>
          </cell>
          <cell r="CH547">
            <v>4</v>
          </cell>
          <cell r="CI547">
            <v>0</v>
          </cell>
          <cell r="CJ547">
            <v>4</v>
          </cell>
          <cell r="CK547">
            <v>0</v>
          </cell>
          <cell r="CL547">
            <v>4</v>
          </cell>
          <cell r="CM547">
            <v>0</v>
          </cell>
          <cell r="CR547">
            <v>0</v>
          </cell>
          <cell r="CS547">
            <v>0</v>
          </cell>
          <cell r="CT547">
            <v>36</v>
          </cell>
          <cell r="CU547">
            <v>0</v>
          </cell>
          <cell r="CV547">
            <v>0</v>
          </cell>
          <cell r="CZ547">
            <v>36</v>
          </cell>
        </row>
        <row r="548">
          <cell r="C548" t="str">
            <v>03650</v>
          </cell>
          <cell r="D548" t="str">
            <v>Nguyễn Thị Thắm</v>
          </cell>
          <cell r="E548" t="str">
            <v>Technical Development</v>
          </cell>
          <cell r="F548" t="str">
            <v>PD Sample</v>
          </cell>
          <cell r="G548" t="str">
            <v>Worker</v>
          </cell>
          <cell r="H548">
            <v>44809</v>
          </cell>
          <cell r="I548">
            <v>8</v>
          </cell>
          <cell r="J548">
            <v>8</v>
          </cell>
          <cell r="K548">
            <v>8</v>
          </cell>
          <cell r="L548" t="str">
            <v>CN</v>
          </cell>
          <cell r="M548">
            <v>8</v>
          </cell>
          <cell r="N548">
            <v>8</v>
          </cell>
          <cell r="O548">
            <v>8</v>
          </cell>
          <cell r="P548">
            <v>8</v>
          </cell>
          <cell r="Q548">
            <v>8</v>
          </cell>
          <cell r="R548" t="str">
            <v>AL8</v>
          </cell>
          <cell r="S548" t="str">
            <v>CN</v>
          </cell>
          <cell r="T548">
            <v>8</v>
          </cell>
          <cell r="U548">
            <v>8</v>
          </cell>
          <cell r="V548">
            <v>8</v>
          </cell>
          <cell r="W548">
            <v>8</v>
          </cell>
          <cell r="X548">
            <v>8</v>
          </cell>
          <cell r="Y548">
            <v>8</v>
          </cell>
          <cell r="Z548" t="str">
            <v>CN</v>
          </cell>
          <cell r="AA548">
            <v>8</v>
          </cell>
          <cell r="AB548">
            <v>8</v>
          </cell>
          <cell r="AC548">
            <v>8</v>
          </cell>
          <cell r="AD548">
            <v>8</v>
          </cell>
          <cell r="AE548">
            <v>8</v>
          </cell>
          <cell r="AF548">
            <v>8</v>
          </cell>
          <cell r="AG548" t="str">
            <v>CN</v>
          </cell>
          <cell r="AH548">
            <v>8</v>
          </cell>
          <cell r="AI548">
            <v>8</v>
          </cell>
          <cell r="AJ548">
            <v>8</v>
          </cell>
          <cell r="AN548">
            <v>0</v>
          </cell>
          <cell r="AO548">
            <v>184</v>
          </cell>
          <cell r="AP548">
            <v>0</v>
          </cell>
          <cell r="AQ548">
            <v>0</v>
          </cell>
          <cell r="AR548">
            <v>0</v>
          </cell>
          <cell r="AS548">
            <v>0</v>
          </cell>
          <cell r="AT548">
            <v>0</v>
          </cell>
          <cell r="AU548">
            <v>0</v>
          </cell>
          <cell r="AV548">
            <v>0</v>
          </cell>
          <cell r="AW548">
            <v>0</v>
          </cell>
          <cell r="AX548">
            <v>0</v>
          </cell>
          <cell r="AY548">
            <v>0</v>
          </cell>
          <cell r="AZ548">
            <v>0</v>
          </cell>
          <cell r="BA548">
            <v>8</v>
          </cell>
          <cell r="BB548">
            <v>0</v>
          </cell>
          <cell r="BC548">
            <v>0</v>
          </cell>
          <cell r="BD548">
            <v>0</v>
          </cell>
          <cell r="BE548">
            <v>0</v>
          </cell>
          <cell r="BF548">
            <v>0</v>
          </cell>
          <cell r="BG548">
            <v>192</v>
          </cell>
          <cell r="BH548">
            <v>1</v>
          </cell>
          <cell r="BI548">
            <v>1</v>
          </cell>
          <cell r="BJ548">
            <v>1</v>
          </cell>
          <cell r="BL548">
            <v>3</v>
          </cell>
          <cell r="BM548">
            <v>3</v>
          </cell>
          <cell r="BN548">
            <v>0</v>
          </cell>
          <cell r="BO548">
            <v>0</v>
          </cell>
          <cell r="BP548">
            <v>3</v>
          </cell>
          <cell r="BQ548">
            <v>3</v>
          </cell>
          <cell r="BR548">
            <v>3</v>
          </cell>
          <cell r="BS548">
            <v>3</v>
          </cell>
          <cell r="BT548">
            <v>0</v>
          </cell>
          <cell r="BU548">
            <v>0</v>
          </cell>
          <cell r="BV548">
            <v>0</v>
          </cell>
          <cell r="BW548">
            <v>3</v>
          </cell>
          <cell r="BX548">
            <v>3</v>
          </cell>
          <cell r="BY548">
            <v>0</v>
          </cell>
          <cell r="BZ548">
            <v>3</v>
          </cell>
          <cell r="CA548">
            <v>0</v>
          </cell>
          <cell r="CB548">
            <v>0</v>
          </cell>
          <cell r="CC548">
            <v>0</v>
          </cell>
          <cell r="CD548">
            <v>3</v>
          </cell>
          <cell r="CE548">
            <v>3</v>
          </cell>
          <cell r="CF548">
            <v>0</v>
          </cell>
          <cell r="CG548">
            <v>3</v>
          </cell>
          <cell r="CH548">
            <v>3</v>
          </cell>
          <cell r="CI548">
            <v>0</v>
          </cell>
          <cell r="CJ548">
            <v>0</v>
          </cell>
          <cell r="CK548">
            <v>0</v>
          </cell>
          <cell r="CL548">
            <v>0</v>
          </cell>
          <cell r="CM548">
            <v>0</v>
          </cell>
          <cell r="CR548">
            <v>0</v>
          </cell>
          <cell r="CS548">
            <v>0</v>
          </cell>
          <cell r="CT548">
            <v>39</v>
          </cell>
          <cell r="CU548">
            <v>0</v>
          </cell>
          <cell r="CV548">
            <v>0</v>
          </cell>
          <cell r="CZ548">
            <v>39</v>
          </cell>
        </row>
        <row r="549">
          <cell r="C549" t="str">
            <v>03651</v>
          </cell>
          <cell r="D549" t="str">
            <v>Huỳnh Hữu Trí</v>
          </cell>
          <cell r="E549" t="str">
            <v>Foaming</v>
          </cell>
          <cell r="F549" t="str">
            <v>FOAMING Production control</v>
          </cell>
          <cell r="G549" t="str">
            <v>Associate Engineer</v>
          </cell>
          <cell r="H549">
            <v>44809</v>
          </cell>
          <cell r="I549">
            <v>8</v>
          </cell>
          <cell r="J549">
            <v>8</v>
          </cell>
          <cell r="K549" t="str">
            <v>PO</v>
          </cell>
          <cell r="L549" t="str">
            <v>CN</v>
          </cell>
          <cell r="M549">
            <v>8</v>
          </cell>
          <cell r="N549">
            <v>8</v>
          </cell>
          <cell r="O549">
            <v>8</v>
          </cell>
          <cell r="P549">
            <v>8</v>
          </cell>
          <cell r="Q549" t="str">
            <v>PO</v>
          </cell>
          <cell r="R549" t="str">
            <v>PO</v>
          </cell>
          <cell r="S549" t="str">
            <v>CN</v>
          </cell>
          <cell r="T549">
            <v>8</v>
          </cell>
          <cell r="U549">
            <v>8</v>
          </cell>
          <cell r="V549">
            <v>8</v>
          </cell>
          <cell r="W549">
            <v>8</v>
          </cell>
          <cell r="X549">
            <v>8</v>
          </cell>
          <cell r="Y549" t="str">
            <v>PO</v>
          </cell>
          <cell r="Z549" t="str">
            <v>CN</v>
          </cell>
          <cell r="AA549">
            <v>8</v>
          </cell>
          <cell r="AB549">
            <v>8</v>
          </cell>
          <cell r="AC549">
            <v>8</v>
          </cell>
          <cell r="AD549" t="str">
            <v>AL8</v>
          </cell>
          <cell r="AE549">
            <v>8</v>
          </cell>
          <cell r="AF549" t="str">
            <v>PO</v>
          </cell>
          <cell r="AG549" t="str">
            <v>CN</v>
          </cell>
          <cell r="AH549">
            <v>8</v>
          </cell>
          <cell r="AI549">
            <v>8</v>
          </cell>
          <cell r="AJ549">
            <v>8</v>
          </cell>
          <cell r="AN549">
            <v>0</v>
          </cell>
          <cell r="AO549">
            <v>144</v>
          </cell>
          <cell r="AP549">
            <v>0</v>
          </cell>
          <cell r="AQ549">
            <v>0</v>
          </cell>
          <cell r="AR549">
            <v>0</v>
          </cell>
          <cell r="AS549">
            <v>0</v>
          </cell>
          <cell r="AT549">
            <v>0</v>
          </cell>
          <cell r="AU549">
            <v>0</v>
          </cell>
          <cell r="AV549">
            <v>40</v>
          </cell>
          <cell r="AW549">
            <v>0</v>
          </cell>
          <cell r="AX549">
            <v>0</v>
          </cell>
          <cell r="AY549">
            <v>0</v>
          </cell>
          <cell r="AZ549">
            <v>0</v>
          </cell>
          <cell r="BA549">
            <v>8</v>
          </cell>
          <cell r="BB549">
            <v>0</v>
          </cell>
          <cell r="BC549">
            <v>0</v>
          </cell>
          <cell r="BD549">
            <v>0</v>
          </cell>
          <cell r="BE549">
            <v>0</v>
          </cell>
          <cell r="BF549">
            <v>0</v>
          </cell>
          <cell r="BG549">
            <v>192</v>
          </cell>
          <cell r="BH549">
            <v>1</v>
          </cell>
          <cell r="BI549">
            <v>1</v>
          </cell>
          <cell r="BJ549">
            <v>0</v>
          </cell>
          <cell r="BL549">
            <v>0</v>
          </cell>
          <cell r="BM549">
            <v>0</v>
          </cell>
          <cell r="BN549">
            <v>0</v>
          </cell>
          <cell r="BO549">
            <v>0</v>
          </cell>
          <cell r="BP549">
            <v>0</v>
          </cell>
          <cell r="BQ549">
            <v>0</v>
          </cell>
          <cell r="BR549">
            <v>0</v>
          </cell>
          <cell r="BS549">
            <v>0</v>
          </cell>
          <cell r="BT549">
            <v>0</v>
          </cell>
          <cell r="BU549">
            <v>0</v>
          </cell>
          <cell r="BV549">
            <v>0</v>
          </cell>
          <cell r="BW549">
            <v>0</v>
          </cell>
          <cell r="BX549">
            <v>0</v>
          </cell>
          <cell r="BY549">
            <v>0</v>
          </cell>
          <cell r="BZ549">
            <v>0</v>
          </cell>
          <cell r="CA549">
            <v>0</v>
          </cell>
          <cell r="CB549">
            <v>0</v>
          </cell>
          <cell r="CC549">
            <v>0</v>
          </cell>
          <cell r="CD549">
            <v>0</v>
          </cell>
          <cell r="CE549">
            <v>0</v>
          </cell>
          <cell r="CF549">
            <v>0</v>
          </cell>
          <cell r="CG549">
            <v>0</v>
          </cell>
          <cell r="CH549">
            <v>0</v>
          </cell>
          <cell r="CI549">
            <v>0</v>
          </cell>
          <cell r="CJ549">
            <v>0</v>
          </cell>
          <cell r="CK549">
            <v>0</v>
          </cell>
          <cell r="CL549">
            <v>0</v>
          </cell>
          <cell r="CM549">
            <v>0</v>
          </cell>
          <cell r="CR549">
            <v>0</v>
          </cell>
          <cell r="CS549">
            <v>0</v>
          </cell>
          <cell r="CT549">
            <v>0</v>
          </cell>
          <cell r="CU549">
            <v>0</v>
          </cell>
          <cell r="CV549">
            <v>0</v>
          </cell>
          <cell r="CZ549">
            <v>0</v>
          </cell>
        </row>
        <row r="550">
          <cell r="C550" t="str">
            <v>03652</v>
          </cell>
          <cell r="D550" t="str">
            <v>Bùi Thanh Lượng</v>
          </cell>
          <cell r="E550" t="str">
            <v xml:space="preserve">EHS &amp; Facilities </v>
          </cell>
          <cell r="F550" t="str">
            <v>Facility</v>
          </cell>
          <cell r="G550" t="str">
            <v>Senior Technician</v>
          </cell>
          <cell r="H550">
            <v>44811</v>
          </cell>
          <cell r="I550">
            <v>8</v>
          </cell>
          <cell r="J550">
            <v>8</v>
          </cell>
          <cell r="K550" t="str">
            <v>PO</v>
          </cell>
          <cell r="L550" t="str">
            <v>CN</v>
          </cell>
          <cell r="M550">
            <v>8</v>
          </cell>
          <cell r="N550">
            <v>8</v>
          </cell>
          <cell r="O550">
            <v>8</v>
          </cell>
          <cell r="P550">
            <v>8</v>
          </cell>
          <cell r="Q550" t="str">
            <v>PO</v>
          </cell>
          <cell r="R550" t="str">
            <v>PO</v>
          </cell>
          <cell r="S550" t="str">
            <v>CN</v>
          </cell>
          <cell r="T550">
            <v>8</v>
          </cell>
          <cell r="U550">
            <v>8</v>
          </cell>
          <cell r="V550">
            <v>8</v>
          </cell>
          <cell r="W550">
            <v>8</v>
          </cell>
          <cell r="X550">
            <v>8</v>
          </cell>
          <cell r="Y550" t="str">
            <v>PO</v>
          </cell>
          <cell r="Z550" t="str">
            <v>CN</v>
          </cell>
          <cell r="AA550">
            <v>8</v>
          </cell>
          <cell r="AB550">
            <v>8</v>
          </cell>
          <cell r="AC550">
            <v>8</v>
          </cell>
          <cell r="AD550">
            <v>8</v>
          </cell>
          <cell r="AE550">
            <v>8</v>
          </cell>
          <cell r="AF550" t="str">
            <v>PO</v>
          </cell>
          <cell r="AG550" t="str">
            <v>CN</v>
          </cell>
          <cell r="AH550">
            <v>8</v>
          </cell>
          <cell r="AI550">
            <v>8</v>
          </cell>
          <cell r="AJ550">
            <v>8</v>
          </cell>
          <cell r="AN550">
            <v>0</v>
          </cell>
          <cell r="AO550">
            <v>152</v>
          </cell>
          <cell r="AP550">
            <v>0</v>
          </cell>
          <cell r="AQ550">
            <v>0</v>
          </cell>
          <cell r="AR550">
            <v>0</v>
          </cell>
          <cell r="AS550">
            <v>0</v>
          </cell>
          <cell r="AT550">
            <v>0</v>
          </cell>
          <cell r="AU550">
            <v>0</v>
          </cell>
          <cell r="AV550">
            <v>40</v>
          </cell>
          <cell r="AW550">
            <v>0</v>
          </cell>
          <cell r="AX550">
            <v>0</v>
          </cell>
          <cell r="AY550">
            <v>0</v>
          </cell>
          <cell r="AZ550">
            <v>0</v>
          </cell>
          <cell r="BA550">
            <v>0</v>
          </cell>
          <cell r="BB550">
            <v>0</v>
          </cell>
          <cell r="BC550">
            <v>0</v>
          </cell>
          <cell r="BD550">
            <v>0</v>
          </cell>
          <cell r="BE550">
            <v>0</v>
          </cell>
          <cell r="BF550">
            <v>0</v>
          </cell>
          <cell r="BG550">
            <v>192</v>
          </cell>
          <cell r="BH550">
            <v>0</v>
          </cell>
          <cell r="BI550">
            <v>0</v>
          </cell>
          <cell r="BJ550">
            <v>4</v>
          </cell>
          <cell r="BL550">
            <v>0</v>
          </cell>
          <cell r="BM550">
            <v>0</v>
          </cell>
          <cell r="BN550">
            <v>0</v>
          </cell>
          <cell r="BO550">
            <v>0</v>
          </cell>
          <cell r="BP550">
            <v>0</v>
          </cell>
          <cell r="BQ550">
            <v>0</v>
          </cell>
          <cell r="BR550">
            <v>0</v>
          </cell>
          <cell r="BS550">
            <v>0</v>
          </cell>
          <cell r="BT550">
            <v>0</v>
          </cell>
          <cell r="BU550">
            <v>0</v>
          </cell>
          <cell r="BV550">
            <v>0</v>
          </cell>
          <cell r="BW550">
            <v>0</v>
          </cell>
          <cell r="BX550">
            <v>0</v>
          </cell>
          <cell r="BY550">
            <v>2</v>
          </cell>
          <cell r="BZ550">
            <v>0</v>
          </cell>
          <cell r="CA550">
            <v>0</v>
          </cell>
          <cell r="CB550">
            <v>0</v>
          </cell>
          <cell r="CC550">
            <v>0</v>
          </cell>
          <cell r="CD550">
            <v>0</v>
          </cell>
          <cell r="CE550">
            <v>0</v>
          </cell>
          <cell r="CF550">
            <v>0</v>
          </cell>
          <cell r="CG550">
            <v>0</v>
          </cell>
          <cell r="CH550">
            <v>0</v>
          </cell>
          <cell r="CI550">
            <v>0</v>
          </cell>
          <cell r="CJ550">
            <v>0</v>
          </cell>
          <cell r="CK550">
            <v>0</v>
          </cell>
          <cell r="CL550">
            <v>0</v>
          </cell>
          <cell r="CM550">
            <v>0</v>
          </cell>
          <cell r="CR550">
            <v>0</v>
          </cell>
          <cell r="CS550">
            <v>0</v>
          </cell>
          <cell r="CT550">
            <v>2</v>
          </cell>
          <cell r="CU550">
            <v>0</v>
          </cell>
          <cell r="CV550">
            <v>0</v>
          </cell>
          <cell r="CZ550">
            <v>2</v>
          </cell>
        </row>
        <row r="551">
          <cell r="C551" t="str">
            <v>03654</v>
          </cell>
          <cell r="D551" t="str">
            <v>Trần Quan</v>
          </cell>
          <cell r="E551" t="str">
            <v>Production</v>
          </cell>
          <cell r="F551" t="str">
            <v>Packing</v>
          </cell>
          <cell r="G551" t="str">
            <v>Worker</v>
          </cell>
          <cell r="H551">
            <v>44816</v>
          </cell>
          <cell r="I551" t="str">
            <v>Đ</v>
          </cell>
          <cell r="J551" t="str">
            <v>Đ</v>
          </cell>
          <cell r="K551" t="str">
            <v>Đ</v>
          </cell>
          <cell r="L551" t="str">
            <v>CN</v>
          </cell>
          <cell r="M551">
            <v>8</v>
          </cell>
          <cell r="N551">
            <v>8</v>
          </cell>
          <cell r="O551">
            <v>8</v>
          </cell>
          <cell r="P551">
            <v>8</v>
          </cell>
          <cell r="Q551">
            <v>8</v>
          </cell>
          <cell r="R551">
            <v>8</v>
          </cell>
          <cell r="S551" t="str">
            <v>CN</v>
          </cell>
          <cell r="T551" t="str">
            <v>Đ</v>
          </cell>
          <cell r="U551" t="str">
            <v>Đ</v>
          </cell>
          <cell r="V551" t="str">
            <v>Đ</v>
          </cell>
          <cell r="W551" t="str">
            <v>Đ</v>
          </cell>
          <cell r="X551" t="str">
            <v>Đ</v>
          </cell>
          <cell r="Y551" t="str">
            <v>Đ</v>
          </cell>
          <cell r="Z551" t="str">
            <v>CN</v>
          </cell>
          <cell r="AA551">
            <v>8</v>
          </cell>
          <cell r="AB551">
            <v>8</v>
          </cell>
          <cell r="AC551" t="str">
            <v>AL4</v>
          </cell>
          <cell r="AD551">
            <v>8</v>
          </cell>
          <cell r="AE551">
            <v>8</v>
          </cell>
          <cell r="AF551">
            <v>8</v>
          </cell>
          <cell r="AG551" t="str">
            <v>CN</v>
          </cell>
          <cell r="AH551" t="str">
            <v>Đ</v>
          </cell>
          <cell r="AI551" t="str">
            <v>Đ</v>
          </cell>
          <cell r="AJ551" t="str">
            <v>Đ</v>
          </cell>
          <cell r="AN551">
            <v>96</v>
          </cell>
          <cell r="AO551">
            <v>92</v>
          </cell>
          <cell r="AP551">
            <v>4</v>
          </cell>
          <cell r="AQ551">
            <v>0</v>
          </cell>
          <cell r="AR551">
            <v>0</v>
          </cell>
          <cell r="AS551">
            <v>0</v>
          </cell>
          <cell r="AT551">
            <v>0</v>
          </cell>
          <cell r="AU551">
            <v>0</v>
          </cell>
          <cell r="AV551">
            <v>0</v>
          </cell>
          <cell r="AW551">
            <v>0</v>
          </cell>
          <cell r="AX551">
            <v>0</v>
          </cell>
          <cell r="AY551">
            <v>0</v>
          </cell>
          <cell r="AZ551">
            <v>0</v>
          </cell>
          <cell r="BA551">
            <v>4</v>
          </cell>
          <cell r="BB551">
            <v>0</v>
          </cell>
          <cell r="BC551">
            <v>0</v>
          </cell>
          <cell r="BD551">
            <v>0</v>
          </cell>
          <cell r="BE551">
            <v>0</v>
          </cell>
          <cell r="BF551">
            <v>0</v>
          </cell>
          <cell r="BG551">
            <v>192</v>
          </cell>
          <cell r="BH551">
            <v>0.5</v>
          </cell>
          <cell r="BI551">
            <v>0.5</v>
          </cell>
          <cell r="BJ551">
            <v>0.5</v>
          </cell>
          <cell r="BL551">
            <v>0</v>
          </cell>
          <cell r="BM551">
            <v>1.5</v>
          </cell>
          <cell r="BN551">
            <v>1.5</v>
          </cell>
          <cell r="BO551">
            <v>0</v>
          </cell>
          <cell r="BP551">
            <v>1.5</v>
          </cell>
          <cell r="BQ551">
            <v>3</v>
          </cell>
          <cell r="BR551">
            <v>0</v>
          </cell>
          <cell r="BS551">
            <v>3</v>
          </cell>
          <cell r="BT551">
            <v>3</v>
          </cell>
          <cell r="BU551">
            <v>0</v>
          </cell>
          <cell r="BV551">
            <v>0</v>
          </cell>
          <cell r="BW551">
            <v>3</v>
          </cell>
          <cell r="BX551">
            <v>3</v>
          </cell>
          <cell r="BY551">
            <v>4</v>
          </cell>
          <cell r="BZ551">
            <v>4</v>
          </cell>
          <cell r="CA551">
            <v>4</v>
          </cell>
          <cell r="CB551">
            <v>3</v>
          </cell>
          <cell r="CC551">
            <v>0</v>
          </cell>
          <cell r="CD551">
            <v>3</v>
          </cell>
          <cell r="CE551">
            <v>3</v>
          </cell>
          <cell r="CF551">
            <v>2</v>
          </cell>
          <cell r="CG551">
            <v>3</v>
          </cell>
          <cell r="CH551">
            <v>3</v>
          </cell>
          <cell r="CI551">
            <v>3</v>
          </cell>
          <cell r="CJ551">
            <v>8</v>
          </cell>
          <cell r="CK551">
            <v>4</v>
          </cell>
          <cell r="CL551">
            <v>4</v>
          </cell>
          <cell r="CM551">
            <v>4</v>
          </cell>
          <cell r="CR551">
            <v>0</v>
          </cell>
          <cell r="CS551">
            <v>0</v>
          </cell>
          <cell r="CT551">
            <v>63.5</v>
          </cell>
          <cell r="CU551">
            <v>8</v>
          </cell>
          <cell r="CV551">
            <v>0</v>
          </cell>
          <cell r="CZ551">
            <v>71.5</v>
          </cell>
        </row>
        <row r="552">
          <cell r="C552" t="str">
            <v>03660</v>
          </cell>
          <cell r="D552" t="str">
            <v>Trương Thị The</v>
          </cell>
          <cell r="E552" t="str">
            <v>Production</v>
          </cell>
          <cell r="F552" t="str">
            <v>Die Cut</v>
          </cell>
          <cell r="G552" t="str">
            <v>Worker</v>
          </cell>
          <cell r="H552">
            <v>44816</v>
          </cell>
          <cell r="I552">
            <v>8</v>
          </cell>
          <cell r="J552">
            <v>8</v>
          </cell>
          <cell r="K552">
            <v>8</v>
          </cell>
          <cell r="L552" t="str">
            <v>CN</v>
          </cell>
          <cell r="M552" t="str">
            <v>Đ</v>
          </cell>
          <cell r="N552" t="str">
            <v>Đ</v>
          </cell>
          <cell r="O552" t="str">
            <v>Đ</v>
          </cell>
          <cell r="P552" t="str">
            <v>Đ</v>
          </cell>
          <cell r="Q552" t="str">
            <v>Đ</v>
          </cell>
          <cell r="R552" t="str">
            <v>Đ</v>
          </cell>
          <cell r="S552" t="str">
            <v>CN</v>
          </cell>
          <cell r="T552">
            <v>8</v>
          </cell>
          <cell r="U552">
            <v>8</v>
          </cell>
          <cell r="V552">
            <v>8</v>
          </cell>
          <cell r="W552">
            <v>8</v>
          </cell>
          <cell r="X552">
            <v>8</v>
          </cell>
          <cell r="Y552">
            <v>8</v>
          </cell>
          <cell r="Z552" t="str">
            <v>CN</v>
          </cell>
          <cell r="AA552" t="str">
            <v>Đ</v>
          </cell>
          <cell r="AB552" t="str">
            <v>Đ</v>
          </cell>
          <cell r="AC552" t="str">
            <v>Đ</v>
          </cell>
          <cell r="AD552" t="str">
            <v>Đ</v>
          </cell>
          <cell r="AE552" t="str">
            <v>Đ</v>
          </cell>
          <cell r="AF552" t="str">
            <v>Đ</v>
          </cell>
          <cell r="AG552" t="str">
            <v>CN</v>
          </cell>
          <cell r="AH552">
            <v>8</v>
          </cell>
          <cell r="AI552">
            <v>8</v>
          </cell>
          <cell r="AJ552">
            <v>8</v>
          </cell>
          <cell r="AN552">
            <v>96</v>
          </cell>
          <cell r="AO552">
            <v>96</v>
          </cell>
          <cell r="AP552">
            <v>0</v>
          </cell>
          <cell r="AQ552">
            <v>0</v>
          </cell>
          <cell r="AR552">
            <v>0</v>
          </cell>
          <cell r="AS552">
            <v>0</v>
          </cell>
          <cell r="AT552">
            <v>0</v>
          </cell>
          <cell r="AU552">
            <v>0</v>
          </cell>
          <cell r="AV552">
            <v>0</v>
          </cell>
          <cell r="AW552">
            <v>0</v>
          </cell>
          <cell r="AX552">
            <v>0</v>
          </cell>
          <cell r="AY552">
            <v>0</v>
          </cell>
          <cell r="AZ552">
            <v>0</v>
          </cell>
          <cell r="BA552">
            <v>0</v>
          </cell>
          <cell r="BB552">
            <v>0</v>
          </cell>
          <cell r="BC552">
            <v>0</v>
          </cell>
          <cell r="BD552">
            <v>0</v>
          </cell>
          <cell r="BE552">
            <v>0</v>
          </cell>
          <cell r="BF552">
            <v>0</v>
          </cell>
          <cell r="BG552">
            <v>192</v>
          </cell>
          <cell r="BH552">
            <v>0</v>
          </cell>
          <cell r="BI552">
            <v>0</v>
          </cell>
          <cell r="BJ552">
            <v>-1</v>
          </cell>
          <cell r="BL552">
            <v>1.5</v>
          </cell>
          <cell r="BM552">
            <v>1.5</v>
          </cell>
          <cell r="BN552">
            <v>1.5</v>
          </cell>
          <cell r="BO552">
            <v>0</v>
          </cell>
          <cell r="BP552">
            <v>1.5</v>
          </cell>
          <cell r="BQ552">
            <v>0</v>
          </cell>
          <cell r="BR552">
            <v>0</v>
          </cell>
          <cell r="BS552">
            <v>4</v>
          </cell>
          <cell r="BT552">
            <v>4</v>
          </cell>
          <cell r="BU552">
            <v>4</v>
          </cell>
          <cell r="BV552">
            <v>0</v>
          </cell>
          <cell r="BW552">
            <v>3</v>
          </cell>
          <cell r="BX552">
            <v>3</v>
          </cell>
          <cell r="BY552">
            <v>3</v>
          </cell>
          <cell r="BZ552">
            <v>3</v>
          </cell>
          <cell r="CA552">
            <v>3</v>
          </cell>
          <cell r="CB552">
            <v>3</v>
          </cell>
          <cell r="CC552">
            <v>8</v>
          </cell>
          <cell r="CD552">
            <v>4</v>
          </cell>
          <cell r="CE552">
            <v>4</v>
          </cell>
          <cell r="CF552">
            <v>4</v>
          </cell>
          <cell r="CG552">
            <v>4</v>
          </cell>
          <cell r="CH552">
            <v>4</v>
          </cell>
          <cell r="CI552">
            <v>4</v>
          </cell>
          <cell r="CJ552">
            <v>0</v>
          </cell>
          <cell r="CK552">
            <v>3</v>
          </cell>
          <cell r="CL552">
            <v>3</v>
          </cell>
          <cell r="CM552">
            <v>3</v>
          </cell>
          <cell r="CR552">
            <v>0</v>
          </cell>
          <cell r="CS552">
            <v>0</v>
          </cell>
          <cell r="CT552">
            <v>69</v>
          </cell>
          <cell r="CU552">
            <v>8</v>
          </cell>
          <cell r="CV552">
            <v>0</v>
          </cell>
          <cell r="CZ552">
            <v>77</v>
          </cell>
        </row>
        <row r="553">
          <cell r="C553" t="str">
            <v>03664</v>
          </cell>
          <cell r="D553" t="str">
            <v>Lâm Thị Lượm</v>
          </cell>
          <cell r="E553" t="str">
            <v>Production</v>
          </cell>
          <cell r="F553" t="str">
            <v>Skiving</v>
          </cell>
          <cell r="G553" t="str">
            <v>Worker</v>
          </cell>
          <cell r="H553">
            <v>44816</v>
          </cell>
          <cell r="I553" t="str">
            <v>Đ</v>
          </cell>
          <cell r="J553" t="str">
            <v>Đ</v>
          </cell>
          <cell r="K553" t="str">
            <v>Đ</v>
          </cell>
          <cell r="L553" t="str">
            <v>CN</v>
          </cell>
          <cell r="M553">
            <v>8</v>
          </cell>
          <cell r="N553">
            <v>8</v>
          </cell>
          <cell r="O553" t="str">
            <v>AL8</v>
          </cell>
          <cell r="P553">
            <v>8</v>
          </cell>
          <cell r="Q553">
            <v>8</v>
          </cell>
          <cell r="R553">
            <v>8</v>
          </cell>
          <cell r="S553" t="str">
            <v>CN</v>
          </cell>
          <cell r="T553" t="str">
            <v>Đ</v>
          </cell>
          <cell r="U553" t="str">
            <v>Đ</v>
          </cell>
          <cell r="V553" t="str">
            <v>Đ</v>
          </cell>
          <cell r="W553" t="str">
            <v>Đ</v>
          </cell>
          <cell r="X553" t="str">
            <v>Đ</v>
          </cell>
          <cell r="Y553" t="str">
            <v>Đ</v>
          </cell>
          <cell r="Z553" t="str">
            <v>CN</v>
          </cell>
          <cell r="AA553">
            <v>8</v>
          </cell>
          <cell r="AB553">
            <v>8</v>
          </cell>
          <cell r="AC553">
            <v>8</v>
          </cell>
          <cell r="AD553">
            <v>8</v>
          </cell>
          <cell r="AE553">
            <v>8</v>
          </cell>
          <cell r="AF553">
            <v>8</v>
          </cell>
          <cell r="AG553" t="str">
            <v>CN</v>
          </cell>
          <cell r="AH553" t="str">
            <v>Đ</v>
          </cell>
          <cell r="AI553" t="str">
            <v>Đ</v>
          </cell>
          <cell r="AJ553" t="str">
            <v>Đ</v>
          </cell>
          <cell r="AN553">
            <v>96</v>
          </cell>
          <cell r="AO553">
            <v>88</v>
          </cell>
          <cell r="AP553">
            <v>0</v>
          </cell>
          <cell r="AQ553">
            <v>0</v>
          </cell>
          <cell r="AR553">
            <v>0</v>
          </cell>
          <cell r="AS553">
            <v>0</v>
          </cell>
          <cell r="AT553">
            <v>0</v>
          </cell>
          <cell r="AU553">
            <v>0</v>
          </cell>
          <cell r="AV553">
            <v>0</v>
          </cell>
          <cell r="AW553">
            <v>0</v>
          </cell>
          <cell r="AX553">
            <v>0</v>
          </cell>
          <cell r="AY553">
            <v>0</v>
          </cell>
          <cell r="AZ553">
            <v>0</v>
          </cell>
          <cell r="BA553">
            <v>8</v>
          </cell>
          <cell r="BB553">
            <v>0</v>
          </cell>
          <cell r="BC553">
            <v>0</v>
          </cell>
          <cell r="BD553">
            <v>0</v>
          </cell>
          <cell r="BE553">
            <v>0</v>
          </cell>
          <cell r="BF553">
            <v>0</v>
          </cell>
          <cell r="BG553">
            <v>192</v>
          </cell>
          <cell r="BH553">
            <v>1</v>
          </cell>
          <cell r="BI553">
            <v>1</v>
          </cell>
          <cell r="BJ553">
            <v>2.5</v>
          </cell>
          <cell r="BL553">
            <v>0</v>
          </cell>
          <cell r="BM553">
            <v>0</v>
          </cell>
          <cell r="BN553">
            <v>0</v>
          </cell>
          <cell r="BO553">
            <v>0</v>
          </cell>
          <cell r="BP553">
            <v>1.5</v>
          </cell>
          <cell r="BQ553">
            <v>3</v>
          </cell>
          <cell r="BR553">
            <v>0</v>
          </cell>
          <cell r="BS553">
            <v>0</v>
          </cell>
          <cell r="BT553">
            <v>3</v>
          </cell>
          <cell r="BU553">
            <v>0</v>
          </cell>
          <cell r="BV553">
            <v>0</v>
          </cell>
          <cell r="BW553">
            <v>3</v>
          </cell>
          <cell r="BX553">
            <v>4</v>
          </cell>
          <cell r="BY553">
            <v>4</v>
          </cell>
          <cell r="BZ553">
            <v>4</v>
          </cell>
          <cell r="CA553">
            <v>4</v>
          </cell>
          <cell r="CB553">
            <v>4</v>
          </cell>
          <cell r="CC553">
            <v>0</v>
          </cell>
          <cell r="CD553">
            <v>1.5</v>
          </cell>
          <cell r="CE553">
            <v>3</v>
          </cell>
          <cell r="CF553">
            <v>3</v>
          </cell>
          <cell r="CG553">
            <v>3</v>
          </cell>
          <cell r="CH553">
            <v>1.5</v>
          </cell>
          <cell r="CI553">
            <v>1.5</v>
          </cell>
          <cell r="CJ553">
            <v>8</v>
          </cell>
          <cell r="CK553">
            <v>1.5</v>
          </cell>
          <cell r="CL553">
            <v>4</v>
          </cell>
          <cell r="CM553">
            <v>1.5</v>
          </cell>
          <cell r="CR553">
            <v>0</v>
          </cell>
          <cell r="CS553">
            <v>0</v>
          </cell>
          <cell r="CT553">
            <v>51</v>
          </cell>
          <cell r="CU553">
            <v>8</v>
          </cell>
          <cell r="CV553">
            <v>0</v>
          </cell>
          <cell r="CZ553">
            <v>59</v>
          </cell>
        </row>
        <row r="554">
          <cell r="C554" t="str">
            <v>03665</v>
          </cell>
          <cell r="D554" t="str">
            <v>Đặng Thị Bảo Ngọc</v>
          </cell>
          <cell r="E554" t="str">
            <v>Production</v>
          </cell>
          <cell r="F554" t="str">
            <v>Logo</v>
          </cell>
          <cell r="G554" t="str">
            <v>Worker</v>
          </cell>
          <cell r="H554">
            <v>44816</v>
          </cell>
          <cell r="I554" t="str">
            <v>Đ</v>
          </cell>
          <cell r="J554" t="str">
            <v>Đ</v>
          </cell>
          <cell r="K554" t="str">
            <v>Đ</v>
          </cell>
          <cell r="L554" t="str">
            <v>CN</v>
          </cell>
          <cell r="M554">
            <v>8</v>
          </cell>
          <cell r="N554">
            <v>8</v>
          </cell>
          <cell r="O554">
            <v>8</v>
          </cell>
          <cell r="P554">
            <v>8</v>
          </cell>
          <cell r="Q554">
            <v>8</v>
          </cell>
          <cell r="R554">
            <v>8</v>
          </cell>
          <cell r="S554" t="str">
            <v>CN</v>
          </cell>
          <cell r="T554" t="str">
            <v>Đ</v>
          </cell>
          <cell r="U554" t="str">
            <v>Đ</v>
          </cell>
          <cell r="V554" t="str">
            <v>Đ</v>
          </cell>
          <cell r="W554" t="str">
            <v>Đ</v>
          </cell>
          <cell r="X554" t="str">
            <v>Đ</v>
          </cell>
          <cell r="Y554" t="str">
            <v>Đ</v>
          </cell>
          <cell r="Z554" t="str">
            <v>CN</v>
          </cell>
          <cell r="AA554">
            <v>8</v>
          </cell>
          <cell r="AB554">
            <v>8</v>
          </cell>
          <cell r="AC554">
            <v>8</v>
          </cell>
          <cell r="AD554">
            <v>8</v>
          </cell>
          <cell r="AE554">
            <v>8</v>
          </cell>
          <cell r="AF554">
            <v>8</v>
          </cell>
          <cell r="AG554" t="str">
            <v>CN</v>
          </cell>
          <cell r="AH554" t="str">
            <v>Đ</v>
          </cell>
          <cell r="AI554" t="str">
            <v>Đ</v>
          </cell>
          <cell r="AJ554" t="str">
            <v>Đ</v>
          </cell>
          <cell r="AN554">
            <v>96</v>
          </cell>
          <cell r="AO554">
            <v>96</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192</v>
          </cell>
          <cell r="BH554">
            <v>0</v>
          </cell>
          <cell r="BI554">
            <v>0</v>
          </cell>
          <cell r="BJ554">
            <v>4</v>
          </cell>
          <cell r="BL554">
            <v>0</v>
          </cell>
          <cell r="BM554">
            <v>0</v>
          </cell>
          <cell r="BN554">
            <v>0</v>
          </cell>
          <cell r="BO554">
            <v>0</v>
          </cell>
          <cell r="BP554">
            <v>1.5</v>
          </cell>
          <cell r="BQ554">
            <v>3</v>
          </cell>
          <cell r="BR554">
            <v>0</v>
          </cell>
          <cell r="BS554">
            <v>3</v>
          </cell>
          <cell r="BT554">
            <v>0</v>
          </cell>
          <cell r="BU554">
            <v>0</v>
          </cell>
          <cell r="BV554">
            <v>0</v>
          </cell>
          <cell r="BW554">
            <v>3</v>
          </cell>
          <cell r="BX554">
            <v>4</v>
          </cell>
          <cell r="BY554">
            <v>4</v>
          </cell>
          <cell r="BZ554">
            <v>4</v>
          </cell>
          <cell r="CA554">
            <v>4</v>
          </cell>
          <cell r="CB554">
            <v>4</v>
          </cell>
          <cell r="CC554">
            <v>0</v>
          </cell>
          <cell r="CD554">
            <v>3</v>
          </cell>
          <cell r="CE554">
            <v>3</v>
          </cell>
          <cell r="CF554">
            <v>3</v>
          </cell>
          <cell r="CG554">
            <v>3</v>
          </cell>
          <cell r="CH554">
            <v>1.5</v>
          </cell>
          <cell r="CI554">
            <v>1.5</v>
          </cell>
          <cell r="CJ554">
            <v>8</v>
          </cell>
          <cell r="CK554">
            <v>1.5</v>
          </cell>
          <cell r="CL554">
            <v>1.5</v>
          </cell>
          <cell r="CM554">
            <v>1.5</v>
          </cell>
          <cell r="CR554">
            <v>0</v>
          </cell>
          <cell r="CS554">
            <v>0</v>
          </cell>
          <cell r="CT554">
            <v>50</v>
          </cell>
          <cell r="CU554">
            <v>8</v>
          </cell>
          <cell r="CV554">
            <v>0</v>
          </cell>
          <cell r="CZ554">
            <v>58</v>
          </cell>
        </row>
        <row r="555">
          <cell r="C555" t="str">
            <v>03674</v>
          </cell>
          <cell r="D555" t="str">
            <v>Huỳnh Thị Kim Lan</v>
          </cell>
          <cell r="E555" t="str">
            <v>Production</v>
          </cell>
          <cell r="F555" t="str">
            <v>Logo</v>
          </cell>
          <cell r="G555" t="str">
            <v>Worker</v>
          </cell>
          <cell r="H555">
            <v>44823</v>
          </cell>
          <cell r="I555" t="str">
            <v>Đ</v>
          </cell>
          <cell r="J555" t="str">
            <v>Đ</v>
          </cell>
          <cell r="K555" t="str">
            <v>Đ</v>
          </cell>
          <cell r="L555" t="str">
            <v>CN</v>
          </cell>
          <cell r="M555">
            <v>8</v>
          </cell>
          <cell r="N555">
            <v>8</v>
          </cell>
          <cell r="O555">
            <v>8</v>
          </cell>
          <cell r="P555">
            <v>8</v>
          </cell>
          <cell r="Q555">
            <v>8</v>
          </cell>
          <cell r="R555" t="str">
            <v>AL8</v>
          </cell>
          <cell r="S555" t="str">
            <v>CN</v>
          </cell>
          <cell r="T555" t="str">
            <v>Đ</v>
          </cell>
          <cell r="U555" t="str">
            <v>Đ</v>
          </cell>
          <cell r="V555" t="str">
            <v>Đ</v>
          </cell>
          <cell r="W555" t="str">
            <v>Đ</v>
          </cell>
          <cell r="X555" t="str">
            <v>Đ</v>
          </cell>
          <cell r="Y555" t="str">
            <v>Đ</v>
          </cell>
          <cell r="Z555" t="str">
            <v>CN</v>
          </cell>
          <cell r="AA555">
            <v>8</v>
          </cell>
          <cell r="AB555">
            <v>8</v>
          </cell>
          <cell r="AC555">
            <v>8</v>
          </cell>
          <cell r="AD555">
            <v>8</v>
          </cell>
          <cell r="AE555">
            <v>8</v>
          </cell>
          <cell r="AF555">
            <v>8</v>
          </cell>
          <cell r="AG555" t="str">
            <v>CN</v>
          </cell>
          <cell r="AH555" t="str">
            <v>Đ</v>
          </cell>
          <cell r="AI555" t="str">
            <v>Đ</v>
          </cell>
          <cell r="AJ555" t="str">
            <v>Đ</v>
          </cell>
          <cell r="AN555">
            <v>96</v>
          </cell>
          <cell r="AO555">
            <v>88</v>
          </cell>
          <cell r="AP555">
            <v>0</v>
          </cell>
          <cell r="AQ555">
            <v>0</v>
          </cell>
          <cell r="AR555">
            <v>0</v>
          </cell>
          <cell r="AS555">
            <v>0</v>
          </cell>
          <cell r="AT555">
            <v>0</v>
          </cell>
          <cell r="AU555">
            <v>0</v>
          </cell>
          <cell r="AV555">
            <v>0</v>
          </cell>
          <cell r="AW555">
            <v>0</v>
          </cell>
          <cell r="AX555">
            <v>0</v>
          </cell>
          <cell r="AY555">
            <v>0</v>
          </cell>
          <cell r="AZ555">
            <v>0</v>
          </cell>
          <cell r="BA555">
            <v>8</v>
          </cell>
          <cell r="BB555">
            <v>0</v>
          </cell>
          <cell r="BC555">
            <v>0</v>
          </cell>
          <cell r="BD555">
            <v>0</v>
          </cell>
          <cell r="BE555">
            <v>0</v>
          </cell>
          <cell r="BF555">
            <v>0</v>
          </cell>
          <cell r="BG555">
            <v>192</v>
          </cell>
          <cell r="BH555">
            <v>1</v>
          </cell>
          <cell r="BI555">
            <v>1</v>
          </cell>
          <cell r="BJ555">
            <v>0</v>
          </cell>
          <cell r="BL555">
            <v>0</v>
          </cell>
          <cell r="BM555">
            <v>0</v>
          </cell>
          <cell r="BN555">
            <v>0</v>
          </cell>
          <cell r="BO555">
            <v>0</v>
          </cell>
          <cell r="BP555">
            <v>1.5</v>
          </cell>
          <cell r="BQ555">
            <v>3</v>
          </cell>
          <cell r="BR555">
            <v>0</v>
          </cell>
          <cell r="BS555">
            <v>3</v>
          </cell>
          <cell r="BT555">
            <v>3</v>
          </cell>
          <cell r="BU555">
            <v>0</v>
          </cell>
          <cell r="BV555">
            <v>0</v>
          </cell>
          <cell r="BW555">
            <v>3</v>
          </cell>
          <cell r="BX555">
            <v>0</v>
          </cell>
          <cell r="BY555">
            <v>4</v>
          </cell>
          <cell r="BZ555">
            <v>4</v>
          </cell>
          <cell r="CA555">
            <v>0</v>
          </cell>
          <cell r="CB555">
            <v>4</v>
          </cell>
          <cell r="CC555">
            <v>0</v>
          </cell>
          <cell r="CD555">
            <v>4</v>
          </cell>
          <cell r="CE555">
            <v>4</v>
          </cell>
          <cell r="CF555">
            <v>4</v>
          </cell>
          <cell r="CG555">
            <v>0</v>
          </cell>
          <cell r="CH555">
            <v>0</v>
          </cell>
          <cell r="CI555">
            <v>0</v>
          </cell>
          <cell r="CJ555">
            <v>8</v>
          </cell>
          <cell r="CK555">
            <v>0</v>
          </cell>
          <cell r="CL555">
            <v>0</v>
          </cell>
          <cell r="CM555">
            <v>0</v>
          </cell>
          <cell r="CR555">
            <v>0</v>
          </cell>
          <cell r="CS555">
            <v>0</v>
          </cell>
          <cell r="CT555">
            <v>37.5</v>
          </cell>
          <cell r="CU555">
            <v>8</v>
          </cell>
          <cell r="CV555">
            <v>0</v>
          </cell>
          <cell r="CZ555">
            <v>45.5</v>
          </cell>
        </row>
        <row r="556">
          <cell r="C556" t="str">
            <v>03675</v>
          </cell>
          <cell r="D556" t="str">
            <v>Phạm Thị Hồng Lịnh</v>
          </cell>
          <cell r="E556" t="str">
            <v>Production</v>
          </cell>
          <cell r="F556" t="str">
            <v>Logo</v>
          </cell>
          <cell r="G556" t="str">
            <v>Worker</v>
          </cell>
          <cell r="H556">
            <v>44823</v>
          </cell>
          <cell r="I556" t="str">
            <v>Đ</v>
          </cell>
          <cell r="J556" t="str">
            <v>Đ</v>
          </cell>
          <cell r="K556" t="str">
            <v>Đ</v>
          </cell>
          <cell r="L556" t="str">
            <v>CN</v>
          </cell>
          <cell r="M556">
            <v>8</v>
          </cell>
          <cell r="N556">
            <v>8</v>
          </cell>
          <cell r="O556">
            <v>8</v>
          </cell>
          <cell r="P556">
            <v>8</v>
          </cell>
          <cell r="Q556">
            <v>8</v>
          </cell>
          <cell r="R556">
            <v>8</v>
          </cell>
          <cell r="S556" t="str">
            <v>CN</v>
          </cell>
          <cell r="T556" t="str">
            <v>Đ</v>
          </cell>
          <cell r="U556" t="str">
            <v>Đ</v>
          </cell>
          <cell r="V556" t="str">
            <v>Đ</v>
          </cell>
          <cell r="W556" t="str">
            <v>Đ</v>
          </cell>
          <cell r="X556" t="str">
            <v>Đ</v>
          </cell>
          <cell r="Y556" t="str">
            <v>Đ</v>
          </cell>
          <cell r="Z556" t="str">
            <v>CN</v>
          </cell>
          <cell r="AA556">
            <v>8</v>
          </cell>
          <cell r="AB556">
            <v>8</v>
          </cell>
          <cell r="AC556">
            <v>8</v>
          </cell>
          <cell r="AD556">
            <v>8</v>
          </cell>
          <cell r="AE556">
            <v>8</v>
          </cell>
          <cell r="AF556">
            <v>8</v>
          </cell>
          <cell r="AG556" t="str">
            <v>CN</v>
          </cell>
          <cell r="AH556" t="str">
            <v>Đ</v>
          </cell>
          <cell r="AI556" t="str">
            <v>Đ</v>
          </cell>
          <cell r="AJ556" t="str">
            <v>UP8</v>
          </cell>
          <cell r="AN556">
            <v>88</v>
          </cell>
          <cell r="AO556">
            <v>96</v>
          </cell>
          <cell r="AP556">
            <v>0</v>
          </cell>
          <cell r="AQ556">
            <v>0</v>
          </cell>
          <cell r="AR556">
            <v>0</v>
          </cell>
          <cell r="AS556">
            <v>8</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184</v>
          </cell>
          <cell r="BH556">
            <v>0</v>
          </cell>
          <cell r="BI556">
            <v>0</v>
          </cell>
          <cell r="BJ556">
            <v>0</v>
          </cell>
          <cell r="BL556">
            <v>1.5</v>
          </cell>
          <cell r="BM556">
            <v>1.5</v>
          </cell>
          <cell r="BN556">
            <v>1.5</v>
          </cell>
          <cell r="BO556">
            <v>0</v>
          </cell>
          <cell r="BP556">
            <v>1.5</v>
          </cell>
          <cell r="BQ556">
            <v>0</v>
          </cell>
          <cell r="BR556">
            <v>0</v>
          </cell>
          <cell r="BS556">
            <v>3</v>
          </cell>
          <cell r="BT556">
            <v>3</v>
          </cell>
          <cell r="BU556">
            <v>3</v>
          </cell>
          <cell r="BV556">
            <v>0</v>
          </cell>
          <cell r="BW556">
            <v>4</v>
          </cell>
          <cell r="BX556">
            <v>4</v>
          </cell>
          <cell r="BY556">
            <v>4</v>
          </cell>
          <cell r="BZ556">
            <v>4</v>
          </cell>
          <cell r="CA556">
            <v>4</v>
          </cell>
          <cell r="CB556">
            <v>4</v>
          </cell>
          <cell r="CC556">
            <v>0</v>
          </cell>
          <cell r="CD556">
            <v>3</v>
          </cell>
          <cell r="CE556">
            <v>3</v>
          </cell>
          <cell r="CF556">
            <v>3</v>
          </cell>
          <cell r="CG556">
            <v>3</v>
          </cell>
          <cell r="CH556">
            <v>3</v>
          </cell>
          <cell r="CI556">
            <v>3</v>
          </cell>
          <cell r="CJ556">
            <v>11</v>
          </cell>
          <cell r="CK556">
            <v>4</v>
          </cell>
          <cell r="CL556">
            <v>4</v>
          </cell>
          <cell r="CM556">
            <v>4</v>
          </cell>
          <cell r="CR556">
            <v>0</v>
          </cell>
          <cell r="CS556">
            <v>0</v>
          </cell>
          <cell r="CT556">
            <v>69</v>
          </cell>
          <cell r="CU556">
            <v>11</v>
          </cell>
          <cell r="CV556">
            <v>0</v>
          </cell>
          <cell r="CZ556">
            <v>80</v>
          </cell>
        </row>
        <row r="557">
          <cell r="C557" t="str">
            <v>03680</v>
          </cell>
          <cell r="D557" t="str">
            <v>Nguyễn Thị Kim Ba</v>
          </cell>
          <cell r="E557" t="str">
            <v>Production</v>
          </cell>
          <cell r="F557" t="str">
            <v>Die Cut</v>
          </cell>
          <cell r="G557" t="str">
            <v>Worker</v>
          </cell>
          <cell r="H557">
            <v>44823</v>
          </cell>
          <cell r="I557">
            <v>8</v>
          </cell>
          <cell r="J557">
            <v>8</v>
          </cell>
          <cell r="K557">
            <v>8</v>
          </cell>
          <cell r="L557" t="str">
            <v>CN</v>
          </cell>
          <cell r="M557">
            <v>8</v>
          </cell>
          <cell r="N557">
            <v>8</v>
          </cell>
          <cell r="O557">
            <v>8</v>
          </cell>
          <cell r="P557">
            <v>8</v>
          </cell>
          <cell r="Q557">
            <v>8</v>
          </cell>
          <cell r="R557">
            <v>8</v>
          </cell>
          <cell r="S557" t="str">
            <v>CN</v>
          </cell>
          <cell r="T557">
            <v>8</v>
          </cell>
          <cell r="U557">
            <v>8</v>
          </cell>
          <cell r="V557">
            <v>8</v>
          </cell>
          <cell r="W557">
            <v>8</v>
          </cell>
          <cell r="X557">
            <v>8</v>
          </cell>
          <cell r="Y557">
            <v>8</v>
          </cell>
          <cell r="Z557" t="str">
            <v>CN</v>
          </cell>
          <cell r="AA557">
            <v>8</v>
          </cell>
          <cell r="AB557">
            <v>8</v>
          </cell>
          <cell r="AC557">
            <v>8</v>
          </cell>
          <cell r="AD557">
            <v>8</v>
          </cell>
          <cell r="AE557">
            <v>8</v>
          </cell>
          <cell r="AF557" t="str">
            <v>S</v>
          </cell>
          <cell r="AG557" t="str">
            <v>CN</v>
          </cell>
          <cell r="AH557">
            <v>8</v>
          </cell>
          <cell r="AI557">
            <v>8</v>
          </cell>
          <cell r="AJ557">
            <v>8</v>
          </cell>
          <cell r="AN557">
            <v>0</v>
          </cell>
          <cell r="AO557">
            <v>184</v>
          </cell>
          <cell r="AP557">
            <v>0</v>
          </cell>
          <cell r="AQ557">
            <v>0</v>
          </cell>
          <cell r="AR557">
            <v>0</v>
          </cell>
          <cell r="AS557">
            <v>0</v>
          </cell>
          <cell r="AT557">
            <v>0</v>
          </cell>
          <cell r="AU557">
            <v>0</v>
          </cell>
          <cell r="AV557">
            <v>0</v>
          </cell>
          <cell r="AW557">
            <v>8</v>
          </cell>
          <cell r="AX557">
            <v>0</v>
          </cell>
          <cell r="AY557">
            <v>0</v>
          </cell>
          <cell r="AZ557">
            <v>0</v>
          </cell>
          <cell r="BA557">
            <v>0</v>
          </cell>
          <cell r="BB557">
            <v>0</v>
          </cell>
          <cell r="BC557">
            <v>0</v>
          </cell>
          <cell r="BD557">
            <v>0</v>
          </cell>
          <cell r="BE557">
            <v>0</v>
          </cell>
          <cell r="BF557">
            <v>0</v>
          </cell>
          <cell r="BG557">
            <v>192</v>
          </cell>
          <cell r="BH557">
            <v>0</v>
          </cell>
          <cell r="BI557">
            <v>0</v>
          </cell>
          <cell r="BJ557">
            <v>1</v>
          </cell>
          <cell r="BL557">
            <v>0</v>
          </cell>
          <cell r="BM557">
            <v>0</v>
          </cell>
          <cell r="BN557">
            <v>0</v>
          </cell>
          <cell r="BO557">
            <v>0</v>
          </cell>
          <cell r="BP557">
            <v>0</v>
          </cell>
          <cell r="BQ557">
            <v>0</v>
          </cell>
          <cell r="BR557">
            <v>0</v>
          </cell>
          <cell r="BS557">
            <v>0</v>
          </cell>
          <cell r="BT557">
            <v>0</v>
          </cell>
          <cell r="BU557">
            <v>0</v>
          </cell>
          <cell r="BV557">
            <v>0</v>
          </cell>
          <cell r="BW557">
            <v>0</v>
          </cell>
          <cell r="BX557">
            <v>0</v>
          </cell>
          <cell r="BY557">
            <v>0</v>
          </cell>
          <cell r="BZ557">
            <v>0</v>
          </cell>
          <cell r="CA557">
            <v>0</v>
          </cell>
          <cell r="CB557">
            <v>0</v>
          </cell>
          <cell r="CC557">
            <v>8</v>
          </cell>
          <cell r="CD557">
            <v>0</v>
          </cell>
          <cell r="CE557">
            <v>0</v>
          </cell>
          <cell r="CF557">
            <v>0</v>
          </cell>
          <cell r="CG557">
            <v>0</v>
          </cell>
          <cell r="CH557">
            <v>0</v>
          </cell>
          <cell r="CI557">
            <v>0</v>
          </cell>
          <cell r="CJ557">
            <v>0</v>
          </cell>
          <cell r="CK557">
            <v>0</v>
          </cell>
          <cell r="CL557">
            <v>0</v>
          </cell>
          <cell r="CM557">
            <v>0</v>
          </cell>
          <cell r="CR557">
            <v>0</v>
          </cell>
          <cell r="CS557">
            <v>0</v>
          </cell>
          <cell r="CT557">
            <v>0</v>
          </cell>
          <cell r="CU557">
            <v>8</v>
          </cell>
          <cell r="CV557">
            <v>0</v>
          </cell>
          <cell r="CZ557">
            <v>8</v>
          </cell>
        </row>
        <row r="558">
          <cell r="C558" t="str">
            <v>03686</v>
          </cell>
          <cell r="D558" t="str">
            <v>Nguyễn Trung Hiếu</v>
          </cell>
          <cell r="E558" t="str">
            <v>Production</v>
          </cell>
          <cell r="F558" t="str">
            <v>Die Cut</v>
          </cell>
          <cell r="G558" t="str">
            <v>Team Leader</v>
          </cell>
          <cell r="H558">
            <v>44833</v>
          </cell>
          <cell r="I558" t="str">
            <v>Đ</v>
          </cell>
          <cell r="J558" t="str">
            <v>Đ</v>
          </cell>
          <cell r="K558" t="str">
            <v>Đ</v>
          </cell>
          <cell r="L558" t="str">
            <v>CN</v>
          </cell>
          <cell r="M558">
            <v>8</v>
          </cell>
          <cell r="N558">
            <v>8</v>
          </cell>
          <cell r="O558">
            <v>8</v>
          </cell>
          <cell r="P558">
            <v>8</v>
          </cell>
          <cell r="Q558">
            <v>8</v>
          </cell>
          <cell r="R558">
            <v>8</v>
          </cell>
          <cell r="S558" t="str">
            <v>CN</v>
          </cell>
          <cell r="T558" t="str">
            <v>Đ</v>
          </cell>
          <cell r="U558" t="str">
            <v>Đ</v>
          </cell>
          <cell r="V558" t="str">
            <v>Đ</v>
          </cell>
          <cell r="W558" t="str">
            <v>Đ</v>
          </cell>
          <cell r="X558" t="str">
            <v>Đ</v>
          </cell>
          <cell r="Y558" t="str">
            <v>Đ</v>
          </cell>
          <cell r="Z558" t="str">
            <v>CN</v>
          </cell>
          <cell r="AA558">
            <v>8</v>
          </cell>
          <cell r="AB558">
            <v>8</v>
          </cell>
          <cell r="AC558">
            <v>8</v>
          </cell>
          <cell r="AD558">
            <v>8</v>
          </cell>
          <cell r="AE558" t="str">
            <v>AL4</v>
          </cell>
          <cell r="AF558">
            <v>8</v>
          </cell>
          <cell r="AG558" t="str">
            <v>CN</v>
          </cell>
          <cell r="AH558" t="str">
            <v>Đ</v>
          </cell>
          <cell r="AI558" t="str">
            <v>Đ</v>
          </cell>
          <cell r="AJ558" t="str">
            <v>Đ</v>
          </cell>
          <cell r="AN558">
            <v>96</v>
          </cell>
          <cell r="AO558">
            <v>92</v>
          </cell>
          <cell r="AP558">
            <v>4</v>
          </cell>
          <cell r="AQ558">
            <v>0</v>
          </cell>
          <cell r="AR558">
            <v>0</v>
          </cell>
          <cell r="AS558">
            <v>0</v>
          </cell>
          <cell r="AT558">
            <v>0</v>
          </cell>
          <cell r="AU558">
            <v>0</v>
          </cell>
          <cell r="AV558">
            <v>0</v>
          </cell>
          <cell r="AW558">
            <v>0</v>
          </cell>
          <cell r="AX558">
            <v>0</v>
          </cell>
          <cell r="AY558">
            <v>0</v>
          </cell>
          <cell r="AZ558">
            <v>0</v>
          </cell>
          <cell r="BA558">
            <v>4</v>
          </cell>
          <cell r="BB558">
            <v>0</v>
          </cell>
          <cell r="BC558">
            <v>0</v>
          </cell>
          <cell r="BD558">
            <v>0</v>
          </cell>
          <cell r="BE558">
            <v>0</v>
          </cell>
          <cell r="BF558">
            <v>0</v>
          </cell>
          <cell r="BG558">
            <v>192</v>
          </cell>
          <cell r="BH558">
            <v>0.5</v>
          </cell>
          <cell r="BI558">
            <v>0.5</v>
          </cell>
          <cell r="BJ558">
            <v>1.5</v>
          </cell>
          <cell r="BL558">
            <v>1.5</v>
          </cell>
          <cell r="BM558">
            <v>1</v>
          </cell>
          <cell r="BN558">
            <v>1.5</v>
          </cell>
          <cell r="BO558">
            <v>0</v>
          </cell>
          <cell r="BP558">
            <v>1.5</v>
          </cell>
          <cell r="BQ558">
            <v>0</v>
          </cell>
          <cell r="BR558">
            <v>0</v>
          </cell>
          <cell r="BS558">
            <v>3</v>
          </cell>
          <cell r="BT558">
            <v>2.25</v>
          </cell>
          <cell r="BU558">
            <v>3</v>
          </cell>
          <cell r="BV558">
            <v>0</v>
          </cell>
          <cell r="BW558">
            <v>4</v>
          </cell>
          <cell r="BX558">
            <v>3.25</v>
          </cell>
          <cell r="BY558">
            <v>4</v>
          </cell>
          <cell r="BZ558">
            <v>2.25</v>
          </cell>
          <cell r="CA558">
            <v>4</v>
          </cell>
          <cell r="CB558">
            <v>2.5</v>
          </cell>
          <cell r="CC558">
            <v>0</v>
          </cell>
          <cell r="CD558">
            <v>1</v>
          </cell>
          <cell r="CE558">
            <v>3</v>
          </cell>
          <cell r="CF558">
            <v>2</v>
          </cell>
          <cell r="CG558">
            <v>3.75</v>
          </cell>
          <cell r="CH558">
            <v>0</v>
          </cell>
          <cell r="CI558">
            <v>1</v>
          </cell>
          <cell r="CJ558">
            <v>10</v>
          </cell>
          <cell r="CK558">
            <v>4</v>
          </cell>
          <cell r="CL558">
            <v>4</v>
          </cell>
          <cell r="CM558">
            <v>4</v>
          </cell>
          <cell r="CR558">
            <v>0</v>
          </cell>
          <cell r="CS558">
            <v>0</v>
          </cell>
          <cell r="CT558">
            <v>56.5</v>
          </cell>
          <cell r="CU558">
            <v>10</v>
          </cell>
          <cell r="CV558">
            <v>0</v>
          </cell>
          <cell r="CZ558">
            <v>66.5</v>
          </cell>
        </row>
        <row r="559">
          <cell r="C559" t="str">
            <v>03697</v>
          </cell>
          <cell r="D559" t="str">
            <v>Lê Hồng Nguyên</v>
          </cell>
          <cell r="E559" t="str">
            <v>Technical Development</v>
          </cell>
          <cell r="F559" t="str">
            <v>PD Technical</v>
          </cell>
          <cell r="G559" t="str">
            <v>Specialist</v>
          </cell>
          <cell r="H559">
            <v>44897</v>
          </cell>
          <cell r="I559">
            <v>8</v>
          </cell>
          <cell r="J559">
            <v>8</v>
          </cell>
          <cell r="K559" t="str">
            <v>PO</v>
          </cell>
          <cell r="L559" t="str">
            <v>CN</v>
          </cell>
          <cell r="M559">
            <v>8</v>
          </cell>
          <cell r="N559">
            <v>8</v>
          </cell>
          <cell r="O559">
            <v>8</v>
          </cell>
          <cell r="P559">
            <v>8</v>
          </cell>
          <cell r="Q559" t="str">
            <v>PO</v>
          </cell>
          <cell r="R559" t="str">
            <v>PO</v>
          </cell>
          <cell r="S559" t="str">
            <v>CN</v>
          </cell>
          <cell r="T559">
            <v>8</v>
          </cell>
          <cell r="U559">
            <v>8</v>
          </cell>
          <cell r="V559">
            <v>8</v>
          </cell>
          <cell r="W559">
            <v>8</v>
          </cell>
          <cell r="X559">
            <v>8</v>
          </cell>
          <cell r="Y559" t="str">
            <v>PO</v>
          </cell>
          <cell r="Z559" t="str">
            <v>CN</v>
          </cell>
          <cell r="AA559">
            <v>8</v>
          </cell>
          <cell r="AB559">
            <v>8</v>
          </cell>
          <cell r="AC559">
            <v>8</v>
          </cell>
          <cell r="AD559">
            <v>8</v>
          </cell>
          <cell r="AE559">
            <v>8</v>
          </cell>
          <cell r="AF559" t="str">
            <v>PO</v>
          </cell>
          <cell r="AG559" t="str">
            <v>CN</v>
          </cell>
          <cell r="AH559">
            <v>8</v>
          </cell>
          <cell r="AI559">
            <v>8</v>
          </cell>
          <cell r="AJ559">
            <v>8</v>
          </cell>
          <cell r="AN559">
            <v>0</v>
          </cell>
          <cell r="AO559">
            <v>152</v>
          </cell>
          <cell r="AP559">
            <v>0</v>
          </cell>
          <cell r="AQ559">
            <v>0</v>
          </cell>
          <cell r="AR559">
            <v>0</v>
          </cell>
          <cell r="AS559">
            <v>0</v>
          </cell>
          <cell r="AT559">
            <v>0</v>
          </cell>
          <cell r="AU559">
            <v>0</v>
          </cell>
          <cell r="AV559">
            <v>40</v>
          </cell>
          <cell r="AW559">
            <v>0</v>
          </cell>
          <cell r="AX559">
            <v>0</v>
          </cell>
          <cell r="AY559">
            <v>0</v>
          </cell>
          <cell r="AZ559">
            <v>0</v>
          </cell>
          <cell r="BA559">
            <v>0</v>
          </cell>
          <cell r="BB559">
            <v>0</v>
          </cell>
          <cell r="BC559">
            <v>0</v>
          </cell>
          <cell r="BD559">
            <v>0</v>
          </cell>
          <cell r="BE559">
            <v>0</v>
          </cell>
          <cell r="BF559">
            <v>0</v>
          </cell>
          <cell r="BG559">
            <v>192</v>
          </cell>
          <cell r="BH559">
            <v>0</v>
          </cell>
          <cell r="BI559">
            <v>0</v>
          </cell>
          <cell r="BJ559">
            <v>1</v>
          </cell>
          <cell r="BL559">
            <v>0</v>
          </cell>
          <cell r="BM559">
            <v>0</v>
          </cell>
          <cell r="BN559">
            <v>0</v>
          </cell>
          <cell r="BO559">
            <v>0</v>
          </cell>
          <cell r="BP559">
            <v>0</v>
          </cell>
          <cell r="BQ559">
            <v>0</v>
          </cell>
          <cell r="BR559">
            <v>0</v>
          </cell>
          <cell r="BS559">
            <v>0</v>
          </cell>
          <cell r="BT559">
            <v>0</v>
          </cell>
          <cell r="BU559">
            <v>0</v>
          </cell>
          <cell r="BV559">
            <v>0</v>
          </cell>
          <cell r="BW559">
            <v>0</v>
          </cell>
          <cell r="BX559">
            <v>0</v>
          </cell>
          <cell r="BY559">
            <v>0</v>
          </cell>
          <cell r="BZ559">
            <v>0</v>
          </cell>
          <cell r="CA559">
            <v>0</v>
          </cell>
          <cell r="CB559">
            <v>0</v>
          </cell>
          <cell r="CC559">
            <v>8</v>
          </cell>
          <cell r="CD559">
            <v>0</v>
          </cell>
          <cell r="CE559">
            <v>0</v>
          </cell>
          <cell r="CF559">
            <v>0</v>
          </cell>
          <cell r="CG559">
            <v>0</v>
          </cell>
          <cell r="CH559">
            <v>0</v>
          </cell>
          <cell r="CI559">
            <v>0</v>
          </cell>
          <cell r="CJ559">
            <v>0</v>
          </cell>
          <cell r="CK559">
            <v>0</v>
          </cell>
          <cell r="CL559">
            <v>0</v>
          </cell>
          <cell r="CM559">
            <v>0</v>
          </cell>
          <cell r="CR559">
            <v>0</v>
          </cell>
          <cell r="CS559">
            <v>0</v>
          </cell>
          <cell r="CT559">
            <v>0</v>
          </cell>
          <cell r="CU559">
            <v>8</v>
          </cell>
          <cell r="CV559">
            <v>0</v>
          </cell>
          <cell r="CZ559">
            <v>8</v>
          </cell>
        </row>
        <row r="560">
          <cell r="C560" t="str">
            <v>03699</v>
          </cell>
          <cell r="D560" t="str">
            <v>Nguyễn Thị Thu Thảo</v>
          </cell>
          <cell r="E560" t="str">
            <v xml:space="preserve">EHS &amp; Facilities </v>
          </cell>
          <cell r="F560" t="str">
            <v>EHS</v>
          </cell>
          <cell r="G560" t="str">
            <v>Associate Specialist</v>
          </cell>
          <cell r="H560">
            <v>44910</v>
          </cell>
          <cell r="I560">
            <v>8</v>
          </cell>
          <cell r="J560">
            <v>8</v>
          </cell>
          <cell r="K560" t="str">
            <v>PO</v>
          </cell>
          <cell r="L560" t="str">
            <v>CN</v>
          </cell>
          <cell r="M560">
            <v>8</v>
          </cell>
          <cell r="N560">
            <v>8</v>
          </cell>
          <cell r="O560" t="str">
            <v>AL8</v>
          </cell>
          <cell r="P560" t="str">
            <v>AL8</v>
          </cell>
          <cell r="Q560" t="str">
            <v>AL8</v>
          </cell>
          <cell r="R560" t="str">
            <v>PO</v>
          </cell>
          <cell r="S560" t="str">
            <v>CN</v>
          </cell>
          <cell r="T560">
            <v>8</v>
          </cell>
          <cell r="U560">
            <v>8</v>
          </cell>
          <cell r="V560">
            <v>8</v>
          </cell>
          <cell r="W560" t="str">
            <v>AL4</v>
          </cell>
          <cell r="X560">
            <v>8</v>
          </cell>
          <cell r="Y560" t="str">
            <v>PO</v>
          </cell>
          <cell r="Z560" t="str">
            <v>CN</v>
          </cell>
          <cell r="AA560" t="str">
            <v>M</v>
          </cell>
          <cell r="AB560">
            <v>8</v>
          </cell>
          <cell r="AC560">
            <v>8</v>
          </cell>
          <cell r="AD560">
            <v>8</v>
          </cell>
          <cell r="AE560">
            <v>8</v>
          </cell>
          <cell r="AF560" t="str">
            <v>PO</v>
          </cell>
          <cell r="AG560" t="str">
            <v>CN</v>
          </cell>
          <cell r="AH560">
            <v>8</v>
          </cell>
          <cell r="AI560">
            <v>8</v>
          </cell>
          <cell r="AJ560">
            <v>8</v>
          </cell>
          <cell r="AN560">
            <v>0</v>
          </cell>
          <cell r="AO560">
            <v>124</v>
          </cell>
          <cell r="AP560">
            <v>4</v>
          </cell>
          <cell r="AQ560">
            <v>0</v>
          </cell>
          <cell r="AR560">
            <v>0</v>
          </cell>
          <cell r="AS560">
            <v>0</v>
          </cell>
          <cell r="AT560">
            <v>0</v>
          </cell>
          <cell r="AU560">
            <v>0</v>
          </cell>
          <cell r="AV560">
            <v>32</v>
          </cell>
          <cell r="AW560">
            <v>0</v>
          </cell>
          <cell r="AX560">
            <v>8</v>
          </cell>
          <cell r="AY560">
            <v>0</v>
          </cell>
          <cell r="AZ560">
            <v>0</v>
          </cell>
          <cell r="BA560">
            <v>28</v>
          </cell>
          <cell r="BB560">
            <v>0</v>
          </cell>
          <cell r="BC560">
            <v>0</v>
          </cell>
          <cell r="BD560">
            <v>0</v>
          </cell>
          <cell r="BE560">
            <v>0</v>
          </cell>
          <cell r="BF560">
            <v>0</v>
          </cell>
          <cell r="BG560">
            <v>184</v>
          </cell>
          <cell r="BH560">
            <v>3.5</v>
          </cell>
          <cell r="BI560">
            <v>3.5</v>
          </cell>
          <cell r="BJ560">
            <v>1.5</v>
          </cell>
          <cell r="BL560">
            <v>0</v>
          </cell>
          <cell r="BM560">
            <v>0</v>
          </cell>
          <cell r="BN560">
            <v>0</v>
          </cell>
          <cell r="BO560">
            <v>0</v>
          </cell>
          <cell r="BP560">
            <v>0</v>
          </cell>
          <cell r="BQ560">
            <v>0</v>
          </cell>
          <cell r="BR560">
            <v>0</v>
          </cell>
          <cell r="BS560">
            <v>0</v>
          </cell>
          <cell r="BT560">
            <v>0</v>
          </cell>
          <cell r="BU560">
            <v>0</v>
          </cell>
          <cell r="BV560">
            <v>0</v>
          </cell>
          <cell r="BW560">
            <v>0</v>
          </cell>
          <cell r="BX560">
            <v>0</v>
          </cell>
          <cell r="BY560">
            <v>0</v>
          </cell>
          <cell r="BZ560">
            <v>0</v>
          </cell>
          <cell r="CA560">
            <v>0</v>
          </cell>
          <cell r="CB560">
            <v>0</v>
          </cell>
          <cell r="CC560">
            <v>0</v>
          </cell>
          <cell r="CD560">
            <v>0</v>
          </cell>
          <cell r="CE560">
            <v>0</v>
          </cell>
          <cell r="CF560">
            <v>0</v>
          </cell>
          <cell r="CG560">
            <v>0</v>
          </cell>
          <cell r="CH560">
            <v>0</v>
          </cell>
          <cell r="CI560">
            <v>0</v>
          </cell>
          <cell r="CJ560">
            <v>0</v>
          </cell>
          <cell r="CK560">
            <v>0</v>
          </cell>
          <cell r="CL560">
            <v>0</v>
          </cell>
          <cell r="CM560">
            <v>0</v>
          </cell>
          <cell r="CR560">
            <v>0</v>
          </cell>
          <cell r="CS560">
            <v>0</v>
          </cell>
          <cell r="CT560">
            <v>0</v>
          </cell>
          <cell r="CU560">
            <v>0</v>
          </cell>
          <cell r="CV560">
            <v>0</v>
          </cell>
          <cell r="CZ560">
            <v>0</v>
          </cell>
        </row>
        <row r="561">
          <cell r="C561" t="str">
            <v>03707</v>
          </cell>
          <cell r="D561" t="str">
            <v>Đặng Bá Quý</v>
          </cell>
          <cell r="E561" t="str">
            <v>QC</v>
          </cell>
          <cell r="F561" t="str">
            <v>QC</v>
          </cell>
          <cell r="G561" t="str">
            <v>Worker</v>
          </cell>
          <cell r="H561">
            <v>44935</v>
          </cell>
          <cell r="I561">
            <v>8</v>
          </cell>
          <cell r="J561">
            <v>8</v>
          </cell>
          <cell r="K561">
            <v>8</v>
          </cell>
          <cell r="L561" t="str">
            <v>CN</v>
          </cell>
          <cell r="M561">
            <v>8</v>
          </cell>
          <cell r="N561">
            <v>8</v>
          </cell>
          <cell r="O561">
            <v>8</v>
          </cell>
          <cell r="P561">
            <v>8</v>
          </cell>
          <cell r="Q561">
            <v>8</v>
          </cell>
          <cell r="R561">
            <v>8</v>
          </cell>
          <cell r="S561" t="str">
            <v>CN</v>
          </cell>
          <cell r="T561">
            <v>8</v>
          </cell>
          <cell r="U561">
            <v>8</v>
          </cell>
          <cell r="V561">
            <v>8</v>
          </cell>
          <cell r="W561">
            <v>8</v>
          </cell>
          <cell r="X561">
            <v>8</v>
          </cell>
          <cell r="Y561">
            <v>8</v>
          </cell>
          <cell r="Z561" t="str">
            <v>CN</v>
          </cell>
          <cell r="AA561" t="str">
            <v>Đ</v>
          </cell>
          <cell r="AB561" t="str">
            <v>Đ</v>
          </cell>
          <cell r="AC561" t="str">
            <v>Đ</v>
          </cell>
          <cell r="AD561" t="str">
            <v>Đ</v>
          </cell>
          <cell r="AE561" t="str">
            <v>Đ</v>
          </cell>
          <cell r="AF561" t="str">
            <v>Đ</v>
          </cell>
          <cell r="AG561" t="str">
            <v>CN</v>
          </cell>
          <cell r="AH561" t="str">
            <v>Đ</v>
          </cell>
          <cell r="AI561" t="str">
            <v>Đ</v>
          </cell>
          <cell r="AJ561" t="str">
            <v>Đ</v>
          </cell>
          <cell r="AN561">
            <v>72</v>
          </cell>
          <cell r="AO561">
            <v>120</v>
          </cell>
          <cell r="AP561">
            <v>0</v>
          </cell>
          <cell r="AQ561">
            <v>0</v>
          </cell>
          <cell r="AR561">
            <v>0</v>
          </cell>
          <cell r="AS561">
            <v>0</v>
          </cell>
          <cell r="AT561">
            <v>0</v>
          </cell>
          <cell r="AU561">
            <v>0</v>
          </cell>
          <cell r="AV561">
            <v>0</v>
          </cell>
          <cell r="AW561">
            <v>0</v>
          </cell>
          <cell r="AX561">
            <v>0</v>
          </cell>
          <cell r="AY561">
            <v>0</v>
          </cell>
          <cell r="AZ561">
            <v>0</v>
          </cell>
          <cell r="BA561">
            <v>0</v>
          </cell>
          <cell r="BB561">
            <v>0</v>
          </cell>
          <cell r="BC561">
            <v>0</v>
          </cell>
          <cell r="BD561">
            <v>0</v>
          </cell>
          <cell r="BE561">
            <v>0</v>
          </cell>
          <cell r="BF561">
            <v>0</v>
          </cell>
          <cell r="BG561">
            <v>192</v>
          </cell>
          <cell r="BH561">
            <v>0</v>
          </cell>
          <cell r="BI561">
            <v>0</v>
          </cell>
          <cell r="BJ561">
            <v>3</v>
          </cell>
          <cell r="BL561">
            <v>2</v>
          </cell>
          <cell r="BM561">
            <v>2</v>
          </cell>
          <cell r="BN561">
            <v>2</v>
          </cell>
          <cell r="BO561">
            <v>0</v>
          </cell>
          <cell r="BP561">
            <v>0</v>
          </cell>
          <cell r="BQ561">
            <v>2</v>
          </cell>
          <cell r="BR561">
            <v>2</v>
          </cell>
          <cell r="BS561">
            <v>2</v>
          </cell>
          <cell r="BT561">
            <v>2</v>
          </cell>
          <cell r="BU561">
            <v>2</v>
          </cell>
          <cell r="BV561">
            <v>10</v>
          </cell>
          <cell r="BW561">
            <v>2</v>
          </cell>
          <cell r="BX561">
            <v>2</v>
          </cell>
          <cell r="BY561">
            <v>4</v>
          </cell>
          <cell r="BZ561">
            <v>3</v>
          </cell>
          <cell r="CA561">
            <v>2</v>
          </cell>
          <cell r="CB561">
            <v>2</v>
          </cell>
          <cell r="CC561" t="str">
            <v>12Đ</v>
          </cell>
          <cell r="CD561">
            <v>2</v>
          </cell>
          <cell r="CE561">
            <v>2</v>
          </cell>
          <cell r="CF561">
            <v>2</v>
          </cell>
          <cell r="CG561">
            <v>2</v>
          </cell>
          <cell r="CH561">
            <v>2</v>
          </cell>
          <cell r="CI561">
            <v>2</v>
          </cell>
          <cell r="CJ561" t="str">
            <v>10Đ</v>
          </cell>
          <cell r="CK561">
            <v>2</v>
          </cell>
          <cell r="CL561">
            <v>0</v>
          </cell>
          <cell r="CM561">
            <v>3</v>
          </cell>
          <cell r="CR561">
            <v>0</v>
          </cell>
          <cell r="CS561">
            <v>0</v>
          </cell>
          <cell r="CT561">
            <v>48</v>
          </cell>
          <cell r="CU561">
            <v>16</v>
          </cell>
          <cell r="CV561">
            <v>16</v>
          </cell>
          <cell r="CZ561">
            <v>80</v>
          </cell>
        </row>
        <row r="562">
          <cell r="C562" t="str">
            <v>03709</v>
          </cell>
          <cell r="D562" t="str">
            <v>Nguyễn Thị Hương</v>
          </cell>
          <cell r="E562" t="str">
            <v>HR &amp; Admin</v>
          </cell>
          <cell r="F562" t="str">
            <v>Admin</v>
          </cell>
          <cell r="G562" t="str">
            <v>Staff</v>
          </cell>
          <cell r="H562">
            <v>44958</v>
          </cell>
          <cell r="I562">
            <v>8</v>
          </cell>
          <cell r="J562" t="str">
            <v>Đ</v>
          </cell>
          <cell r="K562" t="str">
            <v>CN</v>
          </cell>
          <cell r="L562">
            <v>8</v>
          </cell>
          <cell r="M562">
            <v>8</v>
          </cell>
          <cell r="N562">
            <v>8</v>
          </cell>
          <cell r="O562">
            <v>8</v>
          </cell>
          <cell r="P562">
            <v>8</v>
          </cell>
          <cell r="Q562">
            <v>8</v>
          </cell>
          <cell r="R562" t="str">
            <v>CN</v>
          </cell>
          <cell r="S562" t="str">
            <v>Đ</v>
          </cell>
          <cell r="T562" t="str">
            <v>Đ</v>
          </cell>
          <cell r="U562" t="str">
            <v>Đ</v>
          </cell>
          <cell r="V562" t="str">
            <v>Đ</v>
          </cell>
          <cell r="W562" t="str">
            <v>Đ</v>
          </cell>
          <cell r="X562" t="str">
            <v>Đ</v>
          </cell>
          <cell r="Y562" t="str">
            <v>CN</v>
          </cell>
          <cell r="Z562">
            <v>8</v>
          </cell>
          <cell r="AA562">
            <v>8</v>
          </cell>
          <cell r="AB562">
            <v>8</v>
          </cell>
          <cell r="AC562">
            <v>8</v>
          </cell>
          <cell r="AD562" t="str">
            <v>Đ</v>
          </cell>
          <cell r="AE562" t="str">
            <v>Đ</v>
          </cell>
          <cell r="AF562" t="str">
            <v>CN</v>
          </cell>
          <cell r="AG562">
            <v>8</v>
          </cell>
          <cell r="AH562">
            <v>8</v>
          </cell>
          <cell r="AI562">
            <v>8</v>
          </cell>
          <cell r="AJ562">
            <v>8</v>
          </cell>
          <cell r="AN562">
            <v>72</v>
          </cell>
          <cell r="AO562">
            <v>120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192</v>
          </cell>
          <cell r="BH562">
            <v>0</v>
          </cell>
          <cell r="BI562">
            <v>0</v>
          </cell>
          <cell r="BJ562">
            <v>5</v>
          </cell>
          <cell r="BL562">
            <v>0</v>
          </cell>
          <cell r="BM562">
            <v>0</v>
          </cell>
          <cell r="BN562">
            <v>0</v>
          </cell>
          <cell r="BO562">
            <v>0</v>
          </cell>
          <cell r="BP562">
            <v>0</v>
          </cell>
          <cell r="BQ562">
            <v>0</v>
          </cell>
          <cell r="BR562">
            <v>0</v>
          </cell>
          <cell r="BS562">
            <v>0</v>
          </cell>
          <cell r="BT562">
            <v>0</v>
          </cell>
          <cell r="BU562">
            <v>0</v>
          </cell>
          <cell r="BV562">
            <v>0</v>
          </cell>
          <cell r="BW562">
            <v>0</v>
          </cell>
          <cell r="BX562">
            <v>0</v>
          </cell>
          <cell r="BY562">
            <v>0</v>
          </cell>
          <cell r="BZ562">
            <v>0</v>
          </cell>
          <cell r="CA562">
            <v>0</v>
          </cell>
          <cell r="CB562">
            <v>0</v>
          </cell>
          <cell r="CC562">
            <v>0</v>
          </cell>
          <cell r="CD562">
            <v>0</v>
          </cell>
          <cell r="CE562">
            <v>0</v>
          </cell>
          <cell r="CF562">
            <v>0</v>
          </cell>
          <cell r="CG562">
            <v>0</v>
          </cell>
          <cell r="CH562">
            <v>0</v>
          </cell>
          <cell r="CI562">
            <v>0</v>
          </cell>
          <cell r="CJ562">
            <v>0</v>
          </cell>
          <cell r="CK562">
            <v>0</v>
          </cell>
          <cell r="CL562">
            <v>0</v>
          </cell>
          <cell r="CM562">
            <v>0</v>
          </cell>
          <cell r="CR562">
            <v>0</v>
          </cell>
          <cell r="CS562">
            <v>0</v>
          </cell>
          <cell r="CT562">
            <v>0</v>
          </cell>
          <cell r="CU562">
            <v>0</v>
          </cell>
          <cell r="CV562">
            <v>0</v>
          </cell>
          <cell r="CZ562">
            <v>0</v>
          </cell>
        </row>
        <row r="563">
          <cell r="C563" t="str">
            <v>03710</v>
          </cell>
          <cell r="D563" t="str">
            <v>Phan Thị Huỳnh Như</v>
          </cell>
          <cell r="E563" t="str">
            <v>QC</v>
          </cell>
          <cell r="F563" t="str">
            <v>QC</v>
          </cell>
          <cell r="G563" t="str">
            <v>Worker</v>
          </cell>
          <cell r="H563">
            <v>44963</v>
          </cell>
          <cell r="I563" t="str">
            <v>Đ</v>
          </cell>
          <cell r="J563" t="str">
            <v>Đ</v>
          </cell>
          <cell r="K563" t="str">
            <v>CN</v>
          </cell>
          <cell r="L563">
            <v>8</v>
          </cell>
          <cell r="M563" t="str">
            <v>AL8</v>
          </cell>
          <cell r="N563">
            <v>8</v>
          </cell>
          <cell r="O563">
            <v>8</v>
          </cell>
          <cell r="P563">
            <v>8</v>
          </cell>
          <cell r="Q563">
            <v>8</v>
          </cell>
          <cell r="R563" t="str">
            <v>CN</v>
          </cell>
          <cell r="S563" t="str">
            <v>Đ</v>
          </cell>
          <cell r="T563" t="str">
            <v>Đ</v>
          </cell>
          <cell r="U563" t="str">
            <v>Đ</v>
          </cell>
          <cell r="V563" t="str">
            <v>Đ</v>
          </cell>
          <cell r="W563" t="str">
            <v>Đ</v>
          </cell>
          <cell r="X563" t="str">
            <v>Đ</v>
          </cell>
          <cell r="Y563" t="str">
            <v>CN</v>
          </cell>
          <cell r="Z563">
            <v>8</v>
          </cell>
          <cell r="AA563">
            <v>8</v>
          </cell>
          <cell r="AB563">
            <v>8</v>
          </cell>
          <cell r="AC563">
            <v>8</v>
          </cell>
          <cell r="AD563">
            <v>8</v>
          </cell>
          <cell r="AE563" t="str">
            <v>Đ</v>
          </cell>
          <cell r="AF563" t="str">
            <v>CN</v>
          </cell>
          <cell r="AG563">
            <v>8</v>
          </cell>
          <cell r="AH563">
            <v>8</v>
          </cell>
          <cell r="AI563">
            <v>8</v>
          </cell>
          <cell r="AJ563">
            <v>8</v>
          </cell>
          <cell r="AN563">
            <v>72</v>
          </cell>
          <cell r="AO563">
            <v>112</v>
          </cell>
          <cell r="AP563">
            <v>0</v>
          </cell>
          <cell r="AQ563">
            <v>0</v>
          </cell>
          <cell r="AR563">
            <v>0</v>
          </cell>
          <cell r="AS563">
            <v>0</v>
          </cell>
          <cell r="AT563">
            <v>0</v>
          </cell>
          <cell r="AU563">
            <v>0</v>
          </cell>
          <cell r="AV563">
            <v>0</v>
          </cell>
          <cell r="AW563">
            <v>0</v>
          </cell>
          <cell r="AX563">
            <v>0</v>
          </cell>
          <cell r="AY563">
            <v>0</v>
          </cell>
          <cell r="AZ563">
            <v>0</v>
          </cell>
          <cell r="BA563">
            <v>8</v>
          </cell>
          <cell r="BB563">
            <v>0</v>
          </cell>
          <cell r="BC563">
            <v>0</v>
          </cell>
          <cell r="BD563">
            <v>0</v>
          </cell>
          <cell r="BE563">
            <v>0</v>
          </cell>
          <cell r="BF563">
            <v>0</v>
          </cell>
          <cell r="BG563">
            <v>192</v>
          </cell>
          <cell r="BH563">
            <v>1</v>
          </cell>
          <cell r="BI563">
            <v>1</v>
          </cell>
          <cell r="BJ563">
            <v>1</v>
          </cell>
          <cell r="BL563">
            <v>0</v>
          </cell>
          <cell r="BM563">
            <v>4</v>
          </cell>
          <cell r="BN563">
            <v>0</v>
          </cell>
          <cell r="BO563">
            <v>4</v>
          </cell>
          <cell r="BP563">
            <v>0</v>
          </cell>
          <cell r="BQ563">
            <v>0</v>
          </cell>
          <cell r="BR563">
            <v>0</v>
          </cell>
          <cell r="BS563">
            <v>0</v>
          </cell>
          <cell r="BT563">
            <v>4</v>
          </cell>
          <cell r="BU563">
            <v>0</v>
          </cell>
          <cell r="BV563">
            <v>4</v>
          </cell>
          <cell r="BW563">
            <v>0</v>
          </cell>
          <cell r="BX563">
            <v>0</v>
          </cell>
          <cell r="BY563">
            <v>0</v>
          </cell>
          <cell r="BZ563">
            <v>0</v>
          </cell>
          <cell r="CA563">
            <v>4</v>
          </cell>
          <cell r="CB563">
            <v>0</v>
          </cell>
          <cell r="CC563">
            <v>4</v>
          </cell>
          <cell r="CD563">
            <v>0</v>
          </cell>
          <cell r="CE563">
            <v>0</v>
          </cell>
          <cell r="CF563">
            <v>0</v>
          </cell>
          <cell r="CG563">
            <v>0</v>
          </cell>
          <cell r="CH563">
            <v>4</v>
          </cell>
          <cell r="CI563">
            <v>0</v>
          </cell>
          <cell r="CJ563">
            <v>4</v>
          </cell>
          <cell r="CK563">
            <v>0</v>
          </cell>
          <cell r="CL563">
            <v>0</v>
          </cell>
          <cell r="CM563">
            <v>0</v>
          </cell>
          <cell r="CR563">
            <v>0</v>
          </cell>
          <cell r="CS563">
            <v>0</v>
          </cell>
          <cell r="CT563">
            <v>32</v>
          </cell>
          <cell r="CU563">
            <v>0</v>
          </cell>
          <cell r="CV563">
            <v>0</v>
          </cell>
          <cell r="CZ563">
            <v>32</v>
          </cell>
        </row>
        <row r="564">
          <cell r="C564" t="str">
            <v>03712</v>
          </cell>
          <cell r="D564" t="str">
            <v>Nguyễn Thị Thủy Tiên</v>
          </cell>
          <cell r="E564" t="str">
            <v>Account - Financial</v>
          </cell>
          <cell r="F564" t="str">
            <v>OVN Accounting (OVN)</v>
          </cell>
          <cell r="G564" t="str">
            <v>Senior Staff</v>
          </cell>
          <cell r="H564">
            <v>44971</v>
          </cell>
          <cell r="I564">
            <v>8</v>
          </cell>
          <cell r="J564">
            <v>8</v>
          </cell>
          <cell r="K564" t="str">
            <v>PO</v>
          </cell>
          <cell r="L564" t="str">
            <v>CN</v>
          </cell>
          <cell r="M564">
            <v>8</v>
          </cell>
          <cell r="N564">
            <v>8</v>
          </cell>
          <cell r="O564">
            <v>8</v>
          </cell>
          <cell r="P564">
            <v>8</v>
          </cell>
          <cell r="Q564">
            <v>8</v>
          </cell>
          <cell r="R564" t="str">
            <v>PO</v>
          </cell>
          <cell r="S564" t="str">
            <v>CN</v>
          </cell>
          <cell r="T564">
            <v>8</v>
          </cell>
          <cell r="U564">
            <v>8</v>
          </cell>
          <cell r="V564">
            <v>8</v>
          </cell>
          <cell r="W564">
            <v>8</v>
          </cell>
          <cell r="X564">
            <v>8</v>
          </cell>
          <cell r="Y564" t="str">
            <v>PO</v>
          </cell>
          <cell r="Z564" t="str">
            <v>CN</v>
          </cell>
          <cell r="AA564">
            <v>8</v>
          </cell>
          <cell r="AB564">
            <v>8</v>
          </cell>
          <cell r="AC564">
            <v>8</v>
          </cell>
          <cell r="AD564">
            <v>8</v>
          </cell>
          <cell r="AE564">
            <v>8</v>
          </cell>
          <cell r="AF564" t="str">
            <v>PO</v>
          </cell>
          <cell r="AG564" t="str">
            <v>CN</v>
          </cell>
          <cell r="AH564">
            <v>8</v>
          </cell>
          <cell r="AI564">
            <v>8</v>
          </cell>
          <cell r="AJ564" t="str">
            <v>AL8</v>
          </cell>
          <cell r="AN564">
            <v>0</v>
          </cell>
          <cell r="AO564">
            <v>152</v>
          </cell>
          <cell r="AP564">
            <v>0</v>
          </cell>
          <cell r="AQ564">
            <v>0</v>
          </cell>
          <cell r="AR564">
            <v>0</v>
          </cell>
          <cell r="AS564">
            <v>0</v>
          </cell>
          <cell r="AT564">
            <v>0</v>
          </cell>
          <cell r="AU564">
            <v>0</v>
          </cell>
          <cell r="AV564">
            <v>32</v>
          </cell>
          <cell r="AW564">
            <v>0</v>
          </cell>
          <cell r="AX564">
            <v>0</v>
          </cell>
          <cell r="AY564">
            <v>0</v>
          </cell>
          <cell r="AZ564">
            <v>0</v>
          </cell>
          <cell r="BA564">
            <v>8</v>
          </cell>
          <cell r="BB564">
            <v>0</v>
          </cell>
          <cell r="BC564">
            <v>0</v>
          </cell>
          <cell r="BD564">
            <v>0</v>
          </cell>
          <cell r="BE564">
            <v>0</v>
          </cell>
          <cell r="BF564">
            <v>0</v>
          </cell>
          <cell r="BG564">
            <v>192</v>
          </cell>
          <cell r="BH564">
            <v>1</v>
          </cell>
          <cell r="BI564">
            <v>1</v>
          </cell>
          <cell r="BJ564">
            <v>7.5</v>
          </cell>
          <cell r="BL564">
            <v>0</v>
          </cell>
          <cell r="BM564">
            <v>0</v>
          </cell>
          <cell r="BN564">
            <v>0</v>
          </cell>
          <cell r="BO564">
            <v>0</v>
          </cell>
          <cell r="BP564">
            <v>4</v>
          </cell>
          <cell r="BQ564">
            <v>4</v>
          </cell>
          <cell r="BR564">
            <v>4</v>
          </cell>
          <cell r="BS564">
            <v>0</v>
          </cell>
          <cell r="BT564">
            <v>0</v>
          </cell>
          <cell r="BU564">
            <v>0</v>
          </cell>
          <cell r="BV564">
            <v>0</v>
          </cell>
          <cell r="BW564">
            <v>0</v>
          </cell>
          <cell r="BX564">
            <v>0</v>
          </cell>
          <cell r="BY564">
            <v>4</v>
          </cell>
          <cell r="BZ564">
            <v>4</v>
          </cell>
          <cell r="CA564">
            <v>0</v>
          </cell>
          <cell r="CB564">
            <v>0</v>
          </cell>
          <cell r="CC564">
            <v>0</v>
          </cell>
          <cell r="CD564">
            <v>0</v>
          </cell>
          <cell r="CE564">
            <v>0</v>
          </cell>
          <cell r="CF564">
            <v>0</v>
          </cell>
          <cell r="CG564">
            <v>0</v>
          </cell>
          <cell r="CH564">
            <v>0</v>
          </cell>
          <cell r="CI564">
            <v>0</v>
          </cell>
          <cell r="CJ564">
            <v>0</v>
          </cell>
          <cell r="CK564">
            <v>0</v>
          </cell>
          <cell r="CL564">
            <v>0</v>
          </cell>
          <cell r="CM564">
            <v>0</v>
          </cell>
          <cell r="CR564">
            <v>0</v>
          </cell>
          <cell r="CS564">
            <v>0</v>
          </cell>
          <cell r="CT564">
            <v>20</v>
          </cell>
          <cell r="CU564">
            <v>0</v>
          </cell>
          <cell r="CV564">
            <v>0</v>
          </cell>
          <cell r="CZ564">
            <v>20</v>
          </cell>
        </row>
        <row r="565">
          <cell r="C565" t="str">
            <v>03714</v>
          </cell>
          <cell r="D565" t="str">
            <v>Kim Thị Thanh Tuyền</v>
          </cell>
          <cell r="E565" t="str">
            <v>Technical Development</v>
          </cell>
          <cell r="F565" t="str">
            <v>PD Sample</v>
          </cell>
          <cell r="G565" t="str">
            <v>Worker</v>
          </cell>
          <cell r="H565">
            <v>44972</v>
          </cell>
          <cell r="I565">
            <v>8</v>
          </cell>
          <cell r="J565">
            <v>8</v>
          </cell>
          <cell r="K565">
            <v>8</v>
          </cell>
          <cell r="L565" t="str">
            <v>CN</v>
          </cell>
          <cell r="M565">
            <v>8</v>
          </cell>
          <cell r="N565">
            <v>8</v>
          </cell>
          <cell r="O565">
            <v>8</v>
          </cell>
          <cell r="P565">
            <v>8</v>
          </cell>
          <cell r="Q565">
            <v>8</v>
          </cell>
          <cell r="R565">
            <v>8</v>
          </cell>
          <cell r="S565" t="str">
            <v>CN</v>
          </cell>
          <cell r="T565">
            <v>8</v>
          </cell>
          <cell r="U565">
            <v>8</v>
          </cell>
          <cell r="V565">
            <v>8</v>
          </cell>
          <cell r="W565">
            <v>8</v>
          </cell>
          <cell r="X565">
            <v>8</v>
          </cell>
          <cell r="Y565">
            <v>8</v>
          </cell>
          <cell r="Z565" t="str">
            <v>CN</v>
          </cell>
          <cell r="AA565">
            <v>8</v>
          </cell>
          <cell r="AB565">
            <v>8</v>
          </cell>
          <cell r="AC565">
            <v>8</v>
          </cell>
          <cell r="AD565">
            <v>8</v>
          </cell>
          <cell r="AE565">
            <v>8</v>
          </cell>
          <cell r="AF565">
            <v>8</v>
          </cell>
          <cell r="AG565" t="str">
            <v>CN</v>
          </cell>
          <cell r="AH565">
            <v>8</v>
          </cell>
          <cell r="AI565">
            <v>8</v>
          </cell>
          <cell r="AJ565">
            <v>8</v>
          </cell>
          <cell r="AN565">
            <v>0</v>
          </cell>
          <cell r="AO565">
            <v>192</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192</v>
          </cell>
          <cell r="BH565">
            <v>0</v>
          </cell>
          <cell r="BI565">
            <v>0</v>
          </cell>
          <cell r="BJ565">
            <v>2</v>
          </cell>
          <cell r="BL565">
            <v>3</v>
          </cell>
          <cell r="BM565">
            <v>3</v>
          </cell>
          <cell r="BN565">
            <v>0</v>
          </cell>
          <cell r="BO565">
            <v>0</v>
          </cell>
          <cell r="BP565">
            <v>3</v>
          </cell>
          <cell r="BQ565">
            <v>3</v>
          </cell>
          <cell r="BR565">
            <v>3</v>
          </cell>
          <cell r="BS565">
            <v>3</v>
          </cell>
          <cell r="BT565">
            <v>0</v>
          </cell>
          <cell r="BU565">
            <v>0</v>
          </cell>
          <cell r="BV565">
            <v>0</v>
          </cell>
          <cell r="BW565">
            <v>3</v>
          </cell>
          <cell r="BX565">
            <v>3</v>
          </cell>
          <cell r="BY565">
            <v>3</v>
          </cell>
          <cell r="BZ565">
            <v>3</v>
          </cell>
          <cell r="CA565">
            <v>0</v>
          </cell>
          <cell r="CB565">
            <v>0</v>
          </cell>
          <cell r="CC565">
            <v>0</v>
          </cell>
          <cell r="CD565">
            <v>3</v>
          </cell>
          <cell r="CE565">
            <v>3</v>
          </cell>
          <cell r="CF565">
            <v>0</v>
          </cell>
          <cell r="CG565">
            <v>3</v>
          </cell>
          <cell r="CH565">
            <v>3</v>
          </cell>
          <cell r="CI565">
            <v>0</v>
          </cell>
          <cell r="CJ565">
            <v>0</v>
          </cell>
          <cell r="CK565">
            <v>0</v>
          </cell>
          <cell r="CL565">
            <v>0</v>
          </cell>
          <cell r="CM565">
            <v>0</v>
          </cell>
          <cell r="CR565">
            <v>0</v>
          </cell>
          <cell r="CS565">
            <v>0</v>
          </cell>
          <cell r="CT565">
            <v>42</v>
          </cell>
          <cell r="CU565">
            <v>0</v>
          </cell>
          <cell r="CV565">
            <v>0</v>
          </cell>
          <cell r="CZ565">
            <v>42</v>
          </cell>
        </row>
        <row r="566">
          <cell r="C566" t="str">
            <v>03715</v>
          </cell>
          <cell r="D566" t="str">
            <v>Kim Dung</v>
          </cell>
          <cell r="E566" t="str">
            <v>Warehouse</v>
          </cell>
          <cell r="F566" t="str">
            <v>RM Warehouse</v>
          </cell>
          <cell r="G566" t="str">
            <v>Worker</v>
          </cell>
          <cell r="H566">
            <v>44972</v>
          </cell>
          <cell r="I566">
            <v>8</v>
          </cell>
          <cell r="J566">
            <v>8</v>
          </cell>
          <cell r="K566">
            <v>8</v>
          </cell>
          <cell r="L566" t="str">
            <v>CN</v>
          </cell>
          <cell r="M566">
            <v>8</v>
          </cell>
          <cell r="N566">
            <v>8</v>
          </cell>
          <cell r="O566">
            <v>8</v>
          </cell>
          <cell r="P566">
            <v>8</v>
          </cell>
          <cell r="Q566">
            <v>8</v>
          </cell>
          <cell r="R566">
            <v>8</v>
          </cell>
          <cell r="S566" t="str">
            <v>CN</v>
          </cell>
          <cell r="T566">
            <v>8</v>
          </cell>
          <cell r="U566">
            <v>8</v>
          </cell>
          <cell r="V566">
            <v>8</v>
          </cell>
          <cell r="W566">
            <v>8</v>
          </cell>
          <cell r="X566">
            <v>8</v>
          </cell>
          <cell r="Y566">
            <v>8</v>
          </cell>
          <cell r="Z566" t="str">
            <v>CN</v>
          </cell>
          <cell r="AA566">
            <v>8</v>
          </cell>
          <cell r="AB566">
            <v>8</v>
          </cell>
          <cell r="AC566">
            <v>8</v>
          </cell>
          <cell r="AD566">
            <v>8</v>
          </cell>
          <cell r="AE566">
            <v>8</v>
          </cell>
          <cell r="AF566">
            <v>8</v>
          </cell>
          <cell r="AG566" t="str">
            <v>CN</v>
          </cell>
          <cell r="AH566">
            <v>8</v>
          </cell>
          <cell r="AI566">
            <v>8</v>
          </cell>
          <cell r="AJ566">
            <v>8</v>
          </cell>
          <cell r="AN566">
            <v>0</v>
          </cell>
          <cell r="AO566">
            <v>192</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192</v>
          </cell>
          <cell r="BH566">
            <v>0</v>
          </cell>
          <cell r="BI566">
            <v>0</v>
          </cell>
          <cell r="BJ566">
            <v>2</v>
          </cell>
          <cell r="BL566">
            <v>3</v>
          </cell>
          <cell r="BM566">
            <v>0</v>
          </cell>
          <cell r="BN566">
            <v>0</v>
          </cell>
          <cell r="BO566">
            <v>0</v>
          </cell>
          <cell r="BP566">
            <v>3</v>
          </cell>
          <cell r="BQ566">
            <v>0</v>
          </cell>
          <cell r="BR566">
            <v>3</v>
          </cell>
          <cell r="BS566">
            <v>0</v>
          </cell>
          <cell r="BT566">
            <v>3</v>
          </cell>
          <cell r="BU566">
            <v>0</v>
          </cell>
          <cell r="BV566">
            <v>0</v>
          </cell>
          <cell r="BW566">
            <v>3</v>
          </cell>
          <cell r="BX566">
            <v>0</v>
          </cell>
          <cell r="BY566">
            <v>3</v>
          </cell>
          <cell r="BZ566">
            <v>3</v>
          </cell>
          <cell r="CA566">
            <v>3</v>
          </cell>
          <cell r="CB566">
            <v>0</v>
          </cell>
          <cell r="CC566">
            <v>0</v>
          </cell>
          <cell r="CD566">
            <v>0</v>
          </cell>
          <cell r="CE566">
            <v>3</v>
          </cell>
          <cell r="CF566">
            <v>0</v>
          </cell>
          <cell r="CG566">
            <v>3</v>
          </cell>
          <cell r="CH566">
            <v>3</v>
          </cell>
          <cell r="CI566">
            <v>0</v>
          </cell>
          <cell r="CJ566">
            <v>8</v>
          </cell>
          <cell r="CK566">
            <v>0</v>
          </cell>
          <cell r="CL566">
            <v>3</v>
          </cell>
          <cell r="CM566">
            <v>3</v>
          </cell>
          <cell r="CR566">
            <v>0</v>
          </cell>
          <cell r="CS566">
            <v>0</v>
          </cell>
          <cell r="CT566">
            <v>39</v>
          </cell>
          <cell r="CU566">
            <v>8</v>
          </cell>
          <cell r="CV566">
            <v>0</v>
          </cell>
          <cell r="CZ566">
            <v>47</v>
          </cell>
        </row>
        <row r="567">
          <cell r="C567" t="str">
            <v>03719</v>
          </cell>
          <cell r="D567" t="str">
            <v>Nguyễn Duy An</v>
          </cell>
          <cell r="E567" t="str">
            <v>Production</v>
          </cell>
          <cell r="F567" t="str">
            <v>Lamination</v>
          </cell>
          <cell r="G567" t="str">
            <v>Worker</v>
          </cell>
          <cell r="H567">
            <v>44972</v>
          </cell>
          <cell r="I567" t="str">
            <v>Đ</v>
          </cell>
          <cell r="J567" t="str">
            <v>Đ</v>
          </cell>
          <cell r="K567" t="str">
            <v>Đ</v>
          </cell>
          <cell r="L567" t="str">
            <v>CN</v>
          </cell>
          <cell r="M567">
            <v>8</v>
          </cell>
          <cell r="N567">
            <v>8</v>
          </cell>
          <cell r="O567">
            <v>8</v>
          </cell>
          <cell r="P567">
            <v>8</v>
          </cell>
          <cell r="Q567">
            <v>8</v>
          </cell>
          <cell r="R567" t="str">
            <v>AL4</v>
          </cell>
          <cell r="S567" t="str">
            <v>CN</v>
          </cell>
          <cell r="T567" t="str">
            <v>Đ</v>
          </cell>
          <cell r="U567" t="str">
            <v>Đ</v>
          </cell>
          <cell r="V567" t="str">
            <v>Đ</v>
          </cell>
          <cell r="W567" t="str">
            <v>Đ</v>
          </cell>
          <cell r="X567" t="str">
            <v>Đ</v>
          </cell>
          <cell r="Y567" t="str">
            <v>CN</v>
          </cell>
          <cell r="Z567">
            <v>8</v>
          </cell>
          <cell r="AA567">
            <v>8</v>
          </cell>
          <cell r="AB567" t="str">
            <v>AL4</v>
          </cell>
          <cell r="AC567">
            <v>8</v>
          </cell>
          <cell r="AD567">
            <v>8</v>
          </cell>
          <cell r="AE567">
            <v>8</v>
          </cell>
          <cell r="AF567" t="str">
            <v>CN</v>
          </cell>
          <cell r="AG567">
            <v>8</v>
          </cell>
          <cell r="AH567">
            <v>8</v>
          </cell>
          <cell r="AI567">
            <v>8</v>
          </cell>
          <cell r="AJ567" t="str">
            <v>AL8</v>
          </cell>
          <cell r="AN567">
            <v>64</v>
          </cell>
          <cell r="AO567">
            <v>112</v>
          </cell>
          <cell r="AP567">
            <v>8</v>
          </cell>
          <cell r="AQ567">
            <v>0</v>
          </cell>
          <cell r="AR567">
            <v>0</v>
          </cell>
          <cell r="AS567">
            <v>0</v>
          </cell>
          <cell r="AT567">
            <v>0</v>
          </cell>
          <cell r="AU567">
            <v>0</v>
          </cell>
          <cell r="AV567">
            <v>0</v>
          </cell>
          <cell r="AW567">
            <v>0</v>
          </cell>
          <cell r="AX567">
            <v>0</v>
          </cell>
          <cell r="AY567">
            <v>0</v>
          </cell>
          <cell r="AZ567">
            <v>0</v>
          </cell>
          <cell r="BA567">
            <v>16</v>
          </cell>
          <cell r="BB567">
            <v>0</v>
          </cell>
          <cell r="BC567">
            <v>0</v>
          </cell>
          <cell r="BD567">
            <v>0</v>
          </cell>
          <cell r="BE567">
            <v>0</v>
          </cell>
          <cell r="BF567">
            <v>0</v>
          </cell>
          <cell r="BG567">
            <v>192</v>
          </cell>
          <cell r="BH567">
            <v>2</v>
          </cell>
          <cell r="BI567">
            <v>2</v>
          </cell>
          <cell r="BJ567">
            <v>0.5</v>
          </cell>
          <cell r="BL567">
            <v>0</v>
          </cell>
          <cell r="BM567">
            <v>0</v>
          </cell>
          <cell r="BN567">
            <v>0</v>
          </cell>
          <cell r="BO567">
            <v>0</v>
          </cell>
          <cell r="BP567">
            <v>0</v>
          </cell>
          <cell r="BQ567">
            <v>0</v>
          </cell>
          <cell r="BR567">
            <v>0</v>
          </cell>
          <cell r="BS567">
            <v>0</v>
          </cell>
          <cell r="BT567">
            <v>0</v>
          </cell>
          <cell r="BU567">
            <v>0</v>
          </cell>
          <cell r="BV567">
            <v>0</v>
          </cell>
          <cell r="BW567">
            <v>0</v>
          </cell>
          <cell r="BX567">
            <v>0</v>
          </cell>
          <cell r="BY567">
            <v>0</v>
          </cell>
          <cell r="BZ567">
            <v>4</v>
          </cell>
          <cell r="CA567">
            <v>4</v>
          </cell>
          <cell r="CB567">
            <v>0</v>
          </cell>
          <cell r="CC567">
            <v>4</v>
          </cell>
          <cell r="CD567">
            <v>0</v>
          </cell>
          <cell r="CE567">
            <v>0</v>
          </cell>
          <cell r="CF567">
            <v>0</v>
          </cell>
          <cell r="CG567">
            <v>4</v>
          </cell>
          <cell r="CH567">
            <v>4</v>
          </cell>
          <cell r="CI567">
            <v>0</v>
          </cell>
          <cell r="CJ567">
            <v>4</v>
          </cell>
          <cell r="CK567">
            <v>0</v>
          </cell>
          <cell r="CL567">
            <v>0</v>
          </cell>
          <cell r="CM567">
            <v>0</v>
          </cell>
          <cell r="CR567">
            <v>0</v>
          </cell>
          <cell r="CS567">
            <v>0</v>
          </cell>
          <cell r="CT567">
            <v>24</v>
          </cell>
          <cell r="CU567">
            <v>0</v>
          </cell>
          <cell r="CV567">
            <v>0</v>
          </cell>
          <cell r="CZ567">
            <v>24</v>
          </cell>
        </row>
        <row r="568">
          <cell r="C568" t="str">
            <v>03721</v>
          </cell>
          <cell r="D568" t="str">
            <v>Nguyễn Kim Tiền</v>
          </cell>
          <cell r="E568" t="str">
            <v>Production</v>
          </cell>
          <cell r="F568" t="str">
            <v>Logo</v>
          </cell>
          <cell r="G568" t="str">
            <v>Worker</v>
          </cell>
          <cell r="H568">
            <v>44972</v>
          </cell>
          <cell r="I568">
            <v>8</v>
          </cell>
          <cell r="J568">
            <v>8</v>
          </cell>
          <cell r="K568">
            <v>8</v>
          </cell>
          <cell r="L568" t="str">
            <v>CN</v>
          </cell>
          <cell r="M568" t="str">
            <v>Đ</v>
          </cell>
          <cell r="N568" t="str">
            <v>Đ</v>
          </cell>
          <cell r="O568" t="str">
            <v>Đ</v>
          </cell>
          <cell r="P568" t="str">
            <v>Đ</v>
          </cell>
          <cell r="Q568" t="str">
            <v>Đ</v>
          </cell>
          <cell r="R568" t="str">
            <v>Đ</v>
          </cell>
          <cell r="S568" t="str">
            <v>CN</v>
          </cell>
          <cell r="T568">
            <v>8</v>
          </cell>
          <cell r="U568">
            <v>8</v>
          </cell>
          <cell r="V568">
            <v>8</v>
          </cell>
          <cell r="W568">
            <v>8</v>
          </cell>
          <cell r="X568">
            <v>8</v>
          </cell>
          <cell r="Y568">
            <v>8</v>
          </cell>
          <cell r="Z568" t="str">
            <v>CN</v>
          </cell>
          <cell r="AA568" t="str">
            <v>Đ</v>
          </cell>
          <cell r="AB568" t="str">
            <v>Đ</v>
          </cell>
          <cell r="AC568" t="str">
            <v>Đ</v>
          </cell>
          <cell r="AD568" t="str">
            <v>Đ</v>
          </cell>
          <cell r="AE568" t="str">
            <v>Đ</v>
          </cell>
          <cell r="AF568" t="str">
            <v>Đ</v>
          </cell>
          <cell r="AG568" t="str">
            <v>CN</v>
          </cell>
          <cell r="AH568">
            <v>8</v>
          </cell>
          <cell r="AI568">
            <v>8</v>
          </cell>
          <cell r="AJ568">
            <v>8</v>
          </cell>
          <cell r="AN568">
            <v>96</v>
          </cell>
          <cell r="AO568">
            <v>96</v>
          </cell>
          <cell r="AP568">
            <v>0</v>
          </cell>
          <cell r="AQ568">
            <v>0</v>
          </cell>
          <cell r="AR568">
            <v>0</v>
          </cell>
          <cell r="AS568">
            <v>0</v>
          </cell>
          <cell r="AT568">
            <v>0</v>
          </cell>
          <cell r="AU568">
            <v>0</v>
          </cell>
          <cell r="AV568">
            <v>0</v>
          </cell>
          <cell r="AW568">
            <v>0</v>
          </cell>
          <cell r="AX568">
            <v>0</v>
          </cell>
          <cell r="AY568">
            <v>0</v>
          </cell>
          <cell r="AZ568">
            <v>0</v>
          </cell>
          <cell r="BA568">
            <v>0</v>
          </cell>
          <cell r="BB568">
            <v>0</v>
          </cell>
          <cell r="BC568">
            <v>0</v>
          </cell>
          <cell r="BD568">
            <v>0</v>
          </cell>
          <cell r="BE568">
            <v>0</v>
          </cell>
          <cell r="BF568">
            <v>0</v>
          </cell>
          <cell r="BG568">
            <v>192</v>
          </cell>
          <cell r="BH568">
            <v>0</v>
          </cell>
          <cell r="BI568">
            <v>0</v>
          </cell>
          <cell r="BJ568">
            <v>0</v>
          </cell>
          <cell r="BL568">
            <v>0</v>
          </cell>
          <cell r="BM568">
            <v>0</v>
          </cell>
          <cell r="BN568">
            <v>0</v>
          </cell>
          <cell r="BO568">
            <v>0</v>
          </cell>
          <cell r="BP568">
            <v>1.5</v>
          </cell>
          <cell r="BQ568">
            <v>3</v>
          </cell>
          <cell r="BR568">
            <v>0</v>
          </cell>
          <cell r="BS568">
            <v>3</v>
          </cell>
          <cell r="BT568">
            <v>3</v>
          </cell>
          <cell r="BU568">
            <v>0</v>
          </cell>
          <cell r="BV568">
            <v>0</v>
          </cell>
          <cell r="BW568">
            <v>3</v>
          </cell>
          <cell r="BX568">
            <v>3</v>
          </cell>
          <cell r="BY568">
            <v>3</v>
          </cell>
          <cell r="BZ568">
            <v>3</v>
          </cell>
          <cell r="CA568">
            <v>3</v>
          </cell>
          <cell r="CB568">
            <v>3</v>
          </cell>
          <cell r="CC568">
            <v>8</v>
          </cell>
          <cell r="CD568">
            <v>4</v>
          </cell>
          <cell r="CE568">
            <v>4</v>
          </cell>
          <cell r="CF568">
            <v>4</v>
          </cell>
          <cell r="CG568">
            <v>4</v>
          </cell>
          <cell r="CH568">
            <v>1.5</v>
          </cell>
          <cell r="CI568">
            <v>1.5</v>
          </cell>
          <cell r="CJ568">
            <v>0</v>
          </cell>
          <cell r="CK568">
            <v>1.5</v>
          </cell>
          <cell r="CL568">
            <v>1.5</v>
          </cell>
          <cell r="CM568">
            <v>1.5</v>
          </cell>
          <cell r="CR568">
            <v>0</v>
          </cell>
          <cell r="CS568">
            <v>0</v>
          </cell>
          <cell r="CT568">
            <v>52</v>
          </cell>
          <cell r="CU568">
            <v>8</v>
          </cell>
          <cell r="CV568">
            <v>0</v>
          </cell>
          <cell r="CZ568">
            <v>60</v>
          </cell>
        </row>
        <row r="569">
          <cell r="C569" t="str">
            <v>03722</v>
          </cell>
          <cell r="D569" t="str">
            <v>Võ Văn Kiệt</v>
          </cell>
          <cell r="E569" t="str">
            <v>Production</v>
          </cell>
          <cell r="F569" t="str">
            <v>Lamination</v>
          </cell>
          <cell r="G569" t="str">
            <v>Worker</v>
          </cell>
          <cell r="H569">
            <v>44972</v>
          </cell>
          <cell r="I569">
            <v>8</v>
          </cell>
          <cell r="J569">
            <v>8</v>
          </cell>
          <cell r="K569">
            <v>8</v>
          </cell>
          <cell r="L569" t="str">
            <v>CN</v>
          </cell>
          <cell r="M569">
            <v>8</v>
          </cell>
          <cell r="N569">
            <v>8</v>
          </cell>
          <cell r="O569">
            <v>8</v>
          </cell>
          <cell r="P569">
            <v>8</v>
          </cell>
          <cell r="Q569" t="str">
            <v>AL8</v>
          </cell>
          <cell r="R569" t="str">
            <v>AL8</v>
          </cell>
          <cell r="S569" t="str">
            <v>CN</v>
          </cell>
          <cell r="T569" t="str">
            <v>Đ</v>
          </cell>
          <cell r="U569" t="str">
            <v>Đ</v>
          </cell>
          <cell r="V569" t="str">
            <v>Đ</v>
          </cell>
          <cell r="W569" t="str">
            <v>Đ</v>
          </cell>
          <cell r="X569" t="str">
            <v>Đ</v>
          </cell>
          <cell r="Y569" t="str">
            <v>Đ</v>
          </cell>
          <cell r="Z569" t="str">
            <v>CN</v>
          </cell>
          <cell r="AA569" t="str">
            <v>Đ</v>
          </cell>
          <cell r="AB569" t="str">
            <v>Đ</v>
          </cell>
          <cell r="AC569" t="str">
            <v>Đ</v>
          </cell>
          <cell r="AD569" t="str">
            <v>Đ</v>
          </cell>
          <cell r="AE569" t="str">
            <v>CN</v>
          </cell>
          <cell r="AF569">
            <v>8</v>
          </cell>
          <cell r="AG569" t="str">
            <v>Đ</v>
          </cell>
          <cell r="AH569" t="str">
            <v>Đ</v>
          </cell>
          <cell r="AI569" t="str">
            <v>Đ</v>
          </cell>
          <cell r="AJ569" t="str">
            <v>Đ</v>
          </cell>
          <cell r="AN569">
            <v>112</v>
          </cell>
          <cell r="AO569">
            <v>64</v>
          </cell>
          <cell r="AP569">
            <v>0</v>
          </cell>
          <cell r="AQ569">
            <v>0</v>
          </cell>
          <cell r="AR569">
            <v>0</v>
          </cell>
          <cell r="AS569">
            <v>0</v>
          </cell>
          <cell r="AT569">
            <v>0</v>
          </cell>
          <cell r="AU569">
            <v>0</v>
          </cell>
          <cell r="AV569">
            <v>0</v>
          </cell>
          <cell r="AW569">
            <v>0</v>
          </cell>
          <cell r="AX569">
            <v>0</v>
          </cell>
          <cell r="AY569">
            <v>0</v>
          </cell>
          <cell r="AZ569">
            <v>0</v>
          </cell>
          <cell r="BA569">
            <v>16</v>
          </cell>
          <cell r="BB569">
            <v>0</v>
          </cell>
          <cell r="BC569">
            <v>0</v>
          </cell>
          <cell r="BD569">
            <v>0</v>
          </cell>
          <cell r="BE569">
            <v>0</v>
          </cell>
          <cell r="BF569">
            <v>0</v>
          </cell>
          <cell r="BG569">
            <v>192</v>
          </cell>
          <cell r="BH569">
            <v>2</v>
          </cell>
          <cell r="BI569">
            <v>2</v>
          </cell>
          <cell r="BJ569">
            <v>2</v>
          </cell>
          <cell r="BL569">
            <v>0</v>
          </cell>
          <cell r="BM569">
            <v>4</v>
          </cell>
          <cell r="BN569">
            <v>0</v>
          </cell>
          <cell r="BO569">
            <v>0</v>
          </cell>
          <cell r="BP569">
            <v>4</v>
          </cell>
          <cell r="BQ569">
            <v>0</v>
          </cell>
          <cell r="BR569">
            <v>4</v>
          </cell>
          <cell r="BS569">
            <v>4</v>
          </cell>
          <cell r="BT569">
            <v>0</v>
          </cell>
          <cell r="BU569">
            <v>0</v>
          </cell>
          <cell r="BV569">
            <v>0</v>
          </cell>
          <cell r="BW569">
            <v>2</v>
          </cell>
          <cell r="BX569">
            <v>2</v>
          </cell>
          <cell r="BY569">
            <v>0</v>
          </cell>
          <cell r="BZ569">
            <v>0</v>
          </cell>
          <cell r="CA569">
            <v>4</v>
          </cell>
          <cell r="CB569">
            <v>4</v>
          </cell>
          <cell r="CC569">
            <v>0</v>
          </cell>
          <cell r="CD569">
            <v>0</v>
          </cell>
          <cell r="CE569">
            <v>4</v>
          </cell>
          <cell r="CF569">
            <v>0</v>
          </cell>
          <cell r="CG569">
            <v>0</v>
          </cell>
          <cell r="CH569">
            <v>0</v>
          </cell>
          <cell r="CI569">
            <v>4</v>
          </cell>
          <cell r="CJ569">
            <v>4</v>
          </cell>
          <cell r="CK569">
            <v>0</v>
          </cell>
          <cell r="CL569">
            <v>4</v>
          </cell>
          <cell r="CM569">
            <v>0</v>
          </cell>
          <cell r="CR569">
            <v>0</v>
          </cell>
          <cell r="CS569">
            <v>0</v>
          </cell>
          <cell r="CT569">
            <v>44</v>
          </cell>
          <cell r="CU569">
            <v>0</v>
          </cell>
          <cell r="CV569">
            <v>0</v>
          </cell>
          <cell r="CZ569">
            <v>44</v>
          </cell>
        </row>
        <row r="570">
          <cell r="C570" t="str">
            <v>03724</v>
          </cell>
          <cell r="D570" t="str">
            <v>Lê Thị Như Ngọc</v>
          </cell>
          <cell r="E570" t="str">
            <v>Production</v>
          </cell>
          <cell r="F570" t="str">
            <v>Packing</v>
          </cell>
          <cell r="G570" t="str">
            <v>Worker</v>
          </cell>
          <cell r="H570">
            <v>44972</v>
          </cell>
          <cell r="I570" t="str">
            <v>Đ</v>
          </cell>
          <cell r="J570" t="str">
            <v>Đ</v>
          </cell>
          <cell r="K570" t="str">
            <v>Đ</v>
          </cell>
          <cell r="L570" t="str">
            <v>CN</v>
          </cell>
          <cell r="M570">
            <v>8</v>
          </cell>
          <cell r="N570">
            <v>8</v>
          </cell>
          <cell r="O570" t="str">
            <v>AL4</v>
          </cell>
          <cell r="P570">
            <v>8</v>
          </cell>
          <cell r="Q570" t="str">
            <v>AL4</v>
          </cell>
          <cell r="R570" t="str">
            <v>AL8</v>
          </cell>
          <cell r="S570" t="str">
            <v>CN</v>
          </cell>
          <cell r="T570" t="str">
            <v>Đ</v>
          </cell>
          <cell r="U570" t="str">
            <v>Đ</v>
          </cell>
          <cell r="V570" t="str">
            <v>Đ</v>
          </cell>
          <cell r="W570" t="str">
            <v>Đ</v>
          </cell>
          <cell r="X570" t="str">
            <v>Đ</v>
          </cell>
          <cell r="Y570" t="str">
            <v>Đ</v>
          </cell>
          <cell r="Z570" t="str">
            <v>CN</v>
          </cell>
          <cell r="AA570">
            <v>8</v>
          </cell>
          <cell r="AB570">
            <v>8</v>
          </cell>
          <cell r="AC570">
            <v>8</v>
          </cell>
          <cell r="AD570">
            <v>8</v>
          </cell>
          <cell r="AE570">
            <v>8</v>
          </cell>
          <cell r="AF570">
            <v>8</v>
          </cell>
          <cell r="AG570" t="str">
            <v>CN</v>
          </cell>
          <cell r="AH570" t="str">
            <v>Đ</v>
          </cell>
          <cell r="AI570" t="str">
            <v>Đ</v>
          </cell>
          <cell r="AJ570" t="str">
            <v>Đ</v>
          </cell>
          <cell r="AN570">
            <v>96</v>
          </cell>
          <cell r="AO570">
            <v>80</v>
          </cell>
          <cell r="AP570">
            <v>8</v>
          </cell>
          <cell r="AQ570">
            <v>0</v>
          </cell>
          <cell r="AR570">
            <v>0</v>
          </cell>
          <cell r="AS570">
            <v>0</v>
          </cell>
          <cell r="AT570">
            <v>0</v>
          </cell>
          <cell r="AU570">
            <v>0</v>
          </cell>
          <cell r="AV570">
            <v>0</v>
          </cell>
          <cell r="AW570">
            <v>0</v>
          </cell>
          <cell r="AX570">
            <v>0</v>
          </cell>
          <cell r="AY570">
            <v>0</v>
          </cell>
          <cell r="AZ570">
            <v>0</v>
          </cell>
          <cell r="BA570">
            <v>16</v>
          </cell>
          <cell r="BB570">
            <v>0</v>
          </cell>
          <cell r="BC570">
            <v>0</v>
          </cell>
          <cell r="BD570">
            <v>0</v>
          </cell>
          <cell r="BE570">
            <v>0</v>
          </cell>
          <cell r="BF570">
            <v>0</v>
          </cell>
          <cell r="BG570">
            <v>192</v>
          </cell>
          <cell r="BH570">
            <v>2</v>
          </cell>
          <cell r="BI570">
            <v>2</v>
          </cell>
          <cell r="BJ570">
            <v>-0.5</v>
          </cell>
          <cell r="BL570">
            <v>1.5</v>
          </cell>
          <cell r="BM570">
            <v>1.5</v>
          </cell>
          <cell r="BN570">
            <v>1.5</v>
          </cell>
          <cell r="BO570">
            <v>0</v>
          </cell>
          <cell r="BP570">
            <v>1.5</v>
          </cell>
          <cell r="BQ570">
            <v>0</v>
          </cell>
          <cell r="BR570">
            <v>0</v>
          </cell>
          <cell r="BS570">
            <v>3</v>
          </cell>
          <cell r="BT570">
            <v>2</v>
          </cell>
          <cell r="BU570">
            <v>0</v>
          </cell>
          <cell r="BV570">
            <v>0</v>
          </cell>
          <cell r="BW570">
            <v>4</v>
          </cell>
          <cell r="BX570">
            <v>4</v>
          </cell>
          <cell r="BY570">
            <v>4</v>
          </cell>
          <cell r="BZ570">
            <v>4</v>
          </cell>
          <cell r="CA570">
            <v>4</v>
          </cell>
          <cell r="CB570">
            <v>4</v>
          </cell>
          <cell r="CC570">
            <v>0</v>
          </cell>
          <cell r="CD570">
            <v>3</v>
          </cell>
          <cell r="CE570">
            <v>3</v>
          </cell>
          <cell r="CF570">
            <v>3</v>
          </cell>
          <cell r="CG570">
            <v>3</v>
          </cell>
          <cell r="CH570">
            <v>3</v>
          </cell>
          <cell r="CI570">
            <v>3</v>
          </cell>
          <cell r="CJ570">
            <v>8</v>
          </cell>
          <cell r="CK570">
            <v>4</v>
          </cell>
          <cell r="CL570">
            <v>4</v>
          </cell>
          <cell r="CM570">
            <v>4</v>
          </cell>
          <cell r="CR570">
            <v>0</v>
          </cell>
          <cell r="CS570">
            <v>0</v>
          </cell>
          <cell r="CT570">
            <v>65</v>
          </cell>
          <cell r="CU570">
            <v>8</v>
          </cell>
          <cell r="CV570">
            <v>0</v>
          </cell>
          <cell r="CZ570">
            <v>73</v>
          </cell>
        </row>
        <row r="571">
          <cell r="C571" t="str">
            <v>03725</v>
          </cell>
          <cell r="D571" t="str">
            <v>Lê Thị Như Ý</v>
          </cell>
          <cell r="E571" t="str">
            <v>Production</v>
          </cell>
          <cell r="F571" t="str">
            <v>Logo</v>
          </cell>
          <cell r="G571" t="str">
            <v>Worker</v>
          </cell>
          <cell r="H571">
            <v>44972</v>
          </cell>
          <cell r="I571" t="str">
            <v>Đ</v>
          </cell>
          <cell r="J571" t="str">
            <v>Đ</v>
          </cell>
          <cell r="K571" t="str">
            <v>Đ</v>
          </cell>
          <cell r="L571" t="str">
            <v>CN</v>
          </cell>
          <cell r="M571">
            <v>8</v>
          </cell>
          <cell r="N571">
            <v>8</v>
          </cell>
          <cell r="O571">
            <v>8</v>
          </cell>
          <cell r="P571">
            <v>8</v>
          </cell>
          <cell r="Q571">
            <v>8</v>
          </cell>
          <cell r="R571">
            <v>8</v>
          </cell>
          <cell r="S571" t="str">
            <v>CN</v>
          </cell>
          <cell r="T571" t="str">
            <v>Đ</v>
          </cell>
          <cell r="U571" t="str">
            <v>Đ</v>
          </cell>
          <cell r="V571" t="str">
            <v>Đ</v>
          </cell>
          <cell r="W571" t="str">
            <v>Đ</v>
          </cell>
          <cell r="X571" t="str">
            <v>Đ</v>
          </cell>
          <cell r="Y571" t="str">
            <v>Đ</v>
          </cell>
          <cell r="Z571" t="str">
            <v>CN</v>
          </cell>
          <cell r="AA571">
            <v>8</v>
          </cell>
          <cell r="AB571">
            <v>8</v>
          </cell>
          <cell r="AC571">
            <v>8</v>
          </cell>
          <cell r="AD571">
            <v>8</v>
          </cell>
          <cell r="AE571">
            <v>8</v>
          </cell>
          <cell r="AF571" t="str">
            <v>AL4</v>
          </cell>
          <cell r="AG571" t="str">
            <v>CN</v>
          </cell>
          <cell r="AH571" t="str">
            <v>Đ</v>
          </cell>
          <cell r="AI571" t="str">
            <v>Đ</v>
          </cell>
          <cell r="AJ571" t="str">
            <v>Đ</v>
          </cell>
          <cell r="AN571">
            <v>96</v>
          </cell>
          <cell r="AO571">
            <v>92</v>
          </cell>
          <cell r="AP571">
            <v>4</v>
          </cell>
          <cell r="AQ571">
            <v>0</v>
          </cell>
          <cell r="AR571">
            <v>0</v>
          </cell>
          <cell r="AS571">
            <v>0</v>
          </cell>
          <cell r="AT571">
            <v>0</v>
          </cell>
          <cell r="AU571">
            <v>0</v>
          </cell>
          <cell r="AV571">
            <v>0</v>
          </cell>
          <cell r="AW571">
            <v>0</v>
          </cell>
          <cell r="AX571">
            <v>0</v>
          </cell>
          <cell r="AY571">
            <v>0</v>
          </cell>
          <cell r="AZ571">
            <v>0</v>
          </cell>
          <cell r="BA571">
            <v>4</v>
          </cell>
          <cell r="BB571">
            <v>0</v>
          </cell>
          <cell r="BC571">
            <v>0</v>
          </cell>
          <cell r="BD571">
            <v>0</v>
          </cell>
          <cell r="BE571">
            <v>0</v>
          </cell>
          <cell r="BF571">
            <v>0</v>
          </cell>
          <cell r="BG571">
            <v>192</v>
          </cell>
          <cell r="BH571">
            <v>0.5</v>
          </cell>
          <cell r="BI571">
            <v>0.5</v>
          </cell>
          <cell r="BJ571">
            <v>0.5</v>
          </cell>
          <cell r="BL571">
            <v>1.5</v>
          </cell>
          <cell r="BM571">
            <v>1.5</v>
          </cell>
          <cell r="BN571">
            <v>1.5</v>
          </cell>
          <cell r="BO571">
            <v>0</v>
          </cell>
          <cell r="BP571">
            <v>1.5</v>
          </cell>
          <cell r="BQ571">
            <v>0</v>
          </cell>
          <cell r="BR571">
            <v>0</v>
          </cell>
          <cell r="BS571">
            <v>3</v>
          </cell>
          <cell r="BT571">
            <v>3</v>
          </cell>
          <cell r="BU571">
            <v>3</v>
          </cell>
          <cell r="BV571">
            <v>0</v>
          </cell>
          <cell r="BW571">
            <v>4</v>
          </cell>
          <cell r="BX571">
            <v>4</v>
          </cell>
          <cell r="BY571">
            <v>4</v>
          </cell>
          <cell r="BZ571">
            <v>4</v>
          </cell>
          <cell r="CA571">
            <v>4</v>
          </cell>
          <cell r="CB571">
            <v>4</v>
          </cell>
          <cell r="CC571">
            <v>0</v>
          </cell>
          <cell r="CD571">
            <v>3</v>
          </cell>
          <cell r="CE571">
            <v>3</v>
          </cell>
          <cell r="CF571">
            <v>3</v>
          </cell>
          <cell r="CG571">
            <v>3</v>
          </cell>
          <cell r="CH571">
            <v>3</v>
          </cell>
          <cell r="CI571">
            <v>2</v>
          </cell>
          <cell r="CJ571">
            <v>8</v>
          </cell>
          <cell r="CK571">
            <v>4</v>
          </cell>
          <cell r="CL571">
            <v>4</v>
          </cell>
          <cell r="CM571">
            <v>4</v>
          </cell>
          <cell r="CR571">
            <v>0</v>
          </cell>
          <cell r="CS571">
            <v>0</v>
          </cell>
          <cell r="CT571">
            <v>68</v>
          </cell>
          <cell r="CU571">
            <v>8</v>
          </cell>
          <cell r="CV571">
            <v>0</v>
          </cell>
          <cell r="CZ571">
            <v>76</v>
          </cell>
        </row>
        <row r="572">
          <cell r="C572" t="str">
            <v>03727</v>
          </cell>
          <cell r="D572" t="str">
            <v>Võ Văn Nhiều</v>
          </cell>
          <cell r="E572" t="str">
            <v>Production</v>
          </cell>
          <cell r="F572" t="str">
            <v>Molding</v>
          </cell>
          <cell r="G572" t="str">
            <v>Worker</v>
          </cell>
          <cell r="H572">
            <v>44972</v>
          </cell>
          <cell r="I572" t="str">
            <v>Đ</v>
          </cell>
          <cell r="J572" t="str">
            <v>Đ</v>
          </cell>
          <cell r="K572" t="str">
            <v>CN</v>
          </cell>
          <cell r="L572">
            <v>8</v>
          </cell>
          <cell r="M572" t="str">
            <v>AL8</v>
          </cell>
          <cell r="N572">
            <v>8</v>
          </cell>
          <cell r="O572">
            <v>8</v>
          </cell>
          <cell r="P572">
            <v>8</v>
          </cell>
          <cell r="Q572">
            <v>8</v>
          </cell>
          <cell r="R572" t="str">
            <v>CN</v>
          </cell>
          <cell r="S572" t="str">
            <v>Đ</v>
          </cell>
          <cell r="T572" t="str">
            <v>Đ</v>
          </cell>
          <cell r="U572" t="str">
            <v>Đ</v>
          </cell>
          <cell r="V572" t="str">
            <v>Đ</v>
          </cell>
          <cell r="W572" t="str">
            <v>Đ</v>
          </cell>
          <cell r="X572" t="str">
            <v>Đ</v>
          </cell>
          <cell r="Y572" t="str">
            <v>CN</v>
          </cell>
          <cell r="Z572">
            <v>8</v>
          </cell>
          <cell r="AA572">
            <v>8</v>
          </cell>
          <cell r="AB572">
            <v>8</v>
          </cell>
          <cell r="AC572" t="str">
            <v>AL8</v>
          </cell>
          <cell r="AD572">
            <v>8</v>
          </cell>
          <cell r="AE572">
            <v>8</v>
          </cell>
          <cell r="AF572" t="str">
            <v>CN</v>
          </cell>
          <cell r="AG572" t="str">
            <v>Đ</v>
          </cell>
          <cell r="AH572" t="str">
            <v>Đ</v>
          </cell>
          <cell r="AI572" t="str">
            <v>Đ</v>
          </cell>
          <cell r="AJ572" t="str">
            <v>Đ</v>
          </cell>
          <cell r="AN572">
            <v>96</v>
          </cell>
          <cell r="AO572">
            <v>80</v>
          </cell>
          <cell r="AP572">
            <v>0</v>
          </cell>
          <cell r="AQ572">
            <v>0</v>
          </cell>
          <cell r="AR572">
            <v>0</v>
          </cell>
          <cell r="AS572">
            <v>0</v>
          </cell>
          <cell r="AT572">
            <v>0</v>
          </cell>
          <cell r="AU572">
            <v>0</v>
          </cell>
          <cell r="AV572">
            <v>0</v>
          </cell>
          <cell r="AW572">
            <v>0</v>
          </cell>
          <cell r="AX572">
            <v>0</v>
          </cell>
          <cell r="AY572">
            <v>0</v>
          </cell>
          <cell r="AZ572">
            <v>0</v>
          </cell>
          <cell r="BA572">
            <v>16</v>
          </cell>
          <cell r="BB572">
            <v>0</v>
          </cell>
          <cell r="BC572">
            <v>0</v>
          </cell>
          <cell r="BD572">
            <v>0</v>
          </cell>
          <cell r="BE572">
            <v>0</v>
          </cell>
          <cell r="BF572">
            <v>0</v>
          </cell>
          <cell r="BG572">
            <v>192</v>
          </cell>
          <cell r="BH572">
            <v>2</v>
          </cell>
          <cell r="BI572">
            <v>2</v>
          </cell>
          <cell r="BJ572">
            <v>1.5</v>
          </cell>
          <cell r="BL572">
            <v>0</v>
          </cell>
          <cell r="BM572">
            <v>4</v>
          </cell>
          <cell r="BN572">
            <v>0</v>
          </cell>
          <cell r="BO572">
            <v>4</v>
          </cell>
          <cell r="BP572">
            <v>0</v>
          </cell>
          <cell r="BQ572">
            <v>4</v>
          </cell>
          <cell r="BR572">
            <v>0</v>
          </cell>
          <cell r="BS572">
            <v>0</v>
          </cell>
          <cell r="BT572">
            <v>4</v>
          </cell>
          <cell r="BU572">
            <v>0</v>
          </cell>
          <cell r="BV572">
            <v>4</v>
          </cell>
          <cell r="BW572">
            <v>0</v>
          </cell>
          <cell r="BX572">
            <v>0</v>
          </cell>
          <cell r="BY572">
            <v>0</v>
          </cell>
          <cell r="BZ572">
            <v>4</v>
          </cell>
          <cell r="CA572">
            <v>4</v>
          </cell>
          <cell r="CB572">
            <v>0</v>
          </cell>
          <cell r="CC572">
            <v>4</v>
          </cell>
          <cell r="CD572">
            <v>0</v>
          </cell>
          <cell r="CE572">
            <v>0</v>
          </cell>
          <cell r="CF572">
            <v>0</v>
          </cell>
          <cell r="CG572">
            <v>4</v>
          </cell>
          <cell r="CH572">
            <v>0</v>
          </cell>
          <cell r="CI572">
            <v>0</v>
          </cell>
          <cell r="CJ572">
            <v>4</v>
          </cell>
          <cell r="CK572">
            <v>0</v>
          </cell>
          <cell r="CL572">
            <v>0</v>
          </cell>
          <cell r="CM572">
            <v>0</v>
          </cell>
          <cell r="CR572">
            <v>0</v>
          </cell>
          <cell r="CS572">
            <v>0</v>
          </cell>
          <cell r="CT572">
            <v>40</v>
          </cell>
          <cell r="CU572">
            <v>0</v>
          </cell>
          <cell r="CV572">
            <v>0</v>
          </cell>
          <cell r="CZ572">
            <v>40</v>
          </cell>
        </row>
        <row r="573">
          <cell r="C573" t="str">
            <v>03730</v>
          </cell>
          <cell r="D573" t="str">
            <v>Nguyễn Thị Trà My</v>
          </cell>
          <cell r="E573" t="str">
            <v>Production</v>
          </cell>
          <cell r="F573" t="str">
            <v>Packing</v>
          </cell>
          <cell r="G573" t="str">
            <v>Worker</v>
          </cell>
          <cell r="H573">
            <v>44972</v>
          </cell>
          <cell r="I573" t="str">
            <v>Đ</v>
          </cell>
          <cell r="J573" t="str">
            <v>Đ</v>
          </cell>
          <cell r="K573" t="str">
            <v>Đ</v>
          </cell>
          <cell r="L573" t="str">
            <v>CN</v>
          </cell>
          <cell r="M573">
            <v>8</v>
          </cell>
          <cell r="N573">
            <v>8</v>
          </cell>
          <cell r="O573">
            <v>8</v>
          </cell>
          <cell r="P573">
            <v>8</v>
          </cell>
          <cell r="Q573">
            <v>8</v>
          </cell>
          <cell r="R573">
            <v>8</v>
          </cell>
          <cell r="S573" t="str">
            <v>CN</v>
          </cell>
          <cell r="T573" t="str">
            <v>AL8</v>
          </cell>
          <cell r="U573" t="str">
            <v>Đ</v>
          </cell>
          <cell r="V573" t="str">
            <v>Đ</v>
          </cell>
          <cell r="W573" t="str">
            <v>Đ</v>
          </cell>
          <cell r="X573" t="str">
            <v>Đ</v>
          </cell>
          <cell r="Y573" t="str">
            <v>Đ</v>
          </cell>
          <cell r="Z573" t="str">
            <v>CN</v>
          </cell>
          <cell r="AA573">
            <v>8</v>
          </cell>
          <cell r="AB573">
            <v>8</v>
          </cell>
          <cell r="AC573">
            <v>8</v>
          </cell>
          <cell r="AD573">
            <v>8</v>
          </cell>
          <cell r="AE573">
            <v>8</v>
          </cell>
          <cell r="AF573">
            <v>8</v>
          </cell>
          <cell r="AG573" t="str">
            <v>CN</v>
          </cell>
          <cell r="AH573" t="str">
            <v>Đ</v>
          </cell>
          <cell r="AI573" t="str">
            <v>UP8</v>
          </cell>
          <cell r="AJ573" t="str">
            <v>Đ</v>
          </cell>
          <cell r="AN573">
            <v>80</v>
          </cell>
          <cell r="AO573">
            <v>96</v>
          </cell>
          <cell r="AP573">
            <v>0</v>
          </cell>
          <cell r="AQ573">
            <v>0</v>
          </cell>
          <cell r="AR573">
            <v>0</v>
          </cell>
          <cell r="AS573">
            <v>8</v>
          </cell>
          <cell r="AT573">
            <v>0</v>
          </cell>
          <cell r="AU573">
            <v>0</v>
          </cell>
          <cell r="AV573">
            <v>0</v>
          </cell>
          <cell r="AW573">
            <v>0</v>
          </cell>
          <cell r="AX573">
            <v>0</v>
          </cell>
          <cell r="AY573">
            <v>0</v>
          </cell>
          <cell r="AZ573">
            <v>0</v>
          </cell>
          <cell r="BA573">
            <v>8</v>
          </cell>
          <cell r="BB573">
            <v>0</v>
          </cell>
          <cell r="BC573">
            <v>0</v>
          </cell>
          <cell r="BD573">
            <v>0</v>
          </cell>
          <cell r="BE573">
            <v>0</v>
          </cell>
          <cell r="BF573">
            <v>0</v>
          </cell>
          <cell r="BG573">
            <v>184</v>
          </cell>
          <cell r="BH573">
            <v>1</v>
          </cell>
          <cell r="BI573">
            <v>1</v>
          </cell>
          <cell r="BJ573">
            <v>-1</v>
          </cell>
          <cell r="BL573">
            <v>1.5</v>
          </cell>
          <cell r="BM573">
            <v>1.5</v>
          </cell>
          <cell r="BN573">
            <v>1.5</v>
          </cell>
          <cell r="BO573">
            <v>0</v>
          </cell>
          <cell r="BP573">
            <v>1.5</v>
          </cell>
          <cell r="BQ573">
            <v>0</v>
          </cell>
          <cell r="BR573">
            <v>0</v>
          </cell>
          <cell r="BS573">
            <v>0</v>
          </cell>
          <cell r="BT573">
            <v>3</v>
          </cell>
          <cell r="BU573">
            <v>3</v>
          </cell>
          <cell r="BV573">
            <v>0</v>
          </cell>
          <cell r="BW573">
            <v>0</v>
          </cell>
          <cell r="BX573">
            <v>4</v>
          </cell>
          <cell r="BY573">
            <v>4</v>
          </cell>
          <cell r="BZ573">
            <v>4</v>
          </cell>
          <cell r="CA573">
            <v>4</v>
          </cell>
          <cell r="CB573">
            <v>4</v>
          </cell>
          <cell r="CC573">
            <v>0</v>
          </cell>
          <cell r="CD573">
            <v>3</v>
          </cell>
          <cell r="CE573">
            <v>3</v>
          </cell>
          <cell r="CF573">
            <v>3</v>
          </cell>
          <cell r="CG573">
            <v>3</v>
          </cell>
          <cell r="CH573">
            <v>3</v>
          </cell>
          <cell r="CI573">
            <v>3</v>
          </cell>
          <cell r="CJ573">
            <v>8</v>
          </cell>
          <cell r="CK573">
            <v>4</v>
          </cell>
          <cell r="CL573">
            <v>0</v>
          </cell>
          <cell r="CM573">
            <v>4</v>
          </cell>
          <cell r="CR573">
            <v>0</v>
          </cell>
          <cell r="CS573">
            <v>0</v>
          </cell>
          <cell r="CT573">
            <v>58</v>
          </cell>
          <cell r="CU573">
            <v>8</v>
          </cell>
          <cell r="CV573">
            <v>0</v>
          </cell>
          <cell r="CZ573">
            <v>66</v>
          </cell>
        </row>
        <row r="574">
          <cell r="C574" t="str">
            <v>03731</v>
          </cell>
          <cell r="D574" t="str">
            <v>Bùi Thị Mũi Hiên</v>
          </cell>
          <cell r="E574" t="str">
            <v>Production</v>
          </cell>
          <cell r="F574" t="str">
            <v>Skiving</v>
          </cell>
          <cell r="G574" t="str">
            <v>Worker</v>
          </cell>
          <cell r="H574">
            <v>44972</v>
          </cell>
          <cell r="I574" t="str">
            <v>Đ</v>
          </cell>
          <cell r="J574" t="str">
            <v>AL8</v>
          </cell>
          <cell r="K574" t="str">
            <v>AL8</v>
          </cell>
          <cell r="L574" t="str">
            <v>CN</v>
          </cell>
          <cell r="M574">
            <v>8</v>
          </cell>
          <cell r="N574">
            <v>8</v>
          </cell>
          <cell r="O574">
            <v>8</v>
          </cell>
          <cell r="P574">
            <v>8</v>
          </cell>
          <cell r="Q574">
            <v>8</v>
          </cell>
          <cell r="R574">
            <v>8</v>
          </cell>
          <cell r="S574" t="str">
            <v>CN</v>
          </cell>
          <cell r="T574" t="str">
            <v>Đ</v>
          </cell>
          <cell r="U574" t="str">
            <v>Đ</v>
          </cell>
          <cell r="V574" t="str">
            <v>Đ</v>
          </cell>
          <cell r="W574" t="str">
            <v>Đ</v>
          </cell>
          <cell r="X574" t="str">
            <v>Đ</v>
          </cell>
          <cell r="Y574" t="str">
            <v>Đ</v>
          </cell>
          <cell r="Z574" t="str">
            <v>CN</v>
          </cell>
          <cell r="AA574">
            <v>8</v>
          </cell>
          <cell r="AB574">
            <v>8</v>
          </cell>
          <cell r="AC574">
            <v>8</v>
          </cell>
          <cell r="AD574">
            <v>8</v>
          </cell>
          <cell r="AE574">
            <v>8</v>
          </cell>
          <cell r="AF574">
            <v>8</v>
          </cell>
          <cell r="AG574" t="str">
            <v>CN</v>
          </cell>
          <cell r="AH574" t="str">
            <v>Đ</v>
          </cell>
          <cell r="AI574" t="str">
            <v>Đ</v>
          </cell>
          <cell r="AJ574" t="str">
            <v>Đ</v>
          </cell>
          <cell r="AN574">
            <v>80</v>
          </cell>
          <cell r="AO574">
            <v>96</v>
          </cell>
          <cell r="AP574">
            <v>0</v>
          </cell>
          <cell r="AQ574">
            <v>0</v>
          </cell>
          <cell r="AR574">
            <v>0</v>
          </cell>
          <cell r="AS574">
            <v>0</v>
          </cell>
          <cell r="AT574">
            <v>0</v>
          </cell>
          <cell r="AU574">
            <v>0</v>
          </cell>
          <cell r="AV574">
            <v>0</v>
          </cell>
          <cell r="AW574">
            <v>0</v>
          </cell>
          <cell r="AX574">
            <v>0</v>
          </cell>
          <cell r="AY574">
            <v>0</v>
          </cell>
          <cell r="AZ574">
            <v>0</v>
          </cell>
          <cell r="BA574">
            <v>16</v>
          </cell>
          <cell r="BB574">
            <v>0</v>
          </cell>
          <cell r="BC574">
            <v>0</v>
          </cell>
          <cell r="BD574">
            <v>0</v>
          </cell>
          <cell r="BE574">
            <v>0</v>
          </cell>
          <cell r="BF574">
            <v>0</v>
          </cell>
          <cell r="BG574">
            <v>192</v>
          </cell>
          <cell r="BH574">
            <v>2</v>
          </cell>
          <cell r="BI574">
            <v>2</v>
          </cell>
          <cell r="BJ574">
            <v>2</v>
          </cell>
          <cell r="BL574">
            <v>0</v>
          </cell>
          <cell r="BM574">
            <v>0</v>
          </cell>
          <cell r="BN574">
            <v>0</v>
          </cell>
          <cell r="BO574">
            <v>0</v>
          </cell>
          <cell r="BP574">
            <v>1.5</v>
          </cell>
          <cell r="BQ574">
            <v>3</v>
          </cell>
          <cell r="BR574">
            <v>0</v>
          </cell>
          <cell r="BS574">
            <v>3</v>
          </cell>
          <cell r="BT574">
            <v>0</v>
          </cell>
          <cell r="BU574">
            <v>0</v>
          </cell>
          <cell r="BV574">
            <v>0</v>
          </cell>
          <cell r="BW574">
            <v>3</v>
          </cell>
          <cell r="BX574">
            <v>4</v>
          </cell>
          <cell r="BY574">
            <v>4</v>
          </cell>
          <cell r="BZ574">
            <v>4</v>
          </cell>
          <cell r="CA574">
            <v>4</v>
          </cell>
          <cell r="CB574">
            <v>4</v>
          </cell>
          <cell r="CC574">
            <v>0</v>
          </cell>
          <cell r="CD574">
            <v>3</v>
          </cell>
          <cell r="CE574">
            <v>3</v>
          </cell>
          <cell r="CF574">
            <v>3</v>
          </cell>
          <cell r="CG574">
            <v>3</v>
          </cell>
          <cell r="CH574">
            <v>1.5</v>
          </cell>
          <cell r="CI574">
            <v>1.5</v>
          </cell>
          <cell r="CJ574">
            <v>8</v>
          </cell>
          <cell r="CK574">
            <v>1.5</v>
          </cell>
          <cell r="CL574">
            <v>1.5</v>
          </cell>
          <cell r="CM574">
            <v>1.5</v>
          </cell>
          <cell r="CR574">
            <v>0</v>
          </cell>
          <cell r="CS574">
            <v>0</v>
          </cell>
          <cell r="CT574">
            <v>50</v>
          </cell>
          <cell r="CU574">
            <v>8</v>
          </cell>
          <cell r="CV574">
            <v>0</v>
          </cell>
          <cell r="CZ574">
            <v>58</v>
          </cell>
        </row>
        <row r="575">
          <cell r="C575" t="str">
            <v>03733</v>
          </cell>
          <cell r="D575" t="str">
            <v>Chu Ngọc Thùy Linh</v>
          </cell>
          <cell r="E575" t="str">
            <v>CS</v>
          </cell>
          <cell r="F575" t="str">
            <v>KIO</v>
          </cell>
          <cell r="G575" t="str">
            <v>Staff</v>
          </cell>
          <cell r="H575">
            <v>44977</v>
          </cell>
          <cell r="I575">
            <v>8</v>
          </cell>
          <cell r="J575">
            <v>8</v>
          </cell>
          <cell r="K575" t="str">
            <v>PO</v>
          </cell>
          <cell r="L575" t="str">
            <v>CN</v>
          </cell>
          <cell r="M575">
            <v>8</v>
          </cell>
          <cell r="N575">
            <v>8</v>
          </cell>
          <cell r="O575">
            <v>8</v>
          </cell>
          <cell r="P575">
            <v>8</v>
          </cell>
          <cell r="Q575">
            <v>8</v>
          </cell>
          <cell r="R575" t="str">
            <v>PO</v>
          </cell>
          <cell r="S575" t="str">
            <v>CN</v>
          </cell>
          <cell r="T575">
            <v>8</v>
          </cell>
          <cell r="U575" t="str">
            <v>AL8</v>
          </cell>
          <cell r="V575">
            <v>8</v>
          </cell>
          <cell r="W575">
            <v>8</v>
          </cell>
          <cell r="X575">
            <v>8</v>
          </cell>
          <cell r="Y575" t="str">
            <v>PO</v>
          </cell>
          <cell r="Z575" t="str">
            <v>CN</v>
          </cell>
          <cell r="AA575">
            <v>8</v>
          </cell>
          <cell r="AB575">
            <v>8</v>
          </cell>
          <cell r="AC575">
            <v>8</v>
          </cell>
          <cell r="AD575">
            <v>8</v>
          </cell>
          <cell r="AE575">
            <v>8</v>
          </cell>
          <cell r="AF575" t="str">
            <v>PO</v>
          </cell>
          <cell r="AG575" t="str">
            <v>CN</v>
          </cell>
          <cell r="AH575">
            <v>8</v>
          </cell>
          <cell r="AI575">
            <v>8</v>
          </cell>
          <cell r="AJ575">
            <v>8</v>
          </cell>
          <cell r="AN575">
            <v>0</v>
          </cell>
          <cell r="AO575">
            <v>152</v>
          </cell>
          <cell r="AP575">
            <v>0</v>
          </cell>
          <cell r="AQ575">
            <v>0</v>
          </cell>
          <cell r="AR575">
            <v>0</v>
          </cell>
          <cell r="AS575">
            <v>0</v>
          </cell>
          <cell r="AT575">
            <v>0</v>
          </cell>
          <cell r="AU575">
            <v>0</v>
          </cell>
          <cell r="AV575">
            <v>32</v>
          </cell>
          <cell r="AW575">
            <v>0</v>
          </cell>
          <cell r="AX575">
            <v>0</v>
          </cell>
          <cell r="AY575">
            <v>0</v>
          </cell>
          <cell r="AZ575">
            <v>0</v>
          </cell>
          <cell r="BA575">
            <v>8</v>
          </cell>
          <cell r="BB575">
            <v>0</v>
          </cell>
          <cell r="BC575">
            <v>0</v>
          </cell>
          <cell r="BD575">
            <v>0</v>
          </cell>
          <cell r="BE575">
            <v>0</v>
          </cell>
          <cell r="BF575">
            <v>0</v>
          </cell>
          <cell r="BG575">
            <v>192</v>
          </cell>
          <cell r="BH575">
            <v>1</v>
          </cell>
          <cell r="BI575">
            <v>1</v>
          </cell>
          <cell r="BJ575">
            <v>5</v>
          </cell>
          <cell r="BL575">
            <v>0.75</v>
          </cell>
          <cell r="BM575">
            <v>0</v>
          </cell>
          <cell r="BN575">
            <v>0</v>
          </cell>
          <cell r="BO575">
            <v>0</v>
          </cell>
          <cell r="BP575">
            <v>1</v>
          </cell>
          <cell r="BQ575">
            <v>0</v>
          </cell>
          <cell r="BR575">
            <v>1.5</v>
          </cell>
          <cell r="BS575">
            <v>0.5</v>
          </cell>
          <cell r="BT575">
            <v>1.25</v>
          </cell>
          <cell r="BU575">
            <v>0</v>
          </cell>
          <cell r="BV575">
            <v>0</v>
          </cell>
          <cell r="BW575">
            <v>0</v>
          </cell>
          <cell r="BX575">
            <v>0</v>
          </cell>
          <cell r="BY575">
            <v>0</v>
          </cell>
          <cell r="BZ575">
            <v>0</v>
          </cell>
          <cell r="CA575">
            <v>0</v>
          </cell>
          <cell r="CB575">
            <v>0</v>
          </cell>
          <cell r="CC575">
            <v>0</v>
          </cell>
          <cell r="CD575">
            <v>0</v>
          </cell>
          <cell r="CE575">
            <v>0</v>
          </cell>
          <cell r="CF575">
            <v>0</v>
          </cell>
          <cell r="CG575">
            <v>0</v>
          </cell>
          <cell r="CH575">
            <v>0</v>
          </cell>
          <cell r="CI575">
            <v>0</v>
          </cell>
          <cell r="CJ575">
            <v>0</v>
          </cell>
          <cell r="CK575">
            <v>0</v>
          </cell>
          <cell r="CL575">
            <v>0</v>
          </cell>
          <cell r="CM575">
            <v>0</v>
          </cell>
          <cell r="CR575">
            <v>0</v>
          </cell>
          <cell r="CS575">
            <v>0</v>
          </cell>
          <cell r="CT575">
            <v>5</v>
          </cell>
          <cell r="CU575">
            <v>0</v>
          </cell>
          <cell r="CV575">
            <v>0</v>
          </cell>
          <cell r="CZ575">
            <v>5</v>
          </cell>
        </row>
        <row r="576">
          <cell r="C576" t="str">
            <v>03734</v>
          </cell>
          <cell r="D576" t="str">
            <v>Trần Hoàng Tú</v>
          </cell>
          <cell r="E576" t="str">
            <v>Production</v>
          </cell>
          <cell r="F576" t="str">
            <v>Prefitting</v>
          </cell>
          <cell r="G576" t="str">
            <v>Worker</v>
          </cell>
          <cell r="H576">
            <v>44977</v>
          </cell>
          <cell r="I576">
            <v>8</v>
          </cell>
          <cell r="J576">
            <v>8</v>
          </cell>
          <cell r="K576">
            <v>8</v>
          </cell>
          <cell r="L576" t="str">
            <v>CN</v>
          </cell>
          <cell r="M576">
            <v>8</v>
          </cell>
          <cell r="N576">
            <v>8</v>
          </cell>
          <cell r="O576">
            <v>8</v>
          </cell>
          <cell r="P576">
            <v>8</v>
          </cell>
          <cell r="Q576">
            <v>8</v>
          </cell>
          <cell r="R576" t="str">
            <v>AL8</v>
          </cell>
          <cell r="S576" t="str">
            <v>CN</v>
          </cell>
          <cell r="T576" t="str">
            <v>Đ</v>
          </cell>
          <cell r="U576" t="str">
            <v>Đ</v>
          </cell>
          <cell r="V576" t="str">
            <v>Đ</v>
          </cell>
          <cell r="W576" t="str">
            <v>Đ</v>
          </cell>
          <cell r="X576" t="str">
            <v>Đ</v>
          </cell>
          <cell r="Y576" t="str">
            <v>Đ</v>
          </cell>
          <cell r="Z576" t="str">
            <v>CN</v>
          </cell>
          <cell r="AA576" t="str">
            <v>Đ</v>
          </cell>
          <cell r="AB576" t="str">
            <v>Đ</v>
          </cell>
          <cell r="AC576" t="str">
            <v>Đ</v>
          </cell>
          <cell r="AD576" t="str">
            <v>Đ</v>
          </cell>
          <cell r="AE576" t="str">
            <v>Đ</v>
          </cell>
          <cell r="AF576" t="str">
            <v>Đ</v>
          </cell>
          <cell r="AG576" t="str">
            <v>CN</v>
          </cell>
          <cell r="AH576">
            <v>8</v>
          </cell>
          <cell r="AI576">
            <v>8</v>
          </cell>
          <cell r="AJ576">
            <v>8</v>
          </cell>
          <cell r="AN576">
            <v>96</v>
          </cell>
          <cell r="AO576">
            <v>88</v>
          </cell>
          <cell r="AP576">
            <v>0</v>
          </cell>
          <cell r="AQ576">
            <v>0</v>
          </cell>
          <cell r="AR576">
            <v>0</v>
          </cell>
          <cell r="AS576">
            <v>0</v>
          </cell>
          <cell r="AT576">
            <v>0</v>
          </cell>
          <cell r="AU576">
            <v>0</v>
          </cell>
          <cell r="AV576">
            <v>0</v>
          </cell>
          <cell r="AW576">
            <v>0</v>
          </cell>
          <cell r="AX576">
            <v>0</v>
          </cell>
          <cell r="AY576">
            <v>0</v>
          </cell>
          <cell r="AZ576">
            <v>0</v>
          </cell>
          <cell r="BA576">
            <v>8</v>
          </cell>
          <cell r="BB576">
            <v>0</v>
          </cell>
          <cell r="BC576">
            <v>0</v>
          </cell>
          <cell r="BD576">
            <v>0</v>
          </cell>
          <cell r="BE576">
            <v>0</v>
          </cell>
          <cell r="BF576">
            <v>0</v>
          </cell>
          <cell r="BG576">
            <v>192</v>
          </cell>
          <cell r="BH576">
            <v>1</v>
          </cell>
          <cell r="BI576">
            <v>1</v>
          </cell>
          <cell r="BJ576">
            <v>2</v>
          </cell>
          <cell r="BL576">
            <v>0</v>
          </cell>
          <cell r="BM576">
            <v>0</v>
          </cell>
          <cell r="BN576">
            <v>0</v>
          </cell>
          <cell r="BO576">
            <v>0</v>
          </cell>
          <cell r="BP576">
            <v>0</v>
          </cell>
          <cell r="BQ576">
            <v>0</v>
          </cell>
          <cell r="BR576">
            <v>0</v>
          </cell>
          <cell r="BS576">
            <v>0</v>
          </cell>
          <cell r="BT576">
            <v>0</v>
          </cell>
          <cell r="BU576">
            <v>0</v>
          </cell>
          <cell r="BV576">
            <v>0</v>
          </cell>
          <cell r="BW576">
            <v>0</v>
          </cell>
          <cell r="BX576">
            <v>0</v>
          </cell>
          <cell r="BY576">
            <v>0</v>
          </cell>
          <cell r="BZ576">
            <v>0</v>
          </cell>
          <cell r="CA576">
            <v>0</v>
          </cell>
          <cell r="CB576">
            <v>0</v>
          </cell>
          <cell r="CC576">
            <v>0</v>
          </cell>
          <cell r="CD576">
            <v>0</v>
          </cell>
          <cell r="CE576">
            <v>0</v>
          </cell>
          <cell r="CF576">
            <v>0</v>
          </cell>
          <cell r="CG576">
            <v>0</v>
          </cell>
          <cell r="CH576">
            <v>4</v>
          </cell>
          <cell r="CI576">
            <v>4</v>
          </cell>
          <cell r="CJ576">
            <v>0</v>
          </cell>
          <cell r="CK576">
            <v>0</v>
          </cell>
          <cell r="CL576">
            <v>0</v>
          </cell>
          <cell r="CM576">
            <v>0</v>
          </cell>
          <cell r="CR576">
            <v>0</v>
          </cell>
          <cell r="CS576">
            <v>0</v>
          </cell>
          <cell r="CT576">
            <v>8</v>
          </cell>
          <cell r="CU576">
            <v>0</v>
          </cell>
          <cell r="CV576">
            <v>0</v>
          </cell>
          <cell r="CZ576">
            <v>8</v>
          </cell>
        </row>
        <row r="577">
          <cell r="C577" t="str">
            <v>03735</v>
          </cell>
          <cell r="D577" t="str">
            <v>Huỳnh Trung Trinh</v>
          </cell>
          <cell r="E577" t="str">
            <v>Production</v>
          </cell>
          <cell r="F577" t="str">
            <v>Molding</v>
          </cell>
          <cell r="G577" t="str">
            <v>Team Leader</v>
          </cell>
          <cell r="H577">
            <v>44978</v>
          </cell>
          <cell r="I577" t="str">
            <v>PL</v>
          </cell>
          <cell r="J577" t="str">
            <v>CN</v>
          </cell>
          <cell r="K577" t="str">
            <v>PL</v>
          </cell>
          <cell r="L577" t="str">
            <v>PL</v>
          </cell>
          <cell r="M577" t="str">
            <v>PL</v>
          </cell>
          <cell r="N577" t="str">
            <v>Đ</v>
          </cell>
          <cell r="O577" t="str">
            <v>Đ</v>
          </cell>
          <cell r="P577" t="str">
            <v>Đ</v>
          </cell>
          <cell r="Q577" t="str">
            <v>CN</v>
          </cell>
          <cell r="R577">
            <v>8</v>
          </cell>
          <cell r="S577">
            <v>8</v>
          </cell>
          <cell r="T577">
            <v>8</v>
          </cell>
          <cell r="U577">
            <v>8</v>
          </cell>
          <cell r="V577">
            <v>8</v>
          </cell>
          <cell r="W577" t="str">
            <v>AL8</v>
          </cell>
          <cell r="X577" t="str">
            <v>CN</v>
          </cell>
          <cell r="Y577" t="str">
            <v>Đ</v>
          </cell>
          <cell r="Z577" t="str">
            <v>Đ</v>
          </cell>
          <cell r="AA577" t="str">
            <v>Đ</v>
          </cell>
          <cell r="AB577" t="str">
            <v>Đ</v>
          </cell>
          <cell r="AC577" t="str">
            <v>Đ</v>
          </cell>
          <cell r="AD577" t="str">
            <v>Đ</v>
          </cell>
          <cell r="AE577" t="str">
            <v>CN</v>
          </cell>
          <cell r="AF577">
            <v>8</v>
          </cell>
          <cell r="AG577">
            <v>8</v>
          </cell>
          <cell r="AH577">
            <v>8</v>
          </cell>
          <cell r="AI577">
            <v>8</v>
          </cell>
          <cell r="AJ577">
            <v>8</v>
          </cell>
          <cell r="AN577">
            <v>72</v>
          </cell>
          <cell r="AO577">
            <v>80</v>
          </cell>
          <cell r="AP577">
            <v>0</v>
          </cell>
          <cell r="AQ577">
            <v>0</v>
          </cell>
          <cell r="AR577">
            <v>0</v>
          </cell>
          <cell r="AS577">
            <v>0</v>
          </cell>
          <cell r="AT577">
            <v>0</v>
          </cell>
          <cell r="AU577">
            <v>0</v>
          </cell>
          <cell r="AV577">
            <v>0</v>
          </cell>
          <cell r="AW577">
            <v>0</v>
          </cell>
          <cell r="AX577">
            <v>0</v>
          </cell>
          <cell r="AY577">
            <v>32</v>
          </cell>
          <cell r="AZ577">
            <v>0</v>
          </cell>
          <cell r="BA577">
            <v>8</v>
          </cell>
          <cell r="BB577">
            <v>0</v>
          </cell>
          <cell r="BC577">
            <v>0</v>
          </cell>
          <cell r="BD577">
            <v>0</v>
          </cell>
          <cell r="BE577">
            <v>0</v>
          </cell>
          <cell r="BF577">
            <v>0</v>
          </cell>
          <cell r="BG577">
            <v>160</v>
          </cell>
          <cell r="BH577">
            <v>1</v>
          </cell>
          <cell r="BI577">
            <v>1</v>
          </cell>
          <cell r="BJ577">
            <v>0</v>
          </cell>
          <cell r="BL577">
            <v>0</v>
          </cell>
          <cell r="BM577">
            <v>0</v>
          </cell>
          <cell r="BN577">
            <v>0</v>
          </cell>
          <cell r="BO577">
            <v>0</v>
          </cell>
          <cell r="BP577">
            <v>0</v>
          </cell>
          <cell r="BQ577">
            <v>0</v>
          </cell>
          <cell r="BR577">
            <v>0</v>
          </cell>
          <cell r="BS577">
            <v>0</v>
          </cell>
          <cell r="BT577">
            <v>0</v>
          </cell>
          <cell r="BU577">
            <v>4</v>
          </cell>
          <cell r="BV577">
            <v>4</v>
          </cell>
          <cell r="BW577">
            <v>4</v>
          </cell>
          <cell r="BX577">
            <v>0</v>
          </cell>
          <cell r="BY577">
            <v>0</v>
          </cell>
          <cell r="BZ577">
            <v>0</v>
          </cell>
          <cell r="CA577">
            <v>0</v>
          </cell>
          <cell r="CB577">
            <v>4</v>
          </cell>
          <cell r="CC577">
            <v>4</v>
          </cell>
          <cell r="CD577">
            <v>0</v>
          </cell>
          <cell r="CE577">
            <v>0</v>
          </cell>
          <cell r="CF577">
            <v>0</v>
          </cell>
          <cell r="CG577">
            <v>4</v>
          </cell>
          <cell r="CH577">
            <v>0</v>
          </cell>
          <cell r="CI577">
            <v>4</v>
          </cell>
          <cell r="CJ577">
            <v>4</v>
          </cell>
          <cell r="CK577">
            <v>0</v>
          </cell>
          <cell r="CL577">
            <v>0</v>
          </cell>
          <cell r="CM577">
            <v>0</v>
          </cell>
          <cell r="CR577">
            <v>0</v>
          </cell>
          <cell r="CS577">
            <v>0</v>
          </cell>
          <cell r="CT577">
            <v>32</v>
          </cell>
          <cell r="CU577">
            <v>0</v>
          </cell>
          <cell r="CV577">
            <v>0</v>
          </cell>
          <cell r="CZ577">
            <v>32</v>
          </cell>
        </row>
        <row r="578">
          <cell r="C578" t="str">
            <v>03738</v>
          </cell>
          <cell r="D578" t="str">
            <v>Nguyễn Quốc Dinh</v>
          </cell>
          <cell r="E578" t="str">
            <v>Warehouse</v>
          </cell>
          <cell r="F578" t="str">
            <v>RM Warehouse</v>
          </cell>
          <cell r="G578" t="str">
            <v>Worker</v>
          </cell>
          <cell r="H578">
            <v>44979</v>
          </cell>
          <cell r="I578">
            <v>8</v>
          </cell>
          <cell r="J578">
            <v>8</v>
          </cell>
          <cell r="K578">
            <v>8</v>
          </cell>
          <cell r="L578" t="str">
            <v>CN</v>
          </cell>
          <cell r="M578">
            <v>8</v>
          </cell>
          <cell r="N578">
            <v>8</v>
          </cell>
          <cell r="O578">
            <v>8</v>
          </cell>
          <cell r="P578">
            <v>8</v>
          </cell>
          <cell r="Q578">
            <v>8</v>
          </cell>
          <cell r="R578">
            <v>8</v>
          </cell>
          <cell r="S578" t="str">
            <v>CN</v>
          </cell>
          <cell r="T578">
            <v>8</v>
          </cell>
          <cell r="U578">
            <v>8</v>
          </cell>
          <cell r="V578">
            <v>8</v>
          </cell>
          <cell r="W578">
            <v>8</v>
          </cell>
          <cell r="X578">
            <v>8</v>
          </cell>
          <cell r="Y578">
            <v>8</v>
          </cell>
          <cell r="Z578" t="str">
            <v>CN</v>
          </cell>
          <cell r="AA578">
            <v>8</v>
          </cell>
          <cell r="AB578">
            <v>8</v>
          </cell>
          <cell r="AC578">
            <v>8</v>
          </cell>
          <cell r="AD578">
            <v>8</v>
          </cell>
          <cell r="AE578">
            <v>8</v>
          </cell>
          <cell r="AF578">
            <v>8</v>
          </cell>
          <cell r="AG578" t="str">
            <v>CN</v>
          </cell>
          <cell r="AH578">
            <v>8</v>
          </cell>
          <cell r="AI578">
            <v>8</v>
          </cell>
          <cell r="AJ578">
            <v>8</v>
          </cell>
          <cell r="AN578">
            <v>0</v>
          </cell>
          <cell r="AO578">
            <v>192</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192</v>
          </cell>
          <cell r="BH578">
            <v>0</v>
          </cell>
          <cell r="BI578">
            <v>0</v>
          </cell>
          <cell r="BJ578">
            <v>2.5</v>
          </cell>
          <cell r="BL578">
            <v>3</v>
          </cell>
          <cell r="BM578">
            <v>0</v>
          </cell>
          <cell r="BN578">
            <v>0</v>
          </cell>
          <cell r="BO578">
            <v>0</v>
          </cell>
          <cell r="BP578">
            <v>3</v>
          </cell>
          <cell r="BQ578">
            <v>0</v>
          </cell>
          <cell r="BR578">
            <v>3</v>
          </cell>
          <cell r="BS578">
            <v>0</v>
          </cell>
          <cell r="BT578">
            <v>3</v>
          </cell>
          <cell r="BU578">
            <v>0</v>
          </cell>
          <cell r="BV578">
            <v>0</v>
          </cell>
          <cell r="BW578">
            <v>3</v>
          </cell>
          <cell r="BX578">
            <v>0</v>
          </cell>
          <cell r="BY578">
            <v>3</v>
          </cell>
          <cell r="BZ578">
            <v>3</v>
          </cell>
          <cell r="CA578">
            <v>3</v>
          </cell>
          <cell r="CB578">
            <v>0</v>
          </cell>
          <cell r="CC578">
            <v>0</v>
          </cell>
          <cell r="CD578">
            <v>0</v>
          </cell>
          <cell r="CE578">
            <v>0</v>
          </cell>
          <cell r="CF578">
            <v>3</v>
          </cell>
          <cell r="CG578">
            <v>3</v>
          </cell>
          <cell r="CH578">
            <v>0</v>
          </cell>
          <cell r="CI578">
            <v>0</v>
          </cell>
          <cell r="CJ578">
            <v>8</v>
          </cell>
          <cell r="CK578">
            <v>3</v>
          </cell>
          <cell r="CL578">
            <v>0</v>
          </cell>
          <cell r="CM578">
            <v>3</v>
          </cell>
          <cell r="CR578">
            <v>0</v>
          </cell>
          <cell r="CS578">
            <v>0</v>
          </cell>
          <cell r="CT578">
            <v>36</v>
          </cell>
          <cell r="CU578">
            <v>8</v>
          </cell>
          <cell r="CV578">
            <v>0</v>
          </cell>
          <cell r="CZ578">
            <v>44</v>
          </cell>
        </row>
        <row r="579">
          <cell r="C579" t="str">
            <v>03739</v>
          </cell>
          <cell r="D579" t="str">
            <v>Trần Thị Trúc Nguyên</v>
          </cell>
          <cell r="E579" t="str">
            <v>Production</v>
          </cell>
          <cell r="F579" t="str">
            <v>Skiving</v>
          </cell>
          <cell r="G579" t="str">
            <v>Worker</v>
          </cell>
          <cell r="H579">
            <v>44979</v>
          </cell>
          <cell r="I579" t="str">
            <v>Đ</v>
          </cell>
          <cell r="J579" t="str">
            <v>Đ</v>
          </cell>
          <cell r="K579" t="str">
            <v>Đ</v>
          </cell>
          <cell r="L579" t="str">
            <v>CN</v>
          </cell>
          <cell r="M579" t="str">
            <v>AL4</v>
          </cell>
          <cell r="N579">
            <v>8</v>
          </cell>
          <cell r="O579">
            <v>8</v>
          </cell>
          <cell r="P579">
            <v>8</v>
          </cell>
          <cell r="Q579">
            <v>8</v>
          </cell>
          <cell r="R579">
            <v>8</v>
          </cell>
          <cell r="S579" t="str">
            <v>CN</v>
          </cell>
          <cell r="T579" t="str">
            <v>Đ</v>
          </cell>
          <cell r="U579" t="str">
            <v>Đ</v>
          </cell>
          <cell r="V579" t="str">
            <v>Đ</v>
          </cell>
          <cell r="W579" t="str">
            <v>Đ</v>
          </cell>
          <cell r="X579" t="str">
            <v>Đ</v>
          </cell>
          <cell r="Y579" t="str">
            <v>Đ</v>
          </cell>
          <cell r="Z579" t="str">
            <v>CN</v>
          </cell>
          <cell r="AA579">
            <v>8</v>
          </cell>
          <cell r="AB579">
            <v>8</v>
          </cell>
          <cell r="AC579">
            <v>8</v>
          </cell>
          <cell r="AD579">
            <v>8</v>
          </cell>
          <cell r="AE579">
            <v>8</v>
          </cell>
          <cell r="AF579">
            <v>8</v>
          </cell>
          <cell r="AG579" t="str">
            <v>CN</v>
          </cell>
          <cell r="AH579" t="str">
            <v>Đ</v>
          </cell>
          <cell r="AI579" t="str">
            <v>Đ</v>
          </cell>
          <cell r="AJ579" t="str">
            <v>Đ</v>
          </cell>
          <cell r="AN579">
            <v>96</v>
          </cell>
          <cell r="AO579">
            <v>92</v>
          </cell>
          <cell r="AP579">
            <v>4</v>
          </cell>
          <cell r="AQ579">
            <v>0</v>
          </cell>
          <cell r="AR579">
            <v>0</v>
          </cell>
          <cell r="AS579">
            <v>0</v>
          </cell>
          <cell r="AT579">
            <v>0</v>
          </cell>
          <cell r="AU579">
            <v>0</v>
          </cell>
          <cell r="AV579">
            <v>0</v>
          </cell>
          <cell r="AW579">
            <v>0</v>
          </cell>
          <cell r="AX579">
            <v>0</v>
          </cell>
          <cell r="AY579">
            <v>0</v>
          </cell>
          <cell r="AZ579">
            <v>0</v>
          </cell>
          <cell r="BA579">
            <v>4</v>
          </cell>
          <cell r="BB579">
            <v>0</v>
          </cell>
          <cell r="BC579">
            <v>0</v>
          </cell>
          <cell r="BD579">
            <v>0</v>
          </cell>
          <cell r="BE579">
            <v>0</v>
          </cell>
          <cell r="BF579">
            <v>0</v>
          </cell>
          <cell r="BG579">
            <v>192</v>
          </cell>
          <cell r="BH579">
            <v>0.5</v>
          </cell>
          <cell r="BI579">
            <v>0.5</v>
          </cell>
          <cell r="BJ579">
            <v>1</v>
          </cell>
          <cell r="BL579">
            <v>0</v>
          </cell>
          <cell r="BM579">
            <v>0</v>
          </cell>
          <cell r="BN579">
            <v>0</v>
          </cell>
          <cell r="BO579">
            <v>0</v>
          </cell>
          <cell r="BP579">
            <v>1.5</v>
          </cell>
          <cell r="BQ579">
            <v>3</v>
          </cell>
          <cell r="BR579">
            <v>0</v>
          </cell>
          <cell r="BS579">
            <v>3</v>
          </cell>
          <cell r="BT579">
            <v>3</v>
          </cell>
          <cell r="BU579">
            <v>0</v>
          </cell>
          <cell r="BV579">
            <v>0</v>
          </cell>
          <cell r="BW579">
            <v>0</v>
          </cell>
          <cell r="BX579">
            <v>4</v>
          </cell>
          <cell r="BY579">
            <v>4</v>
          </cell>
          <cell r="BZ579">
            <v>4</v>
          </cell>
          <cell r="CA579">
            <v>4</v>
          </cell>
          <cell r="CB579">
            <v>4</v>
          </cell>
          <cell r="CC579">
            <v>0</v>
          </cell>
          <cell r="CD579">
            <v>4</v>
          </cell>
          <cell r="CE579">
            <v>4</v>
          </cell>
          <cell r="CF579">
            <v>4</v>
          </cell>
          <cell r="CG579">
            <v>4</v>
          </cell>
          <cell r="CH579">
            <v>0</v>
          </cell>
          <cell r="CI579">
            <v>4</v>
          </cell>
          <cell r="CJ579">
            <v>8</v>
          </cell>
          <cell r="CK579">
            <v>1.5</v>
          </cell>
          <cell r="CL579">
            <v>1.25</v>
          </cell>
          <cell r="CM579">
            <v>1.5</v>
          </cell>
          <cell r="CR579">
            <v>0</v>
          </cell>
          <cell r="CS579">
            <v>0</v>
          </cell>
          <cell r="CT579">
            <v>54.75</v>
          </cell>
          <cell r="CU579">
            <v>8</v>
          </cell>
          <cell r="CV579">
            <v>0</v>
          </cell>
          <cell r="CZ579">
            <v>62.75</v>
          </cell>
        </row>
        <row r="580">
          <cell r="C580" t="str">
            <v>03744</v>
          </cell>
          <cell r="D580" t="str">
            <v>Trịnh Bá Hoàng</v>
          </cell>
          <cell r="E580" t="str">
            <v>Production</v>
          </cell>
          <cell r="F580" t="str">
            <v>Die Cut</v>
          </cell>
          <cell r="G580" t="str">
            <v>Worker</v>
          </cell>
          <cell r="H580">
            <v>44979</v>
          </cell>
          <cell r="I580">
            <v>8</v>
          </cell>
          <cell r="J580">
            <v>8</v>
          </cell>
          <cell r="K580">
            <v>8</v>
          </cell>
          <cell r="L580" t="str">
            <v>CN</v>
          </cell>
          <cell r="M580" t="str">
            <v>Đ</v>
          </cell>
          <cell r="N580" t="str">
            <v>Đ</v>
          </cell>
          <cell r="O580" t="str">
            <v>Đ</v>
          </cell>
          <cell r="P580" t="str">
            <v>Đ</v>
          </cell>
          <cell r="Q580" t="str">
            <v>AL8</v>
          </cell>
          <cell r="R580" t="str">
            <v>AL8</v>
          </cell>
          <cell r="S580" t="str">
            <v>CN</v>
          </cell>
          <cell r="T580">
            <v>8</v>
          </cell>
          <cell r="U580">
            <v>8</v>
          </cell>
          <cell r="V580">
            <v>8</v>
          </cell>
          <cell r="W580">
            <v>8</v>
          </cell>
          <cell r="X580" t="str">
            <v>AL8</v>
          </cell>
          <cell r="Y580">
            <v>8</v>
          </cell>
          <cell r="Z580" t="str">
            <v>CN</v>
          </cell>
          <cell r="AA580" t="str">
            <v>Đ</v>
          </cell>
          <cell r="AB580" t="str">
            <v>Đ</v>
          </cell>
          <cell r="AC580" t="str">
            <v>Đ</v>
          </cell>
          <cell r="AD580" t="str">
            <v>Đ</v>
          </cell>
          <cell r="AE580" t="str">
            <v>Đ</v>
          </cell>
          <cell r="AF580" t="str">
            <v>Đ</v>
          </cell>
          <cell r="AG580" t="str">
            <v>CN</v>
          </cell>
          <cell r="AH580" t="str">
            <v>AL8</v>
          </cell>
          <cell r="AI580" t="str">
            <v>AL8</v>
          </cell>
          <cell r="AJ580" t="str">
            <v>AL8</v>
          </cell>
          <cell r="AN580">
            <v>80</v>
          </cell>
          <cell r="AO580">
            <v>64</v>
          </cell>
          <cell r="AP580">
            <v>0</v>
          </cell>
          <cell r="AQ580">
            <v>0</v>
          </cell>
          <cell r="AR580">
            <v>0</v>
          </cell>
          <cell r="AS580">
            <v>0</v>
          </cell>
          <cell r="AT580">
            <v>0</v>
          </cell>
          <cell r="AU580">
            <v>0</v>
          </cell>
          <cell r="AV580">
            <v>0</v>
          </cell>
          <cell r="AW580">
            <v>0</v>
          </cell>
          <cell r="AX580">
            <v>0</v>
          </cell>
          <cell r="AY580">
            <v>0</v>
          </cell>
          <cell r="AZ580">
            <v>0</v>
          </cell>
          <cell r="BA580">
            <v>48</v>
          </cell>
          <cell r="BB580">
            <v>0</v>
          </cell>
          <cell r="BC580">
            <v>0</v>
          </cell>
          <cell r="BD580">
            <v>0</v>
          </cell>
          <cell r="BE580">
            <v>0</v>
          </cell>
          <cell r="BF580">
            <v>0</v>
          </cell>
          <cell r="BG580">
            <v>192</v>
          </cell>
          <cell r="BH580">
            <v>6</v>
          </cell>
          <cell r="BI580">
            <v>6</v>
          </cell>
          <cell r="BJ580">
            <v>0</v>
          </cell>
          <cell r="BL580">
            <v>0</v>
          </cell>
          <cell r="BM580">
            <v>1.5</v>
          </cell>
          <cell r="BN580">
            <v>0</v>
          </cell>
          <cell r="BO580">
            <v>0</v>
          </cell>
          <cell r="BP580">
            <v>1.5</v>
          </cell>
          <cell r="BQ580">
            <v>0</v>
          </cell>
          <cell r="BR580">
            <v>0</v>
          </cell>
          <cell r="BS580">
            <v>1.5</v>
          </cell>
          <cell r="BT580">
            <v>0</v>
          </cell>
          <cell r="BU580">
            <v>0</v>
          </cell>
          <cell r="BV580">
            <v>0</v>
          </cell>
          <cell r="BW580">
            <v>3</v>
          </cell>
          <cell r="BX580">
            <v>3</v>
          </cell>
          <cell r="BY580">
            <v>3</v>
          </cell>
          <cell r="BZ580">
            <v>3</v>
          </cell>
          <cell r="CA580">
            <v>0</v>
          </cell>
          <cell r="CB580">
            <v>3</v>
          </cell>
          <cell r="CC580">
            <v>8</v>
          </cell>
          <cell r="CD580">
            <v>4</v>
          </cell>
          <cell r="CE580">
            <v>4</v>
          </cell>
          <cell r="CF580">
            <v>4</v>
          </cell>
          <cell r="CG580">
            <v>4</v>
          </cell>
          <cell r="CH580">
            <v>4</v>
          </cell>
          <cell r="CI580">
            <v>4</v>
          </cell>
          <cell r="CJ580">
            <v>0</v>
          </cell>
          <cell r="CK580">
            <v>0</v>
          </cell>
          <cell r="CL580">
            <v>0</v>
          </cell>
          <cell r="CM580">
            <v>0</v>
          </cell>
          <cell r="CR580">
            <v>0</v>
          </cell>
          <cell r="CS580">
            <v>0</v>
          </cell>
          <cell r="CT580">
            <v>43.5</v>
          </cell>
          <cell r="CU580">
            <v>8</v>
          </cell>
          <cell r="CV580">
            <v>0</v>
          </cell>
          <cell r="CZ580">
            <v>51.5</v>
          </cell>
        </row>
        <row r="581">
          <cell r="C581" t="str">
            <v>03749</v>
          </cell>
          <cell r="D581" t="str">
            <v>Mai Văn Hiếu</v>
          </cell>
          <cell r="E581" t="str">
            <v>Production</v>
          </cell>
          <cell r="F581" t="str">
            <v>Molding</v>
          </cell>
          <cell r="G581" t="str">
            <v>Worker</v>
          </cell>
          <cell r="H581">
            <v>44979</v>
          </cell>
          <cell r="I581" t="str">
            <v>AL4</v>
          </cell>
          <cell r="J581">
            <v>8</v>
          </cell>
          <cell r="K581" t="str">
            <v>AL4</v>
          </cell>
          <cell r="L581" t="str">
            <v>CN</v>
          </cell>
          <cell r="M581" t="str">
            <v>Đ</v>
          </cell>
          <cell r="N581" t="str">
            <v>Đ</v>
          </cell>
          <cell r="O581" t="str">
            <v>Đ</v>
          </cell>
          <cell r="P581" t="str">
            <v>Đ</v>
          </cell>
          <cell r="Q581" t="str">
            <v>Đ</v>
          </cell>
          <cell r="R581" t="str">
            <v>Đ</v>
          </cell>
          <cell r="S581" t="str">
            <v>CN</v>
          </cell>
          <cell r="T581">
            <v>8</v>
          </cell>
          <cell r="U581">
            <v>8</v>
          </cell>
          <cell r="V581">
            <v>8</v>
          </cell>
          <cell r="W581">
            <v>8</v>
          </cell>
          <cell r="X581">
            <v>8</v>
          </cell>
          <cell r="Y581">
            <v>8</v>
          </cell>
          <cell r="Z581" t="str">
            <v>CN</v>
          </cell>
          <cell r="AA581" t="str">
            <v>Đ</v>
          </cell>
          <cell r="AB581" t="str">
            <v>Đ</v>
          </cell>
          <cell r="AC581" t="str">
            <v>Đ</v>
          </cell>
          <cell r="AD581" t="str">
            <v>Đ</v>
          </cell>
          <cell r="AE581" t="str">
            <v>Đ</v>
          </cell>
          <cell r="AF581" t="str">
            <v>Đ</v>
          </cell>
          <cell r="AG581" t="str">
            <v>CN</v>
          </cell>
          <cell r="AH581">
            <v>8</v>
          </cell>
          <cell r="AI581">
            <v>8</v>
          </cell>
          <cell r="AJ581" t="str">
            <v>UP8</v>
          </cell>
          <cell r="AN581">
            <v>96</v>
          </cell>
          <cell r="AO581">
            <v>80</v>
          </cell>
          <cell r="AP581">
            <v>8</v>
          </cell>
          <cell r="AQ581">
            <v>0</v>
          </cell>
          <cell r="AR581">
            <v>0</v>
          </cell>
          <cell r="AS581">
            <v>8</v>
          </cell>
          <cell r="AT581">
            <v>0</v>
          </cell>
          <cell r="AU581">
            <v>0</v>
          </cell>
          <cell r="AV581">
            <v>0</v>
          </cell>
          <cell r="AW581">
            <v>0</v>
          </cell>
          <cell r="AX581">
            <v>0</v>
          </cell>
          <cell r="AY581">
            <v>0</v>
          </cell>
          <cell r="AZ581">
            <v>0</v>
          </cell>
          <cell r="BA581">
            <v>8</v>
          </cell>
          <cell r="BB581">
            <v>0</v>
          </cell>
          <cell r="BC581">
            <v>0</v>
          </cell>
          <cell r="BD581">
            <v>0</v>
          </cell>
          <cell r="BE581">
            <v>0</v>
          </cell>
          <cell r="BF581">
            <v>0</v>
          </cell>
          <cell r="BG581">
            <v>184</v>
          </cell>
          <cell r="BH581">
            <v>1</v>
          </cell>
          <cell r="BI581">
            <v>1</v>
          </cell>
          <cell r="BJ581">
            <v>0</v>
          </cell>
          <cell r="BL581">
            <v>0</v>
          </cell>
          <cell r="BM581">
            <v>0</v>
          </cell>
          <cell r="BN581">
            <v>0</v>
          </cell>
          <cell r="BO581">
            <v>0</v>
          </cell>
          <cell r="BP581">
            <v>0</v>
          </cell>
          <cell r="BQ581">
            <v>0</v>
          </cell>
          <cell r="BR581">
            <v>0</v>
          </cell>
          <cell r="BS581">
            <v>0</v>
          </cell>
          <cell r="BT581">
            <v>0</v>
          </cell>
          <cell r="BU581">
            <v>0</v>
          </cell>
          <cell r="BV581">
            <v>0</v>
          </cell>
          <cell r="BW581">
            <v>0</v>
          </cell>
          <cell r="BX581">
            <v>0</v>
          </cell>
          <cell r="BY581">
            <v>0</v>
          </cell>
          <cell r="BZ581">
            <v>0</v>
          </cell>
          <cell r="CA581">
            <v>0</v>
          </cell>
          <cell r="CB581">
            <v>0</v>
          </cell>
          <cell r="CC581">
            <v>0</v>
          </cell>
          <cell r="CD581">
            <v>0</v>
          </cell>
          <cell r="CE581">
            <v>0</v>
          </cell>
          <cell r="CF581">
            <v>0</v>
          </cell>
          <cell r="CG581">
            <v>0</v>
          </cell>
          <cell r="CH581">
            <v>0</v>
          </cell>
          <cell r="CI581">
            <v>0</v>
          </cell>
          <cell r="CJ581">
            <v>0</v>
          </cell>
          <cell r="CK581">
            <v>0</v>
          </cell>
          <cell r="CL581">
            <v>0</v>
          </cell>
          <cell r="CM581">
            <v>0</v>
          </cell>
          <cell r="CR581">
            <v>0</v>
          </cell>
          <cell r="CS581">
            <v>0</v>
          </cell>
          <cell r="CT581">
            <v>0</v>
          </cell>
          <cell r="CU581">
            <v>0</v>
          </cell>
          <cell r="CV581">
            <v>0</v>
          </cell>
          <cell r="CZ581">
            <v>0</v>
          </cell>
        </row>
        <row r="582">
          <cell r="C582" t="str">
            <v>03752</v>
          </cell>
          <cell r="D582" t="str">
            <v>Trần Thị Yến Thanh</v>
          </cell>
          <cell r="E582" t="str">
            <v>Technical Development</v>
          </cell>
          <cell r="F582" t="str">
            <v>PD Sample</v>
          </cell>
          <cell r="G582" t="str">
            <v>Worker</v>
          </cell>
          <cell r="H582">
            <v>44979</v>
          </cell>
          <cell r="I582">
            <v>8</v>
          </cell>
          <cell r="J582">
            <v>8</v>
          </cell>
          <cell r="K582">
            <v>8</v>
          </cell>
          <cell r="L582" t="str">
            <v>CN</v>
          </cell>
          <cell r="M582">
            <v>8</v>
          </cell>
          <cell r="N582">
            <v>8</v>
          </cell>
          <cell r="O582">
            <v>8</v>
          </cell>
          <cell r="P582">
            <v>8</v>
          </cell>
          <cell r="Q582">
            <v>8</v>
          </cell>
          <cell r="R582">
            <v>8</v>
          </cell>
          <cell r="S582" t="str">
            <v>CN</v>
          </cell>
          <cell r="T582">
            <v>8</v>
          </cell>
          <cell r="U582">
            <v>8</v>
          </cell>
          <cell r="V582">
            <v>8</v>
          </cell>
          <cell r="W582">
            <v>8</v>
          </cell>
          <cell r="X582">
            <v>8</v>
          </cell>
          <cell r="Y582">
            <v>8</v>
          </cell>
          <cell r="Z582" t="str">
            <v>CN</v>
          </cell>
          <cell r="AA582">
            <v>8</v>
          </cell>
          <cell r="AB582">
            <v>8</v>
          </cell>
          <cell r="AC582">
            <v>8</v>
          </cell>
          <cell r="AD582">
            <v>8</v>
          </cell>
          <cell r="AE582">
            <v>8</v>
          </cell>
          <cell r="AF582">
            <v>8</v>
          </cell>
          <cell r="AG582" t="str">
            <v>CN</v>
          </cell>
          <cell r="AH582">
            <v>8</v>
          </cell>
          <cell r="AI582">
            <v>8</v>
          </cell>
          <cell r="AJ582">
            <v>8</v>
          </cell>
          <cell r="AN582">
            <v>0</v>
          </cell>
          <cell r="AO582">
            <v>192</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192</v>
          </cell>
          <cell r="BH582">
            <v>0</v>
          </cell>
          <cell r="BI582">
            <v>0</v>
          </cell>
          <cell r="BJ582">
            <v>1</v>
          </cell>
          <cell r="BL582">
            <v>3</v>
          </cell>
          <cell r="BM582">
            <v>3</v>
          </cell>
          <cell r="BN582">
            <v>0</v>
          </cell>
          <cell r="BO582">
            <v>0</v>
          </cell>
          <cell r="BP582">
            <v>3</v>
          </cell>
          <cell r="BQ582">
            <v>3</v>
          </cell>
          <cell r="BR582">
            <v>3</v>
          </cell>
          <cell r="BS582">
            <v>3</v>
          </cell>
          <cell r="BT582">
            <v>0</v>
          </cell>
          <cell r="BU582">
            <v>0</v>
          </cell>
          <cell r="BV582">
            <v>0</v>
          </cell>
          <cell r="BW582">
            <v>3</v>
          </cell>
          <cell r="BX582">
            <v>3</v>
          </cell>
          <cell r="BY582">
            <v>3</v>
          </cell>
          <cell r="BZ582">
            <v>3</v>
          </cell>
          <cell r="CA582">
            <v>0</v>
          </cell>
          <cell r="CB582">
            <v>0</v>
          </cell>
          <cell r="CC582">
            <v>0</v>
          </cell>
          <cell r="CD582">
            <v>3</v>
          </cell>
          <cell r="CE582">
            <v>3</v>
          </cell>
          <cell r="CF582">
            <v>0</v>
          </cell>
          <cell r="CG582">
            <v>3</v>
          </cell>
          <cell r="CH582">
            <v>3</v>
          </cell>
          <cell r="CI582">
            <v>0</v>
          </cell>
          <cell r="CJ582">
            <v>0</v>
          </cell>
          <cell r="CK582">
            <v>0</v>
          </cell>
          <cell r="CL582">
            <v>0</v>
          </cell>
          <cell r="CM582">
            <v>0</v>
          </cell>
          <cell r="CR582">
            <v>0</v>
          </cell>
          <cell r="CS582">
            <v>0</v>
          </cell>
          <cell r="CT582">
            <v>42</v>
          </cell>
          <cell r="CU582">
            <v>0</v>
          </cell>
          <cell r="CV582">
            <v>0</v>
          </cell>
          <cell r="CZ582">
            <v>42</v>
          </cell>
        </row>
        <row r="583">
          <cell r="C583" t="str">
            <v>03753</v>
          </cell>
          <cell r="D583" t="str">
            <v>Nguyễn Văn Phong</v>
          </cell>
          <cell r="E583" t="str">
            <v>Warehouse</v>
          </cell>
          <cell r="F583" t="str">
            <v>RM Warehouse</v>
          </cell>
          <cell r="G583" t="str">
            <v>Staff</v>
          </cell>
          <cell r="H583">
            <v>44979</v>
          </cell>
          <cell r="I583">
            <v>8</v>
          </cell>
          <cell r="J583">
            <v>8</v>
          </cell>
          <cell r="K583" t="str">
            <v>PO</v>
          </cell>
          <cell r="L583" t="str">
            <v>CN</v>
          </cell>
          <cell r="M583">
            <v>8</v>
          </cell>
          <cell r="N583">
            <v>8</v>
          </cell>
          <cell r="O583">
            <v>8</v>
          </cell>
          <cell r="P583" t="str">
            <v>AL8</v>
          </cell>
          <cell r="Q583" t="str">
            <v>AL8</v>
          </cell>
          <cell r="R583" t="str">
            <v>PO</v>
          </cell>
          <cell r="S583" t="str">
            <v>CN</v>
          </cell>
          <cell r="T583" t="str">
            <v>WH</v>
          </cell>
          <cell r="U583" t="str">
            <v>WH</v>
          </cell>
          <cell r="V583" t="str">
            <v>WH</v>
          </cell>
          <cell r="W583" t="str">
            <v>WH</v>
          </cell>
          <cell r="X583" t="str">
            <v>WH</v>
          </cell>
          <cell r="Y583" t="str">
            <v>PO</v>
          </cell>
          <cell r="Z583" t="str">
            <v>CN</v>
          </cell>
          <cell r="AA583">
            <v>8</v>
          </cell>
          <cell r="AB583">
            <v>8</v>
          </cell>
          <cell r="AC583">
            <v>8</v>
          </cell>
          <cell r="AD583" t="str">
            <v>AL8</v>
          </cell>
          <cell r="AE583">
            <v>8</v>
          </cell>
          <cell r="AF583" t="str">
            <v>PO</v>
          </cell>
          <cell r="AG583" t="str">
            <v>CN</v>
          </cell>
          <cell r="AH583">
            <v>8</v>
          </cell>
          <cell r="AI583">
            <v>8</v>
          </cell>
          <cell r="AJ583">
            <v>8</v>
          </cell>
          <cell r="AN583">
            <v>0</v>
          </cell>
          <cell r="AO583">
            <v>96</v>
          </cell>
          <cell r="AP583">
            <v>0</v>
          </cell>
          <cell r="AQ583">
            <v>0</v>
          </cell>
          <cell r="AR583">
            <v>0</v>
          </cell>
          <cell r="AS583">
            <v>0</v>
          </cell>
          <cell r="AT583">
            <v>0</v>
          </cell>
          <cell r="AU583">
            <v>0</v>
          </cell>
          <cell r="AV583">
            <v>32</v>
          </cell>
          <cell r="AW583">
            <v>0</v>
          </cell>
          <cell r="AX583">
            <v>0</v>
          </cell>
          <cell r="AY583">
            <v>0</v>
          </cell>
          <cell r="AZ583">
            <v>0</v>
          </cell>
          <cell r="BA583">
            <v>24</v>
          </cell>
          <cell r="BB583">
            <v>0</v>
          </cell>
          <cell r="BC583">
            <v>0</v>
          </cell>
          <cell r="BD583">
            <v>40</v>
          </cell>
          <cell r="BE583">
            <v>0</v>
          </cell>
          <cell r="BF583">
            <v>0</v>
          </cell>
          <cell r="BG583">
            <v>192</v>
          </cell>
          <cell r="BH583">
            <v>3</v>
          </cell>
          <cell r="BI583">
            <v>3</v>
          </cell>
          <cell r="BJ583">
            <v>1</v>
          </cell>
          <cell r="BL583">
            <v>0.5</v>
          </cell>
          <cell r="BM583">
            <v>0</v>
          </cell>
          <cell r="BN583">
            <v>0</v>
          </cell>
          <cell r="BO583">
            <v>0</v>
          </cell>
          <cell r="BP583">
            <v>2</v>
          </cell>
          <cell r="BQ583">
            <v>0.5</v>
          </cell>
          <cell r="BR583">
            <v>0</v>
          </cell>
          <cell r="BS583">
            <v>0</v>
          </cell>
          <cell r="BT583">
            <v>0</v>
          </cell>
          <cell r="BU583">
            <v>0</v>
          </cell>
          <cell r="BV583">
            <v>0</v>
          </cell>
          <cell r="BW583">
            <v>0</v>
          </cell>
          <cell r="BX583">
            <v>0</v>
          </cell>
          <cell r="BY583">
            <v>0</v>
          </cell>
          <cell r="BZ583">
            <v>0</v>
          </cell>
          <cell r="CA583">
            <v>0</v>
          </cell>
          <cell r="CB583">
            <v>0</v>
          </cell>
          <cell r="CC583">
            <v>0</v>
          </cell>
          <cell r="CD583">
            <v>0.5</v>
          </cell>
          <cell r="CE583">
            <v>0.5</v>
          </cell>
          <cell r="CF583">
            <v>0</v>
          </cell>
          <cell r="CG583">
            <v>0</v>
          </cell>
          <cell r="CH583">
            <v>0</v>
          </cell>
          <cell r="CI583">
            <v>0</v>
          </cell>
          <cell r="CJ583">
            <v>0</v>
          </cell>
          <cell r="CK583">
            <v>0</v>
          </cell>
          <cell r="CL583">
            <v>0</v>
          </cell>
          <cell r="CM583">
            <v>1</v>
          </cell>
          <cell r="CR583">
            <v>0</v>
          </cell>
          <cell r="CS583">
            <v>0</v>
          </cell>
          <cell r="CT583">
            <v>5</v>
          </cell>
          <cell r="CU583">
            <v>0</v>
          </cell>
          <cell r="CV583">
            <v>0</v>
          </cell>
          <cell r="CZ583">
            <v>5</v>
          </cell>
        </row>
        <row r="584">
          <cell r="C584" t="str">
            <v>03755</v>
          </cell>
          <cell r="D584" t="str">
            <v>Nguyễn Thị Hà Phương</v>
          </cell>
          <cell r="E584" t="str">
            <v>QC</v>
          </cell>
          <cell r="F584" t="str">
            <v>QC</v>
          </cell>
          <cell r="G584" t="str">
            <v>Worker</v>
          </cell>
          <cell r="H584">
            <v>44979</v>
          </cell>
          <cell r="I584">
            <v>8</v>
          </cell>
          <cell r="J584">
            <v>8</v>
          </cell>
          <cell r="K584">
            <v>8</v>
          </cell>
          <cell r="L584" t="str">
            <v>CN</v>
          </cell>
          <cell r="M584" t="str">
            <v>Đ</v>
          </cell>
          <cell r="N584" t="str">
            <v>Đ</v>
          </cell>
          <cell r="O584" t="str">
            <v>Đ</v>
          </cell>
          <cell r="P584" t="str">
            <v>Đ</v>
          </cell>
          <cell r="Q584" t="str">
            <v>Đ</v>
          </cell>
          <cell r="R584" t="str">
            <v>Đ</v>
          </cell>
          <cell r="S584" t="str">
            <v>CN</v>
          </cell>
          <cell r="T584">
            <v>8</v>
          </cell>
          <cell r="U584">
            <v>8</v>
          </cell>
          <cell r="V584">
            <v>8</v>
          </cell>
          <cell r="W584">
            <v>8</v>
          </cell>
          <cell r="X584">
            <v>8</v>
          </cell>
          <cell r="Y584">
            <v>8</v>
          </cell>
          <cell r="Z584" t="str">
            <v>CN</v>
          </cell>
          <cell r="AA584" t="str">
            <v>Đ</v>
          </cell>
          <cell r="AB584" t="str">
            <v>Đ</v>
          </cell>
          <cell r="AC584" t="str">
            <v>Đ</v>
          </cell>
          <cell r="AD584" t="str">
            <v>Đ</v>
          </cell>
          <cell r="AE584" t="str">
            <v>Đ</v>
          </cell>
          <cell r="AF584" t="str">
            <v>Đ</v>
          </cell>
          <cell r="AG584" t="str">
            <v>CN</v>
          </cell>
          <cell r="AH584">
            <v>8</v>
          </cell>
          <cell r="AI584">
            <v>8</v>
          </cell>
          <cell r="AJ584">
            <v>8</v>
          </cell>
          <cell r="AN584">
            <v>96</v>
          </cell>
          <cell r="AO584">
            <v>96</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192</v>
          </cell>
          <cell r="BH584">
            <v>0</v>
          </cell>
          <cell r="BI584">
            <v>0</v>
          </cell>
          <cell r="BJ584">
            <v>0</v>
          </cell>
          <cell r="BL584">
            <v>1.5</v>
          </cell>
          <cell r="BM584">
            <v>1.5</v>
          </cell>
          <cell r="BN584">
            <v>1.5</v>
          </cell>
          <cell r="BO584">
            <v>0</v>
          </cell>
          <cell r="BP584">
            <v>0</v>
          </cell>
          <cell r="BQ584">
            <v>0</v>
          </cell>
          <cell r="BR584">
            <v>0</v>
          </cell>
          <cell r="BS584">
            <v>3</v>
          </cell>
          <cell r="BT584">
            <v>3</v>
          </cell>
          <cell r="BU584">
            <v>4</v>
          </cell>
          <cell r="BV584">
            <v>0</v>
          </cell>
          <cell r="BW584">
            <v>3</v>
          </cell>
          <cell r="BX584">
            <v>3</v>
          </cell>
          <cell r="BY584">
            <v>3</v>
          </cell>
          <cell r="BZ584">
            <v>3</v>
          </cell>
          <cell r="CA584">
            <v>3</v>
          </cell>
          <cell r="CB584">
            <v>3</v>
          </cell>
          <cell r="CC584">
            <v>8</v>
          </cell>
          <cell r="CD584">
            <v>4</v>
          </cell>
          <cell r="CE584">
            <v>4</v>
          </cell>
          <cell r="CF584">
            <v>4</v>
          </cell>
          <cell r="CG584">
            <v>4</v>
          </cell>
          <cell r="CH584">
            <v>1.5</v>
          </cell>
          <cell r="CI584">
            <v>1.5</v>
          </cell>
          <cell r="CJ584">
            <v>0</v>
          </cell>
          <cell r="CK584">
            <v>3</v>
          </cell>
          <cell r="CL584">
            <v>3</v>
          </cell>
          <cell r="CM584">
            <v>3</v>
          </cell>
          <cell r="CR584">
            <v>0</v>
          </cell>
          <cell r="CS584">
            <v>0</v>
          </cell>
          <cell r="CT584">
            <v>60.5</v>
          </cell>
          <cell r="CU584">
            <v>8</v>
          </cell>
          <cell r="CV584">
            <v>0</v>
          </cell>
          <cell r="CZ584">
            <v>68.5</v>
          </cell>
        </row>
        <row r="585">
          <cell r="C585" t="str">
            <v>03757</v>
          </cell>
          <cell r="D585" t="str">
            <v>Võ Quốc Bảo</v>
          </cell>
          <cell r="E585" t="str">
            <v>Production</v>
          </cell>
          <cell r="F585" t="str">
            <v>Die Cut</v>
          </cell>
          <cell r="G585" t="str">
            <v>Worker</v>
          </cell>
          <cell r="H585">
            <v>44985</v>
          </cell>
          <cell r="I585" t="str">
            <v>Đ</v>
          </cell>
          <cell r="J585" t="str">
            <v>Đ</v>
          </cell>
          <cell r="K585" t="str">
            <v>Đ</v>
          </cell>
          <cell r="L585" t="str">
            <v>CN</v>
          </cell>
          <cell r="M585">
            <v>8</v>
          </cell>
          <cell r="N585">
            <v>8</v>
          </cell>
          <cell r="O585">
            <v>8</v>
          </cell>
          <cell r="P585">
            <v>8</v>
          </cell>
          <cell r="Q585">
            <v>8</v>
          </cell>
          <cell r="R585">
            <v>8</v>
          </cell>
          <cell r="S585" t="str">
            <v>CN</v>
          </cell>
          <cell r="T585" t="str">
            <v>Đ</v>
          </cell>
          <cell r="U585" t="str">
            <v>Đ</v>
          </cell>
          <cell r="V585" t="str">
            <v>Đ</v>
          </cell>
          <cell r="W585" t="str">
            <v>Đ</v>
          </cell>
          <cell r="X585" t="str">
            <v>Đ</v>
          </cell>
          <cell r="Y585" t="str">
            <v>Đ</v>
          </cell>
          <cell r="Z585" t="str">
            <v>CN</v>
          </cell>
          <cell r="AA585">
            <v>8</v>
          </cell>
          <cell r="AB585">
            <v>8</v>
          </cell>
          <cell r="AC585">
            <v>8</v>
          </cell>
          <cell r="AD585">
            <v>8</v>
          </cell>
          <cell r="AE585">
            <v>8</v>
          </cell>
          <cell r="AF585">
            <v>8</v>
          </cell>
          <cell r="AG585" t="str">
            <v>CN</v>
          </cell>
          <cell r="AH585" t="str">
            <v>Đ</v>
          </cell>
          <cell r="AI585" t="str">
            <v>Đ</v>
          </cell>
          <cell r="AJ585" t="str">
            <v>Đ</v>
          </cell>
          <cell r="AN585">
            <v>96</v>
          </cell>
          <cell r="AO585">
            <v>96</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192</v>
          </cell>
          <cell r="BH585">
            <v>0</v>
          </cell>
          <cell r="BI585">
            <v>0</v>
          </cell>
          <cell r="BJ585">
            <v>0</v>
          </cell>
          <cell r="BL585">
            <v>1.5</v>
          </cell>
          <cell r="BM585">
            <v>1.5</v>
          </cell>
          <cell r="BN585">
            <v>1.5</v>
          </cell>
          <cell r="BO585">
            <v>0</v>
          </cell>
          <cell r="BP585">
            <v>1.5</v>
          </cell>
          <cell r="BQ585">
            <v>0</v>
          </cell>
          <cell r="BR585">
            <v>0</v>
          </cell>
          <cell r="BS585">
            <v>3</v>
          </cell>
          <cell r="BT585">
            <v>3</v>
          </cell>
          <cell r="BU585">
            <v>3</v>
          </cell>
          <cell r="BV585">
            <v>0</v>
          </cell>
          <cell r="BW585">
            <v>4</v>
          </cell>
          <cell r="BX585">
            <v>4</v>
          </cell>
          <cell r="BY585">
            <v>3</v>
          </cell>
          <cell r="BZ585">
            <v>4</v>
          </cell>
          <cell r="CA585">
            <v>4</v>
          </cell>
          <cell r="CB585">
            <v>4</v>
          </cell>
          <cell r="CC585">
            <v>0</v>
          </cell>
          <cell r="CD585">
            <v>3</v>
          </cell>
          <cell r="CE585">
            <v>3</v>
          </cell>
          <cell r="CF585">
            <v>3</v>
          </cell>
          <cell r="CG585">
            <v>3</v>
          </cell>
          <cell r="CH585">
            <v>3</v>
          </cell>
          <cell r="CI585">
            <v>3</v>
          </cell>
          <cell r="CJ585">
            <v>8</v>
          </cell>
          <cell r="CK585">
            <v>4</v>
          </cell>
          <cell r="CL585">
            <v>4</v>
          </cell>
          <cell r="CM585">
            <v>4</v>
          </cell>
          <cell r="CR585">
            <v>0</v>
          </cell>
          <cell r="CS585">
            <v>0</v>
          </cell>
          <cell r="CT585">
            <v>68</v>
          </cell>
          <cell r="CU585">
            <v>8</v>
          </cell>
          <cell r="CV585">
            <v>0</v>
          </cell>
          <cell r="CZ585">
            <v>76</v>
          </cell>
        </row>
        <row r="586">
          <cell r="C586" t="str">
            <v>03759</v>
          </cell>
          <cell r="D586" t="str">
            <v>Phạm Hữu Nghĩa</v>
          </cell>
          <cell r="E586" t="str">
            <v>Production</v>
          </cell>
          <cell r="F586" t="str">
            <v>Die Cut</v>
          </cell>
          <cell r="G586" t="str">
            <v>Vice Leader</v>
          </cell>
          <cell r="H586">
            <v>44985</v>
          </cell>
          <cell r="I586" t="str">
            <v>Đ</v>
          </cell>
          <cell r="J586" t="str">
            <v>Đ</v>
          </cell>
          <cell r="K586" t="str">
            <v>Đ</v>
          </cell>
          <cell r="L586" t="str">
            <v>CN</v>
          </cell>
          <cell r="M586">
            <v>8</v>
          </cell>
          <cell r="N586">
            <v>8</v>
          </cell>
          <cell r="O586">
            <v>8</v>
          </cell>
          <cell r="P586">
            <v>8</v>
          </cell>
          <cell r="Q586" t="str">
            <v>AL8</v>
          </cell>
          <cell r="R586">
            <v>8</v>
          </cell>
          <cell r="S586" t="str">
            <v>CN</v>
          </cell>
          <cell r="T586" t="str">
            <v>Đ</v>
          </cell>
          <cell r="U586" t="str">
            <v>Đ</v>
          </cell>
          <cell r="V586" t="str">
            <v>Đ</v>
          </cell>
          <cell r="W586" t="str">
            <v>Đ</v>
          </cell>
          <cell r="X586" t="str">
            <v>Đ</v>
          </cell>
          <cell r="Y586" t="str">
            <v>Đ</v>
          </cell>
          <cell r="Z586" t="str">
            <v>CN</v>
          </cell>
          <cell r="AA586">
            <v>8</v>
          </cell>
          <cell r="AB586">
            <v>8</v>
          </cell>
          <cell r="AC586">
            <v>8</v>
          </cell>
          <cell r="AD586">
            <v>8</v>
          </cell>
          <cell r="AE586">
            <v>8</v>
          </cell>
          <cell r="AF586">
            <v>8</v>
          </cell>
          <cell r="AG586" t="str">
            <v>CN</v>
          </cell>
          <cell r="AH586" t="str">
            <v>Đ</v>
          </cell>
          <cell r="AI586" t="str">
            <v>Đ</v>
          </cell>
          <cell r="AJ586" t="str">
            <v>Đ</v>
          </cell>
          <cell r="AN586">
            <v>96</v>
          </cell>
          <cell r="AO586">
            <v>88</v>
          </cell>
          <cell r="AP586">
            <v>0</v>
          </cell>
          <cell r="AQ586">
            <v>0</v>
          </cell>
          <cell r="AR586">
            <v>0</v>
          </cell>
          <cell r="AS586">
            <v>0</v>
          </cell>
          <cell r="AT586">
            <v>0</v>
          </cell>
          <cell r="AU586">
            <v>0</v>
          </cell>
          <cell r="AV586">
            <v>0</v>
          </cell>
          <cell r="AW586">
            <v>0</v>
          </cell>
          <cell r="AX586">
            <v>0</v>
          </cell>
          <cell r="AY586">
            <v>0</v>
          </cell>
          <cell r="AZ586">
            <v>0</v>
          </cell>
          <cell r="BA586">
            <v>8</v>
          </cell>
          <cell r="BB586">
            <v>0</v>
          </cell>
          <cell r="BC586">
            <v>0</v>
          </cell>
          <cell r="BD586">
            <v>0</v>
          </cell>
          <cell r="BE586">
            <v>0</v>
          </cell>
          <cell r="BF586">
            <v>0</v>
          </cell>
          <cell r="BG586">
            <v>192</v>
          </cell>
          <cell r="BH586">
            <v>1</v>
          </cell>
          <cell r="BI586">
            <v>1</v>
          </cell>
          <cell r="BJ586">
            <v>0</v>
          </cell>
          <cell r="BL586">
            <v>1.5</v>
          </cell>
          <cell r="BM586">
            <v>1.5</v>
          </cell>
          <cell r="BN586">
            <v>1.5</v>
          </cell>
          <cell r="BO586">
            <v>0</v>
          </cell>
          <cell r="BP586">
            <v>1.5</v>
          </cell>
          <cell r="BQ586">
            <v>0</v>
          </cell>
          <cell r="BR586">
            <v>0</v>
          </cell>
          <cell r="BS586">
            <v>3</v>
          </cell>
          <cell r="BT586">
            <v>0</v>
          </cell>
          <cell r="BU586">
            <v>3</v>
          </cell>
          <cell r="BV586">
            <v>0</v>
          </cell>
          <cell r="BW586">
            <v>4</v>
          </cell>
          <cell r="BX586">
            <v>4</v>
          </cell>
          <cell r="BY586">
            <v>4</v>
          </cell>
          <cell r="BZ586">
            <v>4</v>
          </cell>
          <cell r="CA586">
            <v>4</v>
          </cell>
          <cell r="CB586">
            <v>4</v>
          </cell>
          <cell r="CC586">
            <v>0</v>
          </cell>
          <cell r="CD586">
            <v>3</v>
          </cell>
          <cell r="CE586">
            <v>3</v>
          </cell>
          <cell r="CF586">
            <v>3</v>
          </cell>
          <cell r="CG586">
            <v>3</v>
          </cell>
          <cell r="CH586">
            <v>3</v>
          </cell>
          <cell r="CI586">
            <v>3</v>
          </cell>
          <cell r="CJ586">
            <v>11</v>
          </cell>
          <cell r="CK586">
            <v>4</v>
          </cell>
          <cell r="CL586">
            <v>4</v>
          </cell>
          <cell r="CM586">
            <v>4</v>
          </cell>
          <cell r="CR586">
            <v>0</v>
          </cell>
          <cell r="CS586">
            <v>0</v>
          </cell>
          <cell r="CT586">
            <v>66</v>
          </cell>
          <cell r="CU586">
            <v>11</v>
          </cell>
          <cell r="CV586">
            <v>0</v>
          </cell>
          <cell r="CZ586">
            <v>77</v>
          </cell>
        </row>
        <row r="587">
          <cell r="C587" t="str">
            <v>03763</v>
          </cell>
          <cell r="D587" t="str">
            <v>Nguyễn Thị Diễm Mi</v>
          </cell>
          <cell r="E587" t="str">
            <v>Production</v>
          </cell>
          <cell r="F587" t="str">
            <v>Logo</v>
          </cell>
          <cell r="G587" t="str">
            <v>Worker</v>
          </cell>
          <cell r="H587">
            <v>44985</v>
          </cell>
          <cell r="I587" t="str">
            <v>Đ</v>
          </cell>
          <cell r="J587" t="str">
            <v>Đ</v>
          </cell>
          <cell r="K587" t="str">
            <v>Đ</v>
          </cell>
          <cell r="L587" t="str">
            <v>CN</v>
          </cell>
          <cell r="M587">
            <v>8</v>
          </cell>
          <cell r="N587">
            <v>8</v>
          </cell>
          <cell r="O587">
            <v>8</v>
          </cell>
          <cell r="P587">
            <v>8</v>
          </cell>
          <cell r="Q587">
            <v>8</v>
          </cell>
          <cell r="R587">
            <v>8</v>
          </cell>
          <cell r="S587" t="str">
            <v>CN</v>
          </cell>
          <cell r="T587" t="str">
            <v>Đ</v>
          </cell>
          <cell r="U587" t="str">
            <v>Đ</v>
          </cell>
          <cell r="V587" t="str">
            <v>Đ</v>
          </cell>
          <cell r="W587" t="str">
            <v>Đ</v>
          </cell>
          <cell r="X587" t="str">
            <v>Đ</v>
          </cell>
          <cell r="Y587" t="str">
            <v>Đ</v>
          </cell>
          <cell r="Z587" t="str">
            <v>CN</v>
          </cell>
          <cell r="AA587">
            <v>8</v>
          </cell>
          <cell r="AB587">
            <v>8</v>
          </cell>
          <cell r="AC587">
            <v>8</v>
          </cell>
          <cell r="AD587">
            <v>8</v>
          </cell>
          <cell r="AE587">
            <v>8</v>
          </cell>
          <cell r="AF587">
            <v>8</v>
          </cell>
          <cell r="AG587" t="str">
            <v>CN</v>
          </cell>
          <cell r="AH587" t="str">
            <v>Đ</v>
          </cell>
          <cell r="AI587" t="str">
            <v>Đ</v>
          </cell>
          <cell r="AJ587" t="str">
            <v>Đ</v>
          </cell>
          <cell r="AN587">
            <v>96</v>
          </cell>
          <cell r="AO587">
            <v>96</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192</v>
          </cell>
          <cell r="BH587">
            <v>0</v>
          </cell>
          <cell r="BI587">
            <v>0</v>
          </cell>
          <cell r="BJ587">
            <v>1</v>
          </cell>
          <cell r="BL587">
            <v>1.5</v>
          </cell>
          <cell r="BM587">
            <v>1.5</v>
          </cell>
          <cell r="BN587">
            <v>1.5</v>
          </cell>
          <cell r="BO587">
            <v>0</v>
          </cell>
          <cell r="BP587">
            <v>1.5</v>
          </cell>
          <cell r="BQ587">
            <v>0</v>
          </cell>
          <cell r="BR587">
            <v>0</v>
          </cell>
          <cell r="BS587">
            <v>3</v>
          </cell>
          <cell r="BT587">
            <v>3</v>
          </cell>
          <cell r="BU587">
            <v>0</v>
          </cell>
          <cell r="BV587">
            <v>0</v>
          </cell>
          <cell r="BW587">
            <v>4</v>
          </cell>
          <cell r="BX587">
            <v>4</v>
          </cell>
          <cell r="BY587">
            <v>4</v>
          </cell>
          <cell r="BZ587">
            <v>4</v>
          </cell>
          <cell r="CA587">
            <v>4</v>
          </cell>
          <cell r="CB587">
            <v>4</v>
          </cell>
          <cell r="CC587">
            <v>0</v>
          </cell>
          <cell r="CD587">
            <v>3</v>
          </cell>
          <cell r="CE587">
            <v>3</v>
          </cell>
          <cell r="CF587">
            <v>3</v>
          </cell>
          <cell r="CG587">
            <v>3</v>
          </cell>
          <cell r="CH587">
            <v>3</v>
          </cell>
          <cell r="CI587">
            <v>0</v>
          </cell>
          <cell r="CJ587">
            <v>8</v>
          </cell>
          <cell r="CK587">
            <v>4</v>
          </cell>
          <cell r="CL587">
            <v>4</v>
          </cell>
          <cell r="CM587">
            <v>4</v>
          </cell>
          <cell r="CR587">
            <v>0</v>
          </cell>
          <cell r="CS587">
            <v>0</v>
          </cell>
          <cell r="CT587">
            <v>63</v>
          </cell>
          <cell r="CU587">
            <v>8</v>
          </cell>
          <cell r="CV587">
            <v>0</v>
          </cell>
          <cell r="CZ587">
            <v>71</v>
          </cell>
        </row>
        <row r="588">
          <cell r="C588" t="str">
            <v>03764</v>
          </cell>
          <cell r="D588" t="str">
            <v>Trần Thị Mỹ Ái</v>
          </cell>
          <cell r="E588" t="str">
            <v>Production</v>
          </cell>
          <cell r="F588" t="str">
            <v>Die Cut</v>
          </cell>
          <cell r="G588" t="str">
            <v>Worker</v>
          </cell>
          <cell r="H588">
            <v>44985</v>
          </cell>
          <cell r="I588" t="str">
            <v>Đ</v>
          </cell>
          <cell r="J588" t="str">
            <v>Đ</v>
          </cell>
          <cell r="K588" t="str">
            <v>Đ</v>
          </cell>
          <cell r="L588" t="str">
            <v>CN</v>
          </cell>
          <cell r="M588">
            <v>8</v>
          </cell>
          <cell r="N588">
            <v>8</v>
          </cell>
          <cell r="O588">
            <v>8</v>
          </cell>
          <cell r="P588">
            <v>8</v>
          </cell>
          <cell r="Q588">
            <v>8</v>
          </cell>
          <cell r="R588" t="str">
            <v>AL4</v>
          </cell>
          <cell r="S588" t="str">
            <v>CN</v>
          </cell>
          <cell r="T588" t="str">
            <v>Đ</v>
          </cell>
          <cell r="U588" t="str">
            <v>Đ</v>
          </cell>
          <cell r="V588" t="str">
            <v>Đ</v>
          </cell>
          <cell r="W588" t="str">
            <v>Đ</v>
          </cell>
          <cell r="X588" t="str">
            <v>Đ</v>
          </cell>
          <cell r="Y588" t="str">
            <v>Đ</v>
          </cell>
          <cell r="Z588" t="str">
            <v>CN</v>
          </cell>
          <cell r="AA588">
            <v>8</v>
          </cell>
          <cell r="AB588">
            <v>8</v>
          </cell>
          <cell r="AC588">
            <v>8</v>
          </cell>
          <cell r="AD588">
            <v>8</v>
          </cell>
          <cell r="AE588">
            <v>8</v>
          </cell>
          <cell r="AF588">
            <v>8</v>
          </cell>
          <cell r="AG588" t="str">
            <v>CN</v>
          </cell>
          <cell r="AH588" t="str">
            <v>Đ</v>
          </cell>
          <cell r="AI588" t="str">
            <v>Đ</v>
          </cell>
          <cell r="AJ588" t="str">
            <v>Đ</v>
          </cell>
          <cell r="AN588">
            <v>96</v>
          </cell>
          <cell r="AO588">
            <v>92</v>
          </cell>
          <cell r="AP588">
            <v>4</v>
          </cell>
          <cell r="AQ588">
            <v>0</v>
          </cell>
          <cell r="AR588">
            <v>0</v>
          </cell>
          <cell r="AS588">
            <v>0</v>
          </cell>
          <cell r="AT588">
            <v>0</v>
          </cell>
          <cell r="AU588">
            <v>0</v>
          </cell>
          <cell r="AV588">
            <v>0</v>
          </cell>
          <cell r="AW588">
            <v>0</v>
          </cell>
          <cell r="AX588">
            <v>0</v>
          </cell>
          <cell r="AY588">
            <v>0</v>
          </cell>
          <cell r="AZ588">
            <v>0</v>
          </cell>
          <cell r="BA588">
            <v>4</v>
          </cell>
          <cell r="BB588">
            <v>0</v>
          </cell>
          <cell r="BC588">
            <v>0</v>
          </cell>
          <cell r="BD588">
            <v>0</v>
          </cell>
          <cell r="BE588">
            <v>0</v>
          </cell>
          <cell r="BF588">
            <v>0</v>
          </cell>
          <cell r="BG588">
            <v>192</v>
          </cell>
          <cell r="BH588">
            <v>0.5</v>
          </cell>
          <cell r="BI588">
            <v>0.5</v>
          </cell>
          <cell r="BJ588">
            <v>0.5</v>
          </cell>
          <cell r="BL588">
            <v>1.5</v>
          </cell>
          <cell r="BM588">
            <v>1.5</v>
          </cell>
          <cell r="BN588">
            <v>1.5</v>
          </cell>
          <cell r="BO588">
            <v>0</v>
          </cell>
          <cell r="BP588">
            <v>1.5</v>
          </cell>
          <cell r="BQ588">
            <v>0</v>
          </cell>
          <cell r="BR588">
            <v>0</v>
          </cell>
          <cell r="BS588">
            <v>0</v>
          </cell>
          <cell r="BT588">
            <v>0</v>
          </cell>
          <cell r="BU588">
            <v>0</v>
          </cell>
          <cell r="BV588">
            <v>0</v>
          </cell>
          <cell r="BW588">
            <v>4</v>
          </cell>
          <cell r="BX588">
            <v>4</v>
          </cell>
          <cell r="BY588">
            <v>4</v>
          </cell>
          <cell r="BZ588">
            <v>4</v>
          </cell>
          <cell r="CA588">
            <v>4</v>
          </cell>
          <cell r="CB588">
            <v>4</v>
          </cell>
          <cell r="CC588">
            <v>0</v>
          </cell>
          <cell r="CD588">
            <v>3</v>
          </cell>
          <cell r="CE588">
            <v>3</v>
          </cell>
          <cell r="CF588">
            <v>3</v>
          </cell>
          <cell r="CG588">
            <v>3</v>
          </cell>
          <cell r="CH588">
            <v>3</v>
          </cell>
          <cell r="CI588">
            <v>3</v>
          </cell>
          <cell r="CJ588">
            <v>8</v>
          </cell>
          <cell r="CK588">
            <v>4</v>
          </cell>
          <cell r="CL588">
            <v>4</v>
          </cell>
          <cell r="CM588">
            <v>4</v>
          </cell>
          <cell r="CR588">
            <v>0</v>
          </cell>
          <cell r="CS588">
            <v>0</v>
          </cell>
          <cell r="CT588">
            <v>60</v>
          </cell>
          <cell r="CU588">
            <v>8</v>
          </cell>
          <cell r="CV588">
            <v>0</v>
          </cell>
          <cell r="CZ588">
            <v>68</v>
          </cell>
        </row>
        <row r="589">
          <cell r="C589" t="str">
            <v>03765</v>
          </cell>
          <cell r="D589" t="str">
            <v>Nguyễn Ngô Hòa An</v>
          </cell>
          <cell r="E589" t="str">
            <v>Production</v>
          </cell>
          <cell r="F589" t="str">
            <v>Die Cut</v>
          </cell>
          <cell r="G589" t="str">
            <v>Worker</v>
          </cell>
          <cell r="H589">
            <v>44985</v>
          </cell>
          <cell r="I589" t="str">
            <v>Đ</v>
          </cell>
          <cell r="J589" t="str">
            <v>Đ</v>
          </cell>
          <cell r="K589" t="str">
            <v>Đ</v>
          </cell>
          <cell r="L589" t="str">
            <v>CN</v>
          </cell>
          <cell r="M589" t="str">
            <v>AL4</v>
          </cell>
          <cell r="N589">
            <v>8</v>
          </cell>
          <cell r="O589">
            <v>8</v>
          </cell>
          <cell r="P589">
            <v>8</v>
          </cell>
          <cell r="Q589">
            <v>8</v>
          </cell>
          <cell r="R589">
            <v>8</v>
          </cell>
          <cell r="S589" t="str">
            <v>CN</v>
          </cell>
          <cell r="T589" t="str">
            <v>Đ</v>
          </cell>
          <cell r="U589" t="str">
            <v>Đ</v>
          </cell>
          <cell r="V589" t="str">
            <v>Đ</v>
          </cell>
          <cell r="W589" t="str">
            <v>Đ</v>
          </cell>
          <cell r="X589" t="str">
            <v>Đ</v>
          </cell>
          <cell r="Y589" t="str">
            <v>Đ</v>
          </cell>
          <cell r="Z589" t="str">
            <v>CN</v>
          </cell>
          <cell r="AA589">
            <v>8</v>
          </cell>
          <cell r="AB589" t="str">
            <v>AL8</v>
          </cell>
          <cell r="AC589">
            <v>8</v>
          </cell>
          <cell r="AD589">
            <v>8</v>
          </cell>
          <cell r="AE589">
            <v>8</v>
          </cell>
          <cell r="AF589">
            <v>8</v>
          </cell>
          <cell r="AG589" t="str">
            <v>CN</v>
          </cell>
          <cell r="AH589" t="str">
            <v>Đ</v>
          </cell>
          <cell r="AI589" t="str">
            <v>Đ</v>
          </cell>
          <cell r="AJ589" t="str">
            <v>Đ</v>
          </cell>
          <cell r="AN589">
            <v>96</v>
          </cell>
          <cell r="AO589">
            <v>84</v>
          </cell>
          <cell r="AP589">
            <v>4</v>
          </cell>
          <cell r="AQ589">
            <v>0</v>
          </cell>
          <cell r="AR589">
            <v>0</v>
          </cell>
          <cell r="AS589">
            <v>0</v>
          </cell>
          <cell r="AT589">
            <v>0</v>
          </cell>
          <cell r="AU589">
            <v>0</v>
          </cell>
          <cell r="AV589">
            <v>0</v>
          </cell>
          <cell r="AW589">
            <v>0</v>
          </cell>
          <cell r="AX589">
            <v>0</v>
          </cell>
          <cell r="AY589">
            <v>0</v>
          </cell>
          <cell r="AZ589">
            <v>0</v>
          </cell>
          <cell r="BA589">
            <v>12</v>
          </cell>
          <cell r="BB589">
            <v>0</v>
          </cell>
          <cell r="BC589">
            <v>0</v>
          </cell>
          <cell r="BD589">
            <v>0</v>
          </cell>
          <cell r="BE589">
            <v>0</v>
          </cell>
          <cell r="BF589">
            <v>0</v>
          </cell>
          <cell r="BG589">
            <v>192</v>
          </cell>
          <cell r="BH589">
            <v>1.5</v>
          </cell>
          <cell r="BI589">
            <v>1.5</v>
          </cell>
          <cell r="BJ589">
            <v>-1</v>
          </cell>
          <cell r="BL589">
            <v>1.5</v>
          </cell>
          <cell r="BM589">
            <v>1.5</v>
          </cell>
          <cell r="BN589">
            <v>1.5</v>
          </cell>
          <cell r="BO589">
            <v>0</v>
          </cell>
          <cell r="BP589">
            <v>1.5</v>
          </cell>
          <cell r="BQ589">
            <v>0</v>
          </cell>
          <cell r="BR589">
            <v>0</v>
          </cell>
          <cell r="BS589">
            <v>3</v>
          </cell>
          <cell r="BT589">
            <v>3</v>
          </cell>
          <cell r="BU589">
            <v>3</v>
          </cell>
          <cell r="BV589">
            <v>0</v>
          </cell>
          <cell r="BW589">
            <v>4</v>
          </cell>
          <cell r="BX589">
            <v>4</v>
          </cell>
          <cell r="BY589">
            <v>4</v>
          </cell>
          <cell r="BZ589">
            <v>4</v>
          </cell>
          <cell r="CA589">
            <v>4</v>
          </cell>
          <cell r="CB589">
            <v>4</v>
          </cell>
          <cell r="CC589">
            <v>0</v>
          </cell>
          <cell r="CD589">
            <v>3</v>
          </cell>
          <cell r="CE589">
            <v>0</v>
          </cell>
          <cell r="CF589">
            <v>3</v>
          </cell>
          <cell r="CG589">
            <v>3</v>
          </cell>
          <cell r="CH589">
            <v>3</v>
          </cell>
          <cell r="CI589">
            <v>3</v>
          </cell>
          <cell r="CJ589">
            <v>11</v>
          </cell>
          <cell r="CK589">
            <v>0</v>
          </cell>
          <cell r="CL589">
            <v>4</v>
          </cell>
          <cell r="CM589">
            <v>4</v>
          </cell>
          <cell r="CR589">
            <v>0</v>
          </cell>
          <cell r="CS589">
            <v>0</v>
          </cell>
          <cell r="CT589">
            <v>62</v>
          </cell>
          <cell r="CU589">
            <v>11</v>
          </cell>
          <cell r="CV589">
            <v>0</v>
          </cell>
          <cell r="CZ589">
            <v>73</v>
          </cell>
        </row>
        <row r="590">
          <cell r="C590" t="str">
            <v>03768</v>
          </cell>
          <cell r="D590" t="str">
            <v>Lê Thị Thảo Chi</v>
          </cell>
          <cell r="E590" t="str">
            <v>Production</v>
          </cell>
          <cell r="F590" t="str">
            <v>Molding</v>
          </cell>
          <cell r="G590" t="str">
            <v>Worker</v>
          </cell>
          <cell r="H590">
            <v>44985</v>
          </cell>
          <cell r="I590">
            <v>8</v>
          </cell>
          <cell r="J590">
            <v>8</v>
          </cell>
          <cell r="K590">
            <v>8</v>
          </cell>
          <cell r="L590" t="str">
            <v>CN</v>
          </cell>
          <cell r="M590">
            <v>8</v>
          </cell>
          <cell r="N590">
            <v>8</v>
          </cell>
          <cell r="O590">
            <v>8</v>
          </cell>
          <cell r="P590">
            <v>8</v>
          </cell>
          <cell r="Q590" t="str">
            <v>Đ</v>
          </cell>
          <cell r="R590" t="str">
            <v>Đ</v>
          </cell>
          <cell r="S590" t="str">
            <v>CN</v>
          </cell>
          <cell r="T590">
            <v>8</v>
          </cell>
          <cell r="U590">
            <v>8</v>
          </cell>
          <cell r="V590">
            <v>8</v>
          </cell>
          <cell r="W590">
            <v>8</v>
          </cell>
          <cell r="X590">
            <v>8</v>
          </cell>
          <cell r="Y590">
            <v>8</v>
          </cell>
          <cell r="Z590" t="str">
            <v>CN</v>
          </cell>
          <cell r="AA590">
            <v>8</v>
          </cell>
          <cell r="AB590">
            <v>8</v>
          </cell>
          <cell r="AC590">
            <v>8</v>
          </cell>
          <cell r="AD590">
            <v>8</v>
          </cell>
          <cell r="AE590" t="str">
            <v>Đ</v>
          </cell>
          <cell r="AF590" t="str">
            <v>Đ</v>
          </cell>
          <cell r="AG590" t="str">
            <v>CN</v>
          </cell>
          <cell r="AH590">
            <v>8</v>
          </cell>
          <cell r="AI590" t="str">
            <v>AL4</v>
          </cell>
          <cell r="AJ590">
            <v>8</v>
          </cell>
          <cell r="AN590">
            <v>32</v>
          </cell>
          <cell r="AO590">
            <v>156</v>
          </cell>
          <cell r="AP590">
            <v>4</v>
          </cell>
          <cell r="AQ590">
            <v>0</v>
          </cell>
          <cell r="AR590">
            <v>0</v>
          </cell>
          <cell r="AS590">
            <v>0</v>
          </cell>
          <cell r="AT590">
            <v>0</v>
          </cell>
          <cell r="AU590">
            <v>0</v>
          </cell>
          <cell r="AV590">
            <v>0</v>
          </cell>
          <cell r="AW590">
            <v>0</v>
          </cell>
          <cell r="AX590">
            <v>0</v>
          </cell>
          <cell r="AY590">
            <v>0</v>
          </cell>
          <cell r="AZ590">
            <v>0</v>
          </cell>
          <cell r="BA590">
            <v>4</v>
          </cell>
          <cell r="BB590">
            <v>0</v>
          </cell>
          <cell r="BC590">
            <v>0</v>
          </cell>
          <cell r="BD590">
            <v>0</v>
          </cell>
          <cell r="BE590">
            <v>0</v>
          </cell>
          <cell r="BF590">
            <v>0</v>
          </cell>
          <cell r="BG590">
            <v>192</v>
          </cell>
          <cell r="BH590">
            <v>0.5</v>
          </cell>
          <cell r="BI590">
            <v>0.5</v>
          </cell>
          <cell r="BJ590">
            <v>3.5</v>
          </cell>
          <cell r="BL590">
            <v>0</v>
          </cell>
          <cell r="BM590">
            <v>0</v>
          </cell>
          <cell r="BN590">
            <v>0</v>
          </cell>
          <cell r="BO590">
            <v>0</v>
          </cell>
          <cell r="BP590">
            <v>0</v>
          </cell>
          <cell r="BQ590">
            <v>0</v>
          </cell>
          <cell r="BR590">
            <v>0</v>
          </cell>
          <cell r="BS590">
            <v>0</v>
          </cell>
          <cell r="BT590">
            <v>4</v>
          </cell>
          <cell r="BU590">
            <v>4</v>
          </cell>
          <cell r="BV590">
            <v>0</v>
          </cell>
          <cell r="BW590">
            <v>0</v>
          </cell>
          <cell r="BX590">
            <v>0</v>
          </cell>
          <cell r="BY590">
            <v>0</v>
          </cell>
          <cell r="BZ590">
            <v>0</v>
          </cell>
          <cell r="CA590">
            <v>4</v>
          </cell>
          <cell r="CB590">
            <v>4</v>
          </cell>
          <cell r="CC590">
            <v>0</v>
          </cell>
          <cell r="CD590">
            <v>0</v>
          </cell>
          <cell r="CE590">
            <v>0</v>
          </cell>
          <cell r="CF590">
            <v>0</v>
          </cell>
          <cell r="CG590">
            <v>0</v>
          </cell>
          <cell r="CH590">
            <v>4</v>
          </cell>
          <cell r="CI590">
            <v>4</v>
          </cell>
          <cell r="CJ590">
            <v>0</v>
          </cell>
          <cell r="CK590">
            <v>0</v>
          </cell>
          <cell r="CL590">
            <v>0</v>
          </cell>
          <cell r="CM590">
            <v>0</v>
          </cell>
          <cell r="CR590">
            <v>0</v>
          </cell>
          <cell r="CS590">
            <v>0</v>
          </cell>
          <cell r="CT590">
            <v>24</v>
          </cell>
          <cell r="CU590">
            <v>0</v>
          </cell>
          <cell r="CV590">
            <v>0</v>
          </cell>
          <cell r="CZ590">
            <v>24</v>
          </cell>
        </row>
        <row r="591">
          <cell r="C591" t="str">
            <v>03776</v>
          </cell>
          <cell r="D591" t="str">
            <v>Hoàng Thị Lành</v>
          </cell>
          <cell r="E591" t="str">
            <v>Production</v>
          </cell>
          <cell r="F591" t="str">
            <v>Molding</v>
          </cell>
          <cell r="G591" t="str">
            <v>Worker</v>
          </cell>
          <cell r="H591">
            <v>44993</v>
          </cell>
          <cell r="I591" t="str">
            <v>AL8</v>
          </cell>
          <cell r="J591" t="str">
            <v>Đ</v>
          </cell>
          <cell r="K591" t="str">
            <v>CN</v>
          </cell>
          <cell r="L591">
            <v>8</v>
          </cell>
          <cell r="M591">
            <v>8</v>
          </cell>
          <cell r="N591">
            <v>8</v>
          </cell>
          <cell r="O591">
            <v>8</v>
          </cell>
          <cell r="P591">
            <v>8</v>
          </cell>
          <cell r="Q591">
            <v>8</v>
          </cell>
          <cell r="R591" t="str">
            <v>CN</v>
          </cell>
          <cell r="S591" t="str">
            <v>Đ</v>
          </cell>
          <cell r="T591" t="str">
            <v>Đ</v>
          </cell>
          <cell r="U591" t="str">
            <v>Đ</v>
          </cell>
          <cell r="V591" t="str">
            <v>Đ</v>
          </cell>
          <cell r="W591" t="str">
            <v>Đ</v>
          </cell>
          <cell r="X591" t="str">
            <v>Đ</v>
          </cell>
          <cell r="Y591" t="str">
            <v>CN</v>
          </cell>
          <cell r="Z591">
            <v>8</v>
          </cell>
          <cell r="AA591">
            <v>8</v>
          </cell>
          <cell r="AB591">
            <v>8</v>
          </cell>
          <cell r="AC591">
            <v>8</v>
          </cell>
          <cell r="AD591">
            <v>8</v>
          </cell>
          <cell r="AE591">
            <v>8</v>
          </cell>
          <cell r="AF591" t="str">
            <v>CN</v>
          </cell>
          <cell r="AG591" t="str">
            <v>CN</v>
          </cell>
          <cell r="AH591">
            <v>8</v>
          </cell>
          <cell r="AI591">
            <v>8</v>
          </cell>
          <cell r="AJ591">
            <v>8</v>
          </cell>
          <cell r="AN591">
            <v>56</v>
          </cell>
          <cell r="AO591">
            <v>120</v>
          </cell>
          <cell r="AP591">
            <v>0</v>
          </cell>
          <cell r="AQ591">
            <v>0</v>
          </cell>
          <cell r="AR591">
            <v>0</v>
          </cell>
          <cell r="AS591">
            <v>0</v>
          </cell>
          <cell r="AT591">
            <v>0</v>
          </cell>
          <cell r="AU591">
            <v>0</v>
          </cell>
          <cell r="AV591">
            <v>0</v>
          </cell>
          <cell r="AW591">
            <v>0</v>
          </cell>
          <cell r="AX591">
            <v>0</v>
          </cell>
          <cell r="AY591">
            <v>0</v>
          </cell>
          <cell r="AZ591">
            <v>0</v>
          </cell>
          <cell r="BA591">
            <v>8</v>
          </cell>
          <cell r="BB591">
            <v>0</v>
          </cell>
          <cell r="BC591">
            <v>0</v>
          </cell>
          <cell r="BD591">
            <v>0</v>
          </cell>
          <cell r="BE591">
            <v>0</v>
          </cell>
          <cell r="BF591">
            <v>0</v>
          </cell>
          <cell r="BG591">
            <v>184</v>
          </cell>
          <cell r="BH591">
            <v>1</v>
          </cell>
          <cell r="BI591">
            <v>1</v>
          </cell>
          <cell r="BJ591">
            <v>0</v>
          </cell>
          <cell r="BL591">
            <v>0</v>
          </cell>
          <cell r="BM591">
            <v>0</v>
          </cell>
          <cell r="BN591">
            <v>0</v>
          </cell>
          <cell r="BO591">
            <v>4</v>
          </cell>
          <cell r="BP591">
            <v>0</v>
          </cell>
          <cell r="BQ591">
            <v>0</v>
          </cell>
          <cell r="BR591">
            <v>0</v>
          </cell>
          <cell r="BS591">
            <v>0</v>
          </cell>
          <cell r="BT591">
            <v>4</v>
          </cell>
          <cell r="BU591">
            <v>0</v>
          </cell>
          <cell r="BV591">
            <v>0</v>
          </cell>
          <cell r="BW591">
            <v>0</v>
          </cell>
          <cell r="BX591">
            <v>0</v>
          </cell>
          <cell r="BY591">
            <v>0</v>
          </cell>
          <cell r="BZ591">
            <v>0</v>
          </cell>
          <cell r="CA591">
            <v>4</v>
          </cell>
          <cell r="CB591">
            <v>0</v>
          </cell>
          <cell r="CC591">
            <v>4</v>
          </cell>
          <cell r="CD591">
            <v>0</v>
          </cell>
          <cell r="CE591">
            <v>0</v>
          </cell>
          <cell r="CF591">
            <v>0</v>
          </cell>
          <cell r="CG591">
            <v>0</v>
          </cell>
          <cell r="CH591">
            <v>0</v>
          </cell>
          <cell r="CI591">
            <v>0</v>
          </cell>
          <cell r="CJ591">
            <v>0</v>
          </cell>
          <cell r="CK591">
            <v>0</v>
          </cell>
          <cell r="CL591">
            <v>0</v>
          </cell>
          <cell r="CM591">
            <v>0</v>
          </cell>
          <cell r="CR591">
            <v>0</v>
          </cell>
          <cell r="CS591">
            <v>0</v>
          </cell>
          <cell r="CT591">
            <v>16</v>
          </cell>
          <cell r="CU591">
            <v>0</v>
          </cell>
          <cell r="CV591">
            <v>0</v>
          </cell>
          <cell r="CZ591">
            <v>16</v>
          </cell>
        </row>
        <row r="592">
          <cell r="C592" t="str">
            <v>03779</v>
          </cell>
          <cell r="D592" t="str">
            <v>Hồ Thị Thu Mai</v>
          </cell>
          <cell r="E592" t="str">
            <v>Production</v>
          </cell>
          <cell r="F592" t="str">
            <v>Logo</v>
          </cell>
          <cell r="G592" t="str">
            <v>Worker</v>
          </cell>
          <cell r="H592">
            <v>44993</v>
          </cell>
          <cell r="I592">
            <v>8</v>
          </cell>
          <cell r="J592">
            <v>8</v>
          </cell>
          <cell r="K592" t="str">
            <v>AL4</v>
          </cell>
          <cell r="L592" t="str">
            <v>CN</v>
          </cell>
          <cell r="M592" t="str">
            <v>AL8</v>
          </cell>
          <cell r="N592">
            <v>8</v>
          </cell>
          <cell r="O592" t="str">
            <v>UP8</v>
          </cell>
          <cell r="P592" t="str">
            <v>UP8</v>
          </cell>
          <cell r="Q592" t="str">
            <v>UP8</v>
          </cell>
          <cell r="R592" t="str">
            <v>UP8</v>
          </cell>
          <cell r="S592" t="str">
            <v>CN</v>
          </cell>
          <cell r="T592" t="str">
            <v>UP8</v>
          </cell>
          <cell r="U592" t="str">
            <v>UP8</v>
          </cell>
          <cell r="V592" t="str">
            <v>UP8</v>
          </cell>
          <cell r="W592" t="str">
            <v>UP8</v>
          </cell>
          <cell r="X592" t="str">
            <v>UP8</v>
          </cell>
          <cell r="Y592" t="str">
            <v>UP8</v>
          </cell>
          <cell r="Z592" t="str">
            <v>CN</v>
          </cell>
          <cell r="AA592" t="str">
            <v>UP8</v>
          </cell>
          <cell r="AB592" t="str">
            <v>UP8</v>
          </cell>
          <cell r="AC592" t="str">
            <v>TV</v>
          </cell>
          <cell r="AD592" t="str">
            <v>TV</v>
          </cell>
          <cell r="AE592" t="str">
            <v>TV</v>
          </cell>
          <cell r="AF592" t="str">
            <v>TV</v>
          </cell>
          <cell r="AG592" t="str">
            <v>TV</v>
          </cell>
          <cell r="AH592" t="str">
            <v>TV</v>
          </cell>
          <cell r="AI592" t="str">
            <v>TV</v>
          </cell>
          <cell r="AJ592" t="str">
            <v>TV</v>
          </cell>
          <cell r="AN592">
            <v>0</v>
          </cell>
          <cell r="AO592">
            <v>28</v>
          </cell>
          <cell r="AP592">
            <v>4</v>
          </cell>
          <cell r="AQ592">
            <v>0</v>
          </cell>
          <cell r="AR592">
            <v>0</v>
          </cell>
          <cell r="AS592">
            <v>96</v>
          </cell>
          <cell r="AT592">
            <v>0</v>
          </cell>
          <cell r="AU592">
            <v>0</v>
          </cell>
          <cell r="AV592">
            <v>0</v>
          </cell>
          <cell r="AW592">
            <v>0</v>
          </cell>
          <cell r="AX592">
            <v>0</v>
          </cell>
          <cell r="AY592">
            <v>0</v>
          </cell>
          <cell r="AZ592">
            <v>0</v>
          </cell>
          <cell r="BA592">
            <v>12</v>
          </cell>
          <cell r="BB592">
            <v>0</v>
          </cell>
          <cell r="BC592">
            <v>0</v>
          </cell>
          <cell r="BD592">
            <v>0</v>
          </cell>
          <cell r="BE592">
            <v>0</v>
          </cell>
          <cell r="BF592">
            <v>0</v>
          </cell>
          <cell r="BG592">
            <v>40</v>
          </cell>
          <cell r="BH592">
            <v>1.5</v>
          </cell>
          <cell r="BI592">
            <v>1.5</v>
          </cell>
          <cell r="BJ592">
            <v>0</v>
          </cell>
          <cell r="BL592">
            <v>1.5</v>
          </cell>
          <cell r="BM592">
            <v>1.5</v>
          </cell>
          <cell r="BN592">
            <v>1.5</v>
          </cell>
          <cell r="BO592">
            <v>0</v>
          </cell>
          <cell r="BP592">
            <v>0</v>
          </cell>
          <cell r="BQ592">
            <v>0</v>
          </cell>
          <cell r="BR592">
            <v>0</v>
          </cell>
          <cell r="BS592">
            <v>0</v>
          </cell>
          <cell r="BT592">
            <v>0</v>
          </cell>
          <cell r="BU592">
            <v>0</v>
          </cell>
          <cell r="BV592">
            <v>0</v>
          </cell>
          <cell r="BW592">
            <v>0</v>
          </cell>
          <cell r="BX592">
            <v>0</v>
          </cell>
          <cell r="BY592">
            <v>0</v>
          </cell>
          <cell r="BZ592">
            <v>0</v>
          </cell>
          <cell r="CA592">
            <v>0</v>
          </cell>
          <cell r="CB592">
            <v>0</v>
          </cell>
          <cell r="CC592">
            <v>0</v>
          </cell>
          <cell r="CD592">
            <v>0</v>
          </cell>
          <cell r="CE592">
            <v>0</v>
          </cell>
          <cell r="CF592">
            <v>0</v>
          </cell>
          <cell r="CG592">
            <v>0</v>
          </cell>
          <cell r="CH592">
            <v>0</v>
          </cell>
          <cell r="CI592">
            <v>0</v>
          </cell>
          <cell r="CJ592">
            <v>0</v>
          </cell>
          <cell r="CK592">
            <v>0</v>
          </cell>
          <cell r="CL592">
            <v>0</v>
          </cell>
          <cell r="CM592">
            <v>0</v>
          </cell>
          <cell r="CR592">
            <v>0</v>
          </cell>
          <cell r="CS592">
            <v>0</v>
          </cell>
          <cell r="CT592">
            <v>4.5</v>
          </cell>
          <cell r="CU592">
            <v>0</v>
          </cell>
          <cell r="CV592">
            <v>0</v>
          </cell>
          <cell r="CZ592">
            <v>4.5</v>
          </cell>
        </row>
        <row r="593">
          <cell r="C593" t="str">
            <v>03781</v>
          </cell>
          <cell r="D593" t="str">
            <v>Huỳnh Trọng Kha</v>
          </cell>
          <cell r="E593" t="str">
            <v>Foaming</v>
          </cell>
          <cell r="F593" t="str">
            <v>FOAMING Production control</v>
          </cell>
          <cell r="G593" t="str">
            <v>Associate Engineer</v>
          </cell>
          <cell r="H593">
            <v>44993</v>
          </cell>
          <cell r="I593">
            <v>8</v>
          </cell>
          <cell r="J593">
            <v>8</v>
          </cell>
          <cell r="K593" t="str">
            <v>PO</v>
          </cell>
          <cell r="L593" t="str">
            <v>CN</v>
          </cell>
          <cell r="M593">
            <v>8</v>
          </cell>
          <cell r="N593">
            <v>8</v>
          </cell>
          <cell r="O593" t="str">
            <v>AL8</v>
          </cell>
          <cell r="P593">
            <v>8</v>
          </cell>
          <cell r="Q593" t="str">
            <v>PO</v>
          </cell>
          <cell r="R593" t="str">
            <v>PO</v>
          </cell>
          <cell r="S593" t="str">
            <v>CN</v>
          </cell>
          <cell r="T593">
            <v>8</v>
          </cell>
          <cell r="U593">
            <v>8</v>
          </cell>
          <cell r="V593">
            <v>8</v>
          </cell>
          <cell r="W593">
            <v>8</v>
          </cell>
          <cell r="X593">
            <v>8</v>
          </cell>
          <cell r="Y593" t="str">
            <v>PO</v>
          </cell>
          <cell r="Z593" t="str">
            <v>CN</v>
          </cell>
          <cell r="AA593">
            <v>8</v>
          </cell>
          <cell r="AB593">
            <v>8</v>
          </cell>
          <cell r="AC593">
            <v>8</v>
          </cell>
          <cell r="AD593" t="str">
            <v>BS</v>
          </cell>
          <cell r="AE593">
            <v>8</v>
          </cell>
          <cell r="AF593" t="str">
            <v>PO</v>
          </cell>
          <cell r="AG593" t="str">
            <v>CN</v>
          </cell>
          <cell r="AH593">
            <v>8</v>
          </cell>
          <cell r="AI593">
            <v>8</v>
          </cell>
          <cell r="AJ593">
            <v>8</v>
          </cell>
          <cell r="AN593">
            <v>0</v>
          </cell>
          <cell r="AO593">
            <v>136</v>
          </cell>
          <cell r="AP593">
            <v>0</v>
          </cell>
          <cell r="AQ593">
            <v>0</v>
          </cell>
          <cell r="AR593">
            <v>0</v>
          </cell>
          <cell r="AS593">
            <v>0</v>
          </cell>
          <cell r="AT593">
            <v>0</v>
          </cell>
          <cell r="AU593">
            <v>8</v>
          </cell>
          <cell r="AV593">
            <v>40</v>
          </cell>
          <cell r="AW593">
            <v>0</v>
          </cell>
          <cell r="AX593">
            <v>0</v>
          </cell>
          <cell r="AY593">
            <v>0</v>
          </cell>
          <cell r="AZ593">
            <v>0</v>
          </cell>
          <cell r="BA593">
            <v>8</v>
          </cell>
          <cell r="BB593">
            <v>0</v>
          </cell>
          <cell r="BC593">
            <v>0</v>
          </cell>
          <cell r="BD593">
            <v>0</v>
          </cell>
          <cell r="BE593">
            <v>0</v>
          </cell>
          <cell r="BF593">
            <v>0</v>
          </cell>
          <cell r="BG593">
            <v>192</v>
          </cell>
          <cell r="BH593">
            <v>1</v>
          </cell>
          <cell r="BI593">
            <v>1</v>
          </cell>
          <cell r="BJ593">
            <v>5.5</v>
          </cell>
          <cell r="BL593">
            <v>0</v>
          </cell>
          <cell r="BM593">
            <v>0</v>
          </cell>
          <cell r="BN593">
            <v>0</v>
          </cell>
          <cell r="BO593">
            <v>0</v>
          </cell>
          <cell r="BP593">
            <v>0</v>
          </cell>
          <cell r="BQ593">
            <v>0</v>
          </cell>
          <cell r="BR593">
            <v>0</v>
          </cell>
          <cell r="BS593">
            <v>0</v>
          </cell>
          <cell r="BT593">
            <v>0</v>
          </cell>
          <cell r="BU593">
            <v>0</v>
          </cell>
          <cell r="BV593">
            <v>0</v>
          </cell>
          <cell r="BW593">
            <v>0</v>
          </cell>
          <cell r="BX593">
            <v>0</v>
          </cell>
          <cell r="BY593">
            <v>0</v>
          </cell>
          <cell r="BZ593">
            <v>0</v>
          </cell>
          <cell r="CA593">
            <v>0</v>
          </cell>
          <cell r="CB593">
            <v>0</v>
          </cell>
          <cell r="CC593">
            <v>0</v>
          </cell>
          <cell r="CD593">
            <v>0</v>
          </cell>
          <cell r="CE593">
            <v>0</v>
          </cell>
          <cell r="CF593">
            <v>0</v>
          </cell>
          <cell r="CG593">
            <v>0</v>
          </cell>
          <cell r="CH593">
            <v>0</v>
          </cell>
          <cell r="CI593">
            <v>0</v>
          </cell>
          <cell r="CJ593">
            <v>0</v>
          </cell>
          <cell r="CK593">
            <v>0</v>
          </cell>
          <cell r="CL593">
            <v>0</v>
          </cell>
          <cell r="CM593">
            <v>0</v>
          </cell>
          <cell r="CR593">
            <v>0</v>
          </cell>
          <cell r="CS593">
            <v>0</v>
          </cell>
          <cell r="CT593">
            <v>0</v>
          </cell>
          <cell r="CU593">
            <v>0</v>
          </cell>
          <cell r="CV593">
            <v>0</v>
          </cell>
          <cell r="CZ593">
            <v>0</v>
          </cell>
        </row>
        <row r="594">
          <cell r="C594" t="str">
            <v>03783</v>
          </cell>
          <cell r="D594" t="str">
            <v>Hồ Văn Tuốt</v>
          </cell>
          <cell r="E594" t="str">
            <v>Foaming</v>
          </cell>
          <cell r="F594" t="str">
            <v>FOAMING Rectangular</v>
          </cell>
          <cell r="G594" t="str">
            <v>Team Leader</v>
          </cell>
          <cell r="H594">
            <v>44993</v>
          </cell>
          <cell r="I594" t="str">
            <v>Đ</v>
          </cell>
          <cell r="J594" t="str">
            <v>Đ</v>
          </cell>
          <cell r="K594" t="str">
            <v>Đ</v>
          </cell>
          <cell r="L594" t="str">
            <v>CN</v>
          </cell>
          <cell r="M594" t="str">
            <v>Đ</v>
          </cell>
          <cell r="N594" t="str">
            <v>Đ</v>
          </cell>
          <cell r="O594" t="str">
            <v>Đ</v>
          </cell>
          <cell r="P594" t="str">
            <v>Đ</v>
          </cell>
          <cell r="Q594" t="str">
            <v>Đ</v>
          </cell>
          <cell r="R594" t="str">
            <v>Đ</v>
          </cell>
          <cell r="S594" t="str">
            <v>CN</v>
          </cell>
          <cell r="T594" t="str">
            <v>Đ</v>
          </cell>
          <cell r="U594" t="str">
            <v>Đ</v>
          </cell>
          <cell r="V594" t="str">
            <v>Đ</v>
          </cell>
          <cell r="W594" t="str">
            <v>Đ</v>
          </cell>
          <cell r="X594" t="str">
            <v>Đ</v>
          </cell>
          <cell r="Y594" t="str">
            <v>Đ</v>
          </cell>
          <cell r="Z594" t="str">
            <v>CN</v>
          </cell>
          <cell r="AA594">
            <v>8</v>
          </cell>
          <cell r="AB594">
            <v>8</v>
          </cell>
          <cell r="AC594">
            <v>8</v>
          </cell>
          <cell r="AD594">
            <v>8</v>
          </cell>
          <cell r="AE594" t="str">
            <v>AL4</v>
          </cell>
          <cell r="AF594">
            <v>8</v>
          </cell>
          <cell r="AG594" t="str">
            <v>CN</v>
          </cell>
          <cell r="AH594" t="str">
            <v>Đ</v>
          </cell>
          <cell r="AI594" t="str">
            <v>Đ</v>
          </cell>
          <cell r="AJ594" t="str">
            <v>Đ</v>
          </cell>
          <cell r="AN594">
            <v>144</v>
          </cell>
          <cell r="AO594">
            <v>44</v>
          </cell>
          <cell r="AP594">
            <v>4</v>
          </cell>
          <cell r="AQ594">
            <v>0</v>
          </cell>
          <cell r="AR594">
            <v>0</v>
          </cell>
          <cell r="AS594">
            <v>0</v>
          </cell>
          <cell r="AT594">
            <v>0</v>
          </cell>
          <cell r="AU594">
            <v>0</v>
          </cell>
          <cell r="AV594">
            <v>0</v>
          </cell>
          <cell r="AW594">
            <v>0</v>
          </cell>
          <cell r="AX594">
            <v>0</v>
          </cell>
          <cell r="AY594">
            <v>0</v>
          </cell>
          <cell r="AZ594">
            <v>0</v>
          </cell>
          <cell r="BA594">
            <v>4</v>
          </cell>
          <cell r="BB594">
            <v>0</v>
          </cell>
          <cell r="BC594">
            <v>0</v>
          </cell>
          <cell r="BD594">
            <v>0</v>
          </cell>
          <cell r="BE594">
            <v>0</v>
          </cell>
          <cell r="BF594">
            <v>0</v>
          </cell>
          <cell r="BG594">
            <v>192</v>
          </cell>
          <cell r="BH594">
            <v>0.5</v>
          </cell>
          <cell r="BI594">
            <v>0.5</v>
          </cell>
          <cell r="BJ594">
            <v>-2</v>
          </cell>
          <cell r="BL594">
            <v>4</v>
          </cell>
          <cell r="BM594">
            <v>4</v>
          </cell>
          <cell r="BN594">
            <v>4</v>
          </cell>
          <cell r="BO594" t="str">
            <v>12Đ</v>
          </cell>
          <cell r="BP594">
            <v>3</v>
          </cell>
          <cell r="BQ594">
            <v>4</v>
          </cell>
          <cell r="BR594">
            <v>4</v>
          </cell>
          <cell r="BS594">
            <v>4</v>
          </cell>
          <cell r="BT594">
            <v>4</v>
          </cell>
          <cell r="BU594">
            <v>4</v>
          </cell>
          <cell r="BV594" t="str">
            <v>12Đ</v>
          </cell>
          <cell r="BW594">
            <v>4</v>
          </cell>
          <cell r="BX594">
            <v>0</v>
          </cell>
          <cell r="BY594">
            <v>0</v>
          </cell>
          <cell r="BZ594">
            <v>0</v>
          </cell>
          <cell r="CA594">
            <v>4</v>
          </cell>
          <cell r="CB594">
            <v>4</v>
          </cell>
          <cell r="CC594">
            <v>0</v>
          </cell>
          <cell r="CD594">
            <v>4</v>
          </cell>
          <cell r="CE594">
            <v>4</v>
          </cell>
          <cell r="CF594">
            <v>4</v>
          </cell>
          <cell r="CG594">
            <v>4</v>
          </cell>
          <cell r="CH594">
            <v>4</v>
          </cell>
          <cell r="CI594">
            <v>4</v>
          </cell>
          <cell r="CJ594">
            <v>12</v>
          </cell>
          <cell r="CK594">
            <v>4</v>
          </cell>
          <cell r="CL594">
            <v>0</v>
          </cell>
          <cell r="CM594">
            <v>4</v>
          </cell>
          <cell r="CR594">
            <v>0</v>
          </cell>
          <cell r="CS594">
            <v>0</v>
          </cell>
          <cell r="CT594">
            <v>79</v>
          </cell>
          <cell r="CU594">
            <v>20</v>
          </cell>
          <cell r="CV594">
            <v>16</v>
          </cell>
          <cell r="CZ594">
            <v>115</v>
          </cell>
        </row>
        <row r="595">
          <cell r="C595" t="str">
            <v>03789</v>
          </cell>
          <cell r="D595" t="str">
            <v>Võ Chí Linh</v>
          </cell>
          <cell r="E595" t="str">
            <v>Production</v>
          </cell>
          <cell r="F595" t="str">
            <v>Lamination</v>
          </cell>
          <cell r="G595" t="str">
            <v>Worker</v>
          </cell>
          <cell r="H595">
            <v>44999</v>
          </cell>
          <cell r="I595">
            <v>8</v>
          </cell>
          <cell r="J595">
            <v>8</v>
          </cell>
          <cell r="K595">
            <v>8</v>
          </cell>
          <cell r="L595" t="str">
            <v>CN</v>
          </cell>
          <cell r="M595" t="str">
            <v>Đ</v>
          </cell>
          <cell r="N595" t="str">
            <v>Đ</v>
          </cell>
          <cell r="O595" t="str">
            <v>Đ</v>
          </cell>
          <cell r="P595" t="str">
            <v>Đ</v>
          </cell>
          <cell r="Q595" t="str">
            <v>Đ</v>
          </cell>
          <cell r="R595" t="str">
            <v>Đ</v>
          </cell>
          <cell r="S595" t="str">
            <v>CN</v>
          </cell>
          <cell r="T595">
            <v>8</v>
          </cell>
          <cell r="U595">
            <v>8</v>
          </cell>
          <cell r="V595">
            <v>8</v>
          </cell>
          <cell r="W595">
            <v>8</v>
          </cell>
          <cell r="X595">
            <v>8</v>
          </cell>
          <cell r="Y595">
            <v>8</v>
          </cell>
          <cell r="Z595" t="str">
            <v>CN</v>
          </cell>
          <cell r="AA595">
            <v>8</v>
          </cell>
          <cell r="AB595">
            <v>8</v>
          </cell>
          <cell r="AC595">
            <v>8</v>
          </cell>
          <cell r="AD595">
            <v>8</v>
          </cell>
          <cell r="AE595" t="str">
            <v>Đ</v>
          </cell>
          <cell r="AF595" t="str">
            <v>Đ</v>
          </cell>
          <cell r="AG595" t="str">
            <v>CN</v>
          </cell>
          <cell r="AH595">
            <v>8</v>
          </cell>
          <cell r="AI595">
            <v>8</v>
          </cell>
          <cell r="AJ595">
            <v>8</v>
          </cell>
          <cell r="AN595">
            <v>64</v>
          </cell>
          <cell r="AO595">
            <v>128</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192</v>
          </cell>
          <cell r="BH595">
            <v>0</v>
          </cell>
          <cell r="BI595">
            <v>0</v>
          </cell>
          <cell r="BJ595">
            <v>4</v>
          </cell>
          <cell r="BL595">
            <v>4</v>
          </cell>
          <cell r="BM595">
            <v>0</v>
          </cell>
          <cell r="BN595">
            <v>0</v>
          </cell>
          <cell r="BO595">
            <v>0</v>
          </cell>
          <cell r="BP595">
            <v>0</v>
          </cell>
          <cell r="BQ595">
            <v>4</v>
          </cell>
          <cell r="BR595">
            <v>0</v>
          </cell>
          <cell r="BS595">
            <v>0</v>
          </cell>
          <cell r="BT595">
            <v>0</v>
          </cell>
          <cell r="BU595">
            <v>4</v>
          </cell>
          <cell r="BV595">
            <v>0</v>
          </cell>
          <cell r="BW595">
            <v>4</v>
          </cell>
          <cell r="BX595">
            <v>4</v>
          </cell>
          <cell r="BY595">
            <v>0</v>
          </cell>
          <cell r="BZ595">
            <v>0</v>
          </cell>
          <cell r="CA595">
            <v>4</v>
          </cell>
          <cell r="CB595">
            <v>0</v>
          </cell>
          <cell r="CC595">
            <v>0</v>
          </cell>
          <cell r="CD595">
            <v>4</v>
          </cell>
          <cell r="CE595">
            <v>0</v>
          </cell>
          <cell r="CF595">
            <v>0</v>
          </cell>
          <cell r="CG595">
            <v>0</v>
          </cell>
          <cell r="CH595">
            <v>4</v>
          </cell>
          <cell r="CI595">
            <v>4</v>
          </cell>
          <cell r="CJ595">
            <v>0</v>
          </cell>
          <cell r="CK595">
            <v>0</v>
          </cell>
          <cell r="CL595">
            <v>0</v>
          </cell>
          <cell r="CM595">
            <v>4</v>
          </cell>
          <cell r="CR595">
            <v>0</v>
          </cell>
          <cell r="CS595">
            <v>0</v>
          </cell>
          <cell r="CT595">
            <v>40</v>
          </cell>
          <cell r="CU595">
            <v>0</v>
          </cell>
          <cell r="CV595">
            <v>0</v>
          </cell>
          <cell r="CZ595">
            <v>40</v>
          </cell>
        </row>
        <row r="596">
          <cell r="C596" t="str">
            <v>03790</v>
          </cell>
          <cell r="D596" t="str">
            <v>Danh Thị Thủy Tiên</v>
          </cell>
          <cell r="E596" t="str">
            <v>Production</v>
          </cell>
          <cell r="F596" t="str">
            <v>Lamination</v>
          </cell>
          <cell r="G596" t="str">
            <v>Worker</v>
          </cell>
          <cell r="H596">
            <v>44999</v>
          </cell>
          <cell r="I596">
            <v>8</v>
          </cell>
          <cell r="J596">
            <v>8</v>
          </cell>
          <cell r="K596" t="str">
            <v>AL8</v>
          </cell>
          <cell r="L596" t="str">
            <v>CN</v>
          </cell>
          <cell r="M596" t="str">
            <v>Đ</v>
          </cell>
          <cell r="N596" t="str">
            <v>Đ</v>
          </cell>
          <cell r="O596" t="str">
            <v>Đ</v>
          </cell>
          <cell r="P596" t="str">
            <v>Đ</v>
          </cell>
          <cell r="Q596" t="str">
            <v>Đ</v>
          </cell>
          <cell r="R596" t="str">
            <v>Đ</v>
          </cell>
          <cell r="S596" t="str">
            <v>CN</v>
          </cell>
          <cell r="T596">
            <v>8</v>
          </cell>
          <cell r="U596" t="str">
            <v>AL4</v>
          </cell>
          <cell r="V596">
            <v>8</v>
          </cell>
          <cell r="W596">
            <v>8</v>
          </cell>
          <cell r="X596">
            <v>8</v>
          </cell>
          <cell r="Y596">
            <v>8</v>
          </cell>
          <cell r="Z596" t="str">
            <v>CN</v>
          </cell>
          <cell r="AA596">
            <v>8</v>
          </cell>
          <cell r="AB596">
            <v>8</v>
          </cell>
          <cell r="AC596">
            <v>8</v>
          </cell>
          <cell r="AD596">
            <v>8</v>
          </cell>
          <cell r="AE596" t="str">
            <v>Đ</v>
          </cell>
          <cell r="AF596" t="str">
            <v>Đ</v>
          </cell>
          <cell r="AG596" t="str">
            <v>CN</v>
          </cell>
          <cell r="AH596" t="str">
            <v>AL8</v>
          </cell>
          <cell r="AI596">
            <v>8</v>
          </cell>
          <cell r="AJ596">
            <v>8</v>
          </cell>
          <cell r="AN596">
            <v>64</v>
          </cell>
          <cell r="AO596">
            <v>108</v>
          </cell>
          <cell r="AP596">
            <v>4</v>
          </cell>
          <cell r="AQ596">
            <v>0</v>
          </cell>
          <cell r="AR596">
            <v>0</v>
          </cell>
          <cell r="AS596">
            <v>0</v>
          </cell>
          <cell r="AT596">
            <v>0</v>
          </cell>
          <cell r="AU596">
            <v>0</v>
          </cell>
          <cell r="AV596">
            <v>0</v>
          </cell>
          <cell r="AW596">
            <v>0</v>
          </cell>
          <cell r="AX596">
            <v>0</v>
          </cell>
          <cell r="AY596">
            <v>0</v>
          </cell>
          <cell r="AZ596">
            <v>0</v>
          </cell>
          <cell r="BA596">
            <v>20</v>
          </cell>
          <cell r="BB596">
            <v>0</v>
          </cell>
          <cell r="BC596">
            <v>0</v>
          </cell>
          <cell r="BD596">
            <v>0</v>
          </cell>
          <cell r="BE596">
            <v>0</v>
          </cell>
          <cell r="BF596">
            <v>0</v>
          </cell>
          <cell r="BG596">
            <v>192</v>
          </cell>
          <cell r="BH596">
            <v>2.5</v>
          </cell>
          <cell r="BI596">
            <v>2.5</v>
          </cell>
          <cell r="BJ596">
            <v>0</v>
          </cell>
          <cell r="BL596">
            <v>0</v>
          </cell>
          <cell r="BM596">
            <v>0</v>
          </cell>
          <cell r="BN596">
            <v>0</v>
          </cell>
          <cell r="BO596">
            <v>0</v>
          </cell>
          <cell r="BP596">
            <v>0</v>
          </cell>
          <cell r="BQ596">
            <v>4</v>
          </cell>
          <cell r="BR596">
            <v>0</v>
          </cell>
          <cell r="BS596">
            <v>0</v>
          </cell>
          <cell r="BT596">
            <v>0</v>
          </cell>
          <cell r="BU596">
            <v>0</v>
          </cell>
          <cell r="BV596">
            <v>0</v>
          </cell>
          <cell r="BW596">
            <v>0</v>
          </cell>
          <cell r="BX596">
            <v>0</v>
          </cell>
          <cell r="BY596">
            <v>4</v>
          </cell>
          <cell r="BZ596">
            <v>4</v>
          </cell>
          <cell r="CA596">
            <v>0</v>
          </cell>
          <cell r="CB596">
            <v>4</v>
          </cell>
          <cell r="CC596">
            <v>0</v>
          </cell>
          <cell r="CD596">
            <v>0</v>
          </cell>
          <cell r="CE596">
            <v>4</v>
          </cell>
          <cell r="CF596">
            <v>0</v>
          </cell>
          <cell r="CG596">
            <v>4</v>
          </cell>
          <cell r="CH596">
            <v>4</v>
          </cell>
          <cell r="CI596">
            <v>4</v>
          </cell>
          <cell r="CJ596">
            <v>0</v>
          </cell>
          <cell r="CK596">
            <v>0</v>
          </cell>
          <cell r="CL596">
            <v>0</v>
          </cell>
          <cell r="CM596">
            <v>4</v>
          </cell>
          <cell r="CR596">
            <v>0</v>
          </cell>
          <cell r="CS596">
            <v>0</v>
          </cell>
          <cell r="CT596">
            <v>36</v>
          </cell>
          <cell r="CU596">
            <v>0</v>
          </cell>
          <cell r="CV596">
            <v>0</v>
          </cell>
          <cell r="CZ596">
            <v>36</v>
          </cell>
        </row>
        <row r="597">
          <cell r="C597" t="str">
            <v>03798</v>
          </cell>
          <cell r="D597" t="str">
            <v>Nguyễn Thị Mộng Nghi</v>
          </cell>
          <cell r="E597" t="str">
            <v>Production</v>
          </cell>
          <cell r="F597" t="str">
            <v>Packing</v>
          </cell>
          <cell r="G597" t="str">
            <v>Worker</v>
          </cell>
          <cell r="H597">
            <v>44999</v>
          </cell>
          <cell r="I597" t="str">
            <v>Đ</v>
          </cell>
          <cell r="J597" t="str">
            <v>Đ</v>
          </cell>
          <cell r="K597" t="str">
            <v>Đ</v>
          </cell>
          <cell r="L597" t="str">
            <v>CN</v>
          </cell>
          <cell r="M597">
            <v>8</v>
          </cell>
          <cell r="N597">
            <v>8</v>
          </cell>
          <cell r="O597">
            <v>8</v>
          </cell>
          <cell r="P597">
            <v>8</v>
          </cell>
          <cell r="Q597">
            <v>8</v>
          </cell>
          <cell r="R597">
            <v>8</v>
          </cell>
          <cell r="S597" t="str">
            <v>CN</v>
          </cell>
          <cell r="T597" t="str">
            <v>Đ</v>
          </cell>
          <cell r="U597" t="str">
            <v>Đ</v>
          </cell>
          <cell r="V597" t="str">
            <v>Đ</v>
          </cell>
          <cell r="W597" t="str">
            <v>Đ</v>
          </cell>
          <cell r="X597" t="str">
            <v>Đ</v>
          </cell>
          <cell r="Y597" t="str">
            <v>Đ</v>
          </cell>
          <cell r="Z597" t="str">
            <v>CN</v>
          </cell>
          <cell r="AA597">
            <v>8</v>
          </cell>
          <cell r="AB597">
            <v>8</v>
          </cell>
          <cell r="AC597">
            <v>8</v>
          </cell>
          <cell r="AD597">
            <v>8</v>
          </cell>
          <cell r="AE597">
            <v>8</v>
          </cell>
          <cell r="AF597">
            <v>8</v>
          </cell>
          <cell r="AG597" t="str">
            <v>CN</v>
          </cell>
          <cell r="AH597" t="str">
            <v>Đ</v>
          </cell>
          <cell r="AI597" t="str">
            <v>Đ</v>
          </cell>
          <cell r="AJ597" t="str">
            <v>Đ</v>
          </cell>
          <cell r="AN597">
            <v>96</v>
          </cell>
          <cell r="AO597">
            <v>96</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192</v>
          </cell>
          <cell r="BH597">
            <v>0</v>
          </cell>
          <cell r="BI597">
            <v>0</v>
          </cell>
          <cell r="BJ597">
            <v>2</v>
          </cell>
          <cell r="BL597">
            <v>1.5</v>
          </cell>
          <cell r="BM597">
            <v>1.5</v>
          </cell>
          <cell r="BN597">
            <v>1.5</v>
          </cell>
          <cell r="BO597">
            <v>0</v>
          </cell>
          <cell r="BP597">
            <v>1.5</v>
          </cell>
          <cell r="BQ597">
            <v>0</v>
          </cell>
          <cell r="BR597">
            <v>0</v>
          </cell>
          <cell r="BS597">
            <v>3</v>
          </cell>
          <cell r="BT597">
            <v>3</v>
          </cell>
          <cell r="BU597">
            <v>3</v>
          </cell>
          <cell r="BV597">
            <v>0</v>
          </cell>
          <cell r="BW597">
            <v>4</v>
          </cell>
          <cell r="BX597">
            <v>4</v>
          </cell>
          <cell r="BY597">
            <v>4</v>
          </cell>
          <cell r="BZ597">
            <v>4</v>
          </cell>
          <cell r="CA597">
            <v>4</v>
          </cell>
          <cell r="CB597">
            <v>4</v>
          </cell>
          <cell r="CC597">
            <v>0</v>
          </cell>
          <cell r="CD597">
            <v>3</v>
          </cell>
          <cell r="CE597">
            <v>3</v>
          </cell>
          <cell r="CF597">
            <v>3</v>
          </cell>
          <cell r="CG597">
            <v>3</v>
          </cell>
          <cell r="CH597">
            <v>0</v>
          </cell>
          <cell r="CI597">
            <v>3</v>
          </cell>
          <cell r="CJ597">
            <v>11</v>
          </cell>
          <cell r="CK597">
            <v>4</v>
          </cell>
          <cell r="CL597">
            <v>4</v>
          </cell>
          <cell r="CM597">
            <v>4</v>
          </cell>
          <cell r="CR597">
            <v>0</v>
          </cell>
          <cell r="CS597">
            <v>0</v>
          </cell>
          <cell r="CT597">
            <v>66</v>
          </cell>
          <cell r="CU597">
            <v>11</v>
          </cell>
          <cell r="CV597">
            <v>0</v>
          </cell>
          <cell r="CZ597">
            <v>77</v>
          </cell>
        </row>
        <row r="598">
          <cell r="C598" t="str">
            <v>03803</v>
          </cell>
          <cell r="D598" t="str">
            <v>Nguyễn Thị Hương Xuân</v>
          </cell>
          <cell r="E598" t="str">
            <v>Production</v>
          </cell>
          <cell r="F598" t="str">
            <v>Packing</v>
          </cell>
          <cell r="G598" t="str">
            <v>Worker</v>
          </cell>
          <cell r="H598">
            <v>45006</v>
          </cell>
          <cell r="I598">
            <v>8</v>
          </cell>
          <cell r="J598">
            <v>8</v>
          </cell>
          <cell r="K598">
            <v>8</v>
          </cell>
          <cell r="L598" t="str">
            <v>CN</v>
          </cell>
          <cell r="M598" t="str">
            <v>Đ</v>
          </cell>
          <cell r="N598" t="str">
            <v>Đ</v>
          </cell>
          <cell r="O598" t="str">
            <v>Đ</v>
          </cell>
          <cell r="P598" t="str">
            <v>Đ</v>
          </cell>
          <cell r="Q598" t="str">
            <v>Đ</v>
          </cell>
          <cell r="R598" t="str">
            <v>Đ</v>
          </cell>
          <cell r="S598" t="str">
            <v>CN</v>
          </cell>
          <cell r="T598">
            <v>8</v>
          </cell>
          <cell r="U598">
            <v>8</v>
          </cell>
          <cell r="V598">
            <v>8</v>
          </cell>
          <cell r="W598">
            <v>8</v>
          </cell>
          <cell r="X598">
            <v>8</v>
          </cell>
          <cell r="Y598" t="str">
            <v>AL4</v>
          </cell>
          <cell r="Z598" t="str">
            <v>CN</v>
          </cell>
          <cell r="AA598" t="str">
            <v>Đ</v>
          </cell>
          <cell r="AB598" t="str">
            <v>Đ</v>
          </cell>
          <cell r="AC598" t="str">
            <v>Đ</v>
          </cell>
          <cell r="AD598" t="str">
            <v>Đ</v>
          </cell>
          <cell r="AE598" t="str">
            <v>Đ</v>
          </cell>
          <cell r="AF598" t="str">
            <v>Đ</v>
          </cell>
          <cell r="AG598" t="str">
            <v>CN</v>
          </cell>
          <cell r="AH598">
            <v>8</v>
          </cell>
          <cell r="AI598">
            <v>8</v>
          </cell>
          <cell r="AJ598">
            <v>8</v>
          </cell>
          <cell r="AN598">
            <v>96</v>
          </cell>
          <cell r="AO598">
            <v>92</v>
          </cell>
          <cell r="AP598">
            <v>4</v>
          </cell>
          <cell r="AQ598">
            <v>0</v>
          </cell>
          <cell r="AR598">
            <v>0</v>
          </cell>
          <cell r="AS598">
            <v>0</v>
          </cell>
          <cell r="AT598">
            <v>0</v>
          </cell>
          <cell r="AU598">
            <v>0</v>
          </cell>
          <cell r="AV598">
            <v>0</v>
          </cell>
          <cell r="AW598">
            <v>0</v>
          </cell>
          <cell r="AX598">
            <v>0</v>
          </cell>
          <cell r="AY598">
            <v>0</v>
          </cell>
          <cell r="AZ598">
            <v>0</v>
          </cell>
          <cell r="BA598">
            <v>4</v>
          </cell>
          <cell r="BB598">
            <v>0</v>
          </cell>
          <cell r="BC598">
            <v>0</v>
          </cell>
          <cell r="BD598">
            <v>0</v>
          </cell>
          <cell r="BE598">
            <v>0</v>
          </cell>
          <cell r="BF598">
            <v>0</v>
          </cell>
          <cell r="BG598">
            <v>192</v>
          </cell>
          <cell r="BH598">
            <v>0.5</v>
          </cell>
          <cell r="BI598">
            <v>0.5</v>
          </cell>
          <cell r="BJ598">
            <v>0.5</v>
          </cell>
          <cell r="BL598">
            <v>1.5</v>
          </cell>
          <cell r="BM598">
            <v>1.5</v>
          </cell>
          <cell r="BN598">
            <v>1.5</v>
          </cell>
          <cell r="BO598">
            <v>0</v>
          </cell>
          <cell r="BP598">
            <v>1.5</v>
          </cell>
          <cell r="BQ598">
            <v>0</v>
          </cell>
          <cell r="BR598">
            <v>0</v>
          </cell>
          <cell r="BS598">
            <v>4</v>
          </cell>
          <cell r="BT598">
            <v>0</v>
          </cell>
          <cell r="BU598">
            <v>3</v>
          </cell>
          <cell r="BV598">
            <v>0</v>
          </cell>
          <cell r="BW598">
            <v>3</v>
          </cell>
          <cell r="BX598">
            <v>3</v>
          </cell>
          <cell r="BY598">
            <v>3</v>
          </cell>
          <cell r="BZ598">
            <v>3</v>
          </cell>
          <cell r="CA598">
            <v>3</v>
          </cell>
          <cell r="CB598">
            <v>2</v>
          </cell>
          <cell r="CC598">
            <v>8</v>
          </cell>
          <cell r="CD598">
            <v>4</v>
          </cell>
          <cell r="CE598">
            <v>4</v>
          </cell>
          <cell r="CF598">
            <v>4</v>
          </cell>
          <cell r="CG598">
            <v>4</v>
          </cell>
          <cell r="CH598">
            <v>4</v>
          </cell>
          <cell r="CI598">
            <v>4</v>
          </cell>
          <cell r="CJ598">
            <v>0</v>
          </cell>
          <cell r="CK598">
            <v>3</v>
          </cell>
          <cell r="CL598">
            <v>3</v>
          </cell>
          <cell r="CM598">
            <v>2</v>
          </cell>
          <cell r="CR598">
            <v>0</v>
          </cell>
          <cell r="CS598">
            <v>0</v>
          </cell>
          <cell r="CT598">
            <v>62</v>
          </cell>
          <cell r="CU598">
            <v>8</v>
          </cell>
          <cell r="CV598">
            <v>0</v>
          </cell>
          <cell r="CZ598">
            <v>70</v>
          </cell>
        </row>
        <row r="599">
          <cell r="C599" t="str">
            <v>03806</v>
          </cell>
          <cell r="D599" t="str">
            <v>Trần Ngọc Dung</v>
          </cell>
          <cell r="E599" t="str">
            <v>Production</v>
          </cell>
          <cell r="F599" t="str">
            <v>Logo</v>
          </cell>
          <cell r="G599" t="str">
            <v>Worker</v>
          </cell>
          <cell r="H599">
            <v>45006</v>
          </cell>
          <cell r="I599">
            <v>8</v>
          </cell>
          <cell r="J599">
            <v>8</v>
          </cell>
          <cell r="K599">
            <v>8</v>
          </cell>
          <cell r="L599" t="str">
            <v>CN</v>
          </cell>
          <cell r="M599" t="str">
            <v>Đ</v>
          </cell>
          <cell r="N599" t="str">
            <v>Đ</v>
          </cell>
          <cell r="O599" t="str">
            <v>Đ</v>
          </cell>
          <cell r="P599" t="str">
            <v>Đ</v>
          </cell>
          <cell r="Q599" t="str">
            <v>Đ</v>
          </cell>
          <cell r="R599" t="str">
            <v>Đ</v>
          </cell>
          <cell r="S599" t="str">
            <v>CN</v>
          </cell>
          <cell r="T599">
            <v>8</v>
          </cell>
          <cell r="U599">
            <v>8</v>
          </cell>
          <cell r="V599">
            <v>8</v>
          </cell>
          <cell r="W599">
            <v>8</v>
          </cell>
          <cell r="X599">
            <v>8</v>
          </cell>
          <cell r="Y599">
            <v>8</v>
          </cell>
          <cell r="Z599" t="str">
            <v>CN</v>
          </cell>
          <cell r="AA599" t="str">
            <v>Đ</v>
          </cell>
          <cell r="AB599" t="str">
            <v>Đ</v>
          </cell>
          <cell r="AC599" t="str">
            <v>Đ</v>
          </cell>
          <cell r="AD599" t="str">
            <v>Đ</v>
          </cell>
          <cell r="AE599" t="str">
            <v>Đ</v>
          </cell>
          <cell r="AF599" t="str">
            <v>Đ</v>
          </cell>
          <cell r="AG599" t="str">
            <v>CN</v>
          </cell>
          <cell r="AH599">
            <v>8</v>
          </cell>
          <cell r="AI599">
            <v>8</v>
          </cell>
          <cell r="AJ599" t="str">
            <v>AL4</v>
          </cell>
          <cell r="AN599">
            <v>96</v>
          </cell>
          <cell r="AO599">
            <v>92</v>
          </cell>
          <cell r="AP599">
            <v>4</v>
          </cell>
          <cell r="AQ599">
            <v>0</v>
          </cell>
          <cell r="AR599">
            <v>0</v>
          </cell>
          <cell r="AS599">
            <v>0</v>
          </cell>
          <cell r="AT599">
            <v>0</v>
          </cell>
          <cell r="AU599">
            <v>0</v>
          </cell>
          <cell r="AV599">
            <v>0</v>
          </cell>
          <cell r="AW599">
            <v>0</v>
          </cell>
          <cell r="AX599">
            <v>0</v>
          </cell>
          <cell r="AY599">
            <v>0</v>
          </cell>
          <cell r="AZ599">
            <v>0</v>
          </cell>
          <cell r="BA599">
            <v>4</v>
          </cell>
          <cell r="BB599">
            <v>0</v>
          </cell>
          <cell r="BC599">
            <v>0</v>
          </cell>
          <cell r="BD599">
            <v>0</v>
          </cell>
          <cell r="BE599">
            <v>0</v>
          </cell>
          <cell r="BF599">
            <v>0</v>
          </cell>
          <cell r="BG599">
            <v>192</v>
          </cell>
          <cell r="BH599">
            <v>0.5</v>
          </cell>
          <cell r="BI599">
            <v>0.5</v>
          </cell>
          <cell r="BJ599">
            <v>3</v>
          </cell>
          <cell r="BL599">
            <v>1.5</v>
          </cell>
          <cell r="BM599">
            <v>1.5</v>
          </cell>
          <cell r="BN599">
            <v>1.5</v>
          </cell>
          <cell r="BO599">
            <v>0</v>
          </cell>
          <cell r="BP599">
            <v>1.5</v>
          </cell>
          <cell r="BQ599">
            <v>0</v>
          </cell>
          <cell r="BR599">
            <v>0</v>
          </cell>
          <cell r="BS599">
            <v>4</v>
          </cell>
          <cell r="BT599">
            <v>3</v>
          </cell>
          <cell r="BU599">
            <v>4</v>
          </cell>
          <cell r="BV599">
            <v>0</v>
          </cell>
          <cell r="BW599">
            <v>3</v>
          </cell>
          <cell r="BX599">
            <v>3</v>
          </cell>
          <cell r="BY599">
            <v>3</v>
          </cell>
          <cell r="BZ599">
            <v>3</v>
          </cell>
          <cell r="CA599">
            <v>3</v>
          </cell>
          <cell r="CB599">
            <v>3</v>
          </cell>
          <cell r="CC599">
            <v>8</v>
          </cell>
          <cell r="CD599">
            <v>3</v>
          </cell>
          <cell r="CE599">
            <v>4</v>
          </cell>
          <cell r="CF599">
            <v>4</v>
          </cell>
          <cell r="CG599">
            <v>4</v>
          </cell>
          <cell r="CH599">
            <v>4</v>
          </cell>
          <cell r="CI599">
            <v>4</v>
          </cell>
          <cell r="CJ599">
            <v>0</v>
          </cell>
          <cell r="CK599">
            <v>3</v>
          </cell>
          <cell r="CL599">
            <v>3</v>
          </cell>
          <cell r="CM599">
            <v>2</v>
          </cell>
          <cell r="CR599">
            <v>0</v>
          </cell>
          <cell r="CS599">
            <v>0</v>
          </cell>
          <cell r="CT599">
            <v>66</v>
          </cell>
          <cell r="CU599">
            <v>8</v>
          </cell>
          <cell r="CV599">
            <v>0</v>
          </cell>
          <cell r="CZ599">
            <v>74</v>
          </cell>
        </row>
        <row r="600">
          <cell r="C600" t="str">
            <v>03809</v>
          </cell>
          <cell r="D600" t="str">
            <v>Nguyễn Vẹn Toàn</v>
          </cell>
          <cell r="E600" t="str">
            <v>Production</v>
          </cell>
          <cell r="F600" t="str">
            <v>Die Cut</v>
          </cell>
          <cell r="G600" t="str">
            <v>Worker</v>
          </cell>
          <cell r="H600">
            <v>45006</v>
          </cell>
          <cell r="I600" t="str">
            <v>TV</v>
          </cell>
          <cell r="J600" t="str">
            <v>TV</v>
          </cell>
          <cell r="K600" t="str">
            <v>TV</v>
          </cell>
          <cell r="L600" t="str">
            <v>TV</v>
          </cell>
          <cell r="M600" t="str">
            <v>TV</v>
          </cell>
          <cell r="N600" t="str">
            <v>TV</v>
          </cell>
          <cell r="O600" t="str">
            <v>TV</v>
          </cell>
          <cell r="P600" t="str">
            <v>TV</v>
          </cell>
          <cell r="Q600" t="str">
            <v>TV</v>
          </cell>
          <cell r="R600" t="str">
            <v>TV</v>
          </cell>
          <cell r="S600" t="str">
            <v>TV</v>
          </cell>
          <cell r="T600" t="str">
            <v>TV</v>
          </cell>
          <cell r="U600" t="str">
            <v>TV</v>
          </cell>
          <cell r="V600" t="str">
            <v>TV</v>
          </cell>
          <cell r="W600" t="str">
            <v>TV</v>
          </cell>
          <cell r="X600" t="str">
            <v>TV</v>
          </cell>
          <cell r="Y600" t="str">
            <v>TV</v>
          </cell>
          <cell r="Z600" t="str">
            <v>TV</v>
          </cell>
          <cell r="AA600" t="str">
            <v>TV</v>
          </cell>
          <cell r="AB600" t="str">
            <v>TV</v>
          </cell>
          <cell r="AC600" t="str">
            <v>TV</v>
          </cell>
          <cell r="AD600" t="str">
            <v>TV</v>
          </cell>
          <cell r="AE600" t="str">
            <v>TV</v>
          </cell>
          <cell r="AF600" t="str">
            <v>TV</v>
          </cell>
          <cell r="AG600" t="str">
            <v>TV</v>
          </cell>
          <cell r="AH600" t="str">
            <v>TV</v>
          </cell>
          <cell r="AI600" t="str">
            <v>TV</v>
          </cell>
          <cell r="AJ600" t="str">
            <v>TV</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1</v>
          </cell>
          <cell r="BL600">
            <v>0</v>
          </cell>
          <cell r="BM600">
            <v>0</v>
          </cell>
          <cell r="BN600">
            <v>0</v>
          </cell>
          <cell r="BO600">
            <v>0</v>
          </cell>
          <cell r="BP600">
            <v>0</v>
          </cell>
          <cell r="BQ600">
            <v>0</v>
          </cell>
          <cell r="BR600">
            <v>0</v>
          </cell>
          <cell r="BS600">
            <v>0</v>
          </cell>
          <cell r="BT600">
            <v>0</v>
          </cell>
          <cell r="BU600">
            <v>0</v>
          </cell>
          <cell r="BV600">
            <v>0</v>
          </cell>
          <cell r="BW600">
            <v>0</v>
          </cell>
          <cell r="BX600">
            <v>0</v>
          </cell>
          <cell r="BY600">
            <v>0</v>
          </cell>
          <cell r="BZ600">
            <v>0</v>
          </cell>
          <cell r="CA600">
            <v>0</v>
          </cell>
          <cell r="CB600">
            <v>0</v>
          </cell>
          <cell r="CC600">
            <v>0</v>
          </cell>
          <cell r="CD600">
            <v>0</v>
          </cell>
          <cell r="CE600">
            <v>0</v>
          </cell>
          <cell r="CF600">
            <v>0</v>
          </cell>
          <cell r="CG600">
            <v>0</v>
          </cell>
          <cell r="CH600">
            <v>0</v>
          </cell>
          <cell r="CI600">
            <v>0</v>
          </cell>
          <cell r="CJ600">
            <v>0</v>
          </cell>
          <cell r="CK600">
            <v>0</v>
          </cell>
          <cell r="CL600">
            <v>0</v>
          </cell>
          <cell r="CM600">
            <v>0</v>
          </cell>
          <cell r="CR600">
            <v>0</v>
          </cell>
          <cell r="CS600">
            <v>0</v>
          </cell>
          <cell r="CT600">
            <v>0</v>
          </cell>
          <cell r="CU600">
            <v>0</v>
          </cell>
          <cell r="CV600">
            <v>0</v>
          </cell>
          <cell r="CZ600">
            <v>0</v>
          </cell>
        </row>
        <row r="601">
          <cell r="C601" t="str">
            <v>03810</v>
          </cell>
          <cell r="D601" t="str">
            <v>Vi Văn Tạo</v>
          </cell>
          <cell r="E601" t="str">
            <v>Production</v>
          </cell>
          <cell r="F601" t="str">
            <v>Skiving</v>
          </cell>
          <cell r="G601" t="str">
            <v>Worker</v>
          </cell>
          <cell r="H601">
            <v>45006</v>
          </cell>
          <cell r="I601" t="str">
            <v>Đ</v>
          </cell>
          <cell r="J601" t="str">
            <v>Đ</v>
          </cell>
          <cell r="K601" t="str">
            <v>Đ</v>
          </cell>
          <cell r="L601" t="str">
            <v>CN</v>
          </cell>
          <cell r="M601">
            <v>8</v>
          </cell>
          <cell r="N601">
            <v>8</v>
          </cell>
          <cell r="O601">
            <v>8</v>
          </cell>
          <cell r="P601">
            <v>8</v>
          </cell>
          <cell r="Q601">
            <v>8</v>
          </cell>
          <cell r="R601">
            <v>8</v>
          </cell>
          <cell r="S601" t="str">
            <v>CN</v>
          </cell>
          <cell r="T601" t="str">
            <v>AL8</v>
          </cell>
          <cell r="U601" t="str">
            <v>Đ</v>
          </cell>
          <cell r="V601" t="str">
            <v>Đ</v>
          </cell>
          <cell r="W601" t="str">
            <v>Đ</v>
          </cell>
          <cell r="X601" t="str">
            <v>Đ</v>
          </cell>
          <cell r="Y601" t="str">
            <v>Đ</v>
          </cell>
          <cell r="Z601" t="str">
            <v>CN</v>
          </cell>
          <cell r="AA601">
            <v>8</v>
          </cell>
          <cell r="AB601">
            <v>8</v>
          </cell>
          <cell r="AC601">
            <v>8</v>
          </cell>
          <cell r="AD601">
            <v>8</v>
          </cell>
          <cell r="AE601">
            <v>8</v>
          </cell>
          <cell r="AF601">
            <v>8</v>
          </cell>
          <cell r="AG601" t="str">
            <v>CN</v>
          </cell>
          <cell r="AH601" t="str">
            <v>Đ</v>
          </cell>
          <cell r="AI601" t="str">
            <v>Đ</v>
          </cell>
          <cell r="AJ601" t="str">
            <v>Đ</v>
          </cell>
          <cell r="AN601">
            <v>88</v>
          </cell>
          <cell r="AO601">
            <v>96</v>
          </cell>
          <cell r="AP601">
            <v>0</v>
          </cell>
          <cell r="AQ601">
            <v>0</v>
          </cell>
          <cell r="AR601">
            <v>0</v>
          </cell>
          <cell r="AS601">
            <v>0</v>
          </cell>
          <cell r="AT601">
            <v>0</v>
          </cell>
          <cell r="AU601">
            <v>0</v>
          </cell>
          <cell r="AV601">
            <v>0</v>
          </cell>
          <cell r="AW601">
            <v>0</v>
          </cell>
          <cell r="AX601">
            <v>0</v>
          </cell>
          <cell r="AY601">
            <v>0</v>
          </cell>
          <cell r="AZ601">
            <v>0</v>
          </cell>
          <cell r="BA601">
            <v>8</v>
          </cell>
          <cell r="BB601">
            <v>0</v>
          </cell>
          <cell r="BC601">
            <v>0</v>
          </cell>
          <cell r="BD601">
            <v>0</v>
          </cell>
          <cell r="BE601">
            <v>0</v>
          </cell>
          <cell r="BF601">
            <v>0</v>
          </cell>
          <cell r="BG601">
            <v>192</v>
          </cell>
          <cell r="BH601">
            <v>1</v>
          </cell>
          <cell r="BI601">
            <v>1</v>
          </cell>
          <cell r="BJ601">
            <v>-1</v>
          </cell>
          <cell r="BL601">
            <v>0</v>
          </cell>
          <cell r="BM601">
            <v>1.5</v>
          </cell>
          <cell r="BN601">
            <v>1.5</v>
          </cell>
          <cell r="BO601">
            <v>0</v>
          </cell>
          <cell r="BP601">
            <v>1.5</v>
          </cell>
          <cell r="BQ601">
            <v>3</v>
          </cell>
          <cell r="BR601">
            <v>0</v>
          </cell>
          <cell r="BS601">
            <v>3</v>
          </cell>
          <cell r="BT601">
            <v>3</v>
          </cell>
          <cell r="BU601">
            <v>0</v>
          </cell>
          <cell r="BV601">
            <v>0</v>
          </cell>
          <cell r="BW601">
            <v>0</v>
          </cell>
          <cell r="BX601">
            <v>0</v>
          </cell>
          <cell r="BY601">
            <v>4</v>
          </cell>
          <cell r="BZ601">
            <v>4</v>
          </cell>
          <cell r="CA601">
            <v>4</v>
          </cell>
          <cell r="CB601">
            <v>4</v>
          </cell>
          <cell r="CC601">
            <v>0</v>
          </cell>
          <cell r="CD601">
            <v>1.5</v>
          </cell>
          <cell r="CE601">
            <v>3</v>
          </cell>
          <cell r="CF601">
            <v>3</v>
          </cell>
          <cell r="CG601">
            <v>3</v>
          </cell>
          <cell r="CH601">
            <v>1.5</v>
          </cell>
          <cell r="CI601">
            <v>1.5</v>
          </cell>
          <cell r="CJ601">
            <v>8</v>
          </cell>
          <cell r="CK601">
            <v>1.5</v>
          </cell>
          <cell r="CL601">
            <v>4</v>
          </cell>
          <cell r="CM601">
            <v>1.5</v>
          </cell>
          <cell r="CR601">
            <v>0</v>
          </cell>
          <cell r="CS601">
            <v>0</v>
          </cell>
          <cell r="CT601">
            <v>50</v>
          </cell>
          <cell r="CU601">
            <v>8</v>
          </cell>
          <cell r="CV601">
            <v>0</v>
          </cell>
          <cell r="CZ601">
            <v>58</v>
          </cell>
        </row>
        <row r="602">
          <cell r="C602" t="str">
            <v>03812</v>
          </cell>
          <cell r="D602" t="str">
            <v>Trần Bá Thức</v>
          </cell>
          <cell r="E602" t="str">
            <v>Production</v>
          </cell>
          <cell r="F602" t="str">
            <v>Die Cut</v>
          </cell>
          <cell r="G602" t="str">
            <v>Worker</v>
          </cell>
          <cell r="H602">
            <v>45006</v>
          </cell>
          <cell r="I602" t="str">
            <v>AL4</v>
          </cell>
          <cell r="J602">
            <v>8</v>
          </cell>
          <cell r="K602">
            <v>8</v>
          </cell>
          <cell r="L602" t="str">
            <v>CN</v>
          </cell>
          <cell r="M602" t="str">
            <v>Đ</v>
          </cell>
          <cell r="N602" t="str">
            <v>Đ</v>
          </cell>
          <cell r="O602" t="str">
            <v>Đ</v>
          </cell>
          <cell r="P602" t="str">
            <v>Đ</v>
          </cell>
          <cell r="Q602" t="str">
            <v>Đ</v>
          </cell>
          <cell r="R602" t="str">
            <v>Đ</v>
          </cell>
          <cell r="S602" t="str">
            <v>CN</v>
          </cell>
          <cell r="T602">
            <v>8</v>
          </cell>
          <cell r="U602">
            <v>8</v>
          </cell>
          <cell r="V602">
            <v>8</v>
          </cell>
          <cell r="W602">
            <v>8</v>
          </cell>
          <cell r="X602">
            <v>8</v>
          </cell>
          <cell r="Y602">
            <v>8</v>
          </cell>
          <cell r="Z602" t="str">
            <v>CN</v>
          </cell>
          <cell r="AA602" t="str">
            <v>Đ</v>
          </cell>
          <cell r="AB602" t="str">
            <v>Đ</v>
          </cell>
          <cell r="AC602" t="str">
            <v>Đ</v>
          </cell>
          <cell r="AD602" t="str">
            <v>Đ</v>
          </cell>
          <cell r="AE602" t="str">
            <v>Đ</v>
          </cell>
          <cell r="AF602" t="str">
            <v>Đ</v>
          </cell>
          <cell r="AG602" t="str">
            <v>CN</v>
          </cell>
          <cell r="AH602">
            <v>8</v>
          </cell>
          <cell r="AI602">
            <v>8</v>
          </cell>
          <cell r="AJ602">
            <v>8</v>
          </cell>
          <cell r="AN602">
            <v>96</v>
          </cell>
          <cell r="AO602">
            <v>92</v>
          </cell>
          <cell r="AP602">
            <v>4</v>
          </cell>
          <cell r="AQ602">
            <v>0</v>
          </cell>
          <cell r="AR602">
            <v>0</v>
          </cell>
          <cell r="AS602">
            <v>0</v>
          </cell>
          <cell r="AT602">
            <v>0</v>
          </cell>
          <cell r="AU602">
            <v>0</v>
          </cell>
          <cell r="AV602">
            <v>0</v>
          </cell>
          <cell r="AW602">
            <v>0</v>
          </cell>
          <cell r="AX602">
            <v>0</v>
          </cell>
          <cell r="AY602">
            <v>0</v>
          </cell>
          <cell r="AZ602">
            <v>0</v>
          </cell>
          <cell r="BA602">
            <v>4</v>
          </cell>
          <cell r="BB602">
            <v>0</v>
          </cell>
          <cell r="BC602">
            <v>0</v>
          </cell>
          <cell r="BD602">
            <v>0</v>
          </cell>
          <cell r="BE602">
            <v>0</v>
          </cell>
          <cell r="BF602">
            <v>0</v>
          </cell>
          <cell r="BG602">
            <v>192</v>
          </cell>
          <cell r="BH602">
            <v>0.5</v>
          </cell>
          <cell r="BI602">
            <v>0.5</v>
          </cell>
          <cell r="BJ602">
            <v>1.5</v>
          </cell>
          <cell r="BL602">
            <v>1.5</v>
          </cell>
          <cell r="BM602">
            <v>1.5</v>
          </cell>
          <cell r="BN602">
            <v>1.5</v>
          </cell>
          <cell r="BO602">
            <v>0</v>
          </cell>
          <cell r="BP602">
            <v>1.5</v>
          </cell>
          <cell r="BQ602">
            <v>0</v>
          </cell>
          <cell r="BR602">
            <v>4</v>
          </cell>
          <cell r="BS602">
            <v>4</v>
          </cell>
          <cell r="BT602">
            <v>4</v>
          </cell>
          <cell r="BU602">
            <v>1.5</v>
          </cell>
          <cell r="BV602">
            <v>0</v>
          </cell>
          <cell r="BW602">
            <v>3</v>
          </cell>
          <cell r="BX602">
            <v>3</v>
          </cell>
          <cell r="BY602">
            <v>3</v>
          </cell>
          <cell r="BZ602">
            <v>3</v>
          </cell>
          <cell r="CA602">
            <v>3</v>
          </cell>
          <cell r="CB602">
            <v>3</v>
          </cell>
          <cell r="CC602">
            <v>8</v>
          </cell>
          <cell r="CD602">
            <v>4</v>
          </cell>
          <cell r="CE602">
            <v>4</v>
          </cell>
          <cell r="CF602">
            <v>4</v>
          </cell>
          <cell r="CG602">
            <v>4</v>
          </cell>
          <cell r="CH602">
            <v>0</v>
          </cell>
          <cell r="CI602">
            <v>3</v>
          </cell>
          <cell r="CJ602">
            <v>0</v>
          </cell>
          <cell r="CK602">
            <v>3</v>
          </cell>
          <cell r="CL602">
            <v>3</v>
          </cell>
          <cell r="CM602">
            <v>3</v>
          </cell>
          <cell r="CR602">
            <v>0</v>
          </cell>
          <cell r="CS602">
            <v>0</v>
          </cell>
          <cell r="CT602">
            <v>65.5</v>
          </cell>
          <cell r="CU602">
            <v>8</v>
          </cell>
          <cell r="CV602">
            <v>0</v>
          </cell>
          <cell r="CZ602">
            <v>73.5</v>
          </cell>
        </row>
        <row r="603">
          <cell r="C603" t="str">
            <v>03814</v>
          </cell>
          <cell r="D603" t="str">
            <v>La Văn Qui</v>
          </cell>
          <cell r="E603" t="str">
            <v>Production</v>
          </cell>
          <cell r="F603" t="str">
            <v>Skiving</v>
          </cell>
          <cell r="G603" t="str">
            <v>Worker</v>
          </cell>
          <cell r="H603">
            <v>45006</v>
          </cell>
          <cell r="I603">
            <v>8</v>
          </cell>
          <cell r="J603">
            <v>8</v>
          </cell>
          <cell r="K603">
            <v>8</v>
          </cell>
          <cell r="L603" t="str">
            <v>CN</v>
          </cell>
          <cell r="M603" t="str">
            <v>Đ</v>
          </cell>
          <cell r="N603" t="str">
            <v>Đ</v>
          </cell>
          <cell r="O603" t="str">
            <v>Đ</v>
          </cell>
          <cell r="P603" t="str">
            <v>Đ</v>
          </cell>
          <cell r="Q603" t="str">
            <v>Đ</v>
          </cell>
          <cell r="R603" t="str">
            <v>Đ</v>
          </cell>
          <cell r="S603" t="str">
            <v>CN</v>
          </cell>
          <cell r="T603">
            <v>8</v>
          </cell>
          <cell r="U603">
            <v>8</v>
          </cell>
          <cell r="V603">
            <v>8</v>
          </cell>
          <cell r="W603">
            <v>8</v>
          </cell>
          <cell r="X603">
            <v>8</v>
          </cell>
          <cell r="Y603" t="str">
            <v>AL8</v>
          </cell>
          <cell r="Z603" t="str">
            <v>CN</v>
          </cell>
          <cell r="AA603" t="str">
            <v>Đ</v>
          </cell>
          <cell r="AB603" t="str">
            <v>Đ</v>
          </cell>
          <cell r="AC603" t="str">
            <v>Đ</v>
          </cell>
          <cell r="AD603" t="str">
            <v>Đ</v>
          </cell>
          <cell r="AE603" t="str">
            <v>Đ</v>
          </cell>
          <cell r="AF603" t="str">
            <v>Đ</v>
          </cell>
          <cell r="AG603" t="str">
            <v>CN</v>
          </cell>
          <cell r="AH603">
            <v>8</v>
          </cell>
          <cell r="AI603">
            <v>8</v>
          </cell>
          <cell r="AJ603">
            <v>8</v>
          </cell>
          <cell r="AN603">
            <v>96</v>
          </cell>
          <cell r="AO603">
            <v>88</v>
          </cell>
          <cell r="AP603">
            <v>0</v>
          </cell>
          <cell r="AQ603">
            <v>0</v>
          </cell>
          <cell r="AR603">
            <v>0</v>
          </cell>
          <cell r="AS603">
            <v>0</v>
          </cell>
          <cell r="AT603">
            <v>0</v>
          </cell>
          <cell r="AU603">
            <v>0</v>
          </cell>
          <cell r="AV603">
            <v>0</v>
          </cell>
          <cell r="AW603">
            <v>0</v>
          </cell>
          <cell r="AX603">
            <v>0</v>
          </cell>
          <cell r="AY603">
            <v>0</v>
          </cell>
          <cell r="AZ603">
            <v>0</v>
          </cell>
          <cell r="BA603">
            <v>8</v>
          </cell>
          <cell r="BB603">
            <v>0</v>
          </cell>
          <cell r="BC603">
            <v>0</v>
          </cell>
          <cell r="BD603">
            <v>0</v>
          </cell>
          <cell r="BE603">
            <v>0</v>
          </cell>
          <cell r="BF603">
            <v>0</v>
          </cell>
          <cell r="BG603">
            <v>192</v>
          </cell>
          <cell r="BH603">
            <v>1</v>
          </cell>
          <cell r="BI603">
            <v>1</v>
          </cell>
          <cell r="BJ603">
            <v>-1</v>
          </cell>
          <cell r="BL603">
            <v>0</v>
          </cell>
          <cell r="BM603">
            <v>0</v>
          </cell>
          <cell r="BN603">
            <v>0</v>
          </cell>
          <cell r="BO603">
            <v>0</v>
          </cell>
          <cell r="BP603">
            <v>0</v>
          </cell>
          <cell r="BQ603">
            <v>3</v>
          </cell>
          <cell r="BR603">
            <v>0</v>
          </cell>
          <cell r="BS603">
            <v>3</v>
          </cell>
          <cell r="BT603">
            <v>3</v>
          </cell>
          <cell r="BU603">
            <v>0</v>
          </cell>
          <cell r="BV603">
            <v>0</v>
          </cell>
          <cell r="BW603">
            <v>3</v>
          </cell>
          <cell r="BX603">
            <v>3</v>
          </cell>
          <cell r="BY603">
            <v>3</v>
          </cell>
          <cell r="BZ603">
            <v>3</v>
          </cell>
          <cell r="CA603">
            <v>3</v>
          </cell>
          <cell r="CB603">
            <v>0</v>
          </cell>
          <cell r="CC603">
            <v>0</v>
          </cell>
          <cell r="CD603">
            <v>1.5</v>
          </cell>
          <cell r="CE603">
            <v>4</v>
          </cell>
          <cell r="CF603">
            <v>4</v>
          </cell>
          <cell r="CG603">
            <v>4</v>
          </cell>
          <cell r="CH603">
            <v>1.5</v>
          </cell>
          <cell r="CI603">
            <v>1.5</v>
          </cell>
          <cell r="CJ603">
            <v>0</v>
          </cell>
          <cell r="CK603">
            <v>1.5</v>
          </cell>
          <cell r="CL603">
            <v>3</v>
          </cell>
          <cell r="CM603">
            <v>1.5</v>
          </cell>
          <cell r="CR603">
            <v>0</v>
          </cell>
          <cell r="CS603">
            <v>0</v>
          </cell>
          <cell r="CT603">
            <v>46.5</v>
          </cell>
          <cell r="CU603">
            <v>0</v>
          </cell>
          <cell r="CV603">
            <v>0</v>
          </cell>
          <cell r="CZ603">
            <v>46.5</v>
          </cell>
        </row>
        <row r="604">
          <cell r="C604" t="str">
            <v>03815</v>
          </cell>
          <cell r="D604" t="str">
            <v>Võ Phong Phú</v>
          </cell>
          <cell r="E604" t="str">
            <v>COE</v>
          </cell>
          <cell r="F604" t="str">
            <v>COE</v>
          </cell>
          <cell r="G604" t="str">
            <v>Production Engineer</v>
          </cell>
          <cell r="H604">
            <v>45006</v>
          </cell>
          <cell r="I604">
            <v>8</v>
          </cell>
          <cell r="J604">
            <v>8</v>
          </cell>
          <cell r="K604" t="str">
            <v>PO</v>
          </cell>
          <cell r="L604" t="str">
            <v>CN</v>
          </cell>
          <cell r="M604">
            <v>8</v>
          </cell>
          <cell r="N604">
            <v>8</v>
          </cell>
          <cell r="O604">
            <v>8</v>
          </cell>
          <cell r="P604">
            <v>8</v>
          </cell>
          <cell r="Q604" t="str">
            <v>PO</v>
          </cell>
          <cell r="R604" t="str">
            <v>PO</v>
          </cell>
          <cell r="S604" t="str">
            <v>CN</v>
          </cell>
          <cell r="T604">
            <v>8</v>
          </cell>
          <cell r="U604">
            <v>8</v>
          </cell>
          <cell r="V604">
            <v>8</v>
          </cell>
          <cell r="W604">
            <v>8</v>
          </cell>
          <cell r="X604">
            <v>8</v>
          </cell>
          <cell r="Y604" t="str">
            <v>PO</v>
          </cell>
          <cell r="Z604" t="str">
            <v>CN</v>
          </cell>
          <cell r="AA604">
            <v>8</v>
          </cell>
          <cell r="AB604">
            <v>8</v>
          </cell>
          <cell r="AC604">
            <v>8</v>
          </cell>
          <cell r="AD604">
            <v>8</v>
          </cell>
          <cell r="AE604">
            <v>8</v>
          </cell>
          <cell r="AF604" t="str">
            <v>PO</v>
          </cell>
          <cell r="AG604" t="str">
            <v>CN</v>
          </cell>
          <cell r="AH604">
            <v>8</v>
          </cell>
          <cell r="AI604">
            <v>8</v>
          </cell>
          <cell r="AJ604">
            <v>8</v>
          </cell>
          <cell r="AN604">
            <v>0</v>
          </cell>
          <cell r="AO604">
            <v>152</v>
          </cell>
          <cell r="AP604">
            <v>0</v>
          </cell>
          <cell r="AQ604">
            <v>0</v>
          </cell>
          <cell r="AR604">
            <v>0</v>
          </cell>
          <cell r="AS604">
            <v>0</v>
          </cell>
          <cell r="AT604">
            <v>0</v>
          </cell>
          <cell r="AU604">
            <v>0</v>
          </cell>
          <cell r="AV604">
            <v>40</v>
          </cell>
          <cell r="AW604">
            <v>0</v>
          </cell>
          <cell r="AX604">
            <v>0</v>
          </cell>
          <cell r="AY604">
            <v>0</v>
          </cell>
          <cell r="AZ604">
            <v>0</v>
          </cell>
          <cell r="BA604">
            <v>0</v>
          </cell>
          <cell r="BB604">
            <v>0</v>
          </cell>
          <cell r="BC604">
            <v>0</v>
          </cell>
          <cell r="BD604">
            <v>0</v>
          </cell>
          <cell r="BE604">
            <v>0</v>
          </cell>
          <cell r="BF604">
            <v>0</v>
          </cell>
          <cell r="BG604">
            <v>192</v>
          </cell>
          <cell r="BH604">
            <v>0</v>
          </cell>
          <cell r="BI604">
            <v>0</v>
          </cell>
          <cell r="BJ604">
            <v>4.5</v>
          </cell>
          <cell r="BL604">
            <v>0</v>
          </cell>
          <cell r="BM604">
            <v>0</v>
          </cell>
          <cell r="BN604">
            <v>0</v>
          </cell>
          <cell r="BO604">
            <v>0</v>
          </cell>
          <cell r="BP604">
            <v>0</v>
          </cell>
          <cell r="BQ604">
            <v>0</v>
          </cell>
          <cell r="BR604">
            <v>0</v>
          </cell>
          <cell r="BS604">
            <v>0</v>
          </cell>
          <cell r="BT604">
            <v>0</v>
          </cell>
          <cell r="BU604">
            <v>0</v>
          </cell>
          <cell r="BV604">
            <v>0</v>
          </cell>
          <cell r="BW604">
            <v>0</v>
          </cell>
          <cell r="BX604">
            <v>0</v>
          </cell>
          <cell r="BY604">
            <v>0</v>
          </cell>
          <cell r="BZ604">
            <v>0</v>
          </cell>
          <cell r="CA604">
            <v>0</v>
          </cell>
          <cell r="CB604">
            <v>0</v>
          </cell>
          <cell r="CC604">
            <v>8</v>
          </cell>
          <cell r="CD604">
            <v>0</v>
          </cell>
          <cell r="CE604">
            <v>0</v>
          </cell>
          <cell r="CF604">
            <v>0</v>
          </cell>
          <cell r="CG604">
            <v>0</v>
          </cell>
          <cell r="CH604">
            <v>0</v>
          </cell>
          <cell r="CI604">
            <v>0</v>
          </cell>
          <cell r="CJ604">
            <v>0</v>
          </cell>
          <cell r="CK604">
            <v>0</v>
          </cell>
          <cell r="CL604">
            <v>0</v>
          </cell>
          <cell r="CM604">
            <v>0</v>
          </cell>
          <cell r="CR604">
            <v>0</v>
          </cell>
          <cell r="CS604">
            <v>0</v>
          </cell>
          <cell r="CT604">
            <v>0</v>
          </cell>
          <cell r="CU604">
            <v>8</v>
          </cell>
          <cell r="CV604">
            <v>0</v>
          </cell>
          <cell r="CZ604">
            <v>8</v>
          </cell>
        </row>
        <row r="605">
          <cell r="C605" t="str">
            <v>03821</v>
          </cell>
          <cell r="D605" t="str">
            <v>Trần Văn Quốc Toán</v>
          </cell>
          <cell r="E605" t="str">
            <v>Production</v>
          </cell>
          <cell r="F605" t="str">
            <v>Packing</v>
          </cell>
          <cell r="G605" t="str">
            <v>Worker</v>
          </cell>
          <cell r="H605">
            <v>45020</v>
          </cell>
          <cell r="I605" t="str">
            <v>AL8</v>
          </cell>
          <cell r="J605" t="str">
            <v>UP8</v>
          </cell>
          <cell r="K605" t="str">
            <v>UP8</v>
          </cell>
          <cell r="L605" t="str">
            <v>CN</v>
          </cell>
          <cell r="M605" t="str">
            <v>UP8</v>
          </cell>
          <cell r="N605">
            <v>8</v>
          </cell>
          <cell r="O605">
            <v>8</v>
          </cell>
          <cell r="P605">
            <v>8</v>
          </cell>
          <cell r="Q605">
            <v>8</v>
          </cell>
          <cell r="R605" t="str">
            <v>AL8</v>
          </cell>
          <cell r="S605" t="str">
            <v>CN</v>
          </cell>
          <cell r="T605" t="str">
            <v>UP8</v>
          </cell>
          <cell r="U605" t="str">
            <v>Đ</v>
          </cell>
          <cell r="V605" t="str">
            <v>Đ</v>
          </cell>
          <cell r="W605" t="str">
            <v>UP8</v>
          </cell>
          <cell r="X605" t="str">
            <v>UP8</v>
          </cell>
          <cell r="Y605" t="str">
            <v>UP8</v>
          </cell>
          <cell r="Z605" t="str">
            <v>CN</v>
          </cell>
          <cell r="AA605" t="str">
            <v>UP8</v>
          </cell>
          <cell r="AB605">
            <v>8</v>
          </cell>
          <cell r="AC605">
            <v>8</v>
          </cell>
          <cell r="AD605">
            <v>8</v>
          </cell>
          <cell r="AE605">
            <v>8</v>
          </cell>
          <cell r="AF605">
            <v>8</v>
          </cell>
          <cell r="AG605" t="str">
            <v>CN</v>
          </cell>
          <cell r="AH605" t="str">
            <v>UP8</v>
          </cell>
          <cell r="AI605" t="str">
            <v>SL</v>
          </cell>
          <cell r="AJ605" t="str">
            <v>UP8</v>
          </cell>
          <cell r="AN605">
            <v>16</v>
          </cell>
          <cell r="AO605">
            <v>72</v>
          </cell>
          <cell r="AP605">
            <v>0</v>
          </cell>
          <cell r="AQ605">
            <v>1</v>
          </cell>
          <cell r="AR605">
            <v>0</v>
          </cell>
          <cell r="AS605">
            <v>80</v>
          </cell>
          <cell r="AT605">
            <v>0</v>
          </cell>
          <cell r="AU605">
            <v>0</v>
          </cell>
          <cell r="AV605">
            <v>0</v>
          </cell>
          <cell r="AW605">
            <v>0</v>
          </cell>
          <cell r="AX605">
            <v>0</v>
          </cell>
          <cell r="AY605">
            <v>0</v>
          </cell>
          <cell r="AZ605">
            <v>0</v>
          </cell>
          <cell r="BA605">
            <v>16</v>
          </cell>
          <cell r="BB605">
            <v>0</v>
          </cell>
          <cell r="BC605">
            <v>0</v>
          </cell>
          <cell r="BD605">
            <v>0</v>
          </cell>
          <cell r="BE605">
            <v>0</v>
          </cell>
          <cell r="BF605">
            <v>0</v>
          </cell>
          <cell r="BG605">
            <v>104</v>
          </cell>
          <cell r="BH605">
            <v>2</v>
          </cell>
          <cell r="BI605">
            <v>2</v>
          </cell>
          <cell r="BJ605">
            <v>0</v>
          </cell>
          <cell r="BL605">
            <v>0</v>
          </cell>
          <cell r="BM605">
            <v>0</v>
          </cell>
          <cell r="BN605">
            <v>0</v>
          </cell>
          <cell r="BO605">
            <v>0</v>
          </cell>
          <cell r="BP605">
            <v>0</v>
          </cell>
          <cell r="BQ605">
            <v>0</v>
          </cell>
          <cell r="BR605">
            <v>0</v>
          </cell>
          <cell r="BS605">
            <v>0</v>
          </cell>
          <cell r="BT605">
            <v>0</v>
          </cell>
          <cell r="BU605">
            <v>0</v>
          </cell>
          <cell r="BV605">
            <v>0</v>
          </cell>
          <cell r="BW605">
            <v>0</v>
          </cell>
          <cell r="BX605">
            <v>4</v>
          </cell>
          <cell r="BY605">
            <v>4</v>
          </cell>
          <cell r="BZ605">
            <v>0</v>
          </cell>
          <cell r="CA605">
            <v>0</v>
          </cell>
          <cell r="CB605">
            <v>0</v>
          </cell>
          <cell r="CC605">
            <v>0</v>
          </cell>
          <cell r="CD605">
            <v>0</v>
          </cell>
          <cell r="CE605">
            <v>0</v>
          </cell>
          <cell r="CF605">
            <v>3</v>
          </cell>
          <cell r="CG605">
            <v>3</v>
          </cell>
          <cell r="CH605">
            <v>3</v>
          </cell>
          <cell r="CI605">
            <v>0</v>
          </cell>
          <cell r="CJ605">
            <v>0</v>
          </cell>
          <cell r="CK605">
            <v>0</v>
          </cell>
          <cell r="CL605">
            <v>0</v>
          </cell>
          <cell r="CM605">
            <v>0</v>
          </cell>
          <cell r="CR605">
            <v>0</v>
          </cell>
          <cell r="CS605">
            <v>0</v>
          </cell>
          <cell r="CT605">
            <v>17</v>
          </cell>
          <cell r="CU605">
            <v>0</v>
          </cell>
          <cell r="CV605">
            <v>0</v>
          </cell>
          <cell r="CZ605">
            <v>17</v>
          </cell>
        </row>
        <row r="606">
          <cell r="C606" t="str">
            <v>03824</v>
          </cell>
          <cell r="D606" t="str">
            <v>Đặng Thanh Hưng</v>
          </cell>
          <cell r="E606" t="str">
            <v>Production</v>
          </cell>
          <cell r="F606" t="str">
            <v>Die Cut</v>
          </cell>
          <cell r="G606" t="str">
            <v>Worker</v>
          </cell>
          <cell r="H606">
            <v>45020</v>
          </cell>
          <cell r="I606">
            <v>8</v>
          </cell>
          <cell r="J606">
            <v>8</v>
          </cell>
          <cell r="K606" t="str">
            <v>AL8</v>
          </cell>
          <cell r="L606" t="str">
            <v>CN</v>
          </cell>
          <cell r="M606" t="str">
            <v>Đ</v>
          </cell>
          <cell r="N606" t="str">
            <v>Đ</v>
          </cell>
          <cell r="O606" t="str">
            <v>Đ</v>
          </cell>
          <cell r="P606" t="str">
            <v>Đ</v>
          </cell>
          <cell r="Q606" t="str">
            <v>Đ</v>
          </cell>
          <cell r="R606" t="str">
            <v>Đ</v>
          </cell>
          <cell r="S606" t="str">
            <v>CN</v>
          </cell>
          <cell r="T606">
            <v>8</v>
          </cell>
          <cell r="U606">
            <v>8</v>
          </cell>
          <cell r="V606">
            <v>8</v>
          </cell>
          <cell r="W606">
            <v>8</v>
          </cell>
          <cell r="X606">
            <v>8</v>
          </cell>
          <cell r="Y606" t="str">
            <v>UP4</v>
          </cell>
          <cell r="Z606" t="str">
            <v>CN</v>
          </cell>
          <cell r="AA606" t="str">
            <v>Đ</v>
          </cell>
          <cell r="AB606" t="str">
            <v>Đ</v>
          </cell>
          <cell r="AC606" t="str">
            <v>Đ</v>
          </cell>
          <cell r="AD606" t="str">
            <v>Đ</v>
          </cell>
          <cell r="AE606" t="str">
            <v>Đ</v>
          </cell>
          <cell r="AF606" t="str">
            <v>Đ</v>
          </cell>
          <cell r="AG606" t="str">
            <v>CN</v>
          </cell>
          <cell r="AH606" t="str">
            <v>UP8</v>
          </cell>
          <cell r="AI606">
            <v>8</v>
          </cell>
          <cell r="AJ606">
            <v>8</v>
          </cell>
          <cell r="AN606">
            <v>96</v>
          </cell>
          <cell r="AO606">
            <v>76</v>
          </cell>
          <cell r="AP606">
            <v>0</v>
          </cell>
          <cell r="AQ606">
            <v>0</v>
          </cell>
          <cell r="AR606">
            <v>4</v>
          </cell>
          <cell r="AS606">
            <v>12</v>
          </cell>
          <cell r="AT606">
            <v>0</v>
          </cell>
          <cell r="AU606">
            <v>0</v>
          </cell>
          <cell r="AV606">
            <v>0</v>
          </cell>
          <cell r="AW606">
            <v>0</v>
          </cell>
          <cell r="AX606">
            <v>0</v>
          </cell>
          <cell r="AY606">
            <v>0</v>
          </cell>
          <cell r="AZ606">
            <v>0</v>
          </cell>
          <cell r="BA606">
            <v>8</v>
          </cell>
          <cell r="BB606">
            <v>0</v>
          </cell>
          <cell r="BC606">
            <v>0</v>
          </cell>
          <cell r="BD606">
            <v>0</v>
          </cell>
          <cell r="BE606">
            <v>0</v>
          </cell>
          <cell r="BF606">
            <v>0</v>
          </cell>
          <cell r="BG606">
            <v>180</v>
          </cell>
          <cell r="BH606">
            <v>1</v>
          </cell>
          <cell r="BI606">
            <v>1</v>
          </cell>
          <cell r="BJ606">
            <v>0</v>
          </cell>
          <cell r="BL606">
            <v>0</v>
          </cell>
          <cell r="BM606">
            <v>1.5</v>
          </cell>
          <cell r="BN606">
            <v>0</v>
          </cell>
          <cell r="BO606">
            <v>0</v>
          </cell>
          <cell r="BP606">
            <v>1.5</v>
          </cell>
          <cell r="BQ606">
            <v>0</v>
          </cell>
          <cell r="BR606">
            <v>4</v>
          </cell>
          <cell r="BS606">
            <v>1.5</v>
          </cell>
          <cell r="BT606">
            <v>1.75</v>
          </cell>
          <cell r="BU606">
            <v>4</v>
          </cell>
          <cell r="BV606">
            <v>0</v>
          </cell>
          <cell r="BW606">
            <v>0</v>
          </cell>
          <cell r="BX606">
            <v>2</v>
          </cell>
          <cell r="BY606">
            <v>3</v>
          </cell>
          <cell r="BZ606">
            <v>2</v>
          </cell>
          <cell r="CA606">
            <v>3</v>
          </cell>
          <cell r="CB606">
            <v>0</v>
          </cell>
          <cell r="CC606">
            <v>8</v>
          </cell>
          <cell r="CD606">
            <v>4</v>
          </cell>
          <cell r="CE606">
            <v>4</v>
          </cell>
          <cell r="CF606">
            <v>4</v>
          </cell>
          <cell r="CG606">
            <v>4</v>
          </cell>
          <cell r="CH606">
            <v>4</v>
          </cell>
          <cell r="CI606">
            <v>4</v>
          </cell>
          <cell r="CJ606">
            <v>0</v>
          </cell>
          <cell r="CK606">
            <v>0</v>
          </cell>
          <cell r="CL606">
            <v>3</v>
          </cell>
          <cell r="CM606">
            <v>2</v>
          </cell>
          <cell r="CR606">
            <v>0</v>
          </cell>
          <cell r="CS606">
            <v>0</v>
          </cell>
          <cell r="CT606">
            <v>53.25</v>
          </cell>
          <cell r="CU606">
            <v>8</v>
          </cell>
          <cell r="CV606">
            <v>0</v>
          </cell>
          <cell r="CZ606">
            <v>61.25</v>
          </cell>
        </row>
        <row r="607">
          <cell r="C607" t="str">
            <v>03830</v>
          </cell>
          <cell r="D607" t="str">
            <v>Hình Phi Yến</v>
          </cell>
          <cell r="E607" t="str">
            <v>Production</v>
          </cell>
          <cell r="F607" t="str">
            <v>Skiving</v>
          </cell>
          <cell r="G607" t="str">
            <v>Worker</v>
          </cell>
          <cell r="H607">
            <v>45020</v>
          </cell>
          <cell r="I607" t="str">
            <v>UP8</v>
          </cell>
          <cell r="J607" t="str">
            <v>SL</v>
          </cell>
          <cell r="K607" t="str">
            <v>SL</v>
          </cell>
          <cell r="L607" t="str">
            <v>CN</v>
          </cell>
          <cell r="M607">
            <v>8</v>
          </cell>
          <cell r="N607">
            <v>8</v>
          </cell>
          <cell r="O607">
            <v>8</v>
          </cell>
          <cell r="P607" t="str">
            <v>UP4</v>
          </cell>
          <cell r="Q607" t="str">
            <v>SL</v>
          </cell>
          <cell r="R607">
            <v>8</v>
          </cell>
          <cell r="S607" t="str">
            <v>CN</v>
          </cell>
          <cell r="T607">
            <v>8</v>
          </cell>
          <cell r="U607">
            <v>8</v>
          </cell>
          <cell r="V607">
            <v>8</v>
          </cell>
          <cell r="W607">
            <v>8</v>
          </cell>
          <cell r="X607">
            <v>8</v>
          </cell>
          <cell r="Y607">
            <v>8</v>
          </cell>
          <cell r="Z607" t="str">
            <v>CN</v>
          </cell>
          <cell r="AA607">
            <v>8</v>
          </cell>
          <cell r="AB607" t="str">
            <v>UP8</v>
          </cell>
          <cell r="AC607">
            <v>8</v>
          </cell>
          <cell r="AD607">
            <v>8</v>
          </cell>
          <cell r="AE607">
            <v>8</v>
          </cell>
          <cell r="AF607">
            <v>8</v>
          </cell>
          <cell r="AG607" t="str">
            <v>CN</v>
          </cell>
          <cell r="AH607" t="str">
            <v>UP8</v>
          </cell>
          <cell r="AI607" t="str">
            <v>Đ</v>
          </cell>
          <cell r="AJ607" t="str">
            <v>Đ</v>
          </cell>
          <cell r="AN607">
            <v>16</v>
          </cell>
          <cell r="AO607">
            <v>124</v>
          </cell>
          <cell r="AP607">
            <v>0</v>
          </cell>
          <cell r="AQ607">
            <v>3</v>
          </cell>
          <cell r="AR607">
            <v>4</v>
          </cell>
          <cell r="AS607">
            <v>28</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140</v>
          </cell>
          <cell r="BH607">
            <v>0</v>
          </cell>
          <cell r="BI607">
            <v>0</v>
          </cell>
          <cell r="BJ607">
            <v>-0.5</v>
          </cell>
          <cell r="BL607">
            <v>0</v>
          </cell>
          <cell r="BM607">
            <v>0</v>
          </cell>
          <cell r="BN607">
            <v>0</v>
          </cell>
          <cell r="BO607">
            <v>0</v>
          </cell>
          <cell r="BP607">
            <v>0</v>
          </cell>
          <cell r="BQ607">
            <v>0</v>
          </cell>
          <cell r="BR607">
            <v>0</v>
          </cell>
          <cell r="BS607">
            <v>2</v>
          </cell>
          <cell r="BT607">
            <v>0</v>
          </cell>
          <cell r="BU607">
            <v>0</v>
          </cell>
          <cell r="BV607">
            <v>0</v>
          </cell>
          <cell r="BW607">
            <v>0</v>
          </cell>
          <cell r="BX607">
            <v>0</v>
          </cell>
          <cell r="BY607">
            <v>4</v>
          </cell>
          <cell r="BZ607">
            <v>4</v>
          </cell>
          <cell r="CA607">
            <v>0</v>
          </cell>
          <cell r="CB607">
            <v>0</v>
          </cell>
          <cell r="CC607">
            <v>0</v>
          </cell>
          <cell r="CD607">
            <v>0</v>
          </cell>
          <cell r="CE607">
            <v>0</v>
          </cell>
          <cell r="CF607">
            <v>4</v>
          </cell>
          <cell r="CG607">
            <v>0</v>
          </cell>
          <cell r="CH607">
            <v>0</v>
          </cell>
          <cell r="CI607">
            <v>0</v>
          </cell>
          <cell r="CJ607">
            <v>0</v>
          </cell>
          <cell r="CK607">
            <v>0</v>
          </cell>
          <cell r="CL607">
            <v>4</v>
          </cell>
          <cell r="CM607">
            <v>1.5</v>
          </cell>
          <cell r="CR607">
            <v>0</v>
          </cell>
          <cell r="CS607">
            <v>0</v>
          </cell>
          <cell r="CT607">
            <v>19.5</v>
          </cell>
          <cell r="CU607">
            <v>0</v>
          </cell>
          <cell r="CV607">
            <v>0</v>
          </cell>
          <cell r="CZ607">
            <v>19.5</v>
          </cell>
        </row>
        <row r="608">
          <cell r="C608" t="str">
            <v>03831</v>
          </cell>
          <cell r="D608" t="str">
            <v>Võ Thị Cẩm Tú</v>
          </cell>
          <cell r="E608" t="str">
            <v>Production</v>
          </cell>
          <cell r="F608" t="str">
            <v>Skiving</v>
          </cell>
          <cell r="G608" t="str">
            <v>Worker</v>
          </cell>
          <cell r="H608">
            <v>45020</v>
          </cell>
          <cell r="I608">
            <v>8</v>
          </cell>
          <cell r="J608">
            <v>8</v>
          </cell>
          <cell r="K608" t="str">
            <v>AL8</v>
          </cell>
          <cell r="L608" t="str">
            <v>CN</v>
          </cell>
          <cell r="M608" t="str">
            <v>AL8</v>
          </cell>
          <cell r="N608" t="str">
            <v>Đ</v>
          </cell>
          <cell r="O608" t="str">
            <v>Đ</v>
          </cell>
          <cell r="P608" t="str">
            <v>Đ</v>
          </cell>
          <cell r="Q608" t="str">
            <v>Đ</v>
          </cell>
          <cell r="R608" t="str">
            <v>Đ</v>
          </cell>
          <cell r="S608" t="str">
            <v>CN</v>
          </cell>
          <cell r="T608" t="str">
            <v>UP8</v>
          </cell>
          <cell r="U608">
            <v>8</v>
          </cell>
          <cell r="V608">
            <v>8</v>
          </cell>
          <cell r="W608">
            <v>8</v>
          </cell>
          <cell r="X608">
            <v>8</v>
          </cell>
          <cell r="Y608">
            <v>8</v>
          </cell>
          <cell r="Z608" t="str">
            <v>CN</v>
          </cell>
          <cell r="AA608" t="str">
            <v>Đ</v>
          </cell>
          <cell r="AB608" t="str">
            <v>Đ</v>
          </cell>
          <cell r="AC608" t="str">
            <v>Đ</v>
          </cell>
          <cell r="AD608" t="str">
            <v>CĐ</v>
          </cell>
          <cell r="AE608" t="str">
            <v>CĐ</v>
          </cell>
          <cell r="AF608" t="str">
            <v>CĐ</v>
          </cell>
          <cell r="AG608" t="str">
            <v>CN</v>
          </cell>
          <cell r="AH608">
            <v>8</v>
          </cell>
          <cell r="AI608">
            <v>8</v>
          </cell>
          <cell r="AJ608">
            <v>8</v>
          </cell>
          <cell r="AN608">
            <v>64</v>
          </cell>
          <cell r="AO608">
            <v>80</v>
          </cell>
          <cell r="AP608">
            <v>0</v>
          </cell>
          <cell r="AQ608">
            <v>0</v>
          </cell>
          <cell r="AR608">
            <v>0</v>
          </cell>
          <cell r="AS608">
            <v>8</v>
          </cell>
          <cell r="AT608">
            <v>0</v>
          </cell>
          <cell r="AU608">
            <v>0</v>
          </cell>
          <cell r="AV608">
            <v>0</v>
          </cell>
          <cell r="AW608">
            <v>0</v>
          </cell>
          <cell r="AX608">
            <v>0</v>
          </cell>
          <cell r="AY608">
            <v>0</v>
          </cell>
          <cell r="AZ608">
            <v>24</v>
          </cell>
          <cell r="BA608">
            <v>16</v>
          </cell>
          <cell r="BB608">
            <v>0</v>
          </cell>
          <cell r="BC608">
            <v>0</v>
          </cell>
          <cell r="BD608">
            <v>0</v>
          </cell>
          <cell r="BE608">
            <v>0</v>
          </cell>
          <cell r="BF608">
            <v>0</v>
          </cell>
          <cell r="BG608">
            <v>184</v>
          </cell>
          <cell r="BH608">
            <v>2</v>
          </cell>
          <cell r="BI608">
            <v>2</v>
          </cell>
          <cell r="BJ608">
            <v>-1.5</v>
          </cell>
          <cell r="BL608">
            <v>0</v>
          </cell>
          <cell r="BM608">
            <v>0</v>
          </cell>
          <cell r="BN608">
            <v>0</v>
          </cell>
          <cell r="BO608">
            <v>0</v>
          </cell>
          <cell r="BP608">
            <v>0</v>
          </cell>
          <cell r="BQ608">
            <v>3</v>
          </cell>
          <cell r="BR608">
            <v>0</v>
          </cell>
          <cell r="BS608">
            <v>3</v>
          </cell>
          <cell r="BT608">
            <v>0</v>
          </cell>
          <cell r="BU608">
            <v>0</v>
          </cell>
          <cell r="BV608">
            <v>0</v>
          </cell>
          <cell r="BW608">
            <v>0</v>
          </cell>
          <cell r="BX608">
            <v>3</v>
          </cell>
          <cell r="BY608">
            <v>3</v>
          </cell>
          <cell r="BZ608">
            <v>3</v>
          </cell>
          <cell r="CA608">
            <v>3</v>
          </cell>
          <cell r="CB608">
            <v>3</v>
          </cell>
          <cell r="CC608">
            <v>8</v>
          </cell>
          <cell r="CD608">
            <v>4</v>
          </cell>
          <cell r="CE608">
            <v>4</v>
          </cell>
          <cell r="CF608">
            <v>4</v>
          </cell>
          <cell r="CG608">
            <v>0</v>
          </cell>
          <cell r="CH608">
            <v>0</v>
          </cell>
          <cell r="CI608">
            <v>0</v>
          </cell>
          <cell r="CJ608">
            <v>0</v>
          </cell>
          <cell r="CK608">
            <v>1.5</v>
          </cell>
          <cell r="CL608">
            <v>0</v>
          </cell>
          <cell r="CM608">
            <v>1.5</v>
          </cell>
          <cell r="CR608">
            <v>0</v>
          </cell>
          <cell r="CS608">
            <v>0</v>
          </cell>
          <cell r="CT608">
            <v>36</v>
          </cell>
          <cell r="CU608">
            <v>8</v>
          </cell>
          <cell r="CV608">
            <v>0</v>
          </cell>
          <cell r="CZ608">
            <v>44</v>
          </cell>
        </row>
        <row r="609">
          <cell r="C609" t="str">
            <v>03833</v>
          </cell>
          <cell r="D609" t="str">
            <v>Nguyễn Thị Thúy Ai</v>
          </cell>
          <cell r="E609" t="str">
            <v>Production</v>
          </cell>
          <cell r="F609" t="str">
            <v>Logo</v>
          </cell>
          <cell r="G609" t="str">
            <v>Worker</v>
          </cell>
          <cell r="H609">
            <v>45020</v>
          </cell>
          <cell r="I609">
            <v>8</v>
          </cell>
          <cell r="J609">
            <v>8</v>
          </cell>
          <cell r="K609">
            <v>8</v>
          </cell>
          <cell r="L609" t="str">
            <v>CN</v>
          </cell>
          <cell r="M609" t="str">
            <v>Đ</v>
          </cell>
          <cell r="N609" t="str">
            <v>Đ</v>
          </cell>
          <cell r="O609" t="str">
            <v>Đ</v>
          </cell>
          <cell r="P609" t="str">
            <v>Đ</v>
          </cell>
          <cell r="Q609" t="str">
            <v>Đ</v>
          </cell>
          <cell r="R609" t="str">
            <v>Đ</v>
          </cell>
          <cell r="S609" t="str">
            <v>CN</v>
          </cell>
          <cell r="T609">
            <v>8</v>
          </cell>
          <cell r="U609">
            <v>8</v>
          </cell>
          <cell r="V609">
            <v>8</v>
          </cell>
          <cell r="W609">
            <v>8</v>
          </cell>
          <cell r="X609">
            <v>8</v>
          </cell>
          <cell r="Y609">
            <v>8</v>
          </cell>
          <cell r="Z609" t="str">
            <v>CN</v>
          </cell>
          <cell r="AA609" t="str">
            <v>Đ</v>
          </cell>
          <cell r="AB609" t="str">
            <v>Đ</v>
          </cell>
          <cell r="AC609" t="str">
            <v>AL8</v>
          </cell>
          <cell r="AD609" t="str">
            <v>Đ</v>
          </cell>
          <cell r="AE609" t="str">
            <v>Đ</v>
          </cell>
          <cell r="AF609" t="str">
            <v>Đ</v>
          </cell>
          <cell r="AG609" t="str">
            <v>CN</v>
          </cell>
          <cell r="AH609" t="str">
            <v>AL8</v>
          </cell>
          <cell r="AI609" t="str">
            <v>AL8</v>
          </cell>
          <cell r="AJ609" t="str">
            <v>AL8</v>
          </cell>
          <cell r="AN609">
            <v>88</v>
          </cell>
          <cell r="AO609">
            <v>72</v>
          </cell>
          <cell r="AP609">
            <v>0</v>
          </cell>
          <cell r="AQ609">
            <v>0</v>
          </cell>
          <cell r="AR609">
            <v>0</v>
          </cell>
          <cell r="AS609">
            <v>0</v>
          </cell>
          <cell r="AT609">
            <v>0</v>
          </cell>
          <cell r="AU609">
            <v>0</v>
          </cell>
          <cell r="AV609">
            <v>0</v>
          </cell>
          <cell r="AW609">
            <v>0</v>
          </cell>
          <cell r="AX609">
            <v>0</v>
          </cell>
          <cell r="AY609">
            <v>0</v>
          </cell>
          <cell r="AZ609">
            <v>0</v>
          </cell>
          <cell r="BA609">
            <v>32</v>
          </cell>
          <cell r="BB609">
            <v>0</v>
          </cell>
          <cell r="BC609">
            <v>0</v>
          </cell>
          <cell r="BD609">
            <v>0</v>
          </cell>
          <cell r="BE609">
            <v>0</v>
          </cell>
          <cell r="BF609">
            <v>0</v>
          </cell>
          <cell r="BG609">
            <v>192</v>
          </cell>
          <cell r="BH609">
            <v>4</v>
          </cell>
          <cell r="BI609">
            <v>4</v>
          </cell>
          <cell r="BJ609">
            <v>2</v>
          </cell>
          <cell r="BL609">
            <v>0</v>
          </cell>
          <cell r="BM609">
            <v>1.5</v>
          </cell>
          <cell r="BN609">
            <v>1.5</v>
          </cell>
          <cell r="BO609">
            <v>0</v>
          </cell>
          <cell r="BP609">
            <v>1.5</v>
          </cell>
          <cell r="BQ609">
            <v>0</v>
          </cell>
          <cell r="BR609">
            <v>0</v>
          </cell>
          <cell r="BS609">
            <v>4</v>
          </cell>
          <cell r="BT609">
            <v>4</v>
          </cell>
          <cell r="BU609">
            <v>4</v>
          </cell>
          <cell r="BV609">
            <v>0</v>
          </cell>
          <cell r="BW609">
            <v>3</v>
          </cell>
          <cell r="BX609">
            <v>3</v>
          </cell>
          <cell r="BY609">
            <v>3</v>
          </cell>
          <cell r="BZ609">
            <v>3</v>
          </cell>
          <cell r="CA609">
            <v>3</v>
          </cell>
          <cell r="CB609">
            <v>3</v>
          </cell>
          <cell r="CC609">
            <v>8</v>
          </cell>
          <cell r="CD609">
            <v>4</v>
          </cell>
          <cell r="CE609">
            <v>4</v>
          </cell>
          <cell r="CF609">
            <v>0</v>
          </cell>
          <cell r="CG609">
            <v>4</v>
          </cell>
          <cell r="CH609">
            <v>4</v>
          </cell>
          <cell r="CI609">
            <v>4</v>
          </cell>
          <cell r="CJ609">
            <v>0</v>
          </cell>
          <cell r="CK609">
            <v>0</v>
          </cell>
          <cell r="CL609">
            <v>0</v>
          </cell>
          <cell r="CM609">
            <v>0</v>
          </cell>
          <cell r="CR609">
            <v>0</v>
          </cell>
          <cell r="CS609">
            <v>0</v>
          </cell>
          <cell r="CT609">
            <v>54.5</v>
          </cell>
          <cell r="CU609">
            <v>8</v>
          </cell>
          <cell r="CV609">
            <v>0</v>
          </cell>
          <cell r="CZ609">
            <v>62.5</v>
          </cell>
        </row>
        <row r="610">
          <cell r="C610" t="str">
            <v>03834</v>
          </cell>
          <cell r="D610" t="str">
            <v>Triệu Hải Dương</v>
          </cell>
          <cell r="E610" t="str">
            <v>QC</v>
          </cell>
          <cell r="F610" t="str">
            <v>QC</v>
          </cell>
          <cell r="G610" t="str">
            <v>Worker</v>
          </cell>
          <cell r="H610">
            <v>45020</v>
          </cell>
          <cell r="I610">
            <v>8</v>
          </cell>
          <cell r="J610">
            <v>8</v>
          </cell>
          <cell r="K610">
            <v>8</v>
          </cell>
          <cell r="L610" t="str">
            <v>CN</v>
          </cell>
          <cell r="M610">
            <v>8</v>
          </cell>
          <cell r="N610">
            <v>8</v>
          </cell>
          <cell r="O610">
            <v>8</v>
          </cell>
          <cell r="P610" t="str">
            <v>AL4</v>
          </cell>
          <cell r="Q610" t="str">
            <v>Đ</v>
          </cell>
          <cell r="R610" t="str">
            <v>Đ</v>
          </cell>
          <cell r="S610" t="str">
            <v>CN</v>
          </cell>
          <cell r="T610">
            <v>8</v>
          </cell>
          <cell r="U610">
            <v>8</v>
          </cell>
          <cell r="V610">
            <v>8</v>
          </cell>
          <cell r="W610">
            <v>8</v>
          </cell>
          <cell r="X610">
            <v>8</v>
          </cell>
          <cell r="Y610">
            <v>8</v>
          </cell>
          <cell r="Z610" t="str">
            <v>CN</v>
          </cell>
          <cell r="AA610">
            <v>8</v>
          </cell>
          <cell r="AB610">
            <v>8</v>
          </cell>
          <cell r="AC610">
            <v>8</v>
          </cell>
          <cell r="AD610">
            <v>8</v>
          </cell>
          <cell r="AE610" t="str">
            <v>Đ</v>
          </cell>
          <cell r="AF610" t="str">
            <v>Đ</v>
          </cell>
          <cell r="AG610" t="str">
            <v>CN</v>
          </cell>
          <cell r="AH610">
            <v>8</v>
          </cell>
          <cell r="AI610">
            <v>8</v>
          </cell>
          <cell r="AJ610">
            <v>8</v>
          </cell>
          <cell r="AN610">
            <v>32</v>
          </cell>
          <cell r="AO610">
            <v>156</v>
          </cell>
          <cell r="AP610">
            <v>4</v>
          </cell>
          <cell r="AQ610">
            <v>0</v>
          </cell>
          <cell r="AR610">
            <v>0</v>
          </cell>
          <cell r="AS610">
            <v>0</v>
          </cell>
          <cell r="AT610">
            <v>0</v>
          </cell>
          <cell r="AU610">
            <v>0</v>
          </cell>
          <cell r="AV610">
            <v>0</v>
          </cell>
          <cell r="AW610">
            <v>0</v>
          </cell>
          <cell r="AX610">
            <v>0</v>
          </cell>
          <cell r="AY610">
            <v>0</v>
          </cell>
          <cell r="AZ610">
            <v>0</v>
          </cell>
          <cell r="BA610">
            <v>4</v>
          </cell>
          <cell r="BB610">
            <v>0</v>
          </cell>
          <cell r="BC610">
            <v>0</v>
          </cell>
          <cell r="BD610">
            <v>0</v>
          </cell>
          <cell r="BE610">
            <v>0</v>
          </cell>
          <cell r="BF610">
            <v>0</v>
          </cell>
          <cell r="BG610">
            <v>192</v>
          </cell>
          <cell r="BH610">
            <v>0.5</v>
          </cell>
          <cell r="BI610">
            <v>0.5</v>
          </cell>
          <cell r="BJ610">
            <v>-1</v>
          </cell>
          <cell r="BL610">
            <v>0</v>
          </cell>
          <cell r="BM610">
            <v>4</v>
          </cell>
          <cell r="BN610">
            <v>4</v>
          </cell>
          <cell r="BO610">
            <v>0</v>
          </cell>
          <cell r="BP610">
            <v>0</v>
          </cell>
          <cell r="BQ610">
            <v>0</v>
          </cell>
          <cell r="BR610">
            <v>0</v>
          </cell>
          <cell r="BS610">
            <v>0</v>
          </cell>
          <cell r="BT610">
            <v>4</v>
          </cell>
          <cell r="BU610">
            <v>4</v>
          </cell>
          <cell r="BV610">
            <v>0</v>
          </cell>
          <cell r="BW610">
            <v>0</v>
          </cell>
          <cell r="BX610">
            <v>0</v>
          </cell>
          <cell r="BY610">
            <v>0</v>
          </cell>
          <cell r="BZ610">
            <v>0</v>
          </cell>
          <cell r="CA610">
            <v>4</v>
          </cell>
          <cell r="CB610">
            <v>4</v>
          </cell>
          <cell r="CC610">
            <v>0</v>
          </cell>
          <cell r="CD610">
            <v>0</v>
          </cell>
          <cell r="CE610">
            <v>0</v>
          </cell>
          <cell r="CF610">
            <v>0</v>
          </cell>
          <cell r="CG610">
            <v>0</v>
          </cell>
          <cell r="CH610">
            <v>4</v>
          </cell>
          <cell r="CI610">
            <v>4</v>
          </cell>
          <cell r="CJ610">
            <v>0</v>
          </cell>
          <cell r="CK610">
            <v>0</v>
          </cell>
          <cell r="CL610">
            <v>0</v>
          </cell>
          <cell r="CM610">
            <v>4</v>
          </cell>
          <cell r="CR610">
            <v>0</v>
          </cell>
          <cell r="CS610">
            <v>0</v>
          </cell>
          <cell r="CT610">
            <v>36</v>
          </cell>
          <cell r="CU610">
            <v>0</v>
          </cell>
          <cell r="CV610">
            <v>0</v>
          </cell>
          <cell r="CZ610">
            <v>36</v>
          </cell>
        </row>
        <row r="611">
          <cell r="C611" t="str">
            <v>03839</v>
          </cell>
          <cell r="D611" t="str">
            <v>Trần Đình Bảy</v>
          </cell>
          <cell r="E611" t="str">
            <v xml:space="preserve">EHS &amp; Facilities </v>
          </cell>
          <cell r="F611" t="str">
            <v>Facility</v>
          </cell>
          <cell r="G611" t="str">
            <v>Technician</v>
          </cell>
          <cell r="H611">
            <v>45027</v>
          </cell>
          <cell r="I611">
            <v>8</v>
          </cell>
          <cell r="J611">
            <v>8</v>
          </cell>
          <cell r="K611" t="str">
            <v>PO</v>
          </cell>
          <cell r="L611" t="str">
            <v>CN</v>
          </cell>
          <cell r="M611">
            <v>8</v>
          </cell>
          <cell r="N611">
            <v>8</v>
          </cell>
          <cell r="O611">
            <v>8</v>
          </cell>
          <cell r="P611">
            <v>8</v>
          </cell>
          <cell r="Q611" t="str">
            <v>PO</v>
          </cell>
          <cell r="R611" t="str">
            <v>PO</v>
          </cell>
          <cell r="S611" t="str">
            <v>CN</v>
          </cell>
          <cell r="T611">
            <v>8</v>
          </cell>
          <cell r="U611">
            <v>8</v>
          </cell>
          <cell r="V611">
            <v>8</v>
          </cell>
          <cell r="W611">
            <v>8</v>
          </cell>
          <cell r="X611">
            <v>8</v>
          </cell>
          <cell r="Y611" t="str">
            <v>PO</v>
          </cell>
          <cell r="Z611" t="str">
            <v>CN</v>
          </cell>
          <cell r="AA611">
            <v>8</v>
          </cell>
          <cell r="AB611">
            <v>8</v>
          </cell>
          <cell r="AC611">
            <v>8</v>
          </cell>
          <cell r="AD611">
            <v>8</v>
          </cell>
          <cell r="AE611">
            <v>8</v>
          </cell>
          <cell r="AF611" t="str">
            <v>PO</v>
          </cell>
          <cell r="AG611" t="str">
            <v>CN</v>
          </cell>
          <cell r="AH611">
            <v>8</v>
          </cell>
          <cell r="AI611">
            <v>8</v>
          </cell>
          <cell r="AJ611">
            <v>8</v>
          </cell>
          <cell r="AN611">
            <v>0</v>
          </cell>
          <cell r="AO611">
            <v>152</v>
          </cell>
          <cell r="AP611">
            <v>0</v>
          </cell>
          <cell r="AQ611">
            <v>0</v>
          </cell>
          <cell r="AR611">
            <v>0</v>
          </cell>
          <cell r="AS611">
            <v>0</v>
          </cell>
          <cell r="AT611">
            <v>0</v>
          </cell>
          <cell r="AU611">
            <v>0</v>
          </cell>
          <cell r="AV611">
            <v>40</v>
          </cell>
          <cell r="AW611">
            <v>0</v>
          </cell>
          <cell r="AX611">
            <v>0</v>
          </cell>
          <cell r="AY611">
            <v>0</v>
          </cell>
          <cell r="AZ611">
            <v>0</v>
          </cell>
          <cell r="BA611">
            <v>0</v>
          </cell>
          <cell r="BB611">
            <v>0</v>
          </cell>
          <cell r="BC611">
            <v>0</v>
          </cell>
          <cell r="BD611">
            <v>0</v>
          </cell>
          <cell r="BE611">
            <v>0</v>
          </cell>
          <cell r="BF611">
            <v>0</v>
          </cell>
          <cell r="BG611">
            <v>192</v>
          </cell>
          <cell r="BH611">
            <v>0</v>
          </cell>
          <cell r="BI611">
            <v>0</v>
          </cell>
          <cell r="BJ611">
            <v>5</v>
          </cell>
          <cell r="BL611">
            <v>0</v>
          </cell>
          <cell r="BM611">
            <v>0</v>
          </cell>
          <cell r="BN611">
            <v>0</v>
          </cell>
          <cell r="BO611">
            <v>0</v>
          </cell>
          <cell r="BP611">
            <v>0</v>
          </cell>
          <cell r="BQ611">
            <v>0</v>
          </cell>
          <cell r="BR611">
            <v>0</v>
          </cell>
          <cell r="BS611">
            <v>0</v>
          </cell>
          <cell r="BT611">
            <v>0</v>
          </cell>
          <cell r="BU611">
            <v>0</v>
          </cell>
          <cell r="BV611">
            <v>0</v>
          </cell>
          <cell r="BW611">
            <v>0</v>
          </cell>
          <cell r="BX611">
            <v>0</v>
          </cell>
          <cell r="BY611">
            <v>2</v>
          </cell>
          <cell r="BZ611">
            <v>0</v>
          </cell>
          <cell r="CA611">
            <v>0</v>
          </cell>
          <cell r="CB611">
            <v>0</v>
          </cell>
          <cell r="CC611">
            <v>0</v>
          </cell>
          <cell r="CD611">
            <v>0</v>
          </cell>
          <cell r="CE611">
            <v>0</v>
          </cell>
          <cell r="CF611">
            <v>0</v>
          </cell>
          <cell r="CG611">
            <v>0</v>
          </cell>
          <cell r="CH611">
            <v>0</v>
          </cell>
          <cell r="CI611">
            <v>0</v>
          </cell>
          <cell r="CJ611">
            <v>0</v>
          </cell>
          <cell r="CK611">
            <v>0</v>
          </cell>
          <cell r="CL611">
            <v>0</v>
          </cell>
          <cell r="CM611">
            <v>0</v>
          </cell>
          <cell r="CR611">
            <v>0</v>
          </cell>
          <cell r="CS611">
            <v>0</v>
          </cell>
          <cell r="CT611">
            <v>2</v>
          </cell>
          <cell r="CU611">
            <v>0</v>
          </cell>
          <cell r="CV611">
            <v>0</v>
          </cell>
          <cell r="CZ611">
            <v>2</v>
          </cell>
        </row>
        <row r="612">
          <cell r="C612" t="str">
            <v>03841</v>
          </cell>
          <cell r="D612" t="str">
            <v>Ngô Thị Ngân</v>
          </cell>
          <cell r="E612" t="str">
            <v>Production</v>
          </cell>
          <cell r="F612" t="str">
            <v>Molding</v>
          </cell>
          <cell r="G612" t="str">
            <v>Worker</v>
          </cell>
          <cell r="H612">
            <v>45028</v>
          </cell>
          <cell r="I612">
            <v>8</v>
          </cell>
          <cell r="J612">
            <v>8</v>
          </cell>
          <cell r="K612">
            <v>8</v>
          </cell>
          <cell r="L612" t="str">
            <v>CN</v>
          </cell>
          <cell r="M612">
            <v>8</v>
          </cell>
          <cell r="N612">
            <v>8</v>
          </cell>
          <cell r="O612">
            <v>8</v>
          </cell>
          <cell r="P612">
            <v>8</v>
          </cell>
          <cell r="Q612" t="str">
            <v>Đ</v>
          </cell>
          <cell r="R612" t="str">
            <v>Đ</v>
          </cell>
          <cell r="S612" t="str">
            <v>CN</v>
          </cell>
          <cell r="T612">
            <v>8</v>
          </cell>
          <cell r="U612">
            <v>8</v>
          </cell>
          <cell r="V612">
            <v>8</v>
          </cell>
          <cell r="W612">
            <v>8</v>
          </cell>
          <cell r="X612">
            <v>8</v>
          </cell>
          <cell r="Y612">
            <v>8</v>
          </cell>
          <cell r="Z612" t="str">
            <v>CN</v>
          </cell>
          <cell r="AA612">
            <v>8</v>
          </cell>
          <cell r="AB612">
            <v>8</v>
          </cell>
          <cell r="AC612">
            <v>8</v>
          </cell>
          <cell r="AD612">
            <v>8</v>
          </cell>
          <cell r="AE612" t="str">
            <v>Đ</v>
          </cell>
          <cell r="AF612" t="str">
            <v>Đ</v>
          </cell>
          <cell r="AG612" t="str">
            <v>CN</v>
          </cell>
          <cell r="AH612">
            <v>8</v>
          </cell>
          <cell r="AI612">
            <v>8</v>
          </cell>
          <cell r="AJ612">
            <v>8</v>
          </cell>
          <cell r="AN612">
            <v>32</v>
          </cell>
          <cell r="AO612">
            <v>160</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0</v>
          </cell>
          <cell r="BF612">
            <v>0</v>
          </cell>
          <cell r="BG612">
            <v>192</v>
          </cell>
          <cell r="BH612">
            <v>0</v>
          </cell>
          <cell r="BI612">
            <v>0</v>
          </cell>
          <cell r="BJ612">
            <v>2.5</v>
          </cell>
          <cell r="BL612">
            <v>0</v>
          </cell>
          <cell r="BM612">
            <v>0</v>
          </cell>
          <cell r="BN612">
            <v>0</v>
          </cell>
          <cell r="BO612">
            <v>0</v>
          </cell>
          <cell r="BP612">
            <v>0</v>
          </cell>
          <cell r="BQ612">
            <v>0</v>
          </cell>
          <cell r="BR612">
            <v>0</v>
          </cell>
          <cell r="BS612">
            <v>0</v>
          </cell>
          <cell r="BT612">
            <v>4</v>
          </cell>
          <cell r="BU612">
            <v>4</v>
          </cell>
          <cell r="BV612">
            <v>0</v>
          </cell>
          <cell r="BW612">
            <v>0</v>
          </cell>
          <cell r="BX612">
            <v>0</v>
          </cell>
          <cell r="BY612">
            <v>4</v>
          </cell>
          <cell r="BZ612">
            <v>0</v>
          </cell>
          <cell r="CA612">
            <v>4</v>
          </cell>
          <cell r="CB612">
            <v>4</v>
          </cell>
          <cell r="CC612">
            <v>0</v>
          </cell>
          <cell r="CD612">
            <v>0</v>
          </cell>
          <cell r="CE612">
            <v>0</v>
          </cell>
          <cell r="CF612">
            <v>0</v>
          </cell>
          <cell r="CG612">
            <v>0</v>
          </cell>
          <cell r="CH612">
            <v>4</v>
          </cell>
          <cell r="CI612">
            <v>4</v>
          </cell>
          <cell r="CJ612">
            <v>0</v>
          </cell>
          <cell r="CK612">
            <v>0</v>
          </cell>
          <cell r="CL612">
            <v>0</v>
          </cell>
          <cell r="CM612">
            <v>0</v>
          </cell>
          <cell r="CR612">
            <v>0</v>
          </cell>
          <cell r="CS612">
            <v>0</v>
          </cell>
          <cell r="CT612">
            <v>28</v>
          </cell>
          <cell r="CU612">
            <v>0</v>
          </cell>
          <cell r="CV612">
            <v>0</v>
          </cell>
          <cell r="CZ612">
            <v>28</v>
          </cell>
        </row>
        <row r="613">
          <cell r="C613" t="str">
            <v>03842</v>
          </cell>
          <cell r="D613" t="str">
            <v>Nguyễn Thị Trúc Khỏe</v>
          </cell>
          <cell r="E613" t="str">
            <v>Production</v>
          </cell>
          <cell r="F613" t="str">
            <v>Logo</v>
          </cell>
          <cell r="G613" t="str">
            <v>Worker</v>
          </cell>
          <cell r="H613">
            <v>45028</v>
          </cell>
          <cell r="I613" t="str">
            <v>Đ</v>
          </cell>
          <cell r="J613" t="str">
            <v>Đ</v>
          </cell>
          <cell r="K613" t="str">
            <v>Đ</v>
          </cell>
          <cell r="L613" t="str">
            <v>CN</v>
          </cell>
          <cell r="M613">
            <v>8</v>
          </cell>
          <cell r="N613">
            <v>8</v>
          </cell>
          <cell r="O613" t="str">
            <v>AL8</v>
          </cell>
          <cell r="P613">
            <v>8</v>
          </cell>
          <cell r="Q613">
            <v>8</v>
          </cell>
          <cell r="R613">
            <v>8</v>
          </cell>
          <cell r="S613" t="str">
            <v>CN</v>
          </cell>
          <cell r="T613" t="str">
            <v>Đ</v>
          </cell>
          <cell r="U613" t="str">
            <v>Đ</v>
          </cell>
          <cell r="V613" t="str">
            <v>Đ</v>
          </cell>
          <cell r="W613" t="str">
            <v>Đ</v>
          </cell>
          <cell r="X613" t="str">
            <v>Đ</v>
          </cell>
          <cell r="Y613" t="str">
            <v>Đ</v>
          </cell>
          <cell r="Z613" t="str">
            <v>CN</v>
          </cell>
          <cell r="AA613">
            <v>8</v>
          </cell>
          <cell r="AB613">
            <v>8</v>
          </cell>
          <cell r="AC613" t="str">
            <v>AL8</v>
          </cell>
          <cell r="AD613">
            <v>8</v>
          </cell>
          <cell r="AE613">
            <v>8</v>
          </cell>
          <cell r="AF613">
            <v>8</v>
          </cell>
          <cell r="AG613" t="str">
            <v>CN</v>
          </cell>
          <cell r="AH613" t="str">
            <v>Đ</v>
          </cell>
          <cell r="AI613" t="str">
            <v>Đ</v>
          </cell>
          <cell r="AJ613" t="str">
            <v>Đ</v>
          </cell>
          <cell r="AN613">
            <v>96</v>
          </cell>
          <cell r="AO613">
            <v>80</v>
          </cell>
          <cell r="AP613">
            <v>0</v>
          </cell>
          <cell r="AQ613">
            <v>0</v>
          </cell>
          <cell r="AR613">
            <v>0</v>
          </cell>
          <cell r="AS613">
            <v>0</v>
          </cell>
          <cell r="AT613">
            <v>0</v>
          </cell>
          <cell r="AU613">
            <v>0</v>
          </cell>
          <cell r="AV613">
            <v>0</v>
          </cell>
          <cell r="AW613">
            <v>0</v>
          </cell>
          <cell r="AX613">
            <v>0</v>
          </cell>
          <cell r="AY613">
            <v>0</v>
          </cell>
          <cell r="AZ613">
            <v>0</v>
          </cell>
          <cell r="BA613">
            <v>16</v>
          </cell>
          <cell r="BB613">
            <v>0</v>
          </cell>
          <cell r="BC613">
            <v>0</v>
          </cell>
          <cell r="BD613">
            <v>0</v>
          </cell>
          <cell r="BE613">
            <v>0</v>
          </cell>
          <cell r="BF613">
            <v>0</v>
          </cell>
          <cell r="BG613">
            <v>192</v>
          </cell>
          <cell r="BH613">
            <v>2</v>
          </cell>
          <cell r="BI613">
            <v>2</v>
          </cell>
          <cell r="BJ613">
            <v>-2</v>
          </cell>
          <cell r="BL613">
            <v>1.5</v>
          </cell>
          <cell r="BM613">
            <v>1.5</v>
          </cell>
          <cell r="BN613">
            <v>1.5</v>
          </cell>
          <cell r="BO613">
            <v>0</v>
          </cell>
          <cell r="BP613">
            <v>1.5</v>
          </cell>
          <cell r="BQ613">
            <v>0</v>
          </cell>
          <cell r="BR613">
            <v>0</v>
          </cell>
          <cell r="BS613">
            <v>3</v>
          </cell>
          <cell r="BT613">
            <v>3</v>
          </cell>
          <cell r="BU613">
            <v>3</v>
          </cell>
          <cell r="BV613">
            <v>0</v>
          </cell>
          <cell r="BW613">
            <v>4</v>
          </cell>
          <cell r="BX613">
            <v>4</v>
          </cell>
          <cell r="BY613">
            <v>4</v>
          </cell>
          <cell r="BZ613">
            <v>4</v>
          </cell>
          <cell r="CA613">
            <v>4</v>
          </cell>
          <cell r="CB613">
            <v>4</v>
          </cell>
          <cell r="CC613">
            <v>0</v>
          </cell>
          <cell r="CD613">
            <v>3</v>
          </cell>
          <cell r="CE613">
            <v>3</v>
          </cell>
          <cell r="CF613">
            <v>0</v>
          </cell>
          <cell r="CG613">
            <v>3</v>
          </cell>
          <cell r="CH613">
            <v>3</v>
          </cell>
          <cell r="CI613">
            <v>3</v>
          </cell>
          <cell r="CJ613">
            <v>11</v>
          </cell>
          <cell r="CK613">
            <v>4</v>
          </cell>
          <cell r="CL613">
            <v>4</v>
          </cell>
          <cell r="CM613">
            <v>4</v>
          </cell>
          <cell r="CR613">
            <v>0</v>
          </cell>
          <cell r="CS613">
            <v>0</v>
          </cell>
          <cell r="CT613">
            <v>66</v>
          </cell>
          <cell r="CU613">
            <v>11</v>
          </cell>
          <cell r="CV613">
            <v>0</v>
          </cell>
          <cell r="CZ613">
            <v>77</v>
          </cell>
        </row>
        <row r="614">
          <cell r="C614" t="str">
            <v>03843</v>
          </cell>
          <cell r="D614" t="str">
            <v>Thạch Nhỏ</v>
          </cell>
          <cell r="E614" t="str">
            <v>Production</v>
          </cell>
          <cell r="F614" t="str">
            <v>Die Cut</v>
          </cell>
          <cell r="G614" t="str">
            <v>Worker</v>
          </cell>
          <cell r="H614">
            <v>45028</v>
          </cell>
          <cell r="I614" t="str">
            <v>AL8</v>
          </cell>
          <cell r="J614">
            <v>8</v>
          </cell>
          <cell r="K614">
            <v>8</v>
          </cell>
          <cell r="L614" t="str">
            <v>CN</v>
          </cell>
          <cell r="M614" t="str">
            <v>Đ</v>
          </cell>
          <cell r="N614" t="str">
            <v>Đ</v>
          </cell>
          <cell r="O614" t="str">
            <v>Đ</v>
          </cell>
          <cell r="P614" t="str">
            <v>AL8</v>
          </cell>
          <cell r="Q614" t="str">
            <v>Đ</v>
          </cell>
          <cell r="R614" t="str">
            <v>Đ</v>
          </cell>
          <cell r="S614" t="str">
            <v>CN</v>
          </cell>
          <cell r="T614">
            <v>8</v>
          </cell>
          <cell r="U614">
            <v>8</v>
          </cell>
          <cell r="V614">
            <v>8</v>
          </cell>
          <cell r="W614">
            <v>8</v>
          </cell>
          <cell r="X614">
            <v>8</v>
          </cell>
          <cell r="Y614">
            <v>8</v>
          </cell>
          <cell r="Z614" t="str">
            <v>CN</v>
          </cell>
          <cell r="AA614" t="str">
            <v>Đ</v>
          </cell>
          <cell r="AB614" t="str">
            <v>Đ</v>
          </cell>
          <cell r="AC614" t="str">
            <v>Đ</v>
          </cell>
          <cell r="AD614" t="str">
            <v>Đ</v>
          </cell>
          <cell r="AE614" t="str">
            <v>Đ</v>
          </cell>
          <cell r="AF614" t="str">
            <v>Đ</v>
          </cell>
          <cell r="AG614" t="str">
            <v>CN</v>
          </cell>
          <cell r="AH614">
            <v>8</v>
          </cell>
          <cell r="AI614">
            <v>8</v>
          </cell>
          <cell r="AJ614">
            <v>8</v>
          </cell>
          <cell r="AN614">
            <v>88</v>
          </cell>
          <cell r="AO614">
            <v>88</v>
          </cell>
          <cell r="AP614">
            <v>0</v>
          </cell>
          <cell r="AQ614">
            <v>0</v>
          </cell>
          <cell r="AR614">
            <v>0</v>
          </cell>
          <cell r="AS614">
            <v>0</v>
          </cell>
          <cell r="AT614">
            <v>0</v>
          </cell>
          <cell r="AU614">
            <v>0</v>
          </cell>
          <cell r="AV614">
            <v>0</v>
          </cell>
          <cell r="AW614">
            <v>0</v>
          </cell>
          <cell r="AX614">
            <v>0</v>
          </cell>
          <cell r="AY614">
            <v>0</v>
          </cell>
          <cell r="AZ614">
            <v>0</v>
          </cell>
          <cell r="BA614">
            <v>16</v>
          </cell>
          <cell r="BB614">
            <v>0</v>
          </cell>
          <cell r="BC614">
            <v>0</v>
          </cell>
          <cell r="BD614">
            <v>0</v>
          </cell>
          <cell r="BE614">
            <v>0</v>
          </cell>
          <cell r="BF614">
            <v>0</v>
          </cell>
          <cell r="BG614">
            <v>192</v>
          </cell>
          <cell r="BH614">
            <v>2</v>
          </cell>
          <cell r="BI614">
            <v>2</v>
          </cell>
          <cell r="BJ614">
            <v>-2</v>
          </cell>
          <cell r="BL614">
            <v>0</v>
          </cell>
          <cell r="BM614">
            <v>1.5</v>
          </cell>
          <cell r="BN614">
            <v>0</v>
          </cell>
          <cell r="BO614">
            <v>0</v>
          </cell>
          <cell r="BP614">
            <v>1.5</v>
          </cell>
          <cell r="BQ614">
            <v>0</v>
          </cell>
          <cell r="BR614">
            <v>0</v>
          </cell>
          <cell r="BS614">
            <v>0</v>
          </cell>
          <cell r="BT614">
            <v>0</v>
          </cell>
          <cell r="BU614">
            <v>4</v>
          </cell>
          <cell r="BV614">
            <v>0</v>
          </cell>
          <cell r="BW614">
            <v>3</v>
          </cell>
          <cell r="BX614">
            <v>3</v>
          </cell>
          <cell r="BY614">
            <v>3</v>
          </cell>
          <cell r="BZ614">
            <v>0</v>
          </cell>
          <cell r="CA614">
            <v>3</v>
          </cell>
          <cell r="CB614">
            <v>3</v>
          </cell>
          <cell r="CC614">
            <v>0</v>
          </cell>
          <cell r="CD614">
            <v>4</v>
          </cell>
          <cell r="CE614">
            <v>4</v>
          </cell>
          <cell r="CF614">
            <v>4</v>
          </cell>
          <cell r="CG614">
            <v>4</v>
          </cell>
          <cell r="CH614">
            <v>4</v>
          </cell>
          <cell r="CI614">
            <v>4</v>
          </cell>
          <cell r="CJ614">
            <v>0</v>
          </cell>
          <cell r="CK614">
            <v>3</v>
          </cell>
          <cell r="CL614">
            <v>3</v>
          </cell>
          <cell r="CM614">
            <v>0</v>
          </cell>
          <cell r="CR614">
            <v>0</v>
          </cell>
          <cell r="CS614">
            <v>0</v>
          </cell>
          <cell r="CT614">
            <v>52</v>
          </cell>
          <cell r="CU614">
            <v>0</v>
          </cell>
          <cell r="CV614">
            <v>0</v>
          </cell>
          <cell r="CZ614">
            <v>52</v>
          </cell>
        </row>
        <row r="615">
          <cell r="C615" t="str">
            <v>03845</v>
          </cell>
          <cell r="D615" t="str">
            <v>Võ Văn Điều</v>
          </cell>
          <cell r="E615" t="str">
            <v>Production</v>
          </cell>
          <cell r="F615" t="str">
            <v>Skiving</v>
          </cell>
          <cell r="G615" t="str">
            <v>Worker</v>
          </cell>
          <cell r="H615">
            <v>45028</v>
          </cell>
          <cell r="I615">
            <v>8</v>
          </cell>
          <cell r="J615">
            <v>8</v>
          </cell>
          <cell r="K615">
            <v>8</v>
          </cell>
          <cell r="L615" t="str">
            <v>CN</v>
          </cell>
          <cell r="M615" t="str">
            <v>Đ</v>
          </cell>
          <cell r="N615" t="str">
            <v>Đ</v>
          </cell>
          <cell r="O615" t="str">
            <v>Đ</v>
          </cell>
          <cell r="P615" t="str">
            <v>Đ</v>
          </cell>
          <cell r="Q615" t="str">
            <v>Đ</v>
          </cell>
          <cell r="R615" t="str">
            <v>Đ</v>
          </cell>
          <cell r="S615" t="str">
            <v>CN</v>
          </cell>
          <cell r="T615">
            <v>8</v>
          </cell>
          <cell r="U615">
            <v>8</v>
          </cell>
          <cell r="V615">
            <v>8</v>
          </cell>
          <cell r="W615">
            <v>8</v>
          </cell>
          <cell r="X615">
            <v>8</v>
          </cell>
          <cell r="Y615">
            <v>8</v>
          </cell>
          <cell r="Z615" t="str">
            <v>CN</v>
          </cell>
          <cell r="AA615">
            <v>8</v>
          </cell>
          <cell r="AB615">
            <v>8</v>
          </cell>
          <cell r="AC615">
            <v>8</v>
          </cell>
          <cell r="AD615">
            <v>8</v>
          </cell>
          <cell r="AE615">
            <v>8</v>
          </cell>
          <cell r="AF615">
            <v>8</v>
          </cell>
          <cell r="AG615" t="str">
            <v>CN</v>
          </cell>
          <cell r="AH615" t="str">
            <v>Đ</v>
          </cell>
          <cell r="AI615" t="str">
            <v>Đ</v>
          </cell>
          <cell r="AJ615" t="str">
            <v>Đ</v>
          </cell>
          <cell r="AN615">
            <v>72</v>
          </cell>
          <cell r="AO615">
            <v>120</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0</v>
          </cell>
          <cell r="BF615">
            <v>0</v>
          </cell>
          <cell r="BG615">
            <v>192</v>
          </cell>
          <cell r="BH615">
            <v>0</v>
          </cell>
          <cell r="BI615">
            <v>0</v>
          </cell>
          <cell r="BJ615">
            <v>3</v>
          </cell>
          <cell r="BL615">
            <v>0</v>
          </cell>
          <cell r="BM615">
            <v>3</v>
          </cell>
          <cell r="BN615">
            <v>0</v>
          </cell>
          <cell r="BO615">
            <v>0</v>
          </cell>
          <cell r="BP615">
            <v>3</v>
          </cell>
          <cell r="BQ615">
            <v>0</v>
          </cell>
          <cell r="BR615">
            <v>0</v>
          </cell>
          <cell r="BS615">
            <v>3</v>
          </cell>
          <cell r="BT615">
            <v>0</v>
          </cell>
          <cell r="BU615">
            <v>0</v>
          </cell>
          <cell r="BV615">
            <v>0</v>
          </cell>
          <cell r="BW615">
            <v>0</v>
          </cell>
          <cell r="BX615">
            <v>4</v>
          </cell>
          <cell r="BY615">
            <v>4</v>
          </cell>
          <cell r="BZ615">
            <v>4</v>
          </cell>
          <cell r="CA615">
            <v>4</v>
          </cell>
          <cell r="CB615">
            <v>4</v>
          </cell>
          <cell r="CC615">
            <v>0</v>
          </cell>
          <cell r="CD615">
            <v>3</v>
          </cell>
          <cell r="CE615">
            <v>3</v>
          </cell>
          <cell r="CF615">
            <v>3</v>
          </cell>
          <cell r="CG615">
            <v>3</v>
          </cell>
          <cell r="CH615">
            <v>3</v>
          </cell>
          <cell r="CI615">
            <v>3</v>
          </cell>
          <cell r="CJ615">
            <v>8</v>
          </cell>
          <cell r="CK615">
            <v>0</v>
          </cell>
          <cell r="CL615">
            <v>4</v>
          </cell>
          <cell r="CM615">
            <v>4</v>
          </cell>
          <cell r="CR615">
            <v>0</v>
          </cell>
          <cell r="CS615">
            <v>0</v>
          </cell>
          <cell r="CT615">
            <v>55</v>
          </cell>
          <cell r="CU615">
            <v>8</v>
          </cell>
          <cell r="CV615">
            <v>0</v>
          </cell>
          <cell r="CZ615">
            <v>63</v>
          </cell>
        </row>
        <row r="616">
          <cell r="C616" t="str">
            <v>03846</v>
          </cell>
          <cell r="D616" t="str">
            <v>Hồ Văn Quân</v>
          </cell>
          <cell r="E616" t="str">
            <v>Production</v>
          </cell>
          <cell r="F616" t="str">
            <v>Die Cut</v>
          </cell>
          <cell r="G616" t="str">
            <v>Worker</v>
          </cell>
          <cell r="H616">
            <v>45028</v>
          </cell>
          <cell r="I616" t="str">
            <v>Đ</v>
          </cell>
          <cell r="J616" t="str">
            <v>Đ</v>
          </cell>
          <cell r="K616" t="str">
            <v>Đ</v>
          </cell>
          <cell r="L616" t="str">
            <v>CN</v>
          </cell>
          <cell r="M616">
            <v>8</v>
          </cell>
          <cell r="N616">
            <v>8</v>
          </cell>
          <cell r="O616">
            <v>8</v>
          </cell>
          <cell r="P616">
            <v>8</v>
          </cell>
          <cell r="Q616">
            <v>8</v>
          </cell>
          <cell r="R616">
            <v>8</v>
          </cell>
          <cell r="S616" t="str">
            <v>CN</v>
          </cell>
          <cell r="T616" t="str">
            <v>Đ</v>
          </cell>
          <cell r="U616" t="str">
            <v>Đ</v>
          </cell>
          <cell r="V616" t="str">
            <v>Đ</v>
          </cell>
          <cell r="W616" t="str">
            <v>Đ</v>
          </cell>
          <cell r="X616" t="str">
            <v>Đ</v>
          </cell>
          <cell r="Y616" t="str">
            <v>Đ</v>
          </cell>
          <cell r="Z616" t="str">
            <v>CN</v>
          </cell>
          <cell r="AA616">
            <v>8</v>
          </cell>
          <cell r="AB616">
            <v>8</v>
          </cell>
          <cell r="AC616">
            <v>8</v>
          </cell>
          <cell r="AD616">
            <v>8</v>
          </cell>
          <cell r="AE616">
            <v>8</v>
          </cell>
          <cell r="AF616">
            <v>8</v>
          </cell>
          <cell r="AG616" t="str">
            <v>CN</v>
          </cell>
          <cell r="AH616" t="str">
            <v>Đ</v>
          </cell>
          <cell r="AI616" t="str">
            <v>Đ</v>
          </cell>
          <cell r="AJ616" t="str">
            <v>Đ</v>
          </cell>
          <cell r="AN616">
            <v>96</v>
          </cell>
          <cell r="AO616">
            <v>96</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0</v>
          </cell>
          <cell r="BF616">
            <v>0</v>
          </cell>
          <cell r="BG616">
            <v>192</v>
          </cell>
          <cell r="BH616">
            <v>0</v>
          </cell>
          <cell r="BI616">
            <v>0</v>
          </cell>
          <cell r="BJ616">
            <v>0</v>
          </cell>
          <cell r="BL616">
            <v>1.5</v>
          </cell>
          <cell r="BM616">
            <v>1.5</v>
          </cell>
          <cell r="BN616">
            <v>1.5</v>
          </cell>
          <cell r="BO616">
            <v>0</v>
          </cell>
          <cell r="BP616">
            <v>1.5</v>
          </cell>
          <cell r="BQ616">
            <v>0</v>
          </cell>
          <cell r="BR616">
            <v>0</v>
          </cell>
          <cell r="BS616">
            <v>3</v>
          </cell>
          <cell r="BT616">
            <v>3</v>
          </cell>
          <cell r="BU616">
            <v>3</v>
          </cell>
          <cell r="BV616">
            <v>0</v>
          </cell>
          <cell r="BW616">
            <v>4</v>
          </cell>
          <cell r="BX616">
            <v>4</v>
          </cell>
          <cell r="BY616">
            <v>4</v>
          </cell>
          <cell r="BZ616">
            <v>4</v>
          </cell>
          <cell r="CA616">
            <v>4</v>
          </cell>
          <cell r="CB616">
            <v>4</v>
          </cell>
          <cell r="CC616">
            <v>0</v>
          </cell>
          <cell r="CD616">
            <v>3</v>
          </cell>
          <cell r="CE616">
            <v>3</v>
          </cell>
          <cell r="CF616">
            <v>3</v>
          </cell>
          <cell r="CG616">
            <v>3</v>
          </cell>
          <cell r="CH616">
            <v>3</v>
          </cell>
          <cell r="CI616">
            <v>3</v>
          </cell>
          <cell r="CJ616">
            <v>11</v>
          </cell>
          <cell r="CK616">
            <v>4</v>
          </cell>
          <cell r="CL616">
            <v>4</v>
          </cell>
          <cell r="CM616">
            <v>4</v>
          </cell>
          <cell r="CR616">
            <v>0</v>
          </cell>
          <cell r="CS616">
            <v>0</v>
          </cell>
          <cell r="CT616">
            <v>69</v>
          </cell>
          <cell r="CU616">
            <v>11</v>
          </cell>
          <cell r="CV616">
            <v>0</v>
          </cell>
          <cell r="CZ616">
            <v>80</v>
          </cell>
        </row>
        <row r="617">
          <cell r="C617" t="str">
            <v>03849</v>
          </cell>
          <cell r="D617" t="str">
            <v>Trần Mừng</v>
          </cell>
          <cell r="E617" t="str">
            <v>Production</v>
          </cell>
          <cell r="F617" t="str">
            <v>Skiving</v>
          </cell>
          <cell r="G617" t="str">
            <v>Worker</v>
          </cell>
          <cell r="H617">
            <v>45028</v>
          </cell>
          <cell r="I617">
            <v>8</v>
          </cell>
          <cell r="J617">
            <v>8</v>
          </cell>
          <cell r="K617">
            <v>8</v>
          </cell>
          <cell r="L617" t="str">
            <v>CN</v>
          </cell>
          <cell r="M617" t="str">
            <v>Đ</v>
          </cell>
          <cell r="N617" t="str">
            <v>Đ</v>
          </cell>
          <cell r="O617" t="str">
            <v>Đ</v>
          </cell>
          <cell r="P617" t="str">
            <v>Đ</v>
          </cell>
          <cell r="Q617" t="str">
            <v>Đ</v>
          </cell>
          <cell r="R617" t="str">
            <v>Đ</v>
          </cell>
          <cell r="S617" t="str">
            <v>CN</v>
          </cell>
          <cell r="T617">
            <v>8</v>
          </cell>
          <cell r="U617">
            <v>8</v>
          </cell>
          <cell r="V617">
            <v>8</v>
          </cell>
          <cell r="W617">
            <v>8</v>
          </cell>
          <cell r="X617">
            <v>8</v>
          </cell>
          <cell r="Y617">
            <v>8</v>
          </cell>
          <cell r="Z617" t="str">
            <v>CN</v>
          </cell>
          <cell r="AA617" t="str">
            <v>Đ</v>
          </cell>
          <cell r="AB617" t="str">
            <v>Đ</v>
          </cell>
          <cell r="AC617" t="str">
            <v>Đ</v>
          </cell>
          <cell r="AD617" t="str">
            <v>Đ</v>
          </cell>
          <cell r="AE617" t="str">
            <v>AL8</v>
          </cell>
          <cell r="AF617" t="str">
            <v>AL8</v>
          </cell>
          <cell r="AG617" t="str">
            <v>CN</v>
          </cell>
          <cell r="AH617" t="str">
            <v>AL8</v>
          </cell>
          <cell r="AI617" t="str">
            <v>AL8</v>
          </cell>
          <cell r="AJ617" t="str">
            <v>AL8</v>
          </cell>
          <cell r="AN617">
            <v>80</v>
          </cell>
          <cell r="AO617">
            <v>72</v>
          </cell>
          <cell r="AP617">
            <v>0</v>
          </cell>
          <cell r="AQ617">
            <v>0</v>
          </cell>
          <cell r="AR617">
            <v>0</v>
          </cell>
          <cell r="AS617">
            <v>0</v>
          </cell>
          <cell r="AT617">
            <v>0</v>
          </cell>
          <cell r="AU617">
            <v>0</v>
          </cell>
          <cell r="AV617">
            <v>0</v>
          </cell>
          <cell r="AW617">
            <v>0</v>
          </cell>
          <cell r="AX617">
            <v>0</v>
          </cell>
          <cell r="AY617">
            <v>0</v>
          </cell>
          <cell r="AZ617">
            <v>0</v>
          </cell>
          <cell r="BA617">
            <v>40</v>
          </cell>
          <cell r="BB617">
            <v>0</v>
          </cell>
          <cell r="BC617">
            <v>0</v>
          </cell>
          <cell r="BD617">
            <v>0</v>
          </cell>
          <cell r="BE617">
            <v>0</v>
          </cell>
          <cell r="BF617">
            <v>0</v>
          </cell>
          <cell r="BG617">
            <v>192</v>
          </cell>
          <cell r="BH617">
            <v>5</v>
          </cell>
          <cell r="BI617">
            <v>5</v>
          </cell>
          <cell r="BJ617">
            <v>0</v>
          </cell>
          <cell r="BL617">
            <v>0</v>
          </cell>
          <cell r="BM617">
            <v>0</v>
          </cell>
          <cell r="BN617">
            <v>0</v>
          </cell>
          <cell r="BO617">
            <v>0</v>
          </cell>
          <cell r="BP617">
            <v>1.5</v>
          </cell>
          <cell r="BQ617">
            <v>3</v>
          </cell>
          <cell r="BR617">
            <v>0</v>
          </cell>
          <cell r="BS617">
            <v>3</v>
          </cell>
          <cell r="BT617">
            <v>3</v>
          </cell>
          <cell r="BU617">
            <v>0</v>
          </cell>
          <cell r="BV617">
            <v>0</v>
          </cell>
          <cell r="BW617">
            <v>3</v>
          </cell>
          <cell r="BX617">
            <v>3</v>
          </cell>
          <cell r="BY617">
            <v>3</v>
          </cell>
          <cell r="BZ617">
            <v>3</v>
          </cell>
          <cell r="CA617">
            <v>3</v>
          </cell>
          <cell r="CB617">
            <v>3</v>
          </cell>
          <cell r="CC617">
            <v>8</v>
          </cell>
          <cell r="CD617">
            <v>0</v>
          </cell>
          <cell r="CE617">
            <v>0</v>
          </cell>
          <cell r="CF617">
            <v>0</v>
          </cell>
          <cell r="CG617">
            <v>0</v>
          </cell>
          <cell r="CH617">
            <v>0</v>
          </cell>
          <cell r="CI617">
            <v>0</v>
          </cell>
          <cell r="CJ617">
            <v>0</v>
          </cell>
          <cell r="CK617">
            <v>0</v>
          </cell>
          <cell r="CL617">
            <v>0</v>
          </cell>
          <cell r="CM617">
            <v>0</v>
          </cell>
          <cell r="CR617">
            <v>0</v>
          </cell>
          <cell r="CS617">
            <v>0</v>
          </cell>
          <cell r="CT617">
            <v>28.5</v>
          </cell>
          <cell r="CU617">
            <v>8</v>
          </cell>
          <cell r="CV617">
            <v>0</v>
          </cell>
          <cell r="CZ617">
            <v>36.5</v>
          </cell>
        </row>
        <row r="618">
          <cell r="C618" t="str">
            <v>03850</v>
          </cell>
          <cell r="D618" t="str">
            <v>Lê Thị Ngọc Mến</v>
          </cell>
          <cell r="E618" t="str">
            <v>Production</v>
          </cell>
          <cell r="F618" t="str">
            <v>Packing</v>
          </cell>
          <cell r="G618" t="str">
            <v>Worker</v>
          </cell>
          <cell r="H618">
            <v>45028</v>
          </cell>
          <cell r="I618">
            <v>8</v>
          </cell>
          <cell r="J618" t="str">
            <v>AL8</v>
          </cell>
          <cell r="K618">
            <v>8</v>
          </cell>
          <cell r="L618" t="str">
            <v>CN</v>
          </cell>
          <cell r="M618" t="str">
            <v>Đ</v>
          </cell>
          <cell r="N618" t="str">
            <v>Đ</v>
          </cell>
          <cell r="O618" t="str">
            <v>Đ</v>
          </cell>
          <cell r="P618" t="str">
            <v>Đ</v>
          </cell>
          <cell r="Q618" t="str">
            <v>Đ</v>
          </cell>
          <cell r="R618" t="str">
            <v>Đ</v>
          </cell>
          <cell r="S618" t="str">
            <v>CN</v>
          </cell>
          <cell r="T618">
            <v>8</v>
          </cell>
          <cell r="U618">
            <v>8</v>
          </cell>
          <cell r="V618">
            <v>8</v>
          </cell>
          <cell r="W618" t="str">
            <v>BS</v>
          </cell>
          <cell r="X618">
            <v>8</v>
          </cell>
          <cell r="Y618">
            <v>8</v>
          </cell>
          <cell r="Z618" t="str">
            <v>CN</v>
          </cell>
          <cell r="AA618" t="str">
            <v>Đ</v>
          </cell>
          <cell r="AB618" t="str">
            <v>Đ</v>
          </cell>
          <cell r="AC618" t="str">
            <v>Đ</v>
          </cell>
          <cell r="AD618" t="str">
            <v>Đ</v>
          </cell>
          <cell r="AE618" t="str">
            <v>Đ</v>
          </cell>
          <cell r="AF618" t="str">
            <v>Đ</v>
          </cell>
          <cell r="AG618" t="str">
            <v>CN</v>
          </cell>
          <cell r="AH618">
            <v>8</v>
          </cell>
          <cell r="AI618">
            <v>8</v>
          </cell>
          <cell r="AJ618">
            <v>8</v>
          </cell>
          <cell r="AN618">
            <v>96</v>
          </cell>
          <cell r="AO618">
            <v>80</v>
          </cell>
          <cell r="AP618">
            <v>0</v>
          </cell>
          <cell r="AQ618">
            <v>0</v>
          </cell>
          <cell r="AR618">
            <v>0</v>
          </cell>
          <cell r="AS618">
            <v>0</v>
          </cell>
          <cell r="AT618">
            <v>0</v>
          </cell>
          <cell r="AU618">
            <v>8</v>
          </cell>
          <cell r="AV618">
            <v>0</v>
          </cell>
          <cell r="AW618">
            <v>0</v>
          </cell>
          <cell r="AX618">
            <v>0</v>
          </cell>
          <cell r="AY618">
            <v>0</v>
          </cell>
          <cell r="AZ618">
            <v>0</v>
          </cell>
          <cell r="BA618">
            <v>8</v>
          </cell>
          <cell r="BB618">
            <v>0</v>
          </cell>
          <cell r="BC618">
            <v>0</v>
          </cell>
          <cell r="BD618">
            <v>0</v>
          </cell>
          <cell r="BE618">
            <v>0</v>
          </cell>
          <cell r="BF618">
            <v>0</v>
          </cell>
          <cell r="BG618">
            <v>192</v>
          </cell>
          <cell r="BH618">
            <v>1</v>
          </cell>
          <cell r="BI618">
            <v>1</v>
          </cell>
          <cell r="BJ618">
            <v>-2</v>
          </cell>
          <cell r="BL618">
            <v>0</v>
          </cell>
          <cell r="BM618">
            <v>0</v>
          </cell>
          <cell r="BN618">
            <v>0</v>
          </cell>
          <cell r="BO618">
            <v>0</v>
          </cell>
          <cell r="BP618">
            <v>1.5</v>
          </cell>
          <cell r="BQ618">
            <v>0</v>
          </cell>
          <cell r="BR618">
            <v>0</v>
          </cell>
          <cell r="BS618">
            <v>4</v>
          </cell>
          <cell r="BT618">
            <v>1.5</v>
          </cell>
          <cell r="BU618">
            <v>0</v>
          </cell>
          <cell r="BV618">
            <v>0</v>
          </cell>
          <cell r="BW618">
            <v>3</v>
          </cell>
          <cell r="BX618">
            <v>3</v>
          </cell>
          <cell r="BY618">
            <v>0</v>
          </cell>
          <cell r="BZ618">
            <v>0</v>
          </cell>
          <cell r="CA618">
            <v>3</v>
          </cell>
          <cell r="CB618">
            <v>0</v>
          </cell>
          <cell r="CC618">
            <v>8</v>
          </cell>
          <cell r="CD618">
            <v>4</v>
          </cell>
          <cell r="CE618">
            <v>4</v>
          </cell>
          <cell r="CF618">
            <v>4</v>
          </cell>
          <cell r="CG618">
            <v>4</v>
          </cell>
          <cell r="CH618">
            <v>3</v>
          </cell>
          <cell r="CI618">
            <v>4</v>
          </cell>
          <cell r="CJ618">
            <v>0</v>
          </cell>
          <cell r="CK618">
            <v>0</v>
          </cell>
          <cell r="CL618">
            <v>3</v>
          </cell>
          <cell r="CM618">
            <v>3</v>
          </cell>
          <cell r="CR618">
            <v>0</v>
          </cell>
          <cell r="CS618">
            <v>0</v>
          </cell>
          <cell r="CT618">
            <v>45</v>
          </cell>
          <cell r="CU618">
            <v>8</v>
          </cell>
          <cell r="CV618">
            <v>0</v>
          </cell>
          <cell r="CZ618">
            <v>53</v>
          </cell>
        </row>
        <row r="619">
          <cell r="C619" t="str">
            <v>03853</v>
          </cell>
          <cell r="D619" t="str">
            <v>Nông Văn Cầm</v>
          </cell>
          <cell r="E619" t="str">
            <v>Production</v>
          </cell>
          <cell r="F619" t="str">
            <v>Die Cut</v>
          </cell>
          <cell r="G619" t="str">
            <v>Worker</v>
          </cell>
          <cell r="H619">
            <v>45029</v>
          </cell>
          <cell r="I619" t="str">
            <v>Đ</v>
          </cell>
          <cell r="J619" t="str">
            <v>Đ</v>
          </cell>
          <cell r="K619" t="str">
            <v>Đ</v>
          </cell>
          <cell r="L619" t="str">
            <v>CN</v>
          </cell>
          <cell r="M619">
            <v>8</v>
          </cell>
          <cell r="N619">
            <v>8</v>
          </cell>
          <cell r="O619">
            <v>8</v>
          </cell>
          <cell r="P619">
            <v>8</v>
          </cell>
          <cell r="Q619">
            <v>8</v>
          </cell>
          <cell r="R619">
            <v>8</v>
          </cell>
          <cell r="S619" t="str">
            <v>CN</v>
          </cell>
          <cell r="T619" t="str">
            <v>Đ</v>
          </cell>
          <cell r="U619" t="str">
            <v>Đ</v>
          </cell>
          <cell r="V619" t="str">
            <v>Đ</v>
          </cell>
          <cell r="W619" t="str">
            <v>Đ</v>
          </cell>
          <cell r="X619" t="str">
            <v>Đ</v>
          </cell>
          <cell r="Y619" t="str">
            <v>Đ</v>
          </cell>
          <cell r="Z619" t="str">
            <v>CN</v>
          </cell>
          <cell r="AA619">
            <v>8</v>
          </cell>
          <cell r="AB619">
            <v>8</v>
          </cell>
          <cell r="AC619">
            <v>8</v>
          </cell>
          <cell r="AD619">
            <v>8</v>
          </cell>
          <cell r="AE619">
            <v>8</v>
          </cell>
          <cell r="AF619">
            <v>8</v>
          </cell>
          <cell r="AG619" t="str">
            <v>CN</v>
          </cell>
          <cell r="AH619" t="str">
            <v>Đ</v>
          </cell>
          <cell r="AI619" t="str">
            <v>Đ</v>
          </cell>
          <cell r="AJ619" t="str">
            <v>Đ</v>
          </cell>
          <cell r="AN619">
            <v>96</v>
          </cell>
          <cell r="AO619">
            <v>96</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192</v>
          </cell>
          <cell r="BH619">
            <v>0</v>
          </cell>
          <cell r="BI619">
            <v>0</v>
          </cell>
          <cell r="BJ619">
            <v>6</v>
          </cell>
          <cell r="BL619">
            <v>1.5</v>
          </cell>
          <cell r="BM619">
            <v>1.5</v>
          </cell>
          <cell r="BN619">
            <v>1.5</v>
          </cell>
          <cell r="BO619">
            <v>0</v>
          </cell>
          <cell r="BP619">
            <v>1.5</v>
          </cell>
          <cell r="BQ619">
            <v>0</v>
          </cell>
          <cell r="BR619">
            <v>3</v>
          </cell>
          <cell r="BS619">
            <v>2.5</v>
          </cell>
          <cell r="BT619">
            <v>3</v>
          </cell>
          <cell r="BU619">
            <v>3</v>
          </cell>
          <cell r="BV619">
            <v>0</v>
          </cell>
          <cell r="BW619">
            <v>4</v>
          </cell>
          <cell r="BX619">
            <v>4</v>
          </cell>
          <cell r="BY619">
            <v>4</v>
          </cell>
          <cell r="BZ619">
            <v>4</v>
          </cell>
          <cell r="CA619">
            <v>4</v>
          </cell>
          <cell r="CB619">
            <v>4</v>
          </cell>
          <cell r="CC619">
            <v>0</v>
          </cell>
          <cell r="CD619">
            <v>3</v>
          </cell>
          <cell r="CE619">
            <v>3</v>
          </cell>
          <cell r="CF619">
            <v>3</v>
          </cell>
          <cell r="CG619">
            <v>3</v>
          </cell>
          <cell r="CH619">
            <v>3</v>
          </cell>
          <cell r="CI619">
            <v>3</v>
          </cell>
          <cell r="CJ619">
            <v>8</v>
          </cell>
          <cell r="CK619">
            <v>4</v>
          </cell>
          <cell r="CL619">
            <v>4</v>
          </cell>
          <cell r="CM619">
            <v>4</v>
          </cell>
          <cell r="CR619">
            <v>0</v>
          </cell>
          <cell r="CS619">
            <v>0</v>
          </cell>
          <cell r="CT619">
            <v>71.5</v>
          </cell>
          <cell r="CU619">
            <v>8</v>
          </cell>
          <cell r="CV619">
            <v>0</v>
          </cell>
          <cell r="CZ619">
            <v>79.5</v>
          </cell>
        </row>
        <row r="620">
          <cell r="C620" t="str">
            <v>03854</v>
          </cell>
          <cell r="D620" t="str">
            <v>Lê Thị Hiền</v>
          </cell>
          <cell r="E620" t="str">
            <v>Production</v>
          </cell>
          <cell r="F620" t="str">
            <v>Skiving</v>
          </cell>
          <cell r="G620" t="str">
            <v>Worker</v>
          </cell>
          <cell r="H620">
            <v>45029</v>
          </cell>
          <cell r="I620" t="str">
            <v>Đ</v>
          </cell>
          <cell r="J620" t="str">
            <v>Đ</v>
          </cell>
          <cell r="K620" t="str">
            <v>Đ</v>
          </cell>
          <cell r="L620" t="str">
            <v>CN</v>
          </cell>
          <cell r="M620">
            <v>8</v>
          </cell>
          <cell r="N620">
            <v>8</v>
          </cell>
          <cell r="O620" t="str">
            <v>AL4</v>
          </cell>
          <cell r="P620">
            <v>8</v>
          </cell>
          <cell r="Q620">
            <v>8</v>
          </cell>
          <cell r="R620">
            <v>8</v>
          </cell>
          <cell r="S620" t="str">
            <v>CN</v>
          </cell>
          <cell r="T620" t="str">
            <v>AL8</v>
          </cell>
          <cell r="U620" t="str">
            <v>AL8</v>
          </cell>
          <cell r="V620" t="str">
            <v>AL8</v>
          </cell>
          <cell r="W620" t="str">
            <v>AL8</v>
          </cell>
          <cell r="X620" t="str">
            <v>Đ</v>
          </cell>
          <cell r="Y620" t="str">
            <v>Đ</v>
          </cell>
          <cell r="Z620" t="str">
            <v>CN</v>
          </cell>
          <cell r="AA620">
            <v>8</v>
          </cell>
          <cell r="AB620">
            <v>8</v>
          </cell>
          <cell r="AC620">
            <v>8</v>
          </cell>
          <cell r="AD620">
            <v>8</v>
          </cell>
          <cell r="AE620">
            <v>8</v>
          </cell>
          <cell r="AF620">
            <v>8</v>
          </cell>
          <cell r="AG620" t="str">
            <v>CN</v>
          </cell>
          <cell r="AH620" t="str">
            <v>Đ</v>
          </cell>
          <cell r="AI620" t="str">
            <v>Đ</v>
          </cell>
          <cell r="AJ620" t="str">
            <v>Đ</v>
          </cell>
          <cell r="AN620">
            <v>64</v>
          </cell>
          <cell r="AO620">
            <v>92</v>
          </cell>
          <cell r="AP620">
            <v>4</v>
          </cell>
          <cell r="AQ620">
            <v>0</v>
          </cell>
          <cell r="AR620">
            <v>0</v>
          </cell>
          <cell r="AS620">
            <v>0</v>
          </cell>
          <cell r="AT620">
            <v>0</v>
          </cell>
          <cell r="AU620">
            <v>0</v>
          </cell>
          <cell r="AV620">
            <v>0</v>
          </cell>
          <cell r="AW620">
            <v>0</v>
          </cell>
          <cell r="AX620">
            <v>0</v>
          </cell>
          <cell r="AY620">
            <v>0</v>
          </cell>
          <cell r="AZ620">
            <v>0</v>
          </cell>
          <cell r="BA620">
            <v>36</v>
          </cell>
          <cell r="BB620">
            <v>0</v>
          </cell>
          <cell r="BC620">
            <v>0</v>
          </cell>
          <cell r="BD620">
            <v>0</v>
          </cell>
          <cell r="BE620">
            <v>0</v>
          </cell>
          <cell r="BF620">
            <v>0</v>
          </cell>
          <cell r="BG620">
            <v>192</v>
          </cell>
          <cell r="BH620">
            <v>4.5</v>
          </cell>
          <cell r="BI620">
            <v>4.5</v>
          </cell>
          <cell r="BJ620">
            <v>0</v>
          </cell>
          <cell r="BL620">
            <v>0</v>
          </cell>
          <cell r="BM620">
            <v>0</v>
          </cell>
          <cell r="BN620">
            <v>0</v>
          </cell>
          <cell r="BO620">
            <v>0</v>
          </cell>
          <cell r="BP620">
            <v>1.5</v>
          </cell>
          <cell r="BQ620">
            <v>3</v>
          </cell>
          <cell r="BR620">
            <v>0</v>
          </cell>
          <cell r="BS620">
            <v>3</v>
          </cell>
          <cell r="BT620">
            <v>3</v>
          </cell>
          <cell r="BU620">
            <v>0</v>
          </cell>
          <cell r="BV620">
            <v>0</v>
          </cell>
          <cell r="BW620">
            <v>0</v>
          </cell>
          <cell r="BX620">
            <v>0</v>
          </cell>
          <cell r="BY620">
            <v>0</v>
          </cell>
          <cell r="BZ620">
            <v>0</v>
          </cell>
          <cell r="CA620">
            <v>4</v>
          </cell>
          <cell r="CB620">
            <v>4</v>
          </cell>
          <cell r="CC620">
            <v>0</v>
          </cell>
          <cell r="CD620">
            <v>4</v>
          </cell>
          <cell r="CE620">
            <v>4</v>
          </cell>
          <cell r="CF620">
            <v>4</v>
          </cell>
          <cell r="CG620">
            <v>4</v>
          </cell>
          <cell r="CH620">
            <v>0</v>
          </cell>
          <cell r="CI620">
            <v>4</v>
          </cell>
          <cell r="CJ620">
            <v>8</v>
          </cell>
          <cell r="CK620">
            <v>1.5</v>
          </cell>
          <cell r="CL620">
            <v>1.5</v>
          </cell>
          <cell r="CM620">
            <v>1.5</v>
          </cell>
          <cell r="CR620">
            <v>0</v>
          </cell>
          <cell r="CS620">
            <v>0</v>
          </cell>
          <cell r="CT620">
            <v>43</v>
          </cell>
          <cell r="CU620">
            <v>8</v>
          </cell>
          <cell r="CV620">
            <v>0</v>
          </cell>
          <cell r="CZ620">
            <v>51</v>
          </cell>
        </row>
        <row r="621">
          <cell r="C621" t="str">
            <v>03855</v>
          </cell>
          <cell r="D621" t="str">
            <v>Bế Văn Trường</v>
          </cell>
          <cell r="E621" t="str">
            <v>Production</v>
          </cell>
          <cell r="F621" t="str">
            <v>Skiving</v>
          </cell>
          <cell r="G621" t="str">
            <v>Worker</v>
          </cell>
          <cell r="H621">
            <v>45029</v>
          </cell>
          <cell r="I621" t="str">
            <v>Đ</v>
          </cell>
          <cell r="J621" t="str">
            <v>Đ</v>
          </cell>
          <cell r="K621" t="str">
            <v>Đ</v>
          </cell>
          <cell r="L621" t="str">
            <v>CN</v>
          </cell>
          <cell r="M621" t="str">
            <v>AL4</v>
          </cell>
          <cell r="N621">
            <v>8</v>
          </cell>
          <cell r="O621">
            <v>8</v>
          </cell>
          <cell r="P621">
            <v>8</v>
          </cell>
          <cell r="Q621" t="str">
            <v>PO</v>
          </cell>
          <cell r="R621">
            <v>8</v>
          </cell>
          <cell r="S621" t="str">
            <v>CN</v>
          </cell>
          <cell r="T621" t="str">
            <v>AL8</v>
          </cell>
          <cell r="U621" t="str">
            <v>AL8</v>
          </cell>
          <cell r="V621" t="str">
            <v>AL8</v>
          </cell>
          <cell r="W621" t="str">
            <v>AL8</v>
          </cell>
          <cell r="X621" t="str">
            <v>Đ</v>
          </cell>
          <cell r="Y621" t="str">
            <v>Đ</v>
          </cell>
          <cell r="Z621" t="str">
            <v>CN</v>
          </cell>
          <cell r="AA621">
            <v>8</v>
          </cell>
          <cell r="AB621">
            <v>8</v>
          </cell>
          <cell r="AC621">
            <v>8</v>
          </cell>
          <cell r="AD621">
            <v>8</v>
          </cell>
          <cell r="AE621">
            <v>8</v>
          </cell>
          <cell r="AF621">
            <v>8</v>
          </cell>
          <cell r="AG621" t="str">
            <v>CN</v>
          </cell>
          <cell r="AH621" t="str">
            <v>Đ</v>
          </cell>
          <cell r="AI621" t="str">
            <v>Đ</v>
          </cell>
          <cell r="AJ621" t="str">
            <v>Đ</v>
          </cell>
          <cell r="AN621">
            <v>64</v>
          </cell>
          <cell r="AO621">
            <v>84</v>
          </cell>
          <cell r="AP621">
            <v>4</v>
          </cell>
          <cell r="AQ621">
            <v>0</v>
          </cell>
          <cell r="AR621">
            <v>0</v>
          </cell>
          <cell r="AS621">
            <v>0</v>
          </cell>
          <cell r="AT621">
            <v>0</v>
          </cell>
          <cell r="AU621">
            <v>0</v>
          </cell>
          <cell r="AV621">
            <v>8</v>
          </cell>
          <cell r="AW621">
            <v>0</v>
          </cell>
          <cell r="AX621">
            <v>0</v>
          </cell>
          <cell r="AY621">
            <v>0</v>
          </cell>
          <cell r="AZ621">
            <v>0</v>
          </cell>
          <cell r="BA621">
            <v>36</v>
          </cell>
          <cell r="BB621">
            <v>0</v>
          </cell>
          <cell r="BC621">
            <v>0</v>
          </cell>
          <cell r="BD621">
            <v>0</v>
          </cell>
          <cell r="BE621">
            <v>0</v>
          </cell>
          <cell r="BF621">
            <v>0</v>
          </cell>
          <cell r="BG621">
            <v>192</v>
          </cell>
          <cell r="BH621">
            <v>4.5</v>
          </cell>
          <cell r="BI621">
            <v>4.5</v>
          </cell>
          <cell r="BJ621">
            <v>-1</v>
          </cell>
          <cell r="BL621">
            <v>0</v>
          </cell>
          <cell r="BM621">
            <v>0</v>
          </cell>
          <cell r="BN621">
            <v>0</v>
          </cell>
          <cell r="BO621">
            <v>0</v>
          </cell>
          <cell r="BP621">
            <v>1.5</v>
          </cell>
          <cell r="BQ621">
            <v>3</v>
          </cell>
          <cell r="BR621">
            <v>0</v>
          </cell>
          <cell r="BS621">
            <v>3</v>
          </cell>
          <cell r="BT621">
            <v>2</v>
          </cell>
          <cell r="BU621">
            <v>0</v>
          </cell>
          <cell r="BV621">
            <v>0</v>
          </cell>
          <cell r="BW621">
            <v>0</v>
          </cell>
          <cell r="BX621">
            <v>0</v>
          </cell>
          <cell r="BY621">
            <v>0</v>
          </cell>
          <cell r="BZ621">
            <v>0</v>
          </cell>
          <cell r="CA621">
            <v>4</v>
          </cell>
          <cell r="CB621">
            <v>4</v>
          </cell>
          <cell r="CC621">
            <v>0</v>
          </cell>
          <cell r="CD621">
            <v>4</v>
          </cell>
          <cell r="CE621">
            <v>4</v>
          </cell>
          <cell r="CF621">
            <v>4</v>
          </cell>
          <cell r="CG621">
            <v>4</v>
          </cell>
          <cell r="CH621">
            <v>0</v>
          </cell>
          <cell r="CI621">
            <v>0</v>
          </cell>
          <cell r="CJ621">
            <v>8</v>
          </cell>
          <cell r="CK621">
            <v>1.5</v>
          </cell>
          <cell r="CL621">
            <v>1.5</v>
          </cell>
          <cell r="CM621">
            <v>1.5</v>
          </cell>
          <cell r="CR621">
            <v>0</v>
          </cell>
          <cell r="CS621">
            <v>0</v>
          </cell>
          <cell r="CT621">
            <v>38</v>
          </cell>
          <cell r="CU621">
            <v>8</v>
          </cell>
          <cell r="CV621">
            <v>0</v>
          </cell>
          <cell r="CZ621">
            <v>46</v>
          </cell>
        </row>
        <row r="622">
          <cell r="C622" t="str">
            <v>03856</v>
          </cell>
          <cell r="D622" t="str">
            <v>Nguyễn Minh Đạt</v>
          </cell>
          <cell r="E622" t="str">
            <v>Production</v>
          </cell>
          <cell r="F622" t="str">
            <v>Die Cut</v>
          </cell>
          <cell r="G622" t="str">
            <v>Worker</v>
          </cell>
          <cell r="H622">
            <v>45029</v>
          </cell>
          <cell r="I622" t="str">
            <v>Đ</v>
          </cell>
          <cell r="J622" t="str">
            <v>Đ</v>
          </cell>
          <cell r="K622" t="str">
            <v>Đ</v>
          </cell>
          <cell r="L622" t="str">
            <v>CN</v>
          </cell>
          <cell r="M622">
            <v>8</v>
          </cell>
          <cell r="N622">
            <v>8</v>
          </cell>
          <cell r="O622">
            <v>8</v>
          </cell>
          <cell r="P622">
            <v>8</v>
          </cell>
          <cell r="Q622">
            <v>8</v>
          </cell>
          <cell r="R622" t="str">
            <v>AL4</v>
          </cell>
          <cell r="S622" t="str">
            <v>CN</v>
          </cell>
          <cell r="T622" t="str">
            <v>Đ</v>
          </cell>
          <cell r="U622" t="str">
            <v>Đ</v>
          </cell>
          <cell r="V622" t="str">
            <v>Đ</v>
          </cell>
          <cell r="W622" t="str">
            <v>Đ</v>
          </cell>
          <cell r="X622" t="str">
            <v>Đ</v>
          </cell>
          <cell r="Y622" t="str">
            <v>Đ</v>
          </cell>
          <cell r="Z622" t="str">
            <v>CN</v>
          </cell>
          <cell r="AA622">
            <v>8</v>
          </cell>
          <cell r="AB622">
            <v>8</v>
          </cell>
          <cell r="AC622">
            <v>8</v>
          </cell>
          <cell r="AD622">
            <v>8</v>
          </cell>
          <cell r="AE622">
            <v>8</v>
          </cell>
          <cell r="AF622" t="str">
            <v>AL8</v>
          </cell>
          <cell r="AG622" t="str">
            <v>CN</v>
          </cell>
          <cell r="AH622" t="str">
            <v>Đ</v>
          </cell>
          <cell r="AI622" t="str">
            <v>Đ</v>
          </cell>
          <cell r="AJ622" t="str">
            <v>Đ</v>
          </cell>
          <cell r="AN622">
            <v>96</v>
          </cell>
          <cell r="AO622">
            <v>84</v>
          </cell>
          <cell r="AP622">
            <v>4</v>
          </cell>
          <cell r="AQ622">
            <v>0</v>
          </cell>
          <cell r="AR622">
            <v>0</v>
          </cell>
          <cell r="AS622">
            <v>0</v>
          </cell>
          <cell r="AT622">
            <v>0</v>
          </cell>
          <cell r="AU622">
            <v>0</v>
          </cell>
          <cell r="AV622">
            <v>0</v>
          </cell>
          <cell r="AW622">
            <v>0</v>
          </cell>
          <cell r="AX622">
            <v>0</v>
          </cell>
          <cell r="AY622">
            <v>0</v>
          </cell>
          <cell r="AZ622">
            <v>0</v>
          </cell>
          <cell r="BA622">
            <v>12</v>
          </cell>
          <cell r="BB622">
            <v>0</v>
          </cell>
          <cell r="BC622">
            <v>0</v>
          </cell>
          <cell r="BD622">
            <v>0</v>
          </cell>
          <cell r="BE622">
            <v>0</v>
          </cell>
          <cell r="BF622">
            <v>0</v>
          </cell>
          <cell r="BG622">
            <v>192</v>
          </cell>
          <cell r="BH622">
            <v>1.5</v>
          </cell>
          <cell r="BI622">
            <v>1.5</v>
          </cell>
          <cell r="BJ622">
            <v>1.5</v>
          </cell>
          <cell r="BL622">
            <v>1.5</v>
          </cell>
          <cell r="BM622">
            <v>1.5</v>
          </cell>
          <cell r="BN622">
            <v>1.5</v>
          </cell>
          <cell r="BO622">
            <v>0</v>
          </cell>
          <cell r="BP622">
            <v>1.5</v>
          </cell>
          <cell r="BQ622">
            <v>0</v>
          </cell>
          <cell r="BR622">
            <v>0</v>
          </cell>
          <cell r="BS622">
            <v>0</v>
          </cell>
          <cell r="BT622">
            <v>0</v>
          </cell>
          <cell r="BU622">
            <v>2</v>
          </cell>
          <cell r="BV622">
            <v>0</v>
          </cell>
          <cell r="BW622">
            <v>4</v>
          </cell>
          <cell r="BX622">
            <v>4</v>
          </cell>
          <cell r="BY622">
            <v>4</v>
          </cell>
          <cell r="BZ622">
            <v>4</v>
          </cell>
          <cell r="CA622">
            <v>4</v>
          </cell>
          <cell r="CB622">
            <v>4</v>
          </cell>
          <cell r="CC622">
            <v>0</v>
          </cell>
          <cell r="CD622">
            <v>3</v>
          </cell>
          <cell r="CE622">
            <v>3</v>
          </cell>
          <cell r="CF622">
            <v>3</v>
          </cell>
          <cell r="CG622">
            <v>3</v>
          </cell>
          <cell r="CH622">
            <v>3</v>
          </cell>
          <cell r="CI622">
            <v>0</v>
          </cell>
          <cell r="CJ622">
            <v>0</v>
          </cell>
          <cell r="CK622">
            <v>0</v>
          </cell>
          <cell r="CL622">
            <v>4</v>
          </cell>
          <cell r="CM622">
            <v>4</v>
          </cell>
          <cell r="CR622">
            <v>0</v>
          </cell>
          <cell r="CS622">
            <v>0</v>
          </cell>
          <cell r="CT622">
            <v>55</v>
          </cell>
          <cell r="CU622">
            <v>0</v>
          </cell>
          <cell r="CV622">
            <v>0</v>
          </cell>
          <cell r="CZ622">
            <v>55</v>
          </cell>
        </row>
        <row r="623">
          <cell r="C623" t="str">
            <v>03858</v>
          </cell>
          <cell r="D623" t="str">
            <v>Triệu Thị Điệp</v>
          </cell>
          <cell r="E623" t="str">
            <v>Production</v>
          </cell>
          <cell r="F623" t="str">
            <v>Skiving</v>
          </cell>
          <cell r="G623" t="str">
            <v>Worker</v>
          </cell>
          <cell r="H623">
            <v>45029</v>
          </cell>
          <cell r="I623" t="str">
            <v>Đ</v>
          </cell>
          <cell r="J623" t="str">
            <v>Đ</v>
          </cell>
          <cell r="K623" t="str">
            <v>Đ</v>
          </cell>
          <cell r="L623" t="str">
            <v>CN</v>
          </cell>
          <cell r="M623" t="str">
            <v>AL8</v>
          </cell>
          <cell r="N623">
            <v>8</v>
          </cell>
          <cell r="O623">
            <v>8</v>
          </cell>
          <cell r="P623">
            <v>8</v>
          </cell>
          <cell r="Q623">
            <v>8</v>
          </cell>
          <cell r="R623">
            <v>8</v>
          </cell>
          <cell r="S623" t="str">
            <v>CN</v>
          </cell>
          <cell r="T623" t="str">
            <v>Đ</v>
          </cell>
          <cell r="U623" t="str">
            <v>Đ</v>
          </cell>
          <cell r="V623" t="str">
            <v>Đ</v>
          </cell>
          <cell r="W623" t="str">
            <v>Đ</v>
          </cell>
          <cell r="X623" t="str">
            <v>Đ</v>
          </cell>
          <cell r="Y623" t="str">
            <v>Đ</v>
          </cell>
          <cell r="Z623" t="str">
            <v>CN</v>
          </cell>
          <cell r="AA623">
            <v>8</v>
          </cell>
          <cell r="AB623">
            <v>8</v>
          </cell>
          <cell r="AC623">
            <v>8</v>
          </cell>
          <cell r="AD623">
            <v>8</v>
          </cell>
          <cell r="AE623">
            <v>8</v>
          </cell>
          <cell r="AF623">
            <v>8</v>
          </cell>
          <cell r="AG623" t="str">
            <v>CN</v>
          </cell>
          <cell r="AH623" t="str">
            <v>Đ</v>
          </cell>
          <cell r="AI623" t="str">
            <v>Đ</v>
          </cell>
          <cell r="AJ623" t="str">
            <v>Đ</v>
          </cell>
          <cell r="AN623">
            <v>96</v>
          </cell>
          <cell r="AO623">
            <v>88</v>
          </cell>
          <cell r="AP623">
            <v>0</v>
          </cell>
          <cell r="AQ623">
            <v>0</v>
          </cell>
          <cell r="AR623">
            <v>0</v>
          </cell>
          <cell r="AS623">
            <v>0</v>
          </cell>
          <cell r="AT623">
            <v>0</v>
          </cell>
          <cell r="AU623">
            <v>0</v>
          </cell>
          <cell r="AV623">
            <v>0</v>
          </cell>
          <cell r="AW623">
            <v>0</v>
          </cell>
          <cell r="AX623">
            <v>0</v>
          </cell>
          <cell r="AY623">
            <v>0</v>
          </cell>
          <cell r="AZ623">
            <v>0</v>
          </cell>
          <cell r="BA623">
            <v>8</v>
          </cell>
          <cell r="BB623">
            <v>0</v>
          </cell>
          <cell r="BC623">
            <v>0</v>
          </cell>
          <cell r="BD623">
            <v>0</v>
          </cell>
          <cell r="BE623">
            <v>0</v>
          </cell>
          <cell r="BF623">
            <v>0</v>
          </cell>
          <cell r="BG623">
            <v>192</v>
          </cell>
          <cell r="BH623">
            <v>1</v>
          </cell>
          <cell r="BI623">
            <v>1</v>
          </cell>
          <cell r="BJ623">
            <v>2.5</v>
          </cell>
          <cell r="BL623">
            <v>0</v>
          </cell>
          <cell r="BM623">
            <v>0</v>
          </cell>
          <cell r="BN623">
            <v>0</v>
          </cell>
          <cell r="BO623">
            <v>0</v>
          </cell>
          <cell r="BP623">
            <v>0</v>
          </cell>
          <cell r="BQ623">
            <v>3</v>
          </cell>
          <cell r="BR623">
            <v>0</v>
          </cell>
          <cell r="BS623">
            <v>3</v>
          </cell>
          <cell r="BT623">
            <v>3</v>
          </cell>
          <cell r="BU623">
            <v>0</v>
          </cell>
          <cell r="BV623">
            <v>0</v>
          </cell>
          <cell r="BW623">
            <v>3</v>
          </cell>
          <cell r="BX623">
            <v>4</v>
          </cell>
          <cell r="BY623">
            <v>4</v>
          </cell>
          <cell r="BZ623">
            <v>4</v>
          </cell>
          <cell r="CA623">
            <v>4</v>
          </cell>
          <cell r="CB623">
            <v>4</v>
          </cell>
          <cell r="CC623">
            <v>0</v>
          </cell>
          <cell r="CD623">
            <v>1.5</v>
          </cell>
          <cell r="CE623">
            <v>3</v>
          </cell>
          <cell r="CF623">
            <v>3</v>
          </cell>
          <cell r="CG623">
            <v>3</v>
          </cell>
          <cell r="CH623">
            <v>1.5</v>
          </cell>
          <cell r="CI623">
            <v>1.5</v>
          </cell>
          <cell r="CJ623">
            <v>8</v>
          </cell>
          <cell r="CK623">
            <v>1.5</v>
          </cell>
          <cell r="CL623">
            <v>4</v>
          </cell>
          <cell r="CM623">
            <v>1.5</v>
          </cell>
          <cell r="CR623">
            <v>0</v>
          </cell>
          <cell r="CS623">
            <v>0</v>
          </cell>
          <cell r="CT623">
            <v>52.5</v>
          </cell>
          <cell r="CU623">
            <v>8</v>
          </cell>
          <cell r="CV623">
            <v>0</v>
          </cell>
          <cell r="CZ623">
            <v>60.5</v>
          </cell>
        </row>
        <row r="624">
          <cell r="C624" t="str">
            <v>03859</v>
          </cell>
          <cell r="D624" t="str">
            <v>H Vi Bkrông</v>
          </cell>
          <cell r="E624" t="str">
            <v>QC</v>
          </cell>
          <cell r="F624" t="str">
            <v>QC</v>
          </cell>
          <cell r="G624" t="str">
            <v>Worker</v>
          </cell>
          <cell r="H624">
            <v>45033</v>
          </cell>
          <cell r="I624">
            <v>8</v>
          </cell>
          <cell r="J624">
            <v>8</v>
          </cell>
          <cell r="K624">
            <v>8</v>
          </cell>
          <cell r="L624" t="str">
            <v>CN</v>
          </cell>
          <cell r="M624">
            <v>8</v>
          </cell>
          <cell r="N624">
            <v>8</v>
          </cell>
          <cell r="O624">
            <v>8</v>
          </cell>
          <cell r="P624">
            <v>8</v>
          </cell>
          <cell r="Q624" t="str">
            <v>AL4</v>
          </cell>
          <cell r="R624">
            <v>8</v>
          </cell>
          <cell r="S624" t="str">
            <v>CN</v>
          </cell>
          <cell r="T624">
            <v>8</v>
          </cell>
          <cell r="U624">
            <v>8</v>
          </cell>
          <cell r="V624">
            <v>8</v>
          </cell>
          <cell r="W624">
            <v>8</v>
          </cell>
          <cell r="X624">
            <v>8</v>
          </cell>
          <cell r="Y624">
            <v>8</v>
          </cell>
          <cell r="Z624" t="str">
            <v>CN</v>
          </cell>
          <cell r="AA624">
            <v>8</v>
          </cell>
          <cell r="AB624">
            <v>8</v>
          </cell>
          <cell r="AC624">
            <v>8</v>
          </cell>
          <cell r="AD624">
            <v>8</v>
          </cell>
          <cell r="AE624">
            <v>8</v>
          </cell>
          <cell r="AF624">
            <v>8</v>
          </cell>
          <cell r="AG624" t="str">
            <v>CN</v>
          </cell>
          <cell r="AH624">
            <v>8</v>
          </cell>
          <cell r="AI624">
            <v>8</v>
          </cell>
          <cell r="AJ624">
            <v>8</v>
          </cell>
          <cell r="AN624">
            <v>0</v>
          </cell>
          <cell r="AO624">
            <v>188</v>
          </cell>
          <cell r="AP624">
            <v>4</v>
          </cell>
          <cell r="AQ624">
            <v>0</v>
          </cell>
          <cell r="AR624">
            <v>0</v>
          </cell>
          <cell r="AS624">
            <v>0</v>
          </cell>
          <cell r="AT624">
            <v>0</v>
          </cell>
          <cell r="AU624">
            <v>0</v>
          </cell>
          <cell r="AV624">
            <v>0</v>
          </cell>
          <cell r="AW624">
            <v>0</v>
          </cell>
          <cell r="AX624">
            <v>0</v>
          </cell>
          <cell r="AY624">
            <v>0</v>
          </cell>
          <cell r="AZ624">
            <v>0</v>
          </cell>
          <cell r="BA624">
            <v>4</v>
          </cell>
          <cell r="BB624">
            <v>0</v>
          </cell>
          <cell r="BC624">
            <v>0</v>
          </cell>
          <cell r="BD624">
            <v>0</v>
          </cell>
          <cell r="BE624">
            <v>0</v>
          </cell>
          <cell r="BF624">
            <v>0</v>
          </cell>
          <cell r="BG624">
            <v>192</v>
          </cell>
          <cell r="BH624">
            <v>0.5</v>
          </cell>
          <cell r="BI624">
            <v>0.5</v>
          </cell>
          <cell r="BJ624">
            <v>0</v>
          </cell>
          <cell r="BL624">
            <v>1</v>
          </cell>
          <cell r="BM624">
            <v>0</v>
          </cell>
          <cell r="BN624">
            <v>0</v>
          </cell>
          <cell r="BO624">
            <v>0</v>
          </cell>
          <cell r="BP624">
            <v>3</v>
          </cell>
          <cell r="BQ624">
            <v>3</v>
          </cell>
          <cell r="BR624">
            <v>3</v>
          </cell>
          <cell r="BS624">
            <v>3</v>
          </cell>
          <cell r="BT624">
            <v>2</v>
          </cell>
          <cell r="BU624">
            <v>1</v>
          </cell>
          <cell r="BV624">
            <v>0</v>
          </cell>
          <cell r="BW624">
            <v>2</v>
          </cell>
          <cell r="BX624">
            <v>2</v>
          </cell>
          <cell r="BY624">
            <v>1</v>
          </cell>
          <cell r="BZ624">
            <v>1</v>
          </cell>
          <cell r="CA624">
            <v>1</v>
          </cell>
          <cell r="CB624">
            <v>2</v>
          </cell>
          <cell r="CC624">
            <v>0</v>
          </cell>
          <cell r="CD624">
            <v>0</v>
          </cell>
          <cell r="CE624">
            <v>3</v>
          </cell>
          <cell r="CF624">
            <v>0</v>
          </cell>
          <cell r="CG624">
            <v>0</v>
          </cell>
          <cell r="CH624">
            <v>0</v>
          </cell>
          <cell r="CI624">
            <v>3</v>
          </cell>
          <cell r="CJ624">
            <v>0</v>
          </cell>
          <cell r="CK624">
            <v>2</v>
          </cell>
          <cell r="CL624">
            <v>2</v>
          </cell>
          <cell r="CM624">
            <v>1</v>
          </cell>
          <cell r="CR624">
            <v>0</v>
          </cell>
          <cell r="CS624">
            <v>0</v>
          </cell>
          <cell r="CT624">
            <v>36</v>
          </cell>
          <cell r="CU624">
            <v>0</v>
          </cell>
          <cell r="CV624">
            <v>0</v>
          </cell>
          <cell r="CZ624">
            <v>36</v>
          </cell>
        </row>
        <row r="625">
          <cell r="C625" t="str">
            <v>03860</v>
          </cell>
          <cell r="D625" t="str">
            <v>Phan Thị Kim Ngà</v>
          </cell>
          <cell r="E625" t="str">
            <v>Production</v>
          </cell>
          <cell r="F625" t="str">
            <v>Logo</v>
          </cell>
          <cell r="G625" t="str">
            <v>Worker</v>
          </cell>
          <cell r="H625">
            <v>45034</v>
          </cell>
          <cell r="I625">
            <v>8</v>
          </cell>
          <cell r="J625">
            <v>8</v>
          </cell>
          <cell r="K625">
            <v>8</v>
          </cell>
          <cell r="L625" t="str">
            <v>CN</v>
          </cell>
          <cell r="M625" t="str">
            <v>Đ</v>
          </cell>
          <cell r="N625" t="str">
            <v>Đ</v>
          </cell>
          <cell r="O625" t="str">
            <v>AL8</v>
          </cell>
          <cell r="P625" t="str">
            <v>Đ</v>
          </cell>
          <cell r="Q625" t="str">
            <v>Đ</v>
          </cell>
          <cell r="R625" t="str">
            <v>Đ</v>
          </cell>
          <cell r="S625" t="str">
            <v>CN</v>
          </cell>
          <cell r="T625">
            <v>8</v>
          </cell>
          <cell r="U625">
            <v>8</v>
          </cell>
          <cell r="V625">
            <v>8</v>
          </cell>
          <cell r="W625">
            <v>8</v>
          </cell>
          <cell r="X625">
            <v>8</v>
          </cell>
          <cell r="Y625">
            <v>8</v>
          </cell>
          <cell r="Z625" t="str">
            <v>CN</v>
          </cell>
          <cell r="AA625" t="str">
            <v>Đ</v>
          </cell>
          <cell r="AB625" t="str">
            <v>Đ</v>
          </cell>
          <cell r="AC625" t="str">
            <v>Đ</v>
          </cell>
          <cell r="AD625" t="str">
            <v>Đ</v>
          </cell>
          <cell r="AE625" t="str">
            <v>AL4Đ</v>
          </cell>
          <cell r="AF625" t="str">
            <v>Đ</v>
          </cell>
          <cell r="AG625" t="str">
            <v>CN</v>
          </cell>
          <cell r="AH625">
            <v>8</v>
          </cell>
          <cell r="AI625">
            <v>8</v>
          </cell>
          <cell r="AJ625">
            <v>8</v>
          </cell>
          <cell r="AN625">
            <v>84</v>
          </cell>
          <cell r="AO625">
            <v>96</v>
          </cell>
          <cell r="AP625">
            <v>0</v>
          </cell>
          <cell r="AQ625">
            <v>0</v>
          </cell>
          <cell r="AR625">
            <v>0</v>
          </cell>
          <cell r="AS625">
            <v>0</v>
          </cell>
          <cell r="AT625">
            <v>0</v>
          </cell>
          <cell r="AU625">
            <v>0</v>
          </cell>
          <cell r="AV625">
            <v>0</v>
          </cell>
          <cell r="AW625">
            <v>0</v>
          </cell>
          <cell r="AX625">
            <v>0</v>
          </cell>
          <cell r="AY625">
            <v>0</v>
          </cell>
          <cell r="AZ625">
            <v>0</v>
          </cell>
          <cell r="BA625">
            <v>12</v>
          </cell>
          <cell r="BB625">
            <v>0</v>
          </cell>
          <cell r="BC625">
            <v>0</v>
          </cell>
          <cell r="BD625">
            <v>0</v>
          </cell>
          <cell r="BE625">
            <v>0</v>
          </cell>
          <cell r="BF625">
            <v>0</v>
          </cell>
          <cell r="BG625">
            <v>192</v>
          </cell>
          <cell r="BH625">
            <v>1.5</v>
          </cell>
          <cell r="BI625">
            <v>1.5</v>
          </cell>
          <cell r="BJ625">
            <v>-1.5</v>
          </cell>
          <cell r="BL625">
            <v>0</v>
          </cell>
          <cell r="BM625">
            <v>0</v>
          </cell>
          <cell r="BN625">
            <v>0</v>
          </cell>
          <cell r="BO625">
            <v>0</v>
          </cell>
          <cell r="BP625">
            <v>1.5</v>
          </cell>
          <cell r="BQ625">
            <v>3</v>
          </cell>
          <cell r="BR625">
            <v>0</v>
          </cell>
          <cell r="BS625">
            <v>3</v>
          </cell>
          <cell r="BT625">
            <v>3</v>
          </cell>
          <cell r="BU625">
            <v>0</v>
          </cell>
          <cell r="BV625">
            <v>0</v>
          </cell>
          <cell r="BW625">
            <v>3</v>
          </cell>
          <cell r="BX625">
            <v>3</v>
          </cell>
          <cell r="BY625">
            <v>3</v>
          </cell>
          <cell r="BZ625">
            <v>3</v>
          </cell>
          <cell r="CA625">
            <v>3</v>
          </cell>
          <cell r="CB625">
            <v>3</v>
          </cell>
          <cell r="CC625">
            <v>8</v>
          </cell>
          <cell r="CD625">
            <v>4</v>
          </cell>
          <cell r="CE625">
            <v>4</v>
          </cell>
          <cell r="CF625">
            <v>4</v>
          </cell>
          <cell r="CG625">
            <v>4</v>
          </cell>
          <cell r="CH625">
            <v>1.5</v>
          </cell>
          <cell r="CI625">
            <v>4</v>
          </cell>
          <cell r="CJ625">
            <v>0</v>
          </cell>
          <cell r="CK625">
            <v>1.5</v>
          </cell>
          <cell r="CL625">
            <v>1.5</v>
          </cell>
          <cell r="CM625">
            <v>1.5</v>
          </cell>
          <cell r="CR625">
            <v>0</v>
          </cell>
          <cell r="CS625">
            <v>0</v>
          </cell>
          <cell r="CT625">
            <v>54.5</v>
          </cell>
          <cell r="CU625">
            <v>8</v>
          </cell>
          <cell r="CV625">
            <v>0</v>
          </cell>
          <cell r="CZ625">
            <v>62.5</v>
          </cell>
        </row>
        <row r="626">
          <cell r="C626" t="str">
            <v>03864</v>
          </cell>
          <cell r="D626" t="str">
            <v>Chao Thị Kim Ngân</v>
          </cell>
          <cell r="E626" t="str">
            <v>Production</v>
          </cell>
          <cell r="F626" t="str">
            <v>Molding</v>
          </cell>
          <cell r="G626" t="str">
            <v>Worker</v>
          </cell>
          <cell r="H626">
            <v>45034</v>
          </cell>
          <cell r="I626">
            <v>8</v>
          </cell>
          <cell r="J626">
            <v>8</v>
          </cell>
          <cell r="K626">
            <v>8</v>
          </cell>
          <cell r="L626" t="str">
            <v>CN</v>
          </cell>
          <cell r="M626" t="str">
            <v>Đ</v>
          </cell>
          <cell r="N626" t="str">
            <v>Đ</v>
          </cell>
          <cell r="O626" t="str">
            <v>Đ</v>
          </cell>
          <cell r="P626" t="str">
            <v>Đ</v>
          </cell>
          <cell r="Q626" t="str">
            <v>Đ</v>
          </cell>
          <cell r="R626" t="str">
            <v>AL8</v>
          </cell>
          <cell r="S626" t="str">
            <v>CN</v>
          </cell>
          <cell r="T626" t="str">
            <v>UP8</v>
          </cell>
          <cell r="U626" t="str">
            <v>UP4</v>
          </cell>
          <cell r="V626">
            <v>8</v>
          </cell>
          <cell r="W626">
            <v>8</v>
          </cell>
          <cell r="X626">
            <v>8</v>
          </cell>
          <cell r="Y626" t="str">
            <v>UP4</v>
          </cell>
          <cell r="Z626" t="str">
            <v>CN</v>
          </cell>
          <cell r="AA626" t="str">
            <v>Đ</v>
          </cell>
          <cell r="AB626" t="str">
            <v>Đ</v>
          </cell>
          <cell r="AC626" t="str">
            <v>Đ</v>
          </cell>
          <cell r="AD626" t="str">
            <v>Đ</v>
          </cell>
          <cell r="AE626" t="str">
            <v>Đ</v>
          </cell>
          <cell r="AF626" t="str">
            <v>Đ</v>
          </cell>
          <cell r="AG626" t="str">
            <v>CN</v>
          </cell>
          <cell r="AH626" t="str">
            <v>UP8</v>
          </cell>
          <cell r="AI626" t="str">
            <v>UP4</v>
          </cell>
          <cell r="AJ626">
            <v>8</v>
          </cell>
          <cell r="AN626">
            <v>88</v>
          </cell>
          <cell r="AO626">
            <v>68</v>
          </cell>
          <cell r="AP626">
            <v>0</v>
          </cell>
          <cell r="AQ626">
            <v>0</v>
          </cell>
          <cell r="AR626">
            <v>12</v>
          </cell>
          <cell r="AS626">
            <v>28</v>
          </cell>
          <cell r="AT626">
            <v>0</v>
          </cell>
          <cell r="AU626">
            <v>0</v>
          </cell>
          <cell r="AV626">
            <v>0</v>
          </cell>
          <cell r="AW626">
            <v>0</v>
          </cell>
          <cell r="AX626">
            <v>0</v>
          </cell>
          <cell r="AY626">
            <v>0</v>
          </cell>
          <cell r="AZ626">
            <v>0</v>
          </cell>
          <cell r="BA626">
            <v>8</v>
          </cell>
          <cell r="BB626">
            <v>0</v>
          </cell>
          <cell r="BC626">
            <v>0</v>
          </cell>
          <cell r="BD626">
            <v>0</v>
          </cell>
          <cell r="BE626">
            <v>0</v>
          </cell>
          <cell r="BF626">
            <v>0</v>
          </cell>
          <cell r="BG626">
            <v>164</v>
          </cell>
          <cell r="BH626">
            <v>1</v>
          </cell>
          <cell r="BI626">
            <v>1</v>
          </cell>
          <cell r="BJ626">
            <v>-2</v>
          </cell>
          <cell r="BL626">
            <v>0</v>
          </cell>
          <cell r="BM626">
            <v>0</v>
          </cell>
          <cell r="BN626">
            <v>0</v>
          </cell>
          <cell r="BO626">
            <v>0</v>
          </cell>
          <cell r="BP626">
            <v>0</v>
          </cell>
          <cell r="BQ626">
            <v>0</v>
          </cell>
          <cell r="BR626">
            <v>0</v>
          </cell>
          <cell r="BS626">
            <v>0</v>
          </cell>
          <cell r="BT626">
            <v>0</v>
          </cell>
          <cell r="BU626">
            <v>0</v>
          </cell>
          <cell r="BV626">
            <v>0</v>
          </cell>
          <cell r="BW626">
            <v>0</v>
          </cell>
          <cell r="BX626">
            <v>0</v>
          </cell>
          <cell r="BY626">
            <v>0</v>
          </cell>
          <cell r="BZ626">
            <v>0</v>
          </cell>
          <cell r="CA626">
            <v>4</v>
          </cell>
          <cell r="CB626">
            <v>0</v>
          </cell>
          <cell r="CC626">
            <v>0</v>
          </cell>
          <cell r="CD626">
            <v>0</v>
          </cell>
          <cell r="CE626">
            <v>4</v>
          </cell>
          <cell r="CF626">
            <v>0</v>
          </cell>
          <cell r="CG626">
            <v>0</v>
          </cell>
          <cell r="CH626">
            <v>0</v>
          </cell>
          <cell r="CI626">
            <v>0</v>
          </cell>
          <cell r="CJ626">
            <v>0</v>
          </cell>
          <cell r="CK626">
            <v>0</v>
          </cell>
          <cell r="CL626">
            <v>0</v>
          </cell>
          <cell r="CM626">
            <v>0</v>
          </cell>
          <cell r="CR626">
            <v>0</v>
          </cell>
          <cell r="CS626">
            <v>0</v>
          </cell>
          <cell r="CT626">
            <v>8</v>
          </cell>
          <cell r="CU626">
            <v>0</v>
          </cell>
          <cell r="CV626">
            <v>0</v>
          </cell>
          <cell r="CZ626">
            <v>8</v>
          </cell>
        </row>
        <row r="627">
          <cell r="C627" t="str">
            <v>03867</v>
          </cell>
          <cell r="D627" t="str">
            <v>Kim Bảo Vy</v>
          </cell>
          <cell r="E627" t="str">
            <v>Production</v>
          </cell>
          <cell r="F627" t="str">
            <v>Molding</v>
          </cell>
          <cell r="G627" t="str">
            <v>Worker</v>
          </cell>
          <cell r="H627">
            <v>45034</v>
          </cell>
          <cell r="I627">
            <v>8</v>
          </cell>
          <cell r="J627">
            <v>8</v>
          </cell>
          <cell r="K627">
            <v>8</v>
          </cell>
          <cell r="L627" t="str">
            <v>CN</v>
          </cell>
          <cell r="M627">
            <v>8</v>
          </cell>
          <cell r="N627">
            <v>8</v>
          </cell>
          <cell r="O627">
            <v>8</v>
          </cell>
          <cell r="P627">
            <v>8</v>
          </cell>
          <cell r="Q627" t="str">
            <v>Đ</v>
          </cell>
          <cell r="R627" t="str">
            <v>Đ</v>
          </cell>
          <cell r="S627" t="str">
            <v>CN</v>
          </cell>
          <cell r="T627">
            <v>8</v>
          </cell>
          <cell r="U627">
            <v>8</v>
          </cell>
          <cell r="V627">
            <v>8</v>
          </cell>
          <cell r="W627">
            <v>8</v>
          </cell>
          <cell r="X627" t="str">
            <v>AL8</v>
          </cell>
          <cell r="Y627" t="str">
            <v>AL8</v>
          </cell>
          <cell r="Z627" t="str">
            <v>CN</v>
          </cell>
          <cell r="AA627">
            <v>8</v>
          </cell>
          <cell r="AB627">
            <v>8</v>
          </cell>
          <cell r="AC627">
            <v>8</v>
          </cell>
          <cell r="AD627">
            <v>8</v>
          </cell>
          <cell r="AE627" t="str">
            <v>Đ</v>
          </cell>
          <cell r="AF627" t="str">
            <v>Đ</v>
          </cell>
          <cell r="AG627" t="str">
            <v>CN</v>
          </cell>
          <cell r="AH627">
            <v>8</v>
          </cell>
          <cell r="AI627">
            <v>8</v>
          </cell>
          <cell r="AJ627">
            <v>8</v>
          </cell>
          <cell r="AN627">
            <v>32</v>
          </cell>
          <cell r="AO627">
            <v>144</v>
          </cell>
          <cell r="AP627">
            <v>0</v>
          </cell>
          <cell r="AQ627">
            <v>0</v>
          </cell>
          <cell r="AR627">
            <v>0</v>
          </cell>
          <cell r="AS627">
            <v>0</v>
          </cell>
          <cell r="AT627">
            <v>0</v>
          </cell>
          <cell r="AU627">
            <v>0</v>
          </cell>
          <cell r="AV627">
            <v>0</v>
          </cell>
          <cell r="AW627">
            <v>0</v>
          </cell>
          <cell r="AX627">
            <v>0</v>
          </cell>
          <cell r="AY627">
            <v>0</v>
          </cell>
          <cell r="AZ627">
            <v>0</v>
          </cell>
          <cell r="BA627">
            <v>16</v>
          </cell>
          <cell r="BB627">
            <v>0</v>
          </cell>
          <cell r="BC627">
            <v>0</v>
          </cell>
          <cell r="BD627">
            <v>0</v>
          </cell>
          <cell r="BE627">
            <v>0</v>
          </cell>
          <cell r="BF627">
            <v>0</v>
          </cell>
          <cell r="BG627">
            <v>192</v>
          </cell>
          <cell r="BH627">
            <v>2</v>
          </cell>
          <cell r="BI627">
            <v>2</v>
          </cell>
          <cell r="BJ627">
            <v>-2</v>
          </cell>
          <cell r="BL627">
            <v>0</v>
          </cell>
          <cell r="BM627">
            <v>0</v>
          </cell>
          <cell r="BN627">
            <v>0</v>
          </cell>
          <cell r="BO627">
            <v>0</v>
          </cell>
          <cell r="BP627">
            <v>0</v>
          </cell>
          <cell r="BQ627">
            <v>0</v>
          </cell>
          <cell r="BR627">
            <v>0</v>
          </cell>
          <cell r="BS627">
            <v>0</v>
          </cell>
          <cell r="BT627">
            <v>4</v>
          </cell>
          <cell r="BU627">
            <v>4</v>
          </cell>
          <cell r="BV627">
            <v>0</v>
          </cell>
          <cell r="BW627">
            <v>0</v>
          </cell>
          <cell r="BX627">
            <v>0</v>
          </cell>
          <cell r="BY627">
            <v>0</v>
          </cell>
          <cell r="BZ627">
            <v>0</v>
          </cell>
          <cell r="CA627">
            <v>0</v>
          </cell>
          <cell r="CB627">
            <v>0</v>
          </cell>
          <cell r="CC627">
            <v>0</v>
          </cell>
          <cell r="CD627">
            <v>0</v>
          </cell>
          <cell r="CE627">
            <v>0</v>
          </cell>
          <cell r="CF627">
            <v>0</v>
          </cell>
          <cell r="CG627">
            <v>0</v>
          </cell>
          <cell r="CH627">
            <v>4</v>
          </cell>
          <cell r="CI627">
            <v>4</v>
          </cell>
          <cell r="CJ627">
            <v>0</v>
          </cell>
          <cell r="CK627">
            <v>0</v>
          </cell>
          <cell r="CL627">
            <v>0</v>
          </cell>
          <cell r="CM627">
            <v>0</v>
          </cell>
          <cell r="CR627">
            <v>0</v>
          </cell>
          <cell r="CS627">
            <v>0</v>
          </cell>
          <cell r="CT627">
            <v>16</v>
          </cell>
          <cell r="CU627">
            <v>0</v>
          </cell>
          <cell r="CV627">
            <v>0</v>
          </cell>
          <cell r="CZ627">
            <v>16</v>
          </cell>
        </row>
        <row r="628">
          <cell r="C628" t="str">
            <v>03870</v>
          </cell>
          <cell r="D628" t="str">
            <v>Trần Văn Khởi</v>
          </cell>
          <cell r="E628" t="str">
            <v>Production</v>
          </cell>
          <cell r="F628" t="str">
            <v>Molding</v>
          </cell>
          <cell r="G628" t="str">
            <v>Worker</v>
          </cell>
          <cell r="H628">
            <v>45034</v>
          </cell>
          <cell r="I628">
            <v>8</v>
          </cell>
          <cell r="J628">
            <v>8</v>
          </cell>
          <cell r="K628">
            <v>8</v>
          </cell>
          <cell r="L628" t="str">
            <v>CN</v>
          </cell>
          <cell r="M628" t="str">
            <v>Đ</v>
          </cell>
          <cell r="N628" t="str">
            <v>Đ</v>
          </cell>
          <cell r="O628" t="str">
            <v>Đ</v>
          </cell>
          <cell r="P628" t="str">
            <v>Đ</v>
          </cell>
          <cell r="Q628" t="str">
            <v>Đ</v>
          </cell>
          <cell r="R628" t="str">
            <v>Đ</v>
          </cell>
          <cell r="S628" t="str">
            <v>CN</v>
          </cell>
          <cell r="T628">
            <v>8</v>
          </cell>
          <cell r="U628">
            <v>8</v>
          </cell>
          <cell r="V628">
            <v>8</v>
          </cell>
          <cell r="W628">
            <v>8</v>
          </cell>
          <cell r="X628">
            <v>8</v>
          </cell>
          <cell r="Y628">
            <v>8</v>
          </cell>
          <cell r="Z628" t="str">
            <v>CN</v>
          </cell>
          <cell r="AA628" t="str">
            <v>Đ</v>
          </cell>
          <cell r="AB628" t="str">
            <v>Đ</v>
          </cell>
          <cell r="AC628" t="str">
            <v>Đ</v>
          </cell>
          <cell r="AD628" t="str">
            <v>Đ</v>
          </cell>
          <cell r="AE628" t="str">
            <v>Đ</v>
          </cell>
          <cell r="AF628" t="str">
            <v>Đ</v>
          </cell>
          <cell r="AG628" t="str">
            <v>CN</v>
          </cell>
          <cell r="AH628">
            <v>8</v>
          </cell>
          <cell r="AI628">
            <v>8</v>
          </cell>
          <cell r="AJ628">
            <v>8</v>
          </cell>
          <cell r="AN628">
            <v>96</v>
          </cell>
          <cell r="AO628">
            <v>96</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0</v>
          </cell>
          <cell r="BF628">
            <v>0</v>
          </cell>
          <cell r="BG628">
            <v>192</v>
          </cell>
          <cell r="BH628">
            <v>0</v>
          </cell>
          <cell r="BI628">
            <v>0</v>
          </cell>
          <cell r="BJ628">
            <v>2</v>
          </cell>
          <cell r="BL628">
            <v>4</v>
          </cell>
          <cell r="BM628">
            <v>0</v>
          </cell>
          <cell r="BN628">
            <v>4</v>
          </cell>
          <cell r="BO628">
            <v>0</v>
          </cell>
          <cell r="BP628">
            <v>0</v>
          </cell>
          <cell r="BQ628">
            <v>0</v>
          </cell>
          <cell r="BR628">
            <v>0</v>
          </cell>
          <cell r="BS628">
            <v>0</v>
          </cell>
          <cell r="BT628">
            <v>0</v>
          </cell>
          <cell r="BU628">
            <v>0</v>
          </cell>
          <cell r="BV628">
            <v>0</v>
          </cell>
          <cell r="BW628">
            <v>0</v>
          </cell>
          <cell r="BX628">
            <v>0</v>
          </cell>
          <cell r="BY628">
            <v>0</v>
          </cell>
          <cell r="BZ628">
            <v>0</v>
          </cell>
          <cell r="CA628">
            <v>0</v>
          </cell>
          <cell r="CB628">
            <v>0</v>
          </cell>
          <cell r="CC628">
            <v>0</v>
          </cell>
          <cell r="CD628">
            <v>0</v>
          </cell>
          <cell r="CE628">
            <v>0</v>
          </cell>
          <cell r="CF628">
            <v>4</v>
          </cell>
          <cell r="CG628">
            <v>0</v>
          </cell>
          <cell r="CH628">
            <v>4</v>
          </cell>
          <cell r="CI628">
            <v>0</v>
          </cell>
          <cell r="CJ628">
            <v>0</v>
          </cell>
          <cell r="CK628">
            <v>0</v>
          </cell>
          <cell r="CL628">
            <v>0</v>
          </cell>
          <cell r="CM628">
            <v>0</v>
          </cell>
          <cell r="CR628">
            <v>0</v>
          </cell>
          <cell r="CS628">
            <v>0</v>
          </cell>
          <cell r="CT628">
            <v>16</v>
          </cell>
          <cell r="CU628">
            <v>0</v>
          </cell>
          <cell r="CV628">
            <v>0</v>
          </cell>
          <cell r="CZ628">
            <v>16</v>
          </cell>
        </row>
        <row r="629">
          <cell r="C629" t="str">
            <v>03871</v>
          </cell>
          <cell r="D629" t="str">
            <v>Nguyễn Văn Chẳng</v>
          </cell>
          <cell r="E629" t="str">
            <v>Production</v>
          </cell>
          <cell r="F629" t="str">
            <v>Molding</v>
          </cell>
          <cell r="G629" t="str">
            <v>Worker</v>
          </cell>
          <cell r="H629">
            <v>45034</v>
          </cell>
          <cell r="I629">
            <v>8</v>
          </cell>
          <cell r="J629" t="str">
            <v>CN</v>
          </cell>
          <cell r="K629" t="str">
            <v>Đ</v>
          </cell>
          <cell r="L629" t="str">
            <v>Đ</v>
          </cell>
          <cell r="M629" t="str">
            <v>Đ</v>
          </cell>
          <cell r="N629" t="str">
            <v>Đ</v>
          </cell>
          <cell r="O629" t="str">
            <v>Đ</v>
          </cell>
          <cell r="P629" t="str">
            <v>Đ</v>
          </cell>
          <cell r="Q629" t="str">
            <v>CN</v>
          </cell>
          <cell r="R629">
            <v>8</v>
          </cell>
          <cell r="S629">
            <v>8</v>
          </cell>
          <cell r="T629">
            <v>8</v>
          </cell>
          <cell r="U629">
            <v>8</v>
          </cell>
          <cell r="V629">
            <v>8</v>
          </cell>
          <cell r="W629">
            <v>8</v>
          </cell>
          <cell r="X629" t="str">
            <v>CN</v>
          </cell>
          <cell r="Y629" t="str">
            <v>Đ</v>
          </cell>
          <cell r="Z629" t="str">
            <v>Đ</v>
          </cell>
          <cell r="AA629" t="str">
            <v>Đ</v>
          </cell>
          <cell r="AB629" t="str">
            <v>Đ</v>
          </cell>
          <cell r="AC629" t="str">
            <v>Đ</v>
          </cell>
          <cell r="AD629" t="str">
            <v>Đ</v>
          </cell>
          <cell r="AE629" t="str">
            <v>CN</v>
          </cell>
          <cell r="AF629">
            <v>8</v>
          </cell>
          <cell r="AG629">
            <v>8</v>
          </cell>
          <cell r="AH629">
            <v>8</v>
          </cell>
          <cell r="AI629">
            <v>8</v>
          </cell>
          <cell r="AJ629">
            <v>8</v>
          </cell>
          <cell r="AN629">
            <v>96</v>
          </cell>
          <cell r="AO629">
            <v>96</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0</v>
          </cell>
          <cell r="BF629">
            <v>0</v>
          </cell>
          <cell r="BG629">
            <v>192</v>
          </cell>
          <cell r="BH629">
            <v>0</v>
          </cell>
          <cell r="BI629">
            <v>0</v>
          </cell>
          <cell r="BJ629">
            <v>3</v>
          </cell>
          <cell r="BL629">
            <v>0</v>
          </cell>
          <cell r="BM629">
            <v>0</v>
          </cell>
          <cell r="BN629">
            <v>4</v>
          </cell>
          <cell r="BO629">
            <v>4</v>
          </cell>
          <cell r="BP629">
            <v>0</v>
          </cell>
          <cell r="BQ629">
            <v>0</v>
          </cell>
          <cell r="BR629">
            <v>4</v>
          </cell>
          <cell r="BS629">
            <v>0</v>
          </cell>
          <cell r="BT629">
            <v>0</v>
          </cell>
          <cell r="BU629">
            <v>4</v>
          </cell>
          <cell r="BV629">
            <v>4</v>
          </cell>
          <cell r="BW629">
            <v>0</v>
          </cell>
          <cell r="BX629">
            <v>0</v>
          </cell>
          <cell r="BY629">
            <v>0</v>
          </cell>
          <cell r="BZ629">
            <v>0</v>
          </cell>
          <cell r="CA629">
            <v>0</v>
          </cell>
          <cell r="CB629">
            <v>4</v>
          </cell>
          <cell r="CC629">
            <v>4</v>
          </cell>
          <cell r="CD629">
            <v>4</v>
          </cell>
          <cell r="CE629">
            <v>0</v>
          </cell>
          <cell r="CF629">
            <v>0</v>
          </cell>
          <cell r="CG629">
            <v>0</v>
          </cell>
          <cell r="CH629">
            <v>0</v>
          </cell>
          <cell r="CI629">
            <v>4</v>
          </cell>
          <cell r="CJ629">
            <v>4</v>
          </cell>
          <cell r="CK629">
            <v>0</v>
          </cell>
          <cell r="CL629">
            <v>0</v>
          </cell>
          <cell r="CM629">
            <v>0</v>
          </cell>
          <cell r="CR629">
            <v>0</v>
          </cell>
          <cell r="CS629">
            <v>0</v>
          </cell>
          <cell r="CT629">
            <v>40</v>
          </cell>
          <cell r="CU629">
            <v>0</v>
          </cell>
          <cell r="CV629">
            <v>0</v>
          </cell>
          <cell r="CZ629">
            <v>40</v>
          </cell>
        </row>
        <row r="630">
          <cell r="C630" t="str">
            <v>03872</v>
          </cell>
          <cell r="D630" t="str">
            <v>Đường Trung Nguyễn</v>
          </cell>
          <cell r="E630" t="str">
            <v>Production</v>
          </cell>
          <cell r="F630" t="str">
            <v>Molding</v>
          </cell>
          <cell r="G630" t="str">
            <v>Worker</v>
          </cell>
          <cell r="H630">
            <v>45034</v>
          </cell>
          <cell r="I630">
            <v>8</v>
          </cell>
          <cell r="J630" t="str">
            <v>CN</v>
          </cell>
          <cell r="K630" t="str">
            <v>Đ</v>
          </cell>
          <cell r="L630" t="str">
            <v>Đ</v>
          </cell>
          <cell r="M630" t="str">
            <v>Đ</v>
          </cell>
          <cell r="N630" t="str">
            <v>Đ</v>
          </cell>
          <cell r="O630" t="str">
            <v>Đ</v>
          </cell>
          <cell r="P630" t="str">
            <v>Đ</v>
          </cell>
          <cell r="Q630" t="str">
            <v>CN</v>
          </cell>
          <cell r="R630">
            <v>8</v>
          </cell>
          <cell r="S630">
            <v>8</v>
          </cell>
          <cell r="T630">
            <v>8</v>
          </cell>
          <cell r="U630">
            <v>8</v>
          </cell>
          <cell r="V630">
            <v>8</v>
          </cell>
          <cell r="W630">
            <v>8</v>
          </cell>
          <cell r="X630" t="str">
            <v>CN</v>
          </cell>
          <cell r="Y630" t="str">
            <v>Đ</v>
          </cell>
          <cell r="Z630" t="str">
            <v>Đ</v>
          </cell>
          <cell r="AA630" t="str">
            <v>Đ</v>
          </cell>
          <cell r="AB630" t="str">
            <v>Đ</v>
          </cell>
          <cell r="AC630" t="str">
            <v>Đ</v>
          </cell>
          <cell r="AD630" t="str">
            <v>Đ</v>
          </cell>
          <cell r="AE630" t="str">
            <v>CN</v>
          </cell>
          <cell r="AF630">
            <v>8</v>
          </cell>
          <cell r="AG630">
            <v>8</v>
          </cell>
          <cell r="AH630">
            <v>8</v>
          </cell>
          <cell r="AI630">
            <v>8</v>
          </cell>
          <cell r="AJ630">
            <v>8</v>
          </cell>
          <cell r="AN630">
            <v>96</v>
          </cell>
          <cell r="AO630">
            <v>96</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0</v>
          </cell>
          <cell r="BF630">
            <v>0</v>
          </cell>
          <cell r="BG630">
            <v>192</v>
          </cell>
          <cell r="BH630">
            <v>0</v>
          </cell>
          <cell r="BI630">
            <v>0</v>
          </cell>
          <cell r="BJ630">
            <v>7</v>
          </cell>
          <cell r="BL630">
            <v>0</v>
          </cell>
          <cell r="BM630">
            <v>0</v>
          </cell>
          <cell r="BN630">
            <v>4</v>
          </cell>
          <cell r="BO630">
            <v>4</v>
          </cell>
          <cell r="BP630">
            <v>0</v>
          </cell>
          <cell r="BQ630">
            <v>0</v>
          </cell>
          <cell r="BR630">
            <v>0</v>
          </cell>
          <cell r="BS630">
            <v>0</v>
          </cell>
          <cell r="BT630">
            <v>0</v>
          </cell>
          <cell r="BU630">
            <v>4</v>
          </cell>
          <cell r="BV630">
            <v>4</v>
          </cell>
          <cell r="BW630">
            <v>0</v>
          </cell>
          <cell r="BX630">
            <v>0</v>
          </cell>
          <cell r="BY630">
            <v>0</v>
          </cell>
          <cell r="BZ630">
            <v>0</v>
          </cell>
          <cell r="CA630">
            <v>0</v>
          </cell>
          <cell r="CB630">
            <v>4</v>
          </cell>
          <cell r="CC630">
            <v>4</v>
          </cell>
          <cell r="CD630">
            <v>0</v>
          </cell>
          <cell r="CE630">
            <v>0</v>
          </cell>
          <cell r="CF630">
            <v>0</v>
          </cell>
          <cell r="CG630">
            <v>0</v>
          </cell>
          <cell r="CH630">
            <v>0</v>
          </cell>
          <cell r="CI630">
            <v>4</v>
          </cell>
          <cell r="CJ630">
            <v>4</v>
          </cell>
          <cell r="CK630">
            <v>0</v>
          </cell>
          <cell r="CL630">
            <v>0</v>
          </cell>
          <cell r="CM630">
            <v>0</v>
          </cell>
          <cell r="CR630">
            <v>0</v>
          </cell>
          <cell r="CS630">
            <v>0</v>
          </cell>
          <cell r="CT630">
            <v>32</v>
          </cell>
          <cell r="CU630">
            <v>0</v>
          </cell>
          <cell r="CV630">
            <v>0</v>
          </cell>
          <cell r="CZ630">
            <v>32</v>
          </cell>
        </row>
        <row r="631">
          <cell r="C631" t="str">
            <v>03873</v>
          </cell>
          <cell r="D631" t="str">
            <v>Lê Văn Long</v>
          </cell>
          <cell r="E631" t="str">
            <v xml:space="preserve">EHS &amp; Facilities </v>
          </cell>
          <cell r="F631" t="str">
            <v>Facility</v>
          </cell>
          <cell r="G631" t="str">
            <v>Technician</v>
          </cell>
          <cell r="H631">
            <v>45034</v>
          </cell>
          <cell r="I631">
            <v>8</v>
          </cell>
          <cell r="J631">
            <v>8</v>
          </cell>
          <cell r="K631" t="str">
            <v>PO</v>
          </cell>
          <cell r="L631" t="str">
            <v>CN</v>
          </cell>
          <cell r="M631">
            <v>8</v>
          </cell>
          <cell r="N631">
            <v>8</v>
          </cell>
          <cell r="O631">
            <v>8</v>
          </cell>
          <cell r="P631">
            <v>8</v>
          </cell>
          <cell r="Q631" t="str">
            <v>PO</v>
          </cell>
          <cell r="R631" t="str">
            <v>PO</v>
          </cell>
          <cell r="S631" t="str">
            <v>CN</v>
          </cell>
          <cell r="T631">
            <v>8</v>
          </cell>
          <cell r="U631">
            <v>8</v>
          </cell>
          <cell r="V631">
            <v>8</v>
          </cell>
          <cell r="W631">
            <v>8</v>
          </cell>
          <cell r="X631">
            <v>8</v>
          </cell>
          <cell r="Y631" t="str">
            <v>PO</v>
          </cell>
          <cell r="Z631" t="str">
            <v>CN</v>
          </cell>
          <cell r="AA631" t="str">
            <v>AL4</v>
          </cell>
          <cell r="AB631" t="str">
            <v>AL8</v>
          </cell>
          <cell r="AC631">
            <v>8</v>
          </cell>
          <cell r="AD631">
            <v>8</v>
          </cell>
          <cell r="AE631">
            <v>8</v>
          </cell>
          <cell r="AF631" t="str">
            <v>PO</v>
          </cell>
          <cell r="AG631" t="str">
            <v>CN</v>
          </cell>
          <cell r="AH631">
            <v>8</v>
          </cell>
          <cell r="AI631">
            <v>8</v>
          </cell>
          <cell r="AJ631">
            <v>8</v>
          </cell>
          <cell r="AN631">
            <v>0</v>
          </cell>
          <cell r="AO631">
            <v>140</v>
          </cell>
          <cell r="AP631">
            <v>4</v>
          </cell>
          <cell r="AQ631">
            <v>0</v>
          </cell>
          <cell r="AR631">
            <v>0</v>
          </cell>
          <cell r="AS631">
            <v>0</v>
          </cell>
          <cell r="AT631">
            <v>0</v>
          </cell>
          <cell r="AU631">
            <v>0</v>
          </cell>
          <cell r="AV631">
            <v>40</v>
          </cell>
          <cell r="AW631">
            <v>0</v>
          </cell>
          <cell r="AX631">
            <v>0</v>
          </cell>
          <cell r="AY631">
            <v>0</v>
          </cell>
          <cell r="AZ631">
            <v>0</v>
          </cell>
          <cell r="BA631">
            <v>12</v>
          </cell>
          <cell r="BB631">
            <v>0</v>
          </cell>
          <cell r="BC631">
            <v>0</v>
          </cell>
          <cell r="BD631">
            <v>0</v>
          </cell>
          <cell r="BE631">
            <v>0</v>
          </cell>
          <cell r="BF631">
            <v>0</v>
          </cell>
          <cell r="BG631">
            <v>192</v>
          </cell>
          <cell r="BH631">
            <v>1.5</v>
          </cell>
          <cell r="BI631">
            <v>1.5</v>
          </cell>
          <cell r="BJ631">
            <v>3</v>
          </cell>
          <cell r="BL631">
            <v>0</v>
          </cell>
          <cell r="BM631">
            <v>0</v>
          </cell>
          <cell r="BN631">
            <v>0</v>
          </cell>
          <cell r="BO631">
            <v>0</v>
          </cell>
          <cell r="BP631">
            <v>0</v>
          </cell>
          <cell r="BQ631">
            <v>2</v>
          </cell>
          <cell r="BR631">
            <v>0</v>
          </cell>
          <cell r="BS631">
            <v>0</v>
          </cell>
          <cell r="BT631">
            <v>0</v>
          </cell>
          <cell r="BU631">
            <v>0</v>
          </cell>
          <cell r="BV631">
            <v>0</v>
          </cell>
          <cell r="BW631">
            <v>0</v>
          </cell>
          <cell r="BX631">
            <v>0</v>
          </cell>
          <cell r="BY631">
            <v>0</v>
          </cell>
          <cell r="BZ631">
            <v>0</v>
          </cell>
          <cell r="CA631">
            <v>0</v>
          </cell>
          <cell r="CB631">
            <v>0</v>
          </cell>
          <cell r="CC631">
            <v>0</v>
          </cell>
          <cell r="CD631">
            <v>0</v>
          </cell>
          <cell r="CE631">
            <v>0</v>
          </cell>
          <cell r="CF631">
            <v>0</v>
          </cell>
          <cell r="CG631">
            <v>0</v>
          </cell>
          <cell r="CH631">
            <v>0</v>
          </cell>
          <cell r="CI631">
            <v>0</v>
          </cell>
          <cell r="CJ631">
            <v>0</v>
          </cell>
          <cell r="CK631">
            <v>0</v>
          </cell>
          <cell r="CL631">
            <v>0</v>
          </cell>
          <cell r="CM631">
            <v>0</v>
          </cell>
          <cell r="CR631">
            <v>0</v>
          </cell>
          <cell r="CS631">
            <v>0</v>
          </cell>
          <cell r="CT631">
            <v>2</v>
          </cell>
          <cell r="CU631">
            <v>0</v>
          </cell>
          <cell r="CV631">
            <v>0</v>
          </cell>
          <cell r="CZ631">
            <v>2</v>
          </cell>
        </row>
        <row r="632">
          <cell r="C632" t="str">
            <v>03874</v>
          </cell>
          <cell r="D632" t="str">
            <v>Phùng Thái Dương</v>
          </cell>
          <cell r="E632" t="str">
            <v>Production</v>
          </cell>
          <cell r="F632" t="str">
            <v>Molding</v>
          </cell>
          <cell r="G632" t="str">
            <v>Worker</v>
          </cell>
          <cell r="H632">
            <v>45034</v>
          </cell>
          <cell r="I632">
            <v>8</v>
          </cell>
          <cell r="J632">
            <v>8</v>
          </cell>
          <cell r="K632">
            <v>8</v>
          </cell>
          <cell r="L632" t="str">
            <v>CN</v>
          </cell>
          <cell r="M632">
            <v>8</v>
          </cell>
          <cell r="N632">
            <v>8</v>
          </cell>
          <cell r="O632">
            <v>8</v>
          </cell>
          <cell r="P632">
            <v>8</v>
          </cell>
          <cell r="Q632" t="str">
            <v>Đ</v>
          </cell>
          <cell r="R632" t="str">
            <v>Đ</v>
          </cell>
          <cell r="S632" t="str">
            <v>CN</v>
          </cell>
          <cell r="T632">
            <v>8</v>
          </cell>
          <cell r="U632">
            <v>8</v>
          </cell>
          <cell r="V632">
            <v>8</v>
          </cell>
          <cell r="W632">
            <v>8</v>
          </cell>
          <cell r="X632">
            <v>8</v>
          </cell>
          <cell r="Y632">
            <v>8</v>
          </cell>
          <cell r="Z632" t="str">
            <v>CN</v>
          </cell>
          <cell r="AA632">
            <v>8</v>
          </cell>
          <cell r="AB632">
            <v>8</v>
          </cell>
          <cell r="AC632">
            <v>8</v>
          </cell>
          <cell r="AD632">
            <v>8</v>
          </cell>
          <cell r="AE632" t="str">
            <v>Đ</v>
          </cell>
          <cell r="AF632" t="str">
            <v>Đ</v>
          </cell>
          <cell r="AG632" t="str">
            <v>CN</v>
          </cell>
          <cell r="AH632" t="str">
            <v>AL4</v>
          </cell>
          <cell r="AI632">
            <v>8</v>
          </cell>
          <cell r="AJ632">
            <v>8</v>
          </cell>
          <cell r="AN632">
            <v>32</v>
          </cell>
          <cell r="AO632">
            <v>156</v>
          </cell>
          <cell r="AP632">
            <v>4</v>
          </cell>
          <cell r="AQ632">
            <v>0</v>
          </cell>
          <cell r="AR632">
            <v>0</v>
          </cell>
          <cell r="AS632">
            <v>0</v>
          </cell>
          <cell r="AT632">
            <v>0</v>
          </cell>
          <cell r="AU632">
            <v>0</v>
          </cell>
          <cell r="AV632">
            <v>0</v>
          </cell>
          <cell r="AW632">
            <v>0</v>
          </cell>
          <cell r="AX632">
            <v>0</v>
          </cell>
          <cell r="AY632">
            <v>0</v>
          </cell>
          <cell r="AZ632">
            <v>0</v>
          </cell>
          <cell r="BA632">
            <v>4</v>
          </cell>
          <cell r="BB632">
            <v>0</v>
          </cell>
          <cell r="BC632">
            <v>0</v>
          </cell>
          <cell r="BD632">
            <v>0</v>
          </cell>
          <cell r="BE632">
            <v>0</v>
          </cell>
          <cell r="BF632">
            <v>0</v>
          </cell>
          <cell r="BG632">
            <v>192</v>
          </cell>
          <cell r="BH632">
            <v>0.5</v>
          </cell>
          <cell r="BI632">
            <v>0.5</v>
          </cell>
          <cell r="BJ632">
            <v>2</v>
          </cell>
          <cell r="BL632">
            <v>0</v>
          </cell>
          <cell r="BM632">
            <v>4</v>
          </cell>
          <cell r="BN632">
            <v>4</v>
          </cell>
          <cell r="BO632">
            <v>0</v>
          </cell>
          <cell r="BP632">
            <v>0</v>
          </cell>
          <cell r="BQ632">
            <v>0</v>
          </cell>
          <cell r="BR632">
            <v>0</v>
          </cell>
          <cell r="BS632">
            <v>0</v>
          </cell>
          <cell r="BT632">
            <v>3</v>
          </cell>
          <cell r="BU632">
            <v>4</v>
          </cell>
          <cell r="BV632">
            <v>0</v>
          </cell>
          <cell r="BW632">
            <v>0</v>
          </cell>
          <cell r="BX632">
            <v>0</v>
          </cell>
          <cell r="BY632">
            <v>0</v>
          </cell>
          <cell r="BZ632">
            <v>0</v>
          </cell>
          <cell r="CA632">
            <v>4</v>
          </cell>
          <cell r="CB632">
            <v>4</v>
          </cell>
          <cell r="CC632">
            <v>0</v>
          </cell>
          <cell r="CD632">
            <v>0</v>
          </cell>
          <cell r="CE632">
            <v>0</v>
          </cell>
          <cell r="CF632">
            <v>0</v>
          </cell>
          <cell r="CG632">
            <v>0</v>
          </cell>
          <cell r="CH632">
            <v>4</v>
          </cell>
          <cell r="CI632">
            <v>4</v>
          </cell>
          <cell r="CJ632">
            <v>0</v>
          </cell>
          <cell r="CK632">
            <v>0</v>
          </cell>
          <cell r="CL632">
            <v>0</v>
          </cell>
          <cell r="CM632">
            <v>0</v>
          </cell>
          <cell r="CR632">
            <v>0</v>
          </cell>
          <cell r="CS632">
            <v>0</v>
          </cell>
          <cell r="CT632">
            <v>31</v>
          </cell>
          <cell r="CU632">
            <v>0</v>
          </cell>
          <cell r="CV632">
            <v>0</v>
          </cell>
          <cell r="CZ632">
            <v>31</v>
          </cell>
        </row>
        <row r="633">
          <cell r="C633" t="str">
            <v>03877</v>
          </cell>
          <cell r="D633" t="str">
            <v>Nguyễn Đình Thông</v>
          </cell>
          <cell r="E633" t="str">
            <v>COE</v>
          </cell>
          <cell r="F633" t="str">
            <v>COE</v>
          </cell>
          <cell r="G633" t="str">
            <v>Production Engineer</v>
          </cell>
          <cell r="H633">
            <v>45049</v>
          </cell>
          <cell r="I633">
            <v>8</v>
          </cell>
          <cell r="J633">
            <v>8</v>
          </cell>
          <cell r="K633" t="str">
            <v>PO</v>
          </cell>
          <cell r="L633" t="str">
            <v>CN</v>
          </cell>
          <cell r="M633">
            <v>8</v>
          </cell>
          <cell r="N633">
            <v>8</v>
          </cell>
          <cell r="O633">
            <v>8</v>
          </cell>
          <cell r="P633">
            <v>8</v>
          </cell>
          <cell r="Q633" t="str">
            <v>PO</v>
          </cell>
          <cell r="R633" t="str">
            <v>PO</v>
          </cell>
          <cell r="S633" t="str">
            <v>CN</v>
          </cell>
          <cell r="T633">
            <v>8</v>
          </cell>
          <cell r="U633">
            <v>8</v>
          </cell>
          <cell r="V633">
            <v>8</v>
          </cell>
          <cell r="W633">
            <v>8</v>
          </cell>
          <cell r="X633">
            <v>8</v>
          </cell>
          <cell r="Y633" t="str">
            <v>PO</v>
          </cell>
          <cell r="Z633" t="str">
            <v>CN</v>
          </cell>
          <cell r="AA633">
            <v>8</v>
          </cell>
          <cell r="AB633">
            <v>8</v>
          </cell>
          <cell r="AC633">
            <v>8</v>
          </cell>
          <cell r="AD633">
            <v>8</v>
          </cell>
          <cell r="AE633">
            <v>8</v>
          </cell>
          <cell r="AF633" t="str">
            <v>PO</v>
          </cell>
          <cell r="AG633" t="str">
            <v>CN</v>
          </cell>
          <cell r="AH633">
            <v>8</v>
          </cell>
          <cell r="AI633" t="str">
            <v>AL8</v>
          </cell>
          <cell r="AJ633">
            <v>8</v>
          </cell>
          <cell r="AN633">
            <v>0</v>
          </cell>
          <cell r="AO633">
            <v>144</v>
          </cell>
          <cell r="AP633">
            <v>0</v>
          </cell>
          <cell r="AQ633">
            <v>0</v>
          </cell>
          <cell r="AR633">
            <v>0</v>
          </cell>
          <cell r="AS633">
            <v>0</v>
          </cell>
          <cell r="AT633">
            <v>0</v>
          </cell>
          <cell r="AU633">
            <v>0</v>
          </cell>
          <cell r="AV633">
            <v>40</v>
          </cell>
          <cell r="AW633">
            <v>0</v>
          </cell>
          <cell r="AX633">
            <v>0</v>
          </cell>
          <cell r="AY633">
            <v>0</v>
          </cell>
          <cell r="AZ633">
            <v>0</v>
          </cell>
          <cell r="BA633">
            <v>8</v>
          </cell>
          <cell r="BB633">
            <v>0</v>
          </cell>
          <cell r="BC633">
            <v>0</v>
          </cell>
          <cell r="BD633">
            <v>0</v>
          </cell>
          <cell r="BE633">
            <v>0</v>
          </cell>
          <cell r="BF633">
            <v>0</v>
          </cell>
          <cell r="BG633">
            <v>192</v>
          </cell>
          <cell r="BH633">
            <v>1</v>
          </cell>
          <cell r="BI633">
            <v>1</v>
          </cell>
          <cell r="BJ633">
            <v>3</v>
          </cell>
          <cell r="BL633">
            <v>0</v>
          </cell>
          <cell r="BM633">
            <v>0</v>
          </cell>
          <cell r="BN633">
            <v>0</v>
          </cell>
          <cell r="BO633">
            <v>0</v>
          </cell>
          <cell r="BP633">
            <v>0</v>
          </cell>
          <cell r="BQ633">
            <v>0</v>
          </cell>
          <cell r="BR633">
            <v>0</v>
          </cell>
          <cell r="BS633">
            <v>0</v>
          </cell>
          <cell r="BT633">
            <v>0</v>
          </cell>
          <cell r="BU633">
            <v>0</v>
          </cell>
          <cell r="BV633">
            <v>0</v>
          </cell>
          <cell r="BW633">
            <v>0</v>
          </cell>
          <cell r="BX633">
            <v>0</v>
          </cell>
          <cell r="BY633">
            <v>0</v>
          </cell>
          <cell r="BZ633">
            <v>0</v>
          </cell>
          <cell r="CA633">
            <v>0</v>
          </cell>
          <cell r="CB633">
            <v>0</v>
          </cell>
          <cell r="CC633">
            <v>0</v>
          </cell>
          <cell r="CD633">
            <v>0</v>
          </cell>
          <cell r="CE633">
            <v>0</v>
          </cell>
          <cell r="CF633">
            <v>0</v>
          </cell>
          <cell r="CG633">
            <v>0</v>
          </cell>
          <cell r="CH633">
            <v>0</v>
          </cell>
          <cell r="CI633">
            <v>0</v>
          </cell>
          <cell r="CJ633">
            <v>0</v>
          </cell>
          <cell r="CK633">
            <v>0</v>
          </cell>
          <cell r="CL633">
            <v>0</v>
          </cell>
          <cell r="CM633">
            <v>0</v>
          </cell>
          <cell r="CR633">
            <v>0</v>
          </cell>
          <cell r="CS633">
            <v>0</v>
          </cell>
          <cell r="CT633">
            <v>0</v>
          </cell>
          <cell r="CU633">
            <v>0</v>
          </cell>
          <cell r="CV633">
            <v>0</v>
          </cell>
          <cell r="CZ633">
            <v>0</v>
          </cell>
        </row>
        <row r="634">
          <cell r="C634" t="str">
            <v>03882</v>
          </cell>
          <cell r="D634" t="str">
            <v>Đoàn Hồng Tre</v>
          </cell>
          <cell r="E634" t="str">
            <v>Production</v>
          </cell>
          <cell r="F634" t="str">
            <v>Prefitting</v>
          </cell>
          <cell r="G634" t="str">
            <v>Worker</v>
          </cell>
          <cell r="H634">
            <v>45050</v>
          </cell>
          <cell r="I634">
            <v>8</v>
          </cell>
          <cell r="J634">
            <v>8</v>
          </cell>
          <cell r="K634">
            <v>8</v>
          </cell>
          <cell r="L634" t="str">
            <v>CN</v>
          </cell>
          <cell r="M634" t="str">
            <v>Đ</v>
          </cell>
          <cell r="N634" t="str">
            <v>Đ</v>
          </cell>
          <cell r="O634" t="str">
            <v>Đ</v>
          </cell>
          <cell r="P634" t="str">
            <v>Đ</v>
          </cell>
          <cell r="Q634" t="str">
            <v>Đ</v>
          </cell>
          <cell r="R634" t="str">
            <v>Đ</v>
          </cell>
          <cell r="S634" t="str">
            <v>CN</v>
          </cell>
          <cell r="T634">
            <v>8</v>
          </cell>
          <cell r="U634">
            <v>8</v>
          </cell>
          <cell r="V634">
            <v>8</v>
          </cell>
          <cell r="W634">
            <v>8</v>
          </cell>
          <cell r="X634">
            <v>8</v>
          </cell>
          <cell r="Y634">
            <v>8</v>
          </cell>
          <cell r="Z634" t="str">
            <v>CN</v>
          </cell>
          <cell r="AA634" t="str">
            <v>Đ</v>
          </cell>
          <cell r="AB634" t="str">
            <v>Đ</v>
          </cell>
          <cell r="AC634" t="str">
            <v>Đ</v>
          </cell>
          <cell r="AD634" t="str">
            <v>CN</v>
          </cell>
          <cell r="AE634">
            <v>8</v>
          </cell>
          <cell r="AF634">
            <v>8</v>
          </cell>
          <cell r="AG634">
            <v>8</v>
          </cell>
          <cell r="AH634">
            <v>8</v>
          </cell>
          <cell r="AI634">
            <v>8</v>
          </cell>
          <cell r="AJ634">
            <v>8</v>
          </cell>
          <cell r="AN634">
            <v>72</v>
          </cell>
          <cell r="AO634">
            <v>120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0</v>
          </cell>
          <cell r="BF634">
            <v>0</v>
          </cell>
          <cell r="BG634">
            <v>192</v>
          </cell>
          <cell r="BH634">
            <v>0</v>
          </cell>
          <cell r="BI634">
            <v>0</v>
          </cell>
          <cell r="BJ634">
            <v>-2</v>
          </cell>
          <cell r="BL634">
            <v>0</v>
          </cell>
          <cell r="BM634">
            <v>0</v>
          </cell>
          <cell r="BN634">
            <v>0</v>
          </cell>
          <cell r="BO634">
            <v>0</v>
          </cell>
          <cell r="BP634">
            <v>0</v>
          </cell>
          <cell r="BQ634">
            <v>0</v>
          </cell>
          <cell r="BR634">
            <v>0</v>
          </cell>
          <cell r="BS634">
            <v>0</v>
          </cell>
          <cell r="BT634">
            <v>4</v>
          </cell>
          <cell r="BU634">
            <v>0</v>
          </cell>
          <cell r="BV634">
            <v>0</v>
          </cell>
          <cell r="BW634">
            <v>0</v>
          </cell>
          <cell r="BX634">
            <v>4</v>
          </cell>
          <cell r="BY634">
            <v>4</v>
          </cell>
          <cell r="BZ634">
            <v>0</v>
          </cell>
          <cell r="CA634">
            <v>0</v>
          </cell>
          <cell r="CB634">
            <v>0</v>
          </cell>
          <cell r="CC634">
            <v>0</v>
          </cell>
          <cell r="CD634">
            <v>4</v>
          </cell>
          <cell r="CE634">
            <v>4</v>
          </cell>
          <cell r="CF634">
            <v>0</v>
          </cell>
          <cell r="CG634">
            <v>0</v>
          </cell>
          <cell r="CH634">
            <v>4</v>
          </cell>
          <cell r="CI634">
            <v>4</v>
          </cell>
          <cell r="CJ634">
            <v>4</v>
          </cell>
          <cell r="CK634">
            <v>0</v>
          </cell>
          <cell r="CL634">
            <v>0</v>
          </cell>
          <cell r="CM634">
            <v>0</v>
          </cell>
          <cell r="CR634">
            <v>0</v>
          </cell>
          <cell r="CS634">
            <v>0</v>
          </cell>
          <cell r="CT634">
            <v>32</v>
          </cell>
          <cell r="CU634">
            <v>0</v>
          </cell>
          <cell r="CV634">
            <v>0</v>
          </cell>
          <cell r="CZ634">
            <v>32</v>
          </cell>
        </row>
        <row r="635">
          <cell r="C635" t="str">
            <v>03885</v>
          </cell>
          <cell r="D635" t="str">
            <v>Nguyễn Thị Ngọc Yến</v>
          </cell>
          <cell r="E635" t="str">
            <v>Production</v>
          </cell>
          <cell r="F635" t="str">
            <v>Prefitting</v>
          </cell>
          <cell r="G635" t="str">
            <v>Worker</v>
          </cell>
          <cell r="H635">
            <v>45050</v>
          </cell>
          <cell r="I635">
            <v>8</v>
          </cell>
          <cell r="J635" t="str">
            <v>Đ</v>
          </cell>
          <cell r="K635" t="str">
            <v>Đ</v>
          </cell>
          <cell r="L635" t="str">
            <v>CN</v>
          </cell>
          <cell r="M635">
            <v>8</v>
          </cell>
          <cell r="N635">
            <v>8</v>
          </cell>
          <cell r="O635">
            <v>8</v>
          </cell>
          <cell r="P635">
            <v>8</v>
          </cell>
          <cell r="Q635">
            <v>8</v>
          </cell>
          <cell r="R635">
            <v>8</v>
          </cell>
          <cell r="S635" t="str">
            <v>CN</v>
          </cell>
          <cell r="T635">
            <v>8</v>
          </cell>
          <cell r="U635">
            <v>8</v>
          </cell>
          <cell r="V635">
            <v>8</v>
          </cell>
          <cell r="W635" t="str">
            <v>AL8</v>
          </cell>
          <cell r="X635" t="str">
            <v>Đ</v>
          </cell>
          <cell r="Y635" t="str">
            <v>Đ</v>
          </cell>
          <cell r="Z635" t="str">
            <v>CN</v>
          </cell>
          <cell r="AA635">
            <v>8</v>
          </cell>
          <cell r="AB635">
            <v>8</v>
          </cell>
          <cell r="AC635">
            <v>8</v>
          </cell>
          <cell r="AD635">
            <v>8</v>
          </cell>
          <cell r="AE635">
            <v>8</v>
          </cell>
          <cell r="AF635">
            <v>8</v>
          </cell>
          <cell r="AG635" t="str">
            <v>CN</v>
          </cell>
          <cell r="AH635">
            <v>8</v>
          </cell>
          <cell r="AI635">
            <v>8</v>
          </cell>
          <cell r="AJ635">
            <v>8</v>
          </cell>
          <cell r="AN635">
            <v>32</v>
          </cell>
          <cell r="AO635">
            <v>152</v>
          </cell>
          <cell r="AP635">
            <v>0</v>
          </cell>
          <cell r="AQ635">
            <v>0</v>
          </cell>
          <cell r="AR635">
            <v>0</v>
          </cell>
          <cell r="AS635">
            <v>0</v>
          </cell>
          <cell r="AT635">
            <v>0</v>
          </cell>
          <cell r="AU635">
            <v>0</v>
          </cell>
          <cell r="AV635">
            <v>0</v>
          </cell>
          <cell r="AW635">
            <v>0</v>
          </cell>
          <cell r="AX635">
            <v>0</v>
          </cell>
          <cell r="AY635">
            <v>0</v>
          </cell>
          <cell r="AZ635">
            <v>0</v>
          </cell>
          <cell r="BA635">
            <v>8</v>
          </cell>
          <cell r="BB635">
            <v>0</v>
          </cell>
          <cell r="BC635">
            <v>0</v>
          </cell>
          <cell r="BD635">
            <v>0</v>
          </cell>
          <cell r="BE635">
            <v>0</v>
          </cell>
          <cell r="BF635">
            <v>0</v>
          </cell>
          <cell r="BG635">
            <v>192</v>
          </cell>
          <cell r="BH635">
            <v>1</v>
          </cell>
          <cell r="BI635">
            <v>1</v>
          </cell>
          <cell r="BJ635">
            <v>0.5</v>
          </cell>
          <cell r="BL635">
            <v>0</v>
          </cell>
          <cell r="BM635">
            <v>0</v>
          </cell>
          <cell r="BN635">
            <v>4</v>
          </cell>
          <cell r="BO635">
            <v>0</v>
          </cell>
          <cell r="BP635">
            <v>0</v>
          </cell>
          <cell r="BQ635">
            <v>0</v>
          </cell>
          <cell r="BR635">
            <v>0</v>
          </cell>
          <cell r="BS635">
            <v>0</v>
          </cell>
          <cell r="BT635">
            <v>4</v>
          </cell>
          <cell r="BU635">
            <v>4</v>
          </cell>
          <cell r="BV635">
            <v>0</v>
          </cell>
          <cell r="BW635">
            <v>0</v>
          </cell>
          <cell r="BX635">
            <v>0</v>
          </cell>
          <cell r="BY635">
            <v>0</v>
          </cell>
          <cell r="BZ635">
            <v>0</v>
          </cell>
          <cell r="CA635">
            <v>4</v>
          </cell>
          <cell r="CB635">
            <v>4</v>
          </cell>
          <cell r="CC635">
            <v>0</v>
          </cell>
          <cell r="CD635">
            <v>0</v>
          </cell>
          <cell r="CE635">
            <v>0</v>
          </cell>
          <cell r="CF635">
            <v>0</v>
          </cell>
          <cell r="CG635">
            <v>0</v>
          </cell>
          <cell r="CH635">
            <v>4</v>
          </cell>
          <cell r="CI635">
            <v>4</v>
          </cell>
          <cell r="CJ635">
            <v>0</v>
          </cell>
          <cell r="CK635">
            <v>0</v>
          </cell>
          <cell r="CL635">
            <v>0</v>
          </cell>
          <cell r="CM635">
            <v>0</v>
          </cell>
          <cell r="CR635">
            <v>0</v>
          </cell>
          <cell r="CS635">
            <v>0</v>
          </cell>
          <cell r="CT635">
            <v>28</v>
          </cell>
          <cell r="CU635">
            <v>0</v>
          </cell>
          <cell r="CV635">
            <v>0</v>
          </cell>
          <cell r="CZ635">
            <v>28</v>
          </cell>
        </row>
        <row r="636">
          <cell r="C636" t="str">
            <v>03886</v>
          </cell>
          <cell r="D636" t="str">
            <v>Lê Công Hậu</v>
          </cell>
          <cell r="E636" t="str">
            <v>Production</v>
          </cell>
          <cell r="F636" t="str">
            <v>Prefitting</v>
          </cell>
          <cell r="G636" t="str">
            <v>Worker</v>
          </cell>
          <cell r="H636">
            <v>45063</v>
          </cell>
          <cell r="I636" t="str">
            <v>Đ</v>
          </cell>
          <cell r="J636" t="str">
            <v>Đ</v>
          </cell>
          <cell r="K636" t="str">
            <v>Đ</v>
          </cell>
          <cell r="L636" t="str">
            <v>CN</v>
          </cell>
          <cell r="M636" t="str">
            <v>AL4</v>
          </cell>
          <cell r="N636" t="str">
            <v>AL4</v>
          </cell>
          <cell r="O636">
            <v>8</v>
          </cell>
          <cell r="P636">
            <v>8</v>
          </cell>
          <cell r="Q636">
            <v>8</v>
          </cell>
          <cell r="R636">
            <v>8</v>
          </cell>
          <cell r="S636" t="str">
            <v>CN</v>
          </cell>
          <cell r="T636" t="str">
            <v>Đ</v>
          </cell>
          <cell r="U636" t="str">
            <v>Đ</v>
          </cell>
          <cell r="V636" t="str">
            <v>Đ</v>
          </cell>
          <cell r="W636" t="str">
            <v>Đ</v>
          </cell>
          <cell r="X636" t="str">
            <v>CN</v>
          </cell>
          <cell r="Y636">
            <v>8</v>
          </cell>
          <cell r="Z636">
            <v>8</v>
          </cell>
          <cell r="AA636">
            <v>8</v>
          </cell>
          <cell r="AB636">
            <v>8</v>
          </cell>
          <cell r="AC636">
            <v>8</v>
          </cell>
          <cell r="AD636">
            <v>8</v>
          </cell>
          <cell r="AE636" t="str">
            <v>CN</v>
          </cell>
          <cell r="AF636" t="str">
            <v>Đ</v>
          </cell>
          <cell r="AG636" t="str">
            <v>Đ</v>
          </cell>
          <cell r="AH636" t="str">
            <v>Đ</v>
          </cell>
          <cell r="AI636" t="str">
            <v>Đ</v>
          </cell>
          <cell r="AJ636" t="str">
            <v>Đ</v>
          </cell>
          <cell r="AN636">
            <v>96</v>
          </cell>
          <cell r="AO636">
            <v>88</v>
          </cell>
          <cell r="AP636">
            <v>8</v>
          </cell>
          <cell r="AQ636">
            <v>0</v>
          </cell>
          <cell r="AR636">
            <v>0</v>
          </cell>
          <cell r="AS636">
            <v>0</v>
          </cell>
          <cell r="AT636">
            <v>0</v>
          </cell>
          <cell r="AU636">
            <v>0</v>
          </cell>
          <cell r="AV636">
            <v>0</v>
          </cell>
          <cell r="AW636">
            <v>0</v>
          </cell>
          <cell r="AX636">
            <v>0</v>
          </cell>
          <cell r="AY636">
            <v>0</v>
          </cell>
          <cell r="AZ636">
            <v>0</v>
          </cell>
          <cell r="BA636">
            <v>8</v>
          </cell>
          <cell r="BB636">
            <v>0</v>
          </cell>
          <cell r="BC636">
            <v>0</v>
          </cell>
          <cell r="BD636">
            <v>0</v>
          </cell>
          <cell r="BE636">
            <v>0</v>
          </cell>
          <cell r="BF636">
            <v>0</v>
          </cell>
          <cell r="BG636">
            <v>192</v>
          </cell>
          <cell r="BH636">
            <v>1</v>
          </cell>
          <cell r="BI636">
            <v>1</v>
          </cell>
          <cell r="BJ636">
            <v>-1</v>
          </cell>
          <cell r="BL636">
            <v>0</v>
          </cell>
          <cell r="BM636">
            <v>0</v>
          </cell>
          <cell r="BN636">
            <v>0</v>
          </cell>
          <cell r="BO636">
            <v>0</v>
          </cell>
          <cell r="BP636">
            <v>0</v>
          </cell>
          <cell r="BQ636">
            <v>0</v>
          </cell>
          <cell r="BR636">
            <v>0</v>
          </cell>
          <cell r="BS636">
            <v>0</v>
          </cell>
          <cell r="BT636">
            <v>0</v>
          </cell>
          <cell r="BU636">
            <v>0</v>
          </cell>
          <cell r="BV636">
            <v>0</v>
          </cell>
          <cell r="BW636">
            <v>0</v>
          </cell>
          <cell r="BX636">
            <v>4</v>
          </cell>
          <cell r="BY636">
            <v>0</v>
          </cell>
          <cell r="BZ636">
            <v>0</v>
          </cell>
          <cell r="CA636">
            <v>0</v>
          </cell>
          <cell r="CB636">
            <v>4</v>
          </cell>
          <cell r="CC636">
            <v>4</v>
          </cell>
          <cell r="CD636">
            <v>0</v>
          </cell>
          <cell r="CE636">
            <v>0</v>
          </cell>
          <cell r="CF636">
            <v>0</v>
          </cell>
          <cell r="CG636">
            <v>4</v>
          </cell>
          <cell r="CH636">
            <v>0</v>
          </cell>
          <cell r="CI636">
            <v>4</v>
          </cell>
          <cell r="CJ636">
            <v>4</v>
          </cell>
          <cell r="CK636">
            <v>4</v>
          </cell>
          <cell r="CL636">
            <v>0</v>
          </cell>
          <cell r="CM636">
            <v>0</v>
          </cell>
          <cell r="CR636">
            <v>0</v>
          </cell>
          <cell r="CS636">
            <v>0</v>
          </cell>
          <cell r="CT636">
            <v>28</v>
          </cell>
          <cell r="CU636">
            <v>0</v>
          </cell>
          <cell r="CV636">
            <v>0</v>
          </cell>
          <cell r="CZ636">
            <v>28</v>
          </cell>
        </row>
        <row r="637">
          <cell r="C637" t="str">
            <v>03888</v>
          </cell>
          <cell r="D637" t="str">
            <v>Ngọc Văn Đức</v>
          </cell>
          <cell r="E637" t="str">
            <v>Production</v>
          </cell>
          <cell r="F637" t="str">
            <v>Molding</v>
          </cell>
          <cell r="G637" t="str">
            <v>Worker</v>
          </cell>
          <cell r="H637">
            <v>45063</v>
          </cell>
          <cell r="I637">
            <v>8</v>
          </cell>
          <cell r="J637" t="str">
            <v>CN</v>
          </cell>
          <cell r="K637" t="str">
            <v>Đ</v>
          </cell>
          <cell r="L637" t="str">
            <v>Đ</v>
          </cell>
          <cell r="M637" t="str">
            <v>Đ</v>
          </cell>
          <cell r="N637" t="str">
            <v>Đ</v>
          </cell>
          <cell r="O637" t="str">
            <v>Đ</v>
          </cell>
          <cell r="P637" t="str">
            <v>Đ</v>
          </cell>
          <cell r="Q637" t="str">
            <v>CN</v>
          </cell>
          <cell r="R637">
            <v>8</v>
          </cell>
          <cell r="S637">
            <v>8</v>
          </cell>
          <cell r="T637">
            <v>8</v>
          </cell>
          <cell r="U637" t="str">
            <v>AL4</v>
          </cell>
          <cell r="V637">
            <v>8</v>
          </cell>
          <cell r="W637">
            <v>8</v>
          </cell>
          <cell r="X637" t="str">
            <v>CN</v>
          </cell>
          <cell r="Y637" t="str">
            <v>Đ</v>
          </cell>
          <cell r="Z637" t="str">
            <v>Đ</v>
          </cell>
          <cell r="AA637" t="str">
            <v>Đ</v>
          </cell>
          <cell r="AB637" t="str">
            <v>Đ</v>
          </cell>
          <cell r="AC637" t="str">
            <v>Đ</v>
          </cell>
          <cell r="AD637" t="str">
            <v>Đ</v>
          </cell>
          <cell r="AE637" t="str">
            <v>CN</v>
          </cell>
          <cell r="AF637">
            <v>8</v>
          </cell>
          <cell r="AG637">
            <v>8</v>
          </cell>
          <cell r="AH637">
            <v>8</v>
          </cell>
          <cell r="AI637">
            <v>8</v>
          </cell>
          <cell r="AJ637">
            <v>8</v>
          </cell>
          <cell r="AN637">
            <v>96</v>
          </cell>
          <cell r="AO637">
            <v>92</v>
          </cell>
          <cell r="AP637">
            <v>4</v>
          </cell>
          <cell r="AQ637">
            <v>0</v>
          </cell>
          <cell r="AR637">
            <v>0</v>
          </cell>
          <cell r="AS637">
            <v>0</v>
          </cell>
          <cell r="AT637">
            <v>0</v>
          </cell>
          <cell r="AU637">
            <v>0</v>
          </cell>
          <cell r="AV637">
            <v>0</v>
          </cell>
          <cell r="AW637">
            <v>0</v>
          </cell>
          <cell r="AX637">
            <v>0</v>
          </cell>
          <cell r="AY637">
            <v>0</v>
          </cell>
          <cell r="AZ637">
            <v>0</v>
          </cell>
          <cell r="BA637">
            <v>4</v>
          </cell>
          <cell r="BB637">
            <v>0</v>
          </cell>
          <cell r="BC637">
            <v>0</v>
          </cell>
          <cell r="BD637">
            <v>0</v>
          </cell>
          <cell r="BE637">
            <v>0</v>
          </cell>
          <cell r="BF637">
            <v>0</v>
          </cell>
          <cell r="BG637">
            <v>192</v>
          </cell>
          <cell r="BH637">
            <v>0.5</v>
          </cell>
          <cell r="BI637">
            <v>0.5</v>
          </cell>
          <cell r="BJ637">
            <v>-0.5</v>
          </cell>
          <cell r="BL637">
            <v>0</v>
          </cell>
          <cell r="BM637">
            <v>0</v>
          </cell>
          <cell r="BN637">
            <v>4</v>
          </cell>
          <cell r="BO637">
            <v>2.5</v>
          </cell>
          <cell r="BP637">
            <v>0</v>
          </cell>
          <cell r="BQ637">
            <v>0</v>
          </cell>
          <cell r="BR637">
            <v>0</v>
          </cell>
          <cell r="BS637">
            <v>0</v>
          </cell>
          <cell r="BT637">
            <v>0</v>
          </cell>
          <cell r="BU637">
            <v>4</v>
          </cell>
          <cell r="BV637">
            <v>4</v>
          </cell>
          <cell r="BW637">
            <v>0</v>
          </cell>
          <cell r="BX637">
            <v>0</v>
          </cell>
          <cell r="BY637">
            <v>0</v>
          </cell>
          <cell r="BZ637">
            <v>0</v>
          </cell>
          <cell r="CA637">
            <v>0</v>
          </cell>
          <cell r="CB637">
            <v>4</v>
          </cell>
          <cell r="CC637">
            <v>4</v>
          </cell>
          <cell r="CD637">
            <v>0</v>
          </cell>
          <cell r="CE637">
            <v>0</v>
          </cell>
          <cell r="CF637">
            <v>0</v>
          </cell>
          <cell r="CG637">
            <v>0</v>
          </cell>
          <cell r="CH637">
            <v>0</v>
          </cell>
          <cell r="CI637">
            <v>4</v>
          </cell>
          <cell r="CJ637">
            <v>4</v>
          </cell>
          <cell r="CK637">
            <v>0</v>
          </cell>
          <cell r="CL637">
            <v>0</v>
          </cell>
          <cell r="CM637">
            <v>0</v>
          </cell>
          <cell r="CR637">
            <v>0</v>
          </cell>
          <cell r="CS637">
            <v>0</v>
          </cell>
          <cell r="CT637">
            <v>30.5</v>
          </cell>
          <cell r="CU637">
            <v>0</v>
          </cell>
          <cell r="CV637">
            <v>0</v>
          </cell>
          <cell r="CZ637">
            <v>30.5</v>
          </cell>
        </row>
        <row r="638">
          <cell r="C638" t="str">
            <v>03892</v>
          </cell>
          <cell r="D638" t="str">
            <v>Nguyễn Thị Xuân</v>
          </cell>
          <cell r="E638" t="str">
            <v>Production</v>
          </cell>
          <cell r="F638" t="str">
            <v>Molding</v>
          </cell>
          <cell r="G638" t="str">
            <v>Supervisor</v>
          </cell>
          <cell r="H638">
            <v>45063</v>
          </cell>
          <cell r="I638">
            <v>8</v>
          </cell>
          <cell r="J638">
            <v>8</v>
          </cell>
          <cell r="K638" t="str">
            <v>AL8</v>
          </cell>
          <cell r="L638" t="str">
            <v>CN</v>
          </cell>
          <cell r="M638">
            <v>8</v>
          </cell>
          <cell r="N638">
            <v>8</v>
          </cell>
          <cell r="O638">
            <v>8</v>
          </cell>
          <cell r="P638">
            <v>8</v>
          </cell>
          <cell r="Q638" t="str">
            <v>PO</v>
          </cell>
          <cell r="R638">
            <v>8</v>
          </cell>
          <cell r="S638" t="str">
            <v>CN</v>
          </cell>
          <cell r="T638">
            <v>8</v>
          </cell>
          <cell r="U638" t="str">
            <v>AL4</v>
          </cell>
          <cell r="V638">
            <v>8</v>
          </cell>
          <cell r="W638" t="str">
            <v>AL4</v>
          </cell>
          <cell r="X638">
            <v>8</v>
          </cell>
          <cell r="Y638">
            <v>8</v>
          </cell>
          <cell r="Z638" t="str">
            <v>CN</v>
          </cell>
          <cell r="AA638">
            <v>8</v>
          </cell>
          <cell r="AB638">
            <v>8</v>
          </cell>
          <cell r="AC638">
            <v>8</v>
          </cell>
          <cell r="AD638">
            <v>8</v>
          </cell>
          <cell r="AE638">
            <v>8</v>
          </cell>
          <cell r="AF638">
            <v>8</v>
          </cell>
          <cell r="AG638" t="str">
            <v>CN</v>
          </cell>
          <cell r="AH638">
            <v>8</v>
          </cell>
          <cell r="AI638" t="str">
            <v>AL4</v>
          </cell>
          <cell r="AJ638">
            <v>8</v>
          </cell>
          <cell r="AN638">
            <v>0</v>
          </cell>
          <cell r="AO638">
            <v>164</v>
          </cell>
          <cell r="AP638">
            <v>12</v>
          </cell>
          <cell r="AQ638">
            <v>0</v>
          </cell>
          <cell r="AR638">
            <v>0</v>
          </cell>
          <cell r="AS638">
            <v>0</v>
          </cell>
          <cell r="AT638">
            <v>0</v>
          </cell>
          <cell r="AU638">
            <v>0</v>
          </cell>
          <cell r="AV638">
            <v>8</v>
          </cell>
          <cell r="AW638">
            <v>0</v>
          </cell>
          <cell r="AX638">
            <v>0</v>
          </cell>
          <cell r="AY638">
            <v>0</v>
          </cell>
          <cell r="AZ638">
            <v>0</v>
          </cell>
          <cell r="BA638">
            <v>20</v>
          </cell>
          <cell r="BB638">
            <v>0</v>
          </cell>
          <cell r="BC638">
            <v>0</v>
          </cell>
          <cell r="BD638">
            <v>0</v>
          </cell>
          <cell r="BE638">
            <v>0</v>
          </cell>
          <cell r="BF638">
            <v>0</v>
          </cell>
          <cell r="BG638">
            <v>192</v>
          </cell>
          <cell r="BH638">
            <v>2.5</v>
          </cell>
          <cell r="BI638">
            <v>2.5</v>
          </cell>
          <cell r="BJ638">
            <v>0</v>
          </cell>
          <cell r="BL638">
            <v>0</v>
          </cell>
          <cell r="BM638">
            <v>3.5</v>
          </cell>
          <cell r="BN638">
            <v>0</v>
          </cell>
          <cell r="BO638">
            <v>0</v>
          </cell>
          <cell r="BP638">
            <v>0</v>
          </cell>
          <cell r="BQ638">
            <v>4</v>
          </cell>
          <cell r="BR638">
            <v>4</v>
          </cell>
          <cell r="BS638">
            <v>4</v>
          </cell>
          <cell r="BT638">
            <v>0</v>
          </cell>
          <cell r="BU638">
            <v>0</v>
          </cell>
          <cell r="BV638">
            <v>0</v>
          </cell>
          <cell r="BW638">
            <v>0</v>
          </cell>
          <cell r="BX638">
            <v>2.25</v>
          </cell>
          <cell r="BY638">
            <v>0</v>
          </cell>
          <cell r="BZ638">
            <v>4</v>
          </cell>
          <cell r="CA638">
            <v>0</v>
          </cell>
          <cell r="CB638">
            <v>4</v>
          </cell>
          <cell r="CC638">
            <v>8</v>
          </cell>
          <cell r="CD638">
            <v>0</v>
          </cell>
          <cell r="CE638">
            <v>0</v>
          </cell>
          <cell r="CF638">
            <v>4</v>
          </cell>
          <cell r="CG638">
            <v>3.5</v>
          </cell>
          <cell r="CH638">
            <v>2</v>
          </cell>
          <cell r="CI638">
            <v>0</v>
          </cell>
          <cell r="CJ638">
            <v>10</v>
          </cell>
          <cell r="CK638">
            <v>0</v>
          </cell>
          <cell r="CL638">
            <v>4</v>
          </cell>
          <cell r="CM638">
            <v>4</v>
          </cell>
          <cell r="CR638">
            <v>0</v>
          </cell>
          <cell r="CS638">
            <v>0</v>
          </cell>
          <cell r="CT638">
            <v>43.25</v>
          </cell>
          <cell r="CU638">
            <v>18</v>
          </cell>
          <cell r="CV638">
            <v>0</v>
          </cell>
          <cell r="CZ638">
            <v>61.25</v>
          </cell>
        </row>
        <row r="639">
          <cell r="C639" t="str">
            <v>03895</v>
          </cell>
          <cell r="D639" t="str">
            <v>Bùi Văn Đẳng</v>
          </cell>
          <cell r="E639" t="str">
            <v>Production</v>
          </cell>
          <cell r="F639" t="str">
            <v>Molding</v>
          </cell>
          <cell r="G639" t="str">
            <v>Worker</v>
          </cell>
          <cell r="H639">
            <v>45063</v>
          </cell>
          <cell r="I639">
            <v>8</v>
          </cell>
          <cell r="J639" t="str">
            <v>CN</v>
          </cell>
          <cell r="K639" t="str">
            <v>Đ</v>
          </cell>
          <cell r="L639" t="str">
            <v>Đ</v>
          </cell>
          <cell r="M639" t="str">
            <v>Đ</v>
          </cell>
          <cell r="N639" t="str">
            <v>Đ</v>
          </cell>
          <cell r="O639" t="str">
            <v>Đ</v>
          </cell>
          <cell r="P639" t="str">
            <v>Đ</v>
          </cell>
          <cell r="Q639" t="str">
            <v>CN</v>
          </cell>
          <cell r="R639">
            <v>8</v>
          </cell>
          <cell r="S639">
            <v>8</v>
          </cell>
          <cell r="T639">
            <v>8</v>
          </cell>
          <cell r="U639">
            <v>8</v>
          </cell>
          <cell r="V639">
            <v>8</v>
          </cell>
          <cell r="W639" t="str">
            <v>AL8</v>
          </cell>
          <cell r="X639" t="str">
            <v>CN</v>
          </cell>
          <cell r="Y639" t="str">
            <v>Đ</v>
          </cell>
          <cell r="Z639" t="str">
            <v>Đ</v>
          </cell>
          <cell r="AA639" t="str">
            <v>Đ</v>
          </cell>
          <cell r="AB639" t="str">
            <v>Đ</v>
          </cell>
          <cell r="AC639" t="str">
            <v>Đ</v>
          </cell>
          <cell r="AD639" t="str">
            <v>Đ</v>
          </cell>
          <cell r="AE639" t="str">
            <v>CN</v>
          </cell>
          <cell r="AF639">
            <v>8</v>
          </cell>
          <cell r="AG639">
            <v>8</v>
          </cell>
          <cell r="AH639">
            <v>8</v>
          </cell>
          <cell r="AI639">
            <v>8</v>
          </cell>
          <cell r="AJ639">
            <v>8</v>
          </cell>
          <cell r="AN639">
            <v>96</v>
          </cell>
          <cell r="AO639">
            <v>88</v>
          </cell>
          <cell r="AP639">
            <v>0</v>
          </cell>
          <cell r="AQ639">
            <v>0</v>
          </cell>
          <cell r="AR639">
            <v>0</v>
          </cell>
          <cell r="AS639">
            <v>0</v>
          </cell>
          <cell r="AT639">
            <v>0</v>
          </cell>
          <cell r="AU639">
            <v>0</v>
          </cell>
          <cell r="AV639">
            <v>0</v>
          </cell>
          <cell r="AW639">
            <v>0</v>
          </cell>
          <cell r="AX639">
            <v>0</v>
          </cell>
          <cell r="AY639">
            <v>0</v>
          </cell>
          <cell r="AZ639">
            <v>0</v>
          </cell>
          <cell r="BA639">
            <v>8</v>
          </cell>
          <cell r="BB639">
            <v>0</v>
          </cell>
          <cell r="BC639">
            <v>0</v>
          </cell>
          <cell r="BD639">
            <v>0</v>
          </cell>
          <cell r="BE639">
            <v>0</v>
          </cell>
          <cell r="BF639">
            <v>0</v>
          </cell>
          <cell r="BG639">
            <v>192</v>
          </cell>
          <cell r="BH639">
            <v>1</v>
          </cell>
          <cell r="BI639">
            <v>1</v>
          </cell>
          <cell r="BJ639">
            <v>2</v>
          </cell>
          <cell r="BL639">
            <v>0</v>
          </cell>
          <cell r="BM639">
            <v>0</v>
          </cell>
          <cell r="BN639">
            <v>4</v>
          </cell>
          <cell r="BO639">
            <v>4</v>
          </cell>
          <cell r="BP639">
            <v>0</v>
          </cell>
          <cell r="BQ639">
            <v>0</v>
          </cell>
          <cell r="BR639">
            <v>0</v>
          </cell>
          <cell r="BS639">
            <v>0</v>
          </cell>
          <cell r="BT639">
            <v>0</v>
          </cell>
          <cell r="BU639">
            <v>4</v>
          </cell>
          <cell r="BV639">
            <v>4</v>
          </cell>
          <cell r="BW639">
            <v>0</v>
          </cell>
          <cell r="BX639">
            <v>0</v>
          </cell>
          <cell r="BY639">
            <v>4</v>
          </cell>
          <cell r="BZ639">
            <v>0</v>
          </cell>
          <cell r="CA639">
            <v>0</v>
          </cell>
          <cell r="CB639">
            <v>4</v>
          </cell>
          <cell r="CC639">
            <v>4</v>
          </cell>
          <cell r="CD639">
            <v>0</v>
          </cell>
          <cell r="CE639">
            <v>0</v>
          </cell>
          <cell r="CF639">
            <v>0</v>
          </cell>
          <cell r="CG639">
            <v>0</v>
          </cell>
          <cell r="CH639">
            <v>0</v>
          </cell>
          <cell r="CI639">
            <v>4</v>
          </cell>
          <cell r="CJ639">
            <v>4</v>
          </cell>
          <cell r="CK639">
            <v>0</v>
          </cell>
          <cell r="CL639">
            <v>0</v>
          </cell>
          <cell r="CM639">
            <v>0</v>
          </cell>
          <cell r="CR639">
            <v>0</v>
          </cell>
          <cell r="CS639">
            <v>0</v>
          </cell>
          <cell r="CT639">
            <v>36</v>
          </cell>
          <cell r="CU639">
            <v>0</v>
          </cell>
          <cell r="CV639">
            <v>0</v>
          </cell>
          <cell r="CZ639">
            <v>36</v>
          </cell>
        </row>
        <row r="640">
          <cell r="C640" t="str">
            <v>03900</v>
          </cell>
          <cell r="D640" t="str">
            <v>Trần Thị Thu Vân</v>
          </cell>
          <cell r="E640" t="str">
            <v>HR &amp; Admin</v>
          </cell>
          <cell r="F640" t="str">
            <v>HR</v>
          </cell>
          <cell r="G640" t="str">
            <v>Associate Specialist</v>
          </cell>
          <cell r="H640">
            <v>45078</v>
          </cell>
          <cell r="I640">
            <v>8</v>
          </cell>
          <cell r="J640">
            <v>8</v>
          </cell>
          <cell r="K640" t="str">
            <v>PO</v>
          </cell>
          <cell r="L640" t="str">
            <v>CN</v>
          </cell>
          <cell r="M640">
            <v>8</v>
          </cell>
          <cell r="N640">
            <v>8</v>
          </cell>
          <cell r="O640">
            <v>8</v>
          </cell>
          <cell r="P640">
            <v>8</v>
          </cell>
          <cell r="Q640" t="str">
            <v>WH4/PO4</v>
          </cell>
          <cell r="R640" t="str">
            <v>PO</v>
          </cell>
          <cell r="S640" t="str">
            <v>CN</v>
          </cell>
          <cell r="T640" t="str">
            <v>AL4</v>
          </cell>
          <cell r="U640">
            <v>8</v>
          </cell>
          <cell r="V640">
            <v>8</v>
          </cell>
          <cell r="W640">
            <v>8</v>
          </cell>
          <cell r="X640">
            <v>8</v>
          </cell>
          <cell r="Y640" t="str">
            <v>PO</v>
          </cell>
          <cell r="Z640" t="str">
            <v>CN</v>
          </cell>
          <cell r="AA640">
            <v>8</v>
          </cell>
          <cell r="AB640" t="str">
            <v>WH</v>
          </cell>
          <cell r="AC640">
            <v>8</v>
          </cell>
          <cell r="AD640">
            <v>8</v>
          </cell>
          <cell r="AE640">
            <v>8</v>
          </cell>
          <cell r="AF640" t="str">
            <v>PO</v>
          </cell>
          <cell r="AG640" t="str">
            <v>CN</v>
          </cell>
          <cell r="AH640">
            <v>8</v>
          </cell>
          <cell r="AI640" t="str">
            <v>AL8</v>
          </cell>
          <cell r="AJ640">
            <v>8</v>
          </cell>
          <cell r="AN640">
            <v>0</v>
          </cell>
          <cell r="AO640">
            <v>132</v>
          </cell>
          <cell r="AP640">
            <v>4</v>
          </cell>
          <cell r="AQ640">
            <v>0</v>
          </cell>
          <cell r="AR640">
            <v>0</v>
          </cell>
          <cell r="AS640">
            <v>0</v>
          </cell>
          <cell r="AT640">
            <v>0</v>
          </cell>
          <cell r="AU640">
            <v>0</v>
          </cell>
          <cell r="AV640">
            <v>36</v>
          </cell>
          <cell r="AW640">
            <v>0</v>
          </cell>
          <cell r="AX640">
            <v>0</v>
          </cell>
          <cell r="AY640">
            <v>0</v>
          </cell>
          <cell r="AZ640">
            <v>0</v>
          </cell>
          <cell r="BA640">
            <v>12</v>
          </cell>
          <cell r="BB640">
            <v>0</v>
          </cell>
          <cell r="BC640">
            <v>0</v>
          </cell>
          <cell r="BD640">
            <v>12</v>
          </cell>
          <cell r="BE640">
            <v>0</v>
          </cell>
          <cell r="BF640">
            <v>0</v>
          </cell>
          <cell r="BG640">
            <v>192</v>
          </cell>
          <cell r="BH640">
            <v>1.5</v>
          </cell>
          <cell r="BI640">
            <v>1.5</v>
          </cell>
          <cell r="BJ640">
            <v>3.5</v>
          </cell>
          <cell r="BL640">
            <v>0</v>
          </cell>
          <cell r="BM640">
            <v>0</v>
          </cell>
          <cell r="BN640">
            <v>0</v>
          </cell>
          <cell r="BO640">
            <v>0</v>
          </cell>
          <cell r="BP640">
            <v>0</v>
          </cell>
          <cell r="BQ640">
            <v>0</v>
          </cell>
          <cell r="BR640">
            <v>0</v>
          </cell>
          <cell r="BS640">
            <v>0</v>
          </cell>
          <cell r="BT640">
            <v>0</v>
          </cell>
          <cell r="BU640">
            <v>0</v>
          </cell>
          <cell r="BV640">
            <v>0</v>
          </cell>
          <cell r="BW640">
            <v>0</v>
          </cell>
          <cell r="BX640">
            <v>0</v>
          </cell>
          <cell r="BY640">
            <v>0</v>
          </cell>
          <cell r="BZ640">
            <v>0</v>
          </cell>
          <cell r="CA640">
            <v>0</v>
          </cell>
          <cell r="CB640">
            <v>0</v>
          </cell>
          <cell r="CC640">
            <v>0</v>
          </cell>
          <cell r="CD640">
            <v>0</v>
          </cell>
          <cell r="CE640">
            <v>0</v>
          </cell>
          <cell r="CF640">
            <v>0</v>
          </cell>
          <cell r="CG640">
            <v>0</v>
          </cell>
          <cell r="CH640">
            <v>0</v>
          </cell>
          <cell r="CI640">
            <v>0</v>
          </cell>
          <cell r="CJ640">
            <v>0</v>
          </cell>
          <cell r="CK640">
            <v>0</v>
          </cell>
          <cell r="CL640">
            <v>0</v>
          </cell>
          <cell r="CM640">
            <v>0</v>
          </cell>
          <cell r="CR640">
            <v>0</v>
          </cell>
          <cell r="CS640">
            <v>0</v>
          </cell>
          <cell r="CT640">
            <v>0</v>
          </cell>
          <cell r="CU640">
            <v>0</v>
          </cell>
          <cell r="CV640">
            <v>0</v>
          </cell>
          <cell r="CZ640">
            <v>0</v>
          </cell>
        </row>
        <row r="641">
          <cell r="C641" t="str">
            <v>03907</v>
          </cell>
          <cell r="D641" t="str">
            <v>Nguyễn Thị Thanh Tâm</v>
          </cell>
          <cell r="E641" t="str">
            <v>Foaming</v>
          </cell>
          <cell r="F641" t="str">
            <v>FOAMING Production control</v>
          </cell>
          <cell r="G641" t="str">
            <v>Staff</v>
          </cell>
          <cell r="H641">
            <v>45138</v>
          </cell>
          <cell r="I641">
            <v>8</v>
          </cell>
          <cell r="J641">
            <v>8</v>
          </cell>
          <cell r="K641" t="str">
            <v>PO</v>
          </cell>
          <cell r="L641" t="str">
            <v>CN</v>
          </cell>
          <cell r="M641">
            <v>8</v>
          </cell>
          <cell r="N641">
            <v>8</v>
          </cell>
          <cell r="O641">
            <v>8</v>
          </cell>
          <cell r="P641">
            <v>8</v>
          </cell>
          <cell r="Q641">
            <v>8</v>
          </cell>
          <cell r="R641" t="str">
            <v>PO</v>
          </cell>
          <cell r="S641" t="str">
            <v>CN</v>
          </cell>
          <cell r="T641">
            <v>8</v>
          </cell>
          <cell r="U641" t="str">
            <v>WH</v>
          </cell>
          <cell r="V641">
            <v>8</v>
          </cell>
          <cell r="W641">
            <v>8</v>
          </cell>
          <cell r="X641">
            <v>8</v>
          </cell>
          <cell r="Y641" t="str">
            <v>PO</v>
          </cell>
          <cell r="Z641" t="str">
            <v>CN</v>
          </cell>
          <cell r="AA641">
            <v>8</v>
          </cell>
          <cell r="AB641">
            <v>8</v>
          </cell>
          <cell r="AC641">
            <v>8</v>
          </cell>
          <cell r="AD641">
            <v>8</v>
          </cell>
          <cell r="AE641">
            <v>8</v>
          </cell>
          <cell r="AF641" t="str">
            <v>PO</v>
          </cell>
          <cell r="AG641" t="str">
            <v>CN</v>
          </cell>
          <cell r="AH641">
            <v>8</v>
          </cell>
          <cell r="AI641">
            <v>8</v>
          </cell>
          <cell r="AJ641">
            <v>8</v>
          </cell>
          <cell r="AN641">
            <v>0</v>
          </cell>
          <cell r="AO641">
            <v>152</v>
          </cell>
          <cell r="AP641">
            <v>0</v>
          </cell>
          <cell r="AQ641">
            <v>0</v>
          </cell>
          <cell r="AR641">
            <v>0</v>
          </cell>
          <cell r="AS641">
            <v>0</v>
          </cell>
          <cell r="AT641">
            <v>0</v>
          </cell>
          <cell r="AU641">
            <v>0</v>
          </cell>
          <cell r="AV641">
            <v>32</v>
          </cell>
          <cell r="AW641">
            <v>0</v>
          </cell>
          <cell r="AX641">
            <v>0</v>
          </cell>
          <cell r="AY641">
            <v>0</v>
          </cell>
          <cell r="AZ641">
            <v>0</v>
          </cell>
          <cell r="BA641">
            <v>0</v>
          </cell>
          <cell r="BB641">
            <v>0</v>
          </cell>
          <cell r="BC641">
            <v>0</v>
          </cell>
          <cell r="BD641">
            <v>8</v>
          </cell>
          <cell r="BE641">
            <v>0</v>
          </cell>
          <cell r="BF641">
            <v>0</v>
          </cell>
          <cell r="BG641">
            <v>192</v>
          </cell>
          <cell r="BH641">
            <v>0</v>
          </cell>
          <cell r="BI641">
            <v>0</v>
          </cell>
          <cell r="BJ641">
            <v>9</v>
          </cell>
          <cell r="BL641">
            <v>0</v>
          </cell>
          <cell r="BM641">
            <v>0</v>
          </cell>
          <cell r="BN641">
            <v>0</v>
          </cell>
          <cell r="BO641">
            <v>0</v>
          </cell>
          <cell r="BP641">
            <v>0</v>
          </cell>
          <cell r="BQ641">
            <v>0</v>
          </cell>
          <cell r="BR641">
            <v>0</v>
          </cell>
          <cell r="BS641">
            <v>0</v>
          </cell>
          <cell r="BT641">
            <v>0</v>
          </cell>
          <cell r="BU641">
            <v>0</v>
          </cell>
          <cell r="BV641">
            <v>0</v>
          </cell>
          <cell r="BW641">
            <v>0</v>
          </cell>
          <cell r="BX641">
            <v>0</v>
          </cell>
          <cell r="BY641">
            <v>0</v>
          </cell>
          <cell r="BZ641">
            <v>0</v>
          </cell>
          <cell r="CA641">
            <v>0</v>
          </cell>
          <cell r="CB641">
            <v>0</v>
          </cell>
          <cell r="CC641">
            <v>0</v>
          </cell>
          <cell r="CD641">
            <v>0</v>
          </cell>
          <cell r="CE641">
            <v>0</v>
          </cell>
          <cell r="CF641">
            <v>0</v>
          </cell>
          <cell r="CG641">
            <v>0</v>
          </cell>
          <cell r="CH641">
            <v>0</v>
          </cell>
          <cell r="CI641">
            <v>0</v>
          </cell>
          <cell r="CJ641">
            <v>0</v>
          </cell>
          <cell r="CK641">
            <v>0</v>
          </cell>
          <cell r="CL641">
            <v>0</v>
          </cell>
          <cell r="CM641">
            <v>0</v>
          </cell>
          <cell r="CR641">
            <v>0</v>
          </cell>
          <cell r="CS641">
            <v>0</v>
          </cell>
          <cell r="CT641">
            <v>0</v>
          </cell>
          <cell r="CU641">
            <v>0</v>
          </cell>
          <cell r="CV641">
            <v>0</v>
          </cell>
          <cell r="CZ641">
            <v>0</v>
          </cell>
        </row>
        <row r="642">
          <cell r="C642" t="str">
            <v>03915</v>
          </cell>
          <cell r="D642" t="str">
            <v>Võ Thị Bảo Trân</v>
          </cell>
          <cell r="E642" t="str">
            <v>Production</v>
          </cell>
          <cell r="F642" t="str">
            <v>Die Cut</v>
          </cell>
          <cell r="G642" t="str">
            <v>Worker</v>
          </cell>
          <cell r="H642">
            <v>45160</v>
          </cell>
          <cell r="I642" t="str">
            <v>Đ</v>
          </cell>
          <cell r="J642" t="str">
            <v>Đ</v>
          </cell>
          <cell r="K642" t="str">
            <v>Đ</v>
          </cell>
          <cell r="L642" t="str">
            <v>CN</v>
          </cell>
          <cell r="M642" t="str">
            <v>SL</v>
          </cell>
          <cell r="N642">
            <v>8</v>
          </cell>
          <cell r="O642">
            <v>8</v>
          </cell>
          <cell r="P642">
            <v>8</v>
          </cell>
          <cell r="Q642">
            <v>8</v>
          </cell>
          <cell r="R642">
            <v>8</v>
          </cell>
          <cell r="S642" t="str">
            <v>CN</v>
          </cell>
          <cell r="T642" t="str">
            <v>Đ</v>
          </cell>
          <cell r="U642" t="str">
            <v>Đ</v>
          </cell>
          <cell r="V642" t="str">
            <v>AL8</v>
          </cell>
          <cell r="W642" t="str">
            <v>Đ</v>
          </cell>
          <cell r="X642" t="str">
            <v>Đ</v>
          </cell>
          <cell r="Y642" t="str">
            <v>Đ</v>
          </cell>
          <cell r="Z642" t="str">
            <v>CN</v>
          </cell>
          <cell r="AA642">
            <v>8</v>
          </cell>
          <cell r="AB642">
            <v>8</v>
          </cell>
          <cell r="AC642">
            <v>8</v>
          </cell>
          <cell r="AD642" t="str">
            <v>SL</v>
          </cell>
          <cell r="AE642">
            <v>8</v>
          </cell>
          <cell r="AF642">
            <v>8</v>
          </cell>
          <cell r="AG642" t="str">
            <v>CN</v>
          </cell>
          <cell r="AH642" t="str">
            <v>Đ</v>
          </cell>
          <cell r="AI642" t="str">
            <v>Đ</v>
          </cell>
          <cell r="AJ642" t="str">
            <v>Đ</v>
          </cell>
          <cell r="AN642">
            <v>88</v>
          </cell>
          <cell r="AO642">
            <v>80</v>
          </cell>
          <cell r="AP642">
            <v>0</v>
          </cell>
          <cell r="AQ642">
            <v>2</v>
          </cell>
          <cell r="AR642">
            <v>0</v>
          </cell>
          <cell r="AS642">
            <v>0</v>
          </cell>
          <cell r="AT642">
            <v>0</v>
          </cell>
          <cell r="AU642">
            <v>0</v>
          </cell>
          <cell r="AV642">
            <v>0</v>
          </cell>
          <cell r="AW642">
            <v>0</v>
          </cell>
          <cell r="AX642">
            <v>0</v>
          </cell>
          <cell r="AY642">
            <v>0</v>
          </cell>
          <cell r="AZ642">
            <v>0</v>
          </cell>
          <cell r="BA642">
            <v>8</v>
          </cell>
          <cell r="BB642">
            <v>0</v>
          </cell>
          <cell r="BC642">
            <v>0</v>
          </cell>
          <cell r="BD642">
            <v>0</v>
          </cell>
          <cell r="BE642">
            <v>0</v>
          </cell>
          <cell r="BF642">
            <v>0</v>
          </cell>
          <cell r="BG642">
            <v>176</v>
          </cell>
          <cell r="BH642">
            <v>1</v>
          </cell>
          <cell r="BI642">
            <v>1</v>
          </cell>
          <cell r="BJ642">
            <v>-1</v>
          </cell>
          <cell r="BL642">
            <v>1.5</v>
          </cell>
          <cell r="BM642">
            <v>1.5</v>
          </cell>
          <cell r="BN642">
            <v>1.5</v>
          </cell>
          <cell r="BO642">
            <v>0</v>
          </cell>
          <cell r="BP642">
            <v>0</v>
          </cell>
          <cell r="BQ642">
            <v>0</v>
          </cell>
          <cell r="BR642">
            <v>0</v>
          </cell>
          <cell r="BS642">
            <v>0</v>
          </cell>
          <cell r="BT642">
            <v>0</v>
          </cell>
          <cell r="BU642">
            <v>3</v>
          </cell>
          <cell r="BV642">
            <v>0</v>
          </cell>
          <cell r="BW642">
            <v>4</v>
          </cell>
          <cell r="BX642">
            <v>4</v>
          </cell>
          <cell r="BY642">
            <v>0</v>
          </cell>
          <cell r="BZ642">
            <v>4</v>
          </cell>
          <cell r="CA642">
            <v>4</v>
          </cell>
          <cell r="CB642">
            <v>4</v>
          </cell>
          <cell r="CC642">
            <v>0</v>
          </cell>
          <cell r="CD642">
            <v>3</v>
          </cell>
          <cell r="CE642">
            <v>3</v>
          </cell>
          <cell r="CF642">
            <v>3</v>
          </cell>
          <cell r="CG642">
            <v>0</v>
          </cell>
          <cell r="CH642">
            <v>3</v>
          </cell>
          <cell r="CI642">
            <v>3</v>
          </cell>
          <cell r="CJ642">
            <v>8</v>
          </cell>
          <cell r="CK642">
            <v>4</v>
          </cell>
          <cell r="CL642">
            <v>4</v>
          </cell>
          <cell r="CM642">
            <v>4</v>
          </cell>
          <cell r="CR642">
            <v>0</v>
          </cell>
          <cell r="CS642">
            <v>0</v>
          </cell>
          <cell r="CT642">
            <v>54.5</v>
          </cell>
          <cell r="CU642">
            <v>8</v>
          </cell>
          <cell r="CV642">
            <v>0</v>
          </cell>
          <cell r="CZ642">
            <v>62.5</v>
          </cell>
        </row>
        <row r="643">
          <cell r="C643" t="str">
            <v>03917</v>
          </cell>
          <cell r="D643" t="str">
            <v>Trương Minh Bảo Ngoan</v>
          </cell>
          <cell r="E643" t="str">
            <v>Production</v>
          </cell>
          <cell r="F643" t="str">
            <v>Lamination</v>
          </cell>
          <cell r="G643" t="str">
            <v>Worker</v>
          </cell>
          <cell r="H643">
            <v>45160</v>
          </cell>
          <cell r="I643">
            <v>8</v>
          </cell>
          <cell r="J643">
            <v>8</v>
          </cell>
          <cell r="K643">
            <v>8</v>
          </cell>
          <cell r="L643" t="str">
            <v>CN</v>
          </cell>
          <cell r="M643" t="str">
            <v>Đ</v>
          </cell>
          <cell r="N643" t="str">
            <v>Đ</v>
          </cell>
          <cell r="O643" t="str">
            <v>Đ</v>
          </cell>
          <cell r="P643" t="str">
            <v>Đ</v>
          </cell>
          <cell r="Q643" t="str">
            <v>Đ</v>
          </cell>
          <cell r="R643" t="str">
            <v>Đ</v>
          </cell>
          <cell r="S643" t="str">
            <v>CN</v>
          </cell>
          <cell r="T643">
            <v>8</v>
          </cell>
          <cell r="U643">
            <v>8</v>
          </cell>
          <cell r="V643">
            <v>8</v>
          </cell>
          <cell r="W643">
            <v>8</v>
          </cell>
          <cell r="X643">
            <v>8</v>
          </cell>
          <cell r="Y643">
            <v>8</v>
          </cell>
          <cell r="Z643" t="str">
            <v>CN</v>
          </cell>
          <cell r="AA643">
            <v>8</v>
          </cell>
          <cell r="AB643">
            <v>8</v>
          </cell>
          <cell r="AC643">
            <v>8</v>
          </cell>
          <cell r="AD643">
            <v>8</v>
          </cell>
          <cell r="AE643" t="str">
            <v>Đ</v>
          </cell>
          <cell r="AF643" t="str">
            <v>Đ</v>
          </cell>
          <cell r="AG643" t="str">
            <v>CN</v>
          </cell>
          <cell r="AH643">
            <v>8</v>
          </cell>
          <cell r="AI643">
            <v>8</v>
          </cell>
          <cell r="AJ643">
            <v>8</v>
          </cell>
          <cell r="AN643">
            <v>64</v>
          </cell>
          <cell r="AO643">
            <v>128</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192</v>
          </cell>
          <cell r="BH643">
            <v>0</v>
          </cell>
          <cell r="BI643">
            <v>0</v>
          </cell>
          <cell r="BJ643">
            <v>1.5</v>
          </cell>
          <cell r="BL643">
            <v>0</v>
          </cell>
          <cell r="BM643">
            <v>0</v>
          </cell>
          <cell r="BN643">
            <v>0</v>
          </cell>
          <cell r="BO643">
            <v>0</v>
          </cell>
          <cell r="BP643">
            <v>0</v>
          </cell>
          <cell r="BQ643">
            <v>0</v>
          </cell>
          <cell r="BR643">
            <v>0</v>
          </cell>
          <cell r="BS643">
            <v>0</v>
          </cell>
          <cell r="BT643">
            <v>0</v>
          </cell>
          <cell r="BU643">
            <v>0</v>
          </cell>
          <cell r="BV643">
            <v>0</v>
          </cell>
          <cell r="BW643">
            <v>0</v>
          </cell>
          <cell r="BX643">
            <v>0</v>
          </cell>
          <cell r="BY643">
            <v>0</v>
          </cell>
          <cell r="BZ643">
            <v>0</v>
          </cell>
          <cell r="CA643">
            <v>0</v>
          </cell>
          <cell r="CB643">
            <v>0</v>
          </cell>
          <cell r="CC643">
            <v>0</v>
          </cell>
          <cell r="CD643">
            <v>4</v>
          </cell>
          <cell r="CE643">
            <v>4</v>
          </cell>
          <cell r="CF643">
            <v>4</v>
          </cell>
          <cell r="CG643">
            <v>0</v>
          </cell>
          <cell r="CH643">
            <v>4</v>
          </cell>
          <cell r="CI643">
            <v>4</v>
          </cell>
          <cell r="CJ643">
            <v>0</v>
          </cell>
          <cell r="CK643">
            <v>0</v>
          </cell>
          <cell r="CL643">
            <v>4</v>
          </cell>
          <cell r="CM643">
            <v>0</v>
          </cell>
          <cell r="CR643">
            <v>0</v>
          </cell>
          <cell r="CS643">
            <v>0</v>
          </cell>
          <cell r="CT643">
            <v>24</v>
          </cell>
          <cell r="CU643">
            <v>0</v>
          </cell>
          <cell r="CV643">
            <v>0</v>
          </cell>
          <cell r="CZ643">
            <v>24</v>
          </cell>
        </row>
        <row r="644">
          <cell r="C644" t="str">
            <v>03918</v>
          </cell>
          <cell r="D644" t="str">
            <v>Đàm Thị Khiêm</v>
          </cell>
          <cell r="E644" t="str">
            <v>Production</v>
          </cell>
          <cell r="F644" t="str">
            <v>Packing</v>
          </cell>
          <cell r="G644" t="str">
            <v>Worker</v>
          </cell>
          <cell r="H644">
            <v>45160</v>
          </cell>
          <cell r="I644" t="str">
            <v>TV</v>
          </cell>
          <cell r="J644" t="str">
            <v>TV</v>
          </cell>
          <cell r="K644" t="str">
            <v>TV</v>
          </cell>
          <cell r="L644" t="str">
            <v>TV</v>
          </cell>
          <cell r="M644" t="str">
            <v>TV</v>
          </cell>
          <cell r="N644" t="str">
            <v>TV</v>
          </cell>
          <cell r="O644" t="str">
            <v>TV</v>
          </cell>
          <cell r="P644" t="str">
            <v>TV</v>
          </cell>
          <cell r="Q644" t="str">
            <v>TV</v>
          </cell>
          <cell r="R644" t="str">
            <v>TV</v>
          </cell>
          <cell r="S644" t="str">
            <v>TV</v>
          </cell>
          <cell r="T644" t="str">
            <v>TV</v>
          </cell>
          <cell r="U644" t="str">
            <v>TV</v>
          </cell>
          <cell r="V644" t="str">
            <v>TV</v>
          </cell>
          <cell r="W644" t="str">
            <v>TV</v>
          </cell>
          <cell r="X644" t="str">
            <v>TV</v>
          </cell>
          <cell r="Y644" t="str">
            <v>TV</v>
          </cell>
          <cell r="Z644" t="str">
            <v>TV</v>
          </cell>
          <cell r="AA644" t="str">
            <v>TV</v>
          </cell>
          <cell r="AB644" t="str">
            <v>TV</v>
          </cell>
          <cell r="AC644" t="str">
            <v>TV</v>
          </cell>
          <cell r="AD644" t="str">
            <v>TV</v>
          </cell>
          <cell r="AE644" t="str">
            <v>TV</v>
          </cell>
          <cell r="AF644" t="str">
            <v>TV</v>
          </cell>
          <cell r="AG644" t="str">
            <v>TV</v>
          </cell>
          <cell r="AH644" t="str">
            <v>TV</v>
          </cell>
          <cell r="AI644" t="str">
            <v>TV</v>
          </cell>
          <cell r="AJ644" t="str">
            <v>TV</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1</v>
          </cell>
          <cell r="BL644">
            <v>0</v>
          </cell>
          <cell r="BM644">
            <v>0</v>
          </cell>
          <cell r="BN644">
            <v>0</v>
          </cell>
          <cell r="BO644">
            <v>0</v>
          </cell>
          <cell r="BP644">
            <v>0</v>
          </cell>
          <cell r="BQ644">
            <v>0</v>
          </cell>
          <cell r="BR644">
            <v>0</v>
          </cell>
          <cell r="BS644">
            <v>0</v>
          </cell>
          <cell r="BT644">
            <v>0</v>
          </cell>
          <cell r="BU644">
            <v>0</v>
          </cell>
          <cell r="BV644">
            <v>0</v>
          </cell>
          <cell r="BW644">
            <v>0</v>
          </cell>
          <cell r="BX644">
            <v>0</v>
          </cell>
          <cell r="BY644">
            <v>0</v>
          </cell>
          <cell r="BZ644">
            <v>0</v>
          </cell>
          <cell r="CA644">
            <v>0</v>
          </cell>
          <cell r="CB644">
            <v>0</v>
          </cell>
          <cell r="CC644">
            <v>0</v>
          </cell>
          <cell r="CD644">
            <v>0</v>
          </cell>
          <cell r="CE644">
            <v>0</v>
          </cell>
          <cell r="CF644">
            <v>0</v>
          </cell>
          <cell r="CG644">
            <v>0</v>
          </cell>
          <cell r="CH644">
            <v>0</v>
          </cell>
          <cell r="CI644">
            <v>0</v>
          </cell>
          <cell r="CJ644">
            <v>0</v>
          </cell>
          <cell r="CK644">
            <v>0</v>
          </cell>
          <cell r="CL644">
            <v>0</v>
          </cell>
          <cell r="CM644">
            <v>0</v>
          </cell>
          <cell r="CR644">
            <v>0</v>
          </cell>
          <cell r="CS644">
            <v>0</v>
          </cell>
          <cell r="CT644">
            <v>0</v>
          </cell>
          <cell r="CU644">
            <v>0</v>
          </cell>
          <cell r="CV644">
            <v>0</v>
          </cell>
          <cell r="CZ644">
            <v>0</v>
          </cell>
        </row>
        <row r="645">
          <cell r="C645" t="str">
            <v>03919</v>
          </cell>
          <cell r="D645" t="str">
            <v>Phạm Thị Thúy</v>
          </cell>
          <cell r="E645" t="str">
            <v>Production</v>
          </cell>
          <cell r="F645" t="str">
            <v>Packing</v>
          </cell>
          <cell r="G645" t="str">
            <v>Vice Leader</v>
          </cell>
          <cell r="H645">
            <v>45160</v>
          </cell>
          <cell r="I645" t="str">
            <v>M</v>
          </cell>
          <cell r="J645">
            <v>8</v>
          </cell>
          <cell r="K645">
            <v>8</v>
          </cell>
          <cell r="L645" t="str">
            <v>CN</v>
          </cell>
          <cell r="M645">
            <v>8</v>
          </cell>
          <cell r="N645">
            <v>8</v>
          </cell>
          <cell r="O645">
            <v>8</v>
          </cell>
          <cell r="P645">
            <v>8</v>
          </cell>
          <cell r="Q645">
            <v>8</v>
          </cell>
          <cell r="R645">
            <v>8</v>
          </cell>
          <cell r="S645" t="str">
            <v>CN</v>
          </cell>
          <cell r="T645">
            <v>8</v>
          </cell>
          <cell r="U645">
            <v>8</v>
          </cell>
          <cell r="V645">
            <v>8</v>
          </cell>
          <cell r="W645">
            <v>8</v>
          </cell>
          <cell r="X645">
            <v>8</v>
          </cell>
          <cell r="Y645">
            <v>8</v>
          </cell>
          <cell r="Z645" t="str">
            <v>CN</v>
          </cell>
          <cell r="AA645">
            <v>8</v>
          </cell>
          <cell r="AB645">
            <v>8</v>
          </cell>
          <cell r="AC645">
            <v>8</v>
          </cell>
          <cell r="AD645">
            <v>8</v>
          </cell>
          <cell r="AE645">
            <v>8</v>
          </cell>
          <cell r="AF645">
            <v>8</v>
          </cell>
          <cell r="AG645" t="str">
            <v>CN</v>
          </cell>
          <cell r="AH645" t="str">
            <v>AL8</v>
          </cell>
          <cell r="AI645">
            <v>8</v>
          </cell>
          <cell r="AJ645">
            <v>8</v>
          </cell>
          <cell r="AN645">
            <v>0</v>
          </cell>
          <cell r="AO645">
            <v>176</v>
          </cell>
          <cell r="AP645">
            <v>0</v>
          </cell>
          <cell r="AQ645">
            <v>0</v>
          </cell>
          <cell r="AR645">
            <v>0</v>
          </cell>
          <cell r="AS645">
            <v>0</v>
          </cell>
          <cell r="AT645">
            <v>0</v>
          </cell>
          <cell r="AU645">
            <v>0</v>
          </cell>
          <cell r="AV645">
            <v>0</v>
          </cell>
          <cell r="AW645">
            <v>0</v>
          </cell>
          <cell r="AX645">
            <v>8</v>
          </cell>
          <cell r="AY645">
            <v>0</v>
          </cell>
          <cell r="AZ645">
            <v>0</v>
          </cell>
          <cell r="BA645">
            <v>8</v>
          </cell>
          <cell r="BB645">
            <v>0</v>
          </cell>
          <cell r="BC645">
            <v>0</v>
          </cell>
          <cell r="BD645">
            <v>0</v>
          </cell>
          <cell r="BE645">
            <v>0</v>
          </cell>
          <cell r="BF645">
            <v>0</v>
          </cell>
          <cell r="BG645">
            <v>184</v>
          </cell>
          <cell r="BH645">
            <v>1</v>
          </cell>
          <cell r="BI645">
            <v>1</v>
          </cell>
          <cell r="BJ645">
            <v>0</v>
          </cell>
          <cell r="BL645">
            <v>0</v>
          </cell>
          <cell r="BM645">
            <v>0</v>
          </cell>
          <cell r="BN645">
            <v>0</v>
          </cell>
          <cell r="BO645">
            <v>0</v>
          </cell>
          <cell r="BP645">
            <v>0</v>
          </cell>
          <cell r="BQ645">
            <v>0</v>
          </cell>
          <cell r="BR645">
            <v>0</v>
          </cell>
          <cell r="BS645">
            <v>0</v>
          </cell>
          <cell r="BT645">
            <v>0</v>
          </cell>
          <cell r="BU645">
            <v>0</v>
          </cell>
          <cell r="BV645">
            <v>0</v>
          </cell>
          <cell r="BW645">
            <v>0</v>
          </cell>
          <cell r="BX645">
            <v>0</v>
          </cell>
          <cell r="BY645">
            <v>0</v>
          </cell>
          <cell r="BZ645">
            <v>0</v>
          </cell>
          <cell r="CA645">
            <v>0</v>
          </cell>
          <cell r="CB645">
            <v>0</v>
          </cell>
          <cell r="CC645">
            <v>0</v>
          </cell>
          <cell r="CD645">
            <v>0</v>
          </cell>
          <cell r="CE645">
            <v>0</v>
          </cell>
          <cell r="CF645">
            <v>0</v>
          </cell>
          <cell r="CG645">
            <v>0</v>
          </cell>
          <cell r="CH645">
            <v>0</v>
          </cell>
          <cell r="CI645">
            <v>0</v>
          </cell>
          <cell r="CJ645">
            <v>0</v>
          </cell>
          <cell r="CK645">
            <v>0</v>
          </cell>
          <cell r="CL645">
            <v>0</v>
          </cell>
          <cell r="CM645">
            <v>0</v>
          </cell>
          <cell r="CR645">
            <v>0</v>
          </cell>
          <cell r="CS645">
            <v>0</v>
          </cell>
          <cell r="CT645">
            <v>0</v>
          </cell>
          <cell r="CU645">
            <v>0</v>
          </cell>
          <cell r="CV645">
            <v>0</v>
          </cell>
          <cell r="CZ645">
            <v>0</v>
          </cell>
        </row>
        <row r="646">
          <cell r="C646" t="str">
            <v>03923</v>
          </cell>
          <cell r="D646" t="str">
            <v>Phan Thị Linh Nhi</v>
          </cell>
          <cell r="E646" t="str">
            <v>Production</v>
          </cell>
          <cell r="F646" t="str">
            <v>Lamination</v>
          </cell>
          <cell r="G646" t="str">
            <v>Worker</v>
          </cell>
          <cell r="H646">
            <v>45167</v>
          </cell>
          <cell r="I646" t="str">
            <v>AL4</v>
          </cell>
          <cell r="J646">
            <v>8</v>
          </cell>
          <cell r="K646">
            <v>8</v>
          </cell>
          <cell r="L646" t="str">
            <v>CN</v>
          </cell>
          <cell r="M646" t="str">
            <v>Đ</v>
          </cell>
          <cell r="N646" t="str">
            <v>Đ</v>
          </cell>
          <cell r="O646" t="str">
            <v>Đ</v>
          </cell>
          <cell r="P646" t="str">
            <v>Đ</v>
          </cell>
          <cell r="Q646" t="str">
            <v>Đ</v>
          </cell>
          <cell r="R646" t="str">
            <v>Đ</v>
          </cell>
          <cell r="S646" t="str">
            <v>CN</v>
          </cell>
          <cell r="T646">
            <v>8</v>
          </cell>
          <cell r="U646">
            <v>8</v>
          </cell>
          <cell r="V646">
            <v>8</v>
          </cell>
          <cell r="W646">
            <v>8</v>
          </cell>
          <cell r="X646">
            <v>8</v>
          </cell>
          <cell r="Y646" t="str">
            <v>AL4</v>
          </cell>
          <cell r="Z646" t="str">
            <v>CN</v>
          </cell>
          <cell r="AA646">
            <v>8</v>
          </cell>
          <cell r="AB646">
            <v>8</v>
          </cell>
          <cell r="AC646">
            <v>8</v>
          </cell>
          <cell r="AD646">
            <v>8</v>
          </cell>
          <cell r="AE646" t="str">
            <v>Đ</v>
          </cell>
          <cell r="AF646" t="str">
            <v>Đ</v>
          </cell>
          <cell r="AG646" t="str">
            <v>CN</v>
          </cell>
          <cell r="AH646">
            <v>8</v>
          </cell>
          <cell r="AI646">
            <v>8</v>
          </cell>
          <cell r="AJ646">
            <v>8</v>
          </cell>
          <cell r="AN646">
            <v>64</v>
          </cell>
          <cell r="AO646">
            <v>120</v>
          </cell>
          <cell r="AP646">
            <v>8</v>
          </cell>
          <cell r="AQ646">
            <v>0</v>
          </cell>
          <cell r="AR646">
            <v>0</v>
          </cell>
          <cell r="AS646">
            <v>0</v>
          </cell>
          <cell r="AT646">
            <v>0</v>
          </cell>
          <cell r="AU646">
            <v>0</v>
          </cell>
          <cell r="AV646">
            <v>0</v>
          </cell>
          <cell r="AW646">
            <v>0</v>
          </cell>
          <cell r="AX646">
            <v>0</v>
          </cell>
          <cell r="AY646">
            <v>0</v>
          </cell>
          <cell r="AZ646">
            <v>0</v>
          </cell>
          <cell r="BA646">
            <v>8</v>
          </cell>
          <cell r="BB646">
            <v>0</v>
          </cell>
          <cell r="BC646">
            <v>0</v>
          </cell>
          <cell r="BD646">
            <v>0</v>
          </cell>
          <cell r="BE646">
            <v>0</v>
          </cell>
          <cell r="BF646">
            <v>0</v>
          </cell>
          <cell r="BG646">
            <v>192</v>
          </cell>
          <cell r="BH646">
            <v>1</v>
          </cell>
          <cell r="BI646">
            <v>1</v>
          </cell>
          <cell r="BJ646">
            <v>2</v>
          </cell>
          <cell r="BL646">
            <v>0</v>
          </cell>
          <cell r="BM646">
            <v>0</v>
          </cell>
          <cell r="BN646">
            <v>4</v>
          </cell>
          <cell r="BO646">
            <v>0</v>
          </cell>
          <cell r="BP646">
            <v>0</v>
          </cell>
          <cell r="BQ646">
            <v>0</v>
          </cell>
          <cell r="BR646">
            <v>0</v>
          </cell>
          <cell r="BS646">
            <v>0</v>
          </cell>
          <cell r="BT646">
            <v>0</v>
          </cell>
          <cell r="BU646">
            <v>0</v>
          </cell>
          <cell r="BV646">
            <v>0</v>
          </cell>
          <cell r="BW646">
            <v>0</v>
          </cell>
          <cell r="BX646">
            <v>4</v>
          </cell>
          <cell r="BY646">
            <v>0</v>
          </cell>
          <cell r="BZ646">
            <v>0</v>
          </cell>
          <cell r="CA646">
            <v>4</v>
          </cell>
          <cell r="CB646">
            <v>4</v>
          </cell>
          <cell r="CC646">
            <v>0</v>
          </cell>
          <cell r="CD646">
            <v>0</v>
          </cell>
          <cell r="CE646">
            <v>0</v>
          </cell>
          <cell r="CF646">
            <v>0</v>
          </cell>
          <cell r="CG646">
            <v>0</v>
          </cell>
          <cell r="CH646">
            <v>4</v>
          </cell>
          <cell r="CI646">
            <v>4</v>
          </cell>
          <cell r="CJ646">
            <v>0</v>
          </cell>
          <cell r="CK646">
            <v>0</v>
          </cell>
          <cell r="CL646">
            <v>0</v>
          </cell>
          <cell r="CM646">
            <v>4</v>
          </cell>
          <cell r="CR646">
            <v>0</v>
          </cell>
          <cell r="CS646">
            <v>0</v>
          </cell>
          <cell r="CT646">
            <v>28</v>
          </cell>
          <cell r="CU646">
            <v>0</v>
          </cell>
          <cell r="CV646">
            <v>0</v>
          </cell>
          <cell r="CZ646">
            <v>28</v>
          </cell>
        </row>
        <row r="647">
          <cell r="C647" t="str">
            <v>03926</v>
          </cell>
          <cell r="D647" t="str">
            <v>Hoàng Thị Lan</v>
          </cell>
          <cell r="E647" t="str">
            <v>Production</v>
          </cell>
          <cell r="F647" t="str">
            <v>Logo</v>
          </cell>
          <cell r="G647" t="str">
            <v>Worker</v>
          </cell>
          <cell r="H647">
            <v>45167</v>
          </cell>
          <cell r="I647">
            <v>8</v>
          </cell>
          <cell r="J647">
            <v>8</v>
          </cell>
          <cell r="K647">
            <v>8</v>
          </cell>
          <cell r="L647" t="str">
            <v>CN</v>
          </cell>
          <cell r="M647" t="str">
            <v>Đ</v>
          </cell>
          <cell r="N647" t="str">
            <v>Đ</v>
          </cell>
          <cell r="O647" t="str">
            <v>Đ</v>
          </cell>
          <cell r="P647" t="str">
            <v>Đ</v>
          </cell>
          <cell r="Q647" t="str">
            <v>Đ</v>
          </cell>
          <cell r="R647" t="str">
            <v>AL8</v>
          </cell>
          <cell r="S647" t="str">
            <v>CN</v>
          </cell>
          <cell r="T647">
            <v>8</v>
          </cell>
          <cell r="U647">
            <v>8</v>
          </cell>
          <cell r="V647">
            <v>8</v>
          </cell>
          <cell r="W647" t="str">
            <v>UP4</v>
          </cell>
          <cell r="X647" t="str">
            <v>UP8</v>
          </cell>
          <cell r="Y647" t="str">
            <v>UP8</v>
          </cell>
          <cell r="Z647" t="str">
            <v>CN</v>
          </cell>
          <cell r="AA647" t="str">
            <v>UP8</v>
          </cell>
          <cell r="AB647" t="str">
            <v>UP8</v>
          </cell>
          <cell r="AC647" t="str">
            <v>UP8</v>
          </cell>
          <cell r="AD647" t="str">
            <v>UP8</v>
          </cell>
          <cell r="AE647" t="str">
            <v>UP8</v>
          </cell>
          <cell r="AF647" t="str">
            <v>UP8</v>
          </cell>
          <cell r="AG647" t="str">
            <v>CN</v>
          </cell>
          <cell r="AH647" t="str">
            <v>UP8</v>
          </cell>
          <cell r="AI647" t="str">
            <v>UP8</v>
          </cell>
          <cell r="AJ647" t="str">
            <v>UP8</v>
          </cell>
          <cell r="AN647">
            <v>40</v>
          </cell>
          <cell r="AO647">
            <v>52</v>
          </cell>
          <cell r="AP647">
            <v>0</v>
          </cell>
          <cell r="AQ647">
            <v>0</v>
          </cell>
          <cell r="AR647">
            <v>4</v>
          </cell>
          <cell r="AS647">
            <v>92</v>
          </cell>
          <cell r="AT647">
            <v>0</v>
          </cell>
          <cell r="AU647">
            <v>0</v>
          </cell>
          <cell r="AV647">
            <v>0</v>
          </cell>
          <cell r="AW647">
            <v>0</v>
          </cell>
          <cell r="AX647">
            <v>0</v>
          </cell>
          <cell r="AY647">
            <v>0</v>
          </cell>
          <cell r="AZ647">
            <v>0</v>
          </cell>
          <cell r="BA647">
            <v>8</v>
          </cell>
          <cell r="BB647">
            <v>0</v>
          </cell>
          <cell r="BC647">
            <v>0</v>
          </cell>
          <cell r="BD647">
            <v>0</v>
          </cell>
          <cell r="BE647">
            <v>0</v>
          </cell>
          <cell r="BF647">
            <v>0</v>
          </cell>
          <cell r="BG647">
            <v>100</v>
          </cell>
          <cell r="BH647">
            <v>1</v>
          </cell>
          <cell r="BI647">
            <v>1</v>
          </cell>
          <cell r="BJ647">
            <v>-1</v>
          </cell>
          <cell r="BL647">
            <v>1.5</v>
          </cell>
          <cell r="BM647">
            <v>1.5</v>
          </cell>
          <cell r="BN647">
            <v>1.5</v>
          </cell>
          <cell r="BO647">
            <v>0</v>
          </cell>
          <cell r="BP647">
            <v>1.5</v>
          </cell>
          <cell r="BQ647">
            <v>0</v>
          </cell>
          <cell r="BR647">
            <v>0</v>
          </cell>
          <cell r="BS647">
            <v>4</v>
          </cell>
          <cell r="BT647">
            <v>0</v>
          </cell>
          <cell r="BU647">
            <v>0</v>
          </cell>
          <cell r="BV647">
            <v>0</v>
          </cell>
          <cell r="BW647">
            <v>3</v>
          </cell>
          <cell r="BX647">
            <v>3</v>
          </cell>
          <cell r="BY647">
            <v>3</v>
          </cell>
          <cell r="BZ647">
            <v>0</v>
          </cell>
          <cell r="CA647">
            <v>0</v>
          </cell>
          <cell r="CB647">
            <v>0</v>
          </cell>
          <cell r="CC647">
            <v>0</v>
          </cell>
          <cell r="CD647">
            <v>0</v>
          </cell>
          <cell r="CE647">
            <v>0</v>
          </cell>
          <cell r="CF647">
            <v>0</v>
          </cell>
          <cell r="CG647">
            <v>0</v>
          </cell>
          <cell r="CH647">
            <v>0</v>
          </cell>
          <cell r="CI647">
            <v>0</v>
          </cell>
          <cell r="CJ647">
            <v>0</v>
          </cell>
          <cell r="CK647">
            <v>0</v>
          </cell>
          <cell r="CL647">
            <v>0</v>
          </cell>
          <cell r="CM647">
            <v>0</v>
          </cell>
          <cell r="CR647">
            <v>0</v>
          </cell>
          <cell r="CS647">
            <v>0</v>
          </cell>
          <cell r="CT647">
            <v>19</v>
          </cell>
          <cell r="CU647">
            <v>0</v>
          </cell>
          <cell r="CV647">
            <v>0</v>
          </cell>
          <cell r="CZ647">
            <v>19</v>
          </cell>
        </row>
        <row r="648">
          <cell r="C648" t="str">
            <v>03928</v>
          </cell>
          <cell r="D648" t="str">
            <v>Nguyễn Quang Huy</v>
          </cell>
          <cell r="E648" t="str">
            <v>Production</v>
          </cell>
          <cell r="F648" t="str">
            <v>Lamination</v>
          </cell>
          <cell r="G648" t="str">
            <v>Worker</v>
          </cell>
          <cell r="H648">
            <v>45167</v>
          </cell>
          <cell r="I648" t="str">
            <v>Đ</v>
          </cell>
          <cell r="J648" t="str">
            <v>Đ</v>
          </cell>
          <cell r="K648" t="str">
            <v>AL8</v>
          </cell>
          <cell r="L648" t="str">
            <v>CN</v>
          </cell>
          <cell r="M648" t="str">
            <v>UP8</v>
          </cell>
          <cell r="N648">
            <v>8</v>
          </cell>
          <cell r="O648">
            <v>8</v>
          </cell>
          <cell r="P648" t="str">
            <v>SL</v>
          </cell>
          <cell r="Q648">
            <v>8</v>
          </cell>
          <cell r="R648">
            <v>8</v>
          </cell>
          <cell r="S648" t="str">
            <v>CN</v>
          </cell>
          <cell r="T648">
            <v>8</v>
          </cell>
          <cell r="U648">
            <v>8</v>
          </cell>
          <cell r="V648" t="str">
            <v>UP8</v>
          </cell>
          <cell r="W648">
            <v>8</v>
          </cell>
          <cell r="X648">
            <v>8</v>
          </cell>
          <cell r="Y648" t="str">
            <v>UP8</v>
          </cell>
          <cell r="Z648" t="str">
            <v>CN</v>
          </cell>
          <cell r="AA648" t="str">
            <v>UP8</v>
          </cell>
          <cell r="AB648" t="str">
            <v>UP8</v>
          </cell>
          <cell r="AC648" t="str">
            <v>UP8</v>
          </cell>
          <cell r="AD648" t="str">
            <v>UP8</v>
          </cell>
          <cell r="AE648" t="str">
            <v>UP8</v>
          </cell>
          <cell r="AF648" t="str">
            <v>CN</v>
          </cell>
          <cell r="AG648" t="str">
            <v>UP8</v>
          </cell>
          <cell r="AH648" t="str">
            <v>UP8</v>
          </cell>
          <cell r="AI648" t="str">
            <v>UP8</v>
          </cell>
          <cell r="AJ648" t="str">
            <v>UP8</v>
          </cell>
          <cell r="AN648">
            <v>16</v>
          </cell>
          <cell r="AO648">
            <v>64</v>
          </cell>
          <cell r="AP648">
            <v>0</v>
          </cell>
          <cell r="AQ648">
            <v>1</v>
          </cell>
          <cell r="AR648">
            <v>0</v>
          </cell>
          <cell r="AS648">
            <v>96</v>
          </cell>
          <cell r="AT648">
            <v>0</v>
          </cell>
          <cell r="AU648">
            <v>0</v>
          </cell>
          <cell r="AV648">
            <v>0</v>
          </cell>
          <cell r="AW648">
            <v>0</v>
          </cell>
          <cell r="AX648">
            <v>0</v>
          </cell>
          <cell r="AY648">
            <v>0</v>
          </cell>
          <cell r="AZ648">
            <v>0</v>
          </cell>
          <cell r="BA648">
            <v>8</v>
          </cell>
          <cell r="BB648">
            <v>0</v>
          </cell>
          <cell r="BC648">
            <v>0</v>
          </cell>
          <cell r="BD648">
            <v>0</v>
          </cell>
          <cell r="BE648">
            <v>0</v>
          </cell>
          <cell r="BF648">
            <v>0</v>
          </cell>
          <cell r="BG648">
            <v>88</v>
          </cell>
          <cell r="BH648">
            <v>1</v>
          </cell>
          <cell r="BI648">
            <v>1</v>
          </cell>
          <cell r="BJ648">
            <v>-3</v>
          </cell>
          <cell r="BL648">
            <v>0</v>
          </cell>
          <cell r="BM648">
            <v>0</v>
          </cell>
          <cell r="BN648">
            <v>0</v>
          </cell>
          <cell r="BO648">
            <v>0</v>
          </cell>
          <cell r="BP648">
            <v>0</v>
          </cell>
          <cell r="BQ648">
            <v>0</v>
          </cell>
          <cell r="BR648">
            <v>0</v>
          </cell>
          <cell r="BS648">
            <v>0</v>
          </cell>
          <cell r="BT648">
            <v>0</v>
          </cell>
          <cell r="BU648">
            <v>0</v>
          </cell>
          <cell r="BV648">
            <v>0</v>
          </cell>
          <cell r="BW648">
            <v>0</v>
          </cell>
          <cell r="BX648">
            <v>0</v>
          </cell>
          <cell r="BY648">
            <v>0</v>
          </cell>
          <cell r="BZ648">
            <v>0</v>
          </cell>
          <cell r="CA648">
            <v>0</v>
          </cell>
          <cell r="CB648">
            <v>0</v>
          </cell>
          <cell r="CC648">
            <v>0</v>
          </cell>
          <cell r="CD648">
            <v>0</v>
          </cell>
          <cell r="CE648">
            <v>0</v>
          </cell>
          <cell r="CF648">
            <v>0</v>
          </cell>
          <cell r="CG648">
            <v>0</v>
          </cell>
          <cell r="CH648">
            <v>0</v>
          </cell>
          <cell r="CI648">
            <v>0</v>
          </cell>
          <cell r="CJ648">
            <v>0</v>
          </cell>
          <cell r="CK648">
            <v>0</v>
          </cell>
          <cell r="CL648">
            <v>0</v>
          </cell>
          <cell r="CM648">
            <v>0</v>
          </cell>
          <cell r="CR648">
            <v>0</v>
          </cell>
          <cell r="CS648">
            <v>0</v>
          </cell>
          <cell r="CT648">
            <v>0</v>
          </cell>
          <cell r="CU648">
            <v>0</v>
          </cell>
          <cell r="CV648">
            <v>0</v>
          </cell>
          <cell r="CZ648">
            <v>0</v>
          </cell>
        </row>
        <row r="649">
          <cell r="C649" t="str">
            <v>03929</v>
          </cell>
          <cell r="D649" t="str">
            <v>Nguyễn Thị Hồng Dung</v>
          </cell>
          <cell r="E649" t="str">
            <v>Production</v>
          </cell>
          <cell r="F649" t="str">
            <v>Die Cut</v>
          </cell>
          <cell r="G649" t="str">
            <v>Worker</v>
          </cell>
          <cell r="H649">
            <v>45167</v>
          </cell>
          <cell r="I649">
            <v>8</v>
          </cell>
          <cell r="J649">
            <v>8</v>
          </cell>
          <cell r="K649">
            <v>8</v>
          </cell>
          <cell r="L649" t="str">
            <v>CN</v>
          </cell>
          <cell r="M649">
            <v>8</v>
          </cell>
          <cell r="N649">
            <v>8</v>
          </cell>
          <cell r="O649">
            <v>8</v>
          </cell>
          <cell r="P649" t="str">
            <v>M</v>
          </cell>
          <cell r="Q649" t="str">
            <v>M</v>
          </cell>
          <cell r="R649" t="str">
            <v>AL8</v>
          </cell>
          <cell r="S649" t="str">
            <v>CN</v>
          </cell>
          <cell r="T649" t="str">
            <v>TS</v>
          </cell>
          <cell r="U649" t="str">
            <v>TS</v>
          </cell>
          <cell r="V649" t="str">
            <v>TS</v>
          </cell>
          <cell r="W649" t="str">
            <v>TS</v>
          </cell>
          <cell r="X649" t="str">
            <v>TS</v>
          </cell>
          <cell r="Y649" t="str">
            <v>TS</v>
          </cell>
          <cell r="Z649" t="str">
            <v>TS</v>
          </cell>
          <cell r="AA649" t="str">
            <v>TS</v>
          </cell>
          <cell r="AB649" t="str">
            <v>TS</v>
          </cell>
          <cell r="AC649" t="str">
            <v>TS</v>
          </cell>
          <cell r="AD649" t="str">
            <v>TS</v>
          </cell>
          <cell r="AE649" t="str">
            <v>TS</v>
          </cell>
          <cell r="AF649" t="str">
            <v>TS</v>
          </cell>
          <cell r="AG649" t="str">
            <v>TS</v>
          </cell>
          <cell r="AH649" t="str">
            <v>TS</v>
          </cell>
          <cell r="AI649" t="str">
            <v>TS</v>
          </cell>
          <cell r="AJ649" t="str">
            <v>TS</v>
          </cell>
          <cell r="AN649">
            <v>0</v>
          </cell>
          <cell r="AO649">
            <v>48</v>
          </cell>
          <cell r="AP649">
            <v>0</v>
          </cell>
          <cell r="AQ649">
            <v>0</v>
          </cell>
          <cell r="AR649">
            <v>0</v>
          </cell>
          <cell r="AS649">
            <v>0</v>
          </cell>
          <cell r="AT649">
            <v>0</v>
          </cell>
          <cell r="AU649">
            <v>0</v>
          </cell>
          <cell r="AV649">
            <v>0</v>
          </cell>
          <cell r="AW649">
            <v>0</v>
          </cell>
          <cell r="AX649">
            <v>16</v>
          </cell>
          <cell r="AY649">
            <v>0</v>
          </cell>
          <cell r="AZ649">
            <v>0</v>
          </cell>
          <cell r="BA649">
            <v>8</v>
          </cell>
          <cell r="BB649">
            <v>0</v>
          </cell>
          <cell r="BC649">
            <v>0</v>
          </cell>
          <cell r="BD649">
            <v>0</v>
          </cell>
          <cell r="BE649">
            <v>0</v>
          </cell>
          <cell r="BF649">
            <v>0</v>
          </cell>
          <cell r="BG649">
            <v>56</v>
          </cell>
          <cell r="BH649">
            <v>1</v>
          </cell>
          <cell r="BI649">
            <v>1</v>
          </cell>
          <cell r="BJ649">
            <v>-3</v>
          </cell>
          <cell r="BL649">
            <v>0</v>
          </cell>
          <cell r="BM649">
            <v>0</v>
          </cell>
          <cell r="BN649">
            <v>0</v>
          </cell>
          <cell r="BO649">
            <v>0</v>
          </cell>
          <cell r="BP649">
            <v>0</v>
          </cell>
          <cell r="BQ649">
            <v>0</v>
          </cell>
          <cell r="BR649">
            <v>0</v>
          </cell>
          <cell r="BS649">
            <v>0</v>
          </cell>
          <cell r="BT649">
            <v>0</v>
          </cell>
          <cell r="BU649">
            <v>0</v>
          </cell>
          <cell r="BV649">
            <v>0</v>
          </cell>
          <cell r="BW649">
            <v>0</v>
          </cell>
          <cell r="BX649">
            <v>0</v>
          </cell>
          <cell r="BY649">
            <v>0</v>
          </cell>
          <cell r="BZ649">
            <v>0</v>
          </cell>
          <cell r="CA649">
            <v>0</v>
          </cell>
          <cell r="CB649">
            <v>0</v>
          </cell>
          <cell r="CC649">
            <v>0</v>
          </cell>
          <cell r="CD649">
            <v>0</v>
          </cell>
          <cell r="CE649">
            <v>0</v>
          </cell>
          <cell r="CF649">
            <v>0</v>
          </cell>
          <cell r="CG649">
            <v>0</v>
          </cell>
          <cell r="CH649">
            <v>0</v>
          </cell>
          <cell r="CI649">
            <v>0</v>
          </cell>
          <cell r="CJ649">
            <v>0</v>
          </cell>
          <cell r="CK649">
            <v>0</v>
          </cell>
          <cell r="CL649">
            <v>0</v>
          </cell>
          <cell r="CM649">
            <v>0</v>
          </cell>
          <cell r="CR649">
            <v>0</v>
          </cell>
          <cell r="CS649">
            <v>0</v>
          </cell>
          <cell r="CT649">
            <v>0</v>
          </cell>
          <cell r="CU649">
            <v>0</v>
          </cell>
          <cell r="CV649">
            <v>0</v>
          </cell>
          <cell r="CZ649">
            <v>0</v>
          </cell>
        </row>
        <row r="650">
          <cell r="C650" t="str">
            <v>03931</v>
          </cell>
          <cell r="D650" t="str">
            <v>Nguyễn Thanh Hài</v>
          </cell>
          <cell r="E650" t="str">
            <v>Production</v>
          </cell>
          <cell r="F650" t="str">
            <v>Lamination</v>
          </cell>
          <cell r="G650" t="str">
            <v>Worker</v>
          </cell>
          <cell r="H650">
            <v>45167</v>
          </cell>
          <cell r="I650" t="str">
            <v>PL</v>
          </cell>
          <cell r="J650" t="str">
            <v>PL</v>
          </cell>
          <cell r="K650" t="str">
            <v>PL</v>
          </cell>
          <cell r="L650" t="str">
            <v>CN</v>
          </cell>
          <cell r="M650" t="str">
            <v>PL</v>
          </cell>
          <cell r="N650" t="str">
            <v>PL</v>
          </cell>
          <cell r="O650" t="str">
            <v>UP8</v>
          </cell>
          <cell r="P650" t="str">
            <v>UP8</v>
          </cell>
          <cell r="Q650" t="str">
            <v>UP8</v>
          </cell>
          <cell r="R650" t="str">
            <v>UP8</v>
          </cell>
          <cell r="S650" t="str">
            <v>CN</v>
          </cell>
          <cell r="T650" t="str">
            <v>UP8</v>
          </cell>
          <cell r="U650" t="str">
            <v>UP8</v>
          </cell>
          <cell r="V650" t="str">
            <v>UP8</v>
          </cell>
          <cell r="W650" t="str">
            <v>UP8</v>
          </cell>
          <cell r="X650" t="str">
            <v>UP8</v>
          </cell>
          <cell r="Y650" t="str">
            <v>UP8</v>
          </cell>
          <cell r="Z650" t="str">
            <v>CN</v>
          </cell>
          <cell r="AA650" t="str">
            <v>UP8</v>
          </cell>
          <cell r="AB650" t="str">
            <v>UP8</v>
          </cell>
          <cell r="AC650" t="str">
            <v>UP8</v>
          </cell>
          <cell r="AD650" t="str">
            <v>UP8</v>
          </cell>
          <cell r="AE650" t="str">
            <v>UP8</v>
          </cell>
          <cell r="AF650" t="str">
            <v>UP8</v>
          </cell>
          <cell r="AG650" t="str">
            <v>CN</v>
          </cell>
          <cell r="AH650" t="str">
            <v>UP8</v>
          </cell>
          <cell r="AI650" t="str">
            <v>UP8</v>
          </cell>
          <cell r="AJ650" t="str">
            <v>UP8</v>
          </cell>
          <cell r="AN650">
            <v>0</v>
          </cell>
          <cell r="AO650">
            <v>0</v>
          </cell>
          <cell r="AP650">
            <v>0</v>
          </cell>
          <cell r="AQ650">
            <v>0</v>
          </cell>
          <cell r="AR650">
            <v>0</v>
          </cell>
          <cell r="AS650">
            <v>152</v>
          </cell>
          <cell r="AT650">
            <v>0</v>
          </cell>
          <cell r="AU650">
            <v>0</v>
          </cell>
          <cell r="AV650">
            <v>0</v>
          </cell>
          <cell r="AW650">
            <v>0</v>
          </cell>
          <cell r="AX650">
            <v>0</v>
          </cell>
          <cell r="AY650">
            <v>40</v>
          </cell>
          <cell r="AZ650">
            <v>0</v>
          </cell>
          <cell r="BA650">
            <v>0</v>
          </cell>
          <cell r="BB650">
            <v>0</v>
          </cell>
          <cell r="BC650">
            <v>0</v>
          </cell>
          <cell r="BD650">
            <v>0</v>
          </cell>
          <cell r="BE650">
            <v>0</v>
          </cell>
          <cell r="BF650">
            <v>0</v>
          </cell>
          <cell r="BG650">
            <v>0</v>
          </cell>
          <cell r="BH650">
            <v>0</v>
          </cell>
          <cell r="BI650">
            <v>0</v>
          </cell>
          <cell r="BJ650">
            <v>2.5</v>
          </cell>
          <cell r="BL650">
            <v>0</v>
          </cell>
          <cell r="BM650">
            <v>0</v>
          </cell>
          <cell r="BN650">
            <v>0</v>
          </cell>
          <cell r="BO650">
            <v>0</v>
          </cell>
          <cell r="BP650">
            <v>0</v>
          </cell>
          <cell r="BQ650">
            <v>0</v>
          </cell>
          <cell r="BR650">
            <v>0</v>
          </cell>
          <cell r="BS650">
            <v>0</v>
          </cell>
          <cell r="BT650">
            <v>0</v>
          </cell>
          <cell r="BU650">
            <v>0</v>
          </cell>
          <cell r="BV650">
            <v>0</v>
          </cell>
          <cell r="BW650">
            <v>0</v>
          </cell>
          <cell r="BX650">
            <v>0</v>
          </cell>
          <cell r="BY650">
            <v>0</v>
          </cell>
          <cell r="BZ650">
            <v>0</v>
          </cell>
          <cell r="CA650">
            <v>0</v>
          </cell>
          <cell r="CB650">
            <v>0</v>
          </cell>
          <cell r="CC650">
            <v>0</v>
          </cell>
          <cell r="CD650">
            <v>0</v>
          </cell>
          <cell r="CE650">
            <v>0</v>
          </cell>
          <cell r="CF650">
            <v>0</v>
          </cell>
          <cell r="CG650">
            <v>0</v>
          </cell>
          <cell r="CH650">
            <v>0</v>
          </cell>
          <cell r="CI650">
            <v>0</v>
          </cell>
          <cell r="CJ650">
            <v>0</v>
          </cell>
          <cell r="CK650">
            <v>0</v>
          </cell>
          <cell r="CL650">
            <v>0</v>
          </cell>
          <cell r="CM650">
            <v>0</v>
          </cell>
          <cell r="CR650">
            <v>0</v>
          </cell>
          <cell r="CS650">
            <v>0</v>
          </cell>
          <cell r="CT650">
            <v>0</v>
          </cell>
          <cell r="CU650">
            <v>0</v>
          </cell>
          <cell r="CV650">
            <v>0</v>
          </cell>
          <cell r="CZ650">
            <v>0</v>
          </cell>
        </row>
        <row r="651">
          <cell r="C651" t="str">
            <v>03932</v>
          </cell>
          <cell r="D651" t="str">
            <v>Trần Thị Mai</v>
          </cell>
          <cell r="E651" t="str">
            <v>Purchasing</v>
          </cell>
          <cell r="F651" t="str">
            <v>Purchasing</v>
          </cell>
          <cell r="G651" t="str">
            <v xml:space="preserve">Staff </v>
          </cell>
          <cell r="H651">
            <v>45173</v>
          </cell>
          <cell r="I651">
            <v>8</v>
          </cell>
          <cell r="J651">
            <v>8</v>
          </cell>
          <cell r="K651" t="str">
            <v>PO</v>
          </cell>
          <cell r="L651" t="str">
            <v>CN</v>
          </cell>
          <cell r="M651">
            <v>8</v>
          </cell>
          <cell r="N651">
            <v>8</v>
          </cell>
          <cell r="O651">
            <v>8</v>
          </cell>
          <cell r="P651">
            <v>8</v>
          </cell>
          <cell r="Q651">
            <v>8</v>
          </cell>
          <cell r="R651" t="str">
            <v>PO</v>
          </cell>
          <cell r="S651" t="str">
            <v>CN</v>
          </cell>
          <cell r="T651" t="str">
            <v>AL8</v>
          </cell>
          <cell r="U651">
            <v>8</v>
          </cell>
          <cell r="V651">
            <v>8</v>
          </cell>
          <cell r="W651">
            <v>8</v>
          </cell>
          <cell r="X651">
            <v>8</v>
          </cell>
          <cell r="Y651" t="str">
            <v>PO</v>
          </cell>
          <cell r="Z651" t="str">
            <v>CN</v>
          </cell>
          <cell r="AA651">
            <v>8</v>
          </cell>
          <cell r="AB651">
            <v>8</v>
          </cell>
          <cell r="AC651">
            <v>8</v>
          </cell>
          <cell r="AD651">
            <v>8</v>
          </cell>
          <cell r="AE651">
            <v>8</v>
          </cell>
          <cell r="AF651" t="str">
            <v>PO</v>
          </cell>
          <cell r="AG651" t="str">
            <v>CN</v>
          </cell>
          <cell r="AH651">
            <v>8</v>
          </cell>
          <cell r="AI651">
            <v>8</v>
          </cell>
          <cell r="AJ651">
            <v>8</v>
          </cell>
          <cell r="AN651">
            <v>0</v>
          </cell>
          <cell r="AO651">
            <v>152</v>
          </cell>
          <cell r="AP651">
            <v>0</v>
          </cell>
          <cell r="AQ651">
            <v>0</v>
          </cell>
          <cell r="AR651">
            <v>0</v>
          </cell>
          <cell r="AS651">
            <v>0</v>
          </cell>
          <cell r="AT651">
            <v>0</v>
          </cell>
          <cell r="AU651">
            <v>0</v>
          </cell>
          <cell r="AV651">
            <v>32</v>
          </cell>
          <cell r="AW651">
            <v>0</v>
          </cell>
          <cell r="AX651">
            <v>0</v>
          </cell>
          <cell r="AY651">
            <v>0</v>
          </cell>
          <cell r="AZ651">
            <v>0</v>
          </cell>
          <cell r="BA651">
            <v>8</v>
          </cell>
          <cell r="BB651">
            <v>0</v>
          </cell>
          <cell r="BC651">
            <v>0</v>
          </cell>
          <cell r="BD651">
            <v>0</v>
          </cell>
          <cell r="BE651">
            <v>0</v>
          </cell>
          <cell r="BF651">
            <v>0</v>
          </cell>
          <cell r="BG651">
            <v>192</v>
          </cell>
          <cell r="BH651">
            <v>1</v>
          </cell>
          <cell r="BI651">
            <v>1</v>
          </cell>
          <cell r="BJ651">
            <v>9</v>
          </cell>
          <cell r="BL651">
            <v>0</v>
          </cell>
          <cell r="BM651">
            <v>0</v>
          </cell>
          <cell r="BN651">
            <v>0</v>
          </cell>
          <cell r="BO651">
            <v>0</v>
          </cell>
          <cell r="BP651">
            <v>4</v>
          </cell>
          <cell r="BQ651">
            <v>0</v>
          </cell>
          <cell r="BR651">
            <v>4</v>
          </cell>
          <cell r="BS651">
            <v>4</v>
          </cell>
          <cell r="BT651">
            <v>0</v>
          </cell>
          <cell r="BU651">
            <v>0</v>
          </cell>
          <cell r="BV651">
            <v>0</v>
          </cell>
          <cell r="BW651">
            <v>0</v>
          </cell>
          <cell r="BX651">
            <v>4</v>
          </cell>
          <cell r="BY651">
            <v>4</v>
          </cell>
          <cell r="BZ651">
            <v>0</v>
          </cell>
          <cell r="CA651">
            <v>4</v>
          </cell>
          <cell r="CB651">
            <v>0</v>
          </cell>
          <cell r="CC651">
            <v>0</v>
          </cell>
          <cell r="CD651">
            <v>0</v>
          </cell>
          <cell r="CE651">
            <v>4</v>
          </cell>
          <cell r="CF651">
            <v>4</v>
          </cell>
          <cell r="CG651">
            <v>4</v>
          </cell>
          <cell r="CH651">
            <v>0</v>
          </cell>
          <cell r="CI651">
            <v>0</v>
          </cell>
          <cell r="CJ651">
            <v>0</v>
          </cell>
          <cell r="CK651">
            <v>0</v>
          </cell>
          <cell r="CL651">
            <v>0</v>
          </cell>
          <cell r="CM651">
            <v>0</v>
          </cell>
          <cell r="CR651">
            <v>0</v>
          </cell>
          <cell r="CS651">
            <v>0</v>
          </cell>
          <cell r="CT651">
            <v>36</v>
          </cell>
          <cell r="CU651">
            <v>0</v>
          </cell>
          <cell r="CV651">
            <v>0</v>
          </cell>
          <cell r="CZ651">
            <v>36</v>
          </cell>
        </row>
        <row r="652">
          <cell r="C652" t="str">
            <v>03933</v>
          </cell>
          <cell r="D652" t="str">
            <v>Trần Ngọc An</v>
          </cell>
          <cell r="E652" t="str">
            <v>Production</v>
          </cell>
          <cell r="F652" t="str">
            <v>Die Cut</v>
          </cell>
          <cell r="G652" t="str">
            <v>Supervisor</v>
          </cell>
          <cell r="H652">
            <v>45175</v>
          </cell>
          <cell r="I652">
            <v>8</v>
          </cell>
          <cell r="J652">
            <v>8</v>
          </cell>
          <cell r="K652" t="str">
            <v>UP7</v>
          </cell>
          <cell r="L652" t="str">
            <v>CN</v>
          </cell>
          <cell r="M652">
            <v>8</v>
          </cell>
          <cell r="N652">
            <v>8</v>
          </cell>
          <cell r="O652">
            <v>8</v>
          </cell>
          <cell r="P652">
            <v>8</v>
          </cell>
          <cell r="Q652" t="str">
            <v>PO</v>
          </cell>
          <cell r="R652">
            <v>8</v>
          </cell>
          <cell r="S652" t="str">
            <v>CN</v>
          </cell>
          <cell r="T652">
            <v>8</v>
          </cell>
          <cell r="U652">
            <v>8</v>
          </cell>
          <cell r="V652">
            <v>8</v>
          </cell>
          <cell r="W652">
            <v>8</v>
          </cell>
          <cell r="X652">
            <v>8</v>
          </cell>
          <cell r="Y652" t="str">
            <v>AL4</v>
          </cell>
          <cell r="Z652" t="str">
            <v>CN</v>
          </cell>
          <cell r="AA652">
            <v>8</v>
          </cell>
          <cell r="AB652">
            <v>8</v>
          </cell>
          <cell r="AC652">
            <v>8</v>
          </cell>
          <cell r="AD652">
            <v>8</v>
          </cell>
          <cell r="AE652">
            <v>8</v>
          </cell>
          <cell r="AF652">
            <v>8</v>
          </cell>
          <cell r="AG652" t="str">
            <v>CN</v>
          </cell>
          <cell r="AH652">
            <v>8</v>
          </cell>
          <cell r="AI652">
            <v>8</v>
          </cell>
          <cell r="AJ652">
            <v>8</v>
          </cell>
          <cell r="AN652">
            <v>0</v>
          </cell>
          <cell r="AO652">
            <v>179</v>
          </cell>
          <cell r="AP652">
            <v>4</v>
          </cell>
          <cell r="AQ652">
            <v>0</v>
          </cell>
          <cell r="AR652">
            <v>7</v>
          </cell>
          <cell r="AS652">
            <v>0</v>
          </cell>
          <cell r="AT652">
            <v>0</v>
          </cell>
          <cell r="AU652">
            <v>0</v>
          </cell>
          <cell r="AV652">
            <v>8</v>
          </cell>
          <cell r="AW652">
            <v>0</v>
          </cell>
          <cell r="AX652">
            <v>0</v>
          </cell>
          <cell r="AY652">
            <v>0</v>
          </cell>
          <cell r="AZ652">
            <v>0</v>
          </cell>
          <cell r="BA652">
            <v>4</v>
          </cell>
          <cell r="BB652">
            <v>0</v>
          </cell>
          <cell r="BC652">
            <v>0</v>
          </cell>
          <cell r="BD652">
            <v>0</v>
          </cell>
          <cell r="BE652">
            <v>0</v>
          </cell>
          <cell r="BF652">
            <v>0</v>
          </cell>
          <cell r="BG652">
            <v>191</v>
          </cell>
          <cell r="BH652">
            <v>0.5</v>
          </cell>
          <cell r="BI652">
            <v>0.5</v>
          </cell>
          <cell r="BJ652">
            <v>0.5</v>
          </cell>
          <cell r="BL652">
            <v>0</v>
          </cell>
          <cell r="BM652">
            <v>0</v>
          </cell>
          <cell r="BN652">
            <v>0</v>
          </cell>
          <cell r="BO652">
            <v>0</v>
          </cell>
          <cell r="BP652">
            <v>0</v>
          </cell>
          <cell r="BQ652">
            <v>3</v>
          </cell>
          <cell r="BR652">
            <v>0</v>
          </cell>
          <cell r="BS652">
            <v>0</v>
          </cell>
          <cell r="BT652">
            <v>0</v>
          </cell>
          <cell r="BU652">
            <v>0</v>
          </cell>
          <cell r="BV652">
            <v>0</v>
          </cell>
          <cell r="BW652">
            <v>0</v>
          </cell>
          <cell r="BX652">
            <v>1.5</v>
          </cell>
          <cell r="BY652">
            <v>1.5</v>
          </cell>
          <cell r="BZ652">
            <v>1</v>
          </cell>
          <cell r="CA652">
            <v>0</v>
          </cell>
          <cell r="CB652">
            <v>0</v>
          </cell>
          <cell r="CC652">
            <v>4</v>
          </cell>
          <cell r="CD652">
            <v>1</v>
          </cell>
          <cell r="CE652">
            <v>0</v>
          </cell>
          <cell r="CF652">
            <v>0.5</v>
          </cell>
          <cell r="CG652">
            <v>0</v>
          </cell>
          <cell r="CH652">
            <v>0</v>
          </cell>
          <cell r="CI652">
            <v>0</v>
          </cell>
          <cell r="CJ652">
            <v>7</v>
          </cell>
          <cell r="CK652">
            <v>1.5</v>
          </cell>
          <cell r="CL652">
            <v>1.5</v>
          </cell>
          <cell r="CM652">
            <v>0</v>
          </cell>
          <cell r="CR652">
            <v>0</v>
          </cell>
          <cell r="CS652">
            <v>0</v>
          </cell>
          <cell r="CT652">
            <v>11.5</v>
          </cell>
          <cell r="CU652">
            <v>11</v>
          </cell>
          <cell r="CV652">
            <v>0</v>
          </cell>
          <cell r="CZ652">
            <v>22.5</v>
          </cell>
        </row>
        <row r="653">
          <cell r="C653" t="str">
            <v>03936</v>
          </cell>
          <cell r="D653" t="str">
            <v>Nguyễn Trung Kiên</v>
          </cell>
          <cell r="E653" t="str">
            <v>Production</v>
          </cell>
          <cell r="F653" t="str">
            <v>Prefitting</v>
          </cell>
          <cell r="G653" t="str">
            <v>Operator</v>
          </cell>
          <cell r="H653">
            <v>45176</v>
          </cell>
          <cell r="I653">
            <v>8</v>
          </cell>
          <cell r="J653">
            <v>8</v>
          </cell>
          <cell r="K653" t="str">
            <v>CN</v>
          </cell>
          <cell r="L653" t="str">
            <v>Đ</v>
          </cell>
          <cell r="M653" t="str">
            <v>Đ</v>
          </cell>
          <cell r="N653" t="str">
            <v>Đ</v>
          </cell>
          <cell r="O653" t="str">
            <v>Đ</v>
          </cell>
          <cell r="P653" t="str">
            <v>Đ</v>
          </cell>
          <cell r="Q653" t="str">
            <v>Đ</v>
          </cell>
          <cell r="R653" t="str">
            <v>CN</v>
          </cell>
          <cell r="S653">
            <v>8</v>
          </cell>
          <cell r="T653">
            <v>8</v>
          </cell>
          <cell r="U653">
            <v>8</v>
          </cell>
          <cell r="V653">
            <v>8</v>
          </cell>
          <cell r="W653">
            <v>8</v>
          </cell>
          <cell r="X653">
            <v>8</v>
          </cell>
          <cell r="Y653" t="str">
            <v>CN</v>
          </cell>
          <cell r="Z653" t="str">
            <v>Đ</v>
          </cell>
          <cell r="AA653" t="str">
            <v>Đ</v>
          </cell>
          <cell r="AB653" t="str">
            <v>Đ</v>
          </cell>
          <cell r="AC653" t="str">
            <v>Đ</v>
          </cell>
          <cell r="AD653" t="str">
            <v>Đ</v>
          </cell>
          <cell r="AE653" t="str">
            <v>Đ</v>
          </cell>
          <cell r="AF653" t="str">
            <v>CN</v>
          </cell>
          <cell r="AG653">
            <v>8</v>
          </cell>
          <cell r="AH653">
            <v>8</v>
          </cell>
          <cell r="AI653">
            <v>8</v>
          </cell>
          <cell r="AJ653">
            <v>8</v>
          </cell>
          <cell r="AN653">
            <v>96</v>
          </cell>
          <cell r="AO653">
            <v>96</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192</v>
          </cell>
          <cell r="BH653">
            <v>0</v>
          </cell>
          <cell r="BI653">
            <v>0</v>
          </cell>
          <cell r="BJ653">
            <v>4.5</v>
          </cell>
          <cell r="BL653">
            <v>4</v>
          </cell>
          <cell r="BM653">
            <v>4</v>
          </cell>
          <cell r="BN653">
            <v>0</v>
          </cell>
          <cell r="BO653">
            <v>4</v>
          </cell>
          <cell r="BP653">
            <v>0</v>
          </cell>
          <cell r="BQ653">
            <v>0</v>
          </cell>
          <cell r="BR653">
            <v>0</v>
          </cell>
          <cell r="BS653">
            <v>0</v>
          </cell>
          <cell r="BT653">
            <v>4</v>
          </cell>
          <cell r="BU653">
            <v>0</v>
          </cell>
          <cell r="BV653">
            <v>4</v>
          </cell>
          <cell r="BW653">
            <v>0</v>
          </cell>
          <cell r="BX653">
            <v>0</v>
          </cell>
          <cell r="BY653">
            <v>0</v>
          </cell>
          <cell r="BZ653">
            <v>0</v>
          </cell>
          <cell r="CA653">
            <v>4</v>
          </cell>
          <cell r="CB653">
            <v>0</v>
          </cell>
          <cell r="CC653">
            <v>4</v>
          </cell>
          <cell r="CD653">
            <v>0</v>
          </cell>
          <cell r="CE653">
            <v>0</v>
          </cell>
          <cell r="CF653">
            <v>0</v>
          </cell>
          <cell r="CG653">
            <v>4</v>
          </cell>
          <cell r="CH653">
            <v>4</v>
          </cell>
          <cell r="CI653">
            <v>0</v>
          </cell>
          <cell r="CJ653">
            <v>4</v>
          </cell>
          <cell r="CK653">
            <v>0</v>
          </cell>
          <cell r="CL653">
            <v>4</v>
          </cell>
          <cell r="CM653">
            <v>0</v>
          </cell>
          <cell r="CR653">
            <v>0</v>
          </cell>
          <cell r="CS653">
            <v>0</v>
          </cell>
          <cell r="CT653">
            <v>44</v>
          </cell>
          <cell r="CU653">
            <v>0</v>
          </cell>
          <cell r="CV653">
            <v>0</v>
          </cell>
          <cell r="CZ653">
            <v>44</v>
          </cell>
        </row>
        <row r="654">
          <cell r="C654" t="str">
            <v>03938</v>
          </cell>
          <cell r="D654" t="str">
            <v>Nguyễn Chí Công</v>
          </cell>
          <cell r="E654" t="str">
            <v>Production</v>
          </cell>
          <cell r="F654" t="str">
            <v>Prefitting</v>
          </cell>
          <cell r="G654" t="str">
            <v>Operator</v>
          </cell>
          <cell r="H654">
            <v>45176</v>
          </cell>
          <cell r="I654">
            <v>8</v>
          </cell>
          <cell r="J654">
            <v>8</v>
          </cell>
          <cell r="K654" t="str">
            <v>CN</v>
          </cell>
          <cell r="L654" t="str">
            <v>Đ</v>
          </cell>
          <cell r="M654" t="str">
            <v>Đ</v>
          </cell>
          <cell r="N654" t="str">
            <v>Đ</v>
          </cell>
          <cell r="O654" t="str">
            <v>Đ</v>
          </cell>
          <cell r="P654" t="str">
            <v>Đ</v>
          </cell>
          <cell r="Q654" t="str">
            <v>Đ</v>
          </cell>
          <cell r="R654" t="str">
            <v>CN</v>
          </cell>
          <cell r="S654">
            <v>8</v>
          </cell>
          <cell r="T654">
            <v>8</v>
          </cell>
          <cell r="U654">
            <v>8</v>
          </cell>
          <cell r="V654">
            <v>8</v>
          </cell>
          <cell r="W654">
            <v>8</v>
          </cell>
          <cell r="X654">
            <v>8</v>
          </cell>
          <cell r="Y654" t="str">
            <v>CN</v>
          </cell>
          <cell r="Z654" t="str">
            <v>AL8</v>
          </cell>
          <cell r="AA654" t="str">
            <v>Đ</v>
          </cell>
          <cell r="AB654" t="str">
            <v>Đ</v>
          </cell>
          <cell r="AC654" t="str">
            <v>Đ</v>
          </cell>
          <cell r="AD654" t="str">
            <v>Đ</v>
          </cell>
          <cell r="AE654" t="str">
            <v>Đ</v>
          </cell>
          <cell r="AF654" t="str">
            <v>CN</v>
          </cell>
          <cell r="AG654">
            <v>8</v>
          </cell>
          <cell r="AH654">
            <v>8</v>
          </cell>
          <cell r="AI654">
            <v>8</v>
          </cell>
          <cell r="AJ654">
            <v>8</v>
          </cell>
          <cell r="AN654">
            <v>88</v>
          </cell>
          <cell r="AO654">
            <v>96</v>
          </cell>
          <cell r="AP654">
            <v>0</v>
          </cell>
          <cell r="AQ654">
            <v>0</v>
          </cell>
          <cell r="AR654">
            <v>0</v>
          </cell>
          <cell r="AS654">
            <v>0</v>
          </cell>
          <cell r="AT654">
            <v>0</v>
          </cell>
          <cell r="AU654">
            <v>0</v>
          </cell>
          <cell r="AV654">
            <v>0</v>
          </cell>
          <cell r="AW654">
            <v>0</v>
          </cell>
          <cell r="AX654">
            <v>0</v>
          </cell>
          <cell r="AY654">
            <v>0</v>
          </cell>
          <cell r="AZ654">
            <v>0</v>
          </cell>
          <cell r="BA654">
            <v>8</v>
          </cell>
          <cell r="BB654">
            <v>0</v>
          </cell>
          <cell r="BC654">
            <v>0</v>
          </cell>
          <cell r="BD654">
            <v>0</v>
          </cell>
          <cell r="BE654">
            <v>0</v>
          </cell>
          <cell r="BF654">
            <v>0</v>
          </cell>
          <cell r="BG654">
            <v>192</v>
          </cell>
          <cell r="BH654">
            <v>1</v>
          </cell>
          <cell r="BI654">
            <v>1</v>
          </cell>
          <cell r="BJ654">
            <v>-1</v>
          </cell>
          <cell r="BL654">
            <v>4</v>
          </cell>
          <cell r="BM654">
            <v>4</v>
          </cell>
          <cell r="BN654">
            <v>0</v>
          </cell>
          <cell r="BO654">
            <v>4</v>
          </cell>
          <cell r="BP654">
            <v>0</v>
          </cell>
          <cell r="BQ654">
            <v>0</v>
          </cell>
          <cell r="BR654">
            <v>0</v>
          </cell>
          <cell r="BS654">
            <v>0</v>
          </cell>
          <cell r="BT654">
            <v>4</v>
          </cell>
          <cell r="BU654">
            <v>0</v>
          </cell>
          <cell r="BV654">
            <v>4</v>
          </cell>
          <cell r="BW654">
            <v>0</v>
          </cell>
          <cell r="BX654">
            <v>0</v>
          </cell>
          <cell r="BY654">
            <v>0</v>
          </cell>
          <cell r="BZ654">
            <v>0</v>
          </cell>
          <cell r="CA654">
            <v>4</v>
          </cell>
          <cell r="CB654">
            <v>0</v>
          </cell>
          <cell r="CC654">
            <v>0</v>
          </cell>
          <cell r="CD654">
            <v>0</v>
          </cell>
          <cell r="CE654">
            <v>0</v>
          </cell>
          <cell r="CF654">
            <v>4</v>
          </cell>
          <cell r="CG654">
            <v>4</v>
          </cell>
          <cell r="CH654">
            <v>4</v>
          </cell>
          <cell r="CI654">
            <v>0</v>
          </cell>
          <cell r="CJ654">
            <v>4</v>
          </cell>
          <cell r="CK654">
            <v>4</v>
          </cell>
          <cell r="CL654">
            <v>0</v>
          </cell>
          <cell r="CM654">
            <v>0</v>
          </cell>
          <cell r="CR654">
            <v>0</v>
          </cell>
          <cell r="CS654">
            <v>0</v>
          </cell>
          <cell r="CT654">
            <v>44</v>
          </cell>
          <cell r="CU654">
            <v>0</v>
          </cell>
          <cell r="CV654">
            <v>0</v>
          </cell>
          <cell r="CZ654">
            <v>44</v>
          </cell>
        </row>
        <row r="655">
          <cell r="C655" t="str">
            <v>03942</v>
          </cell>
          <cell r="D655" t="str">
            <v xml:space="preserve">Phạm Thúy Hằng </v>
          </cell>
          <cell r="E655" t="str">
            <v>Production</v>
          </cell>
          <cell r="F655" t="str">
            <v>Packing</v>
          </cell>
          <cell r="G655" t="str">
            <v>Worker</v>
          </cell>
          <cell r="H655">
            <v>45176</v>
          </cell>
          <cell r="I655">
            <v>8</v>
          </cell>
          <cell r="J655">
            <v>8</v>
          </cell>
          <cell r="K655" t="str">
            <v>AL8</v>
          </cell>
          <cell r="L655" t="str">
            <v>CN</v>
          </cell>
          <cell r="M655" t="str">
            <v>Đ</v>
          </cell>
          <cell r="N655" t="str">
            <v>Đ</v>
          </cell>
          <cell r="O655" t="str">
            <v>Đ</v>
          </cell>
          <cell r="P655" t="str">
            <v>Đ</v>
          </cell>
          <cell r="Q655" t="str">
            <v>Đ</v>
          </cell>
          <cell r="R655" t="str">
            <v>Đ</v>
          </cell>
          <cell r="S655" t="str">
            <v>CN</v>
          </cell>
          <cell r="T655">
            <v>8</v>
          </cell>
          <cell r="U655" t="str">
            <v>UP4</v>
          </cell>
          <cell r="V655">
            <v>8</v>
          </cell>
          <cell r="W655">
            <v>8</v>
          </cell>
          <cell r="X655">
            <v>8</v>
          </cell>
          <cell r="Y655">
            <v>8</v>
          </cell>
          <cell r="Z655" t="str">
            <v>CN</v>
          </cell>
          <cell r="AA655" t="str">
            <v>Đ</v>
          </cell>
          <cell r="AB655" t="str">
            <v>Đ</v>
          </cell>
          <cell r="AC655" t="str">
            <v>Đ</v>
          </cell>
          <cell r="AD655" t="str">
            <v>AL8</v>
          </cell>
          <cell r="AE655" t="str">
            <v>Đ</v>
          </cell>
          <cell r="AF655" t="str">
            <v>Đ</v>
          </cell>
          <cell r="AG655" t="str">
            <v>CN</v>
          </cell>
          <cell r="AH655">
            <v>8</v>
          </cell>
          <cell r="AI655">
            <v>8</v>
          </cell>
          <cell r="AJ655">
            <v>8</v>
          </cell>
          <cell r="AN655">
            <v>88</v>
          </cell>
          <cell r="AO655">
            <v>84</v>
          </cell>
          <cell r="AP655">
            <v>0</v>
          </cell>
          <cell r="AQ655">
            <v>0</v>
          </cell>
          <cell r="AR655">
            <v>4</v>
          </cell>
          <cell r="AS655">
            <v>4</v>
          </cell>
          <cell r="AT655">
            <v>0</v>
          </cell>
          <cell r="AU655">
            <v>0</v>
          </cell>
          <cell r="AV655">
            <v>0</v>
          </cell>
          <cell r="AW655">
            <v>0</v>
          </cell>
          <cell r="AX655">
            <v>0</v>
          </cell>
          <cell r="AY655">
            <v>0</v>
          </cell>
          <cell r="AZ655">
            <v>0</v>
          </cell>
          <cell r="BA655">
            <v>16</v>
          </cell>
          <cell r="BB655">
            <v>0</v>
          </cell>
          <cell r="BC655">
            <v>0</v>
          </cell>
          <cell r="BD655">
            <v>0</v>
          </cell>
          <cell r="BE655">
            <v>0</v>
          </cell>
          <cell r="BF655">
            <v>0</v>
          </cell>
          <cell r="BG655">
            <v>188</v>
          </cell>
          <cell r="BH655">
            <v>2</v>
          </cell>
          <cell r="BI655">
            <v>2</v>
          </cell>
          <cell r="BJ655">
            <v>-3</v>
          </cell>
          <cell r="BL655">
            <v>0</v>
          </cell>
          <cell r="BM655">
            <v>0</v>
          </cell>
          <cell r="BN655">
            <v>0</v>
          </cell>
          <cell r="BO655">
            <v>0</v>
          </cell>
          <cell r="BP655">
            <v>1.5</v>
          </cell>
          <cell r="BQ655">
            <v>3</v>
          </cell>
          <cell r="BR655">
            <v>0</v>
          </cell>
          <cell r="BS655">
            <v>3</v>
          </cell>
          <cell r="BT655">
            <v>0</v>
          </cell>
          <cell r="BU655">
            <v>0</v>
          </cell>
          <cell r="BV655">
            <v>0</v>
          </cell>
          <cell r="BW655">
            <v>3</v>
          </cell>
          <cell r="BX655">
            <v>2</v>
          </cell>
          <cell r="BY655">
            <v>3</v>
          </cell>
          <cell r="BZ655">
            <v>3</v>
          </cell>
          <cell r="CA655">
            <v>3</v>
          </cell>
          <cell r="CB655">
            <v>3</v>
          </cell>
          <cell r="CC655">
            <v>8</v>
          </cell>
          <cell r="CD655">
            <v>4</v>
          </cell>
          <cell r="CE655">
            <v>4</v>
          </cell>
          <cell r="CF655">
            <v>4</v>
          </cell>
          <cell r="CG655">
            <v>0</v>
          </cell>
          <cell r="CH655">
            <v>1.5</v>
          </cell>
          <cell r="CI655">
            <v>1.5</v>
          </cell>
          <cell r="CJ655">
            <v>0</v>
          </cell>
          <cell r="CK655">
            <v>0</v>
          </cell>
          <cell r="CL655">
            <v>1.5</v>
          </cell>
          <cell r="CM655">
            <v>1.5</v>
          </cell>
          <cell r="CR655">
            <v>0</v>
          </cell>
          <cell r="CS655">
            <v>0</v>
          </cell>
          <cell r="CT655">
            <v>42.5</v>
          </cell>
          <cell r="CU655">
            <v>8</v>
          </cell>
          <cell r="CV655">
            <v>0</v>
          </cell>
          <cell r="CZ655">
            <v>50.5</v>
          </cell>
        </row>
        <row r="656">
          <cell r="C656" t="str">
            <v>03943</v>
          </cell>
          <cell r="D656" t="str">
            <v>Nguyễn Thị Mĩ Châu</v>
          </cell>
          <cell r="E656" t="str">
            <v>Production</v>
          </cell>
          <cell r="F656" t="str">
            <v>Logo</v>
          </cell>
          <cell r="G656" t="str">
            <v>Worker</v>
          </cell>
          <cell r="H656">
            <v>45176</v>
          </cell>
          <cell r="I656">
            <v>8</v>
          </cell>
          <cell r="J656">
            <v>8</v>
          </cell>
          <cell r="K656">
            <v>8</v>
          </cell>
          <cell r="L656" t="str">
            <v>CN</v>
          </cell>
          <cell r="M656" t="str">
            <v>Đ</v>
          </cell>
          <cell r="N656" t="str">
            <v>Đ</v>
          </cell>
          <cell r="O656" t="str">
            <v>Đ</v>
          </cell>
          <cell r="P656" t="str">
            <v>Đ</v>
          </cell>
          <cell r="Q656" t="str">
            <v>Đ</v>
          </cell>
          <cell r="R656" t="str">
            <v>Đ</v>
          </cell>
          <cell r="S656" t="str">
            <v>CN</v>
          </cell>
          <cell r="T656">
            <v>8</v>
          </cell>
          <cell r="U656">
            <v>8</v>
          </cell>
          <cell r="V656">
            <v>8</v>
          </cell>
          <cell r="W656">
            <v>8</v>
          </cell>
          <cell r="X656">
            <v>8</v>
          </cell>
          <cell r="Y656">
            <v>8</v>
          </cell>
          <cell r="Z656" t="str">
            <v>CN</v>
          </cell>
          <cell r="AA656" t="str">
            <v>Đ</v>
          </cell>
          <cell r="AB656" t="str">
            <v>Đ</v>
          </cell>
          <cell r="AC656" t="str">
            <v>Đ</v>
          </cell>
          <cell r="AD656" t="str">
            <v>Đ</v>
          </cell>
          <cell r="AE656" t="str">
            <v>Đ</v>
          </cell>
          <cell r="AF656" t="str">
            <v>Đ</v>
          </cell>
          <cell r="AG656" t="str">
            <v>CN</v>
          </cell>
          <cell r="AH656">
            <v>8</v>
          </cell>
          <cell r="AI656">
            <v>8</v>
          </cell>
          <cell r="AJ656">
            <v>8</v>
          </cell>
          <cell r="AN656">
            <v>96</v>
          </cell>
          <cell r="AO656">
            <v>96</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192</v>
          </cell>
          <cell r="BH656">
            <v>0</v>
          </cell>
          <cell r="BI656">
            <v>0</v>
          </cell>
          <cell r="BJ656">
            <v>2.5</v>
          </cell>
          <cell r="BL656">
            <v>0</v>
          </cell>
          <cell r="BM656">
            <v>0</v>
          </cell>
          <cell r="BN656">
            <v>0</v>
          </cell>
          <cell r="BO656">
            <v>0</v>
          </cell>
          <cell r="BP656">
            <v>1.5</v>
          </cell>
          <cell r="BQ656">
            <v>3</v>
          </cell>
          <cell r="BR656">
            <v>0</v>
          </cell>
          <cell r="BS656">
            <v>3</v>
          </cell>
          <cell r="BT656">
            <v>3</v>
          </cell>
          <cell r="BU656">
            <v>0</v>
          </cell>
          <cell r="BV656">
            <v>0</v>
          </cell>
          <cell r="BW656">
            <v>3</v>
          </cell>
          <cell r="BX656">
            <v>3</v>
          </cell>
          <cell r="BY656">
            <v>3</v>
          </cell>
          <cell r="BZ656">
            <v>3</v>
          </cell>
          <cell r="CA656">
            <v>3</v>
          </cell>
          <cell r="CB656">
            <v>3</v>
          </cell>
          <cell r="CC656">
            <v>8</v>
          </cell>
          <cell r="CD656">
            <v>1.5</v>
          </cell>
          <cell r="CE656">
            <v>0</v>
          </cell>
          <cell r="CF656">
            <v>4</v>
          </cell>
          <cell r="CG656">
            <v>4</v>
          </cell>
          <cell r="CH656">
            <v>1.5</v>
          </cell>
          <cell r="CI656">
            <v>1.5</v>
          </cell>
          <cell r="CJ656">
            <v>0</v>
          </cell>
          <cell r="CK656">
            <v>1.5</v>
          </cell>
          <cell r="CL656">
            <v>3</v>
          </cell>
          <cell r="CM656">
            <v>1.5</v>
          </cell>
          <cell r="CR656">
            <v>0</v>
          </cell>
          <cell r="CS656">
            <v>0</v>
          </cell>
          <cell r="CT656">
            <v>47</v>
          </cell>
          <cell r="CU656">
            <v>8</v>
          </cell>
          <cell r="CV656">
            <v>0</v>
          </cell>
          <cell r="CZ656">
            <v>55</v>
          </cell>
        </row>
        <row r="657">
          <cell r="C657" t="str">
            <v>03944</v>
          </cell>
          <cell r="D657" t="str">
            <v>Lý Chúc Ly</v>
          </cell>
          <cell r="E657" t="str">
            <v>Production</v>
          </cell>
          <cell r="F657" t="str">
            <v>Packing</v>
          </cell>
          <cell r="G657" t="str">
            <v>Worker</v>
          </cell>
          <cell r="H657">
            <v>45176</v>
          </cell>
          <cell r="I657">
            <v>8</v>
          </cell>
          <cell r="J657">
            <v>8</v>
          </cell>
          <cell r="K657">
            <v>8</v>
          </cell>
          <cell r="L657" t="str">
            <v>CN</v>
          </cell>
          <cell r="M657" t="str">
            <v>Đ</v>
          </cell>
          <cell r="N657" t="str">
            <v>Đ</v>
          </cell>
          <cell r="O657" t="str">
            <v>Đ</v>
          </cell>
          <cell r="P657" t="str">
            <v>Đ</v>
          </cell>
          <cell r="Q657" t="str">
            <v>Đ</v>
          </cell>
          <cell r="R657" t="str">
            <v>Đ</v>
          </cell>
          <cell r="S657" t="str">
            <v>CN</v>
          </cell>
          <cell r="T657">
            <v>8</v>
          </cell>
          <cell r="U657">
            <v>8</v>
          </cell>
          <cell r="V657">
            <v>8</v>
          </cell>
          <cell r="W657">
            <v>8</v>
          </cell>
          <cell r="X657">
            <v>8</v>
          </cell>
          <cell r="Y657">
            <v>8</v>
          </cell>
          <cell r="Z657" t="str">
            <v>CN</v>
          </cell>
          <cell r="AA657" t="str">
            <v>Đ</v>
          </cell>
          <cell r="AB657" t="str">
            <v>Đ</v>
          </cell>
          <cell r="AC657" t="str">
            <v>Đ</v>
          </cell>
          <cell r="AD657" t="str">
            <v>Đ</v>
          </cell>
          <cell r="AE657" t="str">
            <v>Đ</v>
          </cell>
          <cell r="AF657" t="str">
            <v>Đ</v>
          </cell>
          <cell r="AG657" t="str">
            <v>CN</v>
          </cell>
          <cell r="AH657">
            <v>8</v>
          </cell>
          <cell r="AI657">
            <v>8</v>
          </cell>
          <cell r="AJ657">
            <v>8</v>
          </cell>
          <cell r="AN657">
            <v>96</v>
          </cell>
          <cell r="AO657">
            <v>96</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192</v>
          </cell>
          <cell r="BH657">
            <v>0</v>
          </cell>
          <cell r="BI657">
            <v>0</v>
          </cell>
          <cell r="BJ657">
            <v>4</v>
          </cell>
          <cell r="BL657">
            <v>0</v>
          </cell>
          <cell r="BM657">
            <v>0</v>
          </cell>
          <cell r="BN657">
            <v>0</v>
          </cell>
          <cell r="BO657">
            <v>0</v>
          </cell>
          <cell r="BP657">
            <v>1.5</v>
          </cell>
          <cell r="BQ657">
            <v>3</v>
          </cell>
          <cell r="BR657">
            <v>0</v>
          </cell>
          <cell r="BS657">
            <v>3</v>
          </cell>
          <cell r="BT657">
            <v>3</v>
          </cell>
          <cell r="BU657">
            <v>0</v>
          </cell>
          <cell r="BV657">
            <v>0</v>
          </cell>
          <cell r="BW657">
            <v>3</v>
          </cell>
          <cell r="BX657">
            <v>3</v>
          </cell>
          <cell r="BY657">
            <v>3</v>
          </cell>
          <cell r="BZ657">
            <v>3</v>
          </cell>
          <cell r="CA657">
            <v>3</v>
          </cell>
          <cell r="CB657">
            <v>3</v>
          </cell>
          <cell r="CC657">
            <v>8</v>
          </cell>
          <cell r="CD657">
            <v>1.5</v>
          </cell>
          <cell r="CE657">
            <v>4</v>
          </cell>
          <cell r="CF657">
            <v>4</v>
          </cell>
          <cell r="CG657">
            <v>4</v>
          </cell>
          <cell r="CH657">
            <v>1.5</v>
          </cell>
          <cell r="CI657">
            <v>1.5</v>
          </cell>
          <cell r="CJ657">
            <v>0</v>
          </cell>
          <cell r="CK657">
            <v>1.5</v>
          </cell>
          <cell r="CL657">
            <v>3</v>
          </cell>
          <cell r="CM657">
            <v>1.5</v>
          </cell>
          <cell r="CR657">
            <v>0</v>
          </cell>
          <cell r="CS657">
            <v>0</v>
          </cell>
          <cell r="CT657">
            <v>51</v>
          </cell>
          <cell r="CU657">
            <v>8</v>
          </cell>
          <cell r="CV657">
            <v>0</v>
          </cell>
          <cell r="CZ657">
            <v>59</v>
          </cell>
        </row>
        <row r="658">
          <cell r="C658" t="str">
            <v>03957</v>
          </cell>
          <cell r="D658" t="str">
            <v>Thị Cẩm Nhung</v>
          </cell>
          <cell r="E658" t="str">
            <v>Production</v>
          </cell>
          <cell r="F658" t="str">
            <v>Packing</v>
          </cell>
          <cell r="G658" t="str">
            <v>Worker</v>
          </cell>
          <cell r="H658">
            <v>45181</v>
          </cell>
          <cell r="I658">
            <v>8</v>
          </cell>
          <cell r="J658">
            <v>8</v>
          </cell>
          <cell r="K658">
            <v>8</v>
          </cell>
          <cell r="L658" t="str">
            <v>CN</v>
          </cell>
          <cell r="M658" t="str">
            <v>Đ</v>
          </cell>
          <cell r="N658" t="str">
            <v>Đ</v>
          </cell>
          <cell r="O658" t="str">
            <v>Đ</v>
          </cell>
          <cell r="P658" t="str">
            <v>Đ</v>
          </cell>
          <cell r="Q658" t="str">
            <v>Đ</v>
          </cell>
          <cell r="R658" t="str">
            <v>Đ</v>
          </cell>
          <cell r="S658" t="str">
            <v>CN</v>
          </cell>
          <cell r="T658">
            <v>8</v>
          </cell>
          <cell r="U658">
            <v>8</v>
          </cell>
          <cell r="V658" t="str">
            <v>AL4</v>
          </cell>
          <cell r="W658">
            <v>8</v>
          </cell>
          <cell r="X658">
            <v>8</v>
          </cell>
          <cell r="Y658">
            <v>8</v>
          </cell>
          <cell r="Z658" t="str">
            <v>CN</v>
          </cell>
          <cell r="AA658" t="str">
            <v>Đ</v>
          </cell>
          <cell r="AB658" t="str">
            <v>Đ</v>
          </cell>
          <cell r="AC658" t="str">
            <v>Đ</v>
          </cell>
          <cell r="AD658" t="str">
            <v>AL8</v>
          </cell>
          <cell r="AE658" t="str">
            <v>Đ</v>
          </cell>
          <cell r="AF658" t="str">
            <v>Đ</v>
          </cell>
          <cell r="AG658" t="str">
            <v>CN</v>
          </cell>
          <cell r="AH658">
            <v>8</v>
          </cell>
          <cell r="AI658">
            <v>8</v>
          </cell>
          <cell r="AJ658">
            <v>8</v>
          </cell>
          <cell r="AN658">
            <v>88</v>
          </cell>
          <cell r="AO658">
            <v>92</v>
          </cell>
          <cell r="AP658">
            <v>4</v>
          </cell>
          <cell r="AQ658">
            <v>0</v>
          </cell>
          <cell r="AR658">
            <v>0</v>
          </cell>
          <cell r="AS658">
            <v>0</v>
          </cell>
          <cell r="AT658">
            <v>0</v>
          </cell>
          <cell r="AU658">
            <v>0</v>
          </cell>
          <cell r="AV658">
            <v>0</v>
          </cell>
          <cell r="AW658">
            <v>0</v>
          </cell>
          <cell r="AX658">
            <v>0</v>
          </cell>
          <cell r="AY658">
            <v>0</v>
          </cell>
          <cell r="AZ658">
            <v>0</v>
          </cell>
          <cell r="BA658">
            <v>12</v>
          </cell>
          <cell r="BB658">
            <v>0</v>
          </cell>
          <cell r="BC658">
            <v>0</v>
          </cell>
          <cell r="BD658">
            <v>0</v>
          </cell>
          <cell r="BE658">
            <v>0</v>
          </cell>
          <cell r="BF658">
            <v>0</v>
          </cell>
          <cell r="BG658">
            <v>192</v>
          </cell>
          <cell r="BH658">
            <v>1.5</v>
          </cell>
          <cell r="BI658">
            <v>1.5</v>
          </cell>
          <cell r="BJ658">
            <v>0.5</v>
          </cell>
          <cell r="BL658">
            <v>1.5</v>
          </cell>
          <cell r="BM658">
            <v>1.5</v>
          </cell>
          <cell r="BN658">
            <v>1.5</v>
          </cell>
          <cell r="BO658">
            <v>0</v>
          </cell>
          <cell r="BP658">
            <v>1.5</v>
          </cell>
          <cell r="BQ658">
            <v>0</v>
          </cell>
          <cell r="BR658">
            <v>0</v>
          </cell>
          <cell r="BS658">
            <v>4</v>
          </cell>
          <cell r="BT658">
            <v>4</v>
          </cell>
          <cell r="BU658">
            <v>4</v>
          </cell>
          <cell r="BV658">
            <v>0</v>
          </cell>
          <cell r="BW658">
            <v>3</v>
          </cell>
          <cell r="BX658">
            <v>3</v>
          </cell>
          <cell r="BY658">
            <v>2</v>
          </cell>
          <cell r="BZ658">
            <v>0</v>
          </cell>
          <cell r="CA658">
            <v>3</v>
          </cell>
          <cell r="CB658">
            <v>0</v>
          </cell>
          <cell r="CC658">
            <v>8</v>
          </cell>
          <cell r="CD658">
            <v>4</v>
          </cell>
          <cell r="CE658">
            <v>4</v>
          </cell>
          <cell r="CF658">
            <v>4</v>
          </cell>
          <cell r="CG658">
            <v>0</v>
          </cell>
          <cell r="CH658">
            <v>4</v>
          </cell>
          <cell r="CI658">
            <v>4</v>
          </cell>
          <cell r="CJ658">
            <v>0</v>
          </cell>
          <cell r="CK658">
            <v>3</v>
          </cell>
          <cell r="CL658">
            <v>3</v>
          </cell>
          <cell r="CM658">
            <v>3</v>
          </cell>
          <cell r="CR658">
            <v>0</v>
          </cell>
          <cell r="CS658">
            <v>0</v>
          </cell>
          <cell r="CT658">
            <v>58</v>
          </cell>
          <cell r="CU658">
            <v>8</v>
          </cell>
          <cell r="CV658">
            <v>0</v>
          </cell>
          <cell r="CZ658">
            <v>66</v>
          </cell>
        </row>
        <row r="659">
          <cell r="C659" t="str">
            <v>03963</v>
          </cell>
          <cell r="D659" t="str">
            <v>Hoàng Thị Liễu</v>
          </cell>
          <cell r="E659" t="str">
            <v>Production</v>
          </cell>
          <cell r="F659" t="str">
            <v>Packing</v>
          </cell>
          <cell r="G659" t="str">
            <v>Worker</v>
          </cell>
          <cell r="H659">
            <v>45204</v>
          </cell>
          <cell r="I659">
            <v>8</v>
          </cell>
          <cell r="J659">
            <v>8</v>
          </cell>
          <cell r="K659">
            <v>8</v>
          </cell>
          <cell r="L659" t="str">
            <v>CN</v>
          </cell>
          <cell r="M659" t="str">
            <v>Đ</v>
          </cell>
          <cell r="N659" t="str">
            <v>Đ</v>
          </cell>
          <cell r="O659" t="str">
            <v>Đ</v>
          </cell>
          <cell r="P659" t="str">
            <v>Đ</v>
          </cell>
          <cell r="Q659" t="str">
            <v>Đ</v>
          </cell>
          <cell r="R659" t="str">
            <v>Đ</v>
          </cell>
          <cell r="S659" t="str">
            <v>CN</v>
          </cell>
          <cell r="T659">
            <v>8</v>
          </cell>
          <cell r="U659">
            <v>8</v>
          </cell>
          <cell r="V659">
            <v>8</v>
          </cell>
          <cell r="W659">
            <v>8</v>
          </cell>
          <cell r="X659">
            <v>8</v>
          </cell>
          <cell r="Y659">
            <v>8</v>
          </cell>
          <cell r="Z659" t="str">
            <v>CN</v>
          </cell>
          <cell r="AA659" t="str">
            <v>Đ</v>
          </cell>
          <cell r="AB659" t="str">
            <v>Đ</v>
          </cell>
          <cell r="AC659" t="str">
            <v>Đ</v>
          </cell>
          <cell r="AD659" t="str">
            <v>Đ</v>
          </cell>
          <cell r="AE659" t="str">
            <v>Đ</v>
          </cell>
          <cell r="AF659" t="str">
            <v>Đ</v>
          </cell>
          <cell r="AG659" t="str">
            <v>CN</v>
          </cell>
          <cell r="AH659">
            <v>8</v>
          </cell>
          <cell r="AI659">
            <v>8</v>
          </cell>
          <cell r="AJ659">
            <v>8</v>
          </cell>
          <cell r="AN659">
            <v>96</v>
          </cell>
          <cell r="AO659">
            <v>96</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192</v>
          </cell>
          <cell r="BH659">
            <v>0</v>
          </cell>
          <cell r="BI659">
            <v>0</v>
          </cell>
          <cell r="BJ659">
            <v>0</v>
          </cell>
          <cell r="BL659">
            <v>1.5</v>
          </cell>
          <cell r="BM659">
            <v>1.5</v>
          </cell>
          <cell r="BN659">
            <v>1.5</v>
          </cell>
          <cell r="BO659">
            <v>0</v>
          </cell>
          <cell r="BP659">
            <v>1.5</v>
          </cell>
          <cell r="BQ659">
            <v>0</v>
          </cell>
          <cell r="BR659">
            <v>0</v>
          </cell>
          <cell r="BS659">
            <v>4</v>
          </cell>
          <cell r="BT659">
            <v>4</v>
          </cell>
          <cell r="BU659">
            <v>4</v>
          </cell>
          <cell r="BV659">
            <v>0</v>
          </cell>
          <cell r="BW659">
            <v>3</v>
          </cell>
          <cell r="BX659">
            <v>3</v>
          </cell>
          <cell r="BY659">
            <v>3</v>
          </cell>
          <cell r="BZ659">
            <v>3</v>
          </cell>
          <cell r="CA659">
            <v>3</v>
          </cell>
          <cell r="CB659">
            <v>3</v>
          </cell>
          <cell r="CC659">
            <v>8</v>
          </cell>
          <cell r="CD659">
            <v>4</v>
          </cell>
          <cell r="CE659">
            <v>4</v>
          </cell>
          <cell r="CF659">
            <v>4</v>
          </cell>
          <cell r="CG659">
            <v>4</v>
          </cell>
          <cell r="CH659">
            <v>4</v>
          </cell>
          <cell r="CI659">
            <v>4</v>
          </cell>
          <cell r="CJ659">
            <v>0</v>
          </cell>
          <cell r="CK659">
            <v>3</v>
          </cell>
          <cell r="CL659">
            <v>3</v>
          </cell>
          <cell r="CM659">
            <v>3</v>
          </cell>
          <cell r="CR659">
            <v>0</v>
          </cell>
          <cell r="CS659">
            <v>0</v>
          </cell>
          <cell r="CT659">
            <v>69</v>
          </cell>
          <cell r="CU659">
            <v>8</v>
          </cell>
          <cell r="CV659">
            <v>0</v>
          </cell>
          <cell r="CZ659">
            <v>77</v>
          </cell>
        </row>
        <row r="660">
          <cell r="C660" t="str">
            <v>03964</v>
          </cell>
          <cell r="D660" t="str">
            <v>Quách Thiện Nhân</v>
          </cell>
          <cell r="E660" t="str">
            <v>Production</v>
          </cell>
          <cell r="F660" t="str">
            <v>Die Cut</v>
          </cell>
          <cell r="G660" t="str">
            <v>Worker</v>
          </cell>
          <cell r="H660">
            <v>45204</v>
          </cell>
          <cell r="I660">
            <v>8</v>
          </cell>
          <cell r="J660">
            <v>8</v>
          </cell>
          <cell r="K660">
            <v>8</v>
          </cell>
          <cell r="L660" t="str">
            <v>CN</v>
          </cell>
          <cell r="M660" t="str">
            <v>Đ</v>
          </cell>
          <cell r="N660" t="str">
            <v>Đ</v>
          </cell>
          <cell r="O660" t="str">
            <v>Đ</v>
          </cell>
          <cell r="P660" t="str">
            <v>Đ</v>
          </cell>
          <cell r="Q660" t="str">
            <v>Đ</v>
          </cell>
          <cell r="R660" t="str">
            <v>Đ</v>
          </cell>
          <cell r="S660" t="str">
            <v>CN</v>
          </cell>
          <cell r="T660">
            <v>8</v>
          </cell>
          <cell r="U660">
            <v>8</v>
          </cell>
          <cell r="V660">
            <v>8</v>
          </cell>
          <cell r="W660" t="str">
            <v>UP4</v>
          </cell>
          <cell r="X660">
            <v>8</v>
          </cell>
          <cell r="Y660">
            <v>8</v>
          </cell>
          <cell r="Z660" t="str">
            <v>CN</v>
          </cell>
          <cell r="AA660" t="str">
            <v>Đ</v>
          </cell>
          <cell r="AB660" t="str">
            <v>Đ</v>
          </cell>
          <cell r="AC660" t="str">
            <v>Đ</v>
          </cell>
          <cell r="AD660" t="str">
            <v>Đ</v>
          </cell>
          <cell r="AE660" t="str">
            <v>Đ</v>
          </cell>
          <cell r="AF660" t="str">
            <v>Đ</v>
          </cell>
          <cell r="AG660" t="str">
            <v>CN</v>
          </cell>
          <cell r="AH660">
            <v>8</v>
          </cell>
          <cell r="AI660">
            <v>8</v>
          </cell>
          <cell r="AJ660">
            <v>8</v>
          </cell>
          <cell r="AN660">
            <v>96</v>
          </cell>
          <cell r="AO660">
            <v>92</v>
          </cell>
          <cell r="AP660">
            <v>0</v>
          </cell>
          <cell r="AQ660">
            <v>0</v>
          </cell>
          <cell r="AR660">
            <v>4</v>
          </cell>
          <cell r="AS660">
            <v>4</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188</v>
          </cell>
          <cell r="BH660">
            <v>0</v>
          </cell>
          <cell r="BI660">
            <v>0</v>
          </cell>
          <cell r="BJ660">
            <v>-2</v>
          </cell>
          <cell r="BL660">
            <v>0</v>
          </cell>
          <cell r="BM660">
            <v>0</v>
          </cell>
          <cell r="BN660">
            <v>0</v>
          </cell>
          <cell r="BO660">
            <v>0</v>
          </cell>
          <cell r="BP660">
            <v>1.5</v>
          </cell>
          <cell r="BQ660">
            <v>3</v>
          </cell>
          <cell r="BR660">
            <v>0</v>
          </cell>
          <cell r="BS660">
            <v>3</v>
          </cell>
          <cell r="BT660">
            <v>3</v>
          </cell>
          <cell r="BU660">
            <v>0</v>
          </cell>
          <cell r="BV660">
            <v>0</v>
          </cell>
          <cell r="BW660">
            <v>3</v>
          </cell>
          <cell r="BX660">
            <v>3</v>
          </cell>
          <cell r="BY660">
            <v>3</v>
          </cell>
          <cell r="BZ660">
            <v>2</v>
          </cell>
          <cell r="CA660">
            <v>3</v>
          </cell>
          <cell r="CB660">
            <v>3</v>
          </cell>
          <cell r="CC660">
            <v>8</v>
          </cell>
          <cell r="CD660">
            <v>4</v>
          </cell>
          <cell r="CE660">
            <v>4</v>
          </cell>
          <cell r="CF660">
            <v>4</v>
          </cell>
          <cell r="CG660">
            <v>4</v>
          </cell>
          <cell r="CH660">
            <v>1.5</v>
          </cell>
          <cell r="CI660">
            <v>1.5</v>
          </cell>
          <cell r="CJ660">
            <v>0</v>
          </cell>
          <cell r="CK660">
            <v>1.5</v>
          </cell>
          <cell r="CL660">
            <v>1.5</v>
          </cell>
          <cell r="CM660">
            <v>1.5</v>
          </cell>
          <cell r="CR660">
            <v>0</v>
          </cell>
          <cell r="CS660">
            <v>0</v>
          </cell>
          <cell r="CT660">
            <v>51</v>
          </cell>
          <cell r="CU660">
            <v>8</v>
          </cell>
          <cell r="CV660">
            <v>0</v>
          </cell>
          <cell r="CZ660">
            <v>59</v>
          </cell>
        </row>
        <row r="661">
          <cell r="C661" t="str">
            <v>03967</v>
          </cell>
          <cell r="D661" t="str">
            <v>Huỳnh Thị Hồng Kim</v>
          </cell>
          <cell r="E661" t="str">
            <v>Production</v>
          </cell>
          <cell r="F661" t="str">
            <v>Logo</v>
          </cell>
          <cell r="G661" t="str">
            <v>Worker</v>
          </cell>
          <cell r="H661">
            <v>45204</v>
          </cell>
          <cell r="I661">
            <v>8</v>
          </cell>
          <cell r="J661">
            <v>8</v>
          </cell>
          <cell r="K661">
            <v>8</v>
          </cell>
          <cell r="L661" t="str">
            <v>CN</v>
          </cell>
          <cell r="M661" t="str">
            <v>Đ</v>
          </cell>
          <cell r="N661" t="str">
            <v>Đ</v>
          </cell>
          <cell r="O661" t="str">
            <v>Đ</v>
          </cell>
          <cell r="P661" t="str">
            <v>Đ</v>
          </cell>
          <cell r="Q661" t="str">
            <v>Đ</v>
          </cell>
          <cell r="R661" t="str">
            <v>Đ</v>
          </cell>
          <cell r="S661" t="str">
            <v>CN</v>
          </cell>
          <cell r="T661">
            <v>8</v>
          </cell>
          <cell r="U661">
            <v>8</v>
          </cell>
          <cell r="V661">
            <v>8</v>
          </cell>
          <cell r="W661">
            <v>8</v>
          </cell>
          <cell r="X661">
            <v>8</v>
          </cell>
          <cell r="Y661">
            <v>8</v>
          </cell>
          <cell r="Z661" t="str">
            <v>CN</v>
          </cell>
          <cell r="AA661" t="str">
            <v>Đ</v>
          </cell>
          <cell r="AB661" t="str">
            <v>Đ</v>
          </cell>
          <cell r="AC661" t="str">
            <v>Đ</v>
          </cell>
          <cell r="AD661" t="str">
            <v>Đ</v>
          </cell>
          <cell r="AE661" t="str">
            <v>Đ</v>
          </cell>
          <cell r="AF661" t="str">
            <v>Đ</v>
          </cell>
          <cell r="AG661" t="str">
            <v>CN</v>
          </cell>
          <cell r="AH661">
            <v>8</v>
          </cell>
          <cell r="AI661">
            <v>8</v>
          </cell>
          <cell r="AJ661">
            <v>8</v>
          </cell>
          <cell r="AN661">
            <v>96</v>
          </cell>
          <cell r="AO661">
            <v>96</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192</v>
          </cell>
          <cell r="BH661">
            <v>0</v>
          </cell>
          <cell r="BI661">
            <v>0</v>
          </cell>
          <cell r="BJ661">
            <v>5</v>
          </cell>
          <cell r="BL661">
            <v>0</v>
          </cell>
          <cell r="BM661">
            <v>0</v>
          </cell>
          <cell r="BN661">
            <v>0</v>
          </cell>
          <cell r="BO661">
            <v>0</v>
          </cell>
          <cell r="BP661">
            <v>1.5</v>
          </cell>
          <cell r="BQ661">
            <v>3</v>
          </cell>
          <cell r="BR661">
            <v>0</v>
          </cell>
          <cell r="BS661">
            <v>3</v>
          </cell>
          <cell r="BT661">
            <v>3</v>
          </cell>
          <cell r="BU661">
            <v>0</v>
          </cell>
          <cell r="BV661">
            <v>0</v>
          </cell>
          <cell r="BW661">
            <v>3</v>
          </cell>
          <cell r="BX661">
            <v>3</v>
          </cell>
          <cell r="BY661">
            <v>3</v>
          </cell>
          <cell r="BZ661">
            <v>3</v>
          </cell>
          <cell r="CA661">
            <v>3</v>
          </cell>
          <cell r="CB661">
            <v>3</v>
          </cell>
          <cell r="CC661">
            <v>8</v>
          </cell>
          <cell r="CD661">
            <v>4</v>
          </cell>
          <cell r="CE661">
            <v>4</v>
          </cell>
          <cell r="CF661">
            <v>4</v>
          </cell>
          <cell r="CG661">
            <v>4</v>
          </cell>
          <cell r="CH661">
            <v>1.5</v>
          </cell>
          <cell r="CI661">
            <v>4</v>
          </cell>
          <cell r="CJ661">
            <v>0</v>
          </cell>
          <cell r="CK661">
            <v>0</v>
          </cell>
          <cell r="CL661">
            <v>1.5</v>
          </cell>
          <cell r="CM661">
            <v>1.5</v>
          </cell>
          <cell r="CR661">
            <v>0</v>
          </cell>
          <cell r="CS661">
            <v>0</v>
          </cell>
          <cell r="CT661">
            <v>53</v>
          </cell>
          <cell r="CU661">
            <v>8</v>
          </cell>
          <cell r="CV661">
            <v>0</v>
          </cell>
          <cell r="CZ661">
            <v>61</v>
          </cell>
        </row>
        <row r="662">
          <cell r="C662" t="str">
            <v>03968</v>
          </cell>
          <cell r="D662" t="str">
            <v xml:space="preserve">Nguyễn Thị Mỹ Lệ </v>
          </cell>
          <cell r="E662" t="str">
            <v>Production</v>
          </cell>
          <cell r="F662" t="str">
            <v>Packing</v>
          </cell>
          <cell r="G662" t="str">
            <v>Worker</v>
          </cell>
          <cell r="H662">
            <v>45204</v>
          </cell>
          <cell r="I662">
            <v>8</v>
          </cell>
          <cell r="J662">
            <v>8</v>
          </cell>
          <cell r="K662" t="str">
            <v>AL8</v>
          </cell>
          <cell r="L662" t="str">
            <v>CN</v>
          </cell>
          <cell r="M662" t="str">
            <v>Đ</v>
          </cell>
          <cell r="N662" t="str">
            <v>Đ</v>
          </cell>
          <cell r="O662" t="str">
            <v>Đ</v>
          </cell>
          <cell r="P662" t="str">
            <v>Đ</v>
          </cell>
          <cell r="Q662" t="str">
            <v>Đ</v>
          </cell>
          <cell r="R662" t="str">
            <v>Đ</v>
          </cell>
          <cell r="S662" t="str">
            <v>CN</v>
          </cell>
          <cell r="T662">
            <v>8</v>
          </cell>
          <cell r="U662">
            <v>8</v>
          </cell>
          <cell r="V662">
            <v>8</v>
          </cell>
          <cell r="W662">
            <v>8</v>
          </cell>
          <cell r="X662">
            <v>8</v>
          </cell>
          <cell r="Y662">
            <v>8</v>
          </cell>
          <cell r="Z662" t="str">
            <v>CN</v>
          </cell>
          <cell r="AA662" t="str">
            <v>Đ</v>
          </cell>
          <cell r="AB662" t="str">
            <v>Đ</v>
          </cell>
          <cell r="AC662" t="str">
            <v>Đ</v>
          </cell>
          <cell r="AD662" t="str">
            <v>Đ</v>
          </cell>
          <cell r="AE662" t="str">
            <v>Đ</v>
          </cell>
          <cell r="AF662" t="str">
            <v>Đ</v>
          </cell>
          <cell r="AG662" t="str">
            <v>CN</v>
          </cell>
          <cell r="AH662">
            <v>8</v>
          </cell>
          <cell r="AI662">
            <v>8</v>
          </cell>
          <cell r="AJ662">
            <v>8</v>
          </cell>
          <cell r="AN662">
            <v>96</v>
          </cell>
          <cell r="AO662">
            <v>88</v>
          </cell>
          <cell r="AP662">
            <v>0</v>
          </cell>
          <cell r="AQ662">
            <v>0</v>
          </cell>
          <cell r="AR662">
            <v>0</v>
          </cell>
          <cell r="AS662">
            <v>0</v>
          </cell>
          <cell r="AT662">
            <v>0</v>
          </cell>
          <cell r="AU662">
            <v>0</v>
          </cell>
          <cell r="AV662">
            <v>0</v>
          </cell>
          <cell r="AW662">
            <v>0</v>
          </cell>
          <cell r="AX662">
            <v>0</v>
          </cell>
          <cell r="AY662">
            <v>0</v>
          </cell>
          <cell r="AZ662">
            <v>0</v>
          </cell>
          <cell r="BA662">
            <v>8</v>
          </cell>
          <cell r="BB662">
            <v>0</v>
          </cell>
          <cell r="BC662">
            <v>0</v>
          </cell>
          <cell r="BD662">
            <v>0</v>
          </cell>
          <cell r="BE662">
            <v>0</v>
          </cell>
          <cell r="BF662">
            <v>0</v>
          </cell>
          <cell r="BG662">
            <v>192</v>
          </cell>
          <cell r="BH662">
            <v>1</v>
          </cell>
          <cell r="BI662">
            <v>1</v>
          </cell>
          <cell r="BJ662">
            <v>2</v>
          </cell>
          <cell r="BL662">
            <v>0</v>
          </cell>
          <cell r="BM662">
            <v>1.5</v>
          </cell>
          <cell r="BN662">
            <v>0</v>
          </cell>
          <cell r="BO662">
            <v>0</v>
          </cell>
          <cell r="BP662">
            <v>1.5</v>
          </cell>
          <cell r="BQ662">
            <v>3</v>
          </cell>
          <cell r="BR662">
            <v>0</v>
          </cell>
          <cell r="BS662">
            <v>3</v>
          </cell>
          <cell r="BT662">
            <v>3</v>
          </cell>
          <cell r="BU662">
            <v>0</v>
          </cell>
          <cell r="BV662">
            <v>0</v>
          </cell>
          <cell r="BW662">
            <v>0</v>
          </cell>
          <cell r="BX662">
            <v>3</v>
          </cell>
          <cell r="BY662">
            <v>3</v>
          </cell>
          <cell r="BZ662">
            <v>3</v>
          </cell>
          <cell r="CA662">
            <v>3</v>
          </cell>
          <cell r="CB662">
            <v>3</v>
          </cell>
          <cell r="CC662">
            <v>8</v>
          </cell>
          <cell r="CD662">
            <v>4</v>
          </cell>
          <cell r="CE662">
            <v>4</v>
          </cell>
          <cell r="CF662">
            <v>4</v>
          </cell>
          <cell r="CG662">
            <v>4</v>
          </cell>
          <cell r="CH662">
            <v>4</v>
          </cell>
          <cell r="CI662">
            <v>4</v>
          </cell>
          <cell r="CJ662">
            <v>0</v>
          </cell>
          <cell r="CK662">
            <v>3</v>
          </cell>
          <cell r="CL662">
            <v>3</v>
          </cell>
          <cell r="CM662">
            <v>3</v>
          </cell>
          <cell r="CR662">
            <v>0</v>
          </cell>
          <cell r="CS662">
            <v>0</v>
          </cell>
          <cell r="CT662">
            <v>60</v>
          </cell>
          <cell r="CU662">
            <v>8</v>
          </cell>
          <cell r="CV662">
            <v>0</v>
          </cell>
          <cell r="CZ662">
            <v>68</v>
          </cell>
        </row>
        <row r="663">
          <cell r="C663" t="str">
            <v>03972</v>
          </cell>
          <cell r="D663" t="str">
            <v>Trần Văn Tiền</v>
          </cell>
          <cell r="E663" t="str">
            <v>Production</v>
          </cell>
          <cell r="F663" t="str">
            <v>Molding</v>
          </cell>
          <cell r="G663" t="str">
            <v>Worker</v>
          </cell>
          <cell r="H663">
            <v>45204</v>
          </cell>
          <cell r="I663" t="str">
            <v>Đ</v>
          </cell>
          <cell r="J663" t="str">
            <v>Đ</v>
          </cell>
          <cell r="K663" t="str">
            <v>Đ</v>
          </cell>
          <cell r="L663" t="str">
            <v>CN</v>
          </cell>
          <cell r="M663">
            <v>8</v>
          </cell>
          <cell r="N663">
            <v>8</v>
          </cell>
          <cell r="O663">
            <v>8</v>
          </cell>
          <cell r="P663">
            <v>8</v>
          </cell>
          <cell r="Q663">
            <v>8</v>
          </cell>
          <cell r="R663">
            <v>8</v>
          </cell>
          <cell r="S663" t="str">
            <v>CN</v>
          </cell>
          <cell r="T663" t="str">
            <v>Đ</v>
          </cell>
          <cell r="U663" t="str">
            <v>Đ</v>
          </cell>
          <cell r="V663" t="str">
            <v>Đ</v>
          </cell>
          <cell r="W663" t="str">
            <v>Đ</v>
          </cell>
          <cell r="X663" t="str">
            <v>Đ</v>
          </cell>
          <cell r="Y663" t="str">
            <v>Đ</v>
          </cell>
          <cell r="Z663" t="str">
            <v>CN</v>
          </cell>
          <cell r="AA663">
            <v>8</v>
          </cell>
          <cell r="AB663">
            <v>8</v>
          </cell>
          <cell r="AC663">
            <v>8</v>
          </cell>
          <cell r="AD663">
            <v>8</v>
          </cell>
          <cell r="AE663">
            <v>8</v>
          </cell>
          <cell r="AF663">
            <v>8</v>
          </cell>
          <cell r="AG663" t="str">
            <v>CN</v>
          </cell>
          <cell r="AH663" t="str">
            <v>Đ</v>
          </cell>
          <cell r="AI663" t="str">
            <v>Đ</v>
          </cell>
          <cell r="AJ663" t="str">
            <v>Đ</v>
          </cell>
          <cell r="AN663">
            <v>96</v>
          </cell>
          <cell r="AO663">
            <v>96</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192</v>
          </cell>
          <cell r="BH663">
            <v>0</v>
          </cell>
          <cell r="BI663">
            <v>0</v>
          </cell>
          <cell r="BJ663">
            <v>6.5</v>
          </cell>
          <cell r="BL663">
            <v>0</v>
          </cell>
          <cell r="BM663">
            <v>0</v>
          </cell>
          <cell r="BN663">
            <v>0</v>
          </cell>
          <cell r="BO663">
            <v>0</v>
          </cell>
          <cell r="BP663">
            <v>4</v>
          </cell>
          <cell r="BQ663">
            <v>0</v>
          </cell>
          <cell r="BR663">
            <v>0</v>
          </cell>
          <cell r="BS663">
            <v>4</v>
          </cell>
          <cell r="BT663">
            <v>0</v>
          </cell>
          <cell r="BU663">
            <v>0</v>
          </cell>
          <cell r="BV663">
            <v>0</v>
          </cell>
          <cell r="BW663">
            <v>0</v>
          </cell>
          <cell r="BX663">
            <v>0</v>
          </cell>
          <cell r="BY663">
            <v>4</v>
          </cell>
          <cell r="BZ663">
            <v>4</v>
          </cell>
          <cell r="CA663">
            <v>0</v>
          </cell>
          <cell r="CB663">
            <v>0</v>
          </cell>
          <cell r="CC663">
            <v>0</v>
          </cell>
          <cell r="CD663">
            <v>4</v>
          </cell>
          <cell r="CE663">
            <v>4</v>
          </cell>
          <cell r="CF663">
            <v>0</v>
          </cell>
          <cell r="CG663">
            <v>0</v>
          </cell>
          <cell r="CH663">
            <v>4</v>
          </cell>
          <cell r="CI663">
            <v>0</v>
          </cell>
          <cell r="CJ663" t="str">
            <v>12Đ</v>
          </cell>
          <cell r="CK663">
            <v>0</v>
          </cell>
          <cell r="CL663">
            <v>0</v>
          </cell>
          <cell r="CM663">
            <v>0</v>
          </cell>
          <cell r="CR663">
            <v>0</v>
          </cell>
          <cell r="CS663">
            <v>0</v>
          </cell>
          <cell r="CT663">
            <v>28</v>
          </cell>
          <cell r="CU663">
            <v>4</v>
          </cell>
          <cell r="CV663">
            <v>8</v>
          </cell>
          <cell r="CZ663">
            <v>40</v>
          </cell>
        </row>
        <row r="664">
          <cell r="C664" t="str">
            <v>03980</v>
          </cell>
          <cell r="D664" t="str">
            <v>Huỳnh Văn Tuấn</v>
          </cell>
          <cell r="E664" t="str">
            <v>Production</v>
          </cell>
          <cell r="F664" t="str">
            <v>Die Cut</v>
          </cell>
          <cell r="G664" t="str">
            <v>Worker</v>
          </cell>
          <cell r="H664">
            <v>45211</v>
          </cell>
          <cell r="I664">
            <v>8</v>
          </cell>
          <cell r="J664">
            <v>8</v>
          </cell>
          <cell r="K664">
            <v>8</v>
          </cell>
          <cell r="L664" t="str">
            <v>CN</v>
          </cell>
          <cell r="M664" t="str">
            <v>Đ</v>
          </cell>
          <cell r="N664" t="str">
            <v>Đ</v>
          </cell>
          <cell r="O664" t="str">
            <v>Đ</v>
          </cell>
          <cell r="P664" t="str">
            <v>Đ</v>
          </cell>
          <cell r="Q664" t="str">
            <v>Đ</v>
          </cell>
          <cell r="R664" t="str">
            <v>Đ</v>
          </cell>
          <cell r="S664" t="str">
            <v>CN</v>
          </cell>
          <cell r="T664" t="str">
            <v>AL4</v>
          </cell>
          <cell r="U664">
            <v>8</v>
          </cell>
          <cell r="V664">
            <v>8</v>
          </cell>
          <cell r="W664">
            <v>8</v>
          </cell>
          <cell r="X664">
            <v>8</v>
          </cell>
          <cell r="Y664">
            <v>8</v>
          </cell>
          <cell r="Z664" t="str">
            <v>CN</v>
          </cell>
          <cell r="AA664" t="str">
            <v>Đ</v>
          </cell>
          <cell r="AB664" t="str">
            <v>Đ</v>
          </cell>
          <cell r="AC664" t="str">
            <v>Đ</v>
          </cell>
          <cell r="AD664" t="str">
            <v>Đ</v>
          </cell>
          <cell r="AE664" t="str">
            <v>Đ</v>
          </cell>
          <cell r="AF664" t="str">
            <v>Đ</v>
          </cell>
          <cell r="AG664" t="str">
            <v>CN</v>
          </cell>
          <cell r="AH664" t="str">
            <v>UP8</v>
          </cell>
          <cell r="AI664">
            <v>8</v>
          </cell>
          <cell r="AJ664">
            <v>8</v>
          </cell>
          <cell r="AN664">
            <v>96</v>
          </cell>
          <cell r="AO664">
            <v>84</v>
          </cell>
          <cell r="AP664">
            <v>4</v>
          </cell>
          <cell r="AQ664">
            <v>0</v>
          </cell>
          <cell r="AR664">
            <v>0</v>
          </cell>
          <cell r="AS664">
            <v>8</v>
          </cell>
          <cell r="AT664">
            <v>0</v>
          </cell>
          <cell r="AU664">
            <v>0</v>
          </cell>
          <cell r="AV664">
            <v>0</v>
          </cell>
          <cell r="AW664">
            <v>0</v>
          </cell>
          <cell r="AX664">
            <v>0</v>
          </cell>
          <cell r="AY664">
            <v>0</v>
          </cell>
          <cell r="AZ664">
            <v>0</v>
          </cell>
          <cell r="BA664">
            <v>4</v>
          </cell>
          <cell r="BB664">
            <v>0</v>
          </cell>
          <cell r="BC664">
            <v>0</v>
          </cell>
          <cell r="BD664">
            <v>0</v>
          </cell>
          <cell r="BE664">
            <v>0</v>
          </cell>
          <cell r="BF664">
            <v>0</v>
          </cell>
          <cell r="BG664">
            <v>184</v>
          </cell>
          <cell r="BH664">
            <v>0.5</v>
          </cell>
          <cell r="BI664">
            <v>0.5</v>
          </cell>
          <cell r="BJ664">
            <v>0.5</v>
          </cell>
          <cell r="BL664">
            <v>1.5</v>
          </cell>
          <cell r="BM664">
            <v>1.5</v>
          </cell>
          <cell r="BN664">
            <v>0</v>
          </cell>
          <cell r="BO664">
            <v>0</v>
          </cell>
          <cell r="BP664">
            <v>1.5</v>
          </cell>
          <cell r="BQ664">
            <v>1.5</v>
          </cell>
          <cell r="BR664">
            <v>0</v>
          </cell>
          <cell r="BS664">
            <v>4</v>
          </cell>
          <cell r="BT664">
            <v>3</v>
          </cell>
          <cell r="BU664">
            <v>3</v>
          </cell>
          <cell r="BV664">
            <v>0</v>
          </cell>
          <cell r="BW664">
            <v>0</v>
          </cell>
          <cell r="BX664">
            <v>3</v>
          </cell>
          <cell r="BY664">
            <v>3</v>
          </cell>
          <cell r="BZ664">
            <v>3</v>
          </cell>
          <cell r="CA664">
            <v>3</v>
          </cell>
          <cell r="CB664">
            <v>3</v>
          </cell>
          <cell r="CC664">
            <v>8</v>
          </cell>
          <cell r="CD664">
            <v>0</v>
          </cell>
          <cell r="CE664">
            <v>4</v>
          </cell>
          <cell r="CF664">
            <v>4</v>
          </cell>
          <cell r="CG664">
            <v>4</v>
          </cell>
          <cell r="CH664">
            <v>1.5</v>
          </cell>
          <cell r="CI664">
            <v>4</v>
          </cell>
          <cell r="CJ664">
            <v>0</v>
          </cell>
          <cell r="CK664">
            <v>0</v>
          </cell>
          <cell r="CL664">
            <v>3</v>
          </cell>
          <cell r="CM664">
            <v>3</v>
          </cell>
          <cell r="CR664">
            <v>0</v>
          </cell>
          <cell r="CS664">
            <v>0</v>
          </cell>
          <cell r="CT664">
            <v>54.5</v>
          </cell>
          <cell r="CU664">
            <v>8</v>
          </cell>
          <cell r="CV664">
            <v>0</v>
          </cell>
          <cell r="CZ664">
            <v>62.5</v>
          </cell>
        </row>
        <row r="665">
          <cell r="C665" t="str">
            <v>03986</v>
          </cell>
          <cell r="D665" t="str">
            <v>Phan Quốc Thái</v>
          </cell>
          <cell r="E665" t="str">
            <v>Production</v>
          </cell>
          <cell r="F665" t="str">
            <v>Molding</v>
          </cell>
          <cell r="G665" t="str">
            <v>Worker</v>
          </cell>
          <cell r="H665">
            <v>45211</v>
          </cell>
          <cell r="I665">
            <v>8</v>
          </cell>
          <cell r="J665" t="str">
            <v>CN</v>
          </cell>
          <cell r="K665" t="str">
            <v>Đ</v>
          </cell>
          <cell r="L665" t="str">
            <v>Đ</v>
          </cell>
          <cell r="M665" t="str">
            <v>Đ</v>
          </cell>
          <cell r="N665" t="str">
            <v>Đ</v>
          </cell>
          <cell r="O665" t="str">
            <v>Đ</v>
          </cell>
          <cell r="P665" t="str">
            <v>Đ</v>
          </cell>
          <cell r="Q665" t="str">
            <v>CN</v>
          </cell>
          <cell r="R665">
            <v>8</v>
          </cell>
          <cell r="S665">
            <v>8</v>
          </cell>
          <cell r="T665">
            <v>8</v>
          </cell>
          <cell r="U665">
            <v>8</v>
          </cell>
          <cell r="V665">
            <v>8</v>
          </cell>
          <cell r="W665">
            <v>8</v>
          </cell>
          <cell r="X665" t="str">
            <v>CN</v>
          </cell>
          <cell r="Y665" t="str">
            <v>Đ</v>
          </cell>
          <cell r="Z665" t="str">
            <v>Đ</v>
          </cell>
          <cell r="AA665" t="str">
            <v>Đ</v>
          </cell>
          <cell r="AB665" t="str">
            <v>Đ</v>
          </cell>
          <cell r="AC665" t="str">
            <v>Đ</v>
          </cell>
          <cell r="AD665" t="str">
            <v>Đ</v>
          </cell>
          <cell r="AE665" t="str">
            <v>CN</v>
          </cell>
          <cell r="AF665">
            <v>8</v>
          </cell>
          <cell r="AG665">
            <v>8</v>
          </cell>
          <cell r="AH665">
            <v>8</v>
          </cell>
          <cell r="AI665">
            <v>8</v>
          </cell>
          <cell r="AJ665">
            <v>8</v>
          </cell>
          <cell r="AN665">
            <v>96</v>
          </cell>
          <cell r="AO665">
            <v>96</v>
          </cell>
          <cell r="AP665">
            <v>0</v>
          </cell>
          <cell r="AQ665">
            <v>0</v>
          </cell>
          <cell r="AR665">
            <v>0</v>
          </cell>
          <cell r="AS665">
            <v>0</v>
          </cell>
          <cell r="AT665">
            <v>0</v>
          </cell>
          <cell r="AU665">
            <v>0</v>
          </cell>
          <cell r="AV665">
            <v>0</v>
          </cell>
          <cell r="AW665">
            <v>0</v>
          </cell>
          <cell r="AX665">
            <v>0</v>
          </cell>
          <cell r="AY665">
            <v>0</v>
          </cell>
          <cell r="AZ665">
            <v>0</v>
          </cell>
          <cell r="BA665">
            <v>0</v>
          </cell>
          <cell r="BB665">
            <v>0</v>
          </cell>
          <cell r="BC665">
            <v>0</v>
          </cell>
          <cell r="BD665">
            <v>0</v>
          </cell>
          <cell r="BE665">
            <v>0</v>
          </cell>
          <cell r="BF665">
            <v>0</v>
          </cell>
          <cell r="BG665">
            <v>192</v>
          </cell>
          <cell r="BH665">
            <v>0</v>
          </cell>
          <cell r="BI665">
            <v>0</v>
          </cell>
          <cell r="BJ665">
            <v>-1</v>
          </cell>
          <cell r="BL665">
            <v>0</v>
          </cell>
          <cell r="BM665">
            <v>0</v>
          </cell>
          <cell r="BN665">
            <v>4</v>
          </cell>
          <cell r="BO665">
            <v>4</v>
          </cell>
          <cell r="BP665">
            <v>0</v>
          </cell>
          <cell r="BQ665">
            <v>0</v>
          </cell>
          <cell r="BR665">
            <v>0</v>
          </cell>
          <cell r="BS665">
            <v>0</v>
          </cell>
          <cell r="BT665">
            <v>0</v>
          </cell>
          <cell r="BU665">
            <v>4</v>
          </cell>
          <cell r="BV665">
            <v>4</v>
          </cell>
          <cell r="BW665">
            <v>0</v>
          </cell>
          <cell r="BX665">
            <v>0</v>
          </cell>
          <cell r="BY665">
            <v>0</v>
          </cell>
          <cell r="BZ665">
            <v>0</v>
          </cell>
          <cell r="CA665">
            <v>0</v>
          </cell>
          <cell r="CB665">
            <v>4</v>
          </cell>
          <cell r="CC665">
            <v>4</v>
          </cell>
          <cell r="CD665">
            <v>0</v>
          </cell>
          <cell r="CE665">
            <v>0</v>
          </cell>
          <cell r="CF665">
            <v>0</v>
          </cell>
          <cell r="CG665">
            <v>0</v>
          </cell>
          <cell r="CH665">
            <v>0</v>
          </cell>
          <cell r="CI665">
            <v>4</v>
          </cell>
          <cell r="CJ665">
            <v>4</v>
          </cell>
          <cell r="CK665">
            <v>0</v>
          </cell>
          <cell r="CL665">
            <v>0</v>
          </cell>
          <cell r="CM665">
            <v>0</v>
          </cell>
          <cell r="CR665">
            <v>0</v>
          </cell>
          <cell r="CS665">
            <v>0</v>
          </cell>
          <cell r="CT665">
            <v>32</v>
          </cell>
          <cell r="CU665">
            <v>0</v>
          </cell>
          <cell r="CV665">
            <v>0</v>
          </cell>
          <cell r="CZ665">
            <v>32</v>
          </cell>
        </row>
        <row r="666">
          <cell r="C666" t="str">
            <v>03988</v>
          </cell>
          <cell r="D666" t="str">
            <v>Trương Minh Tài Em</v>
          </cell>
          <cell r="E666" t="str">
            <v>Production</v>
          </cell>
          <cell r="F666" t="str">
            <v>Molding</v>
          </cell>
          <cell r="G666" t="str">
            <v>Worker</v>
          </cell>
          <cell r="H666">
            <v>45211</v>
          </cell>
          <cell r="I666">
            <v>8</v>
          </cell>
          <cell r="J666" t="str">
            <v>CN</v>
          </cell>
          <cell r="K666" t="str">
            <v>Đ</v>
          </cell>
          <cell r="L666" t="str">
            <v>Đ</v>
          </cell>
          <cell r="M666" t="str">
            <v>Đ</v>
          </cell>
          <cell r="N666" t="str">
            <v>Đ</v>
          </cell>
          <cell r="O666" t="str">
            <v>Đ</v>
          </cell>
          <cell r="P666" t="str">
            <v>Đ</v>
          </cell>
          <cell r="Q666" t="str">
            <v>CN</v>
          </cell>
          <cell r="R666">
            <v>8</v>
          </cell>
          <cell r="S666">
            <v>8</v>
          </cell>
          <cell r="T666">
            <v>8</v>
          </cell>
          <cell r="U666">
            <v>8</v>
          </cell>
          <cell r="V666">
            <v>8</v>
          </cell>
          <cell r="W666" t="str">
            <v>AL8</v>
          </cell>
          <cell r="X666" t="str">
            <v>CN</v>
          </cell>
          <cell r="Y666" t="str">
            <v>Đ</v>
          </cell>
          <cell r="Z666" t="str">
            <v>Đ</v>
          </cell>
          <cell r="AA666" t="str">
            <v>Đ</v>
          </cell>
          <cell r="AB666" t="str">
            <v>Đ</v>
          </cell>
          <cell r="AC666" t="str">
            <v>Đ</v>
          </cell>
          <cell r="AD666" t="str">
            <v>Đ</v>
          </cell>
          <cell r="AE666" t="str">
            <v>CN</v>
          </cell>
          <cell r="AF666">
            <v>8</v>
          </cell>
          <cell r="AG666">
            <v>8</v>
          </cell>
          <cell r="AH666">
            <v>8</v>
          </cell>
          <cell r="AI666">
            <v>8</v>
          </cell>
          <cell r="AJ666">
            <v>8</v>
          </cell>
          <cell r="AN666">
            <v>96</v>
          </cell>
          <cell r="AO666">
            <v>88</v>
          </cell>
          <cell r="AP666">
            <v>0</v>
          </cell>
          <cell r="AQ666">
            <v>0</v>
          </cell>
          <cell r="AR666">
            <v>0</v>
          </cell>
          <cell r="AS666">
            <v>0</v>
          </cell>
          <cell r="AT666">
            <v>0</v>
          </cell>
          <cell r="AU666">
            <v>0</v>
          </cell>
          <cell r="AV666">
            <v>0</v>
          </cell>
          <cell r="AW666">
            <v>0</v>
          </cell>
          <cell r="AX666">
            <v>0</v>
          </cell>
          <cell r="AY666">
            <v>0</v>
          </cell>
          <cell r="AZ666">
            <v>0</v>
          </cell>
          <cell r="BA666">
            <v>8</v>
          </cell>
          <cell r="BB666">
            <v>0</v>
          </cell>
          <cell r="BC666">
            <v>0</v>
          </cell>
          <cell r="BD666">
            <v>0</v>
          </cell>
          <cell r="BE666">
            <v>0</v>
          </cell>
          <cell r="BF666">
            <v>0</v>
          </cell>
          <cell r="BG666">
            <v>192</v>
          </cell>
          <cell r="BH666">
            <v>1</v>
          </cell>
          <cell r="BI666">
            <v>1</v>
          </cell>
          <cell r="BJ666">
            <v>0.5</v>
          </cell>
          <cell r="BL666">
            <v>0</v>
          </cell>
          <cell r="BM666">
            <v>0</v>
          </cell>
          <cell r="BN666">
            <v>4</v>
          </cell>
          <cell r="BO666">
            <v>4</v>
          </cell>
          <cell r="BP666">
            <v>0</v>
          </cell>
          <cell r="BQ666">
            <v>0</v>
          </cell>
          <cell r="BR666">
            <v>0</v>
          </cell>
          <cell r="BS666">
            <v>0</v>
          </cell>
          <cell r="BT666">
            <v>0</v>
          </cell>
          <cell r="BU666">
            <v>4</v>
          </cell>
          <cell r="BV666">
            <v>4</v>
          </cell>
          <cell r="BW666">
            <v>0</v>
          </cell>
          <cell r="BX666">
            <v>4</v>
          </cell>
          <cell r="BY666">
            <v>0</v>
          </cell>
          <cell r="BZ666">
            <v>0</v>
          </cell>
          <cell r="CA666">
            <v>0</v>
          </cell>
          <cell r="CB666">
            <v>4</v>
          </cell>
          <cell r="CC666">
            <v>4</v>
          </cell>
          <cell r="CD666">
            <v>0</v>
          </cell>
          <cell r="CE666">
            <v>0</v>
          </cell>
          <cell r="CF666">
            <v>0</v>
          </cell>
          <cell r="CG666">
            <v>4</v>
          </cell>
          <cell r="CH666">
            <v>0</v>
          </cell>
          <cell r="CI666">
            <v>4</v>
          </cell>
          <cell r="CJ666">
            <v>4</v>
          </cell>
          <cell r="CK666">
            <v>0</v>
          </cell>
          <cell r="CL666">
            <v>0</v>
          </cell>
          <cell r="CM666">
            <v>0</v>
          </cell>
          <cell r="CR666">
            <v>0</v>
          </cell>
          <cell r="CS666">
            <v>0</v>
          </cell>
          <cell r="CT666">
            <v>40</v>
          </cell>
          <cell r="CU666">
            <v>0</v>
          </cell>
          <cell r="CV666">
            <v>0</v>
          </cell>
          <cell r="CZ666">
            <v>40</v>
          </cell>
        </row>
        <row r="667">
          <cell r="C667" t="str">
            <v>03991</v>
          </cell>
          <cell r="D667" t="str">
            <v>Nguyễn Đăng Khoa</v>
          </cell>
          <cell r="E667" t="str">
            <v>Warehouse</v>
          </cell>
          <cell r="F667" t="str">
            <v>RM Warehouse</v>
          </cell>
          <cell r="G667" t="str">
            <v>Team Leader</v>
          </cell>
          <cell r="H667">
            <v>45211</v>
          </cell>
          <cell r="I667">
            <v>8</v>
          </cell>
          <cell r="J667">
            <v>8</v>
          </cell>
          <cell r="K667" t="str">
            <v>AL4</v>
          </cell>
          <cell r="L667" t="str">
            <v>CN</v>
          </cell>
          <cell r="M667">
            <v>8</v>
          </cell>
          <cell r="N667">
            <v>8</v>
          </cell>
          <cell r="O667">
            <v>8</v>
          </cell>
          <cell r="P667">
            <v>8</v>
          </cell>
          <cell r="Q667" t="str">
            <v>AL4</v>
          </cell>
          <cell r="R667">
            <v>8</v>
          </cell>
          <cell r="S667" t="str">
            <v>CN</v>
          </cell>
          <cell r="T667">
            <v>8</v>
          </cell>
          <cell r="U667">
            <v>8</v>
          </cell>
          <cell r="V667">
            <v>8</v>
          </cell>
          <cell r="W667">
            <v>8</v>
          </cell>
          <cell r="X667">
            <v>8</v>
          </cell>
          <cell r="Y667">
            <v>8</v>
          </cell>
          <cell r="Z667" t="str">
            <v>CN</v>
          </cell>
          <cell r="AA667">
            <v>8</v>
          </cell>
          <cell r="AB667">
            <v>8</v>
          </cell>
          <cell r="AC667">
            <v>8</v>
          </cell>
          <cell r="AD667">
            <v>8</v>
          </cell>
          <cell r="AE667">
            <v>8</v>
          </cell>
          <cell r="AF667">
            <v>8</v>
          </cell>
          <cell r="AG667" t="str">
            <v>CN</v>
          </cell>
          <cell r="AH667">
            <v>8</v>
          </cell>
          <cell r="AI667">
            <v>8</v>
          </cell>
          <cell r="AJ667">
            <v>8</v>
          </cell>
          <cell r="AN667">
            <v>0</v>
          </cell>
          <cell r="AO667">
            <v>184</v>
          </cell>
          <cell r="AP667">
            <v>8</v>
          </cell>
          <cell r="AQ667">
            <v>0</v>
          </cell>
          <cell r="AR667">
            <v>0</v>
          </cell>
          <cell r="AS667">
            <v>0</v>
          </cell>
          <cell r="AT667">
            <v>0</v>
          </cell>
          <cell r="AU667">
            <v>0</v>
          </cell>
          <cell r="AV667">
            <v>0</v>
          </cell>
          <cell r="AW667">
            <v>0</v>
          </cell>
          <cell r="AX667">
            <v>0</v>
          </cell>
          <cell r="AY667">
            <v>0</v>
          </cell>
          <cell r="AZ667">
            <v>0</v>
          </cell>
          <cell r="BA667">
            <v>8</v>
          </cell>
          <cell r="BB667">
            <v>0</v>
          </cell>
          <cell r="BC667">
            <v>0</v>
          </cell>
          <cell r="BD667">
            <v>0</v>
          </cell>
          <cell r="BE667">
            <v>0</v>
          </cell>
          <cell r="BF667">
            <v>0</v>
          </cell>
          <cell r="BG667">
            <v>192</v>
          </cell>
          <cell r="BH667">
            <v>1</v>
          </cell>
          <cell r="BI667">
            <v>1</v>
          </cell>
          <cell r="BJ667">
            <v>2</v>
          </cell>
          <cell r="BL667">
            <v>0</v>
          </cell>
          <cell r="BM667">
            <v>0</v>
          </cell>
          <cell r="BN667">
            <v>0</v>
          </cell>
          <cell r="BO667">
            <v>0</v>
          </cell>
          <cell r="BP667">
            <v>1.5</v>
          </cell>
          <cell r="BQ667">
            <v>0</v>
          </cell>
          <cell r="BR667">
            <v>3</v>
          </cell>
          <cell r="BS667">
            <v>0</v>
          </cell>
          <cell r="BT667">
            <v>0</v>
          </cell>
          <cell r="BU667">
            <v>0</v>
          </cell>
          <cell r="BV667">
            <v>0</v>
          </cell>
          <cell r="BW667">
            <v>0</v>
          </cell>
          <cell r="BX667">
            <v>3</v>
          </cell>
          <cell r="BY667">
            <v>0</v>
          </cell>
          <cell r="BZ667">
            <v>0</v>
          </cell>
          <cell r="CA667">
            <v>0</v>
          </cell>
          <cell r="CB667">
            <v>0</v>
          </cell>
          <cell r="CC667">
            <v>0</v>
          </cell>
          <cell r="CD667">
            <v>0</v>
          </cell>
          <cell r="CE667">
            <v>1.5</v>
          </cell>
          <cell r="CF667">
            <v>0</v>
          </cell>
          <cell r="CG667">
            <v>0</v>
          </cell>
          <cell r="CH667">
            <v>0</v>
          </cell>
          <cell r="CI667">
            <v>0</v>
          </cell>
          <cell r="CJ667">
            <v>0</v>
          </cell>
          <cell r="CK667">
            <v>0</v>
          </cell>
          <cell r="CL667">
            <v>0</v>
          </cell>
          <cell r="CM667">
            <v>0.5</v>
          </cell>
          <cell r="CR667">
            <v>0</v>
          </cell>
          <cell r="CS667">
            <v>0</v>
          </cell>
          <cell r="CT667">
            <v>9.5</v>
          </cell>
          <cell r="CU667">
            <v>0</v>
          </cell>
          <cell r="CV667">
            <v>0</v>
          </cell>
          <cell r="CZ667">
            <v>9.5</v>
          </cell>
        </row>
        <row r="668">
          <cell r="C668" t="str">
            <v>03996</v>
          </cell>
          <cell r="D668" t="str">
            <v>Nông Thị Thanh</v>
          </cell>
          <cell r="E668" t="str">
            <v>Production</v>
          </cell>
          <cell r="F668" t="str">
            <v>Logo</v>
          </cell>
          <cell r="G668" t="str">
            <v>Worker</v>
          </cell>
          <cell r="H668">
            <v>45217</v>
          </cell>
          <cell r="I668" t="str">
            <v>Đ</v>
          </cell>
          <cell r="J668" t="str">
            <v>Đ</v>
          </cell>
          <cell r="K668" t="str">
            <v>Đ</v>
          </cell>
          <cell r="L668" t="str">
            <v>CN</v>
          </cell>
          <cell r="M668">
            <v>8</v>
          </cell>
          <cell r="N668">
            <v>8</v>
          </cell>
          <cell r="O668">
            <v>8</v>
          </cell>
          <cell r="P668">
            <v>8</v>
          </cell>
          <cell r="Q668">
            <v>8</v>
          </cell>
          <cell r="R668">
            <v>8</v>
          </cell>
          <cell r="S668" t="str">
            <v>CN</v>
          </cell>
          <cell r="T668" t="str">
            <v>AL8</v>
          </cell>
          <cell r="U668" t="str">
            <v>AL8</v>
          </cell>
          <cell r="V668" t="str">
            <v>Đ</v>
          </cell>
          <cell r="W668" t="str">
            <v>Đ</v>
          </cell>
          <cell r="X668" t="str">
            <v>Đ</v>
          </cell>
          <cell r="Y668" t="str">
            <v>Đ</v>
          </cell>
          <cell r="Z668" t="str">
            <v>CN</v>
          </cell>
          <cell r="AA668">
            <v>8</v>
          </cell>
          <cell r="AB668">
            <v>8</v>
          </cell>
          <cell r="AC668">
            <v>8</v>
          </cell>
          <cell r="AD668">
            <v>8</v>
          </cell>
          <cell r="AE668">
            <v>8</v>
          </cell>
          <cell r="AF668">
            <v>8</v>
          </cell>
          <cell r="AG668" t="str">
            <v>CN</v>
          </cell>
          <cell r="AH668" t="str">
            <v>Đ</v>
          </cell>
          <cell r="AI668" t="str">
            <v>Đ</v>
          </cell>
          <cell r="AJ668" t="str">
            <v>Đ</v>
          </cell>
          <cell r="AN668">
            <v>80</v>
          </cell>
          <cell r="AO668">
            <v>96</v>
          </cell>
          <cell r="AP668">
            <v>0</v>
          </cell>
          <cell r="AQ668">
            <v>0</v>
          </cell>
          <cell r="AR668">
            <v>0</v>
          </cell>
          <cell r="AS668">
            <v>0</v>
          </cell>
          <cell r="AT668">
            <v>0</v>
          </cell>
          <cell r="AU668">
            <v>0</v>
          </cell>
          <cell r="AV668">
            <v>0</v>
          </cell>
          <cell r="AW668">
            <v>0</v>
          </cell>
          <cell r="AX668">
            <v>0</v>
          </cell>
          <cell r="AY668">
            <v>0</v>
          </cell>
          <cell r="AZ668">
            <v>0</v>
          </cell>
          <cell r="BA668">
            <v>16</v>
          </cell>
          <cell r="BB668">
            <v>0</v>
          </cell>
          <cell r="BC668">
            <v>0</v>
          </cell>
          <cell r="BD668">
            <v>0</v>
          </cell>
          <cell r="BE668">
            <v>0</v>
          </cell>
          <cell r="BF668">
            <v>0</v>
          </cell>
          <cell r="BG668">
            <v>192</v>
          </cell>
          <cell r="BH668">
            <v>2</v>
          </cell>
          <cell r="BI668">
            <v>2</v>
          </cell>
          <cell r="BJ668">
            <v>-1</v>
          </cell>
          <cell r="BL668">
            <v>0</v>
          </cell>
          <cell r="BM668">
            <v>0</v>
          </cell>
          <cell r="BN668">
            <v>0</v>
          </cell>
          <cell r="BO668">
            <v>0</v>
          </cell>
          <cell r="BP668">
            <v>1.5</v>
          </cell>
          <cell r="BQ668">
            <v>3</v>
          </cell>
          <cell r="BR668">
            <v>0</v>
          </cell>
          <cell r="BS668">
            <v>3</v>
          </cell>
          <cell r="BT668">
            <v>3</v>
          </cell>
          <cell r="BU668">
            <v>0</v>
          </cell>
          <cell r="BV668">
            <v>0</v>
          </cell>
          <cell r="BW668">
            <v>0</v>
          </cell>
          <cell r="BX668">
            <v>0</v>
          </cell>
          <cell r="BY668">
            <v>0</v>
          </cell>
          <cell r="BZ668">
            <v>4</v>
          </cell>
          <cell r="CA668">
            <v>4</v>
          </cell>
          <cell r="CB668">
            <v>4</v>
          </cell>
          <cell r="CC668">
            <v>0</v>
          </cell>
          <cell r="CD668">
            <v>1.5</v>
          </cell>
          <cell r="CE668">
            <v>3</v>
          </cell>
          <cell r="CF668">
            <v>3</v>
          </cell>
          <cell r="CG668">
            <v>3</v>
          </cell>
          <cell r="CH668">
            <v>1.5</v>
          </cell>
          <cell r="CI668">
            <v>1.5</v>
          </cell>
          <cell r="CJ668">
            <v>8</v>
          </cell>
          <cell r="CK668">
            <v>1.5</v>
          </cell>
          <cell r="CL668">
            <v>4</v>
          </cell>
          <cell r="CM668">
            <v>1.5</v>
          </cell>
          <cell r="CR668">
            <v>0</v>
          </cell>
          <cell r="CS668">
            <v>0</v>
          </cell>
          <cell r="CT668">
            <v>43</v>
          </cell>
          <cell r="CU668">
            <v>8</v>
          </cell>
          <cell r="CV668">
            <v>0</v>
          </cell>
          <cell r="CZ668">
            <v>51</v>
          </cell>
        </row>
        <row r="669">
          <cell r="C669" t="str">
            <v>03998</v>
          </cell>
          <cell r="D669" t="str">
            <v>Nguyễn Hoàng Phúc</v>
          </cell>
          <cell r="E669" t="str">
            <v>Production</v>
          </cell>
          <cell r="F669" t="str">
            <v>Die Cut</v>
          </cell>
          <cell r="G669" t="str">
            <v>Worker</v>
          </cell>
          <cell r="H669">
            <v>45217</v>
          </cell>
          <cell r="I669">
            <v>8</v>
          </cell>
          <cell r="J669">
            <v>8</v>
          </cell>
          <cell r="K669">
            <v>8</v>
          </cell>
          <cell r="L669" t="str">
            <v>CN</v>
          </cell>
          <cell r="M669" t="str">
            <v>Đ</v>
          </cell>
          <cell r="N669" t="str">
            <v>Đ</v>
          </cell>
          <cell r="O669" t="str">
            <v>Đ</v>
          </cell>
          <cell r="P669" t="str">
            <v>Đ</v>
          </cell>
          <cell r="Q669" t="str">
            <v>Đ</v>
          </cell>
          <cell r="R669" t="str">
            <v>Đ</v>
          </cell>
          <cell r="S669" t="str">
            <v>CN</v>
          </cell>
          <cell r="T669" t="str">
            <v>AL4</v>
          </cell>
          <cell r="U669">
            <v>8</v>
          </cell>
          <cell r="V669">
            <v>8</v>
          </cell>
          <cell r="W669">
            <v>8</v>
          </cell>
          <cell r="X669">
            <v>8</v>
          </cell>
          <cell r="Y669">
            <v>8</v>
          </cell>
          <cell r="Z669" t="str">
            <v>CN</v>
          </cell>
          <cell r="AA669" t="str">
            <v>Đ</v>
          </cell>
          <cell r="AB669" t="str">
            <v>Đ</v>
          </cell>
          <cell r="AC669" t="str">
            <v>Đ</v>
          </cell>
          <cell r="AD669" t="str">
            <v>Đ</v>
          </cell>
          <cell r="AE669" t="str">
            <v>Đ</v>
          </cell>
          <cell r="AF669" t="str">
            <v>Đ</v>
          </cell>
          <cell r="AG669" t="str">
            <v>CN</v>
          </cell>
          <cell r="AH669">
            <v>8</v>
          </cell>
          <cell r="AI669">
            <v>8</v>
          </cell>
          <cell r="AJ669">
            <v>8</v>
          </cell>
          <cell r="AN669">
            <v>96</v>
          </cell>
          <cell r="AO669">
            <v>92</v>
          </cell>
          <cell r="AP669">
            <v>4</v>
          </cell>
          <cell r="AQ669">
            <v>0</v>
          </cell>
          <cell r="AR669">
            <v>0</v>
          </cell>
          <cell r="AS669">
            <v>0</v>
          </cell>
          <cell r="AT669">
            <v>0</v>
          </cell>
          <cell r="AU669">
            <v>0</v>
          </cell>
          <cell r="AV669">
            <v>0</v>
          </cell>
          <cell r="AW669">
            <v>0</v>
          </cell>
          <cell r="AX669">
            <v>0</v>
          </cell>
          <cell r="AY669">
            <v>0</v>
          </cell>
          <cell r="AZ669">
            <v>0</v>
          </cell>
          <cell r="BA669">
            <v>4</v>
          </cell>
          <cell r="BB669">
            <v>0</v>
          </cell>
          <cell r="BC669">
            <v>0</v>
          </cell>
          <cell r="BD669">
            <v>0</v>
          </cell>
          <cell r="BE669">
            <v>0</v>
          </cell>
          <cell r="BF669">
            <v>0</v>
          </cell>
          <cell r="BG669">
            <v>192</v>
          </cell>
          <cell r="BH669">
            <v>0.5</v>
          </cell>
          <cell r="BI669">
            <v>0.5</v>
          </cell>
          <cell r="BJ669">
            <v>1.5</v>
          </cell>
          <cell r="BL669">
            <v>1.5</v>
          </cell>
          <cell r="BM669">
            <v>1.5</v>
          </cell>
          <cell r="BN669">
            <v>0</v>
          </cell>
          <cell r="BO669">
            <v>0</v>
          </cell>
          <cell r="BP669">
            <v>1.5</v>
          </cell>
          <cell r="BQ669">
            <v>0</v>
          </cell>
          <cell r="BR669">
            <v>0</v>
          </cell>
          <cell r="BS669">
            <v>1.5</v>
          </cell>
          <cell r="BT669">
            <v>0</v>
          </cell>
          <cell r="BU669">
            <v>4</v>
          </cell>
          <cell r="BV669">
            <v>0</v>
          </cell>
          <cell r="BW669">
            <v>2</v>
          </cell>
          <cell r="BX669">
            <v>3</v>
          </cell>
          <cell r="BY669">
            <v>3</v>
          </cell>
          <cell r="BZ669">
            <v>3</v>
          </cell>
          <cell r="CA669">
            <v>3</v>
          </cell>
          <cell r="CB669">
            <v>3</v>
          </cell>
          <cell r="CC669">
            <v>8</v>
          </cell>
          <cell r="CD669">
            <v>4</v>
          </cell>
          <cell r="CE669">
            <v>4</v>
          </cell>
          <cell r="CF669">
            <v>4</v>
          </cell>
          <cell r="CG669">
            <v>4</v>
          </cell>
          <cell r="CH669">
            <v>4</v>
          </cell>
          <cell r="CI669">
            <v>4</v>
          </cell>
          <cell r="CJ669">
            <v>0</v>
          </cell>
          <cell r="CK669">
            <v>3</v>
          </cell>
          <cell r="CL669">
            <v>3</v>
          </cell>
          <cell r="CM669">
            <v>3</v>
          </cell>
          <cell r="CR669">
            <v>0</v>
          </cell>
          <cell r="CS669">
            <v>0</v>
          </cell>
          <cell r="CT669">
            <v>60</v>
          </cell>
          <cell r="CU669">
            <v>8</v>
          </cell>
          <cell r="CV669">
            <v>0</v>
          </cell>
          <cell r="CZ669">
            <v>68</v>
          </cell>
        </row>
        <row r="670">
          <cell r="C670" t="str">
            <v>03999</v>
          </cell>
          <cell r="D670" t="str">
            <v>Danh Minh</v>
          </cell>
          <cell r="E670" t="str">
            <v>Production</v>
          </cell>
          <cell r="F670" t="str">
            <v>Die Cut</v>
          </cell>
          <cell r="G670" t="str">
            <v>Worker</v>
          </cell>
          <cell r="H670">
            <v>45217</v>
          </cell>
          <cell r="I670">
            <v>8</v>
          </cell>
          <cell r="J670">
            <v>8</v>
          </cell>
          <cell r="K670">
            <v>8</v>
          </cell>
          <cell r="L670" t="str">
            <v>CN</v>
          </cell>
          <cell r="M670" t="str">
            <v>Đ</v>
          </cell>
          <cell r="N670" t="str">
            <v>Đ</v>
          </cell>
          <cell r="O670" t="str">
            <v>Đ</v>
          </cell>
          <cell r="P670" t="str">
            <v>Đ</v>
          </cell>
          <cell r="Q670" t="str">
            <v>Đ</v>
          </cell>
          <cell r="R670" t="str">
            <v>Đ</v>
          </cell>
          <cell r="S670" t="str">
            <v>CN</v>
          </cell>
          <cell r="T670">
            <v>8</v>
          </cell>
          <cell r="U670">
            <v>8</v>
          </cell>
          <cell r="V670">
            <v>8</v>
          </cell>
          <cell r="W670">
            <v>8</v>
          </cell>
          <cell r="X670">
            <v>8</v>
          </cell>
          <cell r="Y670">
            <v>8</v>
          </cell>
          <cell r="Z670" t="str">
            <v>CN</v>
          </cell>
          <cell r="AA670" t="str">
            <v>Đ</v>
          </cell>
          <cell r="AB670" t="str">
            <v>Đ</v>
          </cell>
          <cell r="AC670" t="str">
            <v>AL8</v>
          </cell>
          <cell r="AD670" t="str">
            <v>Đ</v>
          </cell>
          <cell r="AE670" t="str">
            <v>Đ</v>
          </cell>
          <cell r="AF670" t="str">
            <v>Đ</v>
          </cell>
          <cell r="AG670" t="str">
            <v>CN</v>
          </cell>
          <cell r="AH670" t="str">
            <v>AL8</v>
          </cell>
          <cell r="AI670" t="str">
            <v>UP8</v>
          </cell>
          <cell r="AJ670">
            <v>8</v>
          </cell>
          <cell r="AN670">
            <v>88</v>
          </cell>
          <cell r="AO670">
            <v>80</v>
          </cell>
          <cell r="AP670">
            <v>0</v>
          </cell>
          <cell r="AQ670">
            <v>0</v>
          </cell>
          <cell r="AR670">
            <v>0</v>
          </cell>
          <cell r="AS670">
            <v>8</v>
          </cell>
          <cell r="AT670">
            <v>0</v>
          </cell>
          <cell r="AU670">
            <v>0</v>
          </cell>
          <cell r="AV670">
            <v>0</v>
          </cell>
          <cell r="AW670">
            <v>0</v>
          </cell>
          <cell r="AX670">
            <v>0</v>
          </cell>
          <cell r="AY670">
            <v>0</v>
          </cell>
          <cell r="AZ670">
            <v>0</v>
          </cell>
          <cell r="BA670">
            <v>16</v>
          </cell>
          <cell r="BB670">
            <v>0</v>
          </cell>
          <cell r="BC670">
            <v>0</v>
          </cell>
          <cell r="BD670">
            <v>0</v>
          </cell>
          <cell r="BE670">
            <v>0</v>
          </cell>
          <cell r="BF670">
            <v>0</v>
          </cell>
          <cell r="BG670">
            <v>184</v>
          </cell>
          <cell r="BH670">
            <v>2</v>
          </cell>
          <cell r="BI670">
            <v>2</v>
          </cell>
          <cell r="BJ670">
            <v>-2</v>
          </cell>
          <cell r="BL670">
            <v>0</v>
          </cell>
          <cell r="BM670">
            <v>0</v>
          </cell>
          <cell r="BN670">
            <v>0</v>
          </cell>
          <cell r="BO670">
            <v>0</v>
          </cell>
          <cell r="BP670">
            <v>1.5</v>
          </cell>
          <cell r="BQ670">
            <v>0</v>
          </cell>
          <cell r="BR670">
            <v>0</v>
          </cell>
          <cell r="BS670">
            <v>0</v>
          </cell>
          <cell r="BT670">
            <v>0</v>
          </cell>
          <cell r="BU670">
            <v>4</v>
          </cell>
          <cell r="BV670">
            <v>0</v>
          </cell>
          <cell r="BW670">
            <v>2</v>
          </cell>
          <cell r="BX670">
            <v>3</v>
          </cell>
          <cell r="BY670">
            <v>3</v>
          </cell>
          <cell r="BZ670">
            <v>3</v>
          </cell>
          <cell r="CA670">
            <v>0</v>
          </cell>
          <cell r="CB670">
            <v>3</v>
          </cell>
          <cell r="CC670">
            <v>8</v>
          </cell>
          <cell r="CD670">
            <v>4</v>
          </cell>
          <cell r="CE670">
            <v>4</v>
          </cell>
          <cell r="CF670">
            <v>4</v>
          </cell>
          <cell r="CG670">
            <v>4</v>
          </cell>
          <cell r="CH670">
            <v>4</v>
          </cell>
          <cell r="CI670">
            <v>4</v>
          </cell>
          <cell r="CJ670">
            <v>0</v>
          </cell>
          <cell r="CK670">
            <v>0</v>
          </cell>
          <cell r="CL670">
            <v>0</v>
          </cell>
          <cell r="CM670">
            <v>3</v>
          </cell>
          <cell r="CR670">
            <v>0</v>
          </cell>
          <cell r="CS670">
            <v>0</v>
          </cell>
          <cell r="CT670">
            <v>46.5</v>
          </cell>
          <cell r="CU670">
            <v>8</v>
          </cell>
          <cell r="CV670">
            <v>0</v>
          </cell>
          <cell r="CZ670">
            <v>54.5</v>
          </cell>
        </row>
        <row r="671">
          <cell r="C671" t="str">
            <v>04004</v>
          </cell>
          <cell r="D671" t="str">
            <v>Nguyễn Văn Sự</v>
          </cell>
          <cell r="E671" t="str">
            <v>Foaming</v>
          </cell>
          <cell r="F671" t="str">
            <v>FOAMING Rectangular</v>
          </cell>
          <cell r="G671" t="str">
            <v>Worker</v>
          </cell>
          <cell r="H671">
            <v>45225</v>
          </cell>
          <cell r="I671">
            <v>8</v>
          </cell>
          <cell r="J671" t="str">
            <v>AL4</v>
          </cell>
          <cell r="K671">
            <v>8</v>
          </cell>
          <cell r="L671" t="str">
            <v>CN</v>
          </cell>
          <cell r="M671">
            <v>8</v>
          </cell>
          <cell r="N671">
            <v>8</v>
          </cell>
          <cell r="O671">
            <v>8</v>
          </cell>
          <cell r="P671">
            <v>8</v>
          </cell>
          <cell r="Q671">
            <v>8</v>
          </cell>
          <cell r="R671">
            <v>8</v>
          </cell>
          <cell r="S671" t="str">
            <v>CN</v>
          </cell>
          <cell r="T671">
            <v>8</v>
          </cell>
          <cell r="U671">
            <v>8</v>
          </cell>
          <cell r="V671">
            <v>8</v>
          </cell>
          <cell r="W671">
            <v>8</v>
          </cell>
          <cell r="X671">
            <v>8</v>
          </cell>
          <cell r="Y671">
            <v>8</v>
          </cell>
          <cell r="Z671" t="str">
            <v>CN</v>
          </cell>
          <cell r="AA671">
            <v>8</v>
          </cell>
          <cell r="AB671">
            <v>8</v>
          </cell>
          <cell r="AC671">
            <v>8</v>
          </cell>
          <cell r="AD671">
            <v>8</v>
          </cell>
          <cell r="AE671">
            <v>8</v>
          </cell>
          <cell r="AF671">
            <v>8</v>
          </cell>
          <cell r="AG671" t="str">
            <v>CN</v>
          </cell>
          <cell r="AH671">
            <v>8</v>
          </cell>
          <cell r="AI671">
            <v>8</v>
          </cell>
          <cell r="AJ671">
            <v>8</v>
          </cell>
          <cell r="AN671">
            <v>0</v>
          </cell>
          <cell r="AO671">
            <v>188</v>
          </cell>
          <cell r="AP671">
            <v>4</v>
          </cell>
          <cell r="AQ671">
            <v>0</v>
          </cell>
          <cell r="AR671">
            <v>0</v>
          </cell>
          <cell r="AS671">
            <v>0</v>
          </cell>
          <cell r="AT671">
            <v>0</v>
          </cell>
          <cell r="AU671">
            <v>0</v>
          </cell>
          <cell r="AV671">
            <v>0</v>
          </cell>
          <cell r="AW671">
            <v>0</v>
          </cell>
          <cell r="AX671">
            <v>0</v>
          </cell>
          <cell r="AY671">
            <v>0</v>
          </cell>
          <cell r="AZ671">
            <v>0</v>
          </cell>
          <cell r="BA671">
            <v>4</v>
          </cell>
          <cell r="BB671">
            <v>0</v>
          </cell>
          <cell r="BC671">
            <v>0</v>
          </cell>
          <cell r="BD671">
            <v>0</v>
          </cell>
          <cell r="BE671">
            <v>0</v>
          </cell>
          <cell r="BF671">
            <v>0</v>
          </cell>
          <cell r="BG671">
            <v>192</v>
          </cell>
          <cell r="BH671">
            <v>0.5</v>
          </cell>
          <cell r="BI671">
            <v>0.5</v>
          </cell>
          <cell r="BJ671">
            <v>2</v>
          </cell>
          <cell r="BL671">
            <v>3</v>
          </cell>
          <cell r="BM671">
            <v>4</v>
          </cell>
          <cell r="BN671">
            <v>3</v>
          </cell>
          <cell r="BO671">
            <v>12</v>
          </cell>
          <cell r="BP671">
            <v>2</v>
          </cell>
          <cell r="BQ671">
            <v>3</v>
          </cell>
          <cell r="BR671">
            <v>3</v>
          </cell>
          <cell r="BS671">
            <v>3</v>
          </cell>
          <cell r="BT671">
            <v>3</v>
          </cell>
          <cell r="BU671">
            <v>3</v>
          </cell>
          <cell r="BV671">
            <v>12</v>
          </cell>
          <cell r="BW671">
            <v>4</v>
          </cell>
          <cell r="BX671">
            <v>4</v>
          </cell>
          <cell r="BY671">
            <v>4</v>
          </cell>
          <cell r="BZ671">
            <v>4</v>
          </cell>
          <cell r="CA671">
            <v>4</v>
          </cell>
          <cell r="CB671">
            <v>4</v>
          </cell>
          <cell r="CC671">
            <v>0</v>
          </cell>
          <cell r="CD671">
            <v>3</v>
          </cell>
          <cell r="CE671">
            <v>3</v>
          </cell>
          <cell r="CF671">
            <v>0</v>
          </cell>
          <cell r="CG671">
            <v>3</v>
          </cell>
          <cell r="CH671">
            <v>3</v>
          </cell>
          <cell r="CI671">
            <v>1</v>
          </cell>
          <cell r="CJ671">
            <v>12</v>
          </cell>
          <cell r="CK671">
            <v>4</v>
          </cell>
          <cell r="CL671">
            <v>4</v>
          </cell>
          <cell r="CM671">
            <v>4</v>
          </cell>
          <cell r="CR671">
            <v>0</v>
          </cell>
          <cell r="CS671">
            <v>0</v>
          </cell>
          <cell r="CT671">
            <v>76</v>
          </cell>
          <cell r="CU671">
            <v>36</v>
          </cell>
          <cell r="CV671">
            <v>0</v>
          </cell>
          <cell r="CZ671">
            <v>112</v>
          </cell>
        </row>
        <row r="672">
          <cell r="C672" t="str">
            <v>04008</v>
          </cell>
          <cell r="D672" t="str">
            <v>Võ Ngọc Hoài</v>
          </cell>
          <cell r="E672" t="str">
            <v>Production</v>
          </cell>
          <cell r="F672" t="str">
            <v>Molding</v>
          </cell>
          <cell r="G672" t="str">
            <v>Worker</v>
          </cell>
          <cell r="H672">
            <v>45225</v>
          </cell>
          <cell r="I672" t="str">
            <v>Đ</v>
          </cell>
          <cell r="J672" t="str">
            <v>Đ</v>
          </cell>
          <cell r="K672" t="str">
            <v>CN</v>
          </cell>
          <cell r="L672">
            <v>8</v>
          </cell>
          <cell r="M672">
            <v>8</v>
          </cell>
          <cell r="N672">
            <v>8</v>
          </cell>
          <cell r="O672">
            <v>8</v>
          </cell>
          <cell r="P672">
            <v>8</v>
          </cell>
          <cell r="Q672">
            <v>8</v>
          </cell>
          <cell r="R672" t="str">
            <v>CN</v>
          </cell>
          <cell r="S672" t="str">
            <v>Đ</v>
          </cell>
          <cell r="T672" t="str">
            <v>Đ</v>
          </cell>
          <cell r="U672" t="str">
            <v>Đ</v>
          </cell>
          <cell r="V672" t="str">
            <v>Đ</v>
          </cell>
          <cell r="W672" t="str">
            <v>Đ</v>
          </cell>
          <cell r="X672" t="str">
            <v>Đ</v>
          </cell>
          <cell r="Y672" t="str">
            <v>CN</v>
          </cell>
          <cell r="Z672">
            <v>8</v>
          </cell>
          <cell r="AA672">
            <v>8</v>
          </cell>
          <cell r="AB672">
            <v>8</v>
          </cell>
          <cell r="AC672">
            <v>8</v>
          </cell>
          <cell r="AD672">
            <v>8</v>
          </cell>
          <cell r="AE672">
            <v>8</v>
          </cell>
          <cell r="AF672" t="str">
            <v>CN</v>
          </cell>
          <cell r="AG672" t="str">
            <v>Đ</v>
          </cell>
          <cell r="AH672" t="str">
            <v>Đ</v>
          </cell>
          <cell r="AI672" t="str">
            <v>Đ</v>
          </cell>
          <cell r="AJ672" t="str">
            <v>Đ</v>
          </cell>
          <cell r="AN672">
            <v>96</v>
          </cell>
          <cell r="AO672">
            <v>96</v>
          </cell>
          <cell r="AP672">
            <v>0</v>
          </cell>
          <cell r="AQ672">
            <v>0</v>
          </cell>
          <cell r="AR672">
            <v>0</v>
          </cell>
          <cell r="AS672">
            <v>0</v>
          </cell>
          <cell r="AT672">
            <v>0</v>
          </cell>
          <cell r="AU672">
            <v>0</v>
          </cell>
          <cell r="AV672">
            <v>0</v>
          </cell>
          <cell r="AW672">
            <v>0</v>
          </cell>
          <cell r="AX672">
            <v>0</v>
          </cell>
          <cell r="AY672">
            <v>0</v>
          </cell>
          <cell r="AZ672">
            <v>0</v>
          </cell>
          <cell r="BA672">
            <v>0</v>
          </cell>
          <cell r="BB672">
            <v>0</v>
          </cell>
          <cell r="BC672">
            <v>0</v>
          </cell>
          <cell r="BD672">
            <v>0</v>
          </cell>
          <cell r="BE672">
            <v>0</v>
          </cell>
          <cell r="BF672">
            <v>0</v>
          </cell>
          <cell r="BG672">
            <v>192</v>
          </cell>
          <cell r="BH672">
            <v>0</v>
          </cell>
          <cell r="BI672">
            <v>0</v>
          </cell>
          <cell r="BJ672">
            <v>6</v>
          </cell>
          <cell r="BL672">
            <v>4</v>
          </cell>
          <cell r="BM672">
            <v>0</v>
          </cell>
          <cell r="BN672">
            <v>0</v>
          </cell>
          <cell r="BO672">
            <v>4</v>
          </cell>
          <cell r="BP672">
            <v>0</v>
          </cell>
          <cell r="BQ672">
            <v>0</v>
          </cell>
          <cell r="BR672">
            <v>4</v>
          </cell>
          <cell r="BS672">
            <v>0</v>
          </cell>
          <cell r="BT672">
            <v>4</v>
          </cell>
          <cell r="BU672">
            <v>0</v>
          </cell>
          <cell r="BV672">
            <v>4</v>
          </cell>
          <cell r="BW672">
            <v>0</v>
          </cell>
          <cell r="BX672">
            <v>0</v>
          </cell>
          <cell r="BY672">
            <v>0</v>
          </cell>
          <cell r="BZ672">
            <v>0</v>
          </cell>
          <cell r="CA672">
            <v>4</v>
          </cell>
          <cell r="CB672">
            <v>0</v>
          </cell>
          <cell r="CC672">
            <v>4</v>
          </cell>
          <cell r="CD672">
            <v>0</v>
          </cell>
          <cell r="CE672">
            <v>0</v>
          </cell>
          <cell r="CF672">
            <v>0</v>
          </cell>
          <cell r="CG672">
            <v>0</v>
          </cell>
          <cell r="CH672">
            <v>4</v>
          </cell>
          <cell r="CI672">
            <v>0</v>
          </cell>
          <cell r="CJ672">
            <v>4</v>
          </cell>
          <cell r="CK672">
            <v>0</v>
          </cell>
          <cell r="CL672">
            <v>0</v>
          </cell>
          <cell r="CM672">
            <v>0</v>
          </cell>
          <cell r="CR672">
            <v>0</v>
          </cell>
          <cell r="CS672">
            <v>0</v>
          </cell>
          <cell r="CT672">
            <v>36</v>
          </cell>
          <cell r="CU672">
            <v>0</v>
          </cell>
          <cell r="CV672">
            <v>0</v>
          </cell>
          <cell r="CZ672">
            <v>36</v>
          </cell>
        </row>
        <row r="673">
          <cell r="C673" t="str">
            <v>04011</v>
          </cell>
          <cell r="D673" t="str">
            <v>Danh Bình</v>
          </cell>
          <cell r="E673" t="str">
            <v>Production</v>
          </cell>
          <cell r="F673" t="str">
            <v>Molding</v>
          </cell>
          <cell r="G673" t="str">
            <v>Worker</v>
          </cell>
          <cell r="H673">
            <v>45225</v>
          </cell>
          <cell r="I673">
            <v>8</v>
          </cell>
          <cell r="J673">
            <v>8</v>
          </cell>
          <cell r="K673" t="str">
            <v>AL4</v>
          </cell>
          <cell r="L673" t="str">
            <v>CN</v>
          </cell>
          <cell r="M673" t="str">
            <v>Đ</v>
          </cell>
          <cell r="N673" t="str">
            <v>AL8</v>
          </cell>
          <cell r="O673" t="str">
            <v>Đ</v>
          </cell>
          <cell r="P673" t="str">
            <v>Đ</v>
          </cell>
          <cell r="Q673" t="str">
            <v>Đ</v>
          </cell>
          <cell r="R673" t="str">
            <v>Đ</v>
          </cell>
          <cell r="S673" t="str">
            <v>CN</v>
          </cell>
          <cell r="T673">
            <v>8</v>
          </cell>
          <cell r="U673">
            <v>8</v>
          </cell>
          <cell r="V673" t="str">
            <v>AL4</v>
          </cell>
          <cell r="W673">
            <v>8</v>
          </cell>
          <cell r="X673">
            <v>8</v>
          </cell>
          <cell r="Y673">
            <v>8</v>
          </cell>
          <cell r="Z673" t="str">
            <v>CN</v>
          </cell>
          <cell r="AA673" t="str">
            <v>Đ</v>
          </cell>
          <cell r="AB673" t="str">
            <v>Đ</v>
          </cell>
          <cell r="AC673" t="str">
            <v>SL</v>
          </cell>
          <cell r="AD673" t="str">
            <v>Đ</v>
          </cell>
          <cell r="AE673" t="str">
            <v>Đ</v>
          </cell>
          <cell r="AF673" t="str">
            <v>Đ</v>
          </cell>
          <cell r="AG673" t="str">
            <v>CN</v>
          </cell>
          <cell r="AH673">
            <v>8</v>
          </cell>
          <cell r="AI673">
            <v>8</v>
          </cell>
          <cell r="AJ673">
            <v>8</v>
          </cell>
          <cell r="AN673">
            <v>80</v>
          </cell>
          <cell r="AO673">
            <v>88</v>
          </cell>
          <cell r="AP673">
            <v>8</v>
          </cell>
          <cell r="AQ673">
            <v>1</v>
          </cell>
          <cell r="AR673">
            <v>0</v>
          </cell>
          <cell r="AS673">
            <v>0</v>
          </cell>
          <cell r="AT673">
            <v>0</v>
          </cell>
          <cell r="AU673">
            <v>0</v>
          </cell>
          <cell r="AV673">
            <v>0</v>
          </cell>
          <cell r="AW673">
            <v>0</v>
          </cell>
          <cell r="AX673">
            <v>0</v>
          </cell>
          <cell r="AY673">
            <v>0</v>
          </cell>
          <cell r="AZ673">
            <v>0</v>
          </cell>
          <cell r="BA673">
            <v>16</v>
          </cell>
          <cell r="BB673">
            <v>0</v>
          </cell>
          <cell r="BC673">
            <v>0</v>
          </cell>
          <cell r="BD673">
            <v>0</v>
          </cell>
          <cell r="BE673">
            <v>0</v>
          </cell>
          <cell r="BF673">
            <v>0</v>
          </cell>
          <cell r="BG673">
            <v>184</v>
          </cell>
          <cell r="BH673">
            <v>2</v>
          </cell>
          <cell r="BI673">
            <v>2</v>
          </cell>
          <cell r="BJ673">
            <v>-4</v>
          </cell>
          <cell r="BL673">
            <v>0</v>
          </cell>
          <cell r="BM673">
            <v>4</v>
          </cell>
          <cell r="BN673">
            <v>0</v>
          </cell>
          <cell r="BO673">
            <v>0</v>
          </cell>
          <cell r="BP673">
            <v>0</v>
          </cell>
          <cell r="BQ673">
            <v>0</v>
          </cell>
          <cell r="BR673">
            <v>0</v>
          </cell>
          <cell r="BS673">
            <v>0</v>
          </cell>
          <cell r="BT673">
            <v>0</v>
          </cell>
          <cell r="BU673">
            <v>0</v>
          </cell>
          <cell r="BV673">
            <v>0</v>
          </cell>
          <cell r="BW673">
            <v>0</v>
          </cell>
          <cell r="BX673">
            <v>0</v>
          </cell>
          <cell r="BY673">
            <v>0</v>
          </cell>
          <cell r="BZ673">
            <v>0</v>
          </cell>
          <cell r="CA673">
            <v>0</v>
          </cell>
          <cell r="CB673">
            <v>0</v>
          </cell>
          <cell r="CC673">
            <v>0</v>
          </cell>
          <cell r="CD673">
            <v>0</v>
          </cell>
          <cell r="CE673">
            <v>0</v>
          </cell>
          <cell r="CF673">
            <v>0</v>
          </cell>
          <cell r="CG673">
            <v>0</v>
          </cell>
          <cell r="CH673">
            <v>0</v>
          </cell>
          <cell r="CI673">
            <v>0</v>
          </cell>
          <cell r="CJ673">
            <v>0</v>
          </cell>
          <cell r="CK673">
            <v>0</v>
          </cell>
          <cell r="CL673">
            <v>0</v>
          </cell>
          <cell r="CM673">
            <v>0</v>
          </cell>
          <cell r="CR673">
            <v>0</v>
          </cell>
          <cell r="CS673">
            <v>0</v>
          </cell>
          <cell r="CT673">
            <v>4</v>
          </cell>
          <cell r="CU673">
            <v>0</v>
          </cell>
          <cell r="CV673">
            <v>0</v>
          </cell>
          <cell r="CZ673">
            <v>4</v>
          </cell>
        </row>
        <row r="674">
          <cell r="C674" t="str">
            <v>04012</v>
          </cell>
          <cell r="D674" t="str">
            <v>Sơn Thị Kim Hoàng</v>
          </cell>
          <cell r="E674" t="str">
            <v>Production</v>
          </cell>
          <cell r="F674" t="str">
            <v>Molding</v>
          </cell>
          <cell r="G674" t="str">
            <v>Worker</v>
          </cell>
          <cell r="H674">
            <v>45225</v>
          </cell>
          <cell r="I674" t="str">
            <v>Đ</v>
          </cell>
          <cell r="J674" t="str">
            <v>Đ</v>
          </cell>
          <cell r="K674" t="str">
            <v>CN</v>
          </cell>
          <cell r="L674">
            <v>8</v>
          </cell>
          <cell r="M674">
            <v>8</v>
          </cell>
          <cell r="N674">
            <v>8</v>
          </cell>
          <cell r="O674">
            <v>8</v>
          </cell>
          <cell r="P674">
            <v>8</v>
          </cell>
          <cell r="Q674">
            <v>8</v>
          </cell>
          <cell r="R674" t="str">
            <v>CN</v>
          </cell>
          <cell r="S674" t="str">
            <v>AL8</v>
          </cell>
          <cell r="T674" t="str">
            <v>Đ</v>
          </cell>
          <cell r="U674" t="str">
            <v>Đ</v>
          </cell>
          <cell r="V674" t="str">
            <v>Đ</v>
          </cell>
          <cell r="W674" t="str">
            <v>Đ</v>
          </cell>
          <cell r="X674" t="str">
            <v>Đ</v>
          </cell>
          <cell r="Y674" t="str">
            <v>CN</v>
          </cell>
          <cell r="Z674">
            <v>8</v>
          </cell>
          <cell r="AA674">
            <v>8</v>
          </cell>
          <cell r="AB674">
            <v>8</v>
          </cell>
          <cell r="AC674">
            <v>8</v>
          </cell>
          <cell r="AD674">
            <v>8</v>
          </cell>
          <cell r="AE674">
            <v>8</v>
          </cell>
          <cell r="AF674" t="str">
            <v>CN</v>
          </cell>
          <cell r="AG674" t="str">
            <v>Đ</v>
          </cell>
          <cell r="AH674" t="str">
            <v>Đ</v>
          </cell>
          <cell r="AI674" t="str">
            <v>Đ</v>
          </cell>
          <cell r="AJ674" t="str">
            <v>Đ</v>
          </cell>
          <cell r="AN674">
            <v>88</v>
          </cell>
          <cell r="AO674">
            <v>96</v>
          </cell>
          <cell r="AP674">
            <v>0</v>
          </cell>
          <cell r="AQ674">
            <v>0</v>
          </cell>
          <cell r="AR674">
            <v>0</v>
          </cell>
          <cell r="AS674">
            <v>0</v>
          </cell>
          <cell r="AT674">
            <v>0</v>
          </cell>
          <cell r="AU674">
            <v>0</v>
          </cell>
          <cell r="AV674">
            <v>0</v>
          </cell>
          <cell r="AW674">
            <v>0</v>
          </cell>
          <cell r="AX674">
            <v>0</v>
          </cell>
          <cell r="AY674">
            <v>0</v>
          </cell>
          <cell r="AZ674">
            <v>0</v>
          </cell>
          <cell r="BA674">
            <v>8</v>
          </cell>
          <cell r="BB674">
            <v>0</v>
          </cell>
          <cell r="BC674">
            <v>0</v>
          </cell>
          <cell r="BD674">
            <v>0</v>
          </cell>
          <cell r="BE674">
            <v>0</v>
          </cell>
          <cell r="BF674">
            <v>0</v>
          </cell>
          <cell r="BG674">
            <v>192</v>
          </cell>
          <cell r="BH674">
            <v>1</v>
          </cell>
          <cell r="BI674">
            <v>1</v>
          </cell>
          <cell r="BJ674">
            <v>-1</v>
          </cell>
          <cell r="BL674">
            <v>0</v>
          </cell>
          <cell r="BM674">
            <v>0</v>
          </cell>
          <cell r="BN674">
            <v>0</v>
          </cell>
          <cell r="BO674">
            <v>4</v>
          </cell>
          <cell r="BP674">
            <v>0</v>
          </cell>
          <cell r="BQ674">
            <v>0</v>
          </cell>
          <cell r="BR674">
            <v>0</v>
          </cell>
          <cell r="BS674">
            <v>0</v>
          </cell>
          <cell r="BT674">
            <v>4</v>
          </cell>
          <cell r="BU674">
            <v>0</v>
          </cell>
          <cell r="BV674">
            <v>3</v>
          </cell>
          <cell r="BW674">
            <v>0</v>
          </cell>
          <cell r="BX674">
            <v>0</v>
          </cell>
          <cell r="BY674">
            <v>0</v>
          </cell>
          <cell r="BZ674">
            <v>0</v>
          </cell>
          <cell r="CA674">
            <v>4</v>
          </cell>
          <cell r="CB674">
            <v>0</v>
          </cell>
          <cell r="CC674">
            <v>4</v>
          </cell>
          <cell r="CD674">
            <v>0</v>
          </cell>
          <cell r="CE674">
            <v>0</v>
          </cell>
          <cell r="CF674">
            <v>0</v>
          </cell>
          <cell r="CG674">
            <v>0</v>
          </cell>
          <cell r="CH674">
            <v>4</v>
          </cell>
          <cell r="CI674">
            <v>0</v>
          </cell>
          <cell r="CJ674">
            <v>4</v>
          </cell>
          <cell r="CK674">
            <v>0</v>
          </cell>
          <cell r="CL674">
            <v>0</v>
          </cell>
          <cell r="CM674">
            <v>0</v>
          </cell>
          <cell r="CR674">
            <v>0</v>
          </cell>
          <cell r="CS674">
            <v>0</v>
          </cell>
          <cell r="CT674">
            <v>27</v>
          </cell>
          <cell r="CU674">
            <v>0</v>
          </cell>
          <cell r="CV674">
            <v>0</v>
          </cell>
          <cell r="CZ674">
            <v>27</v>
          </cell>
        </row>
        <row r="675">
          <cell r="C675" t="str">
            <v>04013</v>
          </cell>
          <cell r="D675" t="str">
            <v>Dương Thị Cẩm Tú</v>
          </cell>
          <cell r="E675" t="str">
            <v>Production</v>
          </cell>
          <cell r="F675" t="str">
            <v>Logo</v>
          </cell>
          <cell r="G675" t="str">
            <v>Worker</v>
          </cell>
          <cell r="H675">
            <v>45225</v>
          </cell>
          <cell r="I675">
            <v>8</v>
          </cell>
          <cell r="J675">
            <v>8</v>
          </cell>
          <cell r="K675">
            <v>8</v>
          </cell>
          <cell r="L675" t="str">
            <v>CN</v>
          </cell>
          <cell r="M675" t="str">
            <v>Đ</v>
          </cell>
          <cell r="N675" t="str">
            <v>Đ</v>
          </cell>
          <cell r="O675" t="str">
            <v>Đ</v>
          </cell>
          <cell r="P675" t="str">
            <v>Đ</v>
          </cell>
          <cell r="Q675" t="str">
            <v>Đ</v>
          </cell>
          <cell r="R675" t="str">
            <v>Đ</v>
          </cell>
          <cell r="S675" t="str">
            <v>CN</v>
          </cell>
          <cell r="T675">
            <v>8</v>
          </cell>
          <cell r="U675">
            <v>8</v>
          </cell>
          <cell r="V675">
            <v>8</v>
          </cell>
          <cell r="W675">
            <v>8</v>
          </cell>
          <cell r="X675">
            <v>8</v>
          </cell>
          <cell r="Y675">
            <v>8</v>
          </cell>
          <cell r="Z675" t="str">
            <v>CN</v>
          </cell>
          <cell r="AA675" t="str">
            <v>Đ</v>
          </cell>
          <cell r="AB675" t="str">
            <v>Đ</v>
          </cell>
          <cell r="AC675" t="str">
            <v>Đ</v>
          </cell>
          <cell r="AD675" t="str">
            <v>Đ</v>
          </cell>
          <cell r="AE675" t="str">
            <v>Đ</v>
          </cell>
          <cell r="AF675" t="str">
            <v>Đ</v>
          </cell>
          <cell r="AG675" t="str">
            <v>CN</v>
          </cell>
          <cell r="AH675">
            <v>8</v>
          </cell>
          <cell r="AI675">
            <v>8</v>
          </cell>
          <cell r="AJ675">
            <v>8</v>
          </cell>
          <cell r="AN675">
            <v>96</v>
          </cell>
          <cell r="AO675">
            <v>96</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192</v>
          </cell>
          <cell r="BH675">
            <v>0</v>
          </cell>
          <cell r="BI675">
            <v>0</v>
          </cell>
          <cell r="BJ675">
            <v>2</v>
          </cell>
          <cell r="BL675">
            <v>0</v>
          </cell>
          <cell r="BM675">
            <v>1.5</v>
          </cell>
          <cell r="BN675">
            <v>1.5</v>
          </cell>
          <cell r="BO675">
            <v>0</v>
          </cell>
          <cell r="BP675">
            <v>1.5</v>
          </cell>
          <cell r="BQ675">
            <v>0</v>
          </cell>
          <cell r="BR675">
            <v>0</v>
          </cell>
          <cell r="BS675">
            <v>4</v>
          </cell>
          <cell r="BT675">
            <v>4</v>
          </cell>
          <cell r="BU675">
            <v>4</v>
          </cell>
          <cell r="BV675">
            <v>0</v>
          </cell>
          <cell r="BW675">
            <v>3</v>
          </cell>
          <cell r="BX675">
            <v>3</v>
          </cell>
          <cell r="BY675">
            <v>4</v>
          </cell>
          <cell r="BZ675">
            <v>3</v>
          </cell>
          <cell r="CA675">
            <v>3</v>
          </cell>
          <cell r="CB675">
            <v>3</v>
          </cell>
          <cell r="CC675">
            <v>8</v>
          </cell>
          <cell r="CD675">
            <v>4</v>
          </cell>
          <cell r="CE675">
            <v>4</v>
          </cell>
          <cell r="CF675">
            <v>4</v>
          </cell>
          <cell r="CG675">
            <v>4</v>
          </cell>
          <cell r="CH675">
            <v>4</v>
          </cell>
          <cell r="CI675">
            <v>4</v>
          </cell>
          <cell r="CJ675">
            <v>0</v>
          </cell>
          <cell r="CK675">
            <v>3</v>
          </cell>
          <cell r="CL675">
            <v>3</v>
          </cell>
          <cell r="CM675">
            <v>3</v>
          </cell>
          <cell r="CR675">
            <v>0</v>
          </cell>
          <cell r="CS675">
            <v>0</v>
          </cell>
          <cell r="CT675">
            <v>68.5</v>
          </cell>
          <cell r="CU675">
            <v>8</v>
          </cell>
          <cell r="CV675">
            <v>0</v>
          </cell>
          <cell r="CZ675">
            <v>76.5</v>
          </cell>
        </row>
        <row r="676">
          <cell r="C676" t="str">
            <v>04016</v>
          </cell>
          <cell r="D676" t="str">
            <v>Mai Thị Diễm Phước</v>
          </cell>
          <cell r="E676" t="str">
            <v>Production</v>
          </cell>
          <cell r="F676" t="str">
            <v>Die Cut</v>
          </cell>
          <cell r="G676" t="str">
            <v>Worker</v>
          </cell>
          <cell r="H676">
            <v>45225</v>
          </cell>
          <cell r="I676" t="str">
            <v>Đ</v>
          </cell>
          <cell r="J676" t="str">
            <v>Đ</v>
          </cell>
          <cell r="K676" t="str">
            <v>AL8</v>
          </cell>
          <cell r="L676" t="str">
            <v>CN</v>
          </cell>
          <cell r="M676">
            <v>8</v>
          </cell>
          <cell r="N676">
            <v>8</v>
          </cell>
          <cell r="O676">
            <v>8</v>
          </cell>
          <cell r="P676">
            <v>8</v>
          </cell>
          <cell r="Q676">
            <v>8</v>
          </cell>
          <cell r="R676">
            <v>8</v>
          </cell>
          <cell r="S676" t="str">
            <v>CN</v>
          </cell>
          <cell r="T676" t="str">
            <v>Đ</v>
          </cell>
          <cell r="U676" t="str">
            <v>Đ</v>
          </cell>
          <cell r="V676" t="str">
            <v>Đ</v>
          </cell>
          <cell r="W676" t="str">
            <v>Đ</v>
          </cell>
          <cell r="X676" t="str">
            <v>Đ</v>
          </cell>
          <cell r="Y676" t="str">
            <v>Đ</v>
          </cell>
          <cell r="Z676" t="str">
            <v>CN</v>
          </cell>
          <cell r="AA676">
            <v>8</v>
          </cell>
          <cell r="AB676">
            <v>8</v>
          </cell>
          <cell r="AC676">
            <v>8</v>
          </cell>
          <cell r="AD676">
            <v>8</v>
          </cell>
          <cell r="AE676">
            <v>8</v>
          </cell>
          <cell r="AF676">
            <v>8</v>
          </cell>
          <cell r="AG676" t="str">
            <v>CN</v>
          </cell>
          <cell r="AH676" t="str">
            <v>Đ</v>
          </cell>
          <cell r="AI676" t="str">
            <v>Đ</v>
          </cell>
          <cell r="AJ676" t="str">
            <v>Đ</v>
          </cell>
          <cell r="AN676">
            <v>88</v>
          </cell>
          <cell r="AO676">
            <v>96</v>
          </cell>
          <cell r="AP676">
            <v>0</v>
          </cell>
          <cell r="AQ676">
            <v>0</v>
          </cell>
          <cell r="AR676">
            <v>0</v>
          </cell>
          <cell r="AS676">
            <v>0</v>
          </cell>
          <cell r="AT676">
            <v>0</v>
          </cell>
          <cell r="AU676">
            <v>0</v>
          </cell>
          <cell r="AV676">
            <v>0</v>
          </cell>
          <cell r="AW676">
            <v>0</v>
          </cell>
          <cell r="AX676">
            <v>0</v>
          </cell>
          <cell r="AY676">
            <v>0</v>
          </cell>
          <cell r="AZ676">
            <v>0</v>
          </cell>
          <cell r="BA676">
            <v>8</v>
          </cell>
          <cell r="BB676">
            <v>0</v>
          </cell>
          <cell r="BC676">
            <v>0</v>
          </cell>
          <cell r="BD676">
            <v>0</v>
          </cell>
          <cell r="BE676">
            <v>0</v>
          </cell>
          <cell r="BF676">
            <v>0</v>
          </cell>
          <cell r="BG676">
            <v>192</v>
          </cell>
          <cell r="BH676">
            <v>1</v>
          </cell>
          <cell r="BI676">
            <v>1</v>
          </cell>
          <cell r="BJ676">
            <v>1</v>
          </cell>
          <cell r="BL676">
            <v>0</v>
          </cell>
          <cell r="BM676">
            <v>0</v>
          </cell>
          <cell r="BN676">
            <v>0</v>
          </cell>
          <cell r="BO676">
            <v>0</v>
          </cell>
          <cell r="BP676">
            <v>1.5</v>
          </cell>
          <cell r="BQ676">
            <v>3</v>
          </cell>
          <cell r="BR676">
            <v>0</v>
          </cell>
          <cell r="BS676">
            <v>3</v>
          </cell>
          <cell r="BT676">
            <v>3</v>
          </cell>
          <cell r="BU676">
            <v>0</v>
          </cell>
          <cell r="BV676">
            <v>0</v>
          </cell>
          <cell r="BW676">
            <v>3</v>
          </cell>
          <cell r="BX676">
            <v>4</v>
          </cell>
          <cell r="BY676">
            <v>4</v>
          </cell>
          <cell r="BZ676">
            <v>4</v>
          </cell>
          <cell r="CA676">
            <v>4</v>
          </cell>
          <cell r="CB676">
            <v>4</v>
          </cell>
          <cell r="CC676">
            <v>0</v>
          </cell>
          <cell r="CD676">
            <v>0</v>
          </cell>
          <cell r="CE676">
            <v>3</v>
          </cell>
          <cell r="CF676">
            <v>3</v>
          </cell>
          <cell r="CG676">
            <v>3</v>
          </cell>
          <cell r="CH676">
            <v>1.5</v>
          </cell>
          <cell r="CI676">
            <v>1.5</v>
          </cell>
          <cell r="CJ676">
            <v>8</v>
          </cell>
          <cell r="CK676">
            <v>1.5</v>
          </cell>
          <cell r="CL676">
            <v>1.5</v>
          </cell>
          <cell r="CM676">
            <v>1.5</v>
          </cell>
          <cell r="CR676">
            <v>0</v>
          </cell>
          <cell r="CS676">
            <v>0</v>
          </cell>
          <cell r="CT676">
            <v>50</v>
          </cell>
          <cell r="CU676">
            <v>8</v>
          </cell>
          <cell r="CV676">
            <v>0</v>
          </cell>
          <cell r="CZ676">
            <v>58</v>
          </cell>
        </row>
        <row r="677">
          <cell r="C677" t="str">
            <v>04025</v>
          </cell>
          <cell r="D677" t="str">
            <v>Lê Linh Dương</v>
          </cell>
          <cell r="E677" t="str">
            <v>Production</v>
          </cell>
          <cell r="F677" t="str">
            <v>Prefitting</v>
          </cell>
          <cell r="G677" t="str">
            <v>Worker</v>
          </cell>
          <cell r="H677">
            <v>45245</v>
          </cell>
          <cell r="I677">
            <v>8</v>
          </cell>
          <cell r="J677">
            <v>8</v>
          </cell>
          <cell r="K677">
            <v>8</v>
          </cell>
          <cell r="L677" t="str">
            <v>CN</v>
          </cell>
          <cell r="M677" t="str">
            <v>Đ</v>
          </cell>
          <cell r="N677" t="str">
            <v>Đ</v>
          </cell>
          <cell r="O677" t="str">
            <v>AL8</v>
          </cell>
          <cell r="P677" t="str">
            <v>Đ</v>
          </cell>
          <cell r="Q677" t="str">
            <v>Đ</v>
          </cell>
          <cell r="R677" t="str">
            <v>Đ</v>
          </cell>
          <cell r="S677" t="str">
            <v>CN</v>
          </cell>
          <cell r="T677">
            <v>8</v>
          </cell>
          <cell r="U677">
            <v>8</v>
          </cell>
          <cell r="V677">
            <v>8</v>
          </cell>
          <cell r="W677">
            <v>8</v>
          </cell>
          <cell r="X677">
            <v>8</v>
          </cell>
          <cell r="Y677" t="str">
            <v>CN</v>
          </cell>
          <cell r="Z677" t="str">
            <v>Đ</v>
          </cell>
          <cell r="AA677" t="str">
            <v>Đ</v>
          </cell>
          <cell r="AB677" t="str">
            <v>Đ</v>
          </cell>
          <cell r="AC677" t="str">
            <v>Đ</v>
          </cell>
          <cell r="AD677" t="str">
            <v>Đ</v>
          </cell>
          <cell r="AE677" t="str">
            <v>Đ</v>
          </cell>
          <cell r="AF677" t="str">
            <v>CN</v>
          </cell>
          <cell r="AG677" t="str">
            <v>AL8</v>
          </cell>
          <cell r="AH677" t="str">
            <v>UP4</v>
          </cell>
          <cell r="AI677">
            <v>8</v>
          </cell>
          <cell r="AJ677">
            <v>8</v>
          </cell>
          <cell r="AN677">
            <v>88</v>
          </cell>
          <cell r="AO677">
            <v>84</v>
          </cell>
          <cell r="AP677">
            <v>0</v>
          </cell>
          <cell r="AQ677">
            <v>0</v>
          </cell>
          <cell r="AR677">
            <v>4</v>
          </cell>
          <cell r="AS677">
            <v>4</v>
          </cell>
          <cell r="AT677">
            <v>0</v>
          </cell>
          <cell r="AU677">
            <v>0</v>
          </cell>
          <cell r="AV677">
            <v>0</v>
          </cell>
          <cell r="AW677">
            <v>0</v>
          </cell>
          <cell r="AX677">
            <v>0</v>
          </cell>
          <cell r="AY677">
            <v>0</v>
          </cell>
          <cell r="AZ677">
            <v>0</v>
          </cell>
          <cell r="BA677">
            <v>16</v>
          </cell>
          <cell r="BB677">
            <v>0</v>
          </cell>
          <cell r="BC677">
            <v>0</v>
          </cell>
          <cell r="BD677">
            <v>0</v>
          </cell>
          <cell r="BE677">
            <v>0</v>
          </cell>
          <cell r="BF677">
            <v>0</v>
          </cell>
          <cell r="BG677">
            <v>188</v>
          </cell>
          <cell r="BH677">
            <v>2</v>
          </cell>
          <cell r="BI677">
            <v>2</v>
          </cell>
          <cell r="BJ677">
            <v>-3</v>
          </cell>
          <cell r="BL677">
            <v>0</v>
          </cell>
          <cell r="BM677">
            <v>0</v>
          </cell>
          <cell r="BN677">
            <v>0</v>
          </cell>
          <cell r="BO677">
            <v>0</v>
          </cell>
          <cell r="BP677">
            <v>0</v>
          </cell>
          <cell r="BQ677">
            <v>0</v>
          </cell>
          <cell r="BR677">
            <v>0</v>
          </cell>
          <cell r="BS677">
            <v>0</v>
          </cell>
          <cell r="BT677">
            <v>0</v>
          </cell>
          <cell r="BU677">
            <v>0</v>
          </cell>
          <cell r="BV677">
            <v>0</v>
          </cell>
          <cell r="BW677">
            <v>0</v>
          </cell>
          <cell r="BX677">
            <v>0</v>
          </cell>
          <cell r="BY677">
            <v>0</v>
          </cell>
          <cell r="BZ677">
            <v>0</v>
          </cell>
          <cell r="CA677">
            <v>4</v>
          </cell>
          <cell r="CB677">
            <v>0</v>
          </cell>
          <cell r="CC677">
            <v>4</v>
          </cell>
          <cell r="CD677">
            <v>0</v>
          </cell>
          <cell r="CE677">
            <v>0</v>
          </cell>
          <cell r="CF677">
            <v>0</v>
          </cell>
          <cell r="CG677">
            <v>0</v>
          </cell>
          <cell r="CH677">
            <v>4</v>
          </cell>
          <cell r="CI677">
            <v>0</v>
          </cell>
          <cell r="CJ677">
            <v>0</v>
          </cell>
          <cell r="CK677">
            <v>0</v>
          </cell>
          <cell r="CL677">
            <v>0</v>
          </cell>
          <cell r="CM677">
            <v>0</v>
          </cell>
          <cell r="CR677">
            <v>0</v>
          </cell>
          <cell r="CS677">
            <v>0</v>
          </cell>
          <cell r="CT677">
            <v>12</v>
          </cell>
          <cell r="CU677">
            <v>0</v>
          </cell>
          <cell r="CV677">
            <v>0</v>
          </cell>
          <cell r="CZ677">
            <v>12</v>
          </cell>
        </row>
        <row r="678">
          <cell r="C678" t="str">
            <v>04027</v>
          </cell>
          <cell r="D678" t="str">
            <v>Lê Thanh Phong</v>
          </cell>
          <cell r="E678" t="str">
            <v>Production</v>
          </cell>
          <cell r="F678" t="str">
            <v>Die Cut</v>
          </cell>
          <cell r="G678" t="str">
            <v>Worker</v>
          </cell>
          <cell r="H678">
            <v>45245</v>
          </cell>
          <cell r="I678">
            <v>8</v>
          </cell>
          <cell r="J678">
            <v>8</v>
          </cell>
          <cell r="K678">
            <v>8</v>
          </cell>
          <cell r="L678" t="str">
            <v>CN</v>
          </cell>
          <cell r="M678" t="str">
            <v>Đ</v>
          </cell>
          <cell r="N678" t="str">
            <v>Đ</v>
          </cell>
          <cell r="O678" t="str">
            <v>Đ</v>
          </cell>
          <cell r="P678" t="str">
            <v>Đ</v>
          </cell>
          <cell r="Q678" t="str">
            <v>Đ</v>
          </cell>
          <cell r="R678" t="str">
            <v>Đ</v>
          </cell>
          <cell r="S678" t="str">
            <v>CN</v>
          </cell>
          <cell r="T678">
            <v>8</v>
          </cell>
          <cell r="U678">
            <v>8</v>
          </cell>
          <cell r="V678">
            <v>8</v>
          </cell>
          <cell r="W678">
            <v>8</v>
          </cell>
          <cell r="X678">
            <v>8</v>
          </cell>
          <cell r="Y678" t="str">
            <v>AL4</v>
          </cell>
          <cell r="Z678" t="str">
            <v>CN</v>
          </cell>
          <cell r="AA678" t="str">
            <v>Đ</v>
          </cell>
          <cell r="AB678" t="str">
            <v>Đ</v>
          </cell>
          <cell r="AC678" t="str">
            <v>Đ</v>
          </cell>
          <cell r="AD678" t="str">
            <v>Đ</v>
          </cell>
          <cell r="AE678" t="str">
            <v>Đ</v>
          </cell>
          <cell r="AF678" t="str">
            <v>Đ</v>
          </cell>
          <cell r="AG678" t="str">
            <v>CN</v>
          </cell>
          <cell r="AH678">
            <v>8</v>
          </cell>
          <cell r="AI678">
            <v>8</v>
          </cell>
          <cell r="AJ678">
            <v>8</v>
          </cell>
          <cell r="AN678">
            <v>96</v>
          </cell>
          <cell r="AO678">
            <v>92</v>
          </cell>
          <cell r="AP678">
            <v>4</v>
          </cell>
          <cell r="AQ678">
            <v>0</v>
          </cell>
          <cell r="AR678">
            <v>0</v>
          </cell>
          <cell r="AS678">
            <v>0</v>
          </cell>
          <cell r="AT678">
            <v>0</v>
          </cell>
          <cell r="AU678">
            <v>0</v>
          </cell>
          <cell r="AV678">
            <v>0</v>
          </cell>
          <cell r="AW678">
            <v>0</v>
          </cell>
          <cell r="AX678">
            <v>0</v>
          </cell>
          <cell r="AY678">
            <v>0</v>
          </cell>
          <cell r="AZ678">
            <v>0</v>
          </cell>
          <cell r="BA678">
            <v>4</v>
          </cell>
          <cell r="BB678">
            <v>0</v>
          </cell>
          <cell r="BC678">
            <v>0</v>
          </cell>
          <cell r="BD678">
            <v>0</v>
          </cell>
          <cell r="BE678">
            <v>0</v>
          </cell>
          <cell r="BF678">
            <v>0</v>
          </cell>
          <cell r="BG678">
            <v>192</v>
          </cell>
          <cell r="BH678">
            <v>0.5</v>
          </cell>
          <cell r="BI678">
            <v>0.5</v>
          </cell>
          <cell r="BJ678">
            <v>3</v>
          </cell>
          <cell r="BL678">
            <v>0</v>
          </cell>
          <cell r="BM678">
            <v>0</v>
          </cell>
          <cell r="BN678">
            <v>0</v>
          </cell>
          <cell r="BO678">
            <v>0</v>
          </cell>
          <cell r="BP678">
            <v>1.5</v>
          </cell>
          <cell r="BQ678">
            <v>0</v>
          </cell>
          <cell r="BR678">
            <v>0</v>
          </cell>
          <cell r="BS678">
            <v>4</v>
          </cell>
          <cell r="BT678">
            <v>0</v>
          </cell>
          <cell r="BU678">
            <v>4</v>
          </cell>
          <cell r="BV678">
            <v>0</v>
          </cell>
          <cell r="BW678">
            <v>3</v>
          </cell>
          <cell r="BX678">
            <v>3</v>
          </cell>
          <cell r="BY678">
            <v>3</v>
          </cell>
          <cell r="BZ678">
            <v>3</v>
          </cell>
          <cell r="CA678">
            <v>3</v>
          </cell>
          <cell r="CB678">
            <v>2</v>
          </cell>
          <cell r="CC678">
            <v>8</v>
          </cell>
          <cell r="CD678">
            <v>4</v>
          </cell>
          <cell r="CE678">
            <v>4</v>
          </cell>
          <cell r="CF678">
            <v>4</v>
          </cell>
          <cell r="CG678">
            <v>4</v>
          </cell>
          <cell r="CH678">
            <v>4</v>
          </cell>
          <cell r="CI678">
            <v>4</v>
          </cell>
          <cell r="CJ678">
            <v>0</v>
          </cell>
          <cell r="CK678">
            <v>3</v>
          </cell>
          <cell r="CL678">
            <v>3</v>
          </cell>
          <cell r="CM678">
            <v>3</v>
          </cell>
          <cell r="CR678">
            <v>0</v>
          </cell>
          <cell r="CS678">
            <v>0</v>
          </cell>
          <cell r="CT678">
            <v>59.5</v>
          </cell>
          <cell r="CU678">
            <v>8</v>
          </cell>
          <cell r="CV678">
            <v>0</v>
          </cell>
          <cell r="CZ678">
            <v>67.5</v>
          </cell>
        </row>
        <row r="679">
          <cell r="C679" t="str">
            <v>04028</v>
          </cell>
          <cell r="D679" t="str">
            <v>Danh Tý</v>
          </cell>
          <cell r="E679" t="str">
            <v>Production</v>
          </cell>
          <cell r="F679" t="str">
            <v>Molding</v>
          </cell>
          <cell r="G679" t="str">
            <v>Worker</v>
          </cell>
          <cell r="H679">
            <v>45245</v>
          </cell>
          <cell r="I679">
            <v>8</v>
          </cell>
          <cell r="J679">
            <v>8</v>
          </cell>
          <cell r="K679">
            <v>8</v>
          </cell>
          <cell r="L679" t="str">
            <v>CN</v>
          </cell>
          <cell r="M679" t="str">
            <v>UP8</v>
          </cell>
          <cell r="N679" t="str">
            <v>UP8</v>
          </cell>
          <cell r="O679" t="str">
            <v>UP8</v>
          </cell>
          <cell r="P679" t="str">
            <v>UP8</v>
          </cell>
          <cell r="Q679" t="str">
            <v>UP8</v>
          </cell>
          <cell r="R679" t="str">
            <v>UP8</v>
          </cell>
          <cell r="S679" t="str">
            <v>CN</v>
          </cell>
          <cell r="T679" t="str">
            <v>UP8</v>
          </cell>
          <cell r="U679" t="str">
            <v>UP8</v>
          </cell>
          <cell r="V679" t="str">
            <v>UP8</v>
          </cell>
          <cell r="W679" t="str">
            <v>UP8</v>
          </cell>
          <cell r="X679" t="str">
            <v>UP8</v>
          </cell>
          <cell r="Y679" t="str">
            <v>UP8</v>
          </cell>
          <cell r="Z679" t="str">
            <v>CN</v>
          </cell>
          <cell r="AA679" t="str">
            <v>UP8</v>
          </cell>
          <cell r="AB679" t="str">
            <v>UP8</v>
          </cell>
          <cell r="AC679" t="str">
            <v>TV</v>
          </cell>
          <cell r="AD679" t="str">
            <v>TV</v>
          </cell>
          <cell r="AE679" t="str">
            <v>TV</v>
          </cell>
          <cell r="AF679" t="str">
            <v>TV</v>
          </cell>
          <cell r="AG679" t="str">
            <v>TV</v>
          </cell>
          <cell r="AH679" t="str">
            <v>TV</v>
          </cell>
          <cell r="AI679" t="str">
            <v>TV</v>
          </cell>
          <cell r="AJ679" t="str">
            <v>TV</v>
          </cell>
          <cell r="AN679">
            <v>0</v>
          </cell>
          <cell r="AO679">
            <v>24</v>
          </cell>
          <cell r="AP679">
            <v>0</v>
          </cell>
          <cell r="AQ679">
            <v>0</v>
          </cell>
          <cell r="AR679">
            <v>0</v>
          </cell>
          <cell r="AS679">
            <v>112</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24</v>
          </cell>
          <cell r="BH679">
            <v>0</v>
          </cell>
          <cell r="BI679">
            <v>0</v>
          </cell>
          <cell r="BJ679">
            <v>1</v>
          </cell>
          <cell r="BL679">
            <v>0</v>
          </cell>
          <cell r="BM679">
            <v>0</v>
          </cell>
          <cell r="BN679">
            <v>0</v>
          </cell>
          <cell r="BO679">
            <v>0</v>
          </cell>
          <cell r="BP679">
            <v>0</v>
          </cell>
          <cell r="BQ679">
            <v>0</v>
          </cell>
          <cell r="BR679">
            <v>0</v>
          </cell>
          <cell r="BS679">
            <v>0</v>
          </cell>
          <cell r="BT679">
            <v>0</v>
          </cell>
          <cell r="BU679">
            <v>0</v>
          </cell>
          <cell r="BV679">
            <v>0</v>
          </cell>
          <cell r="BW679">
            <v>0</v>
          </cell>
          <cell r="BX679">
            <v>0</v>
          </cell>
          <cell r="BY679">
            <v>0</v>
          </cell>
          <cell r="BZ679">
            <v>0</v>
          </cell>
          <cell r="CA679">
            <v>0</v>
          </cell>
          <cell r="CB679">
            <v>0</v>
          </cell>
          <cell r="CC679">
            <v>0</v>
          </cell>
          <cell r="CD679">
            <v>0</v>
          </cell>
          <cell r="CE679">
            <v>0</v>
          </cell>
          <cell r="CF679">
            <v>0</v>
          </cell>
          <cell r="CG679">
            <v>0</v>
          </cell>
          <cell r="CH679">
            <v>0</v>
          </cell>
          <cell r="CI679">
            <v>0</v>
          </cell>
          <cell r="CJ679">
            <v>0</v>
          </cell>
          <cell r="CK679">
            <v>0</v>
          </cell>
          <cell r="CL679">
            <v>0</v>
          </cell>
          <cell r="CM679">
            <v>0</v>
          </cell>
          <cell r="CR679">
            <v>0</v>
          </cell>
          <cell r="CS679">
            <v>0</v>
          </cell>
          <cell r="CT679">
            <v>0</v>
          </cell>
          <cell r="CU679">
            <v>0</v>
          </cell>
          <cell r="CV679">
            <v>0</v>
          </cell>
          <cell r="CZ679">
            <v>0</v>
          </cell>
        </row>
        <row r="680">
          <cell r="C680" t="str">
            <v>04030</v>
          </cell>
          <cell r="D680" t="str">
            <v>Nguyễn Đan Trường</v>
          </cell>
          <cell r="E680" t="str">
            <v>Production</v>
          </cell>
          <cell r="F680" t="str">
            <v>Molding</v>
          </cell>
          <cell r="G680" t="str">
            <v>Worker</v>
          </cell>
          <cell r="H680">
            <v>45245</v>
          </cell>
          <cell r="I680">
            <v>8</v>
          </cell>
          <cell r="J680">
            <v>8</v>
          </cell>
          <cell r="K680">
            <v>8</v>
          </cell>
          <cell r="L680" t="str">
            <v>CN</v>
          </cell>
          <cell r="M680">
            <v>8</v>
          </cell>
          <cell r="N680">
            <v>8</v>
          </cell>
          <cell r="O680">
            <v>8</v>
          </cell>
          <cell r="P680">
            <v>8</v>
          </cell>
          <cell r="Q680">
            <v>8</v>
          </cell>
          <cell r="R680">
            <v>8</v>
          </cell>
          <cell r="S680" t="str">
            <v>CN</v>
          </cell>
          <cell r="T680">
            <v>8</v>
          </cell>
          <cell r="U680">
            <v>8</v>
          </cell>
          <cell r="V680">
            <v>8</v>
          </cell>
          <cell r="W680">
            <v>8</v>
          </cell>
          <cell r="X680">
            <v>8</v>
          </cell>
          <cell r="Y680">
            <v>8</v>
          </cell>
          <cell r="Z680" t="str">
            <v>CN</v>
          </cell>
          <cell r="AA680">
            <v>8</v>
          </cell>
          <cell r="AB680">
            <v>8</v>
          </cell>
          <cell r="AC680">
            <v>8</v>
          </cell>
          <cell r="AD680">
            <v>8</v>
          </cell>
          <cell r="AE680">
            <v>8</v>
          </cell>
          <cell r="AF680">
            <v>8</v>
          </cell>
          <cell r="AG680" t="str">
            <v>CN</v>
          </cell>
          <cell r="AH680">
            <v>8</v>
          </cell>
          <cell r="AI680">
            <v>8</v>
          </cell>
          <cell r="AJ680">
            <v>8</v>
          </cell>
          <cell r="AN680">
            <v>0</v>
          </cell>
          <cell r="AO680">
            <v>192</v>
          </cell>
          <cell r="AP680">
            <v>0</v>
          </cell>
          <cell r="AQ680">
            <v>0</v>
          </cell>
          <cell r="AR680">
            <v>0</v>
          </cell>
          <cell r="AS680">
            <v>0</v>
          </cell>
          <cell r="AT680">
            <v>0</v>
          </cell>
          <cell r="AU680">
            <v>0</v>
          </cell>
          <cell r="AV680">
            <v>0</v>
          </cell>
          <cell r="AW680">
            <v>0</v>
          </cell>
          <cell r="AX680">
            <v>0</v>
          </cell>
          <cell r="AY680">
            <v>0</v>
          </cell>
          <cell r="AZ680">
            <v>0</v>
          </cell>
          <cell r="BA680">
            <v>0</v>
          </cell>
          <cell r="BB680">
            <v>0</v>
          </cell>
          <cell r="BC680">
            <v>0</v>
          </cell>
          <cell r="BD680">
            <v>0</v>
          </cell>
          <cell r="BE680">
            <v>0</v>
          </cell>
          <cell r="BF680">
            <v>0</v>
          </cell>
          <cell r="BG680">
            <v>192</v>
          </cell>
          <cell r="BH680">
            <v>0</v>
          </cell>
          <cell r="BI680">
            <v>0</v>
          </cell>
          <cell r="BJ680">
            <v>1</v>
          </cell>
          <cell r="BL680">
            <v>0</v>
          </cell>
          <cell r="BM680">
            <v>4</v>
          </cell>
          <cell r="BN680">
            <v>4</v>
          </cell>
          <cell r="BO680">
            <v>0</v>
          </cell>
          <cell r="BP680">
            <v>0</v>
          </cell>
          <cell r="BQ680">
            <v>0</v>
          </cell>
          <cell r="BR680">
            <v>0</v>
          </cell>
          <cell r="BS680">
            <v>0</v>
          </cell>
          <cell r="BT680">
            <v>0</v>
          </cell>
          <cell r="BU680">
            <v>0</v>
          </cell>
          <cell r="BV680">
            <v>0</v>
          </cell>
          <cell r="BW680">
            <v>0</v>
          </cell>
          <cell r="BX680">
            <v>0</v>
          </cell>
          <cell r="BY680">
            <v>0</v>
          </cell>
          <cell r="BZ680">
            <v>4</v>
          </cell>
          <cell r="CA680">
            <v>4</v>
          </cell>
          <cell r="CB680">
            <v>4</v>
          </cell>
          <cell r="CC680">
            <v>0</v>
          </cell>
          <cell r="CD680">
            <v>0</v>
          </cell>
          <cell r="CE680">
            <v>0</v>
          </cell>
          <cell r="CF680">
            <v>0</v>
          </cell>
          <cell r="CG680">
            <v>0</v>
          </cell>
          <cell r="CH680">
            <v>0</v>
          </cell>
          <cell r="CI680">
            <v>0</v>
          </cell>
          <cell r="CJ680">
            <v>0</v>
          </cell>
          <cell r="CK680">
            <v>0</v>
          </cell>
          <cell r="CL680">
            <v>0</v>
          </cell>
          <cell r="CM680">
            <v>0</v>
          </cell>
          <cell r="CR680">
            <v>0</v>
          </cell>
          <cell r="CS680">
            <v>0</v>
          </cell>
          <cell r="CT680">
            <v>20</v>
          </cell>
          <cell r="CU680">
            <v>0</v>
          </cell>
          <cell r="CV680">
            <v>0</v>
          </cell>
          <cell r="CZ680">
            <v>20</v>
          </cell>
        </row>
        <row r="681">
          <cell r="C681" t="str">
            <v>04039</v>
          </cell>
          <cell r="D681" t="str">
            <v>Nguyễn Gia Phúc</v>
          </cell>
          <cell r="E681" t="str">
            <v>Production</v>
          </cell>
          <cell r="F681" t="str">
            <v>Prefitting</v>
          </cell>
          <cell r="G681" t="str">
            <v>Team Leader</v>
          </cell>
          <cell r="H681">
            <v>45264</v>
          </cell>
          <cell r="I681" t="str">
            <v>PL</v>
          </cell>
          <cell r="J681" t="str">
            <v>PL</v>
          </cell>
          <cell r="K681" t="str">
            <v>CN</v>
          </cell>
          <cell r="L681" t="str">
            <v>PL</v>
          </cell>
          <cell r="M681" t="str">
            <v>PL</v>
          </cell>
          <cell r="N681" t="str">
            <v>Đ</v>
          </cell>
          <cell r="O681" t="str">
            <v>Đ</v>
          </cell>
          <cell r="P681" t="str">
            <v>AL8</v>
          </cell>
          <cell r="Q681" t="str">
            <v>Đ</v>
          </cell>
          <cell r="R681" t="str">
            <v>CN</v>
          </cell>
          <cell r="S681">
            <v>8</v>
          </cell>
          <cell r="T681">
            <v>8</v>
          </cell>
          <cell r="U681">
            <v>8</v>
          </cell>
          <cell r="V681">
            <v>8</v>
          </cell>
          <cell r="W681">
            <v>8</v>
          </cell>
          <cell r="X681">
            <v>8</v>
          </cell>
          <cell r="Y681" t="str">
            <v>CN</v>
          </cell>
          <cell r="Z681" t="str">
            <v>Đ</v>
          </cell>
          <cell r="AA681" t="str">
            <v>Đ</v>
          </cell>
          <cell r="AB681" t="str">
            <v>Đ</v>
          </cell>
          <cell r="AC681" t="str">
            <v>Đ</v>
          </cell>
          <cell r="AD681" t="str">
            <v>Đ</v>
          </cell>
          <cell r="AE681" t="str">
            <v>Đ</v>
          </cell>
          <cell r="AF681" t="str">
            <v>CN</v>
          </cell>
          <cell r="AG681">
            <v>8</v>
          </cell>
          <cell r="AH681">
            <v>8</v>
          </cell>
          <cell r="AI681">
            <v>8</v>
          </cell>
          <cell r="AJ681">
            <v>8</v>
          </cell>
          <cell r="AN681">
            <v>72</v>
          </cell>
          <cell r="AO681">
            <v>80</v>
          </cell>
          <cell r="AP681">
            <v>0</v>
          </cell>
          <cell r="AQ681">
            <v>0</v>
          </cell>
          <cell r="AR681">
            <v>0</v>
          </cell>
          <cell r="AS681">
            <v>0</v>
          </cell>
          <cell r="AT681">
            <v>0</v>
          </cell>
          <cell r="AU681">
            <v>0</v>
          </cell>
          <cell r="AV681">
            <v>0</v>
          </cell>
          <cell r="AW681">
            <v>0</v>
          </cell>
          <cell r="AX681">
            <v>0</v>
          </cell>
          <cell r="AY681">
            <v>32</v>
          </cell>
          <cell r="AZ681">
            <v>0</v>
          </cell>
          <cell r="BA681">
            <v>8</v>
          </cell>
          <cell r="BB681">
            <v>0</v>
          </cell>
          <cell r="BC681">
            <v>0</v>
          </cell>
          <cell r="BD681">
            <v>0</v>
          </cell>
          <cell r="BE681">
            <v>0</v>
          </cell>
          <cell r="BF681">
            <v>0</v>
          </cell>
          <cell r="BG681">
            <v>160</v>
          </cell>
          <cell r="BH681">
            <v>1</v>
          </cell>
          <cell r="BI681">
            <v>1</v>
          </cell>
          <cell r="BJ681">
            <v>0</v>
          </cell>
          <cell r="BL681">
            <v>0</v>
          </cell>
          <cell r="BM681">
            <v>0</v>
          </cell>
          <cell r="BN681">
            <v>0</v>
          </cell>
          <cell r="BO681">
            <v>0</v>
          </cell>
          <cell r="BP681">
            <v>0</v>
          </cell>
          <cell r="BQ681">
            <v>0</v>
          </cell>
          <cell r="BR681">
            <v>0</v>
          </cell>
          <cell r="BS681">
            <v>0</v>
          </cell>
          <cell r="BT681">
            <v>4</v>
          </cell>
          <cell r="BU681">
            <v>0</v>
          </cell>
          <cell r="BV681">
            <v>4</v>
          </cell>
          <cell r="BW681">
            <v>0</v>
          </cell>
          <cell r="BX681">
            <v>0</v>
          </cell>
          <cell r="BY681">
            <v>0</v>
          </cell>
          <cell r="BZ681">
            <v>0</v>
          </cell>
          <cell r="CA681">
            <v>4</v>
          </cell>
          <cell r="CB681">
            <v>0</v>
          </cell>
          <cell r="CC681">
            <v>4</v>
          </cell>
          <cell r="CD681">
            <v>0</v>
          </cell>
          <cell r="CE681">
            <v>0</v>
          </cell>
          <cell r="CF681">
            <v>4</v>
          </cell>
          <cell r="CG681">
            <v>0</v>
          </cell>
          <cell r="CH681">
            <v>4</v>
          </cell>
          <cell r="CI681">
            <v>0</v>
          </cell>
          <cell r="CJ681">
            <v>4</v>
          </cell>
          <cell r="CK681">
            <v>4</v>
          </cell>
          <cell r="CL681">
            <v>0</v>
          </cell>
          <cell r="CM681">
            <v>4</v>
          </cell>
          <cell r="CR681">
            <v>0</v>
          </cell>
          <cell r="CS681">
            <v>0</v>
          </cell>
          <cell r="CT681">
            <v>36</v>
          </cell>
          <cell r="CU681">
            <v>0</v>
          </cell>
          <cell r="CV681">
            <v>0</v>
          </cell>
          <cell r="CZ681">
            <v>36</v>
          </cell>
        </row>
        <row r="682">
          <cell r="C682" t="str">
            <v>04044</v>
          </cell>
          <cell r="D682" t="str">
            <v>Lý Tuyết Mịnh</v>
          </cell>
          <cell r="E682" t="str">
            <v>Foaming</v>
          </cell>
          <cell r="F682" t="str">
            <v>FOAMING Splitting</v>
          </cell>
          <cell r="G682" t="str">
            <v>Worker</v>
          </cell>
          <cell r="H682">
            <v>45358</v>
          </cell>
          <cell r="I682">
            <v>8</v>
          </cell>
          <cell r="J682">
            <v>8</v>
          </cell>
          <cell r="K682">
            <v>8</v>
          </cell>
          <cell r="L682" t="str">
            <v>CN</v>
          </cell>
          <cell r="M682">
            <v>8</v>
          </cell>
          <cell r="N682">
            <v>8</v>
          </cell>
          <cell r="O682">
            <v>8</v>
          </cell>
          <cell r="P682">
            <v>8</v>
          </cell>
          <cell r="Q682">
            <v>8</v>
          </cell>
          <cell r="R682">
            <v>8</v>
          </cell>
          <cell r="S682" t="str">
            <v>CN</v>
          </cell>
          <cell r="T682">
            <v>8</v>
          </cell>
          <cell r="U682">
            <v>8</v>
          </cell>
          <cell r="V682">
            <v>8</v>
          </cell>
          <cell r="W682">
            <v>8</v>
          </cell>
          <cell r="X682">
            <v>8</v>
          </cell>
          <cell r="Y682">
            <v>8</v>
          </cell>
          <cell r="Z682" t="str">
            <v>CN</v>
          </cell>
          <cell r="AA682" t="str">
            <v>Đ</v>
          </cell>
          <cell r="AB682" t="str">
            <v>Đ</v>
          </cell>
          <cell r="AC682" t="str">
            <v>Đ</v>
          </cell>
          <cell r="AD682" t="str">
            <v>AL8</v>
          </cell>
          <cell r="AE682" t="str">
            <v>Đ</v>
          </cell>
          <cell r="AF682" t="str">
            <v>Đ</v>
          </cell>
          <cell r="AG682" t="str">
            <v>CN</v>
          </cell>
          <cell r="AH682" t="str">
            <v>Đ</v>
          </cell>
          <cell r="AI682" t="str">
            <v>Đ</v>
          </cell>
          <cell r="AJ682" t="str">
            <v>Đ</v>
          </cell>
          <cell r="AN682">
            <v>64</v>
          </cell>
          <cell r="AO682">
            <v>120</v>
          </cell>
          <cell r="AP682">
            <v>0</v>
          </cell>
          <cell r="AQ682">
            <v>0</v>
          </cell>
          <cell r="AR682">
            <v>0</v>
          </cell>
          <cell r="AS682">
            <v>0</v>
          </cell>
          <cell r="AT682">
            <v>0</v>
          </cell>
          <cell r="AU682">
            <v>0</v>
          </cell>
          <cell r="AV682">
            <v>0</v>
          </cell>
          <cell r="AW682">
            <v>0</v>
          </cell>
          <cell r="AX682">
            <v>0</v>
          </cell>
          <cell r="AY682">
            <v>0</v>
          </cell>
          <cell r="AZ682">
            <v>0</v>
          </cell>
          <cell r="BA682">
            <v>8</v>
          </cell>
          <cell r="BB682">
            <v>0</v>
          </cell>
          <cell r="BC682">
            <v>0</v>
          </cell>
          <cell r="BD682">
            <v>0</v>
          </cell>
          <cell r="BE682">
            <v>0</v>
          </cell>
          <cell r="BF682">
            <v>0</v>
          </cell>
          <cell r="BG682">
            <v>192</v>
          </cell>
          <cell r="BH682">
            <v>1</v>
          </cell>
          <cell r="BI682">
            <v>1</v>
          </cell>
          <cell r="BJ682">
            <v>1</v>
          </cell>
          <cell r="BL682">
            <v>4</v>
          </cell>
          <cell r="BM682">
            <v>0</v>
          </cell>
          <cell r="BN682">
            <v>4</v>
          </cell>
          <cell r="BO682">
            <v>10</v>
          </cell>
          <cell r="BP682">
            <v>0</v>
          </cell>
          <cell r="BQ682">
            <v>4</v>
          </cell>
          <cell r="BR682">
            <v>4</v>
          </cell>
          <cell r="BS682">
            <v>4</v>
          </cell>
          <cell r="BT682">
            <v>4</v>
          </cell>
          <cell r="BU682">
            <v>4</v>
          </cell>
          <cell r="BV682">
            <v>12</v>
          </cell>
          <cell r="BW682">
            <v>4</v>
          </cell>
          <cell r="BX682">
            <v>4</v>
          </cell>
          <cell r="BY682">
            <v>4</v>
          </cell>
          <cell r="BZ682">
            <v>4</v>
          </cell>
          <cell r="CA682">
            <v>4</v>
          </cell>
          <cell r="CB682">
            <v>4</v>
          </cell>
          <cell r="CC682" t="str">
            <v>12Đ</v>
          </cell>
          <cell r="CD682">
            <v>4</v>
          </cell>
          <cell r="CE682">
            <v>4</v>
          </cell>
          <cell r="CF682">
            <v>4</v>
          </cell>
          <cell r="CG682">
            <v>0</v>
          </cell>
          <cell r="CH682">
            <v>4</v>
          </cell>
          <cell r="CI682">
            <v>4</v>
          </cell>
          <cell r="CJ682" t="str">
            <v>12Đ</v>
          </cell>
          <cell r="CK682">
            <v>4</v>
          </cell>
          <cell r="CL682">
            <v>0</v>
          </cell>
          <cell r="CM682">
            <v>4</v>
          </cell>
          <cell r="CR682">
            <v>0</v>
          </cell>
          <cell r="CS682">
            <v>0</v>
          </cell>
          <cell r="CT682">
            <v>80</v>
          </cell>
          <cell r="CU682">
            <v>30</v>
          </cell>
          <cell r="CV682">
            <v>16</v>
          </cell>
          <cell r="CZ682">
            <v>126</v>
          </cell>
        </row>
        <row r="683">
          <cell r="C683" t="str">
            <v>04046</v>
          </cell>
          <cell r="D683" t="str">
            <v>Lê Đoàn Vũ</v>
          </cell>
          <cell r="E683" t="str">
            <v>Foaming</v>
          </cell>
          <cell r="F683" t="str">
            <v>FOAMING Splitting</v>
          </cell>
          <cell r="G683" t="str">
            <v>Worker</v>
          </cell>
          <cell r="H683">
            <v>45358</v>
          </cell>
          <cell r="I683" t="str">
            <v>Đ</v>
          </cell>
          <cell r="J683" t="str">
            <v>Đ</v>
          </cell>
          <cell r="K683" t="str">
            <v>Đ</v>
          </cell>
          <cell r="L683" t="str">
            <v>CN</v>
          </cell>
          <cell r="M683" t="str">
            <v>Đ</v>
          </cell>
          <cell r="N683" t="str">
            <v>Đ</v>
          </cell>
          <cell r="O683" t="str">
            <v>Đ</v>
          </cell>
          <cell r="P683" t="str">
            <v>Đ</v>
          </cell>
          <cell r="Q683" t="str">
            <v>Đ</v>
          </cell>
          <cell r="R683" t="str">
            <v>Đ</v>
          </cell>
          <cell r="S683" t="str">
            <v>CN</v>
          </cell>
          <cell r="T683" t="str">
            <v>Đ</v>
          </cell>
          <cell r="U683" t="str">
            <v>Đ</v>
          </cell>
          <cell r="V683" t="str">
            <v>Đ</v>
          </cell>
          <cell r="W683" t="str">
            <v>Đ</v>
          </cell>
          <cell r="X683" t="str">
            <v>Đ</v>
          </cell>
          <cell r="Y683" t="str">
            <v>Đ</v>
          </cell>
          <cell r="Z683" t="str">
            <v>CN</v>
          </cell>
          <cell r="AA683">
            <v>8</v>
          </cell>
          <cell r="AB683">
            <v>8</v>
          </cell>
          <cell r="AC683">
            <v>8</v>
          </cell>
          <cell r="AD683">
            <v>8</v>
          </cell>
          <cell r="AE683">
            <v>8</v>
          </cell>
          <cell r="AF683">
            <v>8</v>
          </cell>
          <cell r="AG683" t="str">
            <v>CN</v>
          </cell>
          <cell r="AH683">
            <v>8</v>
          </cell>
          <cell r="AI683">
            <v>8</v>
          </cell>
          <cell r="AJ683">
            <v>8</v>
          </cell>
          <cell r="AN683">
            <v>120</v>
          </cell>
          <cell r="AO683">
            <v>72</v>
          </cell>
          <cell r="AP683">
            <v>0</v>
          </cell>
          <cell r="AQ683">
            <v>0</v>
          </cell>
          <cell r="AR683">
            <v>0</v>
          </cell>
          <cell r="AS683">
            <v>0</v>
          </cell>
          <cell r="AT683">
            <v>0</v>
          </cell>
          <cell r="AU683">
            <v>0</v>
          </cell>
          <cell r="AV683">
            <v>0</v>
          </cell>
          <cell r="AW683">
            <v>0</v>
          </cell>
          <cell r="AX683">
            <v>0</v>
          </cell>
          <cell r="AY683">
            <v>0</v>
          </cell>
          <cell r="AZ683">
            <v>0</v>
          </cell>
          <cell r="BA683">
            <v>0</v>
          </cell>
          <cell r="BB683">
            <v>0</v>
          </cell>
          <cell r="BC683">
            <v>0</v>
          </cell>
          <cell r="BD683">
            <v>0</v>
          </cell>
          <cell r="BE683">
            <v>0</v>
          </cell>
          <cell r="BF683">
            <v>0</v>
          </cell>
          <cell r="BG683">
            <v>192</v>
          </cell>
          <cell r="BH683">
            <v>0</v>
          </cell>
          <cell r="BI683">
            <v>0</v>
          </cell>
          <cell r="BJ683">
            <v>-1</v>
          </cell>
          <cell r="BL683">
            <v>4</v>
          </cell>
          <cell r="BM683">
            <v>4</v>
          </cell>
          <cell r="BN683">
            <v>4</v>
          </cell>
          <cell r="BO683" t="str">
            <v>12Đ</v>
          </cell>
          <cell r="BP683">
            <v>2</v>
          </cell>
          <cell r="BQ683">
            <v>4</v>
          </cell>
          <cell r="BR683">
            <v>4</v>
          </cell>
          <cell r="BS683">
            <v>4</v>
          </cell>
          <cell r="BT683">
            <v>3</v>
          </cell>
          <cell r="BU683">
            <v>4</v>
          </cell>
          <cell r="BV683" t="str">
            <v>12Đ</v>
          </cell>
          <cell r="BW683">
            <v>4</v>
          </cell>
          <cell r="BX683">
            <v>4</v>
          </cell>
          <cell r="BY683">
            <v>4</v>
          </cell>
          <cell r="BZ683">
            <v>4</v>
          </cell>
          <cell r="CA683">
            <v>4</v>
          </cell>
          <cell r="CB683">
            <v>4</v>
          </cell>
          <cell r="CC683">
            <v>0</v>
          </cell>
          <cell r="CD683">
            <v>4</v>
          </cell>
          <cell r="CE683">
            <v>4</v>
          </cell>
          <cell r="CF683">
            <v>4</v>
          </cell>
          <cell r="CG683">
            <v>2</v>
          </cell>
          <cell r="CH683">
            <v>4</v>
          </cell>
          <cell r="CI683">
            <v>4</v>
          </cell>
          <cell r="CJ683">
            <v>12</v>
          </cell>
          <cell r="CK683">
            <v>4</v>
          </cell>
          <cell r="CL683">
            <v>4</v>
          </cell>
          <cell r="CM683">
            <v>4</v>
          </cell>
          <cell r="CR683">
            <v>0</v>
          </cell>
          <cell r="CS683">
            <v>0</v>
          </cell>
          <cell r="CT683">
            <v>91</v>
          </cell>
          <cell r="CU683">
            <v>20</v>
          </cell>
          <cell r="CV683">
            <v>16</v>
          </cell>
          <cell r="CZ683">
            <v>127</v>
          </cell>
        </row>
        <row r="684">
          <cell r="C684" t="str">
            <v>04047</v>
          </cell>
          <cell r="D684" t="str">
            <v>Danh Tấn Đức</v>
          </cell>
          <cell r="E684" t="str">
            <v>Foaming</v>
          </cell>
          <cell r="F684" t="str">
            <v>FOAMING Splitting</v>
          </cell>
          <cell r="G684" t="str">
            <v>Worker</v>
          </cell>
          <cell r="H684">
            <v>45358</v>
          </cell>
          <cell r="I684">
            <v>8</v>
          </cell>
          <cell r="J684">
            <v>8</v>
          </cell>
          <cell r="K684">
            <v>8</v>
          </cell>
          <cell r="L684" t="str">
            <v>CN</v>
          </cell>
          <cell r="M684">
            <v>8</v>
          </cell>
          <cell r="N684">
            <v>8</v>
          </cell>
          <cell r="O684">
            <v>8</v>
          </cell>
          <cell r="P684">
            <v>8</v>
          </cell>
          <cell r="Q684">
            <v>8</v>
          </cell>
          <cell r="R684">
            <v>8</v>
          </cell>
          <cell r="S684" t="str">
            <v>CN</v>
          </cell>
          <cell r="T684">
            <v>8</v>
          </cell>
          <cell r="U684">
            <v>8</v>
          </cell>
          <cell r="V684">
            <v>8</v>
          </cell>
          <cell r="W684">
            <v>8</v>
          </cell>
          <cell r="X684">
            <v>8</v>
          </cell>
          <cell r="Y684">
            <v>8</v>
          </cell>
          <cell r="Z684" t="str">
            <v>CN</v>
          </cell>
          <cell r="AA684" t="str">
            <v>Đ</v>
          </cell>
          <cell r="AB684" t="str">
            <v>Đ</v>
          </cell>
          <cell r="AC684" t="str">
            <v>Đ</v>
          </cell>
          <cell r="AD684" t="str">
            <v>Đ</v>
          </cell>
          <cell r="AE684" t="str">
            <v>Đ</v>
          </cell>
          <cell r="AF684" t="str">
            <v>Đ</v>
          </cell>
          <cell r="AG684" t="str">
            <v>CN</v>
          </cell>
          <cell r="AH684" t="str">
            <v>Đ</v>
          </cell>
          <cell r="AI684" t="str">
            <v>AL8</v>
          </cell>
          <cell r="AJ684" t="str">
            <v>Đ</v>
          </cell>
          <cell r="AN684">
            <v>64</v>
          </cell>
          <cell r="AO684">
            <v>120</v>
          </cell>
          <cell r="AP684">
            <v>0</v>
          </cell>
          <cell r="AQ684">
            <v>0</v>
          </cell>
          <cell r="AR684">
            <v>0</v>
          </cell>
          <cell r="AS684">
            <v>0</v>
          </cell>
          <cell r="AT684">
            <v>0</v>
          </cell>
          <cell r="AU684">
            <v>0</v>
          </cell>
          <cell r="AV684">
            <v>0</v>
          </cell>
          <cell r="AW684">
            <v>0</v>
          </cell>
          <cell r="AX684">
            <v>0</v>
          </cell>
          <cell r="AY684">
            <v>0</v>
          </cell>
          <cell r="AZ684">
            <v>0</v>
          </cell>
          <cell r="BA684">
            <v>8</v>
          </cell>
          <cell r="BB684">
            <v>0</v>
          </cell>
          <cell r="BC684">
            <v>0</v>
          </cell>
          <cell r="BD684">
            <v>0</v>
          </cell>
          <cell r="BE684">
            <v>0</v>
          </cell>
          <cell r="BF684">
            <v>0</v>
          </cell>
          <cell r="BG684">
            <v>192</v>
          </cell>
          <cell r="BH684">
            <v>1</v>
          </cell>
          <cell r="BI684">
            <v>1</v>
          </cell>
          <cell r="BJ684">
            <v>1</v>
          </cell>
          <cell r="BL684">
            <v>4</v>
          </cell>
          <cell r="BM684">
            <v>4</v>
          </cell>
          <cell r="BN684">
            <v>4</v>
          </cell>
          <cell r="BO684">
            <v>12</v>
          </cell>
          <cell r="BP684">
            <v>0</v>
          </cell>
          <cell r="BQ684">
            <v>4</v>
          </cell>
          <cell r="BR684">
            <v>0</v>
          </cell>
          <cell r="BS684">
            <v>4</v>
          </cell>
          <cell r="BT684">
            <v>4</v>
          </cell>
          <cell r="BU684">
            <v>4</v>
          </cell>
          <cell r="BV684">
            <v>12</v>
          </cell>
          <cell r="BW684">
            <v>4</v>
          </cell>
          <cell r="BX684">
            <v>4</v>
          </cell>
          <cell r="BY684">
            <v>4</v>
          </cell>
          <cell r="BZ684">
            <v>4</v>
          </cell>
          <cell r="CA684">
            <v>4</v>
          </cell>
          <cell r="CB684">
            <v>4</v>
          </cell>
          <cell r="CC684" t="str">
            <v>12Đ</v>
          </cell>
          <cell r="CD684">
            <v>4</v>
          </cell>
          <cell r="CE684">
            <v>4</v>
          </cell>
          <cell r="CF684">
            <v>4</v>
          </cell>
          <cell r="CG684">
            <v>4</v>
          </cell>
          <cell r="CH684">
            <v>4</v>
          </cell>
          <cell r="CI684">
            <v>4</v>
          </cell>
          <cell r="CJ684" t="str">
            <v>12Đ</v>
          </cell>
          <cell r="CK684">
            <v>4</v>
          </cell>
          <cell r="CL684">
            <v>0</v>
          </cell>
          <cell r="CM684">
            <v>4</v>
          </cell>
          <cell r="CR684">
            <v>0</v>
          </cell>
          <cell r="CS684">
            <v>0</v>
          </cell>
          <cell r="CT684">
            <v>84</v>
          </cell>
          <cell r="CU684">
            <v>32</v>
          </cell>
          <cell r="CV684">
            <v>16</v>
          </cell>
          <cell r="CZ684">
            <v>132</v>
          </cell>
        </row>
        <row r="685">
          <cell r="C685" t="str">
            <v>04048</v>
          </cell>
          <cell r="D685" t="str">
            <v>Phạm Thị Thủy Tiên</v>
          </cell>
          <cell r="E685" t="str">
            <v>Production</v>
          </cell>
          <cell r="F685" t="str">
            <v>Molding</v>
          </cell>
          <cell r="G685" t="str">
            <v>Worker</v>
          </cell>
          <cell r="H685">
            <v>45369</v>
          </cell>
          <cell r="I685" t="str">
            <v>Đ</v>
          </cell>
          <cell r="J685" t="str">
            <v>Đ</v>
          </cell>
          <cell r="K685" t="str">
            <v>CN</v>
          </cell>
          <cell r="L685">
            <v>8</v>
          </cell>
          <cell r="M685">
            <v>8</v>
          </cell>
          <cell r="N685">
            <v>8</v>
          </cell>
          <cell r="O685">
            <v>8</v>
          </cell>
          <cell r="P685">
            <v>8</v>
          </cell>
          <cell r="Q685">
            <v>8</v>
          </cell>
          <cell r="R685" t="str">
            <v>CN</v>
          </cell>
          <cell r="S685" t="str">
            <v>Đ</v>
          </cell>
          <cell r="T685" t="str">
            <v>Đ</v>
          </cell>
          <cell r="U685" t="str">
            <v>Đ</v>
          </cell>
          <cell r="V685" t="str">
            <v>Đ</v>
          </cell>
          <cell r="W685" t="str">
            <v>Đ</v>
          </cell>
          <cell r="X685" t="str">
            <v>Đ</v>
          </cell>
          <cell r="Y685" t="str">
            <v>CN</v>
          </cell>
          <cell r="Z685">
            <v>8</v>
          </cell>
          <cell r="AA685">
            <v>8</v>
          </cell>
          <cell r="AB685">
            <v>8</v>
          </cell>
          <cell r="AC685">
            <v>8</v>
          </cell>
          <cell r="AD685">
            <v>8</v>
          </cell>
          <cell r="AE685">
            <v>8</v>
          </cell>
          <cell r="AF685" t="str">
            <v>CN</v>
          </cell>
          <cell r="AG685" t="str">
            <v>Đ</v>
          </cell>
          <cell r="AH685" t="str">
            <v>Đ</v>
          </cell>
          <cell r="AI685" t="str">
            <v>Đ</v>
          </cell>
          <cell r="AJ685" t="str">
            <v>Đ</v>
          </cell>
          <cell r="AN685">
            <v>96</v>
          </cell>
          <cell r="AO685">
            <v>96</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192</v>
          </cell>
          <cell r="BH685">
            <v>0</v>
          </cell>
          <cell r="BI685">
            <v>0</v>
          </cell>
          <cell r="BJ685">
            <v>-1</v>
          </cell>
          <cell r="BL685">
            <v>0</v>
          </cell>
          <cell r="BM685">
            <v>0</v>
          </cell>
          <cell r="BN685">
            <v>0</v>
          </cell>
          <cell r="BO685">
            <v>4</v>
          </cell>
          <cell r="BP685">
            <v>0</v>
          </cell>
          <cell r="BQ685">
            <v>0</v>
          </cell>
          <cell r="BR685">
            <v>0</v>
          </cell>
          <cell r="BS685">
            <v>0</v>
          </cell>
          <cell r="BT685">
            <v>4</v>
          </cell>
          <cell r="BU685">
            <v>0</v>
          </cell>
          <cell r="BV685">
            <v>0</v>
          </cell>
          <cell r="BW685">
            <v>0</v>
          </cell>
          <cell r="BX685">
            <v>4</v>
          </cell>
          <cell r="BY685">
            <v>0</v>
          </cell>
          <cell r="BZ685">
            <v>0</v>
          </cell>
          <cell r="CA685">
            <v>4</v>
          </cell>
          <cell r="CB685">
            <v>0</v>
          </cell>
          <cell r="CC685">
            <v>4</v>
          </cell>
          <cell r="CD685">
            <v>0</v>
          </cell>
          <cell r="CE685">
            <v>0</v>
          </cell>
          <cell r="CF685">
            <v>0</v>
          </cell>
          <cell r="CG685">
            <v>4</v>
          </cell>
          <cell r="CH685">
            <v>4</v>
          </cell>
          <cell r="CI685">
            <v>0</v>
          </cell>
          <cell r="CJ685">
            <v>4</v>
          </cell>
          <cell r="CK685">
            <v>0</v>
          </cell>
          <cell r="CL685">
            <v>0</v>
          </cell>
          <cell r="CM685">
            <v>0</v>
          </cell>
          <cell r="CR685">
            <v>0</v>
          </cell>
          <cell r="CS685">
            <v>0</v>
          </cell>
          <cell r="CT685">
            <v>32</v>
          </cell>
          <cell r="CU685">
            <v>0</v>
          </cell>
          <cell r="CV685">
            <v>0</v>
          </cell>
          <cell r="CZ685">
            <v>32</v>
          </cell>
        </row>
        <row r="686">
          <cell r="C686" t="str">
            <v>04049</v>
          </cell>
          <cell r="D686" t="str">
            <v>Võ Hoàng Linh</v>
          </cell>
          <cell r="E686" t="str">
            <v>Production</v>
          </cell>
          <cell r="F686" t="str">
            <v>Molding</v>
          </cell>
          <cell r="G686" t="str">
            <v>Worker</v>
          </cell>
          <cell r="H686">
            <v>45369</v>
          </cell>
          <cell r="I686">
            <v>8</v>
          </cell>
          <cell r="J686" t="str">
            <v>UP8</v>
          </cell>
          <cell r="K686" t="str">
            <v>UP8</v>
          </cell>
          <cell r="L686" t="str">
            <v>CN</v>
          </cell>
          <cell r="M686">
            <v>8</v>
          </cell>
          <cell r="N686" t="str">
            <v>UP8</v>
          </cell>
          <cell r="O686" t="str">
            <v>UP8</v>
          </cell>
          <cell r="P686" t="str">
            <v>UP8</v>
          </cell>
          <cell r="Q686" t="str">
            <v>UP8</v>
          </cell>
          <cell r="R686" t="str">
            <v>UP8</v>
          </cell>
          <cell r="S686" t="str">
            <v>CN</v>
          </cell>
          <cell r="T686" t="str">
            <v>UP8</v>
          </cell>
          <cell r="U686" t="str">
            <v>UP8</v>
          </cell>
          <cell r="V686" t="str">
            <v>UP8</v>
          </cell>
          <cell r="W686" t="str">
            <v>NP</v>
          </cell>
          <cell r="X686" t="str">
            <v>NP</v>
          </cell>
          <cell r="Y686" t="str">
            <v>NP</v>
          </cell>
          <cell r="Z686" t="str">
            <v>CN</v>
          </cell>
          <cell r="AA686" t="str">
            <v>NP</v>
          </cell>
          <cell r="AB686" t="str">
            <v>NP</v>
          </cell>
          <cell r="AC686" t="str">
            <v>TV</v>
          </cell>
          <cell r="AD686" t="str">
            <v>TV</v>
          </cell>
          <cell r="AE686" t="str">
            <v>TV</v>
          </cell>
          <cell r="AF686" t="str">
            <v>TV</v>
          </cell>
          <cell r="AG686" t="str">
            <v>TV</v>
          </cell>
          <cell r="AH686" t="str">
            <v>TV</v>
          </cell>
          <cell r="AI686" t="str">
            <v>TV</v>
          </cell>
          <cell r="AJ686" t="str">
            <v>TV</v>
          </cell>
          <cell r="AN686">
            <v>0</v>
          </cell>
          <cell r="AO686">
            <v>16</v>
          </cell>
          <cell r="AP686">
            <v>0</v>
          </cell>
          <cell r="AQ686">
            <v>0</v>
          </cell>
          <cell r="AR686">
            <v>0</v>
          </cell>
          <cell r="AS686">
            <v>80</v>
          </cell>
          <cell r="AT686">
            <v>5</v>
          </cell>
          <cell r="AU686">
            <v>0</v>
          </cell>
          <cell r="AV686">
            <v>0</v>
          </cell>
          <cell r="AW686">
            <v>0</v>
          </cell>
          <cell r="AX686">
            <v>0</v>
          </cell>
          <cell r="AY686">
            <v>0</v>
          </cell>
          <cell r="AZ686">
            <v>0</v>
          </cell>
          <cell r="BA686">
            <v>0</v>
          </cell>
          <cell r="BB686">
            <v>0</v>
          </cell>
          <cell r="BC686">
            <v>0</v>
          </cell>
          <cell r="BD686">
            <v>0</v>
          </cell>
          <cell r="BE686">
            <v>0</v>
          </cell>
          <cell r="BF686">
            <v>0</v>
          </cell>
          <cell r="BG686">
            <v>16</v>
          </cell>
          <cell r="BH686">
            <v>0</v>
          </cell>
          <cell r="BI686">
            <v>0</v>
          </cell>
          <cell r="BJ686">
            <v>1</v>
          </cell>
          <cell r="BL686">
            <v>0</v>
          </cell>
          <cell r="BM686">
            <v>0</v>
          </cell>
          <cell r="BN686">
            <v>0</v>
          </cell>
          <cell r="BO686">
            <v>0</v>
          </cell>
          <cell r="BP686">
            <v>0</v>
          </cell>
          <cell r="BQ686">
            <v>0</v>
          </cell>
          <cell r="BR686">
            <v>0</v>
          </cell>
          <cell r="BS686">
            <v>0</v>
          </cell>
          <cell r="BT686">
            <v>0</v>
          </cell>
          <cell r="BU686">
            <v>0</v>
          </cell>
          <cell r="BV686">
            <v>0</v>
          </cell>
          <cell r="BW686">
            <v>0</v>
          </cell>
          <cell r="BX686">
            <v>0</v>
          </cell>
          <cell r="BY686">
            <v>0</v>
          </cell>
          <cell r="BZ686">
            <v>0</v>
          </cell>
          <cell r="CA686">
            <v>0</v>
          </cell>
          <cell r="CB686">
            <v>0</v>
          </cell>
          <cell r="CC686">
            <v>0</v>
          </cell>
          <cell r="CD686">
            <v>0</v>
          </cell>
          <cell r="CE686">
            <v>0</v>
          </cell>
          <cell r="CF686">
            <v>0</v>
          </cell>
          <cell r="CG686">
            <v>0</v>
          </cell>
          <cell r="CH686">
            <v>0</v>
          </cell>
          <cell r="CI686">
            <v>0</v>
          </cell>
          <cell r="CJ686">
            <v>0</v>
          </cell>
          <cell r="CK686">
            <v>0</v>
          </cell>
          <cell r="CL686">
            <v>0</v>
          </cell>
          <cell r="CM686">
            <v>0</v>
          </cell>
          <cell r="CR686">
            <v>0</v>
          </cell>
          <cell r="CS686">
            <v>0</v>
          </cell>
          <cell r="CT686">
            <v>0</v>
          </cell>
          <cell r="CU686">
            <v>0</v>
          </cell>
          <cell r="CV686">
            <v>0</v>
          </cell>
          <cell r="CZ686">
            <v>0</v>
          </cell>
        </row>
        <row r="687">
          <cell r="C687" t="str">
            <v>04050</v>
          </cell>
          <cell r="D687" t="str">
            <v>Vương Thúy Oanh</v>
          </cell>
          <cell r="E687" t="str">
            <v>Production</v>
          </cell>
          <cell r="F687" t="str">
            <v>Molding</v>
          </cell>
          <cell r="G687" t="str">
            <v>Worker</v>
          </cell>
          <cell r="H687">
            <v>45369</v>
          </cell>
          <cell r="I687">
            <v>8</v>
          </cell>
          <cell r="J687">
            <v>8</v>
          </cell>
          <cell r="K687" t="str">
            <v>CN</v>
          </cell>
          <cell r="L687">
            <v>8</v>
          </cell>
          <cell r="M687">
            <v>8</v>
          </cell>
          <cell r="N687">
            <v>8</v>
          </cell>
          <cell r="O687">
            <v>8</v>
          </cell>
          <cell r="P687">
            <v>8</v>
          </cell>
          <cell r="Q687" t="str">
            <v>PO</v>
          </cell>
          <cell r="R687" t="str">
            <v>CN</v>
          </cell>
          <cell r="S687">
            <v>8</v>
          </cell>
          <cell r="T687">
            <v>8</v>
          </cell>
          <cell r="U687">
            <v>8</v>
          </cell>
          <cell r="V687">
            <v>8</v>
          </cell>
          <cell r="W687">
            <v>8</v>
          </cell>
          <cell r="X687">
            <v>8</v>
          </cell>
          <cell r="Y687" t="str">
            <v>CN</v>
          </cell>
          <cell r="Z687">
            <v>8</v>
          </cell>
          <cell r="AA687">
            <v>8</v>
          </cell>
          <cell r="AB687">
            <v>8</v>
          </cell>
          <cell r="AC687">
            <v>8</v>
          </cell>
          <cell r="AD687">
            <v>8</v>
          </cell>
          <cell r="AE687">
            <v>8</v>
          </cell>
          <cell r="AF687" t="str">
            <v>CN</v>
          </cell>
          <cell r="AG687">
            <v>8</v>
          </cell>
          <cell r="AH687">
            <v>8</v>
          </cell>
          <cell r="AI687">
            <v>8</v>
          </cell>
          <cell r="AJ687">
            <v>8</v>
          </cell>
          <cell r="AN687">
            <v>0</v>
          </cell>
          <cell r="AO687">
            <v>184</v>
          </cell>
          <cell r="AP687">
            <v>0</v>
          </cell>
          <cell r="AQ687">
            <v>0</v>
          </cell>
          <cell r="AR687">
            <v>0</v>
          </cell>
          <cell r="AS687">
            <v>0</v>
          </cell>
          <cell r="AT687">
            <v>0</v>
          </cell>
          <cell r="AU687">
            <v>0</v>
          </cell>
          <cell r="AV687">
            <v>8</v>
          </cell>
          <cell r="AW687">
            <v>0</v>
          </cell>
          <cell r="AX687">
            <v>0</v>
          </cell>
          <cell r="AY687">
            <v>0</v>
          </cell>
          <cell r="AZ687">
            <v>0</v>
          </cell>
          <cell r="BA687">
            <v>0</v>
          </cell>
          <cell r="BB687">
            <v>0</v>
          </cell>
          <cell r="BC687">
            <v>0</v>
          </cell>
          <cell r="BD687">
            <v>0</v>
          </cell>
          <cell r="BE687">
            <v>0</v>
          </cell>
          <cell r="BF687">
            <v>0</v>
          </cell>
          <cell r="BG687">
            <v>192</v>
          </cell>
          <cell r="BH687">
            <v>0</v>
          </cell>
          <cell r="BI687">
            <v>0</v>
          </cell>
          <cell r="BJ687">
            <v>1.5</v>
          </cell>
          <cell r="BL687">
            <v>3</v>
          </cell>
          <cell r="BM687">
            <v>3</v>
          </cell>
          <cell r="BN687">
            <v>0</v>
          </cell>
          <cell r="BO687">
            <v>0</v>
          </cell>
          <cell r="BP687">
            <v>3</v>
          </cell>
          <cell r="BQ687">
            <v>3</v>
          </cell>
          <cell r="BR687">
            <v>3</v>
          </cell>
          <cell r="BS687">
            <v>3</v>
          </cell>
          <cell r="BT687">
            <v>0</v>
          </cell>
          <cell r="BU687">
            <v>0</v>
          </cell>
          <cell r="BV687">
            <v>0</v>
          </cell>
          <cell r="BW687">
            <v>3</v>
          </cell>
          <cell r="BX687">
            <v>3</v>
          </cell>
          <cell r="BY687">
            <v>0</v>
          </cell>
          <cell r="BZ687">
            <v>3</v>
          </cell>
          <cell r="CA687">
            <v>3</v>
          </cell>
          <cell r="CB687">
            <v>0</v>
          </cell>
          <cell r="CC687">
            <v>0</v>
          </cell>
          <cell r="CD687">
            <v>3</v>
          </cell>
          <cell r="CE687">
            <v>2</v>
          </cell>
          <cell r="CF687">
            <v>3</v>
          </cell>
          <cell r="CG687">
            <v>3</v>
          </cell>
          <cell r="CH687">
            <v>0</v>
          </cell>
          <cell r="CI687">
            <v>0</v>
          </cell>
          <cell r="CJ687">
            <v>0</v>
          </cell>
          <cell r="CK687">
            <v>4</v>
          </cell>
          <cell r="CL687">
            <v>3</v>
          </cell>
          <cell r="CM687">
            <v>4</v>
          </cell>
          <cell r="CR687">
            <v>0</v>
          </cell>
          <cell r="CS687">
            <v>0</v>
          </cell>
          <cell r="CT687">
            <v>52</v>
          </cell>
          <cell r="CU687">
            <v>0</v>
          </cell>
          <cell r="CV687">
            <v>0</v>
          </cell>
          <cell r="CZ687">
            <v>52</v>
          </cell>
        </row>
        <row r="688">
          <cell r="C688" t="str">
            <v>04051</v>
          </cell>
          <cell r="D688" t="str">
            <v>Trần Văn Nhu</v>
          </cell>
          <cell r="E688" t="str">
            <v>Production</v>
          </cell>
          <cell r="F688" t="str">
            <v>Molding</v>
          </cell>
          <cell r="G688" t="str">
            <v>Worker</v>
          </cell>
          <cell r="H688">
            <v>45369</v>
          </cell>
          <cell r="I688">
            <v>8</v>
          </cell>
          <cell r="J688" t="str">
            <v>CN</v>
          </cell>
          <cell r="K688" t="str">
            <v>Đ</v>
          </cell>
          <cell r="L688" t="str">
            <v>Đ</v>
          </cell>
          <cell r="M688" t="str">
            <v>SL</v>
          </cell>
          <cell r="N688" t="str">
            <v>AL8</v>
          </cell>
          <cell r="O688" t="str">
            <v>AL8</v>
          </cell>
          <cell r="P688" t="str">
            <v>Đ</v>
          </cell>
          <cell r="Q688" t="str">
            <v>CN</v>
          </cell>
          <cell r="R688">
            <v>8</v>
          </cell>
          <cell r="S688">
            <v>8</v>
          </cell>
          <cell r="T688">
            <v>8</v>
          </cell>
          <cell r="U688">
            <v>8</v>
          </cell>
          <cell r="V688">
            <v>8</v>
          </cell>
          <cell r="W688">
            <v>8</v>
          </cell>
          <cell r="X688" t="str">
            <v>CN</v>
          </cell>
          <cell r="Y688" t="str">
            <v>Đ</v>
          </cell>
          <cell r="Z688" t="str">
            <v>Đ</v>
          </cell>
          <cell r="AA688" t="str">
            <v>Đ</v>
          </cell>
          <cell r="AB688" t="str">
            <v>Đ</v>
          </cell>
          <cell r="AC688" t="str">
            <v>Đ</v>
          </cell>
          <cell r="AD688" t="str">
            <v>Đ</v>
          </cell>
          <cell r="AE688" t="str">
            <v>CN</v>
          </cell>
          <cell r="AF688">
            <v>8</v>
          </cell>
          <cell r="AG688">
            <v>8</v>
          </cell>
          <cell r="AH688">
            <v>8</v>
          </cell>
          <cell r="AI688">
            <v>8</v>
          </cell>
          <cell r="AJ688">
            <v>8</v>
          </cell>
          <cell r="AN688">
            <v>72</v>
          </cell>
          <cell r="AO688">
            <v>96</v>
          </cell>
          <cell r="AP688">
            <v>0</v>
          </cell>
          <cell r="AQ688">
            <v>1</v>
          </cell>
          <cell r="AR688">
            <v>0</v>
          </cell>
          <cell r="AS688">
            <v>0</v>
          </cell>
          <cell r="AT688">
            <v>0</v>
          </cell>
          <cell r="AU688">
            <v>0</v>
          </cell>
          <cell r="AV688">
            <v>0</v>
          </cell>
          <cell r="AW688">
            <v>0</v>
          </cell>
          <cell r="AX688">
            <v>0</v>
          </cell>
          <cell r="AY688">
            <v>0</v>
          </cell>
          <cell r="AZ688">
            <v>0</v>
          </cell>
          <cell r="BA688">
            <v>16</v>
          </cell>
          <cell r="BB688">
            <v>0</v>
          </cell>
          <cell r="BC688">
            <v>0</v>
          </cell>
          <cell r="BD688">
            <v>0</v>
          </cell>
          <cell r="BE688">
            <v>0</v>
          </cell>
          <cell r="BF688">
            <v>0</v>
          </cell>
          <cell r="BG688">
            <v>184</v>
          </cell>
          <cell r="BH688">
            <v>2</v>
          </cell>
          <cell r="BI688">
            <v>2</v>
          </cell>
          <cell r="BJ688">
            <v>-0.5</v>
          </cell>
          <cell r="BL688">
            <v>0</v>
          </cell>
          <cell r="BM688">
            <v>0</v>
          </cell>
          <cell r="BN688">
            <v>4</v>
          </cell>
          <cell r="BO688">
            <v>4</v>
          </cell>
          <cell r="BP688">
            <v>0</v>
          </cell>
          <cell r="BQ688">
            <v>0</v>
          </cell>
          <cell r="BR688">
            <v>0</v>
          </cell>
          <cell r="BS688">
            <v>0</v>
          </cell>
          <cell r="BT688">
            <v>0</v>
          </cell>
          <cell r="BU688">
            <v>4</v>
          </cell>
          <cell r="BV688">
            <v>4</v>
          </cell>
          <cell r="BW688">
            <v>0</v>
          </cell>
          <cell r="BX688">
            <v>0</v>
          </cell>
          <cell r="BY688">
            <v>0</v>
          </cell>
          <cell r="BZ688">
            <v>0</v>
          </cell>
          <cell r="CA688">
            <v>0</v>
          </cell>
          <cell r="CB688">
            <v>4</v>
          </cell>
          <cell r="CC688">
            <v>4</v>
          </cell>
          <cell r="CD688">
            <v>0</v>
          </cell>
          <cell r="CE688">
            <v>0</v>
          </cell>
          <cell r="CF688">
            <v>0</v>
          </cell>
          <cell r="CG688">
            <v>0</v>
          </cell>
          <cell r="CH688">
            <v>0</v>
          </cell>
          <cell r="CI688">
            <v>4</v>
          </cell>
          <cell r="CJ688">
            <v>4</v>
          </cell>
          <cell r="CK688">
            <v>0</v>
          </cell>
          <cell r="CL688">
            <v>0</v>
          </cell>
          <cell r="CM688">
            <v>0</v>
          </cell>
          <cell r="CR688">
            <v>0</v>
          </cell>
          <cell r="CS688">
            <v>0</v>
          </cell>
          <cell r="CT688">
            <v>32</v>
          </cell>
          <cell r="CU688">
            <v>0</v>
          </cell>
          <cell r="CV688">
            <v>0</v>
          </cell>
          <cell r="CZ688">
            <v>32</v>
          </cell>
        </row>
        <row r="689">
          <cell r="C689" t="str">
            <v>04052</v>
          </cell>
          <cell r="D689" t="str">
            <v>Nguyễn Thị Thảo</v>
          </cell>
          <cell r="E689" t="str">
            <v>Production</v>
          </cell>
          <cell r="F689" t="str">
            <v>Molding</v>
          </cell>
          <cell r="G689" t="str">
            <v>Worker</v>
          </cell>
          <cell r="H689">
            <v>45369</v>
          </cell>
          <cell r="I689" t="str">
            <v>AL4Đ</v>
          </cell>
          <cell r="J689" t="str">
            <v>M</v>
          </cell>
          <cell r="K689" t="str">
            <v>M</v>
          </cell>
          <cell r="L689" t="str">
            <v>CN</v>
          </cell>
          <cell r="M689">
            <v>8</v>
          </cell>
          <cell r="N689">
            <v>8</v>
          </cell>
          <cell r="O689">
            <v>8</v>
          </cell>
          <cell r="P689">
            <v>8</v>
          </cell>
          <cell r="Q689">
            <v>8</v>
          </cell>
          <cell r="R689">
            <v>8</v>
          </cell>
          <cell r="S689" t="str">
            <v>CN</v>
          </cell>
          <cell r="T689">
            <v>8</v>
          </cell>
          <cell r="U689">
            <v>8</v>
          </cell>
          <cell r="V689">
            <v>8</v>
          </cell>
          <cell r="W689">
            <v>8</v>
          </cell>
          <cell r="X689">
            <v>8</v>
          </cell>
          <cell r="Y689">
            <v>8</v>
          </cell>
          <cell r="Z689" t="str">
            <v>CN</v>
          </cell>
          <cell r="AA689">
            <v>8</v>
          </cell>
          <cell r="AB689">
            <v>8</v>
          </cell>
          <cell r="AC689">
            <v>8</v>
          </cell>
          <cell r="AD689" t="str">
            <v>M</v>
          </cell>
          <cell r="AE689" t="str">
            <v>M</v>
          </cell>
          <cell r="AF689" t="str">
            <v>AL8</v>
          </cell>
          <cell r="AG689" t="str">
            <v>CN</v>
          </cell>
          <cell r="AH689" t="str">
            <v>AL8</v>
          </cell>
          <cell r="AI689">
            <v>8</v>
          </cell>
          <cell r="AJ689">
            <v>8</v>
          </cell>
          <cell r="AN689">
            <v>4</v>
          </cell>
          <cell r="AO689">
            <v>136</v>
          </cell>
          <cell r="AP689">
            <v>0</v>
          </cell>
          <cell r="AQ689">
            <v>0</v>
          </cell>
          <cell r="AR689">
            <v>0</v>
          </cell>
          <cell r="AS689">
            <v>0</v>
          </cell>
          <cell r="AT689">
            <v>0</v>
          </cell>
          <cell r="AU689">
            <v>0</v>
          </cell>
          <cell r="AV689">
            <v>0</v>
          </cell>
          <cell r="AW689">
            <v>0</v>
          </cell>
          <cell r="AX689">
            <v>32</v>
          </cell>
          <cell r="AY689">
            <v>0</v>
          </cell>
          <cell r="AZ689">
            <v>0</v>
          </cell>
          <cell r="BA689">
            <v>20</v>
          </cell>
          <cell r="BB689">
            <v>0</v>
          </cell>
          <cell r="BC689">
            <v>0</v>
          </cell>
          <cell r="BD689">
            <v>0</v>
          </cell>
          <cell r="BE689">
            <v>0</v>
          </cell>
          <cell r="BF689">
            <v>0</v>
          </cell>
          <cell r="BG689">
            <v>160</v>
          </cell>
          <cell r="BH689">
            <v>2.5</v>
          </cell>
          <cell r="BI689">
            <v>2.5</v>
          </cell>
          <cell r="BJ689">
            <v>-0.5</v>
          </cell>
          <cell r="BL689">
            <v>0</v>
          </cell>
          <cell r="BM689">
            <v>0</v>
          </cell>
          <cell r="BN689">
            <v>0</v>
          </cell>
          <cell r="BO689">
            <v>0</v>
          </cell>
          <cell r="BP689">
            <v>0</v>
          </cell>
          <cell r="BQ689">
            <v>0</v>
          </cell>
          <cell r="BR689">
            <v>0</v>
          </cell>
          <cell r="BS689">
            <v>0</v>
          </cell>
          <cell r="BT689">
            <v>0</v>
          </cell>
          <cell r="BU689">
            <v>0</v>
          </cell>
          <cell r="BV689">
            <v>0</v>
          </cell>
          <cell r="BW689">
            <v>0</v>
          </cell>
          <cell r="BX689">
            <v>0</v>
          </cell>
          <cell r="BY689">
            <v>0</v>
          </cell>
          <cell r="BZ689">
            <v>0</v>
          </cell>
          <cell r="CA689">
            <v>0</v>
          </cell>
          <cell r="CB689">
            <v>0</v>
          </cell>
          <cell r="CC689">
            <v>0</v>
          </cell>
          <cell r="CD689">
            <v>0</v>
          </cell>
          <cell r="CE689">
            <v>0</v>
          </cell>
          <cell r="CF689">
            <v>0</v>
          </cell>
          <cell r="CG689">
            <v>0</v>
          </cell>
          <cell r="CH689">
            <v>0</v>
          </cell>
          <cell r="CI689">
            <v>0</v>
          </cell>
          <cell r="CJ689">
            <v>0</v>
          </cell>
          <cell r="CK689">
            <v>0</v>
          </cell>
          <cell r="CL689">
            <v>0</v>
          </cell>
          <cell r="CM689">
            <v>0</v>
          </cell>
          <cell r="CR689">
            <v>0</v>
          </cell>
          <cell r="CS689">
            <v>0</v>
          </cell>
          <cell r="CT689">
            <v>0</v>
          </cell>
          <cell r="CU689">
            <v>0</v>
          </cell>
          <cell r="CV689">
            <v>0</v>
          </cell>
          <cell r="CZ689">
            <v>0</v>
          </cell>
        </row>
        <row r="690">
          <cell r="C690" t="str">
            <v>04054</v>
          </cell>
          <cell r="D690" t="str">
            <v>Phạm Tuân</v>
          </cell>
          <cell r="E690" t="str">
            <v>Production</v>
          </cell>
          <cell r="F690" t="str">
            <v>Die Cut</v>
          </cell>
          <cell r="G690" t="str">
            <v>Worker</v>
          </cell>
          <cell r="H690">
            <v>45369</v>
          </cell>
          <cell r="I690">
            <v>8</v>
          </cell>
          <cell r="J690">
            <v>8</v>
          </cell>
          <cell r="K690">
            <v>8</v>
          </cell>
          <cell r="L690" t="str">
            <v>CN</v>
          </cell>
          <cell r="M690" t="str">
            <v>Đ</v>
          </cell>
          <cell r="N690" t="str">
            <v>Đ</v>
          </cell>
          <cell r="O690" t="str">
            <v>Đ</v>
          </cell>
          <cell r="P690" t="str">
            <v>Đ</v>
          </cell>
          <cell r="Q690" t="str">
            <v>Đ</v>
          </cell>
          <cell r="R690" t="str">
            <v>Đ</v>
          </cell>
          <cell r="S690" t="str">
            <v>CN</v>
          </cell>
          <cell r="T690">
            <v>8</v>
          </cell>
          <cell r="U690">
            <v>8</v>
          </cell>
          <cell r="V690">
            <v>8</v>
          </cell>
          <cell r="W690">
            <v>8</v>
          </cell>
          <cell r="X690">
            <v>8</v>
          </cell>
          <cell r="Y690">
            <v>8</v>
          </cell>
          <cell r="Z690" t="str">
            <v>CN</v>
          </cell>
          <cell r="AA690" t="str">
            <v>Đ</v>
          </cell>
          <cell r="AB690" t="str">
            <v>Đ</v>
          </cell>
          <cell r="AC690" t="str">
            <v>Đ</v>
          </cell>
          <cell r="AD690" t="str">
            <v>Đ</v>
          </cell>
          <cell r="AE690" t="str">
            <v>Đ</v>
          </cell>
          <cell r="AF690" t="str">
            <v>Đ</v>
          </cell>
          <cell r="AG690" t="str">
            <v>CN</v>
          </cell>
          <cell r="AH690">
            <v>8</v>
          </cell>
          <cell r="AI690">
            <v>8</v>
          </cell>
          <cell r="AJ690">
            <v>8</v>
          </cell>
          <cell r="AN690">
            <v>96</v>
          </cell>
          <cell r="AO690">
            <v>96</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192</v>
          </cell>
          <cell r="BH690">
            <v>0</v>
          </cell>
          <cell r="BI690">
            <v>0</v>
          </cell>
          <cell r="BJ690">
            <v>2.5</v>
          </cell>
          <cell r="BL690">
            <v>0</v>
          </cell>
          <cell r="BM690">
            <v>1.5</v>
          </cell>
          <cell r="BN690">
            <v>1.5</v>
          </cell>
          <cell r="BO690">
            <v>0</v>
          </cell>
          <cell r="BP690">
            <v>1.5</v>
          </cell>
          <cell r="BQ690">
            <v>3</v>
          </cell>
          <cell r="BR690">
            <v>0</v>
          </cell>
          <cell r="BS690">
            <v>3</v>
          </cell>
          <cell r="BT690">
            <v>0</v>
          </cell>
          <cell r="BU690">
            <v>0</v>
          </cell>
          <cell r="BV690">
            <v>0</v>
          </cell>
          <cell r="BW690">
            <v>0</v>
          </cell>
          <cell r="BX690">
            <v>3</v>
          </cell>
          <cell r="BY690">
            <v>3</v>
          </cell>
          <cell r="BZ690">
            <v>3</v>
          </cell>
          <cell r="CA690">
            <v>3</v>
          </cell>
          <cell r="CB690">
            <v>3</v>
          </cell>
          <cell r="CC690">
            <v>8</v>
          </cell>
          <cell r="CD690">
            <v>4</v>
          </cell>
          <cell r="CE690">
            <v>4</v>
          </cell>
          <cell r="CF690">
            <v>4</v>
          </cell>
          <cell r="CG690">
            <v>4</v>
          </cell>
          <cell r="CH690">
            <v>1.5</v>
          </cell>
          <cell r="CI690">
            <v>1.5</v>
          </cell>
          <cell r="CJ690">
            <v>0</v>
          </cell>
          <cell r="CK690">
            <v>1.5</v>
          </cell>
          <cell r="CL690">
            <v>1.5</v>
          </cell>
          <cell r="CM690">
            <v>1.5</v>
          </cell>
          <cell r="CR690">
            <v>0</v>
          </cell>
          <cell r="CS690">
            <v>0</v>
          </cell>
          <cell r="CT690">
            <v>49</v>
          </cell>
          <cell r="CU690">
            <v>8</v>
          </cell>
          <cell r="CV690">
            <v>0</v>
          </cell>
          <cell r="CZ690">
            <v>57</v>
          </cell>
        </row>
        <row r="691">
          <cell r="C691" t="str">
            <v>04055</v>
          </cell>
          <cell r="D691" t="str">
            <v>Nguyễn Thị Kiều Loan</v>
          </cell>
          <cell r="E691" t="str">
            <v>Production</v>
          </cell>
          <cell r="F691" t="str">
            <v>Logo</v>
          </cell>
          <cell r="G691" t="str">
            <v>Worker</v>
          </cell>
          <cell r="H691">
            <v>45369</v>
          </cell>
          <cell r="I691">
            <v>8</v>
          </cell>
          <cell r="J691">
            <v>8</v>
          </cell>
          <cell r="K691">
            <v>8</v>
          </cell>
          <cell r="L691" t="str">
            <v>CN</v>
          </cell>
          <cell r="M691" t="str">
            <v>Đ</v>
          </cell>
          <cell r="N691" t="str">
            <v>Đ</v>
          </cell>
          <cell r="O691" t="str">
            <v>Đ</v>
          </cell>
          <cell r="P691" t="str">
            <v>Đ</v>
          </cell>
          <cell r="Q691" t="str">
            <v>Đ</v>
          </cell>
          <cell r="R691" t="str">
            <v>Đ</v>
          </cell>
          <cell r="S691" t="str">
            <v>CN</v>
          </cell>
          <cell r="T691">
            <v>8</v>
          </cell>
          <cell r="U691" t="str">
            <v>AL8</v>
          </cell>
          <cell r="V691">
            <v>8</v>
          </cell>
          <cell r="W691">
            <v>8</v>
          </cell>
          <cell r="X691">
            <v>8</v>
          </cell>
          <cell r="Y691">
            <v>8</v>
          </cell>
          <cell r="Z691" t="str">
            <v>CN</v>
          </cell>
          <cell r="AA691" t="str">
            <v>Đ</v>
          </cell>
          <cell r="AB691" t="str">
            <v>Đ</v>
          </cell>
          <cell r="AC691" t="str">
            <v>Đ</v>
          </cell>
          <cell r="AD691" t="str">
            <v>Đ</v>
          </cell>
          <cell r="AE691" t="str">
            <v>Đ</v>
          </cell>
          <cell r="AF691" t="str">
            <v>Đ</v>
          </cell>
          <cell r="AG691" t="str">
            <v>CN</v>
          </cell>
          <cell r="AH691">
            <v>8</v>
          </cell>
          <cell r="AI691">
            <v>8</v>
          </cell>
          <cell r="AJ691">
            <v>8</v>
          </cell>
          <cell r="AN691">
            <v>96</v>
          </cell>
          <cell r="AO691">
            <v>88</v>
          </cell>
          <cell r="AP691">
            <v>0</v>
          </cell>
          <cell r="AQ691">
            <v>0</v>
          </cell>
          <cell r="AR691">
            <v>0</v>
          </cell>
          <cell r="AS691">
            <v>0</v>
          </cell>
          <cell r="AT691">
            <v>0</v>
          </cell>
          <cell r="AU691">
            <v>0</v>
          </cell>
          <cell r="AV691">
            <v>0</v>
          </cell>
          <cell r="AW691">
            <v>0</v>
          </cell>
          <cell r="AX691">
            <v>0</v>
          </cell>
          <cell r="AY691">
            <v>0</v>
          </cell>
          <cell r="AZ691">
            <v>0</v>
          </cell>
          <cell r="BA691">
            <v>8</v>
          </cell>
          <cell r="BB691">
            <v>0</v>
          </cell>
          <cell r="BC691">
            <v>0</v>
          </cell>
          <cell r="BD691">
            <v>0</v>
          </cell>
          <cell r="BE691">
            <v>0</v>
          </cell>
          <cell r="BF691">
            <v>0</v>
          </cell>
          <cell r="BG691">
            <v>192</v>
          </cell>
          <cell r="BH691">
            <v>1</v>
          </cell>
          <cell r="BI691">
            <v>1</v>
          </cell>
          <cell r="BJ691">
            <v>0</v>
          </cell>
          <cell r="BL691">
            <v>1.5</v>
          </cell>
          <cell r="BM691">
            <v>1.5</v>
          </cell>
          <cell r="BN691">
            <v>1.5</v>
          </cell>
          <cell r="BO691">
            <v>0</v>
          </cell>
          <cell r="BP691">
            <v>2</v>
          </cell>
          <cell r="BQ691">
            <v>0</v>
          </cell>
          <cell r="BR691">
            <v>0</v>
          </cell>
          <cell r="BS691">
            <v>4</v>
          </cell>
          <cell r="BT691">
            <v>4</v>
          </cell>
          <cell r="BU691">
            <v>4</v>
          </cell>
          <cell r="BV691">
            <v>0</v>
          </cell>
          <cell r="BW691">
            <v>3</v>
          </cell>
          <cell r="BX691">
            <v>0</v>
          </cell>
          <cell r="BY691">
            <v>4</v>
          </cell>
          <cell r="BZ691">
            <v>3</v>
          </cell>
          <cell r="CA691">
            <v>4</v>
          </cell>
          <cell r="CB691">
            <v>3</v>
          </cell>
          <cell r="CC691">
            <v>8</v>
          </cell>
          <cell r="CD691">
            <v>4</v>
          </cell>
          <cell r="CE691">
            <v>4</v>
          </cell>
          <cell r="CF691">
            <v>4</v>
          </cell>
          <cell r="CG691">
            <v>4</v>
          </cell>
          <cell r="CH691">
            <v>4</v>
          </cell>
          <cell r="CI691">
            <v>3.5</v>
          </cell>
          <cell r="CJ691">
            <v>0</v>
          </cell>
          <cell r="CK691">
            <v>3</v>
          </cell>
          <cell r="CL691">
            <v>1</v>
          </cell>
          <cell r="CM691">
            <v>3</v>
          </cell>
          <cell r="CR691">
            <v>0</v>
          </cell>
          <cell r="CS691">
            <v>0</v>
          </cell>
          <cell r="CT691">
            <v>66</v>
          </cell>
          <cell r="CU691">
            <v>8</v>
          </cell>
          <cell r="CV691">
            <v>0</v>
          </cell>
          <cell r="CZ691">
            <v>74</v>
          </cell>
        </row>
        <row r="692">
          <cell r="C692" t="str">
            <v>04056</v>
          </cell>
          <cell r="D692" t="str">
            <v>Nguyễn Thị Huyền Trang</v>
          </cell>
          <cell r="E692" t="str">
            <v>Production</v>
          </cell>
          <cell r="F692" t="str">
            <v>Logo</v>
          </cell>
          <cell r="G692" t="str">
            <v>Worker</v>
          </cell>
          <cell r="H692">
            <v>45369</v>
          </cell>
          <cell r="I692">
            <v>8</v>
          </cell>
          <cell r="J692">
            <v>8</v>
          </cell>
          <cell r="K692">
            <v>8</v>
          </cell>
          <cell r="L692" t="str">
            <v>CN</v>
          </cell>
          <cell r="M692" t="str">
            <v>Đ</v>
          </cell>
          <cell r="N692" t="str">
            <v>Đ</v>
          </cell>
          <cell r="O692" t="str">
            <v>Đ</v>
          </cell>
          <cell r="P692" t="str">
            <v>Đ</v>
          </cell>
          <cell r="Q692" t="str">
            <v>Đ</v>
          </cell>
          <cell r="R692" t="str">
            <v>Đ</v>
          </cell>
          <cell r="S692" t="str">
            <v>CN</v>
          </cell>
          <cell r="T692">
            <v>8</v>
          </cell>
          <cell r="U692">
            <v>8</v>
          </cell>
          <cell r="V692">
            <v>8</v>
          </cell>
          <cell r="W692">
            <v>8</v>
          </cell>
          <cell r="X692">
            <v>8</v>
          </cell>
          <cell r="Y692">
            <v>8</v>
          </cell>
          <cell r="Z692" t="str">
            <v>CN</v>
          </cell>
          <cell r="AA692" t="str">
            <v>Đ</v>
          </cell>
          <cell r="AB692" t="str">
            <v>Đ</v>
          </cell>
          <cell r="AC692" t="str">
            <v>Đ</v>
          </cell>
          <cell r="AD692" t="str">
            <v>Đ</v>
          </cell>
          <cell r="AE692" t="str">
            <v>Đ</v>
          </cell>
          <cell r="AF692" t="str">
            <v>Đ</v>
          </cell>
          <cell r="AG692" t="str">
            <v>CN</v>
          </cell>
          <cell r="AH692">
            <v>8</v>
          </cell>
          <cell r="AI692">
            <v>8</v>
          </cell>
          <cell r="AJ692">
            <v>8</v>
          </cell>
          <cell r="AN692">
            <v>96</v>
          </cell>
          <cell r="AO692">
            <v>96</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192</v>
          </cell>
          <cell r="BH692">
            <v>0</v>
          </cell>
          <cell r="BI692">
            <v>0</v>
          </cell>
          <cell r="BJ692">
            <v>3</v>
          </cell>
          <cell r="BL692">
            <v>1.5</v>
          </cell>
          <cell r="BM692">
            <v>1.5</v>
          </cell>
          <cell r="BN692">
            <v>1.5</v>
          </cell>
          <cell r="BO692">
            <v>0</v>
          </cell>
          <cell r="BP692">
            <v>1.5</v>
          </cell>
          <cell r="BQ692">
            <v>0</v>
          </cell>
          <cell r="BR692">
            <v>0</v>
          </cell>
          <cell r="BS692">
            <v>4</v>
          </cell>
          <cell r="BT692">
            <v>3</v>
          </cell>
          <cell r="BU692">
            <v>4</v>
          </cell>
          <cell r="BV692">
            <v>0</v>
          </cell>
          <cell r="BW692">
            <v>3</v>
          </cell>
          <cell r="BX692">
            <v>3</v>
          </cell>
          <cell r="BY692">
            <v>3</v>
          </cell>
          <cell r="BZ692">
            <v>3</v>
          </cell>
          <cell r="CA692">
            <v>3</v>
          </cell>
          <cell r="CB692">
            <v>3</v>
          </cell>
          <cell r="CC692">
            <v>0</v>
          </cell>
          <cell r="CD692">
            <v>4</v>
          </cell>
          <cell r="CE692">
            <v>4</v>
          </cell>
          <cell r="CF692">
            <v>4</v>
          </cell>
          <cell r="CG692">
            <v>4</v>
          </cell>
          <cell r="CH692">
            <v>4</v>
          </cell>
          <cell r="CI692">
            <v>4</v>
          </cell>
          <cell r="CJ692">
            <v>0</v>
          </cell>
          <cell r="CK692">
            <v>3</v>
          </cell>
          <cell r="CL692">
            <v>3</v>
          </cell>
          <cell r="CM692">
            <v>3</v>
          </cell>
          <cell r="CR692">
            <v>0</v>
          </cell>
          <cell r="CS692">
            <v>0</v>
          </cell>
          <cell r="CT692">
            <v>68</v>
          </cell>
          <cell r="CU692">
            <v>0</v>
          </cell>
          <cell r="CV692">
            <v>0</v>
          </cell>
          <cell r="CZ692">
            <v>68</v>
          </cell>
        </row>
        <row r="693">
          <cell r="C693" t="str">
            <v>04057</v>
          </cell>
          <cell r="D693" t="str">
            <v>Nguyễn Thị Phương Hằng</v>
          </cell>
          <cell r="E693" t="str">
            <v>Production</v>
          </cell>
          <cell r="F693" t="str">
            <v>Logo</v>
          </cell>
          <cell r="G693" t="str">
            <v>Worker</v>
          </cell>
          <cell r="H693">
            <v>45369</v>
          </cell>
          <cell r="I693" t="str">
            <v>TV</v>
          </cell>
          <cell r="J693" t="str">
            <v>TV</v>
          </cell>
          <cell r="K693" t="str">
            <v>TV</v>
          </cell>
          <cell r="L693" t="str">
            <v>TV</v>
          </cell>
          <cell r="M693" t="str">
            <v>TV</v>
          </cell>
          <cell r="N693" t="str">
            <v>TV</v>
          </cell>
          <cell r="O693" t="str">
            <v>TV</v>
          </cell>
          <cell r="P693" t="str">
            <v>TV</v>
          </cell>
          <cell r="Q693" t="str">
            <v>TV</v>
          </cell>
          <cell r="R693" t="str">
            <v>TV</v>
          </cell>
          <cell r="S693" t="str">
            <v>TV</v>
          </cell>
          <cell r="T693" t="str">
            <v>TV</v>
          </cell>
          <cell r="U693" t="str">
            <v>TV</v>
          </cell>
          <cell r="V693" t="str">
            <v>TV</v>
          </cell>
          <cell r="W693" t="str">
            <v>TV</v>
          </cell>
          <cell r="X693" t="str">
            <v>TV</v>
          </cell>
          <cell r="Y693" t="str">
            <v>TV</v>
          </cell>
          <cell r="Z693" t="str">
            <v>TV</v>
          </cell>
          <cell r="AA693" t="str">
            <v>TV</v>
          </cell>
          <cell r="AB693" t="str">
            <v>TV</v>
          </cell>
          <cell r="AC693" t="str">
            <v>TV</v>
          </cell>
          <cell r="AD693" t="str">
            <v>TV</v>
          </cell>
          <cell r="AE693" t="str">
            <v>TV</v>
          </cell>
          <cell r="AF693" t="str">
            <v>TV</v>
          </cell>
          <cell r="AG693" t="str">
            <v>TV</v>
          </cell>
          <cell r="AH693" t="str">
            <v>TV</v>
          </cell>
          <cell r="AI693" t="str">
            <v>TV</v>
          </cell>
          <cell r="AJ693" t="str">
            <v>TV</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1</v>
          </cell>
          <cell r="BL693">
            <v>0</v>
          </cell>
          <cell r="BM693">
            <v>0</v>
          </cell>
          <cell r="BN693">
            <v>0</v>
          </cell>
          <cell r="BO693">
            <v>0</v>
          </cell>
          <cell r="BP693">
            <v>0</v>
          </cell>
          <cell r="BQ693">
            <v>0</v>
          </cell>
          <cell r="BR693">
            <v>0</v>
          </cell>
          <cell r="BS693">
            <v>0</v>
          </cell>
          <cell r="BT693">
            <v>0</v>
          </cell>
          <cell r="BU693">
            <v>0</v>
          </cell>
          <cell r="BV693">
            <v>0</v>
          </cell>
          <cell r="BW693">
            <v>0</v>
          </cell>
          <cell r="BX693">
            <v>0</v>
          </cell>
          <cell r="BY693">
            <v>0</v>
          </cell>
          <cell r="BZ693">
            <v>0</v>
          </cell>
          <cell r="CA693">
            <v>0</v>
          </cell>
          <cell r="CB693">
            <v>0</v>
          </cell>
          <cell r="CC693">
            <v>0</v>
          </cell>
          <cell r="CD693">
            <v>0</v>
          </cell>
          <cell r="CE693">
            <v>0</v>
          </cell>
          <cell r="CF693">
            <v>0</v>
          </cell>
          <cell r="CG693">
            <v>0</v>
          </cell>
          <cell r="CH693">
            <v>0</v>
          </cell>
          <cell r="CI693">
            <v>0</v>
          </cell>
          <cell r="CJ693">
            <v>0</v>
          </cell>
          <cell r="CK693">
            <v>0</v>
          </cell>
          <cell r="CL693">
            <v>0</v>
          </cell>
          <cell r="CM693">
            <v>0</v>
          </cell>
          <cell r="CR693">
            <v>0</v>
          </cell>
          <cell r="CS693">
            <v>0</v>
          </cell>
          <cell r="CT693">
            <v>0</v>
          </cell>
          <cell r="CU693">
            <v>0</v>
          </cell>
          <cell r="CV693">
            <v>0</v>
          </cell>
          <cell r="CZ693">
            <v>0</v>
          </cell>
        </row>
        <row r="694">
          <cell r="C694" t="str">
            <v>04058</v>
          </cell>
          <cell r="D694" t="str">
            <v>Võ Hồng Ảnh</v>
          </cell>
          <cell r="E694" t="str">
            <v>Production</v>
          </cell>
          <cell r="F694" t="str">
            <v>Logo</v>
          </cell>
          <cell r="G694" t="str">
            <v>Worker</v>
          </cell>
          <cell r="H694">
            <v>45369</v>
          </cell>
          <cell r="I694" t="str">
            <v>Đ</v>
          </cell>
          <cell r="J694" t="str">
            <v>Đ</v>
          </cell>
          <cell r="K694" t="str">
            <v>Đ</v>
          </cell>
          <cell r="L694" t="str">
            <v>CN</v>
          </cell>
          <cell r="M694">
            <v>8</v>
          </cell>
          <cell r="N694">
            <v>8</v>
          </cell>
          <cell r="O694">
            <v>8</v>
          </cell>
          <cell r="P694">
            <v>8</v>
          </cell>
          <cell r="Q694">
            <v>8</v>
          </cell>
          <cell r="R694">
            <v>8</v>
          </cell>
          <cell r="S694" t="str">
            <v>CN</v>
          </cell>
          <cell r="T694" t="str">
            <v>Đ</v>
          </cell>
          <cell r="U694" t="str">
            <v>Đ</v>
          </cell>
          <cell r="V694" t="str">
            <v>Đ</v>
          </cell>
          <cell r="W694" t="str">
            <v>Đ</v>
          </cell>
          <cell r="X694" t="str">
            <v>Đ</v>
          </cell>
          <cell r="Y694" t="str">
            <v>Đ</v>
          </cell>
          <cell r="Z694" t="str">
            <v>CN</v>
          </cell>
          <cell r="AA694">
            <v>8</v>
          </cell>
          <cell r="AB694">
            <v>8</v>
          </cell>
          <cell r="AC694">
            <v>8</v>
          </cell>
          <cell r="AD694">
            <v>8</v>
          </cell>
          <cell r="AE694">
            <v>8</v>
          </cell>
          <cell r="AF694">
            <v>8</v>
          </cell>
          <cell r="AG694" t="str">
            <v>CN</v>
          </cell>
          <cell r="AH694" t="str">
            <v>Đ</v>
          </cell>
          <cell r="AI694" t="str">
            <v>Đ</v>
          </cell>
          <cell r="AJ694" t="str">
            <v>Đ</v>
          </cell>
          <cell r="AN694">
            <v>96</v>
          </cell>
          <cell r="AO694">
            <v>96</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192</v>
          </cell>
          <cell r="BH694">
            <v>0</v>
          </cell>
          <cell r="BI694">
            <v>0</v>
          </cell>
          <cell r="BJ694">
            <v>2</v>
          </cell>
          <cell r="BL694">
            <v>1.5</v>
          </cell>
          <cell r="BM694">
            <v>1.5</v>
          </cell>
          <cell r="BN694">
            <v>1.5</v>
          </cell>
          <cell r="BO694">
            <v>0</v>
          </cell>
          <cell r="BP694">
            <v>1.5</v>
          </cell>
          <cell r="BQ694">
            <v>0</v>
          </cell>
          <cell r="BR694">
            <v>0</v>
          </cell>
          <cell r="BS694">
            <v>0</v>
          </cell>
          <cell r="BT694">
            <v>3</v>
          </cell>
          <cell r="BU694">
            <v>3</v>
          </cell>
          <cell r="BV694">
            <v>0</v>
          </cell>
          <cell r="BW694">
            <v>4</v>
          </cell>
          <cell r="BX694">
            <v>4</v>
          </cell>
          <cell r="BY694">
            <v>4</v>
          </cell>
          <cell r="BZ694">
            <v>4</v>
          </cell>
          <cell r="CA694">
            <v>4</v>
          </cell>
          <cell r="CB694">
            <v>4</v>
          </cell>
          <cell r="CC694">
            <v>0</v>
          </cell>
          <cell r="CD694">
            <v>3</v>
          </cell>
          <cell r="CE694">
            <v>3</v>
          </cell>
          <cell r="CF694">
            <v>3</v>
          </cell>
          <cell r="CG694">
            <v>3</v>
          </cell>
          <cell r="CH694">
            <v>3</v>
          </cell>
          <cell r="CI694">
            <v>3</v>
          </cell>
          <cell r="CJ694">
            <v>8</v>
          </cell>
          <cell r="CK694">
            <v>4</v>
          </cell>
          <cell r="CL694">
            <v>4</v>
          </cell>
          <cell r="CM694">
            <v>4</v>
          </cell>
          <cell r="CR694">
            <v>0</v>
          </cell>
          <cell r="CS694">
            <v>0</v>
          </cell>
          <cell r="CT694">
            <v>66</v>
          </cell>
          <cell r="CU694">
            <v>8</v>
          </cell>
          <cell r="CV694">
            <v>0</v>
          </cell>
          <cell r="CZ694">
            <v>74</v>
          </cell>
        </row>
        <row r="695">
          <cell r="C695" t="str">
            <v>04060</v>
          </cell>
          <cell r="D695" t="str">
            <v>Bùi Minh Phú</v>
          </cell>
          <cell r="E695" t="str">
            <v>Production</v>
          </cell>
          <cell r="F695" t="str">
            <v>Die Cut</v>
          </cell>
          <cell r="G695" t="str">
            <v>Worker</v>
          </cell>
          <cell r="H695">
            <v>45369</v>
          </cell>
          <cell r="I695" t="str">
            <v>Đ</v>
          </cell>
          <cell r="J695" t="str">
            <v>Đ</v>
          </cell>
          <cell r="K695" t="str">
            <v>Đ</v>
          </cell>
          <cell r="L695" t="str">
            <v>CN</v>
          </cell>
          <cell r="M695">
            <v>8</v>
          </cell>
          <cell r="N695">
            <v>8</v>
          </cell>
          <cell r="O695">
            <v>8</v>
          </cell>
          <cell r="P695" t="str">
            <v>AL4</v>
          </cell>
          <cell r="Q695">
            <v>8</v>
          </cell>
          <cell r="R695" t="str">
            <v>AL8</v>
          </cell>
          <cell r="S695" t="str">
            <v>CN</v>
          </cell>
          <cell r="T695" t="str">
            <v>Đ</v>
          </cell>
          <cell r="U695" t="str">
            <v>Đ</v>
          </cell>
          <cell r="V695" t="str">
            <v>Đ</v>
          </cell>
          <cell r="W695" t="str">
            <v>Đ</v>
          </cell>
          <cell r="X695" t="str">
            <v>Đ</v>
          </cell>
          <cell r="Y695" t="str">
            <v>Đ</v>
          </cell>
          <cell r="Z695" t="str">
            <v>CN</v>
          </cell>
          <cell r="AA695">
            <v>8</v>
          </cell>
          <cell r="AB695">
            <v>8</v>
          </cell>
          <cell r="AC695">
            <v>8</v>
          </cell>
          <cell r="AD695">
            <v>8</v>
          </cell>
          <cell r="AE695">
            <v>8</v>
          </cell>
          <cell r="AF695">
            <v>8</v>
          </cell>
          <cell r="AG695" t="str">
            <v>CN</v>
          </cell>
          <cell r="AH695" t="str">
            <v>Đ</v>
          </cell>
          <cell r="AI695" t="str">
            <v>Đ</v>
          </cell>
          <cell r="AJ695" t="str">
            <v>Đ</v>
          </cell>
          <cell r="AN695">
            <v>96</v>
          </cell>
          <cell r="AO695">
            <v>84</v>
          </cell>
          <cell r="AP695">
            <v>4</v>
          </cell>
          <cell r="AQ695">
            <v>0</v>
          </cell>
          <cell r="AR695">
            <v>0</v>
          </cell>
          <cell r="AS695">
            <v>0</v>
          </cell>
          <cell r="AT695">
            <v>0</v>
          </cell>
          <cell r="AU695">
            <v>0</v>
          </cell>
          <cell r="AV695">
            <v>0</v>
          </cell>
          <cell r="AW695">
            <v>0</v>
          </cell>
          <cell r="AX695">
            <v>0</v>
          </cell>
          <cell r="AY695">
            <v>0</v>
          </cell>
          <cell r="AZ695">
            <v>0</v>
          </cell>
          <cell r="BA695">
            <v>12</v>
          </cell>
          <cell r="BB695">
            <v>0</v>
          </cell>
          <cell r="BC695">
            <v>0</v>
          </cell>
          <cell r="BD695">
            <v>0</v>
          </cell>
          <cell r="BE695">
            <v>0</v>
          </cell>
          <cell r="BF695">
            <v>0</v>
          </cell>
          <cell r="BG695">
            <v>192</v>
          </cell>
          <cell r="BH695">
            <v>1.5</v>
          </cell>
          <cell r="BI695">
            <v>1.5</v>
          </cell>
          <cell r="BJ695">
            <v>3</v>
          </cell>
          <cell r="BL695">
            <v>1.5</v>
          </cell>
          <cell r="BM695">
            <v>1.5</v>
          </cell>
          <cell r="BN695">
            <v>1.5</v>
          </cell>
          <cell r="BO695">
            <v>0</v>
          </cell>
          <cell r="BP695">
            <v>1.5</v>
          </cell>
          <cell r="BQ695">
            <v>0</v>
          </cell>
          <cell r="BR695">
            <v>3</v>
          </cell>
          <cell r="BS695">
            <v>0</v>
          </cell>
          <cell r="BT695">
            <v>3</v>
          </cell>
          <cell r="BU695">
            <v>0</v>
          </cell>
          <cell r="BV695">
            <v>0</v>
          </cell>
          <cell r="BW695">
            <v>4</v>
          </cell>
          <cell r="BX695">
            <v>4</v>
          </cell>
          <cell r="BY695">
            <v>4</v>
          </cell>
          <cell r="BZ695">
            <v>4</v>
          </cell>
          <cell r="CA695">
            <v>4</v>
          </cell>
          <cell r="CB695">
            <v>4</v>
          </cell>
          <cell r="CC695">
            <v>0</v>
          </cell>
          <cell r="CD695">
            <v>3</v>
          </cell>
          <cell r="CE695">
            <v>2</v>
          </cell>
          <cell r="CF695">
            <v>3</v>
          </cell>
          <cell r="CG695">
            <v>3</v>
          </cell>
          <cell r="CH695">
            <v>3</v>
          </cell>
          <cell r="CI695">
            <v>3</v>
          </cell>
          <cell r="CJ695">
            <v>8</v>
          </cell>
          <cell r="CK695">
            <v>4</v>
          </cell>
          <cell r="CL695">
            <v>4</v>
          </cell>
          <cell r="CM695">
            <v>4</v>
          </cell>
          <cell r="CR695">
            <v>0</v>
          </cell>
          <cell r="CS695">
            <v>0</v>
          </cell>
          <cell r="CT695">
            <v>65</v>
          </cell>
          <cell r="CU695">
            <v>8</v>
          </cell>
          <cell r="CV695">
            <v>0</v>
          </cell>
          <cell r="CZ695">
            <v>73</v>
          </cell>
        </row>
        <row r="696">
          <cell r="C696" t="str">
            <v>04063</v>
          </cell>
          <cell r="D696" t="str">
            <v>Lê Văn Hòa</v>
          </cell>
          <cell r="E696" t="str">
            <v>Warehouse</v>
          </cell>
          <cell r="F696" t="str">
            <v>RM Warehouse</v>
          </cell>
          <cell r="G696" t="str">
            <v>Worker</v>
          </cell>
          <cell r="H696">
            <v>45369</v>
          </cell>
          <cell r="I696" t="str">
            <v>AL8</v>
          </cell>
          <cell r="J696">
            <v>8</v>
          </cell>
          <cell r="K696">
            <v>8</v>
          </cell>
          <cell r="L696" t="str">
            <v>CN</v>
          </cell>
          <cell r="M696">
            <v>8</v>
          </cell>
          <cell r="N696">
            <v>8</v>
          </cell>
          <cell r="O696">
            <v>8</v>
          </cell>
          <cell r="P696">
            <v>8</v>
          </cell>
          <cell r="Q696">
            <v>8</v>
          </cell>
          <cell r="R696">
            <v>8</v>
          </cell>
          <cell r="S696" t="str">
            <v>CN</v>
          </cell>
          <cell r="T696">
            <v>8</v>
          </cell>
          <cell r="U696">
            <v>8</v>
          </cell>
          <cell r="V696">
            <v>8</v>
          </cell>
          <cell r="W696">
            <v>8</v>
          </cell>
          <cell r="X696">
            <v>8</v>
          </cell>
          <cell r="Y696">
            <v>8</v>
          </cell>
          <cell r="Z696" t="str">
            <v>CN</v>
          </cell>
          <cell r="AA696">
            <v>8</v>
          </cell>
          <cell r="AB696">
            <v>8</v>
          </cell>
          <cell r="AC696">
            <v>8</v>
          </cell>
          <cell r="AD696">
            <v>8</v>
          </cell>
          <cell r="AE696">
            <v>8</v>
          </cell>
          <cell r="AF696">
            <v>8</v>
          </cell>
          <cell r="AG696" t="str">
            <v>CN</v>
          </cell>
          <cell r="AH696" t="str">
            <v>AL8</v>
          </cell>
          <cell r="AI696" t="str">
            <v>AL8</v>
          </cell>
          <cell r="AJ696" t="str">
            <v>AL8</v>
          </cell>
          <cell r="AN696">
            <v>0</v>
          </cell>
          <cell r="AO696">
            <v>160</v>
          </cell>
          <cell r="AP696">
            <v>0</v>
          </cell>
          <cell r="AQ696">
            <v>0</v>
          </cell>
          <cell r="AR696">
            <v>0</v>
          </cell>
          <cell r="AS696">
            <v>0</v>
          </cell>
          <cell r="AT696">
            <v>0</v>
          </cell>
          <cell r="AU696">
            <v>0</v>
          </cell>
          <cell r="AV696">
            <v>0</v>
          </cell>
          <cell r="AW696">
            <v>0</v>
          </cell>
          <cell r="AX696">
            <v>0</v>
          </cell>
          <cell r="AY696">
            <v>0</v>
          </cell>
          <cell r="AZ696">
            <v>0</v>
          </cell>
          <cell r="BA696">
            <v>32</v>
          </cell>
          <cell r="BB696">
            <v>0</v>
          </cell>
          <cell r="BC696">
            <v>0</v>
          </cell>
          <cell r="BD696">
            <v>0</v>
          </cell>
          <cell r="BE696">
            <v>0</v>
          </cell>
          <cell r="BF696">
            <v>0</v>
          </cell>
          <cell r="BG696">
            <v>192</v>
          </cell>
          <cell r="BH696">
            <v>4</v>
          </cell>
          <cell r="BI696">
            <v>4</v>
          </cell>
          <cell r="BJ696">
            <v>0</v>
          </cell>
          <cell r="BL696">
            <v>0</v>
          </cell>
          <cell r="BM696">
            <v>0</v>
          </cell>
          <cell r="BN696">
            <v>0</v>
          </cell>
          <cell r="BO696">
            <v>0</v>
          </cell>
          <cell r="BP696">
            <v>0</v>
          </cell>
          <cell r="BQ696">
            <v>3</v>
          </cell>
          <cell r="BR696">
            <v>0</v>
          </cell>
          <cell r="BS696">
            <v>0</v>
          </cell>
          <cell r="BT696">
            <v>3</v>
          </cell>
          <cell r="BU696">
            <v>0</v>
          </cell>
          <cell r="BV696">
            <v>0</v>
          </cell>
          <cell r="BW696">
            <v>0</v>
          </cell>
          <cell r="BX696">
            <v>0</v>
          </cell>
          <cell r="BY696">
            <v>0</v>
          </cell>
          <cell r="BZ696">
            <v>3</v>
          </cell>
          <cell r="CA696">
            <v>0</v>
          </cell>
          <cell r="CB696">
            <v>0</v>
          </cell>
          <cell r="CC696">
            <v>0</v>
          </cell>
          <cell r="CD696">
            <v>0</v>
          </cell>
          <cell r="CE696">
            <v>3</v>
          </cell>
          <cell r="CF696">
            <v>0</v>
          </cell>
          <cell r="CG696">
            <v>0</v>
          </cell>
          <cell r="CH696">
            <v>0</v>
          </cell>
          <cell r="CI696">
            <v>0</v>
          </cell>
          <cell r="CJ696">
            <v>0</v>
          </cell>
          <cell r="CK696">
            <v>0</v>
          </cell>
          <cell r="CL696">
            <v>0</v>
          </cell>
          <cell r="CM696">
            <v>0</v>
          </cell>
          <cell r="CR696">
            <v>0</v>
          </cell>
          <cell r="CS696">
            <v>0</v>
          </cell>
          <cell r="CT696">
            <v>12</v>
          </cell>
          <cell r="CU696">
            <v>0</v>
          </cell>
          <cell r="CV696">
            <v>0</v>
          </cell>
          <cell r="CZ696">
            <v>12</v>
          </cell>
        </row>
        <row r="697">
          <cell r="C697" t="str">
            <v>04064</v>
          </cell>
          <cell r="D697" t="str">
            <v>Huỳnh Minh An</v>
          </cell>
          <cell r="E697" t="str">
            <v>Foaming</v>
          </cell>
          <cell r="F697" t="str">
            <v>FOAMING Rectangular</v>
          </cell>
          <cell r="G697" t="str">
            <v>Operator</v>
          </cell>
          <cell r="H697">
            <v>45372</v>
          </cell>
          <cell r="I697" t="str">
            <v>Đ</v>
          </cell>
          <cell r="J697" t="str">
            <v>Đ</v>
          </cell>
          <cell r="K697" t="str">
            <v>Đ</v>
          </cell>
          <cell r="L697" t="str">
            <v>CN</v>
          </cell>
          <cell r="M697" t="str">
            <v>SL</v>
          </cell>
          <cell r="N697" t="str">
            <v>AL8</v>
          </cell>
          <cell r="O697">
            <v>8</v>
          </cell>
          <cell r="P697">
            <v>8</v>
          </cell>
          <cell r="Q697">
            <v>8</v>
          </cell>
          <cell r="R697" t="str">
            <v>AL4</v>
          </cell>
          <cell r="S697" t="str">
            <v>CN</v>
          </cell>
          <cell r="T697">
            <v>8</v>
          </cell>
          <cell r="U697">
            <v>8</v>
          </cell>
          <cell r="V697">
            <v>8</v>
          </cell>
          <cell r="W697" t="str">
            <v>UP8</v>
          </cell>
          <cell r="X697">
            <v>8</v>
          </cell>
          <cell r="Y697">
            <v>8</v>
          </cell>
          <cell r="Z697" t="str">
            <v>CN</v>
          </cell>
          <cell r="AA697" t="str">
            <v>Đ</v>
          </cell>
          <cell r="AB697" t="str">
            <v>Đ</v>
          </cell>
          <cell r="AC697" t="str">
            <v>Đ</v>
          </cell>
          <cell r="AD697" t="str">
            <v>Đ</v>
          </cell>
          <cell r="AE697" t="str">
            <v>Đ</v>
          </cell>
          <cell r="AF697" t="str">
            <v>Đ</v>
          </cell>
          <cell r="AG697" t="str">
            <v>CN</v>
          </cell>
          <cell r="AH697" t="str">
            <v>UP8</v>
          </cell>
          <cell r="AI697" t="str">
            <v>Đ</v>
          </cell>
          <cell r="AJ697" t="str">
            <v>Đ</v>
          </cell>
          <cell r="AN697">
            <v>88</v>
          </cell>
          <cell r="AO697">
            <v>68</v>
          </cell>
          <cell r="AP697">
            <v>4</v>
          </cell>
          <cell r="AQ697">
            <v>1</v>
          </cell>
          <cell r="AR697">
            <v>0</v>
          </cell>
          <cell r="AS697">
            <v>16</v>
          </cell>
          <cell r="AT697">
            <v>0</v>
          </cell>
          <cell r="AU697">
            <v>0</v>
          </cell>
          <cell r="AV697">
            <v>0</v>
          </cell>
          <cell r="AW697">
            <v>0</v>
          </cell>
          <cell r="AX697">
            <v>0</v>
          </cell>
          <cell r="AY697">
            <v>0</v>
          </cell>
          <cell r="AZ697">
            <v>0</v>
          </cell>
          <cell r="BA697">
            <v>12</v>
          </cell>
          <cell r="BB697">
            <v>0</v>
          </cell>
          <cell r="BC697">
            <v>0</v>
          </cell>
          <cell r="BD697">
            <v>0</v>
          </cell>
          <cell r="BE697">
            <v>0</v>
          </cell>
          <cell r="BF697">
            <v>0</v>
          </cell>
          <cell r="BG697">
            <v>168</v>
          </cell>
          <cell r="BH697">
            <v>1.5</v>
          </cell>
          <cell r="BI697">
            <v>1.5</v>
          </cell>
          <cell r="BJ697">
            <v>-3.5</v>
          </cell>
          <cell r="BL697">
            <v>4</v>
          </cell>
          <cell r="BM697">
            <v>4</v>
          </cell>
          <cell r="BN697">
            <v>4</v>
          </cell>
          <cell r="BO697">
            <v>0</v>
          </cell>
          <cell r="BP697">
            <v>0</v>
          </cell>
          <cell r="BQ697">
            <v>0</v>
          </cell>
          <cell r="BR697">
            <v>0</v>
          </cell>
          <cell r="BS697">
            <v>0</v>
          </cell>
          <cell r="BT697">
            <v>4</v>
          </cell>
          <cell r="BU697">
            <v>4</v>
          </cell>
          <cell r="BV697">
            <v>12</v>
          </cell>
          <cell r="BW697">
            <v>4</v>
          </cell>
          <cell r="BX697">
            <v>4</v>
          </cell>
          <cell r="BY697">
            <v>4</v>
          </cell>
          <cell r="BZ697">
            <v>0</v>
          </cell>
          <cell r="CA697">
            <v>4</v>
          </cell>
          <cell r="CB697">
            <v>4</v>
          </cell>
          <cell r="CC697" t="str">
            <v>12Đ</v>
          </cell>
          <cell r="CD697">
            <v>4</v>
          </cell>
          <cell r="CE697">
            <v>4</v>
          </cell>
          <cell r="CF697">
            <v>4</v>
          </cell>
          <cell r="CG697">
            <v>0</v>
          </cell>
          <cell r="CH697">
            <v>4</v>
          </cell>
          <cell r="CI697">
            <v>4</v>
          </cell>
          <cell r="CJ697" t="str">
            <v>12Đ</v>
          </cell>
          <cell r="CK697">
            <v>0</v>
          </cell>
          <cell r="CL697">
            <v>4</v>
          </cell>
          <cell r="CM697">
            <v>4</v>
          </cell>
          <cell r="CR697">
            <v>0</v>
          </cell>
          <cell r="CS697">
            <v>0</v>
          </cell>
          <cell r="CT697">
            <v>68</v>
          </cell>
          <cell r="CU697">
            <v>20</v>
          </cell>
          <cell r="CV697">
            <v>16</v>
          </cell>
          <cell r="CZ697">
            <v>104</v>
          </cell>
        </row>
        <row r="698">
          <cell r="C698" t="str">
            <v>04066</v>
          </cell>
          <cell r="D698" t="str">
            <v>Trần Thanh Hùng Em</v>
          </cell>
          <cell r="E698" t="str">
            <v>Foaming</v>
          </cell>
          <cell r="F698" t="str">
            <v>FOAMING Rectangular</v>
          </cell>
          <cell r="G698" t="str">
            <v>Worker</v>
          </cell>
          <cell r="H698">
            <v>45372</v>
          </cell>
          <cell r="I698">
            <v>8</v>
          </cell>
          <cell r="J698">
            <v>8</v>
          </cell>
          <cell r="K698">
            <v>8</v>
          </cell>
          <cell r="L698" t="str">
            <v>CN</v>
          </cell>
          <cell r="M698">
            <v>8</v>
          </cell>
          <cell r="N698">
            <v>8</v>
          </cell>
          <cell r="O698">
            <v>8</v>
          </cell>
          <cell r="P698">
            <v>8</v>
          </cell>
          <cell r="Q698" t="str">
            <v>AL4</v>
          </cell>
          <cell r="R698">
            <v>8</v>
          </cell>
          <cell r="S698" t="str">
            <v>CN</v>
          </cell>
          <cell r="T698">
            <v>8</v>
          </cell>
          <cell r="U698" t="str">
            <v>AL8</v>
          </cell>
          <cell r="V698">
            <v>8</v>
          </cell>
          <cell r="W698">
            <v>8</v>
          </cell>
          <cell r="X698">
            <v>8</v>
          </cell>
          <cell r="Y698">
            <v>8</v>
          </cell>
          <cell r="Z698" t="str">
            <v>CN</v>
          </cell>
          <cell r="AA698" t="str">
            <v>Đ</v>
          </cell>
          <cell r="AB698" t="str">
            <v>Đ</v>
          </cell>
          <cell r="AC698" t="str">
            <v>Đ</v>
          </cell>
          <cell r="AD698" t="str">
            <v>Đ</v>
          </cell>
          <cell r="AE698" t="str">
            <v>Đ</v>
          </cell>
          <cell r="AF698" t="str">
            <v>Đ</v>
          </cell>
          <cell r="AG698" t="str">
            <v>CN</v>
          </cell>
          <cell r="AH698" t="str">
            <v>Đ</v>
          </cell>
          <cell r="AI698" t="str">
            <v>Đ</v>
          </cell>
          <cell r="AJ698" t="str">
            <v>Đ</v>
          </cell>
          <cell r="AN698">
            <v>72</v>
          </cell>
          <cell r="AO698">
            <v>108</v>
          </cell>
          <cell r="AP698">
            <v>4</v>
          </cell>
          <cell r="AQ698">
            <v>0</v>
          </cell>
          <cell r="AR698">
            <v>0</v>
          </cell>
          <cell r="AS698">
            <v>0</v>
          </cell>
          <cell r="AT698">
            <v>0</v>
          </cell>
          <cell r="AU698">
            <v>0</v>
          </cell>
          <cell r="AV698">
            <v>0</v>
          </cell>
          <cell r="AW698">
            <v>0</v>
          </cell>
          <cell r="AX698">
            <v>0</v>
          </cell>
          <cell r="AY698">
            <v>0</v>
          </cell>
          <cell r="AZ698">
            <v>0</v>
          </cell>
          <cell r="BA698">
            <v>12</v>
          </cell>
          <cell r="BB698">
            <v>0</v>
          </cell>
          <cell r="BC698">
            <v>0</v>
          </cell>
          <cell r="BD698">
            <v>0</v>
          </cell>
          <cell r="BE698">
            <v>0</v>
          </cell>
          <cell r="BF698">
            <v>0</v>
          </cell>
          <cell r="BG698">
            <v>192</v>
          </cell>
          <cell r="BH698">
            <v>1.5</v>
          </cell>
          <cell r="BI698">
            <v>1.5</v>
          </cell>
          <cell r="BJ698">
            <v>-5.5</v>
          </cell>
          <cell r="BL698">
            <v>4</v>
          </cell>
          <cell r="BM698">
            <v>4</v>
          </cell>
          <cell r="BN698">
            <v>4</v>
          </cell>
          <cell r="BO698">
            <v>12</v>
          </cell>
          <cell r="BP698">
            <v>0</v>
          </cell>
          <cell r="BQ698">
            <v>4</v>
          </cell>
          <cell r="BR698">
            <v>0</v>
          </cell>
          <cell r="BS698">
            <v>4</v>
          </cell>
          <cell r="BT698">
            <v>0</v>
          </cell>
          <cell r="BU698">
            <v>4</v>
          </cell>
          <cell r="BV698">
            <v>12</v>
          </cell>
          <cell r="BW698">
            <v>0</v>
          </cell>
          <cell r="BX698">
            <v>0</v>
          </cell>
          <cell r="BY698">
            <v>0</v>
          </cell>
          <cell r="BZ698">
            <v>4</v>
          </cell>
          <cell r="CA698">
            <v>4</v>
          </cell>
          <cell r="CB698">
            <v>4</v>
          </cell>
          <cell r="CC698" t="str">
            <v>12Đ</v>
          </cell>
          <cell r="CD698">
            <v>4</v>
          </cell>
          <cell r="CE698">
            <v>4</v>
          </cell>
          <cell r="CF698">
            <v>4</v>
          </cell>
          <cell r="CG698">
            <v>4</v>
          </cell>
          <cell r="CH698">
            <v>4</v>
          </cell>
          <cell r="CI698">
            <v>4</v>
          </cell>
          <cell r="CJ698" t="str">
            <v>12Đ</v>
          </cell>
          <cell r="CK698">
            <v>4</v>
          </cell>
          <cell r="CL698">
            <v>4</v>
          </cell>
          <cell r="CM698">
            <v>4</v>
          </cell>
          <cell r="CR698">
            <v>0</v>
          </cell>
          <cell r="CS698">
            <v>0</v>
          </cell>
          <cell r="CT698">
            <v>72</v>
          </cell>
          <cell r="CU698">
            <v>32</v>
          </cell>
          <cell r="CV698">
            <v>16</v>
          </cell>
          <cell r="CZ698">
            <v>120</v>
          </cell>
        </row>
        <row r="699">
          <cell r="C699" t="str">
            <v>04067</v>
          </cell>
          <cell r="D699" t="str">
            <v>Phạm Văn Sang</v>
          </cell>
          <cell r="E699" t="str">
            <v>Foaming</v>
          </cell>
          <cell r="F699" t="str">
            <v>FOAMING Rectangular</v>
          </cell>
          <cell r="G699" t="str">
            <v>Worker</v>
          </cell>
          <cell r="H699">
            <v>45372</v>
          </cell>
          <cell r="I699">
            <v>8</v>
          </cell>
          <cell r="J699">
            <v>8</v>
          </cell>
          <cell r="K699" t="str">
            <v>AL8</v>
          </cell>
          <cell r="L699" t="str">
            <v>CN</v>
          </cell>
          <cell r="M699">
            <v>8</v>
          </cell>
          <cell r="N699">
            <v>8</v>
          </cell>
          <cell r="O699">
            <v>8</v>
          </cell>
          <cell r="P699">
            <v>8</v>
          </cell>
          <cell r="Q699">
            <v>8</v>
          </cell>
          <cell r="R699">
            <v>8</v>
          </cell>
          <cell r="S699" t="str">
            <v>CN</v>
          </cell>
          <cell r="T699">
            <v>8</v>
          </cell>
          <cell r="U699">
            <v>8</v>
          </cell>
          <cell r="V699">
            <v>8</v>
          </cell>
          <cell r="W699">
            <v>8</v>
          </cell>
          <cell r="X699">
            <v>8</v>
          </cell>
          <cell r="Y699" t="str">
            <v>AL4</v>
          </cell>
          <cell r="Z699" t="str">
            <v>CN</v>
          </cell>
          <cell r="AA699" t="str">
            <v>Đ</v>
          </cell>
          <cell r="AB699" t="str">
            <v>Đ</v>
          </cell>
          <cell r="AC699" t="str">
            <v>Đ</v>
          </cell>
          <cell r="AD699" t="str">
            <v>Đ</v>
          </cell>
          <cell r="AE699" t="str">
            <v>Đ</v>
          </cell>
          <cell r="AF699" t="str">
            <v>Đ</v>
          </cell>
          <cell r="AG699" t="str">
            <v>CN</v>
          </cell>
          <cell r="AH699" t="str">
            <v>Đ</v>
          </cell>
          <cell r="AI699" t="str">
            <v>Đ</v>
          </cell>
          <cell r="AJ699" t="str">
            <v>Đ</v>
          </cell>
          <cell r="AN699">
            <v>72</v>
          </cell>
          <cell r="AO699">
            <v>108</v>
          </cell>
          <cell r="AP699">
            <v>4</v>
          </cell>
          <cell r="AQ699">
            <v>0</v>
          </cell>
          <cell r="AR699">
            <v>0</v>
          </cell>
          <cell r="AS699">
            <v>0</v>
          </cell>
          <cell r="AT699">
            <v>0</v>
          </cell>
          <cell r="AU699">
            <v>0</v>
          </cell>
          <cell r="AV699">
            <v>0</v>
          </cell>
          <cell r="AW699">
            <v>0</v>
          </cell>
          <cell r="AX699">
            <v>0</v>
          </cell>
          <cell r="AY699">
            <v>0</v>
          </cell>
          <cell r="AZ699">
            <v>0</v>
          </cell>
          <cell r="BA699">
            <v>12</v>
          </cell>
          <cell r="BB699">
            <v>0</v>
          </cell>
          <cell r="BC699">
            <v>0</v>
          </cell>
          <cell r="BD699">
            <v>0</v>
          </cell>
          <cell r="BE699">
            <v>0</v>
          </cell>
          <cell r="BF699">
            <v>0</v>
          </cell>
          <cell r="BG699">
            <v>192</v>
          </cell>
          <cell r="BH699">
            <v>1.5</v>
          </cell>
          <cell r="BI699">
            <v>1.5</v>
          </cell>
          <cell r="BJ699">
            <v>0.5</v>
          </cell>
          <cell r="BL699">
            <v>4</v>
          </cell>
          <cell r="BM699">
            <v>4</v>
          </cell>
          <cell r="BN699">
            <v>0</v>
          </cell>
          <cell r="BO699">
            <v>12</v>
          </cell>
          <cell r="BP699">
            <v>0</v>
          </cell>
          <cell r="BQ699">
            <v>4</v>
          </cell>
          <cell r="BR699">
            <v>4</v>
          </cell>
          <cell r="BS699">
            <v>0</v>
          </cell>
          <cell r="BT699">
            <v>4</v>
          </cell>
          <cell r="BU699">
            <v>4</v>
          </cell>
          <cell r="BV699">
            <v>12</v>
          </cell>
          <cell r="BW699">
            <v>4</v>
          </cell>
          <cell r="BX699">
            <v>4</v>
          </cell>
          <cell r="BY699">
            <v>4</v>
          </cell>
          <cell r="BZ699">
            <v>4</v>
          </cell>
          <cell r="CA699">
            <v>0</v>
          </cell>
          <cell r="CB699">
            <v>4</v>
          </cell>
          <cell r="CC699" t="str">
            <v>12Đ</v>
          </cell>
          <cell r="CD699">
            <v>4</v>
          </cell>
          <cell r="CE699">
            <v>4</v>
          </cell>
          <cell r="CF699">
            <v>4</v>
          </cell>
          <cell r="CG699">
            <v>0</v>
          </cell>
          <cell r="CH699">
            <v>4</v>
          </cell>
          <cell r="CI699">
            <v>4</v>
          </cell>
          <cell r="CJ699" t="str">
            <v>12Đ</v>
          </cell>
          <cell r="CK699">
            <v>4</v>
          </cell>
          <cell r="CL699">
            <v>4</v>
          </cell>
          <cell r="CM699">
            <v>4</v>
          </cell>
          <cell r="CR699">
            <v>0</v>
          </cell>
          <cell r="CS699">
            <v>0</v>
          </cell>
          <cell r="CT699">
            <v>76</v>
          </cell>
          <cell r="CU699">
            <v>32</v>
          </cell>
          <cell r="CV699">
            <v>16</v>
          </cell>
          <cell r="CZ699">
            <v>124</v>
          </cell>
        </row>
        <row r="700">
          <cell r="C700" t="str">
            <v>04069</v>
          </cell>
          <cell r="D700" t="str">
            <v>Phạm Thị Yến Nhi</v>
          </cell>
          <cell r="E700" t="str">
            <v>Production</v>
          </cell>
          <cell r="F700" t="str">
            <v>Molding</v>
          </cell>
          <cell r="G700" t="str">
            <v>Worker</v>
          </cell>
          <cell r="H700">
            <v>45377</v>
          </cell>
          <cell r="I700" t="str">
            <v>Đ</v>
          </cell>
          <cell r="J700" t="str">
            <v>Đ</v>
          </cell>
          <cell r="K700" t="str">
            <v>CN</v>
          </cell>
          <cell r="L700">
            <v>8</v>
          </cell>
          <cell r="M700">
            <v>8</v>
          </cell>
          <cell r="N700">
            <v>8</v>
          </cell>
          <cell r="O700">
            <v>8</v>
          </cell>
          <cell r="P700">
            <v>8</v>
          </cell>
          <cell r="Q700">
            <v>8</v>
          </cell>
          <cell r="R700" t="str">
            <v>CN</v>
          </cell>
          <cell r="S700" t="str">
            <v>Đ</v>
          </cell>
          <cell r="T700" t="str">
            <v>Đ</v>
          </cell>
          <cell r="U700" t="str">
            <v>Đ</v>
          </cell>
          <cell r="V700" t="str">
            <v>Đ</v>
          </cell>
          <cell r="W700" t="str">
            <v>Đ</v>
          </cell>
          <cell r="X700" t="str">
            <v>Đ</v>
          </cell>
          <cell r="Y700" t="str">
            <v>CN</v>
          </cell>
          <cell r="Z700">
            <v>8</v>
          </cell>
          <cell r="AA700">
            <v>8</v>
          </cell>
          <cell r="AB700">
            <v>8</v>
          </cell>
          <cell r="AC700">
            <v>8</v>
          </cell>
          <cell r="AD700">
            <v>8</v>
          </cell>
          <cell r="AE700">
            <v>8</v>
          </cell>
          <cell r="AF700" t="str">
            <v>CN</v>
          </cell>
          <cell r="AG700" t="str">
            <v>Đ</v>
          </cell>
          <cell r="AH700" t="str">
            <v>Đ</v>
          </cell>
          <cell r="AI700" t="str">
            <v>Đ</v>
          </cell>
          <cell r="AJ700" t="str">
            <v>Đ</v>
          </cell>
          <cell r="AN700">
            <v>96</v>
          </cell>
          <cell r="AO700">
            <v>96</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192</v>
          </cell>
          <cell r="BH700">
            <v>0</v>
          </cell>
          <cell r="BI700">
            <v>0</v>
          </cell>
          <cell r="BJ700">
            <v>0.5</v>
          </cell>
          <cell r="BL700">
            <v>0</v>
          </cell>
          <cell r="BM700">
            <v>0</v>
          </cell>
          <cell r="BN700">
            <v>0</v>
          </cell>
          <cell r="BO700">
            <v>4</v>
          </cell>
          <cell r="BP700">
            <v>0</v>
          </cell>
          <cell r="BQ700">
            <v>0</v>
          </cell>
          <cell r="BR700">
            <v>0</v>
          </cell>
          <cell r="BS700">
            <v>0</v>
          </cell>
          <cell r="BT700">
            <v>4</v>
          </cell>
          <cell r="BU700">
            <v>0</v>
          </cell>
          <cell r="BV700">
            <v>0</v>
          </cell>
          <cell r="BW700">
            <v>0</v>
          </cell>
          <cell r="BX700">
            <v>0</v>
          </cell>
          <cell r="BY700">
            <v>0</v>
          </cell>
          <cell r="BZ700">
            <v>0</v>
          </cell>
          <cell r="CA700">
            <v>4</v>
          </cell>
          <cell r="CB700">
            <v>0</v>
          </cell>
          <cell r="CC700">
            <v>4</v>
          </cell>
          <cell r="CD700">
            <v>0</v>
          </cell>
          <cell r="CE700">
            <v>0</v>
          </cell>
          <cell r="CF700">
            <v>0</v>
          </cell>
          <cell r="CG700">
            <v>0</v>
          </cell>
          <cell r="CH700">
            <v>4</v>
          </cell>
          <cell r="CI700">
            <v>0</v>
          </cell>
          <cell r="CJ700">
            <v>4</v>
          </cell>
          <cell r="CK700">
            <v>0</v>
          </cell>
          <cell r="CL700">
            <v>0</v>
          </cell>
          <cell r="CM700">
            <v>0</v>
          </cell>
          <cell r="CR700">
            <v>0</v>
          </cell>
          <cell r="CS700">
            <v>0</v>
          </cell>
          <cell r="CT700">
            <v>24</v>
          </cell>
          <cell r="CU700">
            <v>0</v>
          </cell>
          <cell r="CV700">
            <v>0</v>
          </cell>
          <cell r="CZ700">
            <v>24</v>
          </cell>
        </row>
        <row r="701">
          <cell r="C701" t="str">
            <v>04070</v>
          </cell>
          <cell r="D701" t="str">
            <v>Nguyễn Thùy Trang</v>
          </cell>
          <cell r="E701" t="str">
            <v>Production</v>
          </cell>
          <cell r="F701" t="str">
            <v>Molding</v>
          </cell>
          <cell r="G701" t="str">
            <v>Worker</v>
          </cell>
          <cell r="H701">
            <v>45377</v>
          </cell>
          <cell r="I701">
            <v>8</v>
          </cell>
          <cell r="J701">
            <v>8</v>
          </cell>
          <cell r="K701">
            <v>8</v>
          </cell>
          <cell r="L701" t="str">
            <v>CN</v>
          </cell>
          <cell r="M701">
            <v>8</v>
          </cell>
          <cell r="N701">
            <v>8</v>
          </cell>
          <cell r="O701">
            <v>8</v>
          </cell>
          <cell r="P701" t="str">
            <v>AL8</v>
          </cell>
          <cell r="Q701" t="str">
            <v>Đ</v>
          </cell>
          <cell r="R701" t="str">
            <v>Đ</v>
          </cell>
          <cell r="S701" t="str">
            <v>CN</v>
          </cell>
          <cell r="T701">
            <v>8</v>
          </cell>
          <cell r="U701">
            <v>8</v>
          </cell>
          <cell r="V701">
            <v>8</v>
          </cell>
          <cell r="W701">
            <v>8</v>
          </cell>
          <cell r="X701">
            <v>8</v>
          </cell>
          <cell r="Y701">
            <v>8</v>
          </cell>
          <cell r="Z701" t="str">
            <v>CN</v>
          </cell>
          <cell r="AA701">
            <v>8</v>
          </cell>
          <cell r="AB701">
            <v>8</v>
          </cell>
          <cell r="AC701">
            <v>8</v>
          </cell>
          <cell r="AD701">
            <v>8</v>
          </cell>
          <cell r="AE701" t="str">
            <v>Đ</v>
          </cell>
          <cell r="AF701" t="str">
            <v>Đ</v>
          </cell>
          <cell r="AG701" t="str">
            <v>CN</v>
          </cell>
          <cell r="AH701">
            <v>8</v>
          </cell>
          <cell r="AI701">
            <v>8</v>
          </cell>
          <cell r="AJ701">
            <v>8</v>
          </cell>
          <cell r="AN701">
            <v>32</v>
          </cell>
          <cell r="AO701">
            <v>152</v>
          </cell>
          <cell r="AP701">
            <v>0</v>
          </cell>
          <cell r="AQ701">
            <v>0</v>
          </cell>
          <cell r="AR701">
            <v>0</v>
          </cell>
          <cell r="AS701">
            <v>0</v>
          </cell>
          <cell r="AT701">
            <v>0</v>
          </cell>
          <cell r="AU701">
            <v>0</v>
          </cell>
          <cell r="AV701">
            <v>0</v>
          </cell>
          <cell r="AW701">
            <v>0</v>
          </cell>
          <cell r="AX701">
            <v>0</v>
          </cell>
          <cell r="AY701">
            <v>0</v>
          </cell>
          <cell r="AZ701">
            <v>0</v>
          </cell>
          <cell r="BA701">
            <v>8</v>
          </cell>
          <cell r="BB701">
            <v>0</v>
          </cell>
          <cell r="BC701">
            <v>0</v>
          </cell>
          <cell r="BD701">
            <v>0</v>
          </cell>
          <cell r="BE701">
            <v>0</v>
          </cell>
          <cell r="BF701">
            <v>0</v>
          </cell>
          <cell r="BG701">
            <v>192</v>
          </cell>
          <cell r="BH701">
            <v>1</v>
          </cell>
          <cell r="BI701">
            <v>1</v>
          </cell>
          <cell r="BJ701">
            <v>2.5</v>
          </cell>
          <cell r="BL701">
            <v>0</v>
          </cell>
          <cell r="BM701">
            <v>4</v>
          </cell>
          <cell r="BN701">
            <v>4</v>
          </cell>
          <cell r="BO701">
            <v>0</v>
          </cell>
          <cell r="BP701">
            <v>0</v>
          </cell>
          <cell r="BQ701">
            <v>4</v>
          </cell>
          <cell r="BR701">
            <v>0</v>
          </cell>
          <cell r="BS701">
            <v>0</v>
          </cell>
          <cell r="BT701">
            <v>4</v>
          </cell>
          <cell r="BU701">
            <v>4</v>
          </cell>
          <cell r="BV701">
            <v>0</v>
          </cell>
          <cell r="BW701">
            <v>0</v>
          </cell>
          <cell r="BX701">
            <v>0</v>
          </cell>
          <cell r="BY701">
            <v>0</v>
          </cell>
          <cell r="BZ701">
            <v>0</v>
          </cell>
          <cell r="CA701">
            <v>4</v>
          </cell>
          <cell r="CB701">
            <v>4</v>
          </cell>
          <cell r="CC701">
            <v>0</v>
          </cell>
          <cell r="CD701">
            <v>0</v>
          </cell>
          <cell r="CE701">
            <v>0</v>
          </cell>
          <cell r="CF701">
            <v>0</v>
          </cell>
          <cell r="CG701">
            <v>4</v>
          </cell>
          <cell r="CH701">
            <v>4</v>
          </cell>
          <cell r="CI701">
            <v>4</v>
          </cell>
          <cell r="CJ701">
            <v>0</v>
          </cell>
          <cell r="CK701">
            <v>0</v>
          </cell>
          <cell r="CL701">
            <v>0</v>
          </cell>
          <cell r="CM701">
            <v>0</v>
          </cell>
          <cell r="CR701">
            <v>0</v>
          </cell>
          <cell r="CS701">
            <v>0</v>
          </cell>
          <cell r="CT701">
            <v>40</v>
          </cell>
          <cell r="CU701">
            <v>0</v>
          </cell>
          <cell r="CV701">
            <v>0</v>
          </cell>
          <cell r="CZ701">
            <v>40</v>
          </cell>
        </row>
        <row r="702">
          <cell r="C702" t="str">
            <v>04073</v>
          </cell>
          <cell r="D702" t="str">
            <v>Nguyễn Thị Tuyết Nhi</v>
          </cell>
          <cell r="E702" t="str">
            <v>Production</v>
          </cell>
          <cell r="F702" t="str">
            <v>Logo</v>
          </cell>
          <cell r="G702" t="str">
            <v>Worker</v>
          </cell>
          <cell r="H702">
            <v>45377</v>
          </cell>
          <cell r="I702" t="str">
            <v>Đ</v>
          </cell>
          <cell r="J702" t="str">
            <v>AL8</v>
          </cell>
          <cell r="K702" t="str">
            <v>Đ</v>
          </cell>
          <cell r="L702" t="str">
            <v>CN</v>
          </cell>
          <cell r="M702">
            <v>8</v>
          </cell>
          <cell r="N702">
            <v>8</v>
          </cell>
          <cell r="O702">
            <v>8</v>
          </cell>
          <cell r="P702">
            <v>8</v>
          </cell>
          <cell r="Q702">
            <v>8</v>
          </cell>
          <cell r="R702">
            <v>8</v>
          </cell>
          <cell r="S702" t="str">
            <v>CN</v>
          </cell>
          <cell r="T702" t="str">
            <v>Đ</v>
          </cell>
          <cell r="U702" t="str">
            <v>Đ</v>
          </cell>
          <cell r="V702" t="str">
            <v>Đ</v>
          </cell>
          <cell r="W702" t="str">
            <v>Đ</v>
          </cell>
          <cell r="X702" t="str">
            <v>Đ</v>
          </cell>
          <cell r="Y702" t="str">
            <v>Đ</v>
          </cell>
          <cell r="Z702" t="str">
            <v>CN</v>
          </cell>
          <cell r="AA702">
            <v>8</v>
          </cell>
          <cell r="AB702">
            <v>8</v>
          </cell>
          <cell r="AC702">
            <v>8</v>
          </cell>
          <cell r="AD702">
            <v>8</v>
          </cell>
          <cell r="AE702">
            <v>8</v>
          </cell>
          <cell r="AF702">
            <v>8</v>
          </cell>
          <cell r="AG702" t="str">
            <v>CN</v>
          </cell>
          <cell r="AH702" t="str">
            <v>Đ</v>
          </cell>
          <cell r="AI702" t="str">
            <v>AL8</v>
          </cell>
          <cell r="AJ702" t="str">
            <v>AL8</v>
          </cell>
          <cell r="AN702">
            <v>72</v>
          </cell>
          <cell r="AO702">
            <v>96</v>
          </cell>
          <cell r="AP702">
            <v>0</v>
          </cell>
          <cell r="AQ702">
            <v>0</v>
          </cell>
          <cell r="AR702">
            <v>0</v>
          </cell>
          <cell r="AS702">
            <v>0</v>
          </cell>
          <cell r="AT702">
            <v>0</v>
          </cell>
          <cell r="AU702">
            <v>0</v>
          </cell>
          <cell r="AV702">
            <v>0</v>
          </cell>
          <cell r="AW702">
            <v>0</v>
          </cell>
          <cell r="AX702">
            <v>0</v>
          </cell>
          <cell r="AY702">
            <v>0</v>
          </cell>
          <cell r="AZ702">
            <v>0</v>
          </cell>
          <cell r="BA702">
            <v>24</v>
          </cell>
          <cell r="BB702">
            <v>0</v>
          </cell>
          <cell r="BC702">
            <v>0</v>
          </cell>
          <cell r="BD702">
            <v>0</v>
          </cell>
          <cell r="BE702">
            <v>0</v>
          </cell>
          <cell r="BF702">
            <v>0</v>
          </cell>
          <cell r="BG702">
            <v>192</v>
          </cell>
          <cell r="BH702">
            <v>3</v>
          </cell>
          <cell r="BI702">
            <v>3</v>
          </cell>
          <cell r="BJ702">
            <v>0</v>
          </cell>
          <cell r="BL702">
            <v>0</v>
          </cell>
          <cell r="BM702">
            <v>0</v>
          </cell>
          <cell r="BN702">
            <v>0</v>
          </cell>
          <cell r="BO702">
            <v>0</v>
          </cell>
          <cell r="BP702">
            <v>1.5</v>
          </cell>
          <cell r="BQ702">
            <v>3</v>
          </cell>
          <cell r="BR702">
            <v>0</v>
          </cell>
          <cell r="BS702">
            <v>3</v>
          </cell>
          <cell r="BT702">
            <v>0</v>
          </cell>
          <cell r="BU702">
            <v>0</v>
          </cell>
          <cell r="BV702">
            <v>0</v>
          </cell>
          <cell r="BW702">
            <v>3</v>
          </cell>
          <cell r="BX702">
            <v>4</v>
          </cell>
          <cell r="BY702">
            <v>4</v>
          </cell>
          <cell r="BZ702">
            <v>0</v>
          </cell>
          <cell r="CA702">
            <v>4</v>
          </cell>
          <cell r="CB702">
            <v>4</v>
          </cell>
          <cell r="CC702">
            <v>0</v>
          </cell>
          <cell r="CD702">
            <v>3</v>
          </cell>
          <cell r="CE702">
            <v>0</v>
          </cell>
          <cell r="CF702">
            <v>3</v>
          </cell>
          <cell r="CG702">
            <v>3</v>
          </cell>
          <cell r="CH702">
            <v>1.5</v>
          </cell>
          <cell r="CI702">
            <v>0</v>
          </cell>
          <cell r="CJ702">
            <v>8</v>
          </cell>
          <cell r="CK702">
            <v>1.5</v>
          </cell>
          <cell r="CL702">
            <v>0</v>
          </cell>
          <cell r="CM702">
            <v>0</v>
          </cell>
          <cell r="CR702">
            <v>0</v>
          </cell>
          <cell r="CS702">
            <v>0</v>
          </cell>
          <cell r="CT702">
            <v>38.5</v>
          </cell>
          <cell r="CU702">
            <v>8</v>
          </cell>
          <cell r="CV702">
            <v>0</v>
          </cell>
          <cell r="CZ702">
            <v>46.5</v>
          </cell>
        </row>
        <row r="703">
          <cell r="C703" t="str">
            <v>04074</v>
          </cell>
          <cell r="D703" t="str">
            <v>Thân Thị Tuyết Ngân</v>
          </cell>
          <cell r="E703" t="str">
            <v>Production</v>
          </cell>
          <cell r="F703" t="str">
            <v>Logo</v>
          </cell>
          <cell r="G703" t="str">
            <v>Worker</v>
          </cell>
          <cell r="H703">
            <v>45377</v>
          </cell>
          <cell r="I703">
            <v>8</v>
          </cell>
          <cell r="J703">
            <v>8</v>
          </cell>
          <cell r="K703">
            <v>8</v>
          </cell>
          <cell r="L703" t="str">
            <v>CN</v>
          </cell>
          <cell r="M703" t="str">
            <v>Đ</v>
          </cell>
          <cell r="N703" t="str">
            <v>Đ</v>
          </cell>
          <cell r="O703" t="str">
            <v>Đ</v>
          </cell>
          <cell r="P703" t="str">
            <v>Đ</v>
          </cell>
          <cell r="Q703" t="str">
            <v>Đ</v>
          </cell>
          <cell r="R703" t="str">
            <v>Đ</v>
          </cell>
          <cell r="S703" t="str">
            <v>CN</v>
          </cell>
          <cell r="T703" t="str">
            <v>AL8</v>
          </cell>
          <cell r="U703">
            <v>8</v>
          </cell>
          <cell r="V703">
            <v>8</v>
          </cell>
          <cell r="W703">
            <v>8</v>
          </cell>
          <cell r="X703">
            <v>8</v>
          </cell>
          <cell r="Y703">
            <v>8</v>
          </cell>
          <cell r="Z703" t="str">
            <v>CN</v>
          </cell>
          <cell r="AA703" t="str">
            <v>Đ</v>
          </cell>
          <cell r="AB703" t="str">
            <v>Đ</v>
          </cell>
          <cell r="AC703" t="str">
            <v>Đ</v>
          </cell>
          <cell r="AD703" t="str">
            <v>Đ</v>
          </cell>
          <cell r="AE703" t="str">
            <v>Đ</v>
          </cell>
          <cell r="AF703" t="str">
            <v>Đ</v>
          </cell>
          <cell r="AG703" t="str">
            <v>CN</v>
          </cell>
          <cell r="AH703">
            <v>8</v>
          </cell>
          <cell r="AI703">
            <v>8</v>
          </cell>
          <cell r="AJ703">
            <v>8</v>
          </cell>
          <cell r="AN703">
            <v>96</v>
          </cell>
          <cell r="AO703">
            <v>88</v>
          </cell>
          <cell r="AP703">
            <v>0</v>
          </cell>
          <cell r="AQ703">
            <v>0</v>
          </cell>
          <cell r="AR703">
            <v>0</v>
          </cell>
          <cell r="AS703">
            <v>0</v>
          </cell>
          <cell r="AT703">
            <v>0</v>
          </cell>
          <cell r="AU703">
            <v>0</v>
          </cell>
          <cell r="AV703">
            <v>0</v>
          </cell>
          <cell r="AW703">
            <v>0</v>
          </cell>
          <cell r="AX703">
            <v>0</v>
          </cell>
          <cell r="AY703">
            <v>0</v>
          </cell>
          <cell r="AZ703">
            <v>0</v>
          </cell>
          <cell r="BA703">
            <v>8</v>
          </cell>
          <cell r="BB703">
            <v>0</v>
          </cell>
          <cell r="BC703">
            <v>0</v>
          </cell>
          <cell r="BD703">
            <v>0</v>
          </cell>
          <cell r="BE703">
            <v>0</v>
          </cell>
          <cell r="BF703">
            <v>0</v>
          </cell>
          <cell r="BG703">
            <v>192</v>
          </cell>
          <cell r="BH703">
            <v>1</v>
          </cell>
          <cell r="BI703">
            <v>1</v>
          </cell>
          <cell r="BJ703">
            <v>6</v>
          </cell>
          <cell r="BL703">
            <v>0</v>
          </cell>
          <cell r="BM703">
            <v>0</v>
          </cell>
          <cell r="BN703">
            <v>0</v>
          </cell>
          <cell r="BO703">
            <v>0</v>
          </cell>
          <cell r="BP703">
            <v>1.5</v>
          </cell>
          <cell r="BQ703">
            <v>3</v>
          </cell>
          <cell r="BR703">
            <v>0</v>
          </cell>
          <cell r="BS703">
            <v>3</v>
          </cell>
          <cell r="BT703">
            <v>0</v>
          </cell>
          <cell r="BU703">
            <v>0</v>
          </cell>
          <cell r="BV703">
            <v>0</v>
          </cell>
          <cell r="BW703">
            <v>0</v>
          </cell>
          <cell r="BX703">
            <v>3</v>
          </cell>
          <cell r="BY703">
            <v>3</v>
          </cell>
          <cell r="BZ703">
            <v>3</v>
          </cell>
          <cell r="CA703">
            <v>3</v>
          </cell>
          <cell r="CB703">
            <v>3</v>
          </cell>
          <cell r="CC703">
            <v>8</v>
          </cell>
          <cell r="CD703">
            <v>4</v>
          </cell>
          <cell r="CE703">
            <v>4</v>
          </cell>
          <cell r="CF703">
            <v>4</v>
          </cell>
          <cell r="CG703">
            <v>4</v>
          </cell>
          <cell r="CH703">
            <v>1.5</v>
          </cell>
          <cell r="CI703">
            <v>1.5</v>
          </cell>
          <cell r="CJ703">
            <v>0</v>
          </cell>
          <cell r="CK703">
            <v>1.5</v>
          </cell>
          <cell r="CL703">
            <v>1.5</v>
          </cell>
          <cell r="CM703">
            <v>1.5</v>
          </cell>
          <cell r="CR703">
            <v>0</v>
          </cell>
          <cell r="CS703">
            <v>0</v>
          </cell>
          <cell r="CT703">
            <v>46</v>
          </cell>
          <cell r="CU703">
            <v>8</v>
          </cell>
          <cell r="CV703">
            <v>0</v>
          </cell>
          <cell r="CZ703">
            <v>54</v>
          </cell>
        </row>
        <row r="704">
          <cell r="C704" t="str">
            <v>04075</v>
          </cell>
          <cell r="D704" t="str">
            <v>Trần Thị Việt</v>
          </cell>
          <cell r="E704" t="str">
            <v>Production</v>
          </cell>
          <cell r="F704" t="str">
            <v>Logo</v>
          </cell>
          <cell r="G704" t="str">
            <v>Worker</v>
          </cell>
          <cell r="H704">
            <v>45377</v>
          </cell>
          <cell r="I704">
            <v>8</v>
          </cell>
          <cell r="J704">
            <v>8</v>
          </cell>
          <cell r="K704">
            <v>8</v>
          </cell>
          <cell r="L704" t="str">
            <v>CN</v>
          </cell>
          <cell r="M704" t="str">
            <v>Đ</v>
          </cell>
          <cell r="N704" t="str">
            <v>Đ</v>
          </cell>
          <cell r="O704" t="str">
            <v>Đ</v>
          </cell>
          <cell r="P704" t="str">
            <v>Đ</v>
          </cell>
          <cell r="Q704" t="str">
            <v>Đ</v>
          </cell>
          <cell r="R704" t="str">
            <v>Đ</v>
          </cell>
          <cell r="S704" t="str">
            <v>CN</v>
          </cell>
          <cell r="T704">
            <v>8</v>
          </cell>
          <cell r="U704">
            <v>8</v>
          </cell>
          <cell r="V704">
            <v>8</v>
          </cell>
          <cell r="W704">
            <v>8</v>
          </cell>
          <cell r="X704">
            <v>8</v>
          </cell>
          <cell r="Y704">
            <v>8</v>
          </cell>
          <cell r="Z704" t="str">
            <v>CN</v>
          </cell>
          <cell r="AA704" t="str">
            <v>Đ</v>
          </cell>
          <cell r="AB704" t="str">
            <v>Đ</v>
          </cell>
          <cell r="AC704" t="str">
            <v>Đ</v>
          </cell>
          <cell r="AD704" t="str">
            <v>Đ</v>
          </cell>
          <cell r="AE704" t="str">
            <v>Đ</v>
          </cell>
          <cell r="AF704" t="str">
            <v>Đ</v>
          </cell>
          <cell r="AG704" t="str">
            <v>CN</v>
          </cell>
          <cell r="AH704">
            <v>8</v>
          </cell>
          <cell r="AI704">
            <v>8</v>
          </cell>
          <cell r="AJ704">
            <v>8</v>
          </cell>
          <cell r="AN704">
            <v>96</v>
          </cell>
          <cell r="AO704">
            <v>96</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192</v>
          </cell>
          <cell r="BH704">
            <v>0</v>
          </cell>
          <cell r="BI704">
            <v>0</v>
          </cell>
          <cell r="BJ704">
            <v>2.5</v>
          </cell>
          <cell r="BL704">
            <v>0</v>
          </cell>
          <cell r="BM704">
            <v>1.5</v>
          </cell>
          <cell r="BN704">
            <v>0</v>
          </cell>
          <cell r="BO704">
            <v>0</v>
          </cell>
          <cell r="BP704">
            <v>1.5</v>
          </cell>
          <cell r="BQ704">
            <v>0</v>
          </cell>
          <cell r="BR704">
            <v>0</v>
          </cell>
          <cell r="BS704">
            <v>4</v>
          </cell>
          <cell r="BT704">
            <v>4</v>
          </cell>
          <cell r="BU704">
            <v>4</v>
          </cell>
          <cell r="BV704">
            <v>0</v>
          </cell>
          <cell r="BW704">
            <v>3</v>
          </cell>
          <cell r="BX704">
            <v>0</v>
          </cell>
          <cell r="BY704">
            <v>3</v>
          </cell>
          <cell r="BZ704">
            <v>3</v>
          </cell>
          <cell r="CA704">
            <v>3</v>
          </cell>
          <cell r="CB704">
            <v>3</v>
          </cell>
          <cell r="CC704">
            <v>8</v>
          </cell>
          <cell r="CD704">
            <v>4</v>
          </cell>
          <cell r="CE704">
            <v>4</v>
          </cell>
          <cell r="CF704">
            <v>4</v>
          </cell>
          <cell r="CG704">
            <v>4</v>
          </cell>
          <cell r="CH704">
            <v>0</v>
          </cell>
          <cell r="CI704">
            <v>4</v>
          </cell>
          <cell r="CJ704">
            <v>0</v>
          </cell>
          <cell r="CK704">
            <v>3</v>
          </cell>
          <cell r="CL704">
            <v>3</v>
          </cell>
          <cell r="CM704">
            <v>3</v>
          </cell>
          <cell r="CR704">
            <v>0</v>
          </cell>
          <cell r="CS704">
            <v>0</v>
          </cell>
          <cell r="CT704">
            <v>59</v>
          </cell>
          <cell r="CU704">
            <v>8</v>
          </cell>
          <cell r="CV704">
            <v>0</v>
          </cell>
          <cell r="CZ704">
            <v>67</v>
          </cell>
        </row>
        <row r="705">
          <cell r="C705" t="str">
            <v>04078</v>
          </cell>
          <cell r="D705" t="str">
            <v>Lâm Sà Rương</v>
          </cell>
          <cell r="E705" t="str">
            <v>Production</v>
          </cell>
          <cell r="F705" t="str">
            <v>Die Cut</v>
          </cell>
          <cell r="G705" t="str">
            <v>Worker</v>
          </cell>
          <cell r="H705">
            <v>45377</v>
          </cell>
          <cell r="I705">
            <v>8</v>
          </cell>
          <cell r="J705">
            <v>8</v>
          </cell>
          <cell r="K705">
            <v>8</v>
          </cell>
          <cell r="L705" t="str">
            <v>CN</v>
          </cell>
          <cell r="M705" t="str">
            <v>Đ</v>
          </cell>
          <cell r="N705" t="str">
            <v>Đ</v>
          </cell>
          <cell r="O705" t="str">
            <v>Đ</v>
          </cell>
          <cell r="P705" t="str">
            <v>Đ</v>
          </cell>
          <cell r="Q705" t="str">
            <v>Đ</v>
          </cell>
          <cell r="R705" t="str">
            <v>Đ</v>
          </cell>
          <cell r="S705" t="str">
            <v>CN</v>
          </cell>
          <cell r="T705" t="str">
            <v>AL8</v>
          </cell>
          <cell r="U705">
            <v>8</v>
          </cell>
          <cell r="V705">
            <v>8</v>
          </cell>
          <cell r="W705">
            <v>8</v>
          </cell>
          <cell r="X705">
            <v>8</v>
          </cell>
          <cell r="Y705">
            <v>8</v>
          </cell>
          <cell r="Z705" t="str">
            <v>CN</v>
          </cell>
          <cell r="AA705" t="str">
            <v>Đ</v>
          </cell>
          <cell r="AB705" t="str">
            <v>Đ</v>
          </cell>
          <cell r="AC705" t="str">
            <v>Đ</v>
          </cell>
          <cell r="AD705" t="str">
            <v>Đ</v>
          </cell>
          <cell r="AE705" t="str">
            <v>Đ</v>
          </cell>
          <cell r="AF705" t="str">
            <v>AL8</v>
          </cell>
          <cell r="AG705" t="str">
            <v>CN</v>
          </cell>
          <cell r="AH705">
            <v>8</v>
          </cell>
          <cell r="AI705">
            <v>8</v>
          </cell>
          <cell r="AJ705">
            <v>8</v>
          </cell>
          <cell r="AN705">
            <v>88</v>
          </cell>
          <cell r="AO705">
            <v>88</v>
          </cell>
          <cell r="AP705">
            <v>0</v>
          </cell>
          <cell r="AQ705">
            <v>0</v>
          </cell>
          <cell r="AR705">
            <v>0</v>
          </cell>
          <cell r="AS705">
            <v>0</v>
          </cell>
          <cell r="AT705">
            <v>0</v>
          </cell>
          <cell r="AU705">
            <v>0</v>
          </cell>
          <cell r="AV705">
            <v>0</v>
          </cell>
          <cell r="AW705">
            <v>0</v>
          </cell>
          <cell r="AX705">
            <v>0</v>
          </cell>
          <cell r="AY705">
            <v>0</v>
          </cell>
          <cell r="AZ705">
            <v>0</v>
          </cell>
          <cell r="BA705">
            <v>16</v>
          </cell>
          <cell r="BB705">
            <v>0</v>
          </cell>
          <cell r="BC705">
            <v>0</v>
          </cell>
          <cell r="BD705">
            <v>0</v>
          </cell>
          <cell r="BE705">
            <v>0</v>
          </cell>
          <cell r="BF705">
            <v>0</v>
          </cell>
          <cell r="BG705">
            <v>192</v>
          </cell>
          <cell r="BH705">
            <v>2</v>
          </cell>
          <cell r="BI705">
            <v>2</v>
          </cell>
          <cell r="BJ705">
            <v>3</v>
          </cell>
          <cell r="BL705">
            <v>0</v>
          </cell>
          <cell r="BM705">
            <v>1.5</v>
          </cell>
          <cell r="BN705">
            <v>1.5</v>
          </cell>
          <cell r="BO705">
            <v>0</v>
          </cell>
          <cell r="BP705">
            <v>1.5</v>
          </cell>
          <cell r="BQ705">
            <v>3</v>
          </cell>
          <cell r="BR705">
            <v>0</v>
          </cell>
          <cell r="BS705">
            <v>3</v>
          </cell>
          <cell r="BT705">
            <v>3</v>
          </cell>
          <cell r="BU705">
            <v>0</v>
          </cell>
          <cell r="BV705">
            <v>0</v>
          </cell>
          <cell r="BW705">
            <v>0</v>
          </cell>
          <cell r="BX705">
            <v>4</v>
          </cell>
          <cell r="BY705">
            <v>0</v>
          </cell>
          <cell r="BZ705">
            <v>0</v>
          </cell>
          <cell r="CA705">
            <v>0</v>
          </cell>
          <cell r="CB705">
            <v>0</v>
          </cell>
          <cell r="CC705">
            <v>8</v>
          </cell>
          <cell r="CD705">
            <v>4</v>
          </cell>
          <cell r="CE705">
            <v>4</v>
          </cell>
          <cell r="CF705">
            <v>4</v>
          </cell>
          <cell r="CG705">
            <v>4</v>
          </cell>
          <cell r="CH705">
            <v>1.5</v>
          </cell>
          <cell r="CI705">
            <v>0</v>
          </cell>
          <cell r="CJ705">
            <v>0</v>
          </cell>
          <cell r="CK705">
            <v>1.5</v>
          </cell>
          <cell r="CL705">
            <v>1.5</v>
          </cell>
          <cell r="CM705">
            <v>1.5</v>
          </cell>
          <cell r="CR705">
            <v>0</v>
          </cell>
          <cell r="CS705">
            <v>0</v>
          </cell>
          <cell r="CT705">
            <v>39.5</v>
          </cell>
          <cell r="CU705">
            <v>8</v>
          </cell>
          <cell r="CV705">
            <v>0</v>
          </cell>
          <cell r="CZ705">
            <v>47.5</v>
          </cell>
        </row>
        <row r="706">
          <cell r="C706" t="str">
            <v>04079</v>
          </cell>
          <cell r="D706" t="str">
            <v>Huỳnh Văn Mãi</v>
          </cell>
          <cell r="E706" t="str">
            <v>Foaming</v>
          </cell>
          <cell r="F706" t="str">
            <v>FOAMING Splitting</v>
          </cell>
          <cell r="G706" t="str">
            <v>Worker</v>
          </cell>
          <cell r="H706">
            <v>45377</v>
          </cell>
          <cell r="I706" t="str">
            <v>Đ</v>
          </cell>
          <cell r="J706" t="str">
            <v>Đ</v>
          </cell>
          <cell r="K706" t="str">
            <v>Đ</v>
          </cell>
          <cell r="L706" t="str">
            <v>CN</v>
          </cell>
          <cell r="M706" t="str">
            <v>Đ</v>
          </cell>
          <cell r="N706" t="str">
            <v>Đ</v>
          </cell>
          <cell r="O706" t="str">
            <v>Đ</v>
          </cell>
          <cell r="P706" t="str">
            <v>Đ</v>
          </cell>
          <cell r="Q706" t="str">
            <v>Đ</v>
          </cell>
          <cell r="R706" t="str">
            <v>Đ</v>
          </cell>
          <cell r="S706" t="str">
            <v>CN</v>
          </cell>
          <cell r="T706" t="str">
            <v>Đ</v>
          </cell>
          <cell r="U706" t="str">
            <v>Đ</v>
          </cell>
          <cell r="V706" t="str">
            <v>Đ</v>
          </cell>
          <cell r="W706" t="str">
            <v>Đ</v>
          </cell>
          <cell r="X706" t="str">
            <v>Đ</v>
          </cell>
          <cell r="Y706" t="str">
            <v>Đ</v>
          </cell>
          <cell r="Z706" t="str">
            <v>CN</v>
          </cell>
          <cell r="AA706">
            <v>8</v>
          </cell>
          <cell r="AB706">
            <v>8</v>
          </cell>
          <cell r="AC706">
            <v>8</v>
          </cell>
          <cell r="AD706">
            <v>8</v>
          </cell>
          <cell r="AE706">
            <v>8</v>
          </cell>
          <cell r="AF706">
            <v>8</v>
          </cell>
          <cell r="AG706" t="str">
            <v>CN</v>
          </cell>
          <cell r="AH706">
            <v>8</v>
          </cell>
          <cell r="AI706">
            <v>8</v>
          </cell>
          <cell r="AJ706">
            <v>8</v>
          </cell>
          <cell r="AN706">
            <v>120</v>
          </cell>
          <cell r="AO706">
            <v>72</v>
          </cell>
          <cell r="AP706">
            <v>0</v>
          </cell>
          <cell r="AQ706">
            <v>0</v>
          </cell>
          <cell r="AR706">
            <v>0</v>
          </cell>
          <cell r="AS706">
            <v>0</v>
          </cell>
          <cell r="AT706">
            <v>0</v>
          </cell>
          <cell r="AU706">
            <v>0</v>
          </cell>
          <cell r="AV706">
            <v>0</v>
          </cell>
          <cell r="AW706">
            <v>0</v>
          </cell>
          <cell r="AX706">
            <v>0</v>
          </cell>
          <cell r="AY706">
            <v>0</v>
          </cell>
          <cell r="AZ706">
            <v>0</v>
          </cell>
          <cell r="BA706">
            <v>0</v>
          </cell>
          <cell r="BB706">
            <v>0</v>
          </cell>
          <cell r="BC706">
            <v>0</v>
          </cell>
          <cell r="BD706">
            <v>0</v>
          </cell>
          <cell r="BE706">
            <v>0</v>
          </cell>
          <cell r="BF706">
            <v>0</v>
          </cell>
          <cell r="BG706">
            <v>192</v>
          </cell>
          <cell r="BH706">
            <v>0</v>
          </cell>
          <cell r="BI706">
            <v>0</v>
          </cell>
          <cell r="BJ706">
            <v>-9.5</v>
          </cell>
          <cell r="BL706">
            <v>4</v>
          </cell>
          <cell r="BM706">
            <v>4</v>
          </cell>
          <cell r="BN706">
            <v>4</v>
          </cell>
          <cell r="BO706" t="str">
            <v>12Đ</v>
          </cell>
          <cell r="BP706">
            <v>2</v>
          </cell>
          <cell r="BQ706">
            <v>4</v>
          </cell>
          <cell r="BR706">
            <v>4</v>
          </cell>
          <cell r="BS706">
            <v>4</v>
          </cell>
          <cell r="BT706">
            <v>4</v>
          </cell>
          <cell r="BU706">
            <v>4</v>
          </cell>
          <cell r="BV706" t="str">
            <v>12Đ</v>
          </cell>
          <cell r="BW706">
            <v>4</v>
          </cell>
          <cell r="BX706">
            <v>4</v>
          </cell>
          <cell r="BY706">
            <v>4</v>
          </cell>
          <cell r="BZ706">
            <v>4</v>
          </cell>
          <cell r="CA706">
            <v>4</v>
          </cell>
          <cell r="CB706">
            <v>4</v>
          </cell>
          <cell r="CC706">
            <v>0</v>
          </cell>
          <cell r="CD706">
            <v>4</v>
          </cell>
          <cell r="CE706">
            <v>0</v>
          </cell>
          <cell r="CF706">
            <v>4</v>
          </cell>
          <cell r="CG706">
            <v>2</v>
          </cell>
          <cell r="CH706">
            <v>4</v>
          </cell>
          <cell r="CI706">
            <v>2</v>
          </cell>
          <cell r="CJ706">
            <v>12</v>
          </cell>
          <cell r="CK706">
            <v>4</v>
          </cell>
          <cell r="CL706">
            <v>0</v>
          </cell>
          <cell r="CM706">
            <v>4</v>
          </cell>
          <cell r="CR706">
            <v>0</v>
          </cell>
          <cell r="CS706">
            <v>0</v>
          </cell>
          <cell r="CT706">
            <v>82</v>
          </cell>
          <cell r="CU706">
            <v>20</v>
          </cell>
          <cell r="CV706">
            <v>16</v>
          </cell>
          <cell r="CZ706">
            <v>118</v>
          </cell>
        </row>
        <row r="707">
          <cell r="C707" t="str">
            <v>04080</v>
          </cell>
          <cell r="D707" t="str">
            <v>Nguyễn Văn Thủy</v>
          </cell>
          <cell r="E707" t="str">
            <v>Foaming</v>
          </cell>
          <cell r="F707" t="str">
            <v>FOAMING Splitting</v>
          </cell>
          <cell r="G707" t="str">
            <v>Worker</v>
          </cell>
          <cell r="H707">
            <v>45377</v>
          </cell>
          <cell r="I707" t="str">
            <v>UP4</v>
          </cell>
          <cell r="J707">
            <v>8</v>
          </cell>
          <cell r="K707">
            <v>8</v>
          </cell>
          <cell r="L707" t="str">
            <v>CN</v>
          </cell>
          <cell r="M707">
            <v>8</v>
          </cell>
          <cell r="N707">
            <v>8</v>
          </cell>
          <cell r="O707">
            <v>8</v>
          </cell>
          <cell r="P707">
            <v>8</v>
          </cell>
          <cell r="Q707">
            <v>8</v>
          </cell>
          <cell r="R707">
            <v>8</v>
          </cell>
          <cell r="S707" t="str">
            <v>CN</v>
          </cell>
          <cell r="T707">
            <v>8</v>
          </cell>
          <cell r="U707">
            <v>8</v>
          </cell>
          <cell r="V707">
            <v>8</v>
          </cell>
          <cell r="W707" t="str">
            <v>AL8</v>
          </cell>
          <cell r="X707">
            <v>8</v>
          </cell>
          <cell r="Y707">
            <v>8</v>
          </cell>
          <cell r="Z707" t="str">
            <v>CN</v>
          </cell>
          <cell r="AA707" t="str">
            <v>Đ</v>
          </cell>
          <cell r="AB707" t="str">
            <v>Đ</v>
          </cell>
          <cell r="AC707" t="str">
            <v>Đ</v>
          </cell>
          <cell r="AD707" t="str">
            <v>Đ</v>
          </cell>
          <cell r="AE707" t="str">
            <v>Đ</v>
          </cell>
          <cell r="AF707" t="str">
            <v>Đ</v>
          </cell>
          <cell r="AG707" t="str">
            <v>CN</v>
          </cell>
          <cell r="AH707" t="str">
            <v>Đ</v>
          </cell>
          <cell r="AI707" t="str">
            <v>Đ</v>
          </cell>
          <cell r="AJ707" t="str">
            <v>Đ</v>
          </cell>
          <cell r="AN707">
            <v>72</v>
          </cell>
          <cell r="AO707">
            <v>108</v>
          </cell>
          <cell r="AP707">
            <v>0</v>
          </cell>
          <cell r="AQ707">
            <v>0</v>
          </cell>
          <cell r="AR707">
            <v>4</v>
          </cell>
          <cell r="AS707">
            <v>4</v>
          </cell>
          <cell r="AT707">
            <v>0</v>
          </cell>
          <cell r="AU707">
            <v>0</v>
          </cell>
          <cell r="AV707">
            <v>0</v>
          </cell>
          <cell r="AW707">
            <v>0</v>
          </cell>
          <cell r="AX707">
            <v>0</v>
          </cell>
          <cell r="AY707">
            <v>0</v>
          </cell>
          <cell r="AZ707">
            <v>0</v>
          </cell>
          <cell r="BA707">
            <v>8</v>
          </cell>
          <cell r="BB707">
            <v>0</v>
          </cell>
          <cell r="BC707">
            <v>0</v>
          </cell>
          <cell r="BD707">
            <v>0</v>
          </cell>
          <cell r="BE707">
            <v>0</v>
          </cell>
          <cell r="BF707">
            <v>0</v>
          </cell>
          <cell r="BG707">
            <v>188</v>
          </cell>
          <cell r="BH707">
            <v>1</v>
          </cell>
          <cell r="BI707">
            <v>1</v>
          </cell>
          <cell r="BJ707">
            <v>-2</v>
          </cell>
          <cell r="BL707">
            <v>0</v>
          </cell>
          <cell r="BM707">
            <v>4</v>
          </cell>
          <cell r="BN707">
            <v>3</v>
          </cell>
          <cell r="BO707">
            <v>11</v>
          </cell>
          <cell r="BP707">
            <v>0</v>
          </cell>
          <cell r="BQ707">
            <v>4</v>
          </cell>
          <cell r="BR707">
            <v>4</v>
          </cell>
          <cell r="BS707">
            <v>4</v>
          </cell>
          <cell r="BT707">
            <v>0</v>
          </cell>
          <cell r="BU707">
            <v>4</v>
          </cell>
          <cell r="BV707">
            <v>12</v>
          </cell>
          <cell r="BW707">
            <v>4</v>
          </cell>
          <cell r="BX707">
            <v>4</v>
          </cell>
          <cell r="BY707">
            <v>4</v>
          </cell>
          <cell r="BZ707">
            <v>0</v>
          </cell>
          <cell r="CA707">
            <v>4</v>
          </cell>
          <cell r="CB707">
            <v>3</v>
          </cell>
          <cell r="CC707" t="str">
            <v>12Đ</v>
          </cell>
          <cell r="CD707">
            <v>4</v>
          </cell>
          <cell r="CE707">
            <v>4</v>
          </cell>
          <cell r="CF707">
            <v>4</v>
          </cell>
          <cell r="CG707">
            <v>4</v>
          </cell>
          <cell r="CH707">
            <v>4</v>
          </cell>
          <cell r="CI707">
            <v>0</v>
          </cell>
          <cell r="CJ707" t="str">
            <v>12Đ</v>
          </cell>
          <cell r="CK707">
            <v>4</v>
          </cell>
          <cell r="CL707">
            <v>2</v>
          </cell>
          <cell r="CM707">
            <v>4</v>
          </cell>
          <cell r="CR707">
            <v>0</v>
          </cell>
          <cell r="CS707">
            <v>0</v>
          </cell>
          <cell r="CT707">
            <v>72</v>
          </cell>
          <cell r="CU707">
            <v>31</v>
          </cell>
          <cell r="CV707">
            <v>16</v>
          </cell>
          <cell r="CZ707">
            <v>119</v>
          </cell>
        </row>
        <row r="708">
          <cell r="C708" t="str">
            <v>04081</v>
          </cell>
          <cell r="D708" t="str">
            <v>Nguyễn Thị Mỹ Thoa</v>
          </cell>
          <cell r="E708" t="str">
            <v>Production</v>
          </cell>
          <cell r="F708" t="str">
            <v>Logo</v>
          </cell>
          <cell r="G708" t="str">
            <v>Worker</v>
          </cell>
          <cell r="H708">
            <v>45377</v>
          </cell>
          <cell r="I708">
            <v>8</v>
          </cell>
          <cell r="J708">
            <v>8</v>
          </cell>
          <cell r="K708">
            <v>8</v>
          </cell>
          <cell r="L708" t="str">
            <v>CN</v>
          </cell>
          <cell r="M708" t="str">
            <v>Đ</v>
          </cell>
          <cell r="N708" t="str">
            <v>Đ</v>
          </cell>
          <cell r="O708" t="str">
            <v>Đ</v>
          </cell>
          <cell r="P708" t="str">
            <v>Đ</v>
          </cell>
          <cell r="Q708" t="str">
            <v>Đ</v>
          </cell>
          <cell r="R708" t="str">
            <v>Đ</v>
          </cell>
          <cell r="S708" t="str">
            <v>CN</v>
          </cell>
          <cell r="T708">
            <v>8</v>
          </cell>
          <cell r="U708">
            <v>8</v>
          </cell>
          <cell r="V708">
            <v>8</v>
          </cell>
          <cell r="W708">
            <v>8</v>
          </cell>
          <cell r="X708">
            <v>8</v>
          </cell>
          <cell r="Y708">
            <v>8</v>
          </cell>
          <cell r="Z708" t="str">
            <v>CN</v>
          </cell>
          <cell r="AA708" t="str">
            <v>Đ</v>
          </cell>
          <cell r="AB708" t="str">
            <v>Đ</v>
          </cell>
          <cell r="AC708" t="str">
            <v>Đ</v>
          </cell>
          <cell r="AD708" t="str">
            <v>Đ</v>
          </cell>
          <cell r="AE708" t="str">
            <v>Đ</v>
          </cell>
          <cell r="AF708" t="str">
            <v>Đ</v>
          </cell>
          <cell r="AG708" t="str">
            <v>CN</v>
          </cell>
          <cell r="AH708">
            <v>8</v>
          </cell>
          <cell r="AI708">
            <v>8</v>
          </cell>
          <cell r="AJ708">
            <v>8</v>
          </cell>
          <cell r="AN708">
            <v>96</v>
          </cell>
          <cell r="AO708">
            <v>96</v>
          </cell>
          <cell r="AP708">
            <v>0</v>
          </cell>
          <cell r="AQ708">
            <v>0</v>
          </cell>
          <cell r="AR708">
            <v>0</v>
          </cell>
          <cell r="AS708">
            <v>0</v>
          </cell>
          <cell r="AT708">
            <v>0</v>
          </cell>
          <cell r="AU708">
            <v>0</v>
          </cell>
          <cell r="AV708">
            <v>0</v>
          </cell>
          <cell r="AW708">
            <v>0</v>
          </cell>
          <cell r="AX708">
            <v>0</v>
          </cell>
          <cell r="AY708">
            <v>0</v>
          </cell>
          <cell r="AZ708">
            <v>0</v>
          </cell>
          <cell r="BA708">
            <v>0</v>
          </cell>
          <cell r="BB708">
            <v>0</v>
          </cell>
          <cell r="BC708">
            <v>0</v>
          </cell>
          <cell r="BD708">
            <v>0</v>
          </cell>
          <cell r="BE708">
            <v>0</v>
          </cell>
          <cell r="BF708">
            <v>0</v>
          </cell>
          <cell r="BG708">
            <v>192</v>
          </cell>
          <cell r="BH708">
            <v>0</v>
          </cell>
          <cell r="BI708">
            <v>0</v>
          </cell>
          <cell r="BJ708">
            <v>2</v>
          </cell>
          <cell r="BL708">
            <v>0</v>
          </cell>
          <cell r="BM708">
            <v>0</v>
          </cell>
          <cell r="BN708">
            <v>0</v>
          </cell>
          <cell r="BO708">
            <v>0</v>
          </cell>
          <cell r="BP708">
            <v>1.5</v>
          </cell>
          <cell r="BQ708">
            <v>3</v>
          </cell>
          <cell r="BR708">
            <v>0</v>
          </cell>
          <cell r="BS708">
            <v>3</v>
          </cell>
          <cell r="BT708">
            <v>3</v>
          </cell>
          <cell r="BU708">
            <v>0</v>
          </cell>
          <cell r="BV708">
            <v>0</v>
          </cell>
          <cell r="BW708">
            <v>3</v>
          </cell>
          <cell r="BX708">
            <v>3</v>
          </cell>
          <cell r="BY708">
            <v>3</v>
          </cell>
          <cell r="BZ708">
            <v>3</v>
          </cell>
          <cell r="CA708">
            <v>3</v>
          </cell>
          <cell r="CB708">
            <v>3</v>
          </cell>
          <cell r="CC708">
            <v>8</v>
          </cell>
          <cell r="CD708">
            <v>4</v>
          </cell>
          <cell r="CE708">
            <v>4</v>
          </cell>
          <cell r="CF708">
            <v>4</v>
          </cell>
          <cell r="CG708">
            <v>4</v>
          </cell>
          <cell r="CH708">
            <v>1.5</v>
          </cell>
          <cell r="CI708">
            <v>1.5</v>
          </cell>
          <cell r="CJ708">
            <v>0</v>
          </cell>
          <cell r="CK708">
            <v>0</v>
          </cell>
          <cell r="CL708">
            <v>0</v>
          </cell>
          <cell r="CM708">
            <v>0</v>
          </cell>
          <cell r="CR708">
            <v>0</v>
          </cell>
          <cell r="CS708">
            <v>0</v>
          </cell>
          <cell r="CT708">
            <v>47.5</v>
          </cell>
          <cell r="CU708">
            <v>8</v>
          </cell>
          <cell r="CV708">
            <v>0</v>
          </cell>
          <cell r="CZ708">
            <v>55.5</v>
          </cell>
        </row>
        <row r="709">
          <cell r="C709" t="str">
            <v>04082</v>
          </cell>
          <cell r="D709" t="str">
            <v>Đỗ Phương Tuyền</v>
          </cell>
          <cell r="E709" t="str">
            <v>Production</v>
          </cell>
          <cell r="F709" t="str">
            <v>Logo</v>
          </cell>
          <cell r="G709" t="str">
            <v>Worker</v>
          </cell>
          <cell r="H709">
            <v>45377</v>
          </cell>
          <cell r="I709" t="str">
            <v>Đ</v>
          </cell>
          <cell r="J709" t="str">
            <v>Đ</v>
          </cell>
          <cell r="K709" t="str">
            <v>Đ</v>
          </cell>
          <cell r="L709" t="str">
            <v>CN</v>
          </cell>
          <cell r="M709">
            <v>8</v>
          </cell>
          <cell r="N709">
            <v>8</v>
          </cell>
          <cell r="O709">
            <v>8</v>
          </cell>
          <cell r="P709">
            <v>8</v>
          </cell>
          <cell r="Q709" t="str">
            <v>AL4</v>
          </cell>
          <cell r="R709" t="str">
            <v>AL8</v>
          </cell>
          <cell r="S709" t="str">
            <v>CN</v>
          </cell>
          <cell r="T709" t="str">
            <v>Đ</v>
          </cell>
          <cell r="U709" t="str">
            <v>Đ</v>
          </cell>
          <cell r="V709" t="str">
            <v>Đ</v>
          </cell>
          <cell r="W709" t="str">
            <v>Đ</v>
          </cell>
          <cell r="X709" t="str">
            <v>Đ</v>
          </cell>
          <cell r="Y709" t="str">
            <v>Đ</v>
          </cell>
          <cell r="Z709" t="str">
            <v>CN</v>
          </cell>
          <cell r="AA709">
            <v>8</v>
          </cell>
          <cell r="AB709" t="str">
            <v>AL4</v>
          </cell>
          <cell r="AC709" t="str">
            <v>SL</v>
          </cell>
          <cell r="AD709">
            <v>8</v>
          </cell>
          <cell r="AE709">
            <v>8</v>
          </cell>
          <cell r="AF709">
            <v>8</v>
          </cell>
          <cell r="AG709" t="str">
            <v>CN</v>
          </cell>
          <cell r="AH709" t="str">
            <v>Đ</v>
          </cell>
          <cell r="AI709" t="str">
            <v>Đ</v>
          </cell>
          <cell r="AJ709" t="str">
            <v>Đ</v>
          </cell>
          <cell r="AN709">
            <v>96</v>
          </cell>
          <cell r="AO709">
            <v>72</v>
          </cell>
          <cell r="AP709">
            <v>8</v>
          </cell>
          <cell r="AQ709">
            <v>1</v>
          </cell>
          <cell r="AR709">
            <v>0</v>
          </cell>
          <cell r="AS709">
            <v>0</v>
          </cell>
          <cell r="AT709">
            <v>0</v>
          </cell>
          <cell r="AU709">
            <v>0</v>
          </cell>
          <cell r="AV709">
            <v>0</v>
          </cell>
          <cell r="AW709">
            <v>0</v>
          </cell>
          <cell r="AX709">
            <v>0</v>
          </cell>
          <cell r="AY709">
            <v>0</v>
          </cell>
          <cell r="AZ709">
            <v>0</v>
          </cell>
          <cell r="BA709">
            <v>16</v>
          </cell>
          <cell r="BB709">
            <v>0</v>
          </cell>
          <cell r="BC709">
            <v>0</v>
          </cell>
          <cell r="BD709">
            <v>0</v>
          </cell>
          <cell r="BE709">
            <v>0</v>
          </cell>
          <cell r="BF709">
            <v>0</v>
          </cell>
          <cell r="BG709">
            <v>184</v>
          </cell>
          <cell r="BH709">
            <v>2</v>
          </cell>
          <cell r="BI709">
            <v>2</v>
          </cell>
          <cell r="BJ709">
            <v>-2</v>
          </cell>
          <cell r="BL709">
            <v>0</v>
          </cell>
          <cell r="BM709">
            <v>0</v>
          </cell>
          <cell r="BN709">
            <v>0</v>
          </cell>
          <cell r="BO709">
            <v>0</v>
          </cell>
          <cell r="BP709">
            <v>1.5</v>
          </cell>
          <cell r="BQ709">
            <v>3</v>
          </cell>
          <cell r="BR709">
            <v>0</v>
          </cell>
          <cell r="BS709">
            <v>3</v>
          </cell>
          <cell r="BT709">
            <v>0</v>
          </cell>
          <cell r="BU709">
            <v>0</v>
          </cell>
          <cell r="BV709">
            <v>0</v>
          </cell>
          <cell r="BW709">
            <v>3</v>
          </cell>
          <cell r="BX709">
            <v>4</v>
          </cell>
          <cell r="BY709">
            <v>4</v>
          </cell>
          <cell r="BZ709">
            <v>4</v>
          </cell>
          <cell r="CA709">
            <v>4</v>
          </cell>
          <cell r="CB709">
            <v>4</v>
          </cell>
          <cell r="CC709">
            <v>0</v>
          </cell>
          <cell r="CD709">
            <v>3</v>
          </cell>
          <cell r="CE709">
            <v>2</v>
          </cell>
          <cell r="CF709">
            <v>0</v>
          </cell>
          <cell r="CG709">
            <v>3</v>
          </cell>
          <cell r="CH709">
            <v>1.5</v>
          </cell>
          <cell r="CI709">
            <v>1.5</v>
          </cell>
          <cell r="CJ709">
            <v>8</v>
          </cell>
          <cell r="CK709">
            <v>1.5</v>
          </cell>
          <cell r="CL709">
            <v>1.5</v>
          </cell>
          <cell r="CM709">
            <v>1.5</v>
          </cell>
          <cell r="CR709">
            <v>0</v>
          </cell>
          <cell r="CS709">
            <v>0</v>
          </cell>
          <cell r="CT709">
            <v>46</v>
          </cell>
          <cell r="CU709">
            <v>8</v>
          </cell>
          <cell r="CV709">
            <v>0</v>
          </cell>
          <cell r="CZ709">
            <v>54</v>
          </cell>
        </row>
        <row r="710">
          <cell r="C710" t="str">
            <v>04085</v>
          </cell>
          <cell r="D710" t="str">
            <v>Nguyễn Phương Duy</v>
          </cell>
          <cell r="E710" t="str">
            <v>PD</v>
          </cell>
          <cell r="F710" t="str">
            <v>PD office</v>
          </cell>
          <cell r="G710" t="str">
            <v>Specialist</v>
          </cell>
          <cell r="H710">
            <v>45393</v>
          </cell>
          <cell r="I710">
            <v>8</v>
          </cell>
          <cell r="J710" t="str">
            <v>BS</v>
          </cell>
          <cell r="K710" t="str">
            <v>PO</v>
          </cell>
          <cell r="L710" t="str">
            <v>CN</v>
          </cell>
          <cell r="M710">
            <v>8</v>
          </cell>
          <cell r="N710" t="str">
            <v>BS</v>
          </cell>
          <cell r="O710">
            <v>8</v>
          </cell>
          <cell r="P710" t="str">
            <v>BS</v>
          </cell>
          <cell r="Q710">
            <v>8</v>
          </cell>
          <cell r="R710" t="str">
            <v>PO</v>
          </cell>
          <cell r="S710" t="str">
            <v>CN</v>
          </cell>
          <cell r="T710">
            <v>8</v>
          </cell>
          <cell r="U710">
            <v>8</v>
          </cell>
          <cell r="V710">
            <v>8</v>
          </cell>
          <cell r="W710" t="str">
            <v>BS</v>
          </cell>
          <cell r="X710">
            <v>8</v>
          </cell>
          <cell r="Y710" t="str">
            <v>PO</v>
          </cell>
          <cell r="Z710" t="str">
            <v>CN</v>
          </cell>
          <cell r="AA710">
            <v>8</v>
          </cell>
          <cell r="AB710">
            <v>8</v>
          </cell>
          <cell r="AC710">
            <v>8</v>
          </cell>
          <cell r="AD710" t="str">
            <v>BS</v>
          </cell>
          <cell r="AE710" t="str">
            <v>AL8</v>
          </cell>
          <cell r="AF710" t="str">
            <v>PO</v>
          </cell>
          <cell r="AG710" t="str">
            <v>CN</v>
          </cell>
          <cell r="AH710" t="str">
            <v>BS</v>
          </cell>
          <cell r="AI710">
            <v>8</v>
          </cell>
          <cell r="AJ710">
            <v>8</v>
          </cell>
          <cell r="AN710">
            <v>0</v>
          </cell>
          <cell r="AO710">
            <v>104</v>
          </cell>
          <cell r="AP710">
            <v>0</v>
          </cell>
          <cell r="AQ710">
            <v>0</v>
          </cell>
          <cell r="AR710">
            <v>0</v>
          </cell>
          <cell r="AS710">
            <v>0</v>
          </cell>
          <cell r="AT710">
            <v>0</v>
          </cell>
          <cell r="AU710">
            <v>48</v>
          </cell>
          <cell r="AV710">
            <v>32</v>
          </cell>
          <cell r="AW710">
            <v>0</v>
          </cell>
          <cell r="AX710">
            <v>0</v>
          </cell>
          <cell r="AY710">
            <v>0</v>
          </cell>
          <cell r="AZ710">
            <v>0</v>
          </cell>
          <cell r="BA710">
            <v>8</v>
          </cell>
          <cell r="BB710">
            <v>0</v>
          </cell>
          <cell r="BC710">
            <v>0</v>
          </cell>
          <cell r="BD710">
            <v>0</v>
          </cell>
          <cell r="BE710">
            <v>0</v>
          </cell>
          <cell r="BF710">
            <v>0</v>
          </cell>
          <cell r="BG710">
            <v>192</v>
          </cell>
          <cell r="BH710">
            <v>1</v>
          </cell>
          <cell r="BI710">
            <v>1</v>
          </cell>
          <cell r="BJ710">
            <v>5</v>
          </cell>
          <cell r="BL710">
            <v>0</v>
          </cell>
          <cell r="BM710">
            <v>0</v>
          </cell>
          <cell r="BN710">
            <v>0</v>
          </cell>
          <cell r="BO710">
            <v>0</v>
          </cell>
          <cell r="BP710">
            <v>0</v>
          </cell>
          <cell r="BQ710">
            <v>0</v>
          </cell>
          <cell r="BR710">
            <v>0</v>
          </cell>
          <cell r="BS710">
            <v>0</v>
          </cell>
          <cell r="BT710">
            <v>0</v>
          </cell>
          <cell r="BU710">
            <v>0</v>
          </cell>
          <cell r="BV710">
            <v>0</v>
          </cell>
          <cell r="BW710">
            <v>0</v>
          </cell>
          <cell r="BX710">
            <v>0</v>
          </cell>
          <cell r="BY710">
            <v>0</v>
          </cell>
          <cell r="BZ710">
            <v>0</v>
          </cell>
          <cell r="CA710">
            <v>0</v>
          </cell>
          <cell r="CB710">
            <v>0</v>
          </cell>
          <cell r="CC710">
            <v>0</v>
          </cell>
          <cell r="CD710">
            <v>0</v>
          </cell>
          <cell r="CE710">
            <v>0</v>
          </cell>
          <cell r="CF710">
            <v>0</v>
          </cell>
          <cell r="CG710">
            <v>0</v>
          </cell>
          <cell r="CH710">
            <v>0</v>
          </cell>
          <cell r="CI710">
            <v>0</v>
          </cell>
          <cell r="CJ710">
            <v>0</v>
          </cell>
          <cell r="CK710">
            <v>0</v>
          </cell>
          <cell r="CL710">
            <v>0</v>
          </cell>
          <cell r="CM710">
            <v>0</v>
          </cell>
          <cell r="CR710">
            <v>0</v>
          </cell>
          <cell r="CS710">
            <v>0</v>
          </cell>
          <cell r="CT710">
            <v>0</v>
          </cell>
          <cell r="CU710">
            <v>0</v>
          </cell>
          <cell r="CV710">
            <v>0</v>
          </cell>
          <cell r="CZ710">
            <v>0</v>
          </cell>
        </row>
        <row r="711">
          <cell r="C711" t="str">
            <v>04089</v>
          </cell>
          <cell r="D711" t="str">
            <v>Kim Thị Na Huynh</v>
          </cell>
          <cell r="E711" t="str">
            <v>Production</v>
          </cell>
          <cell r="F711" t="str">
            <v>Packing</v>
          </cell>
          <cell r="G711" t="str">
            <v>Worker</v>
          </cell>
          <cell r="H711">
            <v>45397</v>
          </cell>
          <cell r="I711" t="str">
            <v>Đ</v>
          </cell>
          <cell r="J711" t="str">
            <v>Đ</v>
          </cell>
          <cell r="K711" t="str">
            <v>Đ</v>
          </cell>
          <cell r="L711" t="str">
            <v>CN</v>
          </cell>
          <cell r="M711">
            <v>8</v>
          </cell>
          <cell r="N711">
            <v>8</v>
          </cell>
          <cell r="O711">
            <v>8</v>
          </cell>
          <cell r="P711">
            <v>8</v>
          </cell>
          <cell r="Q711">
            <v>8</v>
          </cell>
          <cell r="R711">
            <v>8</v>
          </cell>
          <cell r="S711" t="str">
            <v>CN</v>
          </cell>
          <cell r="T711" t="str">
            <v>Đ</v>
          </cell>
          <cell r="U711" t="str">
            <v>Đ</v>
          </cell>
          <cell r="V711" t="str">
            <v>Đ</v>
          </cell>
          <cell r="W711" t="str">
            <v>Đ</v>
          </cell>
          <cell r="X711" t="str">
            <v>Đ</v>
          </cell>
          <cell r="Y711" t="str">
            <v>Đ</v>
          </cell>
          <cell r="Z711" t="str">
            <v>CN</v>
          </cell>
          <cell r="AA711" t="str">
            <v>AL8</v>
          </cell>
          <cell r="AB711" t="str">
            <v>AL8</v>
          </cell>
          <cell r="AC711">
            <v>8</v>
          </cell>
          <cell r="AD711">
            <v>8</v>
          </cell>
          <cell r="AE711">
            <v>8</v>
          </cell>
          <cell r="AF711">
            <v>8</v>
          </cell>
          <cell r="AG711" t="str">
            <v>CN</v>
          </cell>
          <cell r="AH711" t="str">
            <v>SWD</v>
          </cell>
          <cell r="AI711" t="str">
            <v>SL</v>
          </cell>
          <cell r="AJ711" t="str">
            <v>SL</v>
          </cell>
          <cell r="AN711">
            <v>72</v>
          </cell>
          <cell r="AO711">
            <v>80</v>
          </cell>
          <cell r="AP711">
            <v>0</v>
          </cell>
          <cell r="AQ711">
            <v>2</v>
          </cell>
          <cell r="AR711">
            <v>0</v>
          </cell>
          <cell r="AS711">
            <v>8</v>
          </cell>
          <cell r="AT711">
            <v>0</v>
          </cell>
          <cell r="AU711">
            <v>0</v>
          </cell>
          <cell r="AV711">
            <v>0</v>
          </cell>
          <cell r="AW711">
            <v>0</v>
          </cell>
          <cell r="AX711">
            <v>0</v>
          </cell>
          <cell r="AY711">
            <v>0</v>
          </cell>
          <cell r="AZ711">
            <v>0</v>
          </cell>
          <cell r="BA711">
            <v>16</v>
          </cell>
          <cell r="BB711">
            <v>0</v>
          </cell>
          <cell r="BC711">
            <v>0</v>
          </cell>
          <cell r="BD711">
            <v>0</v>
          </cell>
          <cell r="BE711">
            <v>0</v>
          </cell>
          <cell r="BF711">
            <v>0</v>
          </cell>
          <cell r="BG711">
            <v>168</v>
          </cell>
          <cell r="BH711">
            <v>2</v>
          </cell>
          <cell r="BI711">
            <v>2</v>
          </cell>
          <cell r="BJ711">
            <v>0.5</v>
          </cell>
          <cell r="BL711">
            <v>1.5</v>
          </cell>
          <cell r="BM711">
            <v>1.5</v>
          </cell>
          <cell r="BN711">
            <v>1.5</v>
          </cell>
          <cell r="BO711">
            <v>0</v>
          </cell>
          <cell r="BP711">
            <v>1.5</v>
          </cell>
          <cell r="BQ711">
            <v>0</v>
          </cell>
          <cell r="BR711">
            <v>0</v>
          </cell>
          <cell r="BS711">
            <v>3</v>
          </cell>
          <cell r="BT711">
            <v>3</v>
          </cell>
          <cell r="BU711">
            <v>3</v>
          </cell>
          <cell r="BV711">
            <v>0</v>
          </cell>
          <cell r="BW711">
            <v>4</v>
          </cell>
          <cell r="BX711">
            <v>4</v>
          </cell>
          <cell r="BY711">
            <v>4</v>
          </cell>
          <cell r="BZ711">
            <v>4</v>
          </cell>
          <cell r="CA711">
            <v>1.5</v>
          </cell>
          <cell r="CB711">
            <v>4</v>
          </cell>
          <cell r="CC711">
            <v>0</v>
          </cell>
          <cell r="CD711">
            <v>0</v>
          </cell>
          <cell r="CE711">
            <v>0</v>
          </cell>
          <cell r="CF711">
            <v>0</v>
          </cell>
          <cell r="CG711">
            <v>3</v>
          </cell>
          <cell r="CH711">
            <v>1.5</v>
          </cell>
          <cell r="CI711">
            <v>1.5</v>
          </cell>
          <cell r="CJ711">
            <v>0</v>
          </cell>
          <cell r="CK711">
            <v>0</v>
          </cell>
          <cell r="CL711">
            <v>0</v>
          </cell>
          <cell r="CM711">
            <v>0</v>
          </cell>
          <cell r="CR711">
            <v>0</v>
          </cell>
          <cell r="CS711">
            <v>0</v>
          </cell>
          <cell r="CT711">
            <v>42.5</v>
          </cell>
          <cell r="CU711">
            <v>0</v>
          </cell>
          <cell r="CV711">
            <v>0</v>
          </cell>
          <cell r="CZ711">
            <v>42.5</v>
          </cell>
        </row>
        <row r="712">
          <cell r="C712" t="str">
            <v>04092</v>
          </cell>
          <cell r="D712" t="str">
            <v>Võ Tấn Tài</v>
          </cell>
          <cell r="E712" t="str">
            <v>Production</v>
          </cell>
          <cell r="F712" t="str">
            <v>Prefitting</v>
          </cell>
          <cell r="G712" t="str">
            <v>Worker</v>
          </cell>
          <cell r="H712">
            <v>45397</v>
          </cell>
          <cell r="I712">
            <v>8</v>
          </cell>
          <cell r="J712">
            <v>8</v>
          </cell>
          <cell r="K712" t="str">
            <v>UP8</v>
          </cell>
          <cell r="L712" t="str">
            <v>CN</v>
          </cell>
          <cell r="M712" t="str">
            <v>AL8</v>
          </cell>
          <cell r="N712">
            <v>8</v>
          </cell>
          <cell r="O712" t="str">
            <v>UP8</v>
          </cell>
          <cell r="P712" t="str">
            <v>UP4</v>
          </cell>
          <cell r="Q712" t="str">
            <v>UP8</v>
          </cell>
          <cell r="R712" t="str">
            <v>UP8</v>
          </cell>
          <cell r="S712" t="str">
            <v>CN</v>
          </cell>
          <cell r="T712" t="str">
            <v>UP8</v>
          </cell>
          <cell r="U712" t="str">
            <v>UP8</v>
          </cell>
          <cell r="V712" t="str">
            <v>UP8</v>
          </cell>
          <cell r="W712" t="str">
            <v>UP8</v>
          </cell>
          <cell r="X712" t="str">
            <v>UP8</v>
          </cell>
          <cell r="Y712" t="str">
            <v>UP8</v>
          </cell>
          <cell r="Z712" t="str">
            <v>CN</v>
          </cell>
          <cell r="AA712" t="str">
            <v>UP8</v>
          </cell>
          <cell r="AB712" t="str">
            <v>UP8</v>
          </cell>
          <cell r="AC712" t="str">
            <v>UP8</v>
          </cell>
          <cell r="AD712" t="str">
            <v>UP8</v>
          </cell>
          <cell r="AE712" t="str">
            <v>TV</v>
          </cell>
          <cell r="AF712" t="str">
            <v>TV</v>
          </cell>
          <cell r="AG712" t="str">
            <v>TV</v>
          </cell>
          <cell r="AH712" t="str">
            <v>TV</v>
          </cell>
          <cell r="AI712" t="str">
            <v>TV</v>
          </cell>
          <cell r="AJ712" t="str">
            <v>TV</v>
          </cell>
          <cell r="AN712">
            <v>0</v>
          </cell>
          <cell r="AO712">
            <v>28</v>
          </cell>
          <cell r="AP712">
            <v>0</v>
          </cell>
          <cell r="AQ712">
            <v>0</v>
          </cell>
          <cell r="AR712">
            <v>4</v>
          </cell>
          <cell r="AS712">
            <v>116</v>
          </cell>
          <cell r="AT712">
            <v>0</v>
          </cell>
          <cell r="AU712">
            <v>0</v>
          </cell>
          <cell r="AV712">
            <v>0</v>
          </cell>
          <cell r="AW712">
            <v>0</v>
          </cell>
          <cell r="AX712">
            <v>0</v>
          </cell>
          <cell r="AY712">
            <v>0</v>
          </cell>
          <cell r="AZ712">
            <v>0</v>
          </cell>
          <cell r="BA712">
            <v>8</v>
          </cell>
          <cell r="BB712">
            <v>0</v>
          </cell>
          <cell r="BC712">
            <v>0</v>
          </cell>
          <cell r="BD712">
            <v>0</v>
          </cell>
          <cell r="BE712">
            <v>0</v>
          </cell>
          <cell r="BF712">
            <v>0</v>
          </cell>
          <cell r="BG712">
            <v>36</v>
          </cell>
          <cell r="BH712">
            <v>1</v>
          </cell>
          <cell r="BI712">
            <v>1</v>
          </cell>
          <cell r="BJ712">
            <v>-4</v>
          </cell>
          <cell r="BL712">
            <v>0</v>
          </cell>
          <cell r="BM712">
            <v>0</v>
          </cell>
          <cell r="BN712">
            <v>0</v>
          </cell>
          <cell r="BO712">
            <v>0</v>
          </cell>
          <cell r="BP712">
            <v>0</v>
          </cell>
          <cell r="BQ712">
            <v>0</v>
          </cell>
          <cell r="BR712">
            <v>0</v>
          </cell>
          <cell r="BS712">
            <v>0</v>
          </cell>
          <cell r="BT712">
            <v>0</v>
          </cell>
          <cell r="BU712">
            <v>0</v>
          </cell>
          <cell r="BV712">
            <v>0</v>
          </cell>
          <cell r="BW712">
            <v>0</v>
          </cell>
          <cell r="BX712">
            <v>0</v>
          </cell>
          <cell r="BY712">
            <v>0</v>
          </cell>
          <cell r="BZ712">
            <v>0</v>
          </cell>
          <cell r="CA712">
            <v>0</v>
          </cell>
          <cell r="CB712">
            <v>0</v>
          </cell>
          <cell r="CC712">
            <v>0</v>
          </cell>
          <cell r="CD712">
            <v>0</v>
          </cell>
          <cell r="CE712">
            <v>0</v>
          </cell>
          <cell r="CF712">
            <v>0</v>
          </cell>
          <cell r="CG712">
            <v>0</v>
          </cell>
          <cell r="CH712">
            <v>0</v>
          </cell>
          <cell r="CI712">
            <v>0</v>
          </cell>
          <cell r="CJ712">
            <v>0</v>
          </cell>
          <cell r="CK712">
            <v>0</v>
          </cell>
          <cell r="CL712">
            <v>0</v>
          </cell>
          <cell r="CM712">
            <v>0</v>
          </cell>
          <cell r="CR712">
            <v>0</v>
          </cell>
          <cell r="CS712">
            <v>0</v>
          </cell>
          <cell r="CT712">
            <v>0</v>
          </cell>
          <cell r="CU712">
            <v>0</v>
          </cell>
          <cell r="CV712">
            <v>0</v>
          </cell>
          <cell r="CZ712">
            <v>0</v>
          </cell>
        </row>
        <row r="713">
          <cell r="C713" t="str">
            <v>04095</v>
          </cell>
          <cell r="D713" t="str">
            <v>Hoàng Thị Bích</v>
          </cell>
          <cell r="E713" t="str">
            <v>Technical Development</v>
          </cell>
          <cell r="F713" t="str">
            <v>PD Sample</v>
          </cell>
          <cell r="G713" t="str">
            <v>Worker</v>
          </cell>
          <cell r="H713">
            <v>45397</v>
          </cell>
          <cell r="I713">
            <v>8</v>
          </cell>
          <cell r="J713">
            <v>8</v>
          </cell>
          <cell r="K713">
            <v>8</v>
          </cell>
          <cell r="L713" t="str">
            <v>CN</v>
          </cell>
          <cell r="M713">
            <v>8</v>
          </cell>
          <cell r="N713">
            <v>8</v>
          </cell>
          <cell r="O713">
            <v>8</v>
          </cell>
          <cell r="P713">
            <v>8</v>
          </cell>
          <cell r="Q713">
            <v>8</v>
          </cell>
          <cell r="R713">
            <v>8</v>
          </cell>
          <cell r="S713" t="str">
            <v>CN</v>
          </cell>
          <cell r="T713">
            <v>8</v>
          </cell>
          <cell r="U713">
            <v>8</v>
          </cell>
          <cell r="V713">
            <v>8</v>
          </cell>
          <cell r="W713">
            <v>8</v>
          </cell>
          <cell r="X713">
            <v>8</v>
          </cell>
          <cell r="Y713">
            <v>8</v>
          </cell>
          <cell r="Z713" t="str">
            <v>CN</v>
          </cell>
          <cell r="AA713">
            <v>8</v>
          </cell>
          <cell r="AB713">
            <v>8</v>
          </cell>
          <cell r="AC713">
            <v>8</v>
          </cell>
          <cell r="AD713">
            <v>8</v>
          </cell>
          <cell r="AE713">
            <v>8</v>
          </cell>
          <cell r="AF713">
            <v>8</v>
          </cell>
          <cell r="AG713" t="str">
            <v>CN</v>
          </cell>
          <cell r="AH713" t="str">
            <v>AL4</v>
          </cell>
          <cell r="AI713" t="str">
            <v>AL8</v>
          </cell>
          <cell r="AJ713" t="str">
            <v>AL8</v>
          </cell>
          <cell r="AN713">
            <v>0</v>
          </cell>
          <cell r="AO713">
            <v>172</v>
          </cell>
          <cell r="AP713">
            <v>4</v>
          </cell>
          <cell r="AQ713">
            <v>0</v>
          </cell>
          <cell r="AR713">
            <v>0</v>
          </cell>
          <cell r="AS713">
            <v>0</v>
          </cell>
          <cell r="AT713">
            <v>0</v>
          </cell>
          <cell r="AU713">
            <v>0</v>
          </cell>
          <cell r="AV713">
            <v>0</v>
          </cell>
          <cell r="AW713">
            <v>0</v>
          </cell>
          <cell r="AX713">
            <v>0</v>
          </cell>
          <cell r="AY713">
            <v>0</v>
          </cell>
          <cell r="AZ713">
            <v>0</v>
          </cell>
          <cell r="BA713">
            <v>20</v>
          </cell>
          <cell r="BB713">
            <v>0</v>
          </cell>
          <cell r="BC713">
            <v>0</v>
          </cell>
          <cell r="BD713">
            <v>0</v>
          </cell>
          <cell r="BE713">
            <v>0</v>
          </cell>
          <cell r="BF713">
            <v>0</v>
          </cell>
          <cell r="BG713">
            <v>192</v>
          </cell>
          <cell r="BH713">
            <v>2.5</v>
          </cell>
          <cell r="BI713">
            <v>2.5</v>
          </cell>
          <cell r="BJ713">
            <v>0</v>
          </cell>
          <cell r="BL713">
            <v>3</v>
          </cell>
          <cell r="BM713">
            <v>3</v>
          </cell>
          <cell r="BN713">
            <v>0</v>
          </cell>
          <cell r="BO713">
            <v>0</v>
          </cell>
          <cell r="BP713">
            <v>3</v>
          </cell>
          <cell r="BQ713">
            <v>3</v>
          </cell>
          <cell r="BR713">
            <v>3</v>
          </cell>
          <cell r="BS713">
            <v>3</v>
          </cell>
          <cell r="BT713">
            <v>0</v>
          </cell>
          <cell r="BU713">
            <v>0</v>
          </cell>
          <cell r="BV713">
            <v>0</v>
          </cell>
          <cell r="BW713">
            <v>3</v>
          </cell>
          <cell r="BX713">
            <v>3</v>
          </cell>
          <cell r="BY713">
            <v>3</v>
          </cell>
          <cell r="BZ713">
            <v>3</v>
          </cell>
          <cell r="CA713">
            <v>0</v>
          </cell>
          <cell r="CB713">
            <v>0</v>
          </cell>
          <cell r="CC713">
            <v>0</v>
          </cell>
          <cell r="CD713">
            <v>3</v>
          </cell>
          <cell r="CE713">
            <v>3</v>
          </cell>
          <cell r="CF713">
            <v>0</v>
          </cell>
          <cell r="CG713">
            <v>3</v>
          </cell>
          <cell r="CH713">
            <v>3</v>
          </cell>
          <cell r="CI713">
            <v>0</v>
          </cell>
          <cell r="CJ713">
            <v>0</v>
          </cell>
          <cell r="CK713">
            <v>0</v>
          </cell>
          <cell r="CL713">
            <v>0</v>
          </cell>
          <cell r="CM713">
            <v>0</v>
          </cell>
          <cell r="CR713">
            <v>0</v>
          </cell>
          <cell r="CS713">
            <v>0</v>
          </cell>
          <cell r="CT713">
            <v>42</v>
          </cell>
          <cell r="CU713">
            <v>0</v>
          </cell>
          <cell r="CV713">
            <v>0</v>
          </cell>
          <cell r="CZ713">
            <v>42</v>
          </cell>
        </row>
        <row r="714">
          <cell r="C714" t="str">
            <v>04096</v>
          </cell>
          <cell r="D714" t="str">
            <v>Lê Văn Ngọ</v>
          </cell>
          <cell r="E714" t="str">
            <v>Technical Development</v>
          </cell>
          <cell r="F714" t="str">
            <v>PD Technical</v>
          </cell>
          <cell r="G714" t="str">
            <v>Group Leader</v>
          </cell>
          <cell r="H714">
            <v>45404</v>
          </cell>
          <cell r="I714" t="str">
            <v>AL8</v>
          </cell>
          <cell r="J714" t="str">
            <v>AL8</v>
          </cell>
          <cell r="K714" t="str">
            <v>PO</v>
          </cell>
          <cell r="L714" t="str">
            <v>CN</v>
          </cell>
          <cell r="M714">
            <v>8</v>
          </cell>
          <cell r="N714">
            <v>8</v>
          </cell>
          <cell r="O714">
            <v>8</v>
          </cell>
          <cell r="P714">
            <v>8</v>
          </cell>
          <cell r="Q714" t="str">
            <v>BS</v>
          </cell>
          <cell r="R714" t="str">
            <v>PO</v>
          </cell>
          <cell r="S714" t="str">
            <v>CN</v>
          </cell>
          <cell r="T714">
            <v>8</v>
          </cell>
          <cell r="U714">
            <v>8</v>
          </cell>
          <cell r="V714">
            <v>8</v>
          </cell>
          <cell r="W714">
            <v>8</v>
          </cell>
          <cell r="X714">
            <v>8</v>
          </cell>
          <cell r="Y714" t="str">
            <v>PO</v>
          </cell>
          <cell r="Z714" t="str">
            <v>CN</v>
          </cell>
          <cell r="AA714">
            <v>8</v>
          </cell>
          <cell r="AB714">
            <v>8</v>
          </cell>
          <cell r="AC714">
            <v>8</v>
          </cell>
          <cell r="AD714">
            <v>8</v>
          </cell>
          <cell r="AE714">
            <v>8</v>
          </cell>
          <cell r="AF714" t="str">
            <v>PO</v>
          </cell>
          <cell r="AG714" t="str">
            <v>CN</v>
          </cell>
          <cell r="AH714">
            <v>8</v>
          </cell>
          <cell r="AI714">
            <v>8</v>
          </cell>
          <cell r="AJ714" t="str">
            <v>BS</v>
          </cell>
          <cell r="AN714">
            <v>0</v>
          </cell>
          <cell r="AO714">
            <v>128</v>
          </cell>
          <cell r="AP714">
            <v>0</v>
          </cell>
          <cell r="AQ714">
            <v>0</v>
          </cell>
          <cell r="AR714">
            <v>0</v>
          </cell>
          <cell r="AS714">
            <v>0</v>
          </cell>
          <cell r="AT714">
            <v>0</v>
          </cell>
          <cell r="AU714">
            <v>16</v>
          </cell>
          <cell r="AV714">
            <v>32</v>
          </cell>
          <cell r="AW714">
            <v>0</v>
          </cell>
          <cell r="AX714">
            <v>0</v>
          </cell>
          <cell r="AY714">
            <v>0</v>
          </cell>
          <cell r="AZ714">
            <v>0</v>
          </cell>
          <cell r="BA714">
            <v>16</v>
          </cell>
          <cell r="BB714">
            <v>0</v>
          </cell>
          <cell r="BC714">
            <v>0</v>
          </cell>
          <cell r="BD714">
            <v>0</v>
          </cell>
          <cell r="BE714">
            <v>0</v>
          </cell>
          <cell r="BF714">
            <v>0</v>
          </cell>
          <cell r="BG714">
            <v>192</v>
          </cell>
          <cell r="BH714">
            <v>2</v>
          </cell>
          <cell r="BI714">
            <v>2</v>
          </cell>
          <cell r="BJ714">
            <v>2</v>
          </cell>
          <cell r="BL714">
            <v>0</v>
          </cell>
          <cell r="BM714">
            <v>0</v>
          </cell>
          <cell r="BN714">
            <v>0</v>
          </cell>
          <cell r="BO714">
            <v>0</v>
          </cell>
          <cell r="BP714">
            <v>0</v>
          </cell>
          <cell r="BQ714">
            <v>0</v>
          </cell>
          <cell r="BR714">
            <v>0</v>
          </cell>
          <cell r="BS714">
            <v>0</v>
          </cell>
          <cell r="BT714">
            <v>0</v>
          </cell>
          <cell r="BU714">
            <v>0</v>
          </cell>
          <cell r="BV714">
            <v>0</v>
          </cell>
          <cell r="BW714">
            <v>0</v>
          </cell>
          <cell r="BX714">
            <v>0</v>
          </cell>
          <cell r="BY714">
            <v>0</v>
          </cell>
          <cell r="BZ714">
            <v>0</v>
          </cell>
          <cell r="CA714">
            <v>0</v>
          </cell>
          <cell r="CB714">
            <v>0</v>
          </cell>
          <cell r="CC714">
            <v>0</v>
          </cell>
          <cell r="CD714">
            <v>0</v>
          </cell>
          <cell r="CE714">
            <v>0</v>
          </cell>
          <cell r="CF714">
            <v>0</v>
          </cell>
          <cell r="CG714">
            <v>0</v>
          </cell>
          <cell r="CH714">
            <v>0</v>
          </cell>
          <cell r="CI714">
            <v>0</v>
          </cell>
          <cell r="CJ714">
            <v>0</v>
          </cell>
          <cell r="CK714">
            <v>0</v>
          </cell>
          <cell r="CL714">
            <v>0</v>
          </cell>
          <cell r="CM714">
            <v>0</v>
          </cell>
          <cell r="CR714">
            <v>0</v>
          </cell>
          <cell r="CS714">
            <v>0</v>
          </cell>
          <cell r="CT714">
            <v>0</v>
          </cell>
          <cell r="CU714">
            <v>0</v>
          </cell>
          <cell r="CV714">
            <v>0</v>
          </cell>
          <cell r="CZ714">
            <v>0</v>
          </cell>
        </row>
        <row r="715">
          <cell r="C715" t="str">
            <v>04099</v>
          </cell>
          <cell r="D715" t="str">
            <v>Nguyễn Thị Quỳnh Như</v>
          </cell>
          <cell r="E715" t="str">
            <v>PD</v>
          </cell>
          <cell r="F715" t="str">
            <v>PD office</v>
          </cell>
          <cell r="G715" t="str">
            <v>Staff</v>
          </cell>
          <cell r="H715">
            <v>45425</v>
          </cell>
          <cell r="I715">
            <v>8</v>
          </cell>
          <cell r="J715">
            <v>8</v>
          </cell>
          <cell r="K715" t="str">
            <v>PO</v>
          </cell>
          <cell r="L715" t="str">
            <v>CN</v>
          </cell>
          <cell r="M715">
            <v>8</v>
          </cell>
          <cell r="N715">
            <v>8</v>
          </cell>
          <cell r="O715">
            <v>8</v>
          </cell>
          <cell r="P715">
            <v>8</v>
          </cell>
          <cell r="Q715">
            <v>8</v>
          </cell>
          <cell r="R715" t="str">
            <v>PO</v>
          </cell>
          <cell r="S715" t="str">
            <v>CN</v>
          </cell>
          <cell r="T715">
            <v>8</v>
          </cell>
          <cell r="U715">
            <v>8</v>
          </cell>
          <cell r="V715">
            <v>8</v>
          </cell>
          <cell r="W715">
            <v>8</v>
          </cell>
          <cell r="X715">
            <v>8</v>
          </cell>
          <cell r="Y715" t="str">
            <v>PO</v>
          </cell>
          <cell r="Z715" t="str">
            <v>CN</v>
          </cell>
          <cell r="AA715">
            <v>8</v>
          </cell>
          <cell r="AB715">
            <v>8</v>
          </cell>
          <cell r="AC715">
            <v>8</v>
          </cell>
          <cell r="AD715">
            <v>8</v>
          </cell>
          <cell r="AE715">
            <v>8</v>
          </cell>
          <cell r="AF715" t="str">
            <v>PO</v>
          </cell>
          <cell r="AG715" t="str">
            <v>CN</v>
          </cell>
          <cell r="AH715">
            <v>8</v>
          </cell>
          <cell r="AI715">
            <v>8</v>
          </cell>
          <cell r="AJ715">
            <v>8</v>
          </cell>
          <cell r="AN715">
            <v>0</v>
          </cell>
          <cell r="AO715">
            <v>160</v>
          </cell>
          <cell r="AP715">
            <v>0</v>
          </cell>
          <cell r="AQ715">
            <v>0</v>
          </cell>
          <cell r="AR715">
            <v>0</v>
          </cell>
          <cell r="AS715">
            <v>0</v>
          </cell>
          <cell r="AT715">
            <v>0</v>
          </cell>
          <cell r="AU715">
            <v>0</v>
          </cell>
          <cell r="AV715">
            <v>32</v>
          </cell>
          <cell r="AW715">
            <v>0</v>
          </cell>
          <cell r="AX715">
            <v>0</v>
          </cell>
          <cell r="AY715">
            <v>0</v>
          </cell>
          <cell r="AZ715">
            <v>0</v>
          </cell>
          <cell r="BA715">
            <v>0</v>
          </cell>
          <cell r="BB715">
            <v>0</v>
          </cell>
          <cell r="BC715">
            <v>0</v>
          </cell>
          <cell r="BD715">
            <v>0</v>
          </cell>
          <cell r="BE715">
            <v>0</v>
          </cell>
          <cell r="BF715">
            <v>0</v>
          </cell>
          <cell r="BG715">
            <v>192</v>
          </cell>
          <cell r="BH715">
            <v>0</v>
          </cell>
          <cell r="BI715">
            <v>0</v>
          </cell>
          <cell r="BJ715">
            <v>3.5</v>
          </cell>
          <cell r="BL715">
            <v>2.5</v>
          </cell>
          <cell r="BM715">
            <v>0</v>
          </cell>
          <cell r="BN715">
            <v>0</v>
          </cell>
          <cell r="BO715">
            <v>0</v>
          </cell>
          <cell r="BP715">
            <v>2</v>
          </cell>
          <cell r="BQ715">
            <v>1</v>
          </cell>
          <cell r="BR715">
            <v>0</v>
          </cell>
          <cell r="BS715">
            <v>1</v>
          </cell>
          <cell r="BT715">
            <v>0</v>
          </cell>
          <cell r="BU715">
            <v>0</v>
          </cell>
          <cell r="BV715">
            <v>0</v>
          </cell>
          <cell r="BW715">
            <v>2.5</v>
          </cell>
          <cell r="BX715">
            <v>2.5</v>
          </cell>
          <cell r="BY715">
            <v>3</v>
          </cell>
          <cell r="BZ715">
            <v>0</v>
          </cell>
          <cell r="CA715">
            <v>0</v>
          </cell>
          <cell r="CB715">
            <v>0</v>
          </cell>
          <cell r="CC715">
            <v>0</v>
          </cell>
          <cell r="CD715">
            <v>0</v>
          </cell>
          <cell r="CE715">
            <v>0</v>
          </cell>
          <cell r="CF715">
            <v>0</v>
          </cell>
          <cell r="CG715">
            <v>2</v>
          </cell>
          <cell r="CH715">
            <v>0</v>
          </cell>
          <cell r="CI715">
            <v>0</v>
          </cell>
          <cell r="CJ715">
            <v>0</v>
          </cell>
          <cell r="CK715">
            <v>0</v>
          </cell>
          <cell r="CL715">
            <v>0</v>
          </cell>
          <cell r="CM715">
            <v>0</v>
          </cell>
          <cell r="CR715">
            <v>0</v>
          </cell>
          <cell r="CS715">
            <v>0</v>
          </cell>
          <cell r="CT715">
            <v>16.5</v>
          </cell>
          <cell r="CU715">
            <v>0</v>
          </cell>
          <cell r="CV715">
            <v>0</v>
          </cell>
          <cell r="CZ715">
            <v>16.5</v>
          </cell>
        </row>
        <row r="716">
          <cell r="C716" t="str">
            <v>50004</v>
          </cell>
          <cell r="D716" t="str">
            <v>Lê Phúc Sang</v>
          </cell>
          <cell r="E716" t="str">
            <v>Foaming</v>
          </cell>
          <cell r="F716" t="str">
            <v>FOAMING Production control</v>
          </cell>
          <cell r="G716" t="str">
            <v>Supervisor</v>
          </cell>
          <cell r="H716">
            <v>43672</v>
          </cell>
          <cell r="I716" t="str">
            <v>BS</v>
          </cell>
          <cell r="J716">
            <v>8</v>
          </cell>
          <cell r="K716" t="str">
            <v>PO</v>
          </cell>
          <cell r="L716" t="str">
            <v>CN</v>
          </cell>
          <cell r="M716">
            <v>8</v>
          </cell>
          <cell r="N716">
            <v>8</v>
          </cell>
          <cell r="O716">
            <v>8</v>
          </cell>
          <cell r="P716">
            <v>8</v>
          </cell>
          <cell r="Q716" t="str">
            <v>PO</v>
          </cell>
          <cell r="R716" t="str">
            <v>PO</v>
          </cell>
          <cell r="S716" t="str">
            <v>CN</v>
          </cell>
          <cell r="T716">
            <v>8</v>
          </cell>
          <cell r="U716">
            <v>8</v>
          </cell>
          <cell r="V716">
            <v>8</v>
          </cell>
          <cell r="W716">
            <v>8</v>
          </cell>
          <cell r="X716">
            <v>8</v>
          </cell>
          <cell r="Y716" t="str">
            <v>PO</v>
          </cell>
          <cell r="Z716" t="str">
            <v>CN</v>
          </cell>
          <cell r="AA716">
            <v>8</v>
          </cell>
          <cell r="AB716">
            <v>8</v>
          </cell>
          <cell r="AC716">
            <v>8</v>
          </cell>
          <cell r="AD716">
            <v>8</v>
          </cell>
          <cell r="AE716">
            <v>8</v>
          </cell>
          <cell r="AF716" t="str">
            <v>PO</v>
          </cell>
          <cell r="AG716" t="str">
            <v>CN</v>
          </cell>
          <cell r="AH716">
            <v>8</v>
          </cell>
          <cell r="AI716">
            <v>8</v>
          </cell>
          <cell r="AJ716">
            <v>8</v>
          </cell>
          <cell r="AN716">
            <v>0</v>
          </cell>
          <cell r="AO716">
            <v>144</v>
          </cell>
          <cell r="AP716">
            <v>0</v>
          </cell>
          <cell r="AQ716">
            <v>0</v>
          </cell>
          <cell r="AR716">
            <v>0</v>
          </cell>
          <cell r="AS716">
            <v>0</v>
          </cell>
          <cell r="AT716">
            <v>0</v>
          </cell>
          <cell r="AU716">
            <v>8</v>
          </cell>
          <cell r="AV716">
            <v>40</v>
          </cell>
          <cell r="AW716">
            <v>0</v>
          </cell>
          <cell r="AX716">
            <v>0</v>
          </cell>
          <cell r="AY716">
            <v>0</v>
          </cell>
          <cell r="AZ716">
            <v>0</v>
          </cell>
          <cell r="BA716">
            <v>0</v>
          </cell>
          <cell r="BB716">
            <v>0</v>
          </cell>
          <cell r="BC716">
            <v>0</v>
          </cell>
          <cell r="BD716">
            <v>0</v>
          </cell>
          <cell r="BE716">
            <v>0</v>
          </cell>
          <cell r="BF716">
            <v>0</v>
          </cell>
          <cell r="BG716">
            <v>192</v>
          </cell>
          <cell r="BH716">
            <v>0</v>
          </cell>
          <cell r="BI716">
            <v>0</v>
          </cell>
          <cell r="BJ716">
            <v>3</v>
          </cell>
          <cell r="BL716">
            <v>0</v>
          </cell>
          <cell r="BM716">
            <v>0</v>
          </cell>
          <cell r="BN716">
            <v>0</v>
          </cell>
          <cell r="BO716">
            <v>0</v>
          </cell>
          <cell r="BP716">
            <v>0</v>
          </cell>
          <cell r="BQ716">
            <v>0</v>
          </cell>
          <cell r="BR716">
            <v>0</v>
          </cell>
          <cell r="BS716">
            <v>0</v>
          </cell>
          <cell r="BT716">
            <v>0</v>
          </cell>
          <cell r="BU716">
            <v>0</v>
          </cell>
          <cell r="BV716">
            <v>0</v>
          </cell>
          <cell r="BW716">
            <v>0</v>
          </cell>
          <cell r="BX716">
            <v>0</v>
          </cell>
          <cell r="BY716">
            <v>0</v>
          </cell>
          <cell r="BZ716">
            <v>0</v>
          </cell>
          <cell r="CA716">
            <v>0</v>
          </cell>
          <cell r="CB716">
            <v>0</v>
          </cell>
          <cell r="CC716">
            <v>0</v>
          </cell>
          <cell r="CD716">
            <v>0</v>
          </cell>
          <cell r="CE716">
            <v>0</v>
          </cell>
          <cell r="CF716">
            <v>0</v>
          </cell>
          <cell r="CG716">
            <v>0</v>
          </cell>
          <cell r="CH716">
            <v>0</v>
          </cell>
          <cell r="CI716">
            <v>0</v>
          </cell>
          <cell r="CJ716">
            <v>0</v>
          </cell>
          <cell r="CK716">
            <v>0</v>
          </cell>
          <cell r="CL716">
            <v>0</v>
          </cell>
          <cell r="CM716">
            <v>0</v>
          </cell>
          <cell r="CR716">
            <v>0</v>
          </cell>
          <cell r="CS716">
            <v>0</v>
          </cell>
          <cell r="CT716">
            <v>0</v>
          </cell>
          <cell r="CU716">
            <v>0</v>
          </cell>
          <cell r="CV716">
            <v>0</v>
          </cell>
          <cell r="CZ716">
            <v>0</v>
          </cell>
        </row>
        <row r="717">
          <cell r="C717" t="str">
            <v>04101</v>
          </cell>
          <cell r="D717" t="str">
            <v>Bùi Thị Thanh Sâm</v>
          </cell>
          <cell r="E717" t="str">
            <v>CS</v>
          </cell>
          <cell r="F717" t="str">
            <v>CS</v>
          </cell>
          <cell r="G717" t="str">
            <v>Staff</v>
          </cell>
          <cell r="H717">
            <v>45439</v>
          </cell>
          <cell r="I717">
            <v>8</v>
          </cell>
          <cell r="J717">
            <v>8</v>
          </cell>
          <cell r="K717" t="str">
            <v>PO</v>
          </cell>
          <cell r="L717" t="str">
            <v>CN</v>
          </cell>
          <cell r="M717">
            <v>8</v>
          </cell>
          <cell r="N717">
            <v>8</v>
          </cell>
          <cell r="O717">
            <v>8</v>
          </cell>
          <cell r="P717">
            <v>8</v>
          </cell>
          <cell r="Q717">
            <v>8</v>
          </cell>
          <cell r="R717" t="str">
            <v>PO</v>
          </cell>
          <cell r="S717" t="str">
            <v>CN</v>
          </cell>
          <cell r="T717">
            <v>8</v>
          </cell>
          <cell r="U717">
            <v>8</v>
          </cell>
          <cell r="V717">
            <v>8</v>
          </cell>
          <cell r="W717">
            <v>8</v>
          </cell>
          <cell r="X717">
            <v>8</v>
          </cell>
          <cell r="Y717" t="str">
            <v>PO</v>
          </cell>
          <cell r="Z717" t="str">
            <v>CN</v>
          </cell>
          <cell r="AA717">
            <v>8</v>
          </cell>
          <cell r="AB717">
            <v>8</v>
          </cell>
          <cell r="AC717">
            <v>8</v>
          </cell>
          <cell r="AD717">
            <v>8</v>
          </cell>
          <cell r="AE717">
            <v>8</v>
          </cell>
          <cell r="AF717" t="str">
            <v>PO</v>
          </cell>
          <cell r="AG717" t="str">
            <v>CN</v>
          </cell>
          <cell r="AH717">
            <v>8</v>
          </cell>
          <cell r="AI717">
            <v>8</v>
          </cell>
          <cell r="AJ717">
            <v>8</v>
          </cell>
          <cell r="AN717">
            <v>0</v>
          </cell>
          <cell r="AO717">
            <v>160</v>
          </cell>
          <cell r="AP717">
            <v>0</v>
          </cell>
          <cell r="AQ717">
            <v>0</v>
          </cell>
          <cell r="AR717">
            <v>0</v>
          </cell>
          <cell r="AS717">
            <v>0</v>
          </cell>
          <cell r="AT717">
            <v>0</v>
          </cell>
          <cell r="AU717">
            <v>0</v>
          </cell>
          <cell r="AV717">
            <v>32</v>
          </cell>
          <cell r="AW717">
            <v>0</v>
          </cell>
          <cell r="AX717">
            <v>0</v>
          </cell>
          <cell r="AY717">
            <v>0</v>
          </cell>
          <cell r="AZ717">
            <v>0</v>
          </cell>
          <cell r="BA717">
            <v>0</v>
          </cell>
          <cell r="BB717">
            <v>0</v>
          </cell>
          <cell r="BC717">
            <v>0</v>
          </cell>
          <cell r="BD717">
            <v>0</v>
          </cell>
          <cell r="BE717">
            <v>0</v>
          </cell>
          <cell r="BF717">
            <v>0</v>
          </cell>
          <cell r="BG717">
            <v>192</v>
          </cell>
          <cell r="BH717">
            <v>0</v>
          </cell>
          <cell r="BI717">
            <v>0</v>
          </cell>
          <cell r="BJ717">
            <v>8</v>
          </cell>
          <cell r="BL717">
            <v>0</v>
          </cell>
          <cell r="BM717">
            <v>0</v>
          </cell>
          <cell r="BN717">
            <v>0</v>
          </cell>
          <cell r="BO717">
            <v>0</v>
          </cell>
          <cell r="BP717">
            <v>0</v>
          </cell>
          <cell r="BQ717">
            <v>0</v>
          </cell>
          <cell r="BR717">
            <v>2</v>
          </cell>
          <cell r="BS717">
            <v>2</v>
          </cell>
          <cell r="BT717">
            <v>2</v>
          </cell>
          <cell r="BU717">
            <v>0</v>
          </cell>
          <cell r="BV717">
            <v>0</v>
          </cell>
          <cell r="BW717">
            <v>0</v>
          </cell>
          <cell r="BX717">
            <v>0</v>
          </cell>
          <cell r="BY717">
            <v>2</v>
          </cell>
          <cell r="BZ717">
            <v>2.5</v>
          </cell>
          <cell r="CA717">
            <v>2</v>
          </cell>
          <cell r="CB717">
            <v>0</v>
          </cell>
          <cell r="CC717">
            <v>0</v>
          </cell>
          <cell r="CD717">
            <v>0</v>
          </cell>
          <cell r="CE717">
            <v>0</v>
          </cell>
          <cell r="CF717">
            <v>2</v>
          </cell>
          <cell r="CG717">
            <v>2</v>
          </cell>
          <cell r="CH717">
            <v>2</v>
          </cell>
          <cell r="CI717">
            <v>0</v>
          </cell>
          <cell r="CJ717">
            <v>0</v>
          </cell>
          <cell r="CK717">
            <v>2</v>
          </cell>
          <cell r="CL717">
            <v>2.5</v>
          </cell>
          <cell r="CM717">
            <v>0</v>
          </cell>
          <cell r="CR717">
            <v>0</v>
          </cell>
          <cell r="CS717">
            <v>0</v>
          </cell>
          <cell r="CT717">
            <v>23</v>
          </cell>
          <cell r="CU717">
            <v>0</v>
          </cell>
          <cell r="CV717">
            <v>0</v>
          </cell>
          <cell r="CZ717">
            <v>23</v>
          </cell>
        </row>
        <row r="718">
          <cell r="C718" t="str">
            <v>04102</v>
          </cell>
          <cell r="D718" t="str">
            <v>Đinh Quốc Đạt</v>
          </cell>
          <cell r="E718" t="str">
            <v xml:space="preserve">EHS &amp; Facilities </v>
          </cell>
          <cell r="F718" t="str">
            <v>Maintenance</v>
          </cell>
          <cell r="G718" t="str">
            <v>Technician</v>
          </cell>
          <cell r="H718">
            <v>45439</v>
          </cell>
          <cell r="I718" t="str">
            <v>Đ</v>
          </cell>
          <cell r="J718" t="str">
            <v>CN</v>
          </cell>
          <cell r="K718">
            <v>8</v>
          </cell>
          <cell r="L718">
            <v>8</v>
          </cell>
          <cell r="M718">
            <v>8</v>
          </cell>
          <cell r="N718">
            <v>8</v>
          </cell>
          <cell r="O718">
            <v>8</v>
          </cell>
          <cell r="P718">
            <v>8</v>
          </cell>
          <cell r="Q718" t="str">
            <v>CN</v>
          </cell>
          <cell r="R718">
            <v>8</v>
          </cell>
          <cell r="S718">
            <v>8</v>
          </cell>
          <cell r="T718">
            <v>8</v>
          </cell>
          <cell r="U718">
            <v>8</v>
          </cell>
          <cell r="V718">
            <v>8</v>
          </cell>
          <cell r="W718">
            <v>8</v>
          </cell>
          <cell r="X718" t="str">
            <v>CN</v>
          </cell>
          <cell r="Y718" t="str">
            <v>Đ</v>
          </cell>
          <cell r="Z718" t="str">
            <v>Đ</v>
          </cell>
          <cell r="AA718" t="str">
            <v>Đ</v>
          </cell>
          <cell r="AB718" t="str">
            <v>Đ</v>
          </cell>
          <cell r="AC718" t="str">
            <v>Đ</v>
          </cell>
          <cell r="AD718" t="str">
            <v>Đ</v>
          </cell>
          <cell r="AE718" t="str">
            <v>CN</v>
          </cell>
          <cell r="AF718">
            <v>8</v>
          </cell>
          <cell r="AG718">
            <v>8</v>
          </cell>
          <cell r="AH718">
            <v>8</v>
          </cell>
          <cell r="AI718">
            <v>8</v>
          </cell>
          <cell r="AJ718">
            <v>8</v>
          </cell>
          <cell r="AN718">
            <v>56</v>
          </cell>
          <cell r="AO718">
            <v>136</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192</v>
          </cell>
          <cell r="BH718">
            <v>0</v>
          </cell>
          <cell r="BI718">
            <v>0</v>
          </cell>
          <cell r="BJ718">
            <v>3.5</v>
          </cell>
          <cell r="BL718">
            <v>4</v>
          </cell>
          <cell r="BM718">
            <v>0</v>
          </cell>
          <cell r="BN718">
            <v>0</v>
          </cell>
          <cell r="BO718">
            <v>0</v>
          </cell>
          <cell r="BP718">
            <v>0</v>
          </cell>
          <cell r="BQ718">
            <v>0</v>
          </cell>
          <cell r="BR718">
            <v>4</v>
          </cell>
          <cell r="BS718">
            <v>4</v>
          </cell>
          <cell r="BT718">
            <v>0</v>
          </cell>
          <cell r="BU718">
            <v>4</v>
          </cell>
          <cell r="BV718">
            <v>4</v>
          </cell>
          <cell r="BW718">
            <v>0</v>
          </cell>
          <cell r="BX718">
            <v>0</v>
          </cell>
          <cell r="BY718">
            <v>4</v>
          </cell>
          <cell r="BZ718">
            <v>0</v>
          </cell>
          <cell r="CA718">
            <v>0</v>
          </cell>
          <cell r="CB718">
            <v>0</v>
          </cell>
          <cell r="CC718">
            <v>4</v>
          </cell>
          <cell r="CD718">
            <v>0</v>
          </cell>
          <cell r="CE718">
            <v>0</v>
          </cell>
          <cell r="CF718">
            <v>0</v>
          </cell>
          <cell r="CG718">
            <v>0</v>
          </cell>
          <cell r="CH718">
            <v>0</v>
          </cell>
          <cell r="CI718">
            <v>0</v>
          </cell>
          <cell r="CJ718">
            <v>0</v>
          </cell>
          <cell r="CK718">
            <v>0</v>
          </cell>
          <cell r="CL718">
            <v>0</v>
          </cell>
          <cell r="CM718">
            <v>0</v>
          </cell>
          <cell r="CQ718">
            <v>4</v>
          </cell>
          <cell r="CR718">
            <v>0</v>
          </cell>
          <cell r="CS718">
            <v>0</v>
          </cell>
          <cell r="CT718">
            <v>28</v>
          </cell>
          <cell r="CU718">
            <v>0</v>
          </cell>
          <cell r="CV718">
            <v>0</v>
          </cell>
          <cell r="CZ718">
            <v>32</v>
          </cell>
        </row>
        <row r="719">
          <cell r="C719" t="str">
            <v>04105</v>
          </cell>
          <cell r="D719" t="str">
            <v>Võ Anh Thái</v>
          </cell>
          <cell r="E719" t="str">
            <v>Production</v>
          </cell>
          <cell r="F719" t="str">
            <v>Logo Making</v>
          </cell>
          <cell r="G719" t="str">
            <v>Operator</v>
          </cell>
          <cell r="H719">
            <v>45442</v>
          </cell>
          <cell r="I719" t="str">
            <v>Đ</v>
          </cell>
          <cell r="J719" t="str">
            <v>CN</v>
          </cell>
          <cell r="K719">
            <v>8</v>
          </cell>
          <cell r="L719">
            <v>8</v>
          </cell>
          <cell r="M719" t="str">
            <v>AL8</v>
          </cell>
          <cell r="N719">
            <v>8</v>
          </cell>
          <cell r="O719">
            <v>8</v>
          </cell>
          <cell r="P719">
            <v>8</v>
          </cell>
          <cell r="Q719" t="str">
            <v>CN</v>
          </cell>
          <cell r="R719" t="str">
            <v>Đ</v>
          </cell>
          <cell r="S719" t="str">
            <v>Đ</v>
          </cell>
          <cell r="T719" t="str">
            <v>Đ</v>
          </cell>
          <cell r="U719" t="str">
            <v>Đ</v>
          </cell>
          <cell r="V719" t="str">
            <v>Đ</v>
          </cell>
          <cell r="W719" t="str">
            <v>Đ</v>
          </cell>
          <cell r="X719" t="str">
            <v>CN</v>
          </cell>
          <cell r="Y719">
            <v>8</v>
          </cell>
          <cell r="Z719">
            <v>8</v>
          </cell>
          <cell r="AA719">
            <v>8</v>
          </cell>
          <cell r="AB719">
            <v>8</v>
          </cell>
          <cell r="AC719">
            <v>8</v>
          </cell>
          <cell r="AD719">
            <v>8</v>
          </cell>
          <cell r="AE719" t="str">
            <v>CN</v>
          </cell>
          <cell r="AF719" t="str">
            <v>Đ</v>
          </cell>
          <cell r="AG719" t="str">
            <v>Đ</v>
          </cell>
          <cell r="AH719" t="str">
            <v>Đ</v>
          </cell>
          <cell r="AI719" t="str">
            <v>Đ</v>
          </cell>
          <cell r="AJ719" t="str">
            <v>Đ</v>
          </cell>
          <cell r="AN719">
            <v>96</v>
          </cell>
          <cell r="AO719">
            <v>88</v>
          </cell>
          <cell r="AP719">
            <v>0</v>
          </cell>
          <cell r="AQ719">
            <v>0</v>
          </cell>
          <cell r="AR719">
            <v>0</v>
          </cell>
          <cell r="AS719">
            <v>0</v>
          </cell>
          <cell r="AT719">
            <v>0</v>
          </cell>
          <cell r="AU719">
            <v>0</v>
          </cell>
          <cell r="AV719">
            <v>0</v>
          </cell>
          <cell r="AW719">
            <v>0</v>
          </cell>
          <cell r="AX719">
            <v>0</v>
          </cell>
          <cell r="AY719">
            <v>0</v>
          </cell>
          <cell r="AZ719">
            <v>0</v>
          </cell>
          <cell r="BA719">
            <v>8</v>
          </cell>
          <cell r="BB719">
            <v>0</v>
          </cell>
          <cell r="BC719">
            <v>0</v>
          </cell>
          <cell r="BD719">
            <v>0</v>
          </cell>
          <cell r="BE719">
            <v>0</v>
          </cell>
          <cell r="BF719">
            <v>0</v>
          </cell>
          <cell r="BG719">
            <v>192</v>
          </cell>
          <cell r="BH719">
            <v>1</v>
          </cell>
          <cell r="BI719">
            <v>1</v>
          </cell>
          <cell r="BJ719">
            <v>-4</v>
          </cell>
          <cell r="BL719">
            <v>0</v>
          </cell>
          <cell r="BM719">
            <v>0</v>
          </cell>
          <cell r="BN719">
            <v>4</v>
          </cell>
          <cell r="BO719">
            <v>4</v>
          </cell>
          <cell r="BP719">
            <v>0</v>
          </cell>
          <cell r="BQ719">
            <v>0</v>
          </cell>
          <cell r="BR719">
            <v>0</v>
          </cell>
          <cell r="BS719">
            <v>0</v>
          </cell>
          <cell r="BT719">
            <v>0</v>
          </cell>
          <cell r="BU719">
            <v>4</v>
          </cell>
          <cell r="BV719">
            <v>4</v>
          </cell>
          <cell r="BW719">
            <v>0</v>
          </cell>
          <cell r="BX719">
            <v>0</v>
          </cell>
          <cell r="BY719">
            <v>0</v>
          </cell>
          <cell r="BZ719">
            <v>0</v>
          </cell>
          <cell r="CA719">
            <v>0</v>
          </cell>
          <cell r="CB719">
            <v>4</v>
          </cell>
          <cell r="CC719">
            <v>0</v>
          </cell>
          <cell r="CD719">
            <v>0</v>
          </cell>
          <cell r="CE719">
            <v>0</v>
          </cell>
          <cell r="CF719">
            <v>0</v>
          </cell>
          <cell r="CG719">
            <v>0</v>
          </cell>
          <cell r="CH719">
            <v>0</v>
          </cell>
          <cell r="CI719">
            <v>4</v>
          </cell>
          <cell r="CJ719">
            <v>4</v>
          </cell>
          <cell r="CK719">
            <v>0</v>
          </cell>
          <cell r="CL719">
            <v>4</v>
          </cell>
          <cell r="CM719">
            <v>0</v>
          </cell>
          <cell r="CR719">
            <v>0</v>
          </cell>
          <cell r="CS719">
            <v>0</v>
          </cell>
          <cell r="CT719">
            <v>32</v>
          </cell>
          <cell r="CU719">
            <v>0</v>
          </cell>
          <cell r="CV719">
            <v>0</v>
          </cell>
          <cell r="CZ719">
            <v>32</v>
          </cell>
        </row>
        <row r="720">
          <cell r="C720" t="str">
            <v>04106</v>
          </cell>
          <cell r="D720" t="str">
            <v>Phạm Mộng Thường</v>
          </cell>
          <cell r="E720" t="str">
            <v>Warehouse</v>
          </cell>
          <cell r="F720" t="str">
            <v>FGS Warehouse</v>
          </cell>
          <cell r="G720" t="str">
            <v>Staff</v>
          </cell>
          <cell r="H720">
            <v>45442</v>
          </cell>
          <cell r="I720">
            <v>8</v>
          </cell>
          <cell r="J720">
            <v>8</v>
          </cell>
          <cell r="K720" t="str">
            <v>PO</v>
          </cell>
          <cell r="L720" t="str">
            <v>CN</v>
          </cell>
          <cell r="M720">
            <v>8</v>
          </cell>
          <cell r="N720">
            <v>8</v>
          </cell>
          <cell r="O720">
            <v>8</v>
          </cell>
          <cell r="P720">
            <v>8</v>
          </cell>
          <cell r="Q720">
            <v>8</v>
          </cell>
          <cell r="R720" t="str">
            <v>PO</v>
          </cell>
          <cell r="S720" t="str">
            <v>CN</v>
          </cell>
          <cell r="T720">
            <v>8</v>
          </cell>
          <cell r="U720">
            <v>8</v>
          </cell>
          <cell r="V720">
            <v>8</v>
          </cell>
          <cell r="W720">
            <v>8</v>
          </cell>
          <cell r="X720">
            <v>8</v>
          </cell>
          <cell r="Y720" t="str">
            <v>PO</v>
          </cell>
          <cell r="Z720" t="str">
            <v>CN</v>
          </cell>
          <cell r="AA720">
            <v>8</v>
          </cell>
          <cell r="AB720">
            <v>8</v>
          </cell>
          <cell r="AC720">
            <v>8</v>
          </cell>
          <cell r="AD720">
            <v>8</v>
          </cell>
          <cell r="AE720">
            <v>8</v>
          </cell>
          <cell r="AF720" t="str">
            <v>PO</v>
          </cell>
          <cell r="AG720" t="str">
            <v>CN</v>
          </cell>
          <cell r="AH720">
            <v>8</v>
          </cell>
          <cell r="AI720">
            <v>8</v>
          </cell>
          <cell r="AJ720">
            <v>8</v>
          </cell>
          <cell r="AN720">
            <v>0</v>
          </cell>
          <cell r="AO720">
            <v>160</v>
          </cell>
          <cell r="AP720">
            <v>0</v>
          </cell>
          <cell r="AQ720">
            <v>0</v>
          </cell>
          <cell r="AR720">
            <v>0</v>
          </cell>
          <cell r="AS720">
            <v>0</v>
          </cell>
          <cell r="AT720">
            <v>0</v>
          </cell>
          <cell r="AU720">
            <v>0</v>
          </cell>
          <cell r="AV720">
            <v>32</v>
          </cell>
          <cell r="AW720">
            <v>0</v>
          </cell>
          <cell r="AX720">
            <v>0</v>
          </cell>
          <cell r="AY720">
            <v>0</v>
          </cell>
          <cell r="AZ720">
            <v>0</v>
          </cell>
          <cell r="BA720">
            <v>0</v>
          </cell>
          <cell r="BB720">
            <v>0</v>
          </cell>
          <cell r="BC720">
            <v>0</v>
          </cell>
          <cell r="BD720">
            <v>0</v>
          </cell>
          <cell r="BE720">
            <v>0</v>
          </cell>
          <cell r="BF720">
            <v>0</v>
          </cell>
          <cell r="BG720">
            <v>192</v>
          </cell>
          <cell r="BH720">
            <v>0</v>
          </cell>
          <cell r="BI720">
            <v>0</v>
          </cell>
          <cell r="BJ720">
            <v>3</v>
          </cell>
          <cell r="BL720">
            <v>0</v>
          </cell>
          <cell r="BM720">
            <v>0</v>
          </cell>
          <cell r="BN720">
            <v>0</v>
          </cell>
          <cell r="BO720">
            <v>0</v>
          </cell>
          <cell r="BP720">
            <v>0</v>
          </cell>
          <cell r="BQ720">
            <v>1</v>
          </cell>
          <cell r="BR720">
            <v>0</v>
          </cell>
          <cell r="BS720">
            <v>0</v>
          </cell>
          <cell r="BT720">
            <v>0</v>
          </cell>
          <cell r="BU720">
            <v>0</v>
          </cell>
          <cell r="BV720">
            <v>0</v>
          </cell>
          <cell r="BW720">
            <v>0</v>
          </cell>
          <cell r="BX720">
            <v>0</v>
          </cell>
          <cell r="BY720">
            <v>0</v>
          </cell>
          <cell r="BZ720">
            <v>0</v>
          </cell>
          <cell r="CA720">
            <v>0</v>
          </cell>
          <cell r="CB720">
            <v>0</v>
          </cell>
          <cell r="CC720">
            <v>0</v>
          </cell>
          <cell r="CD720">
            <v>1</v>
          </cell>
          <cell r="CE720">
            <v>0</v>
          </cell>
          <cell r="CF720">
            <v>0</v>
          </cell>
          <cell r="CG720">
            <v>0</v>
          </cell>
          <cell r="CH720">
            <v>0.5</v>
          </cell>
          <cell r="CI720">
            <v>0</v>
          </cell>
          <cell r="CJ720">
            <v>0</v>
          </cell>
          <cell r="CK720">
            <v>0</v>
          </cell>
          <cell r="CL720">
            <v>0</v>
          </cell>
          <cell r="CM720">
            <v>0</v>
          </cell>
          <cell r="CR720">
            <v>0</v>
          </cell>
          <cell r="CS720">
            <v>0</v>
          </cell>
          <cell r="CT720">
            <v>2.5</v>
          </cell>
          <cell r="CU720">
            <v>0</v>
          </cell>
          <cell r="CV720">
            <v>0</v>
          </cell>
          <cell r="CZ720">
            <v>2.5</v>
          </cell>
        </row>
        <row r="721">
          <cell r="C721" t="str">
            <v>02454</v>
          </cell>
          <cell r="D721" t="str">
            <v>Nguyễn Thị Cẩm Tiền</v>
          </cell>
          <cell r="E721" t="str">
            <v>Production</v>
          </cell>
          <cell r="F721" t="str">
            <v>Logo</v>
          </cell>
          <cell r="G721" t="str">
            <v>Worker</v>
          </cell>
          <cell r="H721">
            <v>44064</v>
          </cell>
          <cell r="I721" t="str">
            <v>Đ</v>
          </cell>
          <cell r="J721" t="str">
            <v>Đ</v>
          </cell>
          <cell r="K721" t="str">
            <v>Đ</v>
          </cell>
          <cell r="L721" t="str">
            <v>CN</v>
          </cell>
          <cell r="M721">
            <v>8</v>
          </cell>
          <cell r="N721">
            <v>8</v>
          </cell>
          <cell r="O721">
            <v>8</v>
          </cell>
          <cell r="P721">
            <v>8</v>
          </cell>
          <cell r="Q721">
            <v>8</v>
          </cell>
          <cell r="R721">
            <v>8</v>
          </cell>
          <cell r="S721" t="str">
            <v>CN</v>
          </cell>
          <cell r="T721" t="str">
            <v>Đ</v>
          </cell>
          <cell r="U721" t="str">
            <v>Đ</v>
          </cell>
          <cell r="V721" t="str">
            <v>Đ</v>
          </cell>
          <cell r="W721" t="str">
            <v>Đ</v>
          </cell>
          <cell r="X721" t="str">
            <v>Đ</v>
          </cell>
          <cell r="Y721" t="str">
            <v>Đ</v>
          </cell>
          <cell r="Z721" t="str">
            <v>CN</v>
          </cell>
          <cell r="AA721">
            <v>8</v>
          </cell>
          <cell r="AB721">
            <v>8</v>
          </cell>
          <cell r="AC721">
            <v>8</v>
          </cell>
          <cell r="AD721">
            <v>8</v>
          </cell>
          <cell r="AE721">
            <v>8</v>
          </cell>
          <cell r="AF721">
            <v>8</v>
          </cell>
          <cell r="AG721" t="str">
            <v>CN</v>
          </cell>
          <cell r="AH721" t="str">
            <v>Đ</v>
          </cell>
          <cell r="AI721" t="str">
            <v>Đ</v>
          </cell>
          <cell r="AJ721" t="str">
            <v>Đ</v>
          </cell>
          <cell r="AN721">
            <v>96</v>
          </cell>
          <cell r="AO721">
            <v>96</v>
          </cell>
          <cell r="AP721">
            <v>0</v>
          </cell>
          <cell r="AQ721">
            <v>0</v>
          </cell>
          <cell r="AR721">
            <v>0</v>
          </cell>
          <cell r="AS721">
            <v>0</v>
          </cell>
          <cell r="AT721">
            <v>0</v>
          </cell>
          <cell r="AU721">
            <v>0</v>
          </cell>
          <cell r="AV721">
            <v>0</v>
          </cell>
          <cell r="AW721">
            <v>0</v>
          </cell>
          <cell r="AX721">
            <v>0</v>
          </cell>
          <cell r="AY721">
            <v>0</v>
          </cell>
          <cell r="AZ721">
            <v>0</v>
          </cell>
          <cell r="BA721">
            <v>0</v>
          </cell>
          <cell r="BB721">
            <v>0</v>
          </cell>
          <cell r="BC721">
            <v>0</v>
          </cell>
          <cell r="BD721">
            <v>0</v>
          </cell>
          <cell r="BE721">
            <v>0</v>
          </cell>
          <cell r="BF721">
            <v>0</v>
          </cell>
          <cell r="BG721">
            <v>192</v>
          </cell>
          <cell r="BH721">
            <v>0</v>
          </cell>
          <cell r="BI721">
            <v>0</v>
          </cell>
          <cell r="BJ721">
            <v>3</v>
          </cell>
          <cell r="BL721">
            <v>1.5</v>
          </cell>
          <cell r="BM721">
            <v>1.5</v>
          </cell>
          <cell r="BN721">
            <v>1.5</v>
          </cell>
          <cell r="BO721">
            <v>0</v>
          </cell>
          <cell r="BP721">
            <v>1.5</v>
          </cell>
          <cell r="BQ721">
            <v>0</v>
          </cell>
          <cell r="BR721">
            <v>0</v>
          </cell>
          <cell r="BS721">
            <v>3</v>
          </cell>
          <cell r="BT721">
            <v>3</v>
          </cell>
          <cell r="BU721">
            <v>3</v>
          </cell>
          <cell r="BV721">
            <v>0</v>
          </cell>
          <cell r="BW721">
            <v>4</v>
          </cell>
          <cell r="BX721">
            <v>4</v>
          </cell>
          <cell r="BY721">
            <v>4</v>
          </cell>
          <cell r="BZ721">
            <v>4</v>
          </cell>
          <cell r="CA721">
            <v>4</v>
          </cell>
          <cell r="CB721">
            <v>4</v>
          </cell>
          <cell r="CC721">
            <v>0</v>
          </cell>
          <cell r="CD721">
            <v>3</v>
          </cell>
          <cell r="CE721">
            <v>3</v>
          </cell>
          <cell r="CF721">
            <v>3</v>
          </cell>
          <cell r="CG721">
            <v>3</v>
          </cell>
          <cell r="CH721">
            <v>3</v>
          </cell>
          <cell r="CI721">
            <v>3</v>
          </cell>
          <cell r="CJ721">
            <v>8</v>
          </cell>
          <cell r="CK721">
            <v>4</v>
          </cell>
          <cell r="CL721">
            <v>4</v>
          </cell>
          <cell r="CM721">
            <v>4</v>
          </cell>
          <cell r="CR721">
            <v>0</v>
          </cell>
          <cell r="CS721">
            <v>0</v>
          </cell>
          <cell r="CT721">
            <v>69</v>
          </cell>
          <cell r="CU721">
            <v>8</v>
          </cell>
          <cell r="CV721">
            <v>0</v>
          </cell>
          <cell r="CZ721">
            <v>77</v>
          </cell>
        </row>
        <row r="722">
          <cell r="C722" t="str">
            <v>02469</v>
          </cell>
          <cell r="D722" t="str">
            <v>Trịnh Thúy Kiều</v>
          </cell>
          <cell r="E722" t="str">
            <v>Production</v>
          </cell>
          <cell r="F722" t="str">
            <v>Packing</v>
          </cell>
          <cell r="G722" t="str">
            <v>Worker</v>
          </cell>
          <cell r="H722">
            <v>44074</v>
          </cell>
          <cell r="I722" t="str">
            <v>Đ</v>
          </cell>
          <cell r="J722" t="str">
            <v>Đ</v>
          </cell>
          <cell r="K722" t="str">
            <v>Đ</v>
          </cell>
          <cell r="L722" t="str">
            <v>CN</v>
          </cell>
          <cell r="M722">
            <v>8</v>
          </cell>
          <cell r="N722">
            <v>8</v>
          </cell>
          <cell r="O722">
            <v>8</v>
          </cell>
          <cell r="P722">
            <v>8</v>
          </cell>
          <cell r="Q722">
            <v>8</v>
          </cell>
          <cell r="R722">
            <v>8</v>
          </cell>
          <cell r="S722" t="str">
            <v>CN</v>
          </cell>
          <cell r="T722" t="str">
            <v>Đ</v>
          </cell>
          <cell r="U722" t="str">
            <v>Đ</v>
          </cell>
          <cell r="V722" t="str">
            <v>Đ</v>
          </cell>
          <cell r="W722" t="str">
            <v>Đ</v>
          </cell>
          <cell r="X722" t="str">
            <v>Đ</v>
          </cell>
          <cell r="Y722" t="str">
            <v>Đ</v>
          </cell>
          <cell r="Z722" t="str">
            <v>CN</v>
          </cell>
          <cell r="AA722">
            <v>8</v>
          </cell>
          <cell r="AB722">
            <v>8</v>
          </cell>
          <cell r="AC722">
            <v>8</v>
          </cell>
          <cell r="AD722">
            <v>8</v>
          </cell>
          <cell r="AE722">
            <v>8</v>
          </cell>
          <cell r="AF722">
            <v>8</v>
          </cell>
          <cell r="AG722" t="str">
            <v>CN</v>
          </cell>
          <cell r="AH722" t="str">
            <v>Đ</v>
          </cell>
          <cell r="AI722" t="str">
            <v>Đ</v>
          </cell>
          <cell r="AJ722" t="str">
            <v>Đ</v>
          </cell>
          <cell r="AN722">
            <v>96</v>
          </cell>
          <cell r="AO722">
            <v>96</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192</v>
          </cell>
          <cell r="BH722">
            <v>0</v>
          </cell>
          <cell r="BI722">
            <v>0</v>
          </cell>
          <cell r="BJ722">
            <v>-1</v>
          </cell>
          <cell r="BL722">
            <v>0</v>
          </cell>
          <cell r="BM722">
            <v>0</v>
          </cell>
          <cell r="BN722">
            <v>0</v>
          </cell>
          <cell r="BO722">
            <v>0</v>
          </cell>
          <cell r="BP722">
            <v>1.5</v>
          </cell>
          <cell r="BQ722">
            <v>3</v>
          </cell>
          <cell r="BR722">
            <v>0</v>
          </cell>
          <cell r="BS722">
            <v>3</v>
          </cell>
          <cell r="BT722">
            <v>3</v>
          </cell>
          <cell r="BU722">
            <v>0</v>
          </cell>
          <cell r="BV722">
            <v>0</v>
          </cell>
          <cell r="BW722">
            <v>3</v>
          </cell>
          <cell r="BX722">
            <v>4</v>
          </cell>
          <cell r="BY722">
            <v>4</v>
          </cell>
          <cell r="BZ722">
            <v>4</v>
          </cell>
          <cell r="CA722">
            <v>1.5</v>
          </cell>
          <cell r="CB722">
            <v>4</v>
          </cell>
          <cell r="CC722">
            <v>0</v>
          </cell>
          <cell r="CD722">
            <v>1.5</v>
          </cell>
          <cell r="CE722">
            <v>3</v>
          </cell>
          <cell r="CF722">
            <v>3</v>
          </cell>
          <cell r="CG722">
            <v>3</v>
          </cell>
          <cell r="CH722">
            <v>1.5</v>
          </cell>
          <cell r="CI722">
            <v>1.5</v>
          </cell>
          <cell r="CJ722">
            <v>8</v>
          </cell>
          <cell r="CK722">
            <v>1.5</v>
          </cell>
          <cell r="CL722">
            <v>4</v>
          </cell>
          <cell r="CM722">
            <v>1.5</v>
          </cell>
          <cell r="CR722">
            <v>0</v>
          </cell>
          <cell r="CS722">
            <v>0</v>
          </cell>
          <cell r="CT722">
            <v>51.5</v>
          </cell>
          <cell r="CU722">
            <v>8</v>
          </cell>
          <cell r="CV722">
            <v>0</v>
          </cell>
          <cell r="CZ722">
            <v>59.5</v>
          </cell>
        </row>
        <row r="723">
          <cell r="C723" t="str">
            <v>04111</v>
          </cell>
          <cell r="D723" t="str">
            <v>Ngô Thị Hồng Nhung</v>
          </cell>
          <cell r="E723" t="str">
            <v>Technical Development</v>
          </cell>
          <cell r="F723" t="str">
            <v>PD Sample</v>
          </cell>
          <cell r="G723" t="str">
            <v>Staff</v>
          </cell>
          <cell r="H723">
            <v>45453</v>
          </cell>
          <cell r="I723">
            <v>8</v>
          </cell>
          <cell r="J723">
            <v>8</v>
          </cell>
          <cell r="K723" t="str">
            <v>PO</v>
          </cell>
          <cell r="L723" t="str">
            <v>CN</v>
          </cell>
          <cell r="M723">
            <v>8</v>
          </cell>
          <cell r="N723">
            <v>8</v>
          </cell>
          <cell r="O723">
            <v>8</v>
          </cell>
          <cell r="P723">
            <v>8</v>
          </cell>
          <cell r="Q723">
            <v>8</v>
          </cell>
          <cell r="R723" t="str">
            <v>PO</v>
          </cell>
          <cell r="S723" t="str">
            <v>CN</v>
          </cell>
          <cell r="T723" t="str">
            <v>AL8</v>
          </cell>
          <cell r="U723">
            <v>8</v>
          </cell>
          <cell r="V723">
            <v>8</v>
          </cell>
          <cell r="W723">
            <v>8</v>
          </cell>
          <cell r="X723">
            <v>8</v>
          </cell>
          <cell r="Y723" t="str">
            <v>PO</v>
          </cell>
          <cell r="Z723" t="str">
            <v>CN</v>
          </cell>
          <cell r="AA723">
            <v>8</v>
          </cell>
          <cell r="AB723">
            <v>8</v>
          </cell>
          <cell r="AC723">
            <v>8</v>
          </cell>
          <cell r="AD723">
            <v>8</v>
          </cell>
          <cell r="AE723">
            <v>8</v>
          </cell>
          <cell r="AF723" t="str">
            <v>PO</v>
          </cell>
          <cell r="AG723" t="str">
            <v>CN</v>
          </cell>
          <cell r="AH723" t="str">
            <v>AL8</v>
          </cell>
          <cell r="AI723">
            <v>8</v>
          </cell>
          <cell r="AJ723">
            <v>8</v>
          </cell>
          <cell r="AN723">
            <v>0</v>
          </cell>
          <cell r="AO723">
            <v>144</v>
          </cell>
          <cell r="AP723">
            <v>0</v>
          </cell>
          <cell r="AQ723">
            <v>0</v>
          </cell>
          <cell r="AR723">
            <v>0</v>
          </cell>
          <cell r="AS723">
            <v>0</v>
          </cell>
          <cell r="AT723">
            <v>0</v>
          </cell>
          <cell r="AU723">
            <v>0</v>
          </cell>
          <cell r="AV723">
            <v>32</v>
          </cell>
          <cell r="AW723">
            <v>0</v>
          </cell>
          <cell r="AX723">
            <v>0</v>
          </cell>
          <cell r="AY723">
            <v>0</v>
          </cell>
          <cell r="AZ723">
            <v>0</v>
          </cell>
          <cell r="BA723">
            <v>16</v>
          </cell>
          <cell r="BB723">
            <v>0</v>
          </cell>
          <cell r="BC723">
            <v>0</v>
          </cell>
          <cell r="BD723">
            <v>0</v>
          </cell>
          <cell r="BE723">
            <v>0</v>
          </cell>
          <cell r="BF723">
            <v>0</v>
          </cell>
          <cell r="BG723">
            <v>192</v>
          </cell>
          <cell r="BH723">
            <v>2</v>
          </cell>
          <cell r="BI723">
            <v>2</v>
          </cell>
          <cell r="BJ723">
            <v>1</v>
          </cell>
          <cell r="BL723">
            <v>0</v>
          </cell>
          <cell r="BM723">
            <v>0</v>
          </cell>
          <cell r="BN723">
            <v>0</v>
          </cell>
          <cell r="BO723">
            <v>0</v>
          </cell>
          <cell r="BP723">
            <v>0</v>
          </cell>
          <cell r="BQ723">
            <v>0</v>
          </cell>
          <cell r="BR723">
            <v>0</v>
          </cell>
          <cell r="BS723">
            <v>1</v>
          </cell>
          <cell r="BT723">
            <v>0</v>
          </cell>
          <cell r="BU723">
            <v>0</v>
          </cell>
          <cell r="BV723">
            <v>0</v>
          </cell>
          <cell r="BW723">
            <v>0</v>
          </cell>
          <cell r="BX723">
            <v>0</v>
          </cell>
          <cell r="BY723">
            <v>0</v>
          </cell>
          <cell r="BZ723">
            <v>0</v>
          </cell>
          <cell r="CA723">
            <v>0</v>
          </cell>
          <cell r="CB723">
            <v>0</v>
          </cell>
          <cell r="CC723">
            <v>0</v>
          </cell>
          <cell r="CD723">
            <v>0</v>
          </cell>
          <cell r="CE723">
            <v>0</v>
          </cell>
          <cell r="CF723">
            <v>0</v>
          </cell>
          <cell r="CG723">
            <v>0</v>
          </cell>
          <cell r="CH723">
            <v>0</v>
          </cell>
          <cell r="CI723">
            <v>0</v>
          </cell>
          <cell r="CJ723">
            <v>0</v>
          </cell>
          <cell r="CK723">
            <v>0</v>
          </cell>
          <cell r="CL723">
            <v>0</v>
          </cell>
          <cell r="CM723">
            <v>0</v>
          </cell>
          <cell r="CR723">
            <v>0</v>
          </cell>
          <cell r="CS723">
            <v>0</v>
          </cell>
          <cell r="CT723">
            <v>1</v>
          </cell>
          <cell r="CU723">
            <v>0</v>
          </cell>
          <cell r="CV723">
            <v>0</v>
          </cell>
          <cell r="CZ723">
            <v>1</v>
          </cell>
        </row>
        <row r="724">
          <cell r="C724" t="str">
            <v>04112</v>
          </cell>
          <cell r="D724" t="str">
            <v>Trần Thành Đại</v>
          </cell>
          <cell r="E724" t="str">
            <v>Foaming</v>
          </cell>
          <cell r="F724" t="str">
            <v>FOAMING Splitting</v>
          </cell>
          <cell r="G724" t="str">
            <v>Worker</v>
          </cell>
          <cell r="H724">
            <v>45453</v>
          </cell>
          <cell r="I724" t="str">
            <v>Đ</v>
          </cell>
          <cell r="J724" t="str">
            <v>Đ</v>
          </cell>
          <cell r="K724" t="str">
            <v>Đ</v>
          </cell>
          <cell r="L724" t="str">
            <v>CN</v>
          </cell>
          <cell r="M724" t="str">
            <v>Đ</v>
          </cell>
          <cell r="N724" t="str">
            <v>Đ</v>
          </cell>
          <cell r="O724" t="str">
            <v>Đ</v>
          </cell>
          <cell r="P724" t="str">
            <v>Đ</v>
          </cell>
          <cell r="Q724" t="str">
            <v>Đ</v>
          </cell>
          <cell r="R724" t="str">
            <v>Đ</v>
          </cell>
          <cell r="S724" t="str">
            <v>CN</v>
          </cell>
          <cell r="T724" t="str">
            <v>Đ</v>
          </cell>
          <cell r="U724" t="str">
            <v>Đ</v>
          </cell>
          <cell r="V724" t="str">
            <v>Đ</v>
          </cell>
          <cell r="W724" t="str">
            <v>Đ</v>
          </cell>
          <cell r="X724" t="str">
            <v>Đ</v>
          </cell>
          <cell r="Y724" t="str">
            <v>Đ</v>
          </cell>
          <cell r="Z724" t="str">
            <v>CN</v>
          </cell>
          <cell r="AA724">
            <v>8</v>
          </cell>
          <cell r="AB724">
            <v>8</v>
          </cell>
          <cell r="AC724">
            <v>8</v>
          </cell>
          <cell r="AD724">
            <v>8</v>
          </cell>
          <cell r="AE724">
            <v>8</v>
          </cell>
          <cell r="AF724">
            <v>8</v>
          </cell>
          <cell r="AG724" t="str">
            <v>CN</v>
          </cell>
          <cell r="AH724">
            <v>8</v>
          </cell>
          <cell r="AI724">
            <v>8</v>
          </cell>
          <cell r="AJ724">
            <v>8</v>
          </cell>
          <cell r="AN724">
            <v>120</v>
          </cell>
          <cell r="AO724">
            <v>72</v>
          </cell>
          <cell r="AP724">
            <v>0</v>
          </cell>
          <cell r="AQ724">
            <v>0</v>
          </cell>
          <cell r="AR724">
            <v>0</v>
          </cell>
          <cell r="AS724">
            <v>0</v>
          </cell>
          <cell r="AT724">
            <v>0</v>
          </cell>
          <cell r="AU724">
            <v>0</v>
          </cell>
          <cell r="AV724">
            <v>0</v>
          </cell>
          <cell r="AW724">
            <v>0</v>
          </cell>
          <cell r="AX724">
            <v>0</v>
          </cell>
          <cell r="AY724">
            <v>0</v>
          </cell>
          <cell r="AZ724">
            <v>0</v>
          </cell>
          <cell r="BA724">
            <v>0</v>
          </cell>
          <cell r="BB724">
            <v>0</v>
          </cell>
          <cell r="BC724">
            <v>0</v>
          </cell>
          <cell r="BD724">
            <v>0</v>
          </cell>
          <cell r="BE724">
            <v>0</v>
          </cell>
          <cell r="BF724">
            <v>0</v>
          </cell>
          <cell r="BG724">
            <v>192</v>
          </cell>
          <cell r="BH724">
            <v>0</v>
          </cell>
          <cell r="BI724">
            <v>0</v>
          </cell>
          <cell r="BJ724">
            <v>2.5</v>
          </cell>
          <cell r="BL724">
            <v>4</v>
          </cell>
          <cell r="BM724">
            <v>4</v>
          </cell>
          <cell r="BN724">
            <v>4</v>
          </cell>
          <cell r="BO724" t="str">
            <v>12Đ</v>
          </cell>
          <cell r="BP724">
            <v>2</v>
          </cell>
          <cell r="BQ724">
            <v>4</v>
          </cell>
          <cell r="BR724">
            <v>4</v>
          </cell>
          <cell r="BS724">
            <v>4</v>
          </cell>
          <cell r="BT724">
            <v>4</v>
          </cell>
          <cell r="BU724">
            <v>4</v>
          </cell>
          <cell r="BV724" t="str">
            <v>12Đ</v>
          </cell>
          <cell r="BW724">
            <v>4</v>
          </cell>
          <cell r="BX724">
            <v>4</v>
          </cell>
          <cell r="BY724">
            <v>4</v>
          </cell>
          <cell r="BZ724">
            <v>4</v>
          </cell>
          <cell r="CA724">
            <v>4</v>
          </cell>
          <cell r="CB724">
            <v>4</v>
          </cell>
          <cell r="CC724">
            <v>0</v>
          </cell>
          <cell r="CD724">
            <v>4</v>
          </cell>
          <cell r="CE724">
            <v>4</v>
          </cell>
          <cell r="CF724">
            <v>4</v>
          </cell>
          <cell r="CG724">
            <v>2</v>
          </cell>
          <cell r="CH724">
            <v>4</v>
          </cell>
          <cell r="CI724">
            <v>2</v>
          </cell>
          <cell r="CJ724">
            <v>12</v>
          </cell>
          <cell r="CK724">
            <v>4</v>
          </cell>
          <cell r="CL724">
            <v>4</v>
          </cell>
          <cell r="CM724">
            <v>4</v>
          </cell>
          <cell r="CR724">
            <v>0</v>
          </cell>
          <cell r="CS724">
            <v>0</v>
          </cell>
          <cell r="CT724">
            <v>90</v>
          </cell>
          <cell r="CU724">
            <v>20</v>
          </cell>
          <cell r="CV724">
            <v>16</v>
          </cell>
          <cell r="CZ724">
            <v>126</v>
          </cell>
        </row>
        <row r="725">
          <cell r="C725" t="str">
            <v>04115</v>
          </cell>
          <cell r="D725" t="str">
            <v>Trần Thị Mỹ Hương</v>
          </cell>
          <cell r="E725" t="str">
            <v>Sales</v>
          </cell>
          <cell r="F725" t="str">
            <v>Costing</v>
          </cell>
          <cell r="G725" t="str">
            <v>Associate Specialist</v>
          </cell>
          <cell r="H725">
            <v>45453</v>
          </cell>
          <cell r="I725">
            <v>8</v>
          </cell>
          <cell r="J725">
            <v>8</v>
          </cell>
          <cell r="K725" t="str">
            <v>PO</v>
          </cell>
          <cell r="L725" t="str">
            <v>CN</v>
          </cell>
          <cell r="M725">
            <v>8</v>
          </cell>
          <cell r="N725">
            <v>8</v>
          </cell>
          <cell r="O725">
            <v>8</v>
          </cell>
          <cell r="P725">
            <v>8</v>
          </cell>
          <cell r="Q725">
            <v>8</v>
          </cell>
          <cell r="R725" t="str">
            <v>PO</v>
          </cell>
          <cell r="S725" t="str">
            <v>CN</v>
          </cell>
          <cell r="T725">
            <v>8</v>
          </cell>
          <cell r="U725">
            <v>8</v>
          </cell>
          <cell r="V725">
            <v>8</v>
          </cell>
          <cell r="W725">
            <v>8</v>
          </cell>
          <cell r="X725">
            <v>8</v>
          </cell>
          <cell r="Y725" t="str">
            <v>PO</v>
          </cell>
          <cell r="Z725" t="str">
            <v>CN</v>
          </cell>
          <cell r="AA725">
            <v>8</v>
          </cell>
          <cell r="AB725">
            <v>8</v>
          </cell>
          <cell r="AC725">
            <v>8</v>
          </cell>
          <cell r="AD725">
            <v>8</v>
          </cell>
          <cell r="AE725">
            <v>8</v>
          </cell>
          <cell r="AF725" t="str">
            <v>PO</v>
          </cell>
          <cell r="AG725" t="str">
            <v>CN</v>
          </cell>
          <cell r="AH725">
            <v>8</v>
          </cell>
          <cell r="AI725">
            <v>8</v>
          </cell>
          <cell r="AJ725">
            <v>8</v>
          </cell>
          <cell r="AN725">
            <v>0</v>
          </cell>
          <cell r="AO725">
            <v>160</v>
          </cell>
          <cell r="AP725">
            <v>0</v>
          </cell>
          <cell r="AQ725">
            <v>0</v>
          </cell>
          <cell r="AR725">
            <v>0</v>
          </cell>
          <cell r="AS725">
            <v>0</v>
          </cell>
          <cell r="AT725">
            <v>0</v>
          </cell>
          <cell r="AU725">
            <v>0</v>
          </cell>
          <cell r="AV725">
            <v>32</v>
          </cell>
          <cell r="AW725">
            <v>0</v>
          </cell>
          <cell r="AX725">
            <v>0</v>
          </cell>
          <cell r="AY725">
            <v>0</v>
          </cell>
          <cell r="AZ725">
            <v>0</v>
          </cell>
          <cell r="BA725">
            <v>0</v>
          </cell>
          <cell r="BB725">
            <v>0</v>
          </cell>
          <cell r="BC725">
            <v>0</v>
          </cell>
          <cell r="BD725">
            <v>0</v>
          </cell>
          <cell r="BE725">
            <v>0</v>
          </cell>
          <cell r="BF725">
            <v>0</v>
          </cell>
          <cell r="BG725">
            <v>192</v>
          </cell>
          <cell r="BH725">
            <v>0</v>
          </cell>
          <cell r="BI725">
            <v>0</v>
          </cell>
          <cell r="BJ725">
            <v>1</v>
          </cell>
          <cell r="BL725">
            <v>0</v>
          </cell>
          <cell r="BM725">
            <v>0</v>
          </cell>
          <cell r="BN725">
            <v>0</v>
          </cell>
          <cell r="BO725">
            <v>0</v>
          </cell>
          <cell r="BP725">
            <v>0</v>
          </cell>
          <cell r="BQ725">
            <v>0</v>
          </cell>
          <cell r="BR725">
            <v>0</v>
          </cell>
          <cell r="BS725">
            <v>0</v>
          </cell>
          <cell r="BT725">
            <v>0</v>
          </cell>
          <cell r="BU725">
            <v>0</v>
          </cell>
          <cell r="BV725">
            <v>0</v>
          </cell>
          <cell r="BW725">
            <v>0</v>
          </cell>
          <cell r="BX725">
            <v>0</v>
          </cell>
          <cell r="BY725">
            <v>0</v>
          </cell>
          <cell r="BZ725">
            <v>0</v>
          </cell>
          <cell r="CA725">
            <v>0</v>
          </cell>
          <cell r="CB725">
            <v>0</v>
          </cell>
          <cell r="CC725">
            <v>0</v>
          </cell>
          <cell r="CD725">
            <v>0</v>
          </cell>
          <cell r="CE725">
            <v>0</v>
          </cell>
          <cell r="CF725">
            <v>0</v>
          </cell>
          <cell r="CG725">
            <v>0</v>
          </cell>
          <cell r="CH725">
            <v>0</v>
          </cell>
          <cell r="CI725">
            <v>0</v>
          </cell>
          <cell r="CJ725">
            <v>0</v>
          </cell>
          <cell r="CK725">
            <v>0</v>
          </cell>
          <cell r="CL725">
            <v>0</v>
          </cell>
          <cell r="CM725">
            <v>0</v>
          </cell>
          <cell r="CR725">
            <v>0</v>
          </cell>
          <cell r="CS725">
            <v>0</v>
          </cell>
          <cell r="CT725">
            <v>0</v>
          </cell>
          <cell r="CU725">
            <v>0</v>
          </cell>
          <cell r="CV725">
            <v>0</v>
          </cell>
          <cell r="CZ725">
            <v>0</v>
          </cell>
        </row>
        <row r="726">
          <cell r="C726" t="str">
            <v>04116</v>
          </cell>
          <cell r="D726" t="str">
            <v>Nguyễn Hoàng Vũ</v>
          </cell>
          <cell r="E726" t="str">
            <v>PD</v>
          </cell>
          <cell r="F726" t="str">
            <v>PD office</v>
          </cell>
          <cell r="G726" t="str">
            <v>Specialist</v>
          </cell>
          <cell r="H726">
            <v>45453</v>
          </cell>
          <cell r="I726" t="str">
            <v>BS</v>
          </cell>
          <cell r="J726">
            <v>8</v>
          </cell>
          <cell r="K726" t="str">
            <v>PO</v>
          </cell>
          <cell r="L726" t="str">
            <v>CN</v>
          </cell>
          <cell r="M726" t="str">
            <v>BS</v>
          </cell>
          <cell r="N726">
            <v>8</v>
          </cell>
          <cell r="O726" t="str">
            <v>BS</v>
          </cell>
          <cell r="P726">
            <v>8</v>
          </cell>
          <cell r="Q726">
            <v>8</v>
          </cell>
          <cell r="R726" t="str">
            <v>PO</v>
          </cell>
          <cell r="S726" t="str">
            <v>CN</v>
          </cell>
          <cell r="T726">
            <v>8</v>
          </cell>
          <cell r="U726" t="str">
            <v>BS</v>
          </cell>
          <cell r="V726">
            <v>8</v>
          </cell>
          <cell r="W726">
            <v>8</v>
          </cell>
          <cell r="X726">
            <v>8</v>
          </cell>
          <cell r="Y726" t="str">
            <v>PO</v>
          </cell>
          <cell r="Z726" t="str">
            <v>CN</v>
          </cell>
          <cell r="AA726" t="str">
            <v>BS</v>
          </cell>
          <cell r="AB726" t="str">
            <v>AL8</v>
          </cell>
          <cell r="AC726" t="str">
            <v>AL8</v>
          </cell>
          <cell r="AD726" t="str">
            <v>AL8</v>
          </cell>
          <cell r="AE726">
            <v>8</v>
          </cell>
          <cell r="AF726" t="str">
            <v>PO</v>
          </cell>
          <cell r="AG726" t="str">
            <v>CN</v>
          </cell>
          <cell r="AH726">
            <v>8</v>
          </cell>
          <cell r="AI726" t="str">
            <v>BS</v>
          </cell>
          <cell r="AJ726">
            <v>8</v>
          </cell>
          <cell r="AN726">
            <v>0</v>
          </cell>
          <cell r="AO726">
            <v>88</v>
          </cell>
          <cell r="AP726">
            <v>0</v>
          </cell>
          <cell r="AQ726">
            <v>0</v>
          </cell>
          <cell r="AR726">
            <v>0</v>
          </cell>
          <cell r="AS726">
            <v>0</v>
          </cell>
          <cell r="AT726">
            <v>0</v>
          </cell>
          <cell r="AU726">
            <v>48</v>
          </cell>
          <cell r="AV726">
            <v>32</v>
          </cell>
          <cell r="AW726">
            <v>0</v>
          </cell>
          <cell r="AX726">
            <v>0</v>
          </cell>
          <cell r="AY726">
            <v>0</v>
          </cell>
          <cell r="AZ726">
            <v>0</v>
          </cell>
          <cell r="BA726">
            <v>24</v>
          </cell>
          <cell r="BB726">
            <v>0</v>
          </cell>
          <cell r="BC726">
            <v>0</v>
          </cell>
          <cell r="BD726">
            <v>0</v>
          </cell>
          <cell r="BE726">
            <v>0</v>
          </cell>
          <cell r="BF726">
            <v>0</v>
          </cell>
          <cell r="BG726">
            <v>192</v>
          </cell>
          <cell r="BH726">
            <v>3</v>
          </cell>
          <cell r="BI726">
            <v>3</v>
          </cell>
          <cell r="BJ726">
            <v>1.5</v>
          </cell>
          <cell r="BL726">
            <v>0</v>
          </cell>
          <cell r="BM726">
            <v>0</v>
          </cell>
          <cell r="BN726">
            <v>0</v>
          </cell>
          <cell r="BO726">
            <v>0</v>
          </cell>
          <cell r="BP726">
            <v>0</v>
          </cell>
          <cell r="BQ726">
            <v>0</v>
          </cell>
          <cell r="BR726">
            <v>0</v>
          </cell>
          <cell r="BS726">
            <v>0</v>
          </cell>
          <cell r="BT726">
            <v>0</v>
          </cell>
          <cell r="BU726">
            <v>0</v>
          </cell>
          <cell r="BV726">
            <v>0</v>
          </cell>
          <cell r="BW726">
            <v>0</v>
          </cell>
          <cell r="BX726">
            <v>0</v>
          </cell>
          <cell r="BY726">
            <v>0</v>
          </cell>
          <cell r="BZ726">
            <v>0</v>
          </cell>
          <cell r="CA726">
            <v>0</v>
          </cell>
          <cell r="CB726">
            <v>0</v>
          </cell>
          <cell r="CC726">
            <v>0</v>
          </cell>
          <cell r="CD726">
            <v>0</v>
          </cell>
          <cell r="CE726">
            <v>0</v>
          </cell>
          <cell r="CF726">
            <v>0</v>
          </cell>
          <cell r="CG726">
            <v>0</v>
          </cell>
          <cell r="CH726">
            <v>0</v>
          </cell>
          <cell r="CI726">
            <v>0</v>
          </cell>
          <cell r="CJ726">
            <v>0</v>
          </cell>
          <cell r="CK726">
            <v>0</v>
          </cell>
          <cell r="CL726">
            <v>0</v>
          </cell>
          <cell r="CM726">
            <v>0</v>
          </cell>
          <cell r="CR726">
            <v>0</v>
          </cell>
          <cell r="CS726">
            <v>0</v>
          </cell>
          <cell r="CT726">
            <v>0</v>
          </cell>
          <cell r="CU726">
            <v>0</v>
          </cell>
          <cell r="CV726">
            <v>0</v>
          </cell>
          <cell r="CZ726">
            <v>0</v>
          </cell>
        </row>
        <row r="727">
          <cell r="C727" t="str">
            <v>04118</v>
          </cell>
          <cell r="D727" t="str">
            <v>Phạm Đình Tín</v>
          </cell>
          <cell r="E727" t="str">
            <v>Technical Development</v>
          </cell>
          <cell r="F727" t="str">
            <v>PD Technical</v>
          </cell>
          <cell r="G727" t="str">
            <v>Technician</v>
          </cell>
          <cell r="H727">
            <v>45456</v>
          </cell>
          <cell r="I727">
            <v>8</v>
          </cell>
          <cell r="J727">
            <v>8</v>
          </cell>
          <cell r="K727" t="str">
            <v>PO</v>
          </cell>
          <cell r="L727" t="str">
            <v>CN</v>
          </cell>
          <cell r="M727">
            <v>8</v>
          </cell>
          <cell r="N727">
            <v>8</v>
          </cell>
          <cell r="O727">
            <v>8</v>
          </cell>
          <cell r="P727">
            <v>8</v>
          </cell>
          <cell r="Q727">
            <v>8</v>
          </cell>
          <cell r="R727" t="str">
            <v>PO</v>
          </cell>
          <cell r="S727" t="str">
            <v>CN</v>
          </cell>
          <cell r="T727">
            <v>8</v>
          </cell>
          <cell r="U727">
            <v>8</v>
          </cell>
          <cell r="V727">
            <v>8</v>
          </cell>
          <cell r="W727">
            <v>8</v>
          </cell>
          <cell r="X727">
            <v>8</v>
          </cell>
          <cell r="Y727" t="str">
            <v>PO</v>
          </cell>
          <cell r="Z727" t="str">
            <v>CN</v>
          </cell>
          <cell r="AA727">
            <v>8</v>
          </cell>
          <cell r="AB727">
            <v>8</v>
          </cell>
          <cell r="AC727">
            <v>8</v>
          </cell>
          <cell r="AD727">
            <v>8</v>
          </cell>
          <cell r="AE727">
            <v>8</v>
          </cell>
          <cell r="AF727" t="str">
            <v>PO</v>
          </cell>
          <cell r="AG727" t="str">
            <v>CN</v>
          </cell>
          <cell r="AH727">
            <v>8</v>
          </cell>
          <cell r="AI727">
            <v>8</v>
          </cell>
          <cell r="AJ727">
            <v>8</v>
          </cell>
          <cell r="AN727">
            <v>0</v>
          </cell>
          <cell r="AO727">
            <v>160</v>
          </cell>
          <cell r="AP727">
            <v>0</v>
          </cell>
          <cell r="AQ727">
            <v>0</v>
          </cell>
          <cell r="AR727">
            <v>0</v>
          </cell>
          <cell r="AS727">
            <v>0</v>
          </cell>
          <cell r="AT727">
            <v>0</v>
          </cell>
          <cell r="AU727">
            <v>0</v>
          </cell>
          <cell r="AV727">
            <v>32</v>
          </cell>
          <cell r="AW727">
            <v>0</v>
          </cell>
          <cell r="AX727">
            <v>0</v>
          </cell>
          <cell r="AY727">
            <v>0</v>
          </cell>
          <cell r="AZ727">
            <v>0</v>
          </cell>
          <cell r="BA727">
            <v>0</v>
          </cell>
          <cell r="BB727">
            <v>0</v>
          </cell>
          <cell r="BC727">
            <v>0</v>
          </cell>
          <cell r="BD727">
            <v>0</v>
          </cell>
          <cell r="BE727">
            <v>0</v>
          </cell>
          <cell r="BF727">
            <v>0</v>
          </cell>
          <cell r="BG727">
            <v>192</v>
          </cell>
          <cell r="BH727">
            <v>0</v>
          </cell>
          <cell r="BI727">
            <v>0</v>
          </cell>
          <cell r="BJ727">
            <v>2</v>
          </cell>
          <cell r="BL727">
            <v>0</v>
          </cell>
          <cell r="BM727">
            <v>0</v>
          </cell>
          <cell r="BN727">
            <v>0</v>
          </cell>
          <cell r="BO727">
            <v>0</v>
          </cell>
          <cell r="BP727">
            <v>0</v>
          </cell>
          <cell r="BQ727">
            <v>0</v>
          </cell>
          <cell r="BR727">
            <v>0</v>
          </cell>
          <cell r="BS727">
            <v>0</v>
          </cell>
          <cell r="BT727">
            <v>0</v>
          </cell>
          <cell r="BU727">
            <v>0</v>
          </cell>
          <cell r="BV727">
            <v>0</v>
          </cell>
          <cell r="BW727">
            <v>0</v>
          </cell>
          <cell r="BX727">
            <v>0</v>
          </cell>
          <cell r="BY727">
            <v>0</v>
          </cell>
          <cell r="BZ727">
            <v>0</v>
          </cell>
          <cell r="CA727">
            <v>0</v>
          </cell>
          <cell r="CB727">
            <v>0</v>
          </cell>
          <cell r="CC727">
            <v>0</v>
          </cell>
          <cell r="CD727">
            <v>0</v>
          </cell>
          <cell r="CE727">
            <v>0</v>
          </cell>
          <cell r="CF727">
            <v>0</v>
          </cell>
          <cell r="CG727">
            <v>0</v>
          </cell>
          <cell r="CH727">
            <v>0</v>
          </cell>
          <cell r="CI727">
            <v>0</v>
          </cell>
          <cell r="CJ727">
            <v>0</v>
          </cell>
          <cell r="CK727">
            <v>0</v>
          </cell>
          <cell r="CL727">
            <v>0</v>
          </cell>
          <cell r="CM727">
            <v>0</v>
          </cell>
          <cell r="CR727">
            <v>0</v>
          </cell>
          <cell r="CS727">
            <v>0</v>
          </cell>
          <cell r="CT727">
            <v>0</v>
          </cell>
          <cell r="CU727">
            <v>0</v>
          </cell>
          <cell r="CV727">
            <v>0</v>
          </cell>
          <cell r="CZ727">
            <v>0</v>
          </cell>
        </row>
        <row r="728">
          <cell r="C728" t="str">
            <v>04121</v>
          </cell>
          <cell r="D728" t="str">
            <v>Nguyễn Thị Thùy Linh</v>
          </cell>
          <cell r="E728" t="str">
            <v>HR &amp; Admin</v>
          </cell>
          <cell r="F728" t="str">
            <v>HR</v>
          </cell>
          <cell r="G728" t="str">
            <v>Associate Specialist</v>
          </cell>
          <cell r="H728">
            <v>45460</v>
          </cell>
          <cell r="I728">
            <v>8</v>
          </cell>
          <cell r="J728">
            <v>8</v>
          </cell>
          <cell r="K728" t="str">
            <v>PO</v>
          </cell>
          <cell r="L728" t="str">
            <v>CN</v>
          </cell>
          <cell r="M728">
            <v>8</v>
          </cell>
          <cell r="N728">
            <v>8</v>
          </cell>
          <cell r="O728">
            <v>8</v>
          </cell>
          <cell r="P728">
            <v>8</v>
          </cell>
          <cell r="Q728" t="str">
            <v>PO</v>
          </cell>
          <cell r="R728" t="str">
            <v>PO</v>
          </cell>
          <cell r="S728" t="str">
            <v>CN</v>
          </cell>
          <cell r="T728">
            <v>8</v>
          </cell>
          <cell r="U728">
            <v>8</v>
          </cell>
          <cell r="V728">
            <v>8</v>
          </cell>
          <cell r="W728">
            <v>8</v>
          </cell>
          <cell r="X728">
            <v>8</v>
          </cell>
          <cell r="Y728" t="str">
            <v>PO</v>
          </cell>
          <cell r="Z728" t="str">
            <v>CN</v>
          </cell>
          <cell r="AA728">
            <v>8</v>
          </cell>
          <cell r="AB728">
            <v>8</v>
          </cell>
          <cell r="AC728">
            <v>8</v>
          </cell>
          <cell r="AD728">
            <v>8</v>
          </cell>
          <cell r="AE728">
            <v>8</v>
          </cell>
          <cell r="AF728" t="str">
            <v>PO</v>
          </cell>
          <cell r="AG728" t="str">
            <v>CN</v>
          </cell>
          <cell r="AH728">
            <v>8</v>
          </cell>
          <cell r="AI728" t="str">
            <v>AL4</v>
          </cell>
          <cell r="AJ728">
            <v>8</v>
          </cell>
          <cell r="AN728">
            <v>0</v>
          </cell>
          <cell r="AO728">
            <v>148</v>
          </cell>
          <cell r="AP728">
            <v>4</v>
          </cell>
          <cell r="AQ728">
            <v>0</v>
          </cell>
          <cell r="AR728">
            <v>0</v>
          </cell>
          <cell r="AS728">
            <v>0</v>
          </cell>
          <cell r="AT728">
            <v>0</v>
          </cell>
          <cell r="AU728">
            <v>0</v>
          </cell>
          <cell r="AV728">
            <v>40</v>
          </cell>
          <cell r="AW728">
            <v>0</v>
          </cell>
          <cell r="AX728">
            <v>0</v>
          </cell>
          <cell r="AY728">
            <v>0</v>
          </cell>
          <cell r="AZ728">
            <v>0</v>
          </cell>
          <cell r="BA728">
            <v>4</v>
          </cell>
          <cell r="BB728">
            <v>0</v>
          </cell>
          <cell r="BC728">
            <v>0</v>
          </cell>
          <cell r="BD728">
            <v>0</v>
          </cell>
          <cell r="BE728">
            <v>0</v>
          </cell>
          <cell r="BF728">
            <v>0</v>
          </cell>
          <cell r="BG728">
            <v>192</v>
          </cell>
          <cell r="BH728">
            <v>0.5</v>
          </cell>
          <cell r="BI728">
            <v>0.5</v>
          </cell>
          <cell r="BJ728">
            <v>7.5</v>
          </cell>
          <cell r="BL728">
            <v>4</v>
          </cell>
          <cell r="BM728">
            <v>0</v>
          </cell>
          <cell r="BN728">
            <v>0</v>
          </cell>
          <cell r="BO728">
            <v>0</v>
          </cell>
          <cell r="BP728">
            <v>0</v>
          </cell>
          <cell r="BQ728">
            <v>0</v>
          </cell>
          <cell r="BR728">
            <v>0</v>
          </cell>
          <cell r="BS728">
            <v>0</v>
          </cell>
          <cell r="BT728">
            <v>0</v>
          </cell>
          <cell r="BU728">
            <v>0</v>
          </cell>
          <cell r="BV728">
            <v>0</v>
          </cell>
          <cell r="BW728">
            <v>0</v>
          </cell>
          <cell r="BX728">
            <v>0</v>
          </cell>
          <cell r="BY728">
            <v>0</v>
          </cell>
          <cell r="BZ728">
            <v>0</v>
          </cell>
          <cell r="CA728">
            <v>0</v>
          </cell>
          <cell r="CB728">
            <v>0</v>
          </cell>
          <cell r="CC728">
            <v>0</v>
          </cell>
          <cell r="CD728">
            <v>0</v>
          </cell>
          <cell r="CE728">
            <v>0</v>
          </cell>
          <cell r="CF728">
            <v>0</v>
          </cell>
          <cell r="CG728">
            <v>0</v>
          </cell>
          <cell r="CH728">
            <v>0</v>
          </cell>
          <cell r="CI728">
            <v>0</v>
          </cell>
          <cell r="CJ728">
            <v>0</v>
          </cell>
          <cell r="CK728">
            <v>0</v>
          </cell>
          <cell r="CL728">
            <v>0</v>
          </cell>
          <cell r="CM728">
            <v>0</v>
          </cell>
          <cell r="CR728">
            <v>0</v>
          </cell>
          <cell r="CS728">
            <v>0</v>
          </cell>
          <cell r="CT728">
            <v>4</v>
          </cell>
          <cell r="CU728">
            <v>0</v>
          </cell>
          <cell r="CV728">
            <v>0</v>
          </cell>
          <cell r="CZ728">
            <v>4</v>
          </cell>
        </row>
        <row r="729">
          <cell r="C729" t="str">
            <v>04122</v>
          </cell>
          <cell r="D729" t="str">
            <v>Nguyễn Nhật Khanh</v>
          </cell>
          <cell r="E729" t="str">
            <v>Production</v>
          </cell>
          <cell r="F729" t="str">
            <v>Logo making</v>
          </cell>
          <cell r="G729" t="str">
            <v>Operator</v>
          </cell>
          <cell r="H729">
            <v>45476</v>
          </cell>
          <cell r="I729">
            <v>8</v>
          </cell>
          <cell r="J729" t="str">
            <v>Đ</v>
          </cell>
          <cell r="K729" t="str">
            <v>Đ</v>
          </cell>
          <cell r="L729" t="str">
            <v>CN</v>
          </cell>
          <cell r="M729">
            <v>8</v>
          </cell>
          <cell r="N729">
            <v>8</v>
          </cell>
          <cell r="O729">
            <v>8</v>
          </cell>
          <cell r="P729">
            <v>8</v>
          </cell>
          <cell r="Q729">
            <v>8</v>
          </cell>
          <cell r="R729">
            <v>8</v>
          </cell>
          <cell r="S729" t="str">
            <v>CN</v>
          </cell>
          <cell r="T729">
            <v>8</v>
          </cell>
          <cell r="U729">
            <v>8</v>
          </cell>
          <cell r="V729">
            <v>8</v>
          </cell>
          <cell r="W729">
            <v>8</v>
          </cell>
          <cell r="X729" t="str">
            <v>Đ</v>
          </cell>
          <cell r="Y729" t="str">
            <v>Đ</v>
          </cell>
          <cell r="Z729" t="str">
            <v>CN</v>
          </cell>
          <cell r="AA729">
            <v>8</v>
          </cell>
          <cell r="AB729">
            <v>8</v>
          </cell>
          <cell r="AC729">
            <v>8</v>
          </cell>
          <cell r="AD729">
            <v>8</v>
          </cell>
          <cell r="AE729">
            <v>8</v>
          </cell>
          <cell r="AF729">
            <v>8</v>
          </cell>
          <cell r="AG729" t="str">
            <v>CN</v>
          </cell>
          <cell r="AH729" t="str">
            <v>AL4</v>
          </cell>
          <cell r="AI729" t="str">
            <v>AL8</v>
          </cell>
          <cell r="AJ729" t="str">
            <v>AL8</v>
          </cell>
          <cell r="AN729">
            <v>32</v>
          </cell>
          <cell r="AO729">
            <v>140</v>
          </cell>
          <cell r="AP729">
            <v>4</v>
          </cell>
          <cell r="AQ729">
            <v>0</v>
          </cell>
          <cell r="AR729">
            <v>0</v>
          </cell>
          <cell r="AS729">
            <v>0</v>
          </cell>
          <cell r="AT729">
            <v>0</v>
          </cell>
          <cell r="AU729">
            <v>0</v>
          </cell>
          <cell r="AV729">
            <v>0</v>
          </cell>
          <cell r="AW729">
            <v>0</v>
          </cell>
          <cell r="AX729">
            <v>0</v>
          </cell>
          <cell r="AY729">
            <v>0</v>
          </cell>
          <cell r="AZ729">
            <v>0</v>
          </cell>
          <cell r="BA729">
            <v>20</v>
          </cell>
          <cell r="BB729">
            <v>0</v>
          </cell>
          <cell r="BC729">
            <v>0</v>
          </cell>
          <cell r="BD729">
            <v>0</v>
          </cell>
          <cell r="BE729">
            <v>0</v>
          </cell>
          <cell r="BF729">
            <v>0</v>
          </cell>
          <cell r="BG729">
            <v>192</v>
          </cell>
          <cell r="BH729">
            <v>2.5</v>
          </cell>
          <cell r="BI729">
            <v>2.5</v>
          </cell>
          <cell r="BJ729">
            <v>-3</v>
          </cell>
          <cell r="BL729">
            <v>0</v>
          </cell>
          <cell r="BM729">
            <v>4</v>
          </cell>
          <cell r="BN729">
            <v>4</v>
          </cell>
          <cell r="BO729">
            <v>0</v>
          </cell>
          <cell r="BP729">
            <v>0.5</v>
          </cell>
          <cell r="BQ729">
            <v>0</v>
          </cell>
          <cell r="BR729">
            <v>0</v>
          </cell>
          <cell r="BS729">
            <v>3</v>
          </cell>
          <cell r="BT729">
            <v>4</v>
          </cell>
          <cell r="BU729">
            <v>4</v>
          </cell>
          <cell r="BV729">
            <v>0</v>
          </cell>
          <cell r="BW729">
            <v>0</v>
          </cell>
          <cell r="BX729">
            <v>0</v>
          </cell>
          <cell r="BY729">
            <v>0</v>
          </cell>
          <cell r="BZ729">
            <v>0</v>
          </cell>
          <cell r="CA729">
            <v>4</v>
          </cell>
          <cell r="CB729">
            <v>4</v>
          </cell>
          <cell r="CC729">
            <v>0</v>
          </cell>
          <cell r="CD729">
            <v>0</v>
          </cell>
          <cell r="CE729">
            <v>0</v>
          </cell>
          <cell r="CF729">
            <v>0</v>
          </cell>
          <cell r="CG729">
            <v>0</v>
          </cell>
          <cell r="CH729">
            <v>4</v>
          </cell>
          <cell r="CI729">
            <v>4</v>
          </cell>
          <cell r="CJ729">
            <v>0</v>
          </cell>
          <cell r="CK729">
            <v>0</v>
          </cell>
          <cell r="CL729">
            <v>0</v>
          </cell>
          <cell r="CM729">
            <v>0</v>
          </cell>
          <cell r="CR729">
            <v>0</v>
          </cell>
          <cell r="CS729">
            <v>0</v>
          </cell>
          <cell r="CT729">
            <v>35.5</v>
          </cell>
          <cell r="CU729">
            <v>0</v>
          </cell>
          <cell r="CV729">
            <v>0</v>
          </cell>
          <cell r="CZ729">
            <v>35.5</v>
          </cell>
        </row>
        <row r="730">
          <cell r="C730" t="str">
            <v>04124</v>
          </cell>
          <cell r="D730" t="str">
            <v>Lê Thị Tuyết Nhung</v>
          </cell>
          <cell r="E730" t="str">
            <v>Technical Development</v>
          </cell>
          <cell r="F730" t="str">
            <v>PD Sample</v>
          </cell>
          <cell r="G730" t="str">
            <v>Staff</v>
          </cell>
          <cell r="H730">
            <v>45476</v>
          </cell>
          <cell r="I730">
            <v>8</v>
          </cell>
          <cell r="J730">
            <v>8</v>
          </cell>
          <cell r="K730" t="str">
            <v>PO</v>
          </cell>
          <cell r="L730" t="str">
            <v>CN</v>
          </cell>
          <cell r="M730">
            <v>8</v>
          </cell>
          <cell r="N730">
            <v>8</v>
          </cell>
          <cell r="O730">
            <v>8</v>
          </cell>
          <cell r="P730">
            <v>8</v>
          </cell>
          <cell r="Q730">
            <v>8</v>
          </cell>
          <cell r="R730" t="str">
            <v>PO</v>
          </cell>
          <cell r="S730" t="str">
            <v>CN</v>
          </cell>
          <cell r="T730">
            <v>8</v>
          </cell>
          <cell r="U730">
            <v>8</v>
          </cell>
          <cell r="V730">
            <v>8</v>
          </cell>
          <cell r="W730">
            <v>8</v>
          </cell>
          <cell r="X730">
            <v>8</v>
          </cell>
          <cell r="Y730" t="str">
            <v>PO</v>
          </cell>
          <cell r="Z730" t="str">
            <v>CN</v>
          </cell>
          <cell r="AA730">
            <v>8</v>
          </cell>
          <cell r="AB730">
            <v>8</v>
          </cell>
          <cell r="AC730">
            <v>8</v>
          </cell>
          <cell r="AD730" t="str">
            <v>AL8</v>
          </cell>
          <cell r="AE730">
            <v>8</v>
          </cell>
          <cell r="AF730" t="str">
            <v>PO</v>
          </cell>
          <cell r="AG730" t="str">
            <v>CN</v>
          </cell>
          <cell r="AH730">
            <v>8</v>
          </cell>
          <cell r="AI730">
            <v>8</v>
          </cell>
          <cell r="AJ730">
            <v>8</v>
          </cell>
          <cell r="AN730">
            <v>0</v>
          </cell>
          <cell r="AO730">
            <v>152</v>
          </cell>
          <cell r="AP730">
            <v>0</v>
          </cell>
          <cell r="AQ730">
            <v>0</v>
          </cell>
          <cell r="AR730">
            <v>0</v>
          </cell>
          <cell r="AS730">
            <v>0</v>
          </cell>
          <cell r="AT730">
            <v>0</v>
          </cell>
          <cell r="AU730">
            <v>0</v>
          </cell>
          <cell r="AV730">
            <v>32</v>
          </cell>
          <cell r="AW730">
            <v>0</v>
          </cell>
          <cell r="AX730">
            <v>0</v>
          </cell>
          <cell r="AY730">
            <v>0</v>
          </cell>
          <cell r="AZ730">
            <v>0</v>
          </cell>
          <cell r="BA730">
            <v>8</v>
          </cell>
          <cell r="BB730">
            <v>0</v>
          </cell>
          <cell r="BC730">
            <v>0</v>
          </cell>
          <cell r="BD730">
            <v>0</v>
          </cell>
          <cell r="BE730">
            <v>0</v>
          </cell>
          <cell r="BF730">
            <v>0</v>
          </cell>
          <cell r="BG730">
            <v>192</v>
          </cell>
          <cell r="BH730">
            <v>1</v>
          </cell>
          <cell r="BI730">
            <v>1</v>
          </cell>
          <cell r="BJ730">
            <v>1</v>
          </cell>
          <cell r="BL730">
            <v>0</v>
          </cell>
          <cell r="BM730">
            <v>0</v>
          </cell>
          <cell r="BN730">
            <v>0</v>
          </cell>
          <cell r="BO730">
            <v>0</v>
          </cell>
          <cell r="BP730">
            <v>0</v>
          </cell>
          <cell r="BQ730">
            <v>0</v>
          </cell>
          <cell r="BR730">
            <v>0</v>
          </cell>
          <cell r="BS730">
            <v>0</v>
          </cell>
          <cell r="BT730">
            <v>0</v>
          </cell>
          <cell r="BU730">
            <v>0</v>
          </cell>
          <cell r="BV730">
            <v>0</v>
          </cell>
          <cell r="BW730">
            <v>0</v>
          </cell>
          <cell r="BX730">
            <v>0</v>
          </cell>
          <cell r="BY730">
            <v>0</v>
          </cell>
          <cell r="BZ730">
            <v>0</v>
          </cell>
          <cell r="CA730">
            <v>0</v>
          </cell>
          <cell r="CB730">
            <v>0</v>
          </cell>
          <cell r="CC730">
            <v>0</v>
          </cell>
          <cell r="CD730">
            <v>0</v>
          </cell>
          <cell r="CE730">
            <v>0</v>
          </cell>
          <cell r="CF730">
            <v>0</v>
          </cell>
          <cell r="CG730">
            <v>0</v>
          </cell>
          <cell r="CH730">
            <v>0</v>
          </cell>
          <cell r="CI730">
            <v>0</v>
          </cell>
          <cell r="CJ730">
            <v>0</v>
          </cell>
          <cell r="CK730">
            <v>0</v>
          </cell>
          <cell r="CL730">
            <v>0</v>
          </cell>
          <cell r="CM730">
            <v>0</v>
          </cell>
          <cell r="CR730">
            <v>0</v>
          </cell>
          <cell r="CS730">
            <v>0</v>
          </cell>
          <cell r="CT730">
            <v>0</v>
          </cell>
          <cell r="CU730">
            <v>0</v>
          </cell>
          <cell r="CV730">
            <v>0</v>
          </cell>
          <cell r="CZ730">
            <v>0</v>
          </cell>
        </row>
        <row r="731">
          <cell r="C731" t="str">
            <v>04125</v>
          </cell>
          <cell r="D731" t="str">
            <v>Phan Phương Nam</v>
          </cell>
          <cell r="E731" t="str">
            <v>HR &amp; Admin</v>
          </cell>
          <cell r="F731" t="str">
            <v>Admin</v>
          </cell>
          <cell r="G731" t="str">
            <v>Senior Staff</v>
          </cell>
          <cell r="H731">
            <v>45481</v>
          </cell>
          <cell r="I731">
            <v>8</v>
          </cell>
          <cell r="J731">
            <v>8</v>
          </cell>
          <cell r="K731">
            <v>8</v>
          </cell>
          <cell r="L731" t="str">
            <v>CN</v>
          </cell>
          <cell r="M731">
            <v>8</v>
          </cell>
          <cell r="N731">
            <v>8</v>
          </cell>
          <cell r="O731">
            <v>8</v>
          </cell>
          <cell r="P731">
            <v>8</v>
          </cell>
          <cell r="Q731" t="str">
            <v>Đ</v>
          </cell>
          <cell r="R731" t="str">
            <v>Đ</v>
          </cell>
          <cell r="S731" t="str">
            <v>CN</v>
          </cell>
          <cell r="T731">
            <v>8</v>
          </cell>
          <cell r="U731">
            <v>8</v>
          </cell>
          <cell r="V731">
            <v>8</v>
          </cell>
          <cell r="W731">
            <v>8</v>
          </cell>
          <cell r="X731">
            <v>8</v>
          </cell>
          <cell r="Y731" t="str">
            <v>AL8</v>
          </cell>
          <cell r="Z731" t="str">
            <v>CN</v>
          </cell>
          <cell r="AA731">
            <v>8</v>
          </cell>
          <cell r="AB731">
            <v>8</v>
          </cell>
          <cell r="AC731">
            <v>8</v>
          </cell>
          <cell r="AD731">
            <v>8</v>
          </cell>
          <cell r="AE731">
            <v>8</v>
          </cell>
          <cell r="AF731" t="str">
            <v>AL8</v>
          </cell>
          <cell r="AG731" t="str">
            <v>CN</v>
          </cell>
          <cell r="AH731">
            <v>8</v>
          </cell>
          <cell r="AI731">
            <v>8</v>
          </cell>
          <cell r="AJ731">
            <v>8</v>
          </cell>
          <cell r="AN731">
            <v>16</v>
          </cell>
          <cell r="AO731">
            <v>160</v>
          </cell>
          <cell r="AP731">
            <v>0</v>
          </cell>
          <cell r="AQ731">
            <v>0</v>
          </cell>
          <cell r="AR731">
            <v>0</v>
          </cell>
          <cell r="AS731">
            <v>0</v>
          </cell>
          <cell r="AT731">
            <v>0</v>
          </cell>
          <cell r="AU731">
            <v>0</v>
          </cell>
          <cell r="AV731">
            <v>0</v>
          </cell>
          <cell r="AW731">
            <v>0</v>
          </cell>
          <cell r="AX731">
            <v>0</v>
          </cell>
          <cell r="AY731">
            <v>0</v>
          </cell>
          <cell r="AZ731">
            <v>0</v>
          </cell>
          <cell r="BA731">
            <v>16</v>
          </cell>
          <cell r="BB731">
            <v>0</v>
          </cell>
          <cell r="BC731">
            <v>0</v>
          </cell>
          <cell r="BD731">
            <v>0</v>
          </cell>
          <cell r="BE731">
            <v>0</v>
          </cell>
          <cell r="BF731">
            <v>0</v>
          </cell>
          <cell r="BG731">
            <v>192</v>
          </cell>
          <cell r="BH731">
            <v>2</v>
          </cell>
          <cell r="BI731">
            <v>2</v>
          </cell>
          <cell r="BJ731">
            <v>1</v>
          </cell>
          <cell r="BL731">
            <v>0</v>
          </cell>
          <cell r="BM731">
            <v>0</v>
          </cell>
          <cell r="BN731">
            <v>0</v>
          </cell>
          <cell r="BO731">
            <v>0</v>
          </cell>
          <cell r="BP731">
            <v>0</v>
          </cell>
          <cell r="BQ731">
            <v>0</v>
          </cell>
          <cell r="BR731">
            <v>0</v>
          </cell>
          <cell r="BS731">
            <v>0</v>
          </cell>
          <cell r="BT731">
            <v>0</v>
          </cell>
          <cell r="BU731">
            <v>0</v>
          </cell>
          <cell r="BV731">
            <v>0</v>
          </cell>
          <cell r="BW731">
            <v>0</v>
          </cell>
          <cell r="BX731">
            <v>0</v>
          </cell>
          <cell r="BY731">
            <v>0</v>
          </cell>
          <cell r="BZ731">
            <v>0</v>
          </cell>
          <cell r="CA731">
            <v>0</v>
          </cell>
          <cell r="CB731">
            <v>0</v>
          </cell>
          <cell r="CC731">
            <v>0</v>
          </cell>
          <cell r="CD731">
            <v>0</v>
          </cell>
          <cell r="CE731">
            <v>0</v>
          </cell>
          <cell r="CF731">
            <v>0</v>
          </cell>
          <cell r="CG731">
            <v>0</v>
          </cell>
          <cell r="CH731">
            <v>0</v>
          </cell>
          <cell r="CI731">
            <v>0</v>
          </cell>
          <cell r="CJ731">
            <v>0</v>
          </cell>
          <cell r="CK731">
            <v>0</v>
          </cell>
          <cell r="CL731">
            <v>0</v>
          </cell>
          <cell r="CM731">
            <v>0</v>
          </cell>
          <cell r="CR731">
            <v>0</v>
          </cell>
          <cell r="CS731">
            <v>0</v>
          </cell>
          <cell r="CT731">
            <v>0</v>
          </cell>
          <cell r="CU731">
            <v>0</v>
          </cell>
          <cell r="CV731">
            <v>0</v>
          </cell>
          <cell r="CZ731">
            <v>0</v>
          </cell>
        </row>
        <row r="732">
          <cell r="C732" t="str">
            <v>04126</v>
          </cell>
          <cell r="D732" t="str">
            <v>Nguyễn Xuân Trường</v>
          </cell>
          <cell r="E732" t="str">
            <v>Production office</v>
          </cell>
          <cell r="F732" t="str">
            <v>Production office</v>
          </cell>
          <cell r="G732" t="str">
            <v>Supervisor</v>
          </cell>
          <cell r="H732">
            <v>45481</v>
          </cell>
          <cell r="I732">
            <v>8</v>
          </cell>
          <cell r="J732">
            <v>8</v>
          </cell>
          <cell r="K732" t="str">
            <v>PO</v>
          </cell>
          <cell r="L732" t="str">
            <v>CN</v>
          </cell>
          <cell r="M732">
            <v>8</v>
          </cell>
          <cell r="N732">
            <v>8</v>
          </cell>
          <cell r="O732" t="str">
            <v>AL8</v>
          </cell>
          <cell r="P732">
            <v>8</v>
          </cell>
          <cell r="Q732" t="str">
            <v>PO</v>
          </cell>
          <cell r="R732" t="str">
            <v>PO</v>
          </cell>
          <cell r="S732" t="str">
            <v>CN</v>
          </cell>
          <cell r="T732">
            <v>8</v>
          </cell>
          <cell r="U732">
            <v>8</v>
          </cell>
          <cell r="V732" t="str">
            <v>AL8</v>
          </cell>
          <cell r="W732" t="str">
            <v>WH</v>
          </cell>
          <cell r="X732" t="str">
            <v>WH</v>
          </cell>
          <cell r="Y732" t="str">
            <v>PO</v>
          </cell>
          <cell r="Z732" t="str">
            <v>CN</v>
          </cell>
          <cell r="AA732">
            <v>8</v>
          </cell>
          <cell r="AB732">
            <v>8</v>
          </cell>
          <cell r="AC732">
            <v>8</v>
          </cell>
          <cell r="AD732">
            <v>8</v>
          </cell>
          <cell r="AE732">
            <v>8</v>
          </cell>
          <cell r="AF732" t="str">
            <v>PO</v>
          </cell>
          <cell r="AG732" t="str">
            <v>CN</v>
          </cell>
          <cell r="AH732">
            <v>8</v>
          </cell>
          <cell r="AI732">
            <v>8</v>
          </cell>
          <cell r="AJ732">
            <v>8</v>
          </cell>
          <cell r="AN732">
            <v>0</v>
          </cell>
          <cell r="AO732">
            <v>120</v>
          </cell>
          <cell r="AP732">
            <v>0</v>
          </cell>
          <cell r="AQ732">
            <v>0</v>
          </cell>
          <cell r="AR732">
            <v>0</v>
          </cell>
          <cell r="AS732">
            <v>0</v>
          </cell>
          <cell r="AT732">
            <v>0</v>
          </cell>
          <cell r="AU732">
            <v>0</v>
          </cell>
          <cell r="AV732">
            <v>40</v>
          </cell>
          <cell r="AW732">
            <v>0</v>
          </cell>
          <cell r="AX732">
            <v>0</v>
          </cell>
          <cell r="AY732">
            <v>0</v>
          </cell>
          <cell r="AZ732">
            <v>0</v>
          </cell>
          <cell r="BA732">
            <v>16</v>
          </cell>
          <cell r="BB732">
            <v>0</v>
          </cell>
          <cell r="BC732">
            <v>0</v>
          </cell>
          <cell r="BD732">
            <v>16</v>
          </cell>
          <cell r="BE732">
            <v>0</v>
          </cell>
          <cell r="BF732">
            <v>0</v>
          </cell>
          <cell r="BG732">
            <v>192</v>
          </cell>
          <cell r="BH732">
            <v>2</v>
          </cell>
          <cell r="BI732">
            <v>2</v>
          </cell>
          <cell r="BJ732">
            <v>2.5</v>
          </cell>
          <cell r="BL732">
            <v>0</v>
          </cell>
          <cell r="BM732">
            <v>0</v>
          </cell>
          <cell r="BN732">
            <v>0</v>
          </cell>
          <cell r="BO732">
            <v>0</v>
          </cell>
          <cell r="BP732">
            <v>0</v>
          </cell>
          <cell r="BQ732">
            <v>0</v>
          </cell>
          <cell r="BR732">
            <v>0</v>
          </cell>
          <cell r="BS732">
            <v>0</v>
          </cell>
          <cell r="BT732">
            <v>0</v>
          </cell>
          <cell r="BU732">
            <v>0</v>
          </cell>
          <cell r="BV732">
            <v>0</v>
          </cell>
          <cell r="BW732">
            <v>0</v>
          </cell>
          <cell r="BX732">
            <v>0</v>
          </cell>
          <cell r="BY732">
            <v>0</v>
          </cell>
          <cell r="BZ732">
            <v>0</v>
          </cell>
          <cell r="CA732">
            <v>0</v>
          </cell>
          <cell r="CB732">
            <v>0</v>
          </cell>
          <cell r="CC732">
            <v>0</v>
          </cell>
          <cell r="CD732">
            <v>0</v>
          </cell>
          <cell r="CE732">
            <v>0</v>
          </cell>
          <cell r="CF732">
            <v>0</v>
          </cell>
          <cell r="CG732">
            <v>0</v>
          </cell>
          <cell r="CH732">
            <v>0</v>
          </cell>
          <cell r="CI732">
            <v>0</v>
          </cell>
          <cell r="CJ732">
            <v>0</v>
          </cell>
          <cell r="CK732">
            <v>0</v>
          </cell>
          <cell r="CL732">
            <v>0</v>
          </cell>
          <cell r="CM732">
            <v>0</v>
          </cell>
          <cell r="CR732">
            <v>0</v>
          </cell>
          <cell r="CS732">
            <v>0</v>
          </cell>
          <cell r="CT732">
            <v>0</v>
          </cell>
          <cell r="CU732">
            <v>0</v>
          </cell>
          <cell r="CV732">
            <v>0</v>
          </cell>
          <cell r="CZ732">
            <v>0</v>
          </cell>
        </row>
        <row r="733">
          <cell r="C733" t="str">
            <v>04127</v>
          </cell>
          <cell r="D733" t="str">
            <v>Dương Vĩnh Lâm</v>
          </cell>
          <cell r="E733" t="str">
            <v>Production</v>
          </cell>
          <cell r="F733" t="str">
            <v>Die Cut</v>
          </cell>
          <cell r="G733" t="str">
            <v>Supervisor</v>
          </cell>
          <cell r="H733">
            <v>45481</v>
          </cell>
          <cell r="I733">
            <v>8</v>
          </cell>
          <cell r="J733">
            <v>8</v>
          </cell>
          <cell r="K733">
            <v>8</v>
          </cell>
          <cell r="L733" t="str">
            <v>CN</v>
          </cell>
          <cell r="M733">
            <v>8</v>
          </cell>
          <cell r="N733">
            <v>8</v>
          </cell>
          <cell r="O733">
            <v>8</v>
          </cell>
          <cell r="P733">
            <v>8</v>
          </cell>
          <cell r="Q733" t="str">
            <v>PO</v>
          </cell>
          <cell r="R733">
            <v>8</v>
          </cell>
          <cell r="S733" t="str">
            <v>CN</v>
          </cell>
          <cell r="T733">
            <v>8</v>
          </cell>
          <cell r="U733">
            <v>8</v>
          </cell>
          <cell r="V733">
            <v>8</v>
          </cell>
          <cell r="W733">
            <v>8</v>
          </cell>
          <cell r="X733">
            <v>8</v>
          </cell>
          <cell r="Y733">
            <v>8</v>
          </cell>
          <cell r="Z733" t="str">
            <v>CN</v>
          </cell>
          <cell r="AA733">
            <v>8</v>
          </cell>
          <cell r="AB733">
            <v>8</v>
          </cell>
          <cell r="AC733">
            <v>8</v>
          </cell>
          <cell r="AD733">
            <v>8</v>
          </cell>
          <cell r="AE733">
            <v>8</v>
          </cell>
          <cell r="AF733">
            <v>8</v>
          </cell>
          <cell r="AG733" t="str">
            <v>CN</v>
          </cell>
          <cell r="AH733">
            <v>8</v>
          </cell>
          <cell r="AI733">
            <v>8</v>
          </cell>
          <cell r="AJ733">
            <v>8</v>
          </cell>
          <cell r="AN733">
            <v>0</v>
          </cell>
          <cell r="AO733">
            <v>184</v>
          </cell>
          <cell r="AP733">
            <v>0</v>
          </cell>
          <cell r="AQ733">
            <v>0</v>
          </cell>
          <cell r="AR733">
            <v>0</v>
          </cell>
          <cell r="AS733">
            <v>0</v>
          </cell>
          <cell r="AT733">
            <v>0</v>
          </cell>
          <cell r="AU733">
            <v>0</v>
          </cell>
          <cell r="AV733">
            <v>8</v>
          </cell>
          <cell r="AW733">
            <v>0</v>
          </cell>
          <cell r="AX733">
            <v>0</v>
          </cell>
          <cell r="AY733">
            <v>0</v>
          </cell>
          <cell r="AZ733">
            <v>0</v>
          </cell>
          <cell r="BA733">
            <v>0</v>
          </cell>
          <cell r="BB733">
            <v>0</v>
          </cell>
          <cell r="BC733">
            <v>0</v>
          </cell>
          <cell r="BD733">
            <v>0</v>
          </cell>
          <cell r="BE733">
            <v>0</v>
          </cell>
          <cell r="BF733">
            <v>0</v>
          </cell>
          <cell r="BG733">
            <v>192</v>
          </cell>
          <cell r="BH733">
            <v>0</v>
          </cell>
          <cell r="BI733">
            <v>0</v>
          </cell>
          <cell r="BJ733">
            <v>3</v>
          </cell>
          <cell r="BL733">
            <v>2.25</v>
          </cell>
          <cell r="BM733">
            <v>2.25</v>
          </cell>
          <cell r="BN733">
            <v>0</v>
          </cell>
          <cell r="BO733">
            <v>0</v>
          </cell>
          <cell r="BP733">
            <v>1</v>
          </cell>
          <cell r="BQ733">
            <v>2.5</v>
          </cell>
          <cell r="BR733">
            <v>1</v>
          </cell>
          <cell r="BS733">
            <v>2.5</v>
          </cell>
          <cell r="BT733">
            <v>0</v>
          </cell>
          <cell r="BU733">
            <v>1</v>
          </cell>
          <cell r="BV733">
            <v>0</v>
          </cell>
          <cell r="BW733">
            <v>3</v>
          </cell>
          <cell r="BX733">
            <v>2.75</v>
          </cell>
          <cell r="BY733">
            <v>4</v>
          </cell>
          <cell r="BZ733">
            <v>4</v>
          </cell>
          <cell r="CA733">
            <v>2</v>
          </cell>
          <cell r="CB733">
            <v>3</v>
          </cell>
          <cell r="CC733">
            <v>7.25</v>
          </cell>
          <cell r="CD733">
            <v>2.25</v>
          </cell>
          <cell r="CE733">
            <v>2.75</v>
          </cell>
          <cell r="CF733">
            <v>3.25</v>
          </cell>
          <cell r="CG733">
            <v>4</v>
          </cell>
          <cell r="CH733">
            <v>0.75</v>
          </cell>
          <cell r="CI733">
            <v>2.25</v>
          </cell>
          <cell r="CJ733">
            <v>8.25</v>
          </cell>
          <cell r="CK733">
            <v>3.5</v>
          </cell>
          <cell r="CL733">
            <v>2.75</v>
          </cell>
          <cell r="CM733">
            <v>3.25</v>
          </cell>
          <cell r="CR733">
            <v>0</v>
          </cell>
          <cell r="CS733">
            <v>0</v>
          </cell>
          <cell r="CT733">
            <v>56</v>
          </cell>
          <cell r="CU733">
            <v>15.5</v>
          </cell>
          <cell r="CV733">
            <v>0</v>
          </cell>
          <cell r="CZ733">
            <v>71.5</v>
          </cell>
        </row>
        <row r="734">
          <cell r="C734" t="str">
            <v>03589</v>
          </cell>
          <cell r="D734" t="str">
            <v>Vũ Thị Thiết</v>
          </cell>
          <cell r="E734" t="str">
            <v>Technical Development</v>
          </cell>
          <cell r="F734" t="str">
            <v>PD Sample</v>
          </cell>
          <cell r="G734" t="str">
            <v>Staff</v>
          </cell>
          <cell r="H734">
            <v>44753</v>
          </cell>
          <cell r="I734">
            <v>8</v>
          </cell>
          <cell r="J734">
            <v>8</v>
          </cell>
          <cell r="K734" t="str">
            <v>PO</v>
          </cell>
          <cell r="L734" t="str">
            <v>CN</v>
          </cell>
          <cell r="M734">
            <v>8</v>
          </cell>
          <cell r="N734">
            <v>8</v>
          </cell>
          <cell r="O734">
            <v>8</v>
          </cell>
          <cell r="P734">
            <v>8</v>
          </cell>
          <cell r="Q734">
            <v>8</v>
          </cell>
          <cell r="R734" t="str">
            <v>PO</v>
          </cell>
          <cell r="S734" t="str">
            <v>CN</v>
          </cell>
          <cell r="T734">
            <v>8</v>
          </cell>
          <cell r="U734">
            <v>8</v>
          </cell>
          <cell r="V734">
            <v>8</v>
          </cell>
          <cell r="W734">
            <v>8</v>
          </cell>
          <cell r="X734">
            <v>8</v>
          </cell>
          <cell r="Y734" t="str">
            <v>PO</v>
          </cell>
          <cell r="Z734" t="str">
            <v>CN</v>
          </cell>
          <cell r="AA734">
            <v>8</v>
          </cell>
          <cell r="AB734">
            <v>8</v>
          </cell>
          <cell r="AC734">
            <v>8</v>
          </cell>
          <cell r="AD734">
            <v>8</v>
          </cell>
          <cell r="AE734">
            <v>8</v>
          </cell>
          <cell r="AF734" t="str">
            <v>PO</v>
          </cell>
          <cell r="AG734" t="str">
            <v>CN</v>
          </cell>
          <cell r="AH734">
            <v>8</v>
          </cell>
          <cell r="AI734">
            <v>8</v>
          </cell>
          <cell r="AJ734">
            <v>8</v>
          </cell>
          <cell r="AN734">
            <v>0</v>
          </cell>
          <cell r="AO734">
            <v>160</v>
          </cell>
          <cell r="AP734">
            <v>0</v>
          </cell>
          <cell r="AQ734">
            <v>0</v>
          </cell>
          <cell r="AR734">
            <v>0</v>
          </cell>
          <cell r="AS734">
            <v>0</v>
          </cell>
          <cell r="AT734">
            <v>0</v>
          </cell>
          <cell r="AU734">
            <v>0</v>
          </cell>
          <cell r="AV734">
            <v>32</v>
          </cell>
          <cell r="AW734">
            <v>0</v>
          </cell>
          <cell r="AX734">
            <v>0</v>
          </cell>
          <cell r="AY734">
            <v>0</v>
          </cell>
          <cell r="AZ734">
            <v>0</v>
          </cell>
          <cell r="BA734">
            <v>0</v>
          </cell>
          <cell r="BB734">
            <v>0</v>
          </cell>
          <cell r="BC734">
            <v>0</v>
          </cell>
          <cell r="BD734">
            <v>0</v>
          </cell>
          <cell r="BE734">
            <v>0</v>
          </cell>
          <cell r="BF734">
            <v>0</v>
          </cell>
          <cell r="BG734">
            <v>192</v>
          </cell>
          <cell r="BH734">
            <v>0</v>
          </cell>
          <cell r="BI734">
            <v>0</v>
          </cell>
          <cell r="BJ734">
            <v>7</v>
          </cell>
          <cell r="BL734">
            <v>0</v>
          </cell>
          <cell r="BM734">
            <v>0</v>
          </cell>
          <cell r="BN734">
            <v>0</v>
          </cell>
          <cell r="BO734">
            <v>0</v>
          </cell>
          <cell r="BP734">
            <v>0</v>
          </cell>
          <cell r="BQ734">
            <v>0</v>
          </cell>
          <cell r="BR734">
            <v>0</v>
          </cell>
          <cell r="BS734">
            <v>0</v>
          </cell>
          <cell r="BT734">
            <v>0</v>
          </cell>
          <cell r="BU734">
            <v>0</v>
          </cell>
          <cell r="BV734">
            <v>0</v>
          </cell>
          <cell r="BW734">
            <v>0</v>
          </cell>
          <cell r="BX734">
            <v>0</v>
          </cell>
          <cell r="BY734">
            <v>0</v>
          </cell>
          <cell r="BZ734">
            <v>0</v>
          </cell>
          <cell r="CA734">
            <v>0</v>
          </cell>
          <cell r="CB734">
            <v>0</v>
          </cell>
          <cell r="CC734">
            <v>0</v>
          </cell>
          <cell r="CD734">
            <v>0</v>
          </cell>
          <cell r="CE734">
            <v>0</v>
          </cell>
          <cell r="CF734">
            <v>0</v>
          </cell>
          <cell r="CG734">
            <v>0</v>
          </cell>
          <cell r="CH734">
            <v>0</v>
          </cell>
          <cell r="CI734">
            <v>0</v>
          </cell>
          <cell r="CJ734">
            <v>0</v>
          </cell>
          <cell r="CK734">
            <v>0</v>
          </cell>
          <cell r="CL734">
            <v>0</v>
          </cell>
          <cell r="CM734">
            <v>0</v>
          </cell>
          <cell r="CR734">
            <v>0</v>
          </cell>
          <cell r="CS734">
            <v>0</v>
          </cell>
          <cell r="CT734">
            <v>0</v>
          </cell>
          <cell r="CU734">
            <v>0</v>
          </cell>
          <cell r="CV734">
            <v>0</v>
          </cell>
          <cell r="CZ734">
            <v>0</v>
          </cell>
        </row>
        <row r="735">
          <cell r="C735" t="str">
            <v>04128</v>
          </cell>
          <cell r="D735" t="str">
            <v>Bùi Thị Minh Thư</v>
          </cell>
          <cell r="E735" t="str">
            <v>PD</v>
          </cell>
          <cell r="F735" t="str">
            <v>PD office</v>
          </cell>
          <cell r="G735" t="str">
            <v>Staff</v>
          </cell>
          <cell r="H735">
            <v>45488</v>
          </cell>
          <cell r="I735">
            <v>8</v>
          </cell>
          <cell r="J735">
            <v>8</v>
          </cell>
          <cell r="K735" t="str">
            <v>PO</v>
          </cell>
          <cell r="L735" t="str">
            <v>CN</v>
          </cell>
          <cell r="M735">
            <v>8</v>
          </cell>
          <cell r="N735">
            <v>8</v>
          </cell>
          <cell r="O735">
            <v>8</v>
          </cell>
          <cell r="P735">
            <v>8</v>
          </cell>
          <cell r="Q735">
            <v>8</v>
          </cell>
          <cell r="R735" t="str">
            <v>PO</v>
          </cell>
          <cell r="S735" t="str">
            <v>CN</v>
          </cell>
          <cell r="T735">
            <v>8</v>
          </cell>
          <cell r="U735">
            <v>8</v>
          </cell>
          <cell r="V735">
            <v>8</v>
          </cell>
          <cell r="W735">
            <v>8</v>
          </cell>
          <cell r="X735">
            <v>8</v>
          </cell>
          <cell r="Y735" t="str">
            <v>PO</v>
          </cell>
          <cell r="Z735" t="str">
            <v>CN</v>
          </cell>
          <cell r="AA735">
            <v>8</v>
          </cell>
          <cell r="AB735">
            <v>8</v>
          </cell>
          <cell r="AC735">
            <v>8</v>
          </cell>
          <cell r="AD735">
            <v>8</v>
          </cell>
          <cell r="AE735">
            <v>8</v>
          </cell>
          <cell r="AF735" t="str">
            <v>PO</v>
          </cell>
          <cell r="AG735" t="str">
            <v>CN</v>
          </cell>
          <cell r="AH735">
            <v>8</v>
          </cell>
          <cell r="AI735">
            <v>8</v>
          </cell>
          <cell r="AJ735">
            <v>8</v>
          </cell>
          <cell r="AN735">
            <v>0</v>
          </cell>
          <cell r="AO735">
            <v>160</v>
          </cell>
          <cell r="AP735">
            <v>0</v>
          </cell>
          <cell r="AQ735">
            <v>0</v>
          </cell>
          <cell r="AR735">
            <v>0</v>
          </cell>
          <cell r="AS735">
            <v>0</v>
          </cell>
          <cell r="AT735">
            <v>0</v>
          </cell>
          <cell r="AU735">
            <v>0</v>
          </cell>
          <cell r="AV735">
            <v>32</v>
          </cell>
          <cell r="AW735">
            <v>0</v>
          </cell>
          <cell r="AX735">
            <v>0</v>
          </cell>
          <cell r="AY735">
            <v>0</v>
          </cell>
          <cell r="AZ735">
            <v>0</v>
          </cell>
          <cell r="BA735">
            <v>0</v>
          </cell>
          <cell r="BB735">
            <v>0</v>
          </cell>
          <cell r="BC735">
            <v>0</v>
          </cell>
          <cell r="BD735">
            <v>0</v>
          </cell>
          <cell r="BE735">
            <v>0</v>
          </cell>
          <cell r="BF735">
            <v>0</v>
          </cell>
          <cell r="BG735">
            <v>192</v>
          </cell>
          <cell r="BH735">
            <v>0</v>
          </cell>
          <cell r="BI735">
            <v>0</v>
          </cell>
          <cell r="BJ735">
            <v>7</v>
          </cell>
          <cell r="BL735">
            <v>2.5</v>
          </cell>
          <cell r="BM735">
            <v>0</v>
          </cell>
          <cell r="BN735">
            <v>0</v>
          </cell>
          <cell r="BO735">
            <v>0</v>
          </cell>
          <cell r="BP735">
            <v>1.25</v>
          </cell>
          <cell r="BQ735">
            <v>3.5</v>
          </cell>
          <cell r="BR735">
            <v>1.25</v>
          </cell>
          <cell r="BS735">
            <v>0</v>
          </cell>
          <cell r="BT735">
            <v>0</v>
          </cell>
          <cell r="BU735">
            <v>0</v>
          </cell>
          <cell r="BV735">
            <v>0</v>
          </cell>
          <cell r="BW735">
            <v>0</v>
          </cell>
          <cell r="BX735">
            <v>0</v>
          </cell>
          <cell r="BY735">
            <v>1</v>
          </cell>
          <cell r="BZ735">
            <v>0</v>
          </cell>
          <cell r="CA735">
            <v>0</v>
          </cell>
          <cell r="CB735">
            <v>0</v>
          </cell>
          <cell r="CC735">
            <v>0</v>
          </cell>
          <cell r="CD735">
            <v>0</v>
          </cell>
          <cell r="CE735">
            <v>0</v>
          </cell>
          <cell r="CF735">
            <v>0</v>
          </cell>
          <cell r="CG735">
            <v>0.5</v>
          </cell>
          <cell r="CH735">
            <v>0</v>
          </cell>
          <cell r="CI735">
            <v>0</v>
          </cell>
          <cell r="CJ735">
            <v>0</v>
          </cell>
          <cell r="CK735">
            <v>0</v>
          </cell>
          <cell r="CL735">
            <v>0</v>
          </cell>
          <cell r="CM735">
            <v>0</v>
          </cell>
          <cell r="CR735">
            <v>0</v>
          </cell>
          <cell r="CS735">
            <v>0</v>
          </cell>
          <cell r="CT735">
            <v>10</v>
          </cell>
          <cell r="CU735">
            <v>0</v>
          </cell>
          <cell r="CV735">
            <v>0</v>
          </cell>
          <cell r="CZ735">
            <v>10</v>
          </cell>
        </row>
        <row r="736">
          <cell r="C736" t="str">
            <v>01529</v>
          </cell>
          <cell r="D736" t="str">
            <v>Hoàng Thị Lan</v>
          </cell>
          <cell r="E736" t="str">
            <v>Production</v>
          </cell>
          <cell r="F736" t="str">
            <v>Logo</v>
          </cell>
          <cell r="G736" t="str">
            <v>Worker</v>
          </cell>
          <cell r="H736">
            <v>43521</v>
          </cell>
          <cell r="I736" t="str">
            <v>Đ</v>
          </cell>
          <cell r="J736" t="str">
            <v>Đ</v>
          </cell>
          <cell r="K736" t="str">
            <v>Đ</v>
          </cell>
          <cell r="L736" t="str">
            <v>CN</v>
          </cell>
          <cell r="M736">
            <v>8</v>
          </cell>
          <cell r="N736">
            <v>8</v>
          </cell>
          <cell r="O736">
            <v>8</v>
          </cell>
          <cell r="P736">
            <v>8</v>
          </cell>
          <cell r="Q736">
            <v>8</v>
          </cell>
          <cell r="R736">
            <v>8</v>
          </cell>
          <cell r="S736" t="str">
            <v>CN</v>
          </cell>
          <cell r="T736" t="str">
            <v>Đ</v>
          </cell>
          <cell r="U736" t="str">
            <v>Đ</v>
          </cell>
          <cell r="V736" t="str">
            <v>Đ</v>
          </cell>
          <cell r="W736" t="str">
            <v>Đ</v>
          </cell>
          <cell r="X736" t="str">
            <v>Đ</v>
          </cell>
          <cell r="Y736" t="str">
            <v>Đ</v>
          </cell>
          <cell r="Z736" t="str">
            <v>CN</v>
          </cell>
          <cell r="AA736">
            <v>8</v>
          </cell>
          <cell r="AB736">
            <v>8</v>
          </cell>
          <cell r="AC736">
            <v>8</v>
          </cell>
          <cell r="AD736">
            <v>8</v>
          </cell>
          <cell r="AE736">
            <v>8</v>
          </cell>
          <cell r="AF736">
            <v>8</v>
          </cell>
          <cell r="AG736" t="str">
            <v>CN</v>
          </cell>
          <cell r="AH736">
            <v>8</v>
          </cell>
          <cell r="AI736">
            <v>8</v>
          </cell>
          <cell r="AJ736">
            <v>8</v>
          </cell>
          <cell r="AN736">
            <v>72</v>
          </cell>
          <cell r="AO736">
            <v>120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192</v>
          </cell>
          <cell r="BH736">
            <v>0</v>
          </cell>
          <cell r="BI736">
            <v>0</v>
          </cell>
          <cell r="BJ736">
            <v>2.5</v>
          </cell>
          <cell r="BL736">
            <v>0</v>
          </cell>
          <cell r="BM736">
            <v>0</v>
          </cell>
          <cell r="BN736">
            <v>1.5</v>
          </cell>
          <cell r="BO736">
            <v>0</v>
          </cell>
          <cell r="BP736">
            <v>1.5</v>
          </cell>
          <cell r="BQ736">
            <v>3</v>
          </cell>
          <cell r="BR736">
            <v>0</v>
          </cell>
          <cell r="BS736">
            <v>3</v>
          </cell>
          <cell r="BT736">
            <v>3</v>
          </cell>
          <cell r="BU736">
            <v>0</v>
          </cell>
          <cell r="BV736">
            <v>0</v>
          </cell>
          <cell r="BW736">
            <v>3</v>
          </cell>
          <cell r="BX736">
            <v>3</v>
          </cell>
          <cell r="BY736">
            <v>4</v>
          </cell>
          <cell r="BZ736">
            <v>4</v>
          </cell>
          <cell r="CA736">
            <v>4</v>
          </cell>
          <cell r="CB736">
            <v>4</v>
          </cell>
          <cell r="CC736">
            <v>0</v>
          </cell>
          <cell r="CD736">
            <v>3</v>
          </cell>
          <cell r="CE736">
            <v>3</v>
          </cell>
          <cell r="CF736">
            <v>3</v>
          </cell>
          <cell r="CG736">
            <v>3</v>
          </cell>
          <cell r="CH736">
            <v>3</v>
          </cell>
          <cell r="CI736">
            <v>3</v>
          </cell>
          <cell r="CJ736">
            <v>8</v>
          </cell>
          <cell r="CK736">
            <v>3</v>
          </cell>
          <cell r="CL736">
            <v>3</v>
          </cell>
          <cell r="CM736">
            <v>3</v>
          </cell>
          <cell r="CR736">
            <v>0</v>
          </cell>
          <cell r="CS736">
            <v>0</v>
          </cell>
          <cell r="CT736">
            <v>61</v>
          </cell>
          <cell r="CU736">
            <v>8</v>
          </cell>
          <cell r="CV736">
            <v>0</v>
          </cell>
          <cell r="CZ736">
            <v>69</v>
          </cell>
        </row>
        <row r="737">
          <cell r="C737" t="str">
            <v>03448</v>
          </cell>
          <cell r="D737" t="str">
            <v>Lâm Ngọc Thảo</v>
          </cell>
          <cell r="E737" t="str">
            <v>QC</v>
          </cell>
          <cell r="F737" t="str">
            <v>QC</v>
          </cell>
          <cell r="G737" t="str">
            <v>Worker</v>
          </cell>
          <cell r="H737">
            <v>44679</v>
          </cell>
          <cell r="I737">
            <v>8</v>
          </cell>
          <cell r="J737" t="str">
            <v>CN</v>
          </cell>
          <cell r="K737" t="str">
            <v>Đ</v>
          </cell>
          <cell r="L737" t="str">
            <v>Đ</v>
          </cell>
          <cell r="M737" t="str">
            <v>Đ</v>
          </cell>
          <cell r="N737" t="str">
            <v>Đ</v>
          </cell>
          <cell r="O737" t="str">
            <v>Đ</v>
          </cell>
          <cell r="P737" t="str">
            <v>Đ</v>
          </cell>
          <cell r="Q737" t="str">
            <v>CN</v>
          </cell>
          <cell r="R737">
            <v>8</v>
          </cell>
          <cell r="S737">
            <v>8</v>
          </cell>
          <cell r="T737">
            <v>8</v>
          </cell>
          <cell r="U737">
            <v>8</v>
          </cell>
          <cell r="V737">
            <v>8</v>
          </cell>
          <cell r="W737">
            <v>8</v>
          </cell>
          <cell r="X737" t="str">
            <v>CN</v>
          </cell>
          <cell r="Y737" t="str">
            <v>Đ</v>
          </cell>
          <cell r="Z737" t="str">
            <v>Đ</v>
          </cell>
          <cell r="AA737" t="str">
            <v>Đ</v>
          </cell>
          <cell r="AB737" t="str">
            <v>Đ</v>
          </cell>
          <cell r="AC737" t="str">
            <v>Đ</v>
          </cell>
          <cell r="AD737" t="str">
            <v>Đ</v>
          </cell>
          <cell r="AE737" t="str">
            <v>CN</v>
          </cell>
          <cell r="AF737" t="str">
            <v>Đ</v>
          </cell>
          <cell r="AG737" t="str">
            <v>Đ</v>
          </cell>
          <cell r="AH737" t="str">
            <v>Đ</v>
          </cell>
          <cell r="AI737" t="str">
            <v>Đ</v>
          </cell>
          <cell r="AJ737" t="str">
            <v>Đ</v>
          </cell>
          <cell r="AN737">
            <v>136</v>
          </cell>
          <cell r="AO737">
            <v>56</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192</v>
          </cell>
          <cell r="BH737">
            <v>0</v>
          </cell>
          <cell r="BI737">
            <v>0</v>
          </cell>
          <cell r="BJ737">
            <v>2</v>
          </cell>
          <cell r="BL737">
            <v>0</v>
          </cell>
          <cell r="BM737">
            <v>0</v>
          </cell>
          <cell r="BN737">
            <v>0</v>
          </cell>
          <cell r="BO737">
            <v>4</v>
          </cell>
          <cell r="BP737">
            <v>0</v>
          </cell>
          <cell r="BQ737">
            <v>0</v>
          </cell>
          <cell r="BR737">
            <v>0</v>
          </cell>
          <cell r="BS737">
            <v>0</v>
          </cell>
          <cell r="BT737">
            <v>0</v>
          </cell>
          <cell r="BU737">
            <v>4</v>
          </cell>
          <cell r="BV737">
            <v>4</v>
          </cell>
          <cell r="BW737">
            <v>0</v>
          </cell>
          <cell r="BX737">
            <v>0</v>
          </cell>
          <cell r="BY737">
            <v>0</v>
          </cell>
          <cell r="BZ737">
            <v>0</v>
          </cell>
          <cell r="CA737">
            <v>0</v>
          </cell>
          <cell r="CB737">
            <v>4</v>
          </cell>
          <cell r="CC737">
            <v>4</v>
          </cell>
          <cell r="CD737">
            <v>0</v>
          </cell>
          <cell r="CE737">
            <v>0</v>
          </cell>
          <cell r="CF737">
            <v>0</v>
          </cell>
          <cell r="CG737">
            <v>0</v>
          </cell>
          <cell r="CH737">
            <v>0</v>
          </cell>
          <cell r="CI737">
            <v>4</v>
          </cell>
          <cell r="CJ737">
            <v>4</v>
          </cell>
          <cell r="CK737">
            <v>0</v>
          </cell>
          <cell r="CL737">
            <v>0</v>
          </cell>
          <cell r="CM737">
            <v>0</v>
          </cell>
          <cell r="CR737">
            <v>0</v>
          </cell>
          <cell r="CS737">
            <v>0</v>
          </cell>
          <cell r="CT737">
            <v>28</v>
          </cell>
          <cell r="CU737">
            <v>0</v>
          </cell>
          <cell r="CV737">
            <v>0</v>
          </cell>
          <cell r="CZ737">
            <v>28</v>
          </cell>
        </row>
        <row r="738">
          <cell r="C738" t="str">
            <v>03253</v>
          </cell>
          <cell r="D738" t="str">
            <v>Phan Thị Mỹ Lợi</v>
          </cell>
          <cell r="E738" t="str">
            <v>Production</v>
          </cell>
          <cell r="F738" t="str">
            <v>Packing</v>
          </cell>
          <cell r="G738" t="str">
            <v>Worker</v>
          </cell>
          <cell r="H738">
            <v>44608</v>
          </cell>
          <cell r="I738">
            <v>8</v>
          </cell>
          <cell r="J738">
            <v>8</v>
          </cell>
          <cell r="K738">
            <v>8</v>
          </cell>
          <cell r="L738" t="str">
            <v>CN</v>
          </cell>
          <cell r="M738" t="str">
            <v>Đ</v>
          </cell>
          <cell r="N738" t="str">
            <v>Đ</v>
          </cell>
          <cell r="O738" t="str">
            <v>Đ</v>
          </cell>
          <cell r="P738" t="str">
            <v>Đ</v>
          </cell>
          <cell r="Q738" t="str">
            <v>Đ</v>
          </cell>
          <cell r="R738" t="str">
            <v>Đ</v>
          </cell>
          <cell r="S738" t="str">
            <v>CN</v>
          </cell>
          <cell r="T738">
            <v>8</v>
          </cell>
          <cell r="U738" t="str">
            <v>AL8</v>
          </cell>
          <cell r="V738">
            <v>8</v>
          </cell>
          <cell r="W738">
            <v>8</v>
          </cell>
          <cell r="X738">
            <v>8</v>
          </cell>
          <cell r="Y738">
            <v>8</v>
          </cell>
          <cell r="Z738" t="str">
            <v>CN</v>
          </cell>
          <cell r="AA738" t="str">
            <v>Đ</v>
          </cell>
          <cell r="AB738" t="str">
            <v>Đ</v>
          </cell>
          <cell r="AC738" t="str">
            <v>Đ</v>
          </cell>
          <cell r="AD738" t="str">
            <v>Đ</v>
          </cell>
          <cell r="AE738" t="str">
            <v>Đ</v>
          </cell>
          <cell r="AF738" t="str">
            <v>Đ</v>
          </cell>
          <cell r="AG738" t="str">
            <v>CN</v>
          </cell>
          <cell r="AH738">
            <v>8</v>
          </cell>
          <cell r="AI738">
            <v>8</v>
          </cell>
          <cell r="AJ738">
            <v>8</v>
          </cell>
          <cell r="AN738">
            <v>96</v>
          </cell>
          <cell r="AO738">
            <v>88</v>
          </cell>
          <cell r="AP738">
            <v>0</v>
          </cell>
          <cell r="AQ738">
            <v>0</v>
          </cell>
          <cell r="AR738">
            <v>0</v>
          </cell>
          <cell r="AS738">
            <v>0</v>
          </cell>
          <cell r="AT738">
            <v>0</v>
          </cell>
          <cell r="AU738">
            <v>0</v>
          </cell>
          <cell r="AV738">
            <v>0</v>
          </cell>
          <cell r="AW738">
            <v>0</v>
          </cell>
          <cell r="AX738">
            <v>0</v>
          </cell>
          <cell r="AY738">
            <v>0</v>
          </cell>
          <cell r="AZ738">
            <v>0</v>
          </cell>
          <cell r="BA738">
            <v>8</v>
          </cell>
          <cell r="BB738">
            <v>0</v>
          </cell>
          <cell r="BC738">
            <v>0</v>
          </cell>
          <cell r="BD738">
            <v>0</v>
          </cell>
          <cell r="BE738">
            <v>0</v>
          </cell>
          <cell r="BF738">
            <v>0</v>
          </cell>
          <cell r="BG738">
            <v>192</v>
          </cell>
          <cell r="BH738">
            <v>1</v>
          </cell>
          <cell r="BI738">
            <v>1</v>
          </cell>
          <cell r="BJ738">
            <v>1.5</v>
          </cell>
          <cell r="BL738">
            <v>1.5</v>
          </cell>
          <cell r="BM738">
            <v>0</v>
          </cell>
          <cell r="BN738">
            <v>1.5</v>
          </cell>
          <cell r="BO738">
            <v>0</v>
          </cell>
          <cell r="BP738">
            <v>1.5</v>
          </cell>
          <cell r="BQ738">
            <v>0</v>
          </cell>
          <cell r="BR738">
            <v>0</v>
          </cell>
          <cell r="BS738">
            <v>4</v>
          </cell>
          <cell r="BT738">
            <v>0</v>
          </cell>
          <cell r="BU738">
            <v>4</v>
          </cell>
          <cell r="BV738">
            <v>0</v>
          </cell>
          <cell r="BW738">
            <v>3</v>
          </cell>
          <cell r="BX738">
            <v>0</v>
          </cell>
          <cell r="BY738">
            <v>3</v>
          </cell>
          <cell r="BZ738">
            <v>3</v>
          </cell>
          <cell r="CA738">
            <v>3</v>
          </cell>
          <cell r="CB738">
            <v>3</v>
          </cell>
          <cell r="CC738">
            <v>8</v>
          </cell>
          <cell r="CD738">
            <v>4</v>
          </cell>
          <cell r="CE738">
            <v>4</v>
          </cell>
          <cell r="CF738">
            <v>4</v>
          </cell>
          <cell r="CG738">
            <v>4</v>
          </cell>
          <cell r="CH738">
            <v>4</v>
          </cell>
          <cell r="CI738">
            <v>4</v>
          </cell>
          <cell r="CJ738">
            <v>0</v>
          </cell>
          <cell r="CK738">
            <v>3</v>
          </cell>
          <cell r="CL738">
            <v>3</v>
          </cell>
          <cell r="CM738">
            <v>3</v>
          </cell>
          <cell r="CR738">
            <v>0</v>
          </cell>
          <cell r="CS738">
            <v>0</v>
          </cell>
          <cell r="CT738">
            <v>60.5</v>
          </cell>
          <cell r="CU738">
            <v>8</v>
          </cell>
          <cell r="CV738">
            <v>0</v>
          </cell>
          <cell r="CZ738">
            <v>68.5</v>
          </cell>
        </row>
        <row r="739">
          <cell r="C739" t="str">
            <v>04135</v>
          </cell>
          <cell r="D739" t="str">
            <v>Nguyễn Thị Út</v>
          </cell>
          <cell r="E739" t="str">
            <v>Production</v>
          </cell>
          <cell r="F739" t="str">
            <v>Molding</v>
          </cell>
          <cell r="G739" t="str">
            <v>Worker</v>
          </cell>
          <cell r="H739">
            <v>45517</v>
          </cell>
          <cell r="I739" t="str">
            <v>Đ</v>
          </cell>
          <cell r="J739" t="str">
            <v>Đ</v>
          </cell>
          <cell r="K739" t="str">
            <v>CN</v>
          </cell>
          <cell r="L739">
            <v>8</v>
          </cell>
          <cell r="M739" t="str">
            <v>AL8</v>
          </cell>
          <cell r="N739">
            <v>8</v>
          </cell>
          <cell r="O739">
            <v>8</v>
          </cell>
          <cell r="P739">
            <v>8</v>
          </cell>
          <cell r="Q739">
            <v>8</v>
          </cell>
          <cell r="R739" t="str">
            <v>CN</v>
          </cell>
          <cell r="S739" t="str">
            <v>Đ</v>
          </cell>
          <cell r="T739" t="str">
            <v>Đ</v>
          </cell>
          <cell r="U739" t="str">
            <v>Đ</v>
          </cell>
          <cell r="V739" t="str">
            <v>Đ</v>
          </cell>
          <cell r="W739" t="str">
            <v>Đ</v>
          </cell>
          <cell r="X739" t="str">
            <v>Đ</v>
          </cell>
          <cell r="Y739" t="str">
            <v>CN</v>
          </cell>
          <cell r="Z739">
            <v>8</v>
          </cell>
          <cell r="AA739">
            <v>8</v>
          </cell>
          <cell r="AB739">
            <v>8</v>
          </cell>
          <cell r="AC739">
            <v>8</v>
          </cell>
          <cell r="AD739">
            <v>8</v>
          </cell>
          <cell r="AE739">
            <v>8</v>
          </cell>
          <cell r="AF739" t="str">
            <v>CN</v>
          </cell>
          <cell r="AG739" t="str">
            <v>Đ</v>
          </cell>
          <cell r="AH739" t="str">
            <v>Đ</v>
          </cell>
          <cell r="AI739" t="str">
            <v>Đ</v>
          </cell>
          <cell r="AJ739" t="str">
            <v>Đ</v>
          </cell>
          <cell r="AN739">
            <v>96</v>
          </cell>
          <cell r="AO739">
            <v>88</v>
          </cell>
          <cell r="AP739">
            <v>0</v>
          </cell>
          <cell r="AQ739">
            <v>0</v>
          </cell>
          <cell r="AR739">
            <v>0</v>
          </cell>
          <cell r="AS739">
            <v>0</v>
          </cell>
          <cell r="AT739">
            <v>0</v>
          </cell>
          <cell r="AU739">
            <v>0</v>
          </cell>
          <cell r="AV739">
            <v>0</v>
          </cell>
          <cell r="AW739">
            <v>0</v>
          </cell>
          <cell r="AX739">
            <v>0</v>
          </cell>
          <cell r="AY739">
            <v>0</v>
          </cell>
          <cell r="AZ739">
            <v>0</v>
          </cell>
          <cell r="BA739">
            <v>8</v>
          </cell>
          <cell r="BB739">
            <v>0</v>
          </cell>
          <cell r="BC739">
            <v>0</v>
          </cell>
          <cell r="BD739">
            <v>0</v>
          </cell>
          <cell r="BE739">
            <v>0</v>
          </cell>
          <cell r="BF739">
            <v>0</v>
          </cell>
          <cell r="BG739">
            <v>192</v>
          </cell>
          <cell r="BH739">
            <v>1</v>
          </cell>
          <cell r="BI739">
            <v>1</v>
          </cell>
          <cell r="BJ739">
            <v>2</v>
          </cell>
          <cell r="BL739">
            <v>0</v>
          </cell>
          <cell r="BM739">
            <v>0</v>
          </cell>
          <cell r="BN739">
            <v>0</v>
          </cell>
          <cell r="BO739">
            <v>4</v>
          </cell>
          <cell r="BP739">
            <v>0</v>
          </cell>
          <cell r="BQ739">
            <v>0</v>
          </cell>
          <cell r="BR739">
            <v>0</v>
          </cell>
          <cell r="BS739">
            <v>0</v>
          </cell>
          <cell r="BT739">
            <v>4</v>
          </cell>
          <cell r="BU739">
            <v>0</v>
          </cell>
          <cell r="BV739">
            <v>4</v>
          </cell>
          <cell r="BW739">
            <v>0</v>
          </cell>
          <cell r="BX739">
            <v>0</v>
          </cell>
          <cell r="BY739">
            <v>0</v>
          </cell>
          <cell r="BZ739">
            <v>4</v>
          </cell>
          <cell r="CA739">
            <v>4</v>
          </cell>
          <cell r="CB739">
            <v>0</v>
          </cell>
          <cell r="CC739">
            <v>4</v>
          </cell>
          <cell r="CD739">
            <v>0</v>
          </cell>
          <cell r="CE739">
            <v>0</v>
          </cell>
          <cell r="CF739">
            <v>0</v>
          </cell>
          <cell r="CG739">
            <v>0</v>
          </cell>
          <cell r="CH739">
            <v>4</v>
          </cell>
          <cell r="CI739">
            <v>0</v>
          </cell>
          <cell r="CJ739">
            <v>4</v>
          </cell>
          <cell r="CK739">
            <v>0</v>
          </cell>
          <cell r="CL739">
            <v>0</v>
          </cell>
          <cell r="CM739">
            <v>4</v>
          </cell>
          <cell r="CR739">
            <v>0</v>
          </cell>
          <cell r="CS739">
            <v>0</v>
          </cell>
          <cell r="CT739">
            <v>36</v>
          </cell>
          <cell r="CU739">
            <v>0</v>
          </cell>
          <cell r="CV739">
            <v>0</v>
          </cell>
          <cell r="CZ739">
            <v>36</v>
          </cell>
        </row>
        <row r="740">
          <cell r="C740" t="str">
            <v>04136</v>
          </cell>
          <cell r="D740" t="str">
            <v>Nguyễn Thị Thanh</v>
          </cell>
          <cell r="E740" t="str">
            <v>Production</v>
          </cell>
          <cell r="F740" t="str">
            <v>Molding</v>
          </cell>
          <cell r="G740" t="str">
            <v>Worker</v>
          </cell>
          <cell r="H740">
            <v>45517</v>
          </cell>
          <cell r="I740">
            <v>8</v>
          </cell>
          <cell r="J740" t="str">
            <v>CN</v>
          </cell>
          <cell r="K740" t="str">
            <v>Đ</v>
          </cell>
          <cell r="L740" t="str">
            <v>Đ</v>
          </cell>
          <cell r="M740" t="str">
            <v>Đ</v>
          </cell>
          <cell r="N740" t="str">
            <v>Đ</v>
          </cell>
          <cell r="O740" t="str">
            <v>Đ</v>
          </cell>
          <cell r="P740" t="str">
            <v>Đ</v>
          </cell>
          <cell r="Q740" t="str">
            <v>CN</v>
          </cell>
          <cell r="R740">
            <v>8</v>
          </cell>
          <cell r="S740">
            <v>8</v>
          </cell>
          <cell r="T740">
            <v>8</v>
          </cell>
          <cell r="U740">
            <v>8</v>
          </cell>
          <cell r="V740">
            <v>8</v>
          </cell>
          <cell r="W740">
            <v>8</v>
          </cell>
          <cell r="X740" t="str">
            <v>CN</v>
          </cell>
          <cell r="Y740" t="str">
            <v>Đ</v>
          </cell>
          <cell r="Z740" t="str">
            <v>Đ</v>
          </cell>
          <cell r="AA740" t="str">
            <v>Đ</v>
          </cell>
          <cell r="AB740" t="str">
            <v>Đ</v>
          </cell>
          <cell r="AC740" t="str">
            <v>Đ</v>
          </cell>
          <cell r="AD740" t="str">
            <v>Đ</v>
          </cell>
          <cell r="AE740" t="str">
            <v>CN</v>
          </cell>
          <cell r="AF740">
            <v>8</v>
          </cell>
          <cell r="AG740">
            <v>8</v>
          </cell>
          <cell r="AH740">
            <v>8</v>
          </cell>
          <cell r="AI740">
            <v>8</v>
          </cell>
          <cell r="AJ740">
            <v>8</v>
          </cell>
          <cell r="AN740">
            <v>96</v>
          </cell>
          <cell r="AO740">
            <v>96</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192</v>
          </cell>
          <cell r="BH740">
            <v>0</v>
          </cell>
          <cell r="BI740">
            <v>0</v>
          </cell>
          <cell r="BJ740">
            <v>-1</v>
          </cell>
          <cell r="BL740">
            <v>0</v>
          </cell>
          <cell r="BM740">
            <v>0</v>
          </cell>
          <cell r="BN740">
            <v>0</v>
          </cell>
          <cell r="BO740">
            <v>4</v>
          </cell>
          <cell r="BP740">
            <v>0</v>
          </cell>
          <cell r="BQ740">
            <v>0</v>
          </cell>
          <cell r="BR740">
            <v>0</v>
          </cell>
          <cell r="BS740">
            <v>0</v>
          </cell>
          <cell r="BT740">
            <v>0</v>
          </cell>
          <cell r="BU740">
            <v>4</v>
          </cell>
          <cell r="BV740">
            <v>4</v>
          </cell>
          <cell r="BW740">
            <v>0</v>
          </cell>
          <cell r="BX740">
            <v>0</v>
          </cell>
          <cell r="BY740">
            <v>0</v>
          </cell>
          <cell r="BZ740">
            <v>0</v>
          </cell>
          <cell r="CA740">
            <v>0</v>
          </cell>
          <cell r="CB740">
            <v>4</v>
          </cell>
          <cell r="CC740">
            <v>4</v>
          </cell>
          <cell r="CD740">
            <v>0</v>
          </cell>
          <cell r="CE740">
            <v>0</v>
          </cell>
          <cell r="CF740">
            <v>0</v>
          </cell>
          <cell r="CG740">
            <v>0</v>
          </cell>
          <cell r="CH740">
            <v>0</v>
          </cell>
          <cell r="CI740">
            <v>4</v>
          </cell>
          <cell r="CJ740">
            <v>4</v>
          </cell>
          <cell r="CK740">
            <v>0</v>
          </cell>
          <cell r="CL740">
            <v>0</v>
          </cell>
          <cell r="CM740">
            <v>0</v>
          </cell>
          <cell r="CR740">
            <v>0</v>
          </cell>
          <cell r="CS740">
            <v>0</v>
          </cell>
          <cell r="CT740">
            <v>28</v>
          </cell>
          <cell r="CU740">
            <v>0</v>
          </cell>
          <cell r="CV740">
            <v>0</v>
          </cell>
          <cell r="CZ740">
            <v>28</v>
          </cell>
        </row>
        <row r="741">
          <cell r="C741" t="str">
            <v>04138</v>
          </cell>
          <cell r="D741" t="str">
            <v>Thị Lan</v>
          </cell>
          <cell r="E741" t="str">
            <v>Production</v>
          </cell>
          <cell r="F741" t="str">
            <v>Molding</v>
          </cell>
          <cell r="G741" t="str">
            <v>Worker</v>
          </cell>
          <cell r="H741">
            <v>45517</v>
          </cell>
          <cell r="I741">
            <v>8</v>
          </cell>
          <cell r="J741">
            <v>8</v>
          </cell>
          <cell r="K741">
            <v>8</v>
          </cell>
          <cell r="L741" t="str">
            <v>CN</v>
          </cell>
          <cell r="M741">
            <v>8</v>
          </cell>
          <cell r="N741">
            <v>8</v>
          </cell>
          <cell r="O741">
            <v>8</v>
          </cell>
          <cell r="P741">
            <v>8</v>
          </cell>
          <cell r="Q741" t="str">
            <v>Đ</v>
          </cell>
          <cell r="R741" t="str">
            <v>Đ</v>
          </cell>
          <cell r="S741" t="str">
            <v>CN</v>
          </cell>
          <cell r="T741">
            <v>8</v>
          </cell>
          <cell r="U741">
            <v>8</v>
          </cell>
          <cell r="V741">
            <v>8</v>
          </cell>
          <cell r="W741">
            <v>8</v>
          </cell>
          <cell r="X741">
            <v>8</v>
          </cell>
          <cell r="Y741">
            <v>8</v>
          </cell>
          <cell r="Z741" t="str">
            <v>CN</v>
          </cell>
          <cell r="AA741">
            <v>8</v>
          </cell>
          <cell r="AB741">
            <v>8</v>
          </cell>
          <cell r="AC741">
            <v>8</v>
          </cell>
          <cell r="AD741">
            <v>8</v>
          </cell>
          <cell r="AE741" t="str">
            <v>Đ</v>
          </cell>
          <cell r="AF741" t="str">
            <v>Đ</v>
          </cell>
          <cell r="AG741" t="str">
            <v>CN</v>
          </cell>
          <cell r="AH741">
            <v>8</v>
          </cell>
          <cell r="AI741">
            <v>8</v>
          </cell>
          <cell r="AJ741">
            <v>8</v>
          </cell>
          <cell r="AN741">
            <v>32</v>
          </cell>
          <cell r="AO741">
            <v>160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192</v>
          </cell>
          <cell r="BH741">
            <v>0</v>
          </cell>
          <cell r="BI741">
            <v>0</v>
          </cell>
          <cell r="BJ741">
            <v>2</v>
          </cell>
          <cell r="BL741">
            <v>0</v>
          </cell>
          <cell r="BM741">
            <v>0</v>
          </cell>
          <cell r="BN741">
            <v>4</v>
          </cell>
          <cell r="BO741">
            <v>0</v>
          </cell>
          <cell r="BP741">
            <v>0</v>
          </cell>
          <cell r="BQ741">
            <v>0</v>
          </cell>
          <cell r="BR741">
            <v>0</v>
          </cell>
          <cell r="BS741">
            <v>0</v>
          </cell>
          <cell r="BT741">
            <v>4</v>
          </cell>
          <cell r="BU741">
            <v>4</v>
          </cell>
          <cell r="BV741">
            <v>0</v>
          </cell>
          <cell r="BW741">
            <v>0</v>
          </cell>
          <cell r="BX741">
            <v>0</v>
          </cell>
          <cell r="BY741">
            <v>4</v>
          </cell>
          <cell r="BZ741">
            <v>0</v>
          </cell>
          <cell r="CA741">
            <v>4</v>
          </cell>
          <cell r="CB741">
            <v>4</v>
          </cell>
          <cell r="CC741">
            <v>0</v>
          </cell>
          <cell r="CD741">
            <v>0</v>
          </cell>
          <cell r="CE741">
            <v>0</v>
          </cell>
          <cell r="CF741">
            <v>0</v>
          </cell>
          <cell r="CG741">
            <v>0</v>
          </cell>
          <cell r="CH741">
            <v>4</v>
          </cell>
          <cell r="CI741">
            <v>4</v>
          </cell>
          <cell r="CJ741">
            <v>0</v>
          </cell>
          <cell r="CK741">
            <v>0</v>
          </cell>
          <cell r="CL741">
            <v>0</v>
          </cell>
          <cell r="CM741">
            <v>4</v>
          </cell>
          <cell r="CR741">
            <v>0</v>
          </cell>
          <cell r="CS741">
            <v>0</v>
          </cell>
          <cell r="CT741">
            <v>36</v>
          </cell>
          <cell r="CU741">
            <v>0</v>
          </cell>
          <cell r="CV741">
            <v>0</v>
          </cell>
          <cell r="CZ741">
            <v>36</v>
          </cell>
        </row>
        <row r="742">
          <cell r="C742" t="str">
            <v>04145</v>
          </cell>
          <cell r="D742" t="str">
            <v>Nguyễn Văn Luân</v>
          </cell>
          <cell r="E742" t="str">
            <v>Production</v>
          </cell>
          <cell r="F742" t="str">
            <v>Lamination</v>
          </cell>
          <cell r="G742" t="str">
            <v>Worker</v>
          </cell>
          <cell r="H742">
            <v>45517</v>
          </cell>
          <cell r="I742">
            <v>8</v>
          </cell>
          <cell r="J742" t="str">
            <v>CN</v>
          </cell>
          <cell r="K742">
            <v>8</v>
          </cell>
          <cell r="L742" t="str">
            <v>Đ</v>
          </cell>
          <cell r="M742" t="str">
            <v>AL8</v>
          </cell>
          <cell r="N742" t="str">
            <v>Đ</v>
          </cell>
          <cell r="O742" t="str">
            <v>Đ</v>
          </cell>
          <cell r="P742" t="str">
            <v>Đ</v>
          </cell>
          <cell r="Q742" t="str">
            <v>CN</v>
          </cell>
          <cell r="R742" t="str">
            <v>AL4</v>
          </cell>
          <cell r="S742">
            <v>8</v>
          </cell>
          <cell r="T742">
            <v>8</v>
          </cell>
          <cell r="U742">
            <v>8</v>
          </cell>
          <cell r="V742">
            <v>8</v>
          </cell>
          <cell r="W742">
            <v>8</v>
          </cell>
          <cell r="X742" t="str">
            <v>CN</v>
          </cell>
          <cell r="Y742">
            <v>8</v>
          </cell>
          <cell r="Z742" t="str">
            <v>Đ</v>
          </cell>
          <cell r="AA742" t="str">
            <v>Đ</v>
          </cell>
          <cell r="AB742" t="str">
            <v>Đ</v>
          </cell>
          <cell r="AC742" t="str">
            <v>Đ</v>
          </cell>
          <cell r="AD742" t="str">
            <v>Đ</v>
          </cell>
          <cell r="AE742" t="str">
            <v>CN</v>
          </cell>
          <cell r="AF742">
            <v>8</v>
          </cell>
          <cell r="AG742" t="str">
            <v>Đ</v>
          </cell>
          <cell r="AH742" t="str">
            <v>Đ</v>
          </cell>
          <cell r="AI742" t="str">
            <v>Đ</v>
          </cell>
          <cell r="AJ742" t="str">
            <v>Đ</v>
          </cell>
          <cell r="AN742">
            <v>104</v>
          </cell>
          <cell r="AO742">
            <v>76</v>
          </cell>
          <cell r="AP742">
            <v>4</v>
          </cell>
          <cell r="AQ742">
            <v>0</v>
          </cell>
          <cell r="AR742">
            <v>0</v>
          </cell>
          <cell r="AS742">
            <v>0</v>
          </cell>
          <cell r="AT742">
            <v>0</v>
          </cell>
          <cell r="AU742">
            <v>0</v>
          </cell>
          <cell r="AV742">
            <v>0</v>
          </cell>
          <cell r="AW742">
            <v>0</v>
          </cell>
          <cell r="AX742">
            <v>0</v>
          </cell>
          <cell r="AY742">
            <v>0</v>
          </cell>
          <cell r="AZ742">
            <v>0</v>
          </cell>
          <cell r="BA742">
            <v>12</v>
          </cell>
          <cell r="BB742">
            <v>0</v>
          </cell>
          <cell r="BC742">
            <v>0</v>
          </cell>
          <cell r="BD742">
            <v>0</v>
          </cell>
          <cell r="BE742">
            <v>0</v>
          </cell>
          <cell r="BF742">
            <v>0</v>
          </cell>
          <cell r="BG742">
            <v>192</v>
          </cell>
          <cell r="BH742">
            <v>1.5</v>
          </cell>
          <cell r="BI742">
            <v>1.5</v>
          </cell>
          <cell r="BJ742">
            <v>0.5</v>
          </cell>
          <cell r="BL742">
            <v>0</v>
          </cell>
          <cell r="BM742">
            <v>0</v>
          </cell>
          <cell r="BN742">
            <v>4</v>
          </cell>
          <cell r="BO742">
            <v>4</v>
          </cell>
          <cell r="BP742">
            <v>0</v>
          </cell>
          <cell r="BQ742">
            <v>0</v>
          </cell>
          <cell r="BR742">
            <v>0</v>
          </cell>
          <cell r="BS742">
            <v>0</v>
          </cell>
          <cell r="BT742">
            <v>0</v>
          </cell>
          <cell r="BU742">
            <v>4</v>
          </cell>
          <cell r="BV742">
            <v>4</v>
          </cell>
          <cell r="BW742">
            <v>0</v>
          </cell>
          <cell r="BX742">
            <v>0</v>
          </cell>
          <cell r="BY742">
            <v>4</v>
          </cell>
          <cell r="BZ742">
            <v>0</v>
          </cell>
          <cell r="CA742">
            <v>0</v>
          </cell>
          <cell r="CB742">
            <v>4</v>
          </cell>
          <cell r="CC742">
            <v>4</v>
          </cell>
          <cell r="CD742">
            <v>0</v>
          </cell>
          <cell r="CE742">
            <v>0</v>
          </cell>
          <cell r="CF742">
            <v>4</v>
          </cell>
          <cell r="CG742">
            <v>0</v>
          </cell>
          <cell r="CH742">
            <v>0</v>
          </cell>
          <cell r="CI742">
            <v>4</v>
          </cell>
          <cell r="CJ742">
            <v>4</v>
          </cell>
          <cell r="CK742">
            <v>0</v>
          </cell>
          <cell r="CL742">
            <v>0</v>
          </cell>
          <cell r="CM742">
            <v>0</v>
          </cell>
          <cell r="CR742">
            <v>0</v>
          </cell>
          <cell r="CS742">
            <v>0</v>
          </cell>
          <cell r="CT742">
            <v>40</v>
          </cell>
          <cell r="CU742">
            <v>0</v>
          </cell>
          <cell r="CV742">
            <v>0</v>
          </cell>
          <cell r="CZ742">
            <v>40</v>
          </cell>
        </row>
        <row r="743">
          <cell r="C743" t="str">
            <v>04148</v>
          </cell>
          <cell r="D743" t="str">
            <v>Nguyễn Đình Lợi</v>
          </cell>
          <cell r="E743" t="str">
            <v>Production</v>
          </cell>
          <cell r="F743" t="str">
            <v>Prefitting</v>
          </cell>
          <cell r="G743" t="str">
            <v>Worker</v>
          </cell>
          <cell r="H743">
            <v>45519</v>
          </cell>
          <cell r="I743" t="str">
            <v>AL8</v>
          </cell>
          <cell r="J743" t="str">
            <v>CN</v>
          </cell>
          <cell r="K743">
            <v>8</v>
          </cell>
          <cell r="L743">
            <v>8</v>
          </cell>
          <cell r="M743">
            <v>8</v>
          </cell>
          <cell r="N743">
            <v>8</v>
          </cell>
          <cell r="O743">
            <v>8</v>
          </cell>
          <cell r="P743">
            <v>8</v>
          </cell>
          <cell r="Q743" t="str">
            <v>CN</v>
          </cell>
          <cell r="R743" t="str">
            <v>Đ</v>
          </cell>
          <cell r="S743" t="str">
            <v>Đ</v>
          </cell>
          <cell r="T743" t="str">
            <v>Đ</v>
          </cell>
          <cell r="U743" t="str">
            <v>Đ</v>
          </cell>
          <cell r="V743" t="str">
            <v>Đ</v>
          </cell>
          <cell r="W743" t="str">
            <v>Đ</v>
          </cell>
          <cell r="X743" t="str">
            <v>CN</v>
          </cell>
          <cell r="Y743">
            <v>8</v>
          </cell>
          <cell r="Z743">
            <v>8</v>
          </cell>
          <cell r="AA743">
            <v>8</v>
          </cell>
          <cell r="AB743">
            <v>8</v>
          </cell>
          <cell r="AC743">
            <v>7.983333333</v>
          </cell>
          <cell r="AD743">
            <v>8</v>
          </cell>
          <cell r="AE743" t="str">
            <v>CN</v>
          </cell>
          <cell r="AF743" t="str">
            <v>Đ</v>
          </cell>
          <cell r="AG743" t="str">
            <v>Đ</v>
          </cell>
          <cell r="AH743" t="str">
            <v>Đ</v>
          </cell>
          <cell r="AI743" t="str">
            <v>Đ</v>
          </cell>
          <cell r="AJ743" t="str">
            <v>Đ</v>
          </cell>
          <cell r="AN743">
            <v>88</v>
          </cell>
          <cell r="AO743">
            <v>95.983333333000004</v>
          </cell>
          <cell r="AP743">
            <v>0</v>
          </cell>
          <cell r="AQ743">
            <v>0</v>
          </cell>
          <cell r="AR743">
            <v>0</v>
          </cell>
          <cell r="AS743">
            <v>0</v>
          </cell>
          <cell r="AT743">
            <v>0</v>
          </cell>
          <cell r="AU743">
            <v>0</v>
          </cell>
          <cell r="AV743">
            <v>0</v>
          </cell>
          <cell r="AW743">
            <v>0</v>
          </cell>
          <cell r="AX743">
            <v>0</v>
          </cell>
          <cell r="AY743">
            <v>0</v>
          </cell>
          <cell r="AZ743">
            <v>0</v>
          </cell>
          <cell r="BA743">
            <v>8</v>
          </cell>
          <cell r="BB743">
            <v>0</v>
          </cell>
          <cell r="BC743">
            <v>0</v>
          </cell>
          <cell r="BD743">
            <v>0</v>
          </cell>
          <cell r="BE743">
            <v>0</v>
          </cell>
          <cell r="BF743">
            <v>0</v>
          </cell>
          <cell r="BG743">
            <v>191.98333333300002</v>
          </cell>
          <cell r="BH743">
            <v>1</v>
          </cell>
          <cell r="BI743">
            <v>1</v>
          </cell>
          <cell r="BJ743">
            <v>-2</v>
          </cell>
          <cell r="BL743">
            <v>0</v>
          </cell>
          <cell r="BM743">
            <v>0</v>
          </cell>
          <cell r="BN743">
            <v>0</v>
          </cell>
          <cell r="BO743">
            <v>4</v>
          </cell>
          <cell r="BP743">
            <v>0</v>
          </cell>
          <cell r="BQ743">
            <v>0</v>
          </cell>
          <cell r="BR743">
            <v>0</v>
          </cell>
          <cell r="BS743">
            <v>0</v>
          </cell>
          <cell r="BT743">
            <v>0</v>
          </cell>
          <cell r="BU743">
            <v>3.25</v>
          </cell>
          <cell r="BV743">
            <v>0</v>
          </cell>
          <cell r="BW743">
            <v>0</v>
          </cell>
          <cell r="BX743">
            <v>0</v>
          </cell>
          <cell r="BY743">
            <v>0</v>
          </cell>
          <cell r="BZ743">
            <v>4</v>
          </cell>
          <cell r="CA743">
            <v>0</v>
          </cell>
          <cell r="CB743">
            <v>4</v>
          </cell>
          <cell r="CC743">
            <v>4</v>
          </cell>
          <cell r="CD743">
            <v>4</v>
          </cell>
          <cell r="CE743">
            <v>0</v>
          </cell>
          <cell r="CF743">
            <v>0</v>
          </cell>
          <cell r="CG743">
            <v>0</v>
          </cell>
          <cell r="CH743">
            <v>0</v>
          </cell>
          <cell r="CI743">
            <v>4</v>
          </cell>
          <cell r="CJ743">
            <v>4</v>
          </cell>
          <cell r="CK743">
            <v>4</v>
          </cell>
          <cell r="CL743">
            <v>0</v>
          </cell>
          <cell r="CM743">
            <v>0</v>
          </cell>
          <cell r="CR743">
            <v>0</v>
          </cell>
          <cell r="CS743">
            <v>0</v>
          </cell>
          <cell r="CT743">
            <v>35.25</v>
          </cell>
          <cell r="CU743">
            <v>0</v>
          </cell>
          <cell r="CV743">
            <v>0</v>
          </cell>
          <cell r="CZ743">
            <v>35.25</v>
          </cell>
        </row>
        <row r="744">
          <cell r="C744" t="str">
            <v>04149</v>
          </cell>
          <cell r="D744" t="str">
            <v>Nguyễn Chí Trung</v>
          </cell>
          <cell r="E744" t="str">
            <v>Production</v>
          </cell>
          <cell r="F744" t="str">
            <v>Die Cut</v>
          </cell>
          <cell r="G744" t="str">
            <v>Team Leader</v>
          </cell>
          <cell r="H744">
            <v>45519</v>
          </cell>
          <cell r="I744">
            <v>8</v>
          </cell>
          <cell r="J744">
            <v>8</v>
          </cell>
          <cell r="K744">
            <v>8</v>
          </cell>
          <cell r="L744" t="str">
            <v>CN</v>
          </cell>
          <cell r="M744" t="str">
            <v>Đ</v>
          </cell>
          <cell r="N744" t="str">
            <v>Đ</v>
          </cell>
          <cell r="O744" t="str">
            <v>Đ</v>
          </cell>
          <cell r="P744" t="str">
            <v>Đ</v>
          </cell>
          <cell r="Q744" t="str">
            <v>Đ</v>
          </cell>
          <cell r="R744" t="str">
            <v>Đ</v>
          </cell>
          <cell r="S744" t="str">
            <v>CN</v>
          </cell>
          <cell r="T744">
            <v>8</v>
          </cell>
          <cell r="U744">
            <v>8</v>
          </cell>
          <cell r="V744">
            <v>8</v>
          </cell>
          <cell r="W744">
            <v>8</v>
          </cell>
          <cell r="X744">
            <v>8</v>
          </cell>
          <cell r="Y744">
            <v>8</v>
          </cell>
          <cell r="Z744" t="str">
            <v>CN</v>
          </cell>
          <cell r="AA744" t="str">
            <v>Đ</v>
          </cell>
          <cell r="AB744" t="str">
            <v>Đ</v>
          </cell>
          <cell r="AC744" t="str">
            <v>Đ</v>
          </cell>
          <cell r="AD744" t="str">
            <v>Đ</v>
          </cell>
          <cell r="AE744" t="str">
            <v>Đ</v>
          </cell>
          <cell r="AF744" t="str">
            <v>Đ</v>
          </cell>
          <cell r="AG744" t="str">
            <v>CN</v>
          </cell>
          <cell r="AH744" t="str">
            <v>AL4</v>
          </cell>
          <cell r="AI744">
            <v>8</v>
          </cell>
          <cell r="AJ744">
            <v>8</v>
          </cell>
          <cell r="AN744">
            <v>96</v>
          </cell>
          <cell r="AO744">
            <v>92</v>
          </cell>
          <cell r="AP744">
            <v>4</v>
          </cell>
          <cell r="AQ744">
            <v>0</v>
          </cell>
          <cell r="AR744">
            <v>0</v>
          </cell>
          <cell r="AS744">
            <v>0</v>
          </cell>
          <cell r="AT744">
            <v>0</v>
          </cell>
          <cell r="AU744">
            <v>0</v>
          </cell>
          <cell r="AV744">
            <v>0</v>
          </cell>
          <cell r="AW744">
            <v>0</v>
          </cell>
          <cell r="AX744">
            <v>0</v>
          </cell>
          <cell r="AY744">
            <v>0</v>
          </cell>
          <cell r="AZ744">
            <v>0</v>
          </cell>
          <cell r="BA744">
            <v>4</v>
          </cell>
          <cell r="BB744">
            <v>0</v>
          </cell>
          <cell r="BC744">
            <v>0</v>
          </cell>
          <cell r="BD744">
            <v>0</v>
          </cell>
          <cell r="BE744">
            <v>0</v>
          </cell>
          <cell r="BF744">
            <v>0</v>
          </cell>
          <cell r="BG744">
            <v>192</v>
          </cell>
          <cell r="BH744">
            <v>0.5</v>
          </cell>
          <cell r="BI744">
            <v>0.5</v>
          </cell>
          <cell r="BJ744">
            <v>0.5</v>
          </cell>
          <cell r="BL744">
            <v>1.5</v>
          </cell>
          <cell r="BM744">
            <v>1.5</v>
          </cell>
          <cell r="BN744">
            <v>1.75</v>
          </cell>
          <cell r="BO744">
            <v>0</v>
          </cell>
          <cell r="BP744">
            <v>2</v>
          </cell>
          <cell r="BQ744">
            <v>3</v>
          </cell>
          <cell r="BR744">
            <v>1.5</v>
          </cell>
          <cell r="BS744">
            <v>4</v>
          </cell>
          <cell r="BT744">
            <v>4</v>
          </cell>
          <cell r="BU744">
            <v>4</v>
          </cell>
          <cell r="BV744">
            <v>0</v>
          </cell>
          <cell r="BW744">
            <v>3.5</v>
          </cell>
          <cell r="BX744">
            <v>3</v>
          </cell>
          <cell r="BY744">
            <v>4</v>
          </cell>
          <cell r="BZ744">
            <v>3</v>
          </cell>
          <cell r="CA744">
            <v>3.5</v>
          </cell>
          <cell r="CB744">
            <v>3</v>
          </cell>
          <cell r="CC744">
            <v>8</v>
          </cell>
          <cell r="CD744">
            <v>4</v>
          </cell>
          <cell r="CE744">
            <v>4</v>
          </cell>
          <cell r="CF744">
            <v>4</v>
          </cell>
          <cell r="CG744">
            <v>4</v>
          </cell>
          <cell r="CH744">
            <v>4</v>
          </cell>
          <cell r="CI744">
            <v>4</v>
          </cell>
          <cell r="CJ744">
            <v>0</v>
          </cell>
          <cell r="CK744">
            <v>2</v>
          </cell>
          <cell r="CL744">
            <v>3</v>
          </cell>
          <cell r="CM744">
            <v>3</v>
          </cell>
          <cell r="CR744">
            <v>0</v>
          </cell>
          <cell r="CS744">
            <v>0</v>
          </cell>
          <cell r="CT744">
            <v>75.25</v>
          </cell>
          <cell r="CU744">
            <v>8</v>
          </cell>
          <cell r="CV744">
            <v>0</v>
          </cell>
          <cell r="CZ744">
            <v>83.25</v>
          </cell>
        </row>
        <row r="745">
          <cell r="C745" t="str">
            <v>04150</v>
          </cell>
          <cell r="D745" t="str">
            <v>Trương Quốc Thuận</v>
          </cell>
          <cell r="E745" t="str">
            <v>Production</v>
          </cell>
          <cell r="F745" t="str">
            <v>Prefitting</v>
          </cell>
          <cell r="G745" t="str">
            <v>Team Leader</v>
          </cell>
          <cell r="H745">
            <v>45519</v>
          </cell>
          <cell r="I745">
            <v>8</v>
          </cell>
          <cell r="J745" t="str">
            <v>Đ</v>
          </cell>
          <cell r="K745" t="str">
            <v>Đ</v>
          </cell>
          <cell r="L745" t="str">
            <v>CN</v>
          </cell>
          <cell r="M745">
            <v>8</v>
          </cell>
          <cell r="N745">
            <v>8</v>
          </cell>
          <cell r="O745">
            <v>8</v>
          </cell>
          <cell r="P745">
            <v>8</v>
          </cell>
          <cell r="Q745">
            <v>8</v>
          </cell>
          <cell r="R745">
            <v>8</v>
          </cell>
          <cell r="S745" t="str">
            <v>CN</v>
          </cell>
          <cell r="T745">
            <v>8</v>
          </cell>
          <cell r="U745">
            <v>8</v>
          </cell>
          <cell r="V745">
            <v>8</v>
          </cell>
          <cell r="W745">
            <v>8</v>
          </cell>
          <cell r="X745" t="str">
            <v>Đ</v>
          </cell>
          <cell r="Y745" t="str">
            <v>Đ</v>
          </cell>
          <cell r="Z745" t="str">
            <v>CN</v>
          </cell>
          <cell r="AA745">
            <v>8</v>
          </cell>
          <cell r="AB745">
            <v>8</v>
          </cell>
          <cell r="AC745">
            <v>8</v>
          </cell>
          <cell r="AD745">
            <v>8</v>
          </cell>
          <cell r="AE745">
            <v>8</v>
          </cell>
          <cell r="AF745">
            <v>8</v>
          </cell>
          <cell r="AG745" t="str">
            <v>CN</v>
          </cell>
          <cell r="AH745">
            <v>8</v>
          </cell>
          <cell r="AI745">
            <v>8</v>
          </cell>
          <cell r="AJ745">
            <v>8</v>
          </cell>
          <cell r="AN745">
            <v>32</v>
          </cell>
          <cell r="AO745">
            <v>160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192</v>
          </cell>
          <cell r="BH745">
            <v>0</v>
          </cell>
          <cell r="BI745">
            <v>0</v>
          </cell>
          <cell r="BJ745">
            <v>1</v>
          </cell>
          <cell r="BL745">
            <v>0</v>
          </cell>
          <cell r="BM745">
            <v>4</v>
          </cell>
          <cell r="BN745">
            <v>4</v>
          </cell>
          <cell r="BO745">
            <v>0</v>
          </cell>
          <cell r="BP745">
            <v>0</v>
          </cell>
          <cell r="BQ745">
            <v>2</v>
          </cell>
          <cell r="BR745">
            <v>0</v>
          </cell>
          <cell r="BS745">
            <v>0</v>
          </cell>
          <cell r="BT745">
            <v>4</v>
          </cell>
          <cell r="BU745">
            <v>4</v>
          </cell>
          <cell r="BV745">
            <v>0</v>
          </cell>
          <cell r="BW745">
            <v>0</v>
          </cell>
          <cell r="BX745">
            <v>0</v>
          </cell>
          <cell r="BY745">
            <v>0</v>
          </cell>
          <cell r="BZ745">
            <v>0</v>
          </cell>
          <cell r="CA745">
            <v>4</v>
          </cell>
          <cell r="CB745">
            <v>4</v>
          </cell>
          <cell r="CC745">
            <v>0</v>
          </cell>
          <cell r="CD745">
            <v>0</v>
          </cell>
          <cell r="CE745">
            <v>0</v>
          </cell>
          <cell r="CF745">
            <v>0</v>
          </cell>
          <cell r="CG745">
            <v>0</v>
          </cell>
          <cell r="CH745">
            <v>4</v>
          </cell>
          <cell r="CI745">
            <v>4</v>
          </cell>
          <cell r="CJ745">
            <v>0</v>
          </cell>
          <cell r="CK745">
            <v>0</v>
          </cell>
          <cell r="CL745">
            <v>0</v>
          </cell>
          <cell r="CM745">
            <v>0</v>
          </cell>
          <cell r="CR745">
            <v>0</v>
          </cell>
          <cell r="CS745">
            <v>0</v>
          </cell>
          <cell r="CT745">
            <v>34</v>
          </cell>
          <cell r="CU745">
            <v>0</v>
          </cell>
          <cell r="CV745">
            <v>0</v>
          </cell>
          <cell r="CZ745">
            <v>34</v>
          </cell>
        </row>
        <row r="746">
          <cell r="C746" t="str">
            <v>04151</v>
          </cell>
          <cell r="D746" t="str">
            <v>Đặng Đông Tình</v>
          </cell>
          <cell r="E746" t="str">
            <v>Foaming</v>
          </cell>
          <cell r="F746" t="str">
            <v>FOAMING Splitting</v>
          </cell>
          <cell r="G746" t="str">
            <v>Worker</v>
          </cell>
          <cell r="H746">
            <v>45519</v>
          </cell>
          <cell r="I746">
            <v>8</v>
          </cell>
          <cell r="J746">
            <v>8</v>
          </cell>
          <cell r="K746">
            <v>8</v>
          </cell>
          <cell r="L746" t="str">
            <v>CN</v>
          </cell>
          <cell r="M746">
            <v>8</v>
          </cell>
          <cell r="N746">
            <v>8</v>
          </cell>
          <cell r="O746">
            <v>8</v>
          </cell>
          <cell r="P746">
            <v>8</v>
          </cell>
          <cell r="Q746">
            <v>8</v>
          </cell>
          <cell r="R746">
            <v>8</v>
          </cell>
          <cell r="S746" t="str">
            <v>CN</v>
          </cell>
          <cell r="T746">
            <v>8</v>
          </cell>
          <cell r="U746">
            <v>8</v>
          </cell>
          <cell r="V746">
            <v>8</v>
          </cell>
          <cell r="W746">
            <v>8</v>
          </cell>
          <cell r="X746">
            <v>8</v>
          </cell>
          <cell r="Y746">
            <v>8</v>
          </cell>
          <cell r="Z746" t="str">
            <v>CN</v>
          </cell>
          <cell r="AA746">
            <v>8</v>
          </cell>
          <cell r="AB746">
            <v>8</v>
          </cell>
          <cell r="AC746">
            <v>8</v>
          </cell>
          <cell r="AD746">
            <v>8</v>
          </cell>
          <cell r="AE746">
            <v>8</v>
          </cell>
          <cell r="AF746">
            <v>8</v>
          </cell>
          <cell r="AG746" t="str">
            <v>CN</v>
          </cell>
          <cell r="AH746">
            <v>8</v>
          </cell>
          <cell r="AI746">
            <v>8</v>
          </cell>
          <cell r="AJ746">
            <v>8</v>
          </cell>
          <cell r="AN746">
            <v>0</v>
          </cell>
          <cell r="AO746">
            <v>192</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192</v>
          </cell>
          <cell r="BH746">
            <v>0</v>
          </cell>
          <cell r="BI746">
            <v>0</v>
          </cell>
          <cell r="BJ746">
            <v>2</v>
          </cell>
          <cell r="BL746">
            <v>4</v>
          </cell>
          <cell r="BM746">
            <v>4</v>
          </cell>
          <cell r="BN746">
            <v>4</v>
          </cell>
          <cell r="BO746">
            <v>12</v>
          </cell>
          <cell r="BP746">
            <v>0</v>
          </cell>
          <cell r="BQ746">
            <v>4</v>
          </cell>
          <cell r="BR746">
            <v>4</v>
          </cell>
          <cell r="BS746">
            <v>4</v>
          </cell>
          <cell r="BT746">
            <v>4</v>
          </cell>
          <cell r="BU746">
            <v>4</v>
          </cell>
          <cell r="BV746">
            <v>12</v>
          </cell>
          <cell r="BW746">
            <v>4</v>
          </cell>
          <cell r="BX746">
            <v>4</v>
          </cell>
          <cell r="BY746">
            <v>4</v>
          </cell>
          <cell r="BZ746">
            <v>4</v>
          </cell>
          <cell r="CA746">
            <v>4</v>
          </cell>
          <cell r="CB746">
            <v>4</v>
          </cell>
          <cell r="CC746">
            <v>0</v>
          </cell>
          <cell r="CD746">
            <v>4</v>
          </cell>
          <cell r="CE746">
            <v>4</v>
          </cell>
          <cell r="CF746">
            <v>4</v>
          </cell>
          <cell r="CG746">
            <v>4</v>
          </cell>
          <cell r="CH746">
            <v>4</v>
          </cell>
          <cell r="CI746">
            <v>4</v>
          </cell>
          <cell r="CJ746">
            <v>12</v>
          </cell>
          <cell r="CK746">
            <v>4</v>
          </cell>
          <cell r="CL746">
            <v>4</v>
          </cell>
          <cell r="CM746">
            <v>4</v>
          </cell>
          <cell r="CR746">
            <v>0</v>
          </cell>
          <cell r="CS746">
            <v>0</v>
          </cell>
          <cell r="CT746">
            <v>92</v>
          </cell>
          <cell r="CU746">
            <v>36</v>
          </cell>
          <cell r="CV746">
            <v>0</v>
          </cell>
          <cell r="CZ746">
            <v>128</v>
          </cell>
        </row>
        <row r="747">
          <cell r="C747" t="str">
            <v>04152</v>
          </cell>
          <cell r="D747" t="str">
            <v>Nguyễn Hà Sang</v>
          </cell>
          <cell r="E747" t="str">
            <v>Foaming</v>
          </cell>
          <cell r="F747" t="str">
            <v>FOAMING Splitting</v>
          </cell>
          <cell r="G747" t="str">
            <v>Worker</v>
          </cell>
          <cell r="H747">
            <v>45519</v>
          </cell>
          <cell r="I747">
            <v>8</v>
          </cell>
          <cell r="J747">
            <v>8</v>
          </cell>
          <cell r="K747">
            <v>8</v>
          </cell>
          <cell r="L747" t="str">
            <v>CN</v>
          </cell>
          <cell r="M747">
            <v>8</v>
          </cell>
          <cell r="N747">
            <v>8</v>
          </cell>
          <cell r="O747">
            <v>8</v>
          </cell>
          <cell r="P747">
            <v>8</v>
          </cell>
          <cell r="Q747">
            <v>8</v>
          </cell>
          <cell r="R747">
            <v>8</v>
          </cell>
          <cell r="S747" t="str">
            <v>CN</v>
          </cell>
          <cell r="T747" t="str">
            <v>AL8</v>
          </cell>
          <cell r="U747">
            <v>8</v>
          </cell>
          <cell r="V747">
            <v>8</v>
          </cell>
          <cell r="W747">
            <v>8</v>
          </cell>
          <cell r="X747">
            <v>8</v>
          </cell>
          <cell r="Y747">
            <v>8</v>
          </cell>
          <cell r="Z747" t="str">
            <v>CN</v>
          </cell>
          <cell r="AA747" t="str">
            <v>Đ</v>
          </cell>
          <cell r="AB747" t="str">
            <v>Đ</v>
          </cell>
          <cell r="AC747" t="str">
            <v>Đ</v>
          </cell>
          <cell r="AD747" t="str">
            <v>Đ</v>
          </cell>
          <cell r="AE747" t="str">
            <v>Đ</v>
          </cell>
          <cell r="AF747" t="str">
            <v>Đ</v>
          </cell>
          <cell r="AG747" t="str">
            <v>CN</v>
          </cell>
          <cell r="AH747" t="str">
            <v>Đ</v>
          </cell>
          <cell r="AI747" t="str">
            <v>Đ</v>
          </cell>
          <cell r="AJ747" t="str">
            <v>Đ</v>
          </cell>
          <cell r="AN747">
            <v>72</v>
          </cell>
          <cell r="AO747">
            <v>112</v>
          </cell>
          <cell r="AP747">
            <v>0</v>
          </cell>
          <cell r="AQ747">
            <v>0</v>
          </cell>
          <cell r="AR747">
            <v>0</v>
          </cell>
          <cell r="AS747">
            <v>0</v>
          </cell>
          <cell r="AT747">
            <v>0</v>
          </cell>
          <cell r="AU747">
            <v>0</v>
          </cell>
          <cell r="AV747">
            <v>0</v>
          </cell>
          <cell r="AW747">
            <v>0</v>
          </cell>
          <cell r="AX747">
            <v>0</v>
          </cell>
          <cell r="AY747">
            <v>0</v>
          </cell>
          <cell r="AZ747">
            <v>0</v>
          </cell>
          <cell r="BA747">
            <v>8</v>
          </cell>
          <cell r="BB747">
            <v>0</v>
          </cell>
          <cell r="BC747">
            <v>0</v>
          </cell>
          <cell r="BD747">
            <v>0</v>
          </cell>
          <cell r="BE747">
            <v>0</v>
          </cell>
          <cell r="BF747">
            <v>0</v>
          </cell>
          <cell r="BG747">
            <v>192</v>
          </cell>
          <cell r="BH747">
            <v>1</v>
          </cell>
          <cell r="BI747">
            <v>1</v>
          </cell>
          <cell r="BJ747">
            <v>4.5</v>
          </cell>
          <cell r="BL747">
            <v>4</v>
          </cell>
          <cell r="BM747">
            <v>4</v>
          </cell>
          <cell r="BN747">
            <v>4</v>
          </cell>
          <cell r="BO747">
            <v>12</v>
          </cell>
          <cell r="BP747">
            <v>0</v>
          </cell>
          <cell r="BQ747">
            <v>4</v>
          </cell>
          <cell r="BR747">
            <v>4</v>
          </cell>
          <cell r="BS747">
            <v>4</v>
          </cell>
          <cell r="BT747">
            <v>4</v>
          </cell>
          <cell r="BU747">
            <v>0</v>
          </cell>
          <cell r="BV747">
            <v>12</v>
          </cell>
          <cell r="BW747">
            <v>0</v>
          </cell>
          <cell r="BX747">
            <v>4</v>
          </cell>
          <cell r="BY747">
            <v>4</v>
          </cell>
          <cell r="BZ747">
            <v>4</v>
          </cell>
          <cell r="CA747">
            <v>4</v>
          </cell>
          <cell r="CB747">
            <v>4</v>
          </cell>
          <cell r="CC747" t="str">
            <v>12Đ</v>
          </cell>
          <cell r="CD747">
            <v>4</v>
          </cell>
          <cell r="CE747">
            <v>4</v>
          </cell>
          <cell r="CF747">
            <v>4</v>
          </cell>
          <cell r="CG747">
            <v>4</v>
          </cell>
          <cell r="CH747">
            <v>4</v>
          </cell>
          <cell r="CI747">
            <v>4</v>
          </cell>
          <cell r="CJ747" t="str">
            <v>12Đ</v>
          </cell>
          <cell r="CK747">
            <v>4</v>
          </cell>
          <cell r="CL747">
            <v>0</v>
          </cell>
          <cell r="CM747">
            <v>4</v>
          </cell>
          <cell r="CR747">
            <v>0</v>
          </cell>
          <cell r="CS747">
            <v>0</v>
          </cell>
          <cell r="CT747">
            <v>80</v>
          </cell>
          <cell r="CU747">
            <v>32</v>
          </cell>
          <cell r="CV747">
            <v>16</v>
          </cell>
          <cell r="CZ747">
            <v>128</v>
          </cell>
        </row>
        <row r="748">
          <cell r="C748" t="str">
            <v>04155</v>
          </cell>
          <cell r="D748" t="str">
            <v>Nguyễn Ngọc Bảo Trân</v>
          </cell>
          <cell r="E748" t="str">
            <v>IT</v>
          </cell>
          <cell r="F748" t="str">
            <v>IT</v>
          </cell>
          <cell r="G748" t="str">
            <v>Staff</v>
          </cell>
          <cell r="H748">
            <v>45523</v>
          </cell>
          <cell r="I748">
            <v>8</v>
          </cell>
          <cell r="J748">
            <v>8</v>
          </cell>
          <cell r="K748" t="str">
            <v>PO</v>
          </cell>
          <cell r="L748" t="str">
            <v>CN</v>
          </cell>
          <cell r="M748">
            <v>8</v>
          </cell>
          <cell r="N748">
            <v>8</v>
          </cell>
          <cell r="O748">
            <v>8</v>
          </cell>
          <cell r="P748">
            <v>8</v>
          </cell>
          <cell r="Q748">
            <v>8</v>
          </cell>
          <cell r="R748" t="str">
            <v>PO</v>
          </cell>
          <cell r="S748" t="str">
            <v>CN</v>
          </cell>
          <cell r="T748">
            <v>8</v>
          </cell>
          <cell r="U748" t="str">
            <v>AL4</v>
          </cell>
          <cell r="V748">
            <v>8</v>
          </cell>
          <cell r="W748">
            <v>8</v>
          </cell>
          <cell r="X748">
            <v>8</v>
          </cell>
          <cell r="Y748" t="str">
            <v>PO</v>
          </cell>
          <cell r="Z748" t="str">
            <v>CN</v>
          </cell>
          <cell r="AA748">
            <v>8</v>
          </cell>
          <cell r="AB748">
            <v>8</v>
          </cell>
          <cell r="AC748">
            <v>8</v>
          </cell>
          <cell r="AD748">
            <v>8</v>
          </cell>
          <cell r="AE748">
            <v>8</v>
          </cell>
          <cell r="AF748" t="str">
            <v>PO</v>
          </cell>
          <cell r="AG748" t="str">
            <v>CN</v>
          </cell>
          <cell r="AH748">
            <v>8</v>
          </cell>
          <cell r="AI748">
            <v>8</v>
          </cell>
          <cell r="AJ748">
            <v>8</v>
          </cell>
          <cell r="AN748">
            <v>0</v>
          </cell>
          <cell r="AO748">
            <v>156</v>
          </cell>
          <cell r="AP748">
            <v>4</v>
          </cell>
          <cell r="AQ748">
            <v>0</v>
          </cell>
          <cell r="AR748">
            <v>0</v>
          </cell>
          <cell r="AS748">
            <v>0</v>
          </cell>
          <cell r="AT748">
            <v>0</v>
          </cell>
          <cell r="AU748">
            <v>0</v>
          </cell>
          <cell r="AV748">
            <v>32</v>
          </cell>
          <cell r="AW748">
            <v>0</v>
          </cell>
          <cell r="AX748">
            <v>0</v>
          </cell>
          <cell r="AY748">
            <v>0</v>
          </cell>
          <cell r="AZ748">
            <v>0</v>
          </cell>
          <cell r="BA748">
            <v>4</v>
          </cell>
          <cell r="BB748">
            <v>0</v>
          </cell>
          <cell r="BC748">
            <v>0</v>
          </cell>
          <cell r="BD748">
            <v>0</v>
          </cell>
          <cell r="BE748">
            <v>0</v>
          </cell>
          <cell r="BF748">
            <v>0</v>
          </cell>
          <cell r="BG748">
            <v>192</v>
          </cell>
          <cell r="BH748">
            <v>0.5</v>
          </cell>
          <cell r="BI748">
            <v>0.5</v>
          </cell>
          <cell r="BJ748">
            <v>2</v>
          </cell>
          <cell r="BL748">
            <v>0</v>
          </cell>
          <cell r="BM748">
            <v>0</v>
          </cell>
          <cell r="BN748">
            <v>0</v>
          </cell>
          <cell r="BO748">
            <v>0</v>
          </cell>
          <cell r="BP748">
            <v>0</v>
          </cell>
          <cell r="BQ748">
            <v>0</v>
          </cell>
          <cell r="BR748">
            <v>0</v>
          </cell>
          <cell r="BS748">
            <v>0</v>
          </cell>
          <cell r="BT748">
            <v>0</v>
          </cell>
          <cell r="BU748">
            <v>0</v>
          </cell>
          <cell r="BV748">
            <v>0</v>
          </cell>
          <cell r="BW748">
            <v>0</v>
          </cell>
          <cell r="BX748">
            <v>0</v>
          </cell>
          <cell r="BY748">
            <v>0</v>
          </cell>
          <cell r="BZ748">
            <v>0</v>
          </cell>
          <cell r="CA748">
            <v>0</v>
          </cell>
          <cell r="CB748">
            <v>0</v>
          </cell>
          <cell r="CC748">
            <v>0</v>
          </cell>
          <cell r="CD748">
            <v>0</v>
          </cell>
          <cell r="CE748">
            <v>0</v>
          </cell>
          <cell r="CF748">
            <v>0</v>
          </cell>
          <cell r="CG748">
            <v>0</v>
          </cell>
          <cell r="CH748">
            <v>0</v>
          </cell>
          <cell r="CI748">
            <v>0</v>
          </cell>
          <cell r="CJ748">
            <v>0</v>
          </cell>
          <cell r="CK748">
            <v>0</v>
          </cell>
          <cell r="CL748">
            <v>0</v>
          </cell>
          <cell r="CM748">
            <v>0</v>
          </cell>
          <cell r="CR748">
            <v>0</v>
          </cell>
          <cell r="CS748">
            <v>0</v>
          </cell>
          <cell r="CT748">
            <v>0</v>
          </cell>
          <cell r="CU748">
            <v>0</v>
          </cell>
          <cell r="CV748">
            <v>0</v>
          </cell>
          <cell r="CZ748">
            <v>0</v>
          </cell>
        </row>
        <row r="749">
          <cell r="C749" t="str">
            <v>04156</v>
          </cell>
          <cell r="D749" t="str">
            <v>Tống Thị Bích Hạnh</v>
          </cell>
          <cell r="E749" t="str">
            <v>Production</v>
          </cell>
          <cell r="F749" t="str">
            <v>Molding</v>
          </cell>
          <cell r="G749" t="str">
            <v>Worker</v>
          </cell>
          <cell r="H749">
            <v>45525</v>
          </cell>
          <cell r="I749">
            <v>8</v>
          </cell>
          <cell r="J749">
            <v>8</v>
          </cell>
          <cell r="K749">
            <v>8</v>
          </cell>
          <cell r="L749" t="str">
            <v>CN</v>
          </cell>
          <cell r="M749">
            <v>8</v>
          </cell>
          <cell r="N749">
            <v>8</v>
          </cell>
          <cell r="O749">
            <v>8</v>
          </cell>
          <cell r="P749">
            <v>8</v>
          </cell>
          <cell r="Q749" t="str">
            <v>Đ</v>
          </cell>
          <cell r="R749" t="str">
            <v>Đ</v>
          </cell>
          <cell r="S749" t="str">
            <v>CN</v>
          </cell>
          <cell r="T749">
            <v>8</v>
          </cell>
          <cell r="U749">
            <v>8</v>
          </cell>
          <cell r="V749">
            <v>8</v>
          </cell>
          <cell r="W749">
            <v>8</v>
          </cell>
          <cell r="X749">
            <v>8</v>
          </cell>
          <cell r="Y749">
            <v>8</v>
          </cell>
          <cell r="Z749" t="str">
            <v>CN</v>
          </cell>
          <cell r="AA749">
            <v>8</v>
          </cell>
          <cell r="AB749">
            <v>8</v>
          </cell>
          <cell r="AC749">
            <v>8</v>
          </cell>
          <cell r="AD749">
            <v>8</v>
          </cell>
          <cell r="AE749" t="str">
            <v>Đ</v>
          </cell>
          <cell r="AF749" t="str">
            <v>Đ</v>
          </cell>
          <cell r="AG749" t="str">
            <v>CN</v>
          </cell>
          <cell r="AH749">
            <v>8</v>
          </cell>
          <cell r="AI749">
            <v>8</v>
          </cell>
          <cell r="AJ749">
            <v>8</v>
          </cell>
          <cell r="AN749">
            <v>32</v>
          </cell>
          <cell r="AO749">
            <v>160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192</v>
          </cell>
          <cell r="BH749">
            <v>0</v>
          </cell>
          <cell r="BI749">
            <v>0</v>
          </cell>
          <cell r="BJ749">
            <v>2.5</v>
          </cell>
          <cell r="BL749">
            <v>0</v>
          </cell>
          <cell r="BM749">
            <v>0</v>
          </cell>
          <cell r="BN749">
            <v>4</v>
          </cell>
          <cell r="BO749">
            <v>0</v>
          </cell>
          <cell r="BP749">
            <v>0</v>
          </cell>
          <cell r="BQ749">
            <v>0</v>
          </cell>
          <cell r="BR749">
            <v>0</v>
          </cell>
          <cell r="BS749">
            <v>0</v>
          </cell>
          <cell r="BT749">
            <v>4</v>
          </cell>
          <cell r="BU749">
            <v>4</v>
          </cell>
          <cell r="BV749">
            <v>0</v>
          </cell>
          <cell r="BW749">
            <v>0</v>
          </cell>
          <cell r="BX749">
            <v>0</v>
          </cell>
          <cell r="BY749">
            <v>0</v>
          </cell>
          <cell r="BZ749">
            <v>0</v>
          </cell>
          <cell r="CA749">
            <v>4</v>
          </cell>
          <cell r="CB749">
            <v>4</v>
          </cell>
          <cell r="CC749">
            <v>0</v>
          </cell>
          <cell r="CD749">
            <v>0</v>
          </cell>
          <cell r="CE749">
            <v>0</v>
          </cell>
          <cell r="CF749">
            <v>0</v>
          </cell>
          <cell r="CG749">
            <v>4</v>
          </cell>
          <cell r="CH749">
            <v>4</v>
          </cell>
          <cell r="CI749">
            <v>4</v>
          </cell>
          <cell r="CJ749">
            <v>0</v>
          </cell>
          <cell r="CK749">
            <v>0</v>
          </cell>
          <cell r="CL749">
            <v>0</v>
          </cell>
          <cell r="CM749">
            <v>0</v>
          </cell>
          <cell r="CR749">
            <v>0</v>
          </cell>
          <cell r="CS749">
            <v>0</v>
          </cell>
          <cell r="CT749">
            <v>32</v>
          </cell>
          <cell r="CU749">
            <v>0</v>
          </cell>
          <cell r="CV749">
            <v>0</v>
          </cell>
          <cell r="CZ749">
            <v>32</v>
          </cell>
        </row>
        <row r="750">
          <cell r="C750" t="str">
            <v>04157</v>
          </cell>
          <cell r="D750" t="str">
            <v>Vương Thị Nhì</v>
          </cell>
          <cell r="E750" t="str">
            <v>Production</v>
          </cell>
          <cell r="F750" t="str">
            <v>Molding</v>
          </cell>
          <cell r="G750" t="str">
            <v>Worker</v>
          </cell>
          <cell r="H750">
            <v>45525</v>
          </cell>
          <cell r="I750" t="str">
            <v>Đ</v>
          </cell>
          <cell r="J750" t="str">
            <v>Đ</v>
          </cell>
          <cell r="K750" t="str">
            <v>AL8</v>
          </cell>
          <cell r="L750" t="str">
            <v>CN</v>
          </cell>
          <cell r="M750">
            <v>8</v>
          </cell>
          <cell r="N750">
            <v>8</v>
          </cell>
          <cell r="O750">
            <v>8</v>
          </cell>
          <cell r="P750">
            <v>8</v>
          </cell>
          <cell r="Q750">
            <v>8</v>
          </cell>
          <cell r="R750">
            <v>8</v>
          </cell>
          <cell r="S750" t="str">
            <v>CN</v>
          </cell>
          <cell r="T750" t="str">
            <v>Đ</v>
          </cell>
          <cell r="U750" t="str">
            <v>Đ</v>
          </cell>
          <cell r="V750" t="str">
            <v>Đ</v>
          </cell>
          <cell r="W750" t="str">
            <v>Đ</v>
          </cell>
          <cell r="X750" t="str">
            <v>Đ</v>
          </cell>
          <cell r="Y750" t="str">
            <v>Đ</v>
          </cell>
          <cell r="Z750" t="str">
            <v>CN</v>
          </cell>
          <cell r="AA750">
            <v>8</v>
          </cell>
          <cell r="AB750">
            <v>8</v>
          </cell>
          <cell r="AC750">
            <v>8</v>
          </cell>
          <cell r="AD750">
            <v>8</v>
          </cell>
          <cell r="AE750">
            <v>8</v>
          </cell>
          <cell r="AF750">
            <v>8</v>
          </cell>
          <cell r="AG750" t="str">
            <v>CN</v>
          </cell>
          <cell r="AH750" t="str">
            <v>Đ</v>
          </cell>
          <cell r="AI750" t="str">
            <v>Đ</v>
          </cell>
          <cell r="AJ750" t="str">
            <v>Đ</v>
          </cell>
          <cell r="AN750">
            <v>88</v>
          </cell>
          <cell r="AO750">
            <v>96</v>
          </cell>
          <cell r="AP750">
            <v>0</v>
          </cell>
          <cell r="AQ750">
            <v>0</v>
          </cell>
          <cell r="AR750">
            <v>0</v>
          </cell>
          <cell r="AS750">
            <v>0</v>
          </cell>
          <cell r="AT750">
            <v>0</v>
          </cell>
          <cell r="AU750">
            <v>0</v>
          </cell>
          <cell r="AV750">
            <v>0</v>
          </cell>
          <cell r="AW750">
            <v>0</v>
          </cell>
          <cell r="AX750">
            <v>0</v>
          </cell>
          <cell r="AY750">
            <v>0</v>
          </cell>
          <cell r="AZ750">
            <v>0</v>
          </cell>
          <cell r="BA750">
            <v>8</v>
          </cell>
          <cell r="BB750">
            <v>0</v>
          </cell>
          <cell r="BC750">
            <v>0</v>
          </cell>
          <cell r="BD750">
            <v>0</v>
          </cell>
          <cell r="BE750">
            <v>0</v>
          </cell>
          <cell r="BF750">
            <v>0</v>
          </cell>
          <cell r="BG750">
            <v>192</v>
          </cell>
          <cell r="BH750">
            <v>1</v>
          </cell>
          <cell r="BI750">
            <v>1</v>
          </cell>
          <cell r="BJ750">
            <v>1</v>
          </cell>
          <cell r="BL750">
            <v>0</v>
          </cell>
          <cell r="BM750">
            <v>0</v>
          </cell>
          <cell r="BN750">
            <v>0</v>
          </cell>
          <cell r="BO750">
            <v>0</v>
          </cell>
          <cell r="BP750">
            <v>0</v>
          </cell>
          <cell r="BQ750">
            <v>0</v>
          </cell>
          <cell r="BR750">
            <v>0</v>
          </cell>
          <cell r="BS750">
            <v>0</v>
          </cell>
          <cell r="BT750">
            <v>4</v>
          </cell>
          <cell r="BU750">
            <v>4</v>
          </cell>
          <cell r="BV750">
            <v>0</v>
          </cell>
          <cell r="BW750">
            <v>0</v>
          </cell>
          <cell r="BX750">
            <v>0</v>
          </cell>
          <cell r="BY750">
            <v>0</v>
          </cell>
          <cell r="BZ750">
            <v>0</v>
          </cell>
          <cell r="CA750">
            <v>0</v>
          </cell>
          <cell r="CB750">
            <v>4</v>
          </cell>
          <cell r="CC750">
            <v>0</v>
          </cell>
          <cell r="CD750">
            <v>4</v>
          </cell>
          <cell r="CE750">
            <v>0</v>
          </cell>
          <cell r="CF750">
            <v>0</v>
          </cell>
          <cell r="CG750">
            <v>0</v>
          </cell>
          <cell r="CH750">
            <v>0</v>
          </cell>
          <cell r="CI750">
            <v>4</v>
          </cell>
          <cell r="CJ750">
            <v>0</v>
          </cell>
          <cell r="CK750">
            <v>0</v>
          </cell>
          <cell r="CL750">
            <v>4</v>
          </cell>
          <cell r="CM750">
            <v>0</v>
          </cell>
          <cell r="CR750">
            <v>0</v>
          </cell>
          <cell r="CS750">
            <v>0</v>
          </cell>
          <cell r="CT750">
            <v>24</v>
          </cell>
          <cell r="CU750">
            <v>0</v>
          </cell>
          <cell r="CV750">
            <v>0</v>
          </cell>
          <cell r="CZ750">
            <v>24</v>
          </cell>
        </row>
        <row r="751">
          <cell r="C751" t="str">
            <v>04158</v>
          </cell>
          <cell r="D751" t="str">
            <v>Bùi Văn Trọng</v>
          </cell>
          <cell r="E751" t="str">
            <v>Production</v>
          </cell>
          <cell r="F751" t="str">
            <v>Molding</v>
          </cell>
          <cell r="G751" t="str">
            <v>Worker</v>
          </cell>
          <cell r="H751">
            <v>45525</v>
          </cell>
          <cell r="I751" t="str">
            <v>Đ</v>
          </cell>
          <cell r="J751" t="str">
            <v>Đ</v>
          </cell>
          <cell r="K751" t="str">
            <v>CN</v>
          </cell>
          <cell r="L751">
            <v>8</v>
          </cell>
          <cell r="M751">
            <v>8</v>
          </cell>
          <cell r="N751">
            <v>8</v>
          </cell>
          <cell r="O751" t="str">
            <v>AL8</v>
          </cell>
          <cell r="P751" t="str">
            <v>AL8</v>
          </cell>
          <cell r="Q751" t="str">
            <v>AL8</v>
          </cell>
          <cell r="R751" t="str">
            <v>CN</v>
          </cell>
          <cell r="S751" t="str">
            <v>Đ</v>
          </cell>
          <cell r="T751" t="str">
            <v>Đ</v>
          </cell>
          <cell r="U751" t="str">
            <v>Đ</v>
          </cell>
          <cell r="V751" t="str">
            <v>Đ</v>
          </cell>
          <cell r="W751" t="str">
            <v>Đ</v>
          </cell>
          <cell r="X751" t="str">
            <v>Đ</v>
          </cell>
          <cell r="Y751" t="str">
            <v>CN</v>
          </cell>
          <cell r="Z751">
            <v>8</v>
          </cell>
          <cell r="AA751">
            <v>8</v>
          </cell>
          <cell r="AB751">
            <v>8</v>
          </cell>
          <cell r="AC751">
            <v>8</v>
          </cell>
          <cell r="AD751">
            <v>8</v>
          </cell>
          <cell r="AE751">
            <v>8</v>
          </cell>
          <cell r="AF751" t="str">
            <v>CN</v>
          </cell>
          <cell r="AG751" t="str">
            <v>Đ</v>
          </cell>
          <cell r="AH751" t="str">
            <v>Đ</v>
          </cell>
          <cell r="AI751" t="str">
            <v>Đ</v>
          </cell>
          <cell r="AJ751" t="str">
            <v>Đ</v>
          </cell>
          <cell r="AN751">
            <v>96</v>
          </cell>
          <cell r="AO751">
            <v>72</v>
          </cell>
          <cell r="AP751">
            <v>0</v>
          </cell>
          <cell r="AQ751">
            <v>0</v>
          </cell>
          <cell r="AR751">
            <v>0</v>
          </cell>
          <cell r="AS751">
            <v>0</v>
          </cell>
          <cell r="AT751">
            <v>0</v>
          </cell>
          <cell r="AU751">
            <v>0</v>
          </cell>
          <cell r="AV751">
            <v>0</v>
          </cell>
          <cell r="AW751">
            <v>0</v>
          </cell>
          <cell r="AX751">
            <v>0</v>
          </cell>
          <cell r="AY751">
            <v>0</v>
          </cell>
          <cell r="AZ751">
            <v>0</v>
          </cell>
          <cell r="BA751">
            <v>24</v>
          </cell>
          <cell r="BB751">
            <v>0</v>
          </cell>
          <cell r="BC751">
            <v>0</v>
          </cell>
          <cell r="BD751">
            <v>0</v>
          </cell>
          <cell r="BE751">
            <v>0</v>
          </cell>
          <cell r="BF751">
            <v>0</v>
          </cell>
          <cell r="BG751">
            <v>192</v>
          </cell>
          <cell r="BH751">
            <v>3</v>
          </cell>
          <cell r="BI751">
            <v>3</v>
          </cell>
          <cell r="BJ751">
            <v>1</v>
          </cell>
          <cell r="BL751">
            <v>0</v>
          </cell>
          <cell r="BM751">
            <v>4</v>
          </cell>
          <cell r="BN751">
            <v>0</v>
          </cell>
          <cell r="BO751">
            <v>4</v>
          </cell>
          <cell r="BP751">
            <v>0</v>
          </cell>
          <cell r="BQ751">
            <v>0</v>
          </cell>
          <cell r="BR751">
            <v>0</v>
          </cell>
          <cell r="BS751">
            <v>0</v>
          </cell>
          <cell r="BT751">
            <v>0</v>
          </cell>
          <cell r="BU751">
            <v>0</v>
          </cell>
          <cell r="BV751">
            <v>4</v>
          </cell>
          <cell r="BW751">
            <v>4</v>
          </cell>
          <cell r="BX751">
            <v>0</v>
          </cell>
          <cell r="BY751">
            <v>0</v>
          </cell>
          <cell r="BZ751">
            <v>0</v>
          </cell>
          <cell r="CA751">
            <v>4</v>
          </cell>
          <cell r="CB751">
            <v>0</v>
          </cell>
          <cell r="CC751">
            <v>4</v>
          </cell>
          <cell r="CD751">
            <v>0</v>
          </cell>
          <cell r="CE751">
            <v>4</v>
          </cell>
          <cell r="CF751">
            <v>0</v>
          </cell>
          <cell r="CG751">
            <v>0</v>
          </cell>
          <cell r="CH751">
            <v>0</v>
          </cell>
          <cell r="CI751">
            <v>0</v>
          </cell>
          <cell r="CJ751">
            <v>4</v>
          </cell>
          <cell r="CK751">
            <v>0</v>
          </cell>
          <cell r="CL751">
            <v>0</v>
          </cell>
          <cell r="CM751">
            <v>0</v>
          </cell>
          <cell r="CR751">
            <v>0</v>
          </cell>
          <cell r="CS751">
            <v>0</v>
          </cell>
          <cell r="CT751">
            <v>32</v>
          </cell>
          <cell r="CU751">
            <v>0</v>
          </cell>
          <cell r="CV751">
            <v>0</v>
          </cell>
          <cell r="CZ751">
            <v>32</v>
          </cell>
        </row>
        <row r="752">
          <cell r="C752" t="str">
            <v>04159</v>
          </cell>
          <cell r="D752" t="str">
            <v xml:space="preserve">Lê Hoàng Dự </v>
          </cell>
          <cell r="E752" t="str">
            <v>Production</v>
          </cell>
          <cell r="F752" t="str">
            <v>Logo Making</v>
          </cell>
          <cell r="G752" t="str">
            <v>Operator</v>
          </cell>
          <cell r="H752">
            <v>45525</v>
          </cell>
          <cell r="I752">
            <v>8</v>
          </cell>
          <cell r="J752" t="str">
            <v>Đ</v>
          </cell>
          <cell r="K752" t="str">
            <v>Đ</v>
          </cell>
          <cell r="L752" t="str">
            <v>CN</v>
          </cell>
          <cell r="M752">
            <v>8</v>
          </cell>
          <cell r="N752">
            <v>8</v>
          </cell>
          <cell r="O752">
            <v>8</v>
          </cell>
          <cell r="P752">
            <v>8</v>
          </cell>
          <cell r="Q752">
            <v>8</v>
          </cell>
          <cell r="R752" t="str">
            <v>AL4</v>
          </cell>
          <cell r="S752" t="str">
            <v>CN</v>
          </cell>
          <cell r="T752">
            <v>8</v>
          </cell>
          <cell r="U752">
            <v>8</v>
          </cell>
          <cell r="V752">
            <v>8</v>
          </cell>
          <cell r="W752">
            <v>8</v>
          </cell>
          <cell r="X752" t="str">
            <v>Đ</v>
          </cell>
          <cell r="Y752" t="str">
            <v>Đ</v>
          </cell>
          <cell r="Z752" t="str">
            <v>CN</v>
          </cell>
          <cell r="AA752">
            <v>8</v>
          </cell>
          <cell r="AB752">
            <v>8</v>
          </cell>
          <cell r="AC752">
            <v>8</v>
          </cell>
          <cell r="AD752">
            <v>8</v>
          </cell>
          <cell r="AE752">
            <v>8</v>
          </cell>
          <cell r="AF752">
            <v>8</v>
          </cell>
          <cell r="AG752" t="str">
            <v>CN</v>
          </cell>
          <cell r="AH752">
            <v>8</v>
          </cell>
          <cell r="AI752">
            <v>8</v>
          </cell>
          <cell r="AJ752">
            <v>8</v>
          </cell>
          <cell r="AN752">
            <v>32</v>
          </cell>
          <cell r="AO752">
            <v>156</v>
          </cell>
          <cell r="AP752">
            <v>4</v>
          </cell>
          <cell r="AQ752">
            <v>0</v>
          </cell>
          <cell r="AR752">
            <v>0</v>
          </cell>
          <cell r="AS752">
            <v>0</v>
          </cell>
          <cell r="AT752">
            <v>0</v>
          </cell>
          <cell r="AU752">
            <v>0</v>
          </cell>
          <cell r="AV752">
            <v>0</v>
          </cell>
          <cell r="AW752">
            <v>0</v>
          </cell>
          <cell r="AX752">
            <v>0</v>
          </cell>
          <cell r="AY752">
            <v>0</v>
          </cell>
          <cell r="AZ752">
            <v>0</v>
          </cell>
          <cell r="BA752">
            <v>4</v>
          </cell>
          <cell r="BB752">
            <v>0</v>
          </cell>
          <cell r="BC752">
            <v>0</v>
          </cell>
          <cell r="BD752">
            <v>0</v>
          </cell>
          <cell r="BE752">
            <v>0</v>
          </cell>
          <cell r="BF752">
            <v>0</v>
          </cell>
          <cell r="BG752">
            <v>192</v>
          </cell>
          <cell r="BH752">
            <v>0.5</v>
          </cell>
          <cell r="BI752">
            <v>0.5</v>
          </cell>
          <cell r="BJ752">
            <v>-2</v>
          </cell>
          <cell r="BL752">
            <v>4</v>
          </cell>
          <cell r="BM752">
            <v>4</v>
          </cell>
          <cell r="BN752">
            <v>4</v>
          </cell>
          <cell r="BO752">
            <v>0</v>
          </cell>
          <cell r="BP752">
            <v>4</v>
          </cell>
          <cell r="BQ752">
            <v>0</v>
          </cell>
          <cell r="BR752">
            <v>0</v>
          </cell>
          <cell r="BS752">
            <v>0</v>
          </cell>
          <cell r="BT752">
            <v>4</v>
          </cell>
          <cell r="BU752">
            <v>4</v>
          </cell>
          <cell r="BV752">
            <v>0</v>
          </cell>
          <cell r="BW752">
            <v>0</v>
          </cell>
          <cell r="BX752">
            <v>0</v>
          </cell>
          <cell r="BY752">
            <v>0</v>
          </cell>
          <cell r="BZ752">
            <v>0</v>
          </cell>
          <cell r="CA752">
            <v>4</v>
          </cell>
          <cell r="CB752">
            <v>4</v>
          </cell>
          <cell r="CC752">
            <v>0</v>
          </cell>
          <cell r="CD752">
            <v>2</v>
          </cell>
          <cell r="CE752">
            <v>0</v>
          </cell>
          <cell r="CF752">
            <v>0</v>
          </cell>
          <cell r="CG752">
            <v>0</v>
          </cell>
          <cell r="CH752">
            <v>3</v>
          </cell>
          <cell r="CI752">
            <v>3</v>
          </cell>
          <cell r="CJ752">
            <v>0</v>
          </cell>
          <cell r="CK752">
            <v>0</v>
          </cell>
          <cell r="CL752">
            <v>4</v>
          </cell>
          <cell r="CM752">
            <v>0</v>
          </cell>
          <cell r="CR752">
            <v>0</v>
          </cell>
          <cell r="CS752">
            <v>0</v>
          </cell>
          <cell r="CT752">
            <v>44</v>
          </cell>
          <cell r="CU752">
            <v>0</v>
          </cell>
          <cell r="CV752">
            <v>0</v>
          </cell>
          <cell r="CZ752">
            <v>44</v>
          </cell>
        </row>
        <row r="753">
          <cell r="C753" t="str">
            <v>04161</v>
          </cell>
          <cell r="D753" t="str">
            <v>Nguyễn Văn Dửng</v>
          </cell>
          <cell r="E753" t="str">
            <v>Production</v>
          </cell>
          <cell r="F753" t="str">
            <v>Lamination</v>
          </cell>
          <cell r="G753" t="str">
            <v>Worker</v>
          </cell>
          <cell r="H753">
            <v>45525</v>
          </cell>
          <cell r="I753">
            <v>8</v>
          </cell>
          <cell r="J753" t="str">
            <v>CN</v>
          </cell>
          <cell r="K753">
            <v>8</v>
          </cell>
          <cell r="L753" t="str">
            <v>Đ</v>
          </cell>
          <cell r="M753" t="str">
            <v>Đ</v>
          </cell>
          <cell r="N753" t="str">
            <v>Đ</v>
          </cell>
          <cell r="O753" t="str">
            <v>Đ</v>
          </cell>
          <cell r="P753" t="str">
            <v>Đ</v>
          </cell>
          <cell r="Q753" t="str">
            <v>CN</v>
          </cell>
          <cell r="R753">
            <v>8</v>
          </cell>
          <cell r="S753">
            <v>8</v>
          </cell>
          <cell r="T753">
            <v>8</v>
          </cell>
          <cell r="U753">
            <v>8</v>
          </cell>
          <cell r="V753">
            <v>8</v>
          </cell>
          <cell r="W753">
            <v>8</v>
          </cell>
          <cell r="X753" t="str">
            <v>CN</v>
          </cell>
          <cell r="Y753">
            <v>8</v>
          </cell>
          <cell r="Z753" t="str">
            <v>Đ</v>
          </cell>
          <cell r="AA753" t="str">
            <v>Đ</v>
          </cell>
          <cell r="AB753" t="str">
            <v>Đ</v>
          </cell>
          <cell r="AC753" t="str">
            <v>Đ</v>
          </cell>
          <cell r="AD753" t="str">
            <v>Đ</v>
          </cell>
          <cell r="AE753" t="str">
            <v>CN</v>
          </cell>
          <cell r="AF753">
            <v>8</v>
          </cell>
          <cell r="AG753" t="str">
            <v>Đ</v>
          </cell>
          <cell r="AH753" t="str">
            <v>Đ</v>
          </cell>
          <cell r="AI753" t="str">
            <v>Đ</v>
          </cell>
          <cell r="AJ753" t="str">
            <v>Đ</v>
          </cell>
          <cell r="AN753">
            <v>112</v>
          </cell>
          <cell r="AO753">
            <v>80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192</v>
          </cell>
          <cell r="BH753">
            <v>0</v>
          </cell>
          <cell r="BI753">
            <v>0</v>
          </cell>
          <cell r="BJ753">
            <v>2</v>
          </cell>
          <cell r="BL753">
            <v>0</v>
          </cell>
          <cell r="BM753">
            <v>0</v>
          </cell>
          <cell r="BN753">
            <v>0</v>
          </cell>
          <cell r="BO753">
            <v>4</v>
          </cell>
          <cell r="BP753">
            <v>0</v>
          </cell>
          <cell r="BQ753">
            <v>0</v>
          </cell>
          <cell r="BR753">
            <v>4</v>
          </cell>
          <cell r="BS753">
            <v>0</v>
          </cell>
          <cell r="BT753">
            <v>0</v>
          </cell>
          <cell r="BU753">
            <v>4</v>
          </cell>
          <cell r="BV753">
            <v>4</v>
          </cell>
          <cell r="BW753">
            <v>0</v>
          </cell>
          <cell r="BX753">
            <v>0</v>
          </cell>
          <cell r="BY753">
            <v>0</v>
          </cell>
          <cell r="BZ753">
            <v>0</v>
          </cell>
          <cell r="CA753">
            <v>0</v>
          </cell>
          <cell r="CB753">
            <v>4</v>
          </cell>
          <cell r="CC753">
            <v>4</v>
          </cell>
          <cell r="CD753">
            <v>0</v>
          </cell>
          <cell r="CE753">
            <v>0</v>
          </cell>
          <cell r="CF753">
            <v>0</v>
          </cell>
          <cell r="CG753">
            <v>4</v>
          </cell>
          <cell r="CH753">
            <v>0</v>
          </cell>
          <cell r="CI753">
            <v>4</v>
          </cell>
          <cell r="CJ753">
            <v>4</v>
          </cell>
          <cell r="CK753">
            <v>0</v>
          </cell>
          <cell r="CL753">
            <v>0</v>
          </cell>
          <cell r="CM753">
            <v>0</v>
          </cell>
          <cell r="CR753">
            <v>0</v>
          </cell>
          <cell r="CS753">
            <v>0</v>
          </cell>
          <cell r="CT753">
            <v>36</v>
          </cell>
          <cell r="CU753">
            <v>0</v>
          </cell>
          <cell r="CV753">
            <v>0</v>
          </cell>
          <cell r="CZ753">
            <v>36</v>
          </cell>
        </row>
        <row r="754">
          <cell r="C754" t="str">
            <v>04162</v>
          </cell>
          <cell r="D754" t="str">
            <v>Trần Văn Khang</v>
          </cell>
          <cell r="E754" t="str">
            <v>Production</v>
          </cell>
          <cell r="F754" t="str">
            <v>Lamination</v>
          </cell>
          <cell r="G754" t="str">
            <v>Worker</v>
          </cell>
          <cell r="H754">
            <v>45525</v>
          </cell>
          <cell r="I754" t="str">
            <v>Đ</v>
          </cell>
          <cell r="J754" t="str">
            <v>Đ</v>
          </cell>
          <cell r="K754" t="str">
            <v>CN</v>
          </cell>
          <cell r="L754">
            <v>8</v>
          </cell>
          <cell r="M754">
            <v>8</v>
          </cell>
          <cell r="N754">
            <v>8</v>
          </cell>
          <cell r="O754">
            <v>8</v>
          </cell>
          <cell r="P754" t="str">
            <v>AL8</v>
          </cell>
          <cell r="Q754">
            <v>8</v>
          </cell>
          <cell r="R754" t="str">
            <v>CN</v>
          </cell>
          <cell r="S754" t="str">
            <v>Đ</v>
          </cell>
          <cell r="T754" t="str">
            <v>Đ</v>
          </cell>
          <cell r="U754" t="str">
            <v>Đ</v>
          </cell>
          <cell r="V754" t="str">
            <v>Đ</v>
          </cell>
          <cell r="W754" t="str">
            <v>Đ</v>
          </cell>
          <cell r="X754" t="str">
            <v>Đ</v>
          </cell>
          <cell r="Y754" t="str">
            <v>CN</v>
          </cell>
          <cell r="Z754">
            <v>8</v>
          </cell>
          <cell r="AA754">
            <v>8</v>
          </cell>
          <cell r="AB754">
            <v>8</v>
          </cell>
          <cell r="AC754">
            <v>8</v>
          </cell>
          <cell r="AD754">
            <v>8</v>
          </cell>
          <cell r="AE754">
            <v>8</v>
          </cell>
          <cell r="AF754" t="str">
            <v>CN</v>
          </cell>
          <cell r="AG754">
            <v>8</v>
          </cell>
          <cell r="AH754">
            <v>8</v>
          </cell>
          <cell r="AI754">
            <v>8</v>
          </cell>
          <cell r="AJ754">
            <v>8</v>
          </cell>
          <cell r="AN754">
            <v>64</v>
          </cell>
          <cell r="AO754">
            <v>120</v>
          </cell>
          <cell r="AP754">
            <v>0</v>
          </cell>
          <cell r="AQ754">
            <v>0</v>
          </cell>
          <cell r="AR754">
            <v>0</v>
          </cell>
          <cell r="AS754">
            <v>0</v>
          </cell>
          <cell r="AT754">
            <v>0</v>
          </cell>
          <cell r="AU754">
            <v>0</v>
          </cell>
          <cell r="AV754">
            <v>0</v>
          </cell>
          <cell r="AW754">
            <v>0</v>
          </cell>
          <cell r="AX754">
            <v>0</v>
          </cell>
          <cell r="AY754">
            <v>0</v>
          </cell>
          <cell r="AZ754">
            <v>0</v>
          </cell>
          <cell r="BA754">
            <v>8</v>
          </cell>
          <cell r="BB754">
            <v>0</v>
          </cell>
          <cell r="BC754">
            <v>0</v>
          </cell>
          <cell r="BD754">
            <v>0</v>
          </cell>
          <cell r="BE754">
            <v>0</v>
          </cell>
          <cell r="BF754">
            <v>0</v>
          </cell>
          <cell r="BG754">
            <v>192</v>
          </cell>
          <cell r="BH754">
            <v>1</v>
          </cell>
          <cell r="BI754">
            <v>1</v>
          </cell>
          <cell r="BJ754">
            <v>1</v>
          </cell>
          <cell r="BL754">
            <v>0</v>
          </cell>
          <cell r="BM754">
            <v>0</v>
          </cell>
          <cell r="BN754">
            <v>0</v>
          </cell>
          <cell r="BO754">
            <v>4</v>
          </cell>
          <cell r="BP754">
            <v>0</v>
          </cell>
          <cell r="BQ754">
            <v>0</v>
          </cell>
          <cell r="BR754">
            <v>0</v>
          </cell>
          <cell r="BS754">
            <v>0</v>
          </cell>
          <cell r="BT754">
            <v>4</v>
          </cell>
          <cell r="BU754">
            <v>0</v>
          </cell>
          <cell r="BV754">
            <v>4</v>
          </cell>
          <cell r="BW754">
            <v>0</v>
          </cell>
          <cell r="BX754">
            <v>0</v>
          </cell>
          <cell r="BY754">
            <v>0</v>
          </cell>
          <cell r="BZ754">
            <v>0</v>
          </cell>
          <cell r="CA754">
            <v>4</v>
          </cell>
          <cell r="CB754">
            <v>0</v>
          </cell>
          <cell r="CC754">
            <v>4</v>
          </cell>
          <cell r="CD754">
            <v>0</v>
          </cell>
          <cell r="CE754">
            <v>4</v>
          </cell>
          <cell r="CF754">
            <v>4</v>
          </cell>
          <cell r="CG754">
            <v>0</v>
          </cell>
          <cell r="CH754">
            <v>4</v>
          </cell>
          <cell r="CI754">
            <v>0</v>
          </cell>
          <cell r="CJ754">
            <v>4</v>
          </cell>
          <cell r="CK754">
            <v>0</v>
          </cell>
          <cell r="CL754">
            <v>0</v>
          </cell>
          <cell r="CM754">
            <v>4</v>
          </cell>
          <cell r="CR754">
            <v>0</v>
          </cell>
          <cell r="CS754">
            <v>0</v>
          </cell>
          <cell r="CT754">
            <v>40</v>
          </cell>
          <cell r="CU754">
            <v>0</v>
          </cell>
          <cell r="CV754">
            <v>0</v>
          </cell>
          <cell r="CZ754">
            <v>40</v>
          </cell>
        </row>
        <row r="755">
          <cell r="C755" t="str">
            <v>04165</v>
          </cell>
          <cell r="D755" t="str">
            <v xml:space="preserve">Nguyễn Văn Phúc </v>
          </cell>
          <cell r="E755" t="str">
            <v>Production</v>
          </cell>
          <cell r="F755" t="str">
            <v>Lamination</v>
          </cell>
          <cell r="G755" t="str">
            <v>Worker</v>
          </cell>
          <cell r="H755">
            <v>45525</v>
          </cell>
          <cell r="I755">
            <v>8</v>
          </cell>
          <cell r="J755">
            <v>8</v>
          </cell>
          <cell r="K755" t="str">
            <v>Đ</v>
          </cell>
          <cell r="L755" t="str">
            <v>CN</v>
          </cell>
          <cell r="M755">
            <v>8</v>
          </cell>
          <cell r="N755">
            <v>8</v>
          </cell>
          <cell r="O755">
            <v>8</v>
          </cell>
          <cell r="P755">
            <v>8</v>
          </cell>
          <cell r="Q755" t="str">
            <v>Đ</v>
          </cell>
          <cell r="R755" t="str">
            <v>Đ</v>
          </cell>
          <cell r="S755" t="str">
            <v>CN</v>
          </cell>
          <cell r="T755">
            <v>8</v>
          </cell>
          <cell r="U755">
            <v>8</v>
          </cell>
          <cell r="V755">
            <v>8</v>
          </cell>
          <cell r="W755">
            <v>8</v>
          </cell>
          <cell r="X755">
            <v>8</v>
          </cell>
          <cell r="Y755" t="str">
            <v>Đ</v>
          </cell>
          <cell r="Z755" t="str">
            <v>CN</v>
          </cell>
          <cell r="AA755">
            <v>8</v>
          </cell>
          <cell r="AB755">
            <v>8</v>
          </cell>
          <cell r="AC755">
            <v>8</v>
          </cell>
          <cell r="AD755">
            <v>8</v>
          </cell>
          <cell r="AE755" t="str">
            <v>Đ</v>
          </cell>
          <cell r="AF755" t="str">
            <v>Đ</v>
          </cell>
          <cell r="AG755" t="str">
            <v>CN</v>
          </cell>
          <cell r="AH755">
            <v>8</v>
          </cell>
          <cell r="AI755">
            <v>8</v>
          </cell>
          <cell r="AJ755">
            <v>8</v>
          </cell>
          <cell r="AN755">
            <v>48</v>
          </cell>
          <cell r="AO755">
            <v>144</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192</v>
          </cell>
          <cell r="BH755">
            <v>0</v>
          </cell>
          <cell r="BI755">
            <v>0</v>
          </cell>
          <cell r="BJ755">
            <v>4</v>
          </cell>
          <cell r="BL755">
            <v>4</v>
          </cell>
          <cell r="BM755">
            <v>4</v>
          </cell>
          <cell r="BN755">
            <v>4</v>
          </cell>
          <cell r="BO755">
            <v>0</v>
          </cell>
          <cell r="BP755">
            <v>0</v>
          </cell>
          <cell r="BQ755">
            <v>0</v>
          </cell>
          <cell r="BR755">
            <v>0</v>
          </cell>
          <cell r="BS755">
            <v>0</v>
          </cell>
          <cell r="BT755">
            <v>4</v>
          </cell>
          <cell r="BU755">
            <v>4</v>
          </cell>
          <cell r="BV755">
            <v>0</v>
          </cell>
          <cell r="BW755">
            <v>0</v>
          </cell>
          <cell r="BX755">
            <v>0</v>
          </cell>
          <cell r="BY755">
            <v>0</v>
          </cell>
          <cell r="BZ755">
            <v>0</v>
          </cell>
          <cell r="CA755">
            <v>4</v>
          </cell>
          <cell r="CB755">
            <v>4</v>
          </cell>
          <cell r="CC755">
            <v>0</v>
          </cell>
          <cell r="CD755">
            <v>0</v>
          </cell>
          <cell r="CE755">
            <v>0</v>
          </cell>
          <cell r="CF755">
            <v>0</v>
          </cell>
          <cell r="CG755">
            <v>0</v>
          </cell>
          <cell r="CH755">
            <v>4</v>
          </cell>
          <cell r="CI755">
            <v>4</v>
          </cell>
          <cell r="CJ755">
            <v>0</v>
          </cell>
          <cell r="CK755">
            <v>0</v>
          </cell>
          <cell r="CL755">
            <v>0</v>
          </cell>
          <cell r="CM755">
            <v>0</v>
          </cell>
          <cell r="CR755">
            <v>0</v>
          </cell>
          <cell r="CS755">
            <v>0</v>
          </cell>
          <cell r="CT755">
            <v>36</v>
          </cell>
          <cell r="CU755">
            <v>0</v>
          </cell>
          <cell r="CV755">
            <v>0</v>
          </cell>
          <cell r="CZ755">
            <v>36</v>
          </cell>
        </row>
        <row r="756">
          <cell r="C756" t="str">
            <v>04167</v>
          </cell>
          <cell r="D756" t="str">
            <v>Võ Minh Quân</v>
          </cell>
          <cell r="E756" t="str">
            <v>Production office</v>
          </cell>
          <cell r="F756" t="str">
            <v>Production office</v>
          </cell>
          <cell r="G756" t="str">
            <v>Specialist</v>
          </cell>
          <cell r="H756">
            <v>45530</v>
          </cell>
          <cell r="I756" t="str">
            <v>WH</v>
          </cell>
          <cell r="J756" t="str">
            <v>WH</v>
          </cell>
          <cell r="K756" t="str">
            <v>PO</v>
          </cell>
          <cell r="L756" t="str">
            <v>CN</v>
          </cell>
          <cell r="M756">
            <v>8</v>
          </cell>
          <cell r="N756">
            <v>8</v>
          </cell>
          <cell r="O756">
            <v>8</v>
          </cell>
          <cell r="P756">
            <v>8</v>
          </cell>
          <cell r="Q756" t="str">
            <v>PO</v>
          </cell>
          <cell r="R756" t="str">
            <v>PO</v>
          </cell>
          <cell r="S756" t="str">
            <v>CN</v>
          </cell>
          <cell r="T756">
            <v>8</v>
          </cell>
          <cell r="U756">
            <v>8</v>
          </cell>
          <cell r="V756">
            <v>8</v>
          </cell>
          <cell r="W756">
            <v>8</v>
          </cell>
          <cell r="X756">
            <v>8</v>
          </cell>
          <cell r="Y756" t="str">
            <v>PO</v>
          </cell>
          <cell r="Z756" t="str">
            <v>CN</v>
          </cell>
          <cell r="AA756">
            <v>8</v>
          </cell>
          <cell r="AB756">
            <v>8</v>
          </cell>
          <cell r="AC756">
            <v>8</v>
          </cell>
          <cell r="AD756" t="str">
            <v>WH4</v>
          </cell>
          <cell r="AE756" t="str">
            <v>AL8</v>
          </cell>
          <cell r="AF756" t="str">
            <v>PO</v>
          </cell>
          <cell r="AG756" t="str">
            <v>CN</v>
          </cell>
          <cell r="AH756">
            <v>8</v>
          </cell>
          <cell r="AI756">
            <v>8</v>
          </cell>
          <cell r="AJ756" t="str">
            <v>WH</v>
          </cell>
          <cell r="AN756">
            <v>0</v>
          </cell>
          <cell r="AO756">
            <v>116</v>
          </cell>
          <cell r="AP756">
            <v>0</v>
          </cell>
          <cell r="AQ756">
            <v>0</v>
          </cell>
          <cell r="AR756">
            <v>0</v>
          </cell>
          <cell r="AS756">
            <v>0</v>
          </cell>
          <cell r="AT756">
            <v>0</v>
          </cell>
          <cell r="AU756">
            <v>0</v>
          </cell>
          <cell r="AV756">
            <v>40</v>
          </cell>
          <cell r="AW756">
            <v>0</v>
          </cell>
          <cell r="AX756">
            <v>0</v>
          </cell>
          <cell r="AY756">
            <v>0</v>
          </cell>
          <cell r="AZ756">
            <v>0</v>
          </cell>
          <cell r="BA756">
            <v>8</v>
          </cell>
          <cell r="BB756">
            <v>0</v>
          </cell>
          <cell r="BC756">
            <v>0</v>
          </cell>
          <cell r="BD756">
            <v>28</v>
          </cell>
          <cell r="BE756">
            <v>0</v>
          </cell>
          <cell r="BF756">
            <v>0</v>
          </cell>
          <cell r="BG756">
            <v>192</v>
          </cell>
          <cell r="BH756">
            <v>1</v>
          </cell>
          <cell r="BI756">
            <v>1</v>
          </cell>
          <cell r="BJ756">
            <v>0</v>
          </cell>
          <cell r="BL756">
            <v>0</v>
          </cell>
          <cell r="BM756">
            <v>0</v>
          </cell>
          <cell r="BN756">
            <v>0</v>
          </cell>
          <cell r="BO756">
            <v>0</v>
          </cell>
          <cell r="BP756">
            <v>0</v>
          </cell>
          <cell r="BQ756">
            <v>4</v>
          </cell>
          <cell r="BR756">
            <v>0</v>
          </cell>
          <cell r="BS756">
            <v>4</v>
          </cell>
          <cell r="BT756">
            <v>0</v>
          </cell>
          <cell r="BU756">
            <v>0</v>
          </cell>
          <cell r="BV756">
            <v>0</v>
          </cell>
          <cell r="BW756">
            <v>0</v>
          </cell>
          <cell r="BX756">
            <v>0</v>
          </cell>
          <cell r="BY756">
            <v>4</v>
          </cell>
          <cell r="BZ756">
            <v>0</v>
          </cell>
          <cell r="CA756">
            <v>0</v>
          </cell>
          <cell r="CB756">
            <v>0</v>
          </cell>
          <cell r="CC756">
            <v>0</v>
          </cell>
          <cell r="CD756">
            <v>0</v>
          </cell>
          <cell r="CE756">
            <v>0.5</v>
          </cell>
          <cell r="CF756">
            <v>0</v>
          </cell>
          <cell r="CG756">
            <v>4</v>
          </cell>
          <cell r="CH756">
            <v>0</v>
          </cell>
          <cell r="CI756">
            <v>0</v>
          </cell>
          <cell r="CJ756">
            <v>0</v>
          </cell>
          <cell r="CK756">
            <v>0</v>
          </cell>
          <cell r="CL756">
            <v>0</v>
          </cell>
          <cell r="CM756">
            <v>0</v>
          </cell>
          <cell r="CR756">
            <v>0</v>
          </cell>
          <cell r="CS756">
            <v>0</v>
          </cell>
          <cell r="CT756">
            <v>16.5</v>
          </cell>
          <cell r="CU756">
            <v>0</v>
          </cell>
          <cell r="CV756">
            <v>0</v>
          </cell>
          <cell r="CZ756">
            <v>16.5</v>
          </cell>
        </row>
        <row r="757">
          <cell r="C757" t="str">
            <v>04168</v>
          </cell>
          <cell r="D757" t="str">
            <v>Nguyễn Võ Hoàng Lâm</v>
          </cell>
          <cell r="E757" t="str">
            <v>Technical Development</v>
          </cell>
          <cell r="F757" t="str">
            <v>PD Technical</v>
          </cell>
          <cell r="G757" t="str">
            <v>Technician</v>
          </cell>
          <cell r="H757">
            <v>45530</v>
          </cell>
          <cell r="I757">
            <v>8</v>
          </cell>
          <cell r="J757" t="str">
            <v>AL4</v>
          </cell>
          <cell r="K757" t="str">
            <v>PO</v>
          </cell>
          <cell r="L757" t="str">
            <v>CN</v>
          </cell>
          <cell r="M757" t="str">
            <v>AL8</v>
          </cell>
          <cell r="N757">
            <v>8</v>
          </cell>
          <cell r="O757">
            <v>8</v>
          </cell>
          <cell r="P757">
            <v>8</v>
          </cell>
          <cell r="Q757">
            <v>8</v>
          </cell>
          <cell r="R757" t="str">
            <v>PO</v>
          </cell>
          <cell r="S757" t="str">
            <v>CN</v>
          </cell>
          <cell r="T757">
            <v>8</v>
          </cell>
          <cell r="U757">
            <v>8</v>
          </cell>
          <cell r="V757">
            <v>8</v>
          </cell>
          <cell r="W757">
            <v>8</v>
          </cell>
          <cell r="X757">
            <v>8</v>
          </cell>
          <cell r="Y757" t="str">
            <v>PO</v>
          </cell>
          <cell r="Z757" t="str">
            <v>CN</v>
          </cell>
          <cell r="AA757">
            <v>8</v>
          </cell>
          <cell r="AB757">
            <v>8</v>
          </cell>
          <cell r="AC757" t="str">
            <v>AL8</v>
          </cell>
          <cell r="AD757">
            <v>8</v>
          </cell>
          <cell r="AE757" t="str">
            <v>AL8</v>
          </cell>
          <cell r="AF757" t="str">
            <v>PO</v>
          </cell>
          <cell r="AG757" t="str">
            <v>CN</v>
          </cell>
          <cell r="AH757">
            <v>8</v>
          </cell>
          <cell r="AI757">
            <v>8</v>
          </cell>
          <cell r="AJ757">
            <v>8</v>
          </cell>
          <cell r="AN757">
            <v>0</v>
          </cell>
          <cell r="AO757">
            <v>132</v>
          </cell>
          <cell r="AP757">
            <v>4</v>
          </cell>
          <cell r="AQ757">
            <v>0</v>
          </cell>
          <cell r="AR757">
            <v>0</v>
          </cell>
          <cell r="AS757">
            <v>0</v>
          </cell>
          <cell r="AT757">
            <v>0</v>
          </cell>
          <cell r="AU757">
            <v>0</v>
          </cell>
          <cell r="AV757">
            <v>32</v>
          </cell>
          <cell r="AW757">
            <v>0</v>
          </cell>
          <cell r="AX757">
            <v>0</v>
          </cell>
          <cell r="AY757">
            <v>0</v>
          </cell>
          <cell r="AZ757">
            <v>0</v>
          </cell>
          <cell r="BA757">
            <v>28</v>
          </cell>
          <cell r="BB757">
            <v>0</v>
          </cell>
          <cell r="BC757">
            <v>0</v>
          </cell>
          <cell r="BD757">
            <v>0</v>
          </cell>
          <cell r="BE757">
            <v>0</v>
          </cell>
          <cell r="BF757">
            <v>0</v>
          </cell>
          <cell r="BG757">
            <v>192</v>
          </cell>
          <cell r="BH757">
            <v>3.5</v>
          </cell>
          <cell r="BI757">
            <v>3.5</v>
          </cell>
          <cell r="BJ757">
            <v>0.5</v>
          </cell>
          <cell r="BL757">
            <v>0</v>
          </cell>
          <cell r="BM757">
            <v>0</v>
          </cell>
          <cell r="BN757">
            <v>0</v>
          </cell>
          <cell r="BO757">
            <v>0</v>
          </cell>
          <cell r="BP757">
            <v>0</v>
          </cell>
          <cell r="BQ757">
            <v>0</v>
          </cell>
          <cell r="BR757">
            <v>0</v>
          </cell>
          <cell r="BS757">
            <v>0</v>
          </cell>
          <cell r="BT757">
            <v>0</v>
          </cell>
          <cell r="BU757">
            <v>0</v>
          </cell>
          <cell r="BV757">
            <v>0</v>
          </cell>
          <cell r="BW757">
            <v>0</v>
          </cell>
          <cell r="BX757">
            <v>0</v>
          </cell>
          <cell r="BY757">
            <v>0</v>
          </cell>
          <cell r="BZ757">
            <v>0</v>
          </cell>
          <cell r="CA757">
            <v>0</v>
          </cell>
          <cell r="CB757">
            <v>0</v>
          </cell>
          <cell r="CC757">
            <v>0</v>
          </cell>
          <cell r="CD757">
            <v>0</v>
          </cell>
          <cell r="CE757">
            <v>0</v>
          </cell>
          <cell r="CF757">
            <v>0</v>
          </cell>
          <cell r="CG757">
            <v>0</v>
          </cell>
          <cell r="CH757">
            <v>0</v>
          </cell>
          <cell r="CI757">
            <v>0</v>
          </cell>
          <cell r="CJ757">
            <v>0</v>
          </cell>
          <cell r="CK757">
            <v>0</v>
          </cell>
          <cell r="CL757">
            <v>0</v>
          </cell>
          <cell r="CM757">
            <v>0</v>
          </cell>
          <cell r="CR757">
            <v>0</v>
          </cell>
          <cell r="CS757">
            <v>0</v>
          </cell>
          <cell r="CT757">
            <v>0</v>
          </cell>
          <cell r="CU757">
            <v>0</v>
          </cell>
          <cell r="CV757">
            <v>0</v>
          </cell>
          <cell r="CZ757">
            <v>0</v>
          </cell>
        </row>
        <row r="758">
          <cell r="C758" t="str">
            <v>00898</v>
          </cell>
          <cell r="D758" t="str">
            <v>Nguyễn Thị Diễm</v>
          </cell>
          <cell r="E758" t="str">
            <v>Purchasing</v>
          </cell>
          <cell r="F758" t="str">
            <v>Purchasing</v>
          </cell>
          <cell r="G758" t="str">
            <v>Supervisor</v>
          </cell>
          <cell r="H758">
            <v>42675</v>
          </cell>
          <cell r="I758" t="str">
            <v>WH</v>
          </cell>
          <cell r="J758" t="str">
            <v>WH</v>
          </cell>
          <cell r="K758" t="str">
            <v>PO</v>
          </cell>
          <cell r="L758" t="str">
            <v>CN</v>
          </cell>
          <cell r="M758">
            <v>8</v>
          </cell>
          <cell r="N758">
            <v>8</v>
          </cell>
          <cell r="O758">
            <v>8</v>
          </cell>
          <cell r="P758" t="str">
            <v>BS4</v>
          </cell>
          <cell r="Q758" t="str">
            <v>PO</v>
          </cell>
          <cell r="R758" t="str">
            <v>PO</v>
          </cell>
          <cell r="S758" t="str">
            <v>CN</v>
          </cell>
          <cell r="T758">
            <v>8</v>
          </cell>
          <cell r="U758">
            <v>8</v>
          </cell>
          <cell r="V758">
            <v>8</v>
          </cell>
          <cell r="W758">
            <v>8</v>
          </cell>
          <cell r="X758">
            <v>8</v>
          </cell>
          <cell r="Y758" t="str">
            <v>PO</v>
          </cell>
          <cell r="Z758" t="str">
            <v>CN</v>
          </cell>
          <cell r="AA758">
            <v>8</v>
          </cell>
          <cell r="AB758" t="str">
            <v>BS</v>
          </cell>
          <cell r="AC758">
            <v>8</v>
          </cell>
          <cell r="AD758">
            <v>8</v>
          </cell>
          <cell r="AE758">
            <v>8</v>
          </cell>
          <cell r="AF758" t="str">
            <v>PO</v>
          </cell>
          <cell r="AG758" t="str">
            <v>CN</v>
          </cell>
          <cell r="AH758">
            <v>8</v>
          </cell>
          <cell r="AI758">
            <v>8</v>
          </cell>
          <cell r="AJ758" t="str">
            <v>AL8</v>
          </cell>
          <cell r="AN758">
            <v>0</v>
          </cell>
          <cell r="AO758">
            <v>116</v>
          </cell>
          <cell r="AP758">
            <v>0</v>
          </cell>
          <cell r="AQ758">
            <v>0</v>
          </cell>
          <cell r="AR758">
            <v>0</v>
          </cell>
          <cell r="AS758">
            <v>0</v>
          </cell>
          <cell r="AT758">
            <v>0</v>
          </cell>
          <cell r="AU758">
            <v>12</v>
          </cell>
          <cell r="AV758">
            <v>40</v>
          </cell>
          <cell r="AW758">
            <v>0</v>
          </cell>
          <cell r="AX758">
            <v>0</v>
          </cell>
          <cell r="AY758">
            <v>0</v>
          </cell>
          <cell r="AZ758">
            <v>0</v>
          </cell>
          <cell r="BA758">
            <v>8</v>
          </cell>
          <cell r="BB758">
            <v>0</v>
          </cell>
          <cell r="BC758">
            <v>0</v>
          </cell>
          <cell r="BD758">
            <v>16</v>
          </cell>
          <cell r="BE758">
            <v>0</v>
          </cell>
          <cell r="BF758">
            <v>0</v>
          </cell>
          <cell r="BG758">
            <v>192</v>
          </cell>
          <cell r="BH758">
            <v>1</v>
          </cell>
          <cell r="BI758">
            <v>1</v>
          </cell>
          <cell r="BJ758">
            <v>4</v>
          </cell>
          <cell r="BL758">
            <v>0</v>
          </cell>
          <cell r="BM758">
            <v>0</v>
          </cell>
          <cell r="BN758">
            <v>0</v>
          </cell>
          <cell r="BO758">
            <v>0</v>
          </cell>
          <cell r="BP758">
            <v>0</v>
          </cell>
          <cell r="BQ758">
            <v>0</v>
          </cell>
          <cell r="BR758">
            <v>2</v>
          </cell>
          <cell r="BS758">
            <v>2</v>
          </cell>
          <cell r="BT758">
            <v>0</v>
          </cell>
          <cell r="BU758">
            <v>0</v>
          </cell>
          <cell r="BV758">
            <v>0</v>
          </cell>
          <cell r="BW758">
            <v>0</v>
          </cell>
          <cell r="BX758">
            <v>0</v>
          </cell>
          <cell r="BY758">
            <v>2</v>
          </cell>
          <cell r="BZ758">
            <v>0</v>
          </cell>
          <cell r="CA758">
            <v>3</v>
          </cell>
          <cell r="CB758">
            <v>0</v>
          </cell>
          <cell r="CC758">
            <v>0</v>
          </cell>
          <cell r="CD758">
            <v>0</v>
          </cell>
          <cell r="CE758">
            <v>0</v>
          </cell>
          <cell r="CF758">
            <v>2</v>
          </cell>
          <cell r="CG758">
            <v>3</v>
          </cell>
          <cell r="CH758">
            <v>0</v>
          </cell>
          <cell r="CI758">
            <v>0</v>
          </cell>
          <cell r="CJ758">
            <v>0</v>
          </cell>
          <cell r="CK758">
            <v>0</v>
          </cell>
          <cell r="CL758">
            <v>0</v>
          </cell>
          <cell r="CM758">
            <v>0</v>
          </cell>
          <cell r="CR758">
            <v>0</v>
          </cell>
          <cell r="CS758">
            <v>0</v>
          </cell>
          <cell r="CT758">
            <v>14</v>
          </cell>
          <cell r="CU758">
            <v>0</v>
          </cell>
          <cell r="CV758">
            <v>0</v>
          </cell>
          <cell r="CZ758">
            <v>14</v>
          </cell>
        </row>
        <row r="759">
          <cell r="C759" t="str">
            <v>03292</v>
          </cell>
          <cell r="D759" t="str">
            <v>Nguyễn Thị Tâm</v>
          </cell>
          <cell r="E759" t="str">
            <v>HR &amp; Admin</v>
          </cell>
          <cell r="F759" t="str">
            <v>HR</v>
          </cell>
          <cell r="G759" t="str">
            <v>Associate Specialist</v>
          </cell>
          <cell r="H759">
            <v>44613</v>
          </cell>
          <cell r="I759">
            <v>8</v>
          </cell>
          <cell r="J759">
            <v>8</v>
          </cell>
          <cell r="K759" t="str">
            <v>PO</v>
          </cell>
          <cell r="L759" t="str">
            <v>CN</v>
          </cell>
          <cell r="M759">
            <v>8</v>
          </cell>
          <cell r="N759">
            <v>8</v>
          </cell>
          <cell r="O759">
            <v>8</v>
          </cell>
          <cell r="P759">
            <v>8</v>
          </cell>
          <cell r="Q759" t="str">
            <v>PO</v>
          </cell>
          <cell r="R759" t="str">
            <v>PO</v>
          </cell>
          <cell r="S759" t="str">
            <v>CN</v>
          </cell>
          <cell r="T759">
            <v>8</v>
          </cell>
          <cell r="U759">
            <v>8</v>
          </cell>
          <cell r="V759">
            <v>8</v>
          </cell>
          <cell r="W759">
            <v>8</v>
          </cell>
          <cell r="X759">
            <v>8</v>
          </cell>
          <cell r="Y759" t="str">
            <v>PO</v>
          </cell>
          <cell r="Z759" t="str">
            <v>CN</v>
          </cell>
          <cell r="AA759">
            <v>8</v>
          </cell>
          <cell r="AB759">
            <v>8</v>
          </cell>
          <cell r="AC759">
            <v>8</v>
          </cell>
          <cell r="AD759">
            <v>8</v>
          </cell>
          <cell r="AE759">
            <v>8</v>
          </cell>
          <cell r="AF759" t="str">
            <v>PO</v>
          </cell>
          <cell r="AG759" t="str">
            <v>CN</v>
          </cell>
          <cell r="AH759">
            <v>8</v>
          </cell>
          <cell r="AI759">
            <v>8</v>
          </cell>
          <cell r="AJ759">
            <v>8</v>
          </cell>
          <cell r="AN759">
            <v>0</v>
          </cell>
          <cell r="AO759">
            <v>152</v>
          </cell>
          <cell r="AP759">
            <v>0</v>
          </cell>
          <cell r="AQ759">
            <v>0</v>
          </cell>
          <cell r="AR759">
            <v>0</v>
          </cell>
          <cell r="AS759">
            <v>0</v>
          </cell>
          <cell r="AT759">
            <v>0</v>
          </cell>
          <cell r="AU759">
            <v>0</v>
          </cell>
          <cell r="AV759">
            <v>40</v>
          </cell>
          <cell r="AW759">
            <v>0</v>
          </cell>
          <cell r="AX759">
            <v>0</v>
          </cell>
          <cell r="AY759">
            <v>0</v>
          </cell>
          <cell r="AZ759">
            <v>0</v>
          </cell>
          <cell r="BA759">
            <v>0</v>
          </cell>
          <cell r="BB759">
            <v>0</v>
          </cell>
          <cell r="BC759">
            <v>0</v>
          </cell>
          <cell r="BD759">
            <v>0</v>
          </cell>
          <cell r="BE759">
            <v>0</v>
          </cell>
          <cell r="BF759">
            <v>0</v>
          </cell>
          <cell r="BG759">
            <v>192</v>
          </cell>
          <cell r="BH759">
            <v>0</v>
          </cell>
          <cell r="BI759">
            <v>0</v>
          </cell>
          <cell r="BJ759">
            <v>1.5</v>
          </cell>
          <cell r="BL759">
            <v>0</v>
          </cell>
          <cell r="BM759">
            <v>0</v>
          </cell>
          <cell r="BN759">
            <v>0</v>
          </cell>
          <cell r="BO759">
            <v>0</v>
          </cell>
          <cell r="BP759">
            <v>0</v>
          </cell>
          <cell r="BQ759">
            <v>0</v>
          </cell>
          <cell r="BR759">
            <v>0</v>
          </cell>
          <cell r="BS759">
            <v>4</v>
          </cell>
          <cell r="BT759">
            <v>0</v>
          </cell>
          <cell r="BU759">
            <v>0</v>
          </cell>
          <cell r="BV759">
            <v>0</v>
          </cell>
          <cell r="BW759">
            <v>0</v>
          </cell>
          <cell r="BX759">
            <v>0</v>
          </cell>
          <cell r="BY759">
            <v>0</v>
          </cell>
          <cell r="BZ759">
            <v>0</v>
          </cell>
          <cell r="CA759">
            <v>0</v>
          </cell>
          <cell r="CB759">
            <v>0</v>
          </cell>
          <cell r="CC759">
            <v>0</v>
          </cell>
          <cell r="CD759">
            <v>0</v>
          </cell>
          <cell r="CE759">
            <v>0</v>
          </cell>
          <cell r="CF759">
            <v>0</v>
          </cell>
          <cell r="CG759">
            <v>0</v>
          </cell>
          <cell r="CH759">
            <v>0</v>
          </cell>
          <cell r="CI759">
            <v>0</v>
          </cell>
          <cell r="CJ759">
            <v>0</v>
          </cell>
          <cell r="CK759">
            <v>0</v>
          </cell>
          <cell r="CL759">
            <v>0</v>
          </cell>
          <cell r="CM759">
            <v>0</v>
          </cell>
          <cell r="CR759">
            <v>0</v>
          </cell>
          <cell r="CS759">
            <v>0</v>
          </cell>
          <cell r="CT759">
            <v>4</v>
          </cell>
          <cell r="CU759">
            <v>0</v>
          </cell>
          <cell r="CV759">
            <v>0</v>
          </cell>
          <cell r="CZ759">
            <v>4</v>
          </cell>
        </row>
        <row r="760">
          <cell r="C760" t="str">
            <v>03762</v>
          </cell>
          <cell r="D760" t="str">
            <v>Tăng Thị Bé Khéo</v>
          </cell>
          <cell r="E760" t="str">
            <v>Production</v>
          </cell>
          <cell r="F760" t="str">
            <v>Packing</v>
          </cell>
          <cell r="G760" t="str">
            <v>Worker</v>
          </cell>
          <cell r="H760">
            <v>44985</v>
          </cell>
          <cell r="I760">
            <v>8</v>
          </cell>
          <cell r="J760">
            <v>8</v>
          </cell>
          <cell r="K760">
            <v>8</v>
          </cell>
          <cell r="L760" t="str">
            <v>CN</v>
          </cell>
          <cell r="M760" t="str">
            <v>Đ</v>
          </cell>
          <cell r="N760" t="str">
            <v>Đ</v>
          </cell>
          <cell r="O760" t="str">
            <v>Đ</v>
          </cell>
          <cell r="P760" t="str">
            <v>Đ</v>
          </cell>
          <cell r="Q760" t="str">
            <v>Đ</v>
          </cell>
          <cell r="R760" t="str">
            <v>Đ</v>
          </cell>
          <cell r="S760" t="str">
            <v>CN</v>
          </cell>
          <cell r="T760">
            <v>8</v>
          </cell>
          <cell r="U760">
            <v>8</v>
          </cell>
          <cell r="V760">
            <v>8</v>
          </cell>
          <cell r="W760">
            <v>8</v>
          </cell>
          <cell r="X760">
            <v>8</v>
          </cell>
          <cell r="Y760">
            <v>8</v>
          </cell>
          <cell r="Z760" t="str">
            <v>CN</v>
          </cell>
          <cell r="AA760" t="str">
            <v>Đ</v>
          </cell>
          <cell r="AB760" t="str">
            <v>Đ</v>
          </cell>
          <cell r="AC760" t="str">
            <v>Đ</v>
          </cell>
          <cell r="AD760" t="str">
            <v>Đ</v>
          </cell>
          <cell r="AE760" t="str">
            <v>Đ</v>
          </cell>
          <cell r="AF760" t="str">
            <v>Đ</v>
          </cell>
          <cell r="AG760" t="str">
            <v>CN</v>
          </cell>
          <cell r="AH760" t="str">
            <v>AL4</v>
          </cell>
          <cell r="AI760" t="str">
            <v>UP4</v>
          </cell>
          <cell r="AJ760">
            <v>8</v>
          </cell>
          <cell r="AN760">
            <v>96</v>
          </cell>
          <cell r="AO760">
            <v>88</v>
          </cell>
          <cell r="AP760">
            <v>4</v>
          </cell>
          <cell r="AQ760">
            <v>0</v>
          </cell>
          <cell r="AR760">
            <v>4</v>
          </cell>
          <cell r="AS760">
            <v>4</v>
          </cell>
          <cell r="AT760">
            <v>0</v>
          </cell>
          <cell r="AU760">
            <v>0</v>
          </cell>
          <cell r="AV760">
            <v>0</v>
          </cell>
          <cell r="AW760">
            <v>0</v>
          </cell>
          <cell r="AX760">
            <v>0</v>
          </cell>
          <cell r="AY760">
            <v>0</v>
          </cell>
          <cell r="AZ760">
            <v>0</v>
          </cell>
          <cell r="BA760">
            <v>4</v>
          </cell>
          <cell r="BB760">
            <v>0</v>
          </cell>
          <cell r="BC760">
            <v>0</v>
          </cell>
          <cell r="BD760">
            <v>0</v>
          </cell>
          <cell r="BE760">
            <v>0</v>
          </cell>
          <cell r="BF760">
            <v>0</v>
          </cell>
          <cell r="BG760">
            <v>188</v>
          </cell>
          <cell r="BH760">
            <v>0.5</v>
          </cell>
          <cell r="BI760">
            <v>0.5</v>
          </cell>
          <cell r="BJ760">
            <v>-1.5</v>
          </cell>
          <cell r="BL760">
            <v>0</v>
          </cell>
          <cell r="BM760">
            <v>0</v>
          </cell>
          <cell r="BN760">
            <v>0</v>
          </cell>
          <cell r="BO760">
            <v>0</v>
          </cell>
          <cell r="BP760">
            <v>1.5</v>
          </cell>
          <cell r="BQ760">
            <v>3</v>
          </cell>
          <cell r="BR760">
            <v>0</v>
          </cell>
          <cell r="BS760">
            <v>3</v>
          </cell>
          <cell r="BT760">
            <v>3</v>
          </cell>
          <cell r="BU760">
            <v>0</v>
          </cell>
          <cell r="BV760">
            <v>0</v>
          </cell>
          <cell r="BW760">
            <v>3</v>
          </cell>
          <cell r="BX760">
            <v>0</v>
          </cell>
          <cell r="BY760">
            <v>4</v>
          </cell>
          <cell r="BZ760">
            <v>4</v>
          </cell>
          <cell r="CA760">
            <v>4</v>
          </cell>
          <cell r="CB760">
            <v>4</v>
          </cell>
          <cell r="CC760">
            <v>8</v>
          </cell>
          <cell r="CD760">
            <v>4</v>
          </cell>
          <cell r="CE760">
            <v>4</v>
          </cell>
          <cell r="CF760">
            <v>4</v>
          </cell>
          <cell r="CG760">
            <v>4</v>
          </cell>
          <cell r="CH760">
            <v>1.5</v>
          </cell>
          <cell r="CI760">
            <v>1.5</v>
          </cell>
          <cell r="CJ760">
            <v>0</v>
          </cell>
          <cell r="CK760">
            <v>1.5</v>
          </cell>
          <cell r="CL760">
            <v>1.5</v>
          </cell>
          <cell r="CM760">
            <v>1.5</v>
          </cell>
          <cell r="CR760">
            <v>0</v>
          </cell>
          <cell r="CS760">
            <v>0</v>
          </cell>
          <cell r="CT760">
            <v>53</v>
          </cell>
          <cell r="CU760">
            <v>8</v>
          </cell>
          <cell r="CV760">
            <v>0</v>
          </cell>
          <cell r="CZ760">
            <v>61</v>
          </cell>
        </row>
        <row r="761">
          <cell r="C761" t="str">
            <v>00470</v>
          </cell>
          <cell r="D761" t="str">
            <v>Thái Thị Kim Chi</v>
          </cell>
          <cell r="E761" t="str">
            <v>Warehouse</v>
          </cell>
          <cell r="F761" t="str">
            <v>RM Warehouse</v>
          </cell>
          <cell r="G761" t="str">
            <v>Group Leader</v>
          </cell>
          <cell r="H761">
            <v>41843</v>
          </cell>
          <cell r="I761">
            <v>8</v>
          </cell>
          <cell r="J761">
            <v>8</v>
          </cell>
          <cell r="K761" t="str">
            <v>PO</v>
          </cell>
          <cell r="L761" t="str">
            <v>CN</v>
          </cell>
          <cell r="M761">
            <v>8</v>
          </cell>
          <cell r="N761">
            <v>8</v>
          </cell>
          <cell r="O761">
            <v>8</v>
          </cell>
          <cell r="P761">
            <v>8</v>
          </cell>
          <cell r="Q761" t="str">
            <v>PO</v>
          </cell>
          <cell r="R761" t="str">
            <v>PO</v>
          </cell>
          <cell r="S761" t="str">
            <v>CN</v>
          </cell>
          <cell r="T761">
            <v>8</v>
          </cell>
          <cell r="U761">
            <v>8</v>
          </cell>
          <cell r="V761">
            <v>8</v>
          </cell>
          <cell r="W761">
            <v>8</v>
          </cell>
          <cell r="X761">
            <v>8</v>
          </cell>
          <cell r="Y761" t="str">
            <v>PO</v>
          </cell>
          <cell r="Z761" t="str">
            <v>CN</v>
          </cell>
          <cell r="AA761">
            <v>8</v>
          </cell>
          <cell r="AB761">
            <v>8</v>
          </cell>
          <cell r="AC761">
            <v>8</v>
          </cell>
          <cell r="AD761">
            <v>8</v>
          </cell>
          <cell r="AE761">
            <v>8</v>
          </cell>
          <cell r="AF761" t="str">
            <v>PO</v>
          </cell>
          <cell r="AG761" t="str">
            <v>CN</v>
          </cell>
          <cell r="AH761">
            <v>8</v>
          </cell>
          <cell r="AI761">
            <v>8</v>
          </cell>
          <cell r="AJ761">
            <v>8</v>
          </cell>
          <cell r="AN761">
            <v>0</v>
          </cell>
          <cell r="AO761">
            <v>152</v>
          </cell>
          <cell r="AP761">
            <v>0</v>
          </cell>
          <cell r="AQ761">
            <v>0</v>
          </cell>
          <cell r="AR761">
            <v>0</v>
          </cell>
          <cell r="AS761">
            <v>0</v>
          </cell>
          <cell r="AT761">
            <v>0</v>
          </cell>
          <cell r="AU761">
            <v>0</v>
          </cell>
          <cell r="AV761">
            <v>40</v>
          </cell>
          <cell r="AW761">
            <v>0</v>
          </cell>
          <cell r="AX761">
            <v>0</v>
          </cell>
          <cell r="AY761">
            <v>0</v>
          </cell>
          <cell r="AZ761">
            <v>0</v>
          </cell>
          <cell r="BA761">
            <v>0</v>
          </cell>
          <cell r="BB761">
            <v>0</v>
          </cell>
          <cell r="BC761">
            <v>0</v>
          </cell>
          <cell r="BD761">
            <v>0</v>
          </cell>
          <cell r="BE761">
            <v>0</v>
          </cell>
          <cell r="BF761">
            <v>0</v>
          </cell>
          <cell r="BG761">
            <v>192</v>
          </cell>
          <cell r="BH761">
            <v>0</v>
          </cell>
          <cell r="BI761">
            <v>0</v>
          </cell>
          <cell r="BJ761">
            <v>4</v>
          </cell>
          <cell r="BL761">
            <v>0</v>
          </cell>
          <cell r="BM761">
            <v>0</v>
          </cell>
          <cell r="BN761">
            <v>0</v>
          </cell>
          <cell r="BO761">
            <v>0</v>
          </cell>
          <cell r="BP761">
            <v>0</v>
          </cell>
          <cell r="BQ761">
            <v>0</v>
          </cell>
          <cell r="BR761">
            <v>0</v>
          </cell>
          <cell r="BS761">
            <v>0</v>
          </cell>
          <cell r="BT761">
            <v>0</v>
          </cell>
          <cell r="BU761">
            <v>0</v>
          </cell>
          <cell r="BV761">
            <v>0</v>
          </cell>
          <cell r="BW761">
            <v>0</v>
          </cell>
          <cell r="BX761">
            <v>0</v>
          </cell>
          <cell r="BY761">
            <v>0</v>
          </cell>
          <cell r="BZ761">
            <v>0</v>
          </cell>
          <cell r="CA761">
            <v>0</v>
          </cell>
          <cell r="CB761">
            <v>0</v>
          </cell>
          <cell r="CC761">
            <v>0</v>
          </cell>
          <cell r="CD761">
            <v>0</v>
          </cell>
          <cell r="CE761">
            <v>0</v>
          </cell>
          <cell r="CF761">
            <v>0</v>
          </cell>
          <cell r="CG761">
            <v>0</v>
          </cell>
          <cell r="CH761">
            <v>0</v>
          </cell>
          <cell r="CI761">
            <v>0</v>
          </cell>
          <cell r="CJ761">
            <v>0</v>
          </cell>
          <cell r="CK761">
            <v>0</v>
          </cell>
          <cell r="CL761">
            <v>0</v>
          </cell>
          <cell r="CM761">
            <v>0</v>
          </cell>
          <cell r="CR761">
            <v>0</v>
          </cell>
          <cell r="CS761">
            <v>0</v>
          </cell>
          <cell r="CT761">
            <v>0</v>
          </cell>
          <cell r="CU761">
            <v>0</v>
          </cell>
          <cell r="CV761">
            <v>0</v>
          </cell>
          <cell r="CZ761">
            <v>0</v>
          </cell>
        </row>
        <row r="762">
          <cell r="C762" t="str">
            <v>01837</v>
          </cell>
          <cell r="D762" t="str">
            <v>Võ Thị Mỹ Huyền</v>
          </cell>
          <cell r="E762" t="str">
            <v>Production</v>
          </cell>
          <cell r="F762" t="str">
            <v>Logo</v>
          </cell>
          <cell r="G762" t="str">
            <v>Worker</v>
          </cell>
          <cell r="H762">
            <v>43622</v>
          </cell>
          <cell r="I762" t="str">
            <v>Đ</v>
          </cell>
          <cell r="J762" t="str">
            <v>Đ</v>
          </cell>
          <cell r="K762" t="str">
            <v>Đ</v>
          </cell>
          <cell r="L762" t="str">
            <v>CN</v>
          </cell>
          <cell r="M762">
            <v>8</v>
          </cell>
          <cell r="N762">
            <v>8</v>
          </cell>
          <cell r="O762">
            <v>8</v>
          </cell>
          <cell r="P762">
            <v>8</v>
          </cell>
          <cell r="Q762">
            <v>8</v>
          </cell>
          <cell r="R762">
            <v>8</v>
          </cell>
          <cell r="S762" t="str">
            <v>CN</v>
          </cell>
          <cell r="T762" t="str">
            <v>Đ</v>
          </cell>
          <cell r="U762" t="str">
            <v>Đ</v>
          </cell>
          <cell r="V762" t="str">
            <v>Đ</v>
          </cell>
          <cell r="W762" t="str">
            <v>Đ</v>
          </cell>
          <cell r="X762" t="str">
            <v>Đ</v>
          </cell>
          <cell r="Y762" t="str">
            <v>Đ</v>
          </cell>
          <cell r="Z762" t="str">
            <v>CN</v>
          </cell>
          <cell r="AA762">
            <v>8</v>
          </cell>
          <cell r="AB762">
            <v>8</v>
          </cell>
          <cell r="AC762">
            <v>8</v>
          </cell>
          <cell r="AD762">
            <v>8</v>
          </cell>
          <cell r="AE762">
            <v>8</v>
          </cell>
          <cell r="AF762">
            <v>8</v>
          </cell>
          <cell r="AG762" t="str">
            <v>CN</v>
          </cell>
          <cell r="AH762" t="str">
            <v>Đ</v>
          </cell>
          <cell r="AI762" t="str">
            <v>Đ</v>
          </cell>
          <cell r="AJ762" t="str">
            <v>Đ</v>
          </cell>
          <cell r="AN762">
            <v>96</v>
          </cell>
          <cell r="AO762">
            <v>96</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192</v>
          </cell>
          <cell r="BH762">
            <v>0</v>
          </cell>
          <cell r="BI762">
            <v>0</v>
          </cell>
          <cell r="BJ762">
            <v>3</v>
          </cell>
          <cell r="BL762">
            <v>1.5</v>
          </cell>
          <cell r="BM762">
            <v>1.5</v>
          </cell>
          <cell r="BN762">
            <v>1.5</v>
          </cell>
          <cell r="BO762">
            <v>0</v>
          </cell>
          <cell r="BP762">
            <v>0</v>
          </cell>
          <cell r="BQ762">
            <v>0</v>
          </cell>
          <cell r="BR762">
            <v>0</v>
          </cell>
          <cell r="BS762">
            <v>3</v>
          </cell>
          <cell r="BT762">
            <v>1</v>
          </cell>
          <cell r="BU762">
            <v>3</v>
          </cell>
          <cell r="BV762">
            <v>0</v>
          </cell>
          <cell r="BW762">
            <v>4</v>
          </cell>
          <cell r="BX762">
            <v>4</v>
          </cell>
          <cell r="BY762">
            <v>4</v>
          </cell>
          <cell r="BZ762">
            <v>4</v>
          </cell>
          <cell r="CA762">
            <v>4</v>
          </cell>
          <cell r="CB762">
            <v>4</v>
          </cell>
          <cell r="CC762">
            <v>0</v>
          </cell>
          <cell r="CD762">
            <v>3</v>
          </cell>
          <cell r="CE762">
            <v>3</v>
          </cell>
          <cell r="CF762">
            <v>2.5</v>
          </cell>
          <cell r="CG762">
            <v>3</v>
          </cell>
          <cell r="CH762">
            <v>3</v>
          </cell>
          <cell r="CI762">
            <v>3</v>
          </cell>
          <cell r="CJ762">
            <v>8</v>
          </cell>
          <cell r="CK762">
            <v>1.5</v>
          </cell>
          <cell r="CL762">
            <v>4</v>
          </cell>
          <cell r="CM762">
            <v>4</v>
          </cell>
          <cell r="CR762">
            <v>0</v>
          </cell>
          <cell r="CS762">
            <v>0</v>
          </cell>
          <cell r="CT762">
            <v>62.5</v>
          </cell>
          <cell r="CU762">
            <v>8</v>
          </cell>
          <cell r="CV762">
            <v>0</v>
          </cell>
          <cell r="CZ762">
            <v>70.5</v>
          </cell>
        </row>
        <row r="763">
          <cell r="C763" t="str">
            <v>03767</v>
          </cell>
          <cell r="D763" t="str">
            <v>Nguyễn Thị Phương Khanh</v>
          </cell>
          <cell r="E763" t="str">
            <v>Production</v>
          </cell>
          <cell r="F763" t="str">
            <v>Logo</v>
          </cell>
          <cell r="G763" t="str">
            <v>Worker</v>
          </cell>
          <cell r="H763">
            <v>44985</v>
          </cell>
          <cell r="I763">
            <v>8</v>
          </cell>
          <cell r="J763" t="str">
            <v>S</v>
          </cell>
          <cell r="K763" t="str">
            <v>AL4</v>
          </cell>
          <cell r="L763" t="str">
            <v>CN</v>
          </cell>
          <cell r="M763">
            <v>8</v>
          </cell>
          <cell r="N763">
            <v>8</v>
          </cell>
          <cell r="O763">
            <v>8</v>
          </cell>
          <cell r="P763">
            <v>8</v>
          </cell>
          <cell r="Q763">
            <v>8</v>
          </cell>
          <cell r="R763">
            <v>8</v>
          </cell>
          <cell r="S763" t="str">
            <v>CN</v>
          </cell>
          <cell r="T763">
            <v>8</v>
          </cell>
          <cell r="U763">
            <v>8</v>
          </cell>
          <cell r="V763">
            <v>8</v>
          </cell>
          <cell r="W763">
            <v>8</v>
          </cell>
          <cell r="X763" t="str">
            <v>M</v>
          </cell>
          <cell r="Y763">
            <v>8</v>
          </cell>
          <cell r="Z763" t="str">
            <v>CN</v>
          </cell>
          <cell r="AA763">
            <v>8</v>
          </cell>
          <cell r="AB763">
            <v>8</v>
          </cell>
          <cell r="AC763">
            <v>8</v>
          </cell>
          <cell r="AD763">
            <v>8</v>
          </cell>
          <cell r="AE763">
            <v>8</v>
          </cell>
          <cell r="AF763">
            <v>8</v>
          </cell>
          <cell r="AG763" t="str">
            <v>CN</v>
          </cell>
          <cell r="AH763">
            <v>8</v>
          </cell>
          <cell r="AI763">
            <v>8</v>
          </cell>
          <cell r="AJ763">
            <v>8</v>
          </cell>
          <cell r="AN763">
            <v>0</v>
          </cell>
          <cell r="AO763">
            <v>172</v>
          </cell>
          <cell r="AP763">
            <v>4</v>
          </cell>
          <cell r="AQ763">
            <v>0</v>
          </cell>
          <cell r="AR763">
            <v>0</v>
          </cell>
          <cell r="AS763">
            <v>0</v>
          </cell>
          <cell r="AT763">
            <v>0</v>
          </cell>
          <cell r="AU763">
            <v>0</v>
          </cell>
          <cell r="AV763">
            <v>0</v>
          </cell>
          <cell r="AW763">
            <v>8</v>
          </cell>
          <cell r="AX763">
            <v>8</v>
          </cell>
          <cell r="AY763">
            <v>0</v>
          </cell>
          <cell r="AZ763">
            <v>0</v>
          </cell>
          <cell r="BA763">
            <v>4</v>
          </cell>
          <cell r="BB763">
            <v>0</v>
          </cell>
          <cell r="BC763">
            <v>0</v>
          </cell>
          <cell r="BD763">
            <v>0</v>
          </cell>
          <cell r="BE763">
            <v>0</v>
          </cell>
          <cell r="BF763">
            <v>0</v>
          </cell>
          <cell r="BG763">
            <v>184</v>
          </cell>
          <cell r="BH763">
            <v>0.5</v>
          </cell>
          <cell r="BI763">
            <v>0.5</v>
          </cell>
          <cell r="BJ763">
            <v>1.5</v>
          </cell>
          <cell r="BL763">
            <v>0</v>
          </cell>
          <cell r="BM763">
            <v>0</v>
          </cell>
          <cell r="BN763">
            <v>0</v>
          </cell>
          <cell r="BO763">
            <v>0</v>
          </cell>
          <cell r="BP763">
            <v>1.5</v>
          </cell>
          <cell r="BQ763">
            <v>3</v>
          </cell>
          <cell r="BR763">
            <v>0</v>
          </cell>
          <cell r="BS763">
            <v>3</v>
          </cell>
          <cell r="BT763">
            <v>3</v>
          </cell>
          <cell r="BU763">
            <v>0</v>
          </cell>
          <cell r="BV763">
            <v>0</v>
          </cell>
          <cell r="BW763">
            <v>0</v>
          </cell>
          <cell r="BX763">
            <v>3</v>
          </cell>
          <cell r="BY763">
            <v>3</v>
          </cell>
          <cell r="BZ763">
            <v>0</v>
          </cell>
          <cell r="CA763">
            <v>0</v>
          </cell>
          <cell r="CB763">
            <v>3</v>
          </cell>
          <cell r="CC763">
            <v>8</v>
          </cell>
          <cell r="CD763">
            <v>3</v>
          </cell>
          <cell r="CE763">
            <v>3</v>
          </cell>
          <cell r="CF763">
            <v>3</v>
          </cell>
          <cell r="CG763">
            <v>3</v>
          </cell>
          <cell r="CH763">
            <v>3</v>
          </cell>
          <cell r="CI763">
            <v>3</v>
          </cell>
          <cell r="CJ763">
            <v>8</v>
          </cell>
          <cell r="CK763">
            <v>3</v>
          </cell>
          <cell r="CL763">
            <v>3</v>
          </cell>
          <cell r="CM763">
            <v>3</v>
          </cell>
          <cell r="CR763">
            <v>0</v>
          </cell>
          <cell r="CS763">
            <v>0</v>
          </cell>
          <cell r="CT763">
            <v>46.5</v>
          </cell>
          <cell r="CU763">
            <v>16</v>
          </cell>
          <cell r="CV763">
            <v>0</v>
          </cell>
          <cell r="CZ763">
            <v>62.5</v>
          </cell>
        </row>
        <row r="764">
          <cell r="C764" t="str">
            <v>03407</v>
          </cell>
          <cell r="D764" t="str">
            <v>Phạm Thị Nhã Phương</v>
          </cell>
          <cell r="E764" t="str">
            <v>CS</v>
          </cell>
          <cell r="F764" t="str">
            <v>CS</v>
          </cell>
          <cell r="G764" t="str">
            <v>Staff</v>
          </cell>
          <cell r="H764">
            <v>44648</v>
          </cell>
          <cell r="I764">
            <v>8</v>
          </cell>
          <cell r="J764">
            <v>8</v>
          </cell>
          <cell r="K764" t="str">
            <v>PO</v>
          </cell>
          <cell r="L764" t="str">
            <v>CN</v>
          </cell>
          <cell r="M764">
            <v>8</v>
          </cell>
          <cell r="N764">
            <v>8</v>
          </cell>
          <cell r="O764">
            <v>8</v>
          </cell>
          <cell r="P764">
            <v>8</v>
          </cell>
          <cell r="Q764">
            <v>8</v>
          </cell>
          <cell r="R764" t="str">
            <v>PO</v>
          </cell>
          <cell r="S764" t="str">
            <v>CN</v>
          </cell>
          <cell r="T764">
            <v>8</v>
          </cell>
          <cell r="U764">
            <v>8</v>
          </cell>
          <cell r="V764">
            <v>8</v>
          </cell>
          <cell r="W764">
            <v>8</v>
          </cell>
          <cell r="X764">
            <v>8</v>
          </cell>
          <cell r="Y764" t="str">
            <v>PO</v>
          </cell>
          <cell r="Z764" t="str">
            <v>CN</v>
          </cell>
          <cell r="AA764">
            <v>8</v>
          </cell>
          <cell r="AB764">
            <v>8</v>
          </cell>
          <cell r="AC764">
            <v>8</v>
          </cell>
          <cell r="AD764">
            <v>8</v>
          </cell>
          <cell r="AE764" t="str">
            <v>AL8</v>
          </cell>
          <cell r="AF764" t="str">
            <v>PO</v>
          </cell>
          <cell r="AG764" t="str">
            <v>CN</v>
          </cell>
          <cell r="AH764">
            <v>8</v>
          </cell>
          <cell r="AI764">
            <v>8</v>
          </cell>
          <cell r="AJ764">
            <v>8</v>
          </cell>
          <cell r="AN764">
            <v>0</v>
          </cell>
          <cell r="AO764">
            <v>152</v>
          </cell>
          <cell r="AP764">
            <v>0</v>
          </cell>
          <cell r="AQ764">
            <v>0</v>
          </cell>
          <cell r="AR764">
            <v>0</v>
          </cell>
          <cell r="AS764">
            <v>0</v>
          </cell>
          <cell r="AT764">
            <v>0</v>
          </cell>
          <cell r="AU764">
            <v>0</v>
          </cell>
          <cell r="AV764">
            <v>32</v>
          </cell>
          <cell r="AW764">
            <v>0</v>
          </cell>
          <cell r="AX764">
            <v>0</v>
          </cell>
          <cell r="AY764">
            <v>0</v>
          </cell>
          <cell r="AZ764">
            <v>0</v>
          </cell>
          <cell r="BA764">
            <v>8</v>
          </cell>
          <cell r="BB764">
            <v>0</v>
          </cell>
          <cell r="BC764">
            <v>0</v>
          </cell>
          <cell r="BD764">
            <v>0</v>
          </cell>
          <cell r="BE764">
            <v>0</v>
          </cell>
          <cell r="BF764">
            <v>0</v>
          </cell>
          <cell r="BG764">
            <v>192</v>
          </cell>
          <cell r="BH764">
            <v>1</v>
          </cell>
          <cell r="BI764">
            <v>1</v>
          </cell>
          <cell r="BJ764">
            <v>3.5</v>
          </cell>
          <cell r="BL764">
            <v>1.5</v>
          </cell>
          <cell r="BM764">
            <v>2</v>
          </cell>
          <cell r="BN764">
            <v>0</v>
          </cell>
          <cell r="BO764">
            <v>0</v>
          </cell>
          <cell r="BP764">
            <v>1</v>
          </cell>
          <cell r="BQ764">
            <v>2.5</v>
          </cell>
          <cell r="BR764">
            <v>2.5</v>
          </cell>
          <cell r="BS764">
            <v>2.75</v>
          </cell>
          <cell r="BT764">
            <v>2.25</v>
          </cell>
          <cell r="BU764">
            <v>0</v>
          </cell>
          <cell r="BV764">
            <v>0</v>
          </cell>
          <cell r="BW764">
            <v>0</v>
          </cell>
          <cell r="BX764">
            <v>2</v>
          </cell>
          <cell r="BY764">
            <v>2</v>
          </cell>
          <cell r="BZ764">
            <v>1.75</v>
          </cell>
          <cell r="CA764">
            <v>3</v>
          </cell>
          <cell r="CB764">
            <v>0</v>
          </cell>
          <cell r="CC764">
            <v>0</v>
          </cell>
          <cell r="CD764">
            <v>2.5</v>
          </cell>
          <cell r="CE764">
            <v>0</v>
          </cell>
          <cell r="CF764">
            <v>2</v>
          </cell>
          <cell r="CG764">
            <v>0</v>
          </cell>
          <cell r="CH764">
            <v>0</v>
          </cell>
          <cell r="CI764">
            <v>0</v>
          </cell>
          <cell r="CJ764">
            <v>0</v>
          </cell>
          <cell r="CK764">
            <v>0</v>
          </cell>
          <cell r="CL764">
            <v>2.25</v>
          </cell>
          <cell r="CM764">
            <v>0</v>
          </cell>
          <cell r="CR764">
            <v>0</v>
          </cell>
          <cell r="CS764">
            <v>0</v>
          </cell>
          <cell r="CT764">
            <v>30</v>
          </cell>
          <cell r="CU764">
            <v>0</v>
          </cell>
          <cell r="CV764">
            <v>0</v>
          </cell>
          <cell r="CZ764">
            <v>30</v>
          </cell>
        </row>
        <row r="765">
          <cell r="C765" t="str">
            <v>04169</v>
          </cell>
          <cell r="D765" t="str">
            <v>Hoàng Minh Đức</v>
          </cell>
          <cell r="E765" t="str">
            <v>PD</v>
          </cell>
          <cell r="F765" t="str">
            <v>PD office</v>
          </cell>
          <cell r="G765" t="str">
            <v>Specialist</v>
          </cell>
          <cell r="H765">
            <v>45539</v>
          </cell>
          <cell r="I765" t="str">
            <v>BS</v>
          </cell>
          <cell r="J765">
            <v>8</v>
          </cell>
          <cell r="K765" t="str">
            <v>PO</v>
          </cell>
          <cell r="L765" t="str">
            <v>CN</v>
          </cell>
          <cell r="M765">
            <v>8</v>
          </cell>
          <cell r="N765">
            <v>8</v>
          </cell>
          <cell r="O765">
            <v>8</v>
          </cell>
          <cell r="P765" t="str">
            <v>BS</v>
          </cell>
          <cell r="Q765" t="str">
            <v>AL8</v>
          </cell>
          <cell r="R765" t="str">
            <v>PO</v>
          </cell>
          <cell r="S765" t="str">
            <v>CN</v>
          </cell>
          <cell r="T765">
            <v>8</v>
          </cell>
          <cell r="U765" t="str">
            <v>BS</v>
          </cell>
          <cell r="V765">
            <v>8</v>
          </cell>
          <cell r="W765" t="str">
            <v>BS</v>
          </cell>
          <cell r="X765">
            <v>8</v>
          </cell>
          <cell r="Y765" t="str">
            <v>PO</v>
          </cell>
          <cell r="Z765" t="str">
            <v>CN</v>
          </cell>
          <cell r="AA765">
            <v>8</v>
          </cell>
          <cell r="AB765">
            <v>8</v>
          </cell>
          <cell r="AC765">
            <v>8</v>
          </cell>
          <cell r="AD765">
            <v>8</v>
          </cell>
          <cell r="AE765" t="str">
            <v>BS</v>
          </cell>
          <cell r="AF765" t="str">
            <v>PO</v>
          </cell>
          <cell r="AG765" t="str">
            <v>CN</v>
          </cell>
          <cell r="AH765" t="str">
            <v>BS</v>
          </cell>
          <cell r="AI765">
            <v>8</v>
          </cell>
          <cell r="AJ765">
            <v>8</v>
          </cell>
          <cell r="AN765">
            <v>0</v>
          </cell>
          <cell r="AO765">
            <v>104</v>
          </cell>
          <cell r="AP765">
            <v>0</v>
          </cell>
          <cell r="AQ765">
            <v>0</v>
          </cell>
          <cell r="AR765">
            <v>0</v>
          </cell>
          <cell r="AS765">
            <v>0</v>
          </cell>
          <cell r="AT765">
            <v>0</v>
          </cell>
          <cell r="AU765">
            <v>48</v>
          </cell>
          <cell r="AV765">
            <v>32</v>
          </cell>
          <cell r="AW765">
            <v>0</v>
          </cell>
          <cell r="AX765">
            <v>0</v>
          </cell>
          <cell r="AY765">
            <v>0</v>
          </cell>
          <cell r="AZ765">
            <v>0</v>
          </cell>
          <cell r="BA765">
            <v>8</v>
          </cell>
          <cell r="BB765">
            <v>0</v>
          </cell>
          <cell r="BC765">
            <v>0</v>
          </cell>
          <cell r="BD765">
            <v>0</v>
          </cell>
          <cell r="BE765">
            <v>0</v>
          </cell>
          <cell r="BF765">
            <v>0</v>
          </cell>
          <cell r="BG765">
            <v>192</v>
          </cell>
          <cell r="BH765">
            <v>1</v>
          </cell>
          <cell r="BI765">
            <v>1</v>
          </cell>
          <cell r="BJ765">
            <v>5.5</v>
          </cell>
          <cell r="BL765">
            <v>0</v>
          </cell>
          <cell r="BM765">
            <v>0</v>
          </cell>
          <cell r="BN765">
            <v>0</v>
          </cell>
          <cell r="BO765">
            <v>0</v>
          </cell>
          <cell r="BP765">
            <v>0</v>
          </cell>
          <cell r="BQ765">
            <v>0</v>
          </cell>
          <cell r="BR765">
            <v>0</v>
          </cell>
          <cell r="BS765">
            <v>0</v>
          </cell>
          <cell r="BT765">
            <v>0</v>
          </cell>
          <cell r="BU765">
            <v>0</v>
          </cell>
          <cell r="BV765">
            <v>0</v>
          </cell>
          <cell r="BW765">
            <v>0</v>
          </cell>
          <cell r="BX765">
            <v>0</v>
          </cell>
          <cell r="BY765">
            <v>0</v>
          </cell>
          <cell r="BZ765">
            <v>0</v>
          </cell>
          <cell r="CA765">
            <v>0</v>
          </cell>
          <cell r="CB765">
            <v>0</v>
          </cell>
          <cell r="CC765">
            <v>0</v>
          </cell>
          <cell r="CD765">
            <v>0</v>
          </cell>
          <cell r="CE765">
            <v>1.5</v>
          </cell>
          <cell r="CF765">
            <v>0</v>
          </cell>
          <cell r="CG765">
            <v>0.5</v>
          </cell>
          <cell r="CH765">
            <v>0</v>
          </cell>
          <cell r="CI765">
            <v>0</v>
          </cell>
          <cell r="CJ765">
            <v>0</v>
          </cell>
          <cell r="CK765">
            <v>0</v>
          </cell>
          <cell r="CL765">
            <v>1.5</v>
          </cell>
          <cell r="CM765">
            <v>0</v>
          </cell>
          <cell r="CR765">
            <v>0</v>
          </cell>
          <cell r="CS765">
            <v>0</v>
          </cell>
          <cell r="CT765">
            <v>3.5</v>
          </cell>
          <cell r="CU765">
            <v>0</v>
          </cell>
          <cell r="CV765">
            <v>0</v>
          </cell>
          <cell r="CZ765">
            <v>3.5</v>
          </cell>
        </row>
        <row r="766">
          <cell r="C766" t="str">
            <v>04171</v>
          </cell>
          <cell r="D766" t="str">
            <v>Trần Trung Hiếu</v>
          </cell>
          <cell r="E766" t="str">
            <v>Production</v>
          </cell>
          <cell r="F766" t="str">
            <v>Lamination</v>
          </cell>
          <cell r="G766" t="str">
            <v>Worker</v>
          </cell>
          <cell r="H766">
            <v>45539</v>
          </cell>
          <cell r="I766" t="str">
            <v>Đ</v>
          </cell>
          <cell r="J766" t="str">
            <v>Đ</v>
          </cell>
          <cell r="K766" t="str">
            <v>Đ</v>
          </cell>
          <cell r="L766" t="str">
            <v>CN</v>
          </cell>
          <cell r="M766">
            <v>8</v>
          </cell>
          <cell r="N766">
            <v>8</v>
          </cell>
          <cell r="O766">
            <v>8</v>
          </cell>
          <cell r="P766">
            <v>8</v>
          </cell>
          <cell r="Q766">
            <v>8</v>
          </cell>
          <cell r="R766">
            <v>8</v>
          </cell>
          <cell r="S766" t="str">
            <v>CN</v>
          </cell>
          <cell r="T766" t="str">
            <v>Đ</v>
          </cell>
          <cell r="U766" t="str">
            <v>Đ</v>
          </cell>
          <cell r="V766" t="str">
            <v>Đ</v>
          </cell>
          <cell r="W766" t="str">
            <v>Đ</v>
          </cell>
          <cell r="X766" t="str">
            <v>Đ</v>
          </cell>
          <cell r="Y766" t="str">
            <v>CN</v>
          </cell>
          <cell r="Z766" t="str">
            <v>AL8</v>
          </cell>
          <cell r="AA766">
            <v>8</v>
          </cell>
          <cell r="AB766">
            <v>8</v>
          </cell>
          <cell r="AC766">
            <v>8</v>
          </cell>
          <cell r="AD766">
            <v>8</v>
          </cell>
          <cell r="AE766">
            <v>8</v>
          </cell>
          <cell r="AF766" t="str">
            <v>CN</v>
          </cell>
          <cell r="AG766">
            <v>8</v>
          </cell>
          <cell r="AH766">
            <v>8</v>
          </cell>
          <cell r="AI766">
            <v>8</v>
          </cell>
          <cell r="AJ766">
            <v>8</v>
          </cell>
          <cell r="AN766">
            <v>64</v>
          </cell>
          <cell r="AO766">
            <v>120</v>
          </cell>
          <cell r="AP766">
            <v>0</v>
          </cell>
          <cell r="AQ766">
            <v>0</v>
          </cell>
          <cell r="AR766">
            <v>0</v>
          </cell>
          <cell r="AS766">
            <v>0</v>
          </cell>
          <cell r="AT766">
            <v>0</v>
          </cell>
          <cell r="AU766">
            <v>0</v>
          </cell>
          <cell r="AV766">
            <v>0</v>
          </cell>
          <cell r="AW766">
            <v>0</v>
          </cell>
          <cell r="AX766">
            <v>0</v>
          </cell>
          <cell r="AY766">
            <v>0</v>
          </cell>
          <cell r="AZ766">
            <v>0</v>
          </cell>
          <cell r="BA766">
            <v>8</v>
          </cell>
          <cell r="BB766">
            <v>0</v>
          </cell>
          <cell r="BC766">
            <v>0</v>
          </cell>
          <cell r="BD766">
            <v>0</v>
          </cell>
          <cell r="BE766">
            <v>0</v>
          </cell>
          <cell r="BF766">
            <v>0</v>
          </cell>
          <cell r="BG766">
            <v>192</v>
          </cell>
          <cell r="BH766">
            <v>1</v>
          </cell>
          <cell r="BI766">
            <v>1</v>
          </cell>
          <cell r="BJ766">
            <v>6</v>
          </cell>
          <cell r="BL766">
            <v>0</v>
          </cell>
          <cell r="BM766">
            <v>0</v>
          </cell>
          <cell r="BN766">
            <v>0</v>
          </cell>
          <cell r="BO766">
            <v>0</v>
          </cell>
          <cell r="BP766">
            <v>0</v>
          </cell>
          <cell r="BQ766">
            <v>0</v>
          </cell>
          <cell r="BR766">
            <v>0</v>
          </cell>
          <cell r="BS766">
            <v>0</v>
          </cell>
          <cell r="BT766">
            <v>0</v>
          </cell>
          <cell r="BU766">
            <v>0</v>
          </cell>
          <cell r="BV766">
            <v>0</v>
          </cell>
          <cell r="BW766">
            <v>0</v>
          </cell>
          <cell r="BX766">
            <v>0</v>
          </cell>
          <cell r="BY766">
            <v>0</v>
          </cell>
          <cell r="BZ766">
            <v>4</v>
          </cell>
          <cell r="CA766">
            <v>4</v>
          </cell>
          <cell r="CB766">
            <v>0</v>
          </cell>
          <cell r="CC766">
            <v>0</v>
          </cell>
          <cell r="CD766">
            <v>0</v>
          </cell>
          <cell r="CE766">
            <v>0</v>
          </cell>
          <cell r="CF766">
            <v>0</v>
          </cell>
          <cell r="CG766">
            <v>4</v>
          </cell>
          <cell r="CH766">
            <v>4</v>
          </cell>
          <cell r="CI766">
            <v>0</v>
          </cell>
          <cell r="CJ766">
            <v>4</v>
          </cell>
          <cell r="CK766">
            <v>0</v>
          </cell>
          <cell r="CL766">
            <v>0</v>
          </cell>
          <cell r="CM766">
            <v>0</v>
          </cell>
          <cell r="CR766">
            <v>0</v>
          </cell>
          <cell r="CS766">
            <v>0</v>
          </cell>
          <cell r="CT766">
            <v>20</v>
          </cell>
          <cell r="CU766">
            <v>0</v>
          </cell>
          <cell r="CV766">
            <v>0</v>
          </cell>
          <cell r="CZ766">
            <v>20</v>
          </cell>
        </row>
        <row r="767">
          <cell r="C767" t="str">
            <v>04174</v>
          </cell>
          <cell r="D767" t="str">
            <v>Nguyễn Châu Đại Ánh</v>
          </cell>
          <cell r="E767" t="str">
            <v>Production</v>
          </cell>
          <cell r="F767" t="str">
            <v>Lamination</v>
          </cell>
          <cell r="G767" t="str">
            <v>Worker</v>
          </cell>
          <cell r="H767">
            <v>45539</v>
          </cell>
          <cell r="I767" t="str">
            <v>Đ</v>
          </cell>
          <cell r="J767" t="str">
            <v>Đ</v>
          </cell>
          <cell r="K767" t="str">
            <v>CN</v>
          </cell>
          <cell r="L767">
            <v>8</v>
          </cell>
          <cell r="M767" t="str">
            <v>AL4</v>
          </cell>
          <cell r="N767">
            <v>8</v>
          </cell>
          <cell r="O767">
            <v>8</v>
          </cell>
          <cell r="P767">
            <v>8</v>
          </cell>
          <cell r="Q767">
            <v>8</v>
          </cell>
          <cell r="R767" t="str">
            <v>CN</v>
          </cell>
          <cell r="S767" t="str">
            <v>AL8</v>
          </cell>
          <cell r="T767" t="str">
            <v>Đ</v>
          </cell>
          <cell r="U767" t="str">
            <v>Đ</v>
          </cell>
          <cell r="V767" t="str">
            <v>Đ</v>
          </cell>
          <cell r="W767" t="str">
            <v>Đ</v>
          </cell>
          <cell r="X767" t="str">
            <v>Đ</v>
          </cell>
          <cell r="Y767" t="str">
            <v>CN</v>
          </cell>
          <cell r="Z767">
            <v>8</v>
          </cell>
          <cell r="AA767">
            <v>8</v>
          </cell>
          <cell r="AB767">
            <v>8</v>
          </cell>
          <cell r="AC767">
            <v>8</v>
          </cell>
          <cell r="AD767">
            <v>8</v>
          </cell>
          <cell r="AE767">
            <v>8</v>
          </cell>
          <cell r="AF767" t="str">
            <v>CN</v>
          </cell>
          <cell r="AG767">
            <v>8</v>
          </cell>
          <cell r="AH767">
            <v>8</v>
          </cell>
          <cell r="AI767">
            <v>8</v>
          </cell>
          <cell r="AJ767">
            <v>8</v>
          </cell>
          <cell r="AN767">
            <v>56</v>
          </cell>
          <cell r="AO767">
            <v>124</v>
          </cell>
          <cell r="AP767">
            <v>4</v>
          </cell>
          <cell r="AQ767">
            <v>0</v>
          </cell>
          <cell r="AR767">
            <v>0</v>
          </cell>
          <cell r="AS767">
            <v>0</v>
          </cell>
          <cell r="AT767">
            <v>0</v>
          </cell>
          <cell r="AU767">
            <v>0</v>
          </cell>
          <cell r="AV767">
            <v>0</v>
          </cell>
          <cell r="AW767">
            <v>0</v>
          </cell>
          <cell r="AX767">
            <v>0</v>
          </cell>
          <cell r="AY767">
            <v>0</v>
          </cell>
          <cell r="AZ767">
            <v>0</v>
          </cell>
          <cell r="BA767">
            <v>12</v>
          </cell>
          <cell r="BB767">
            <v>0</v>
          </cell>
          <cell r="BC767">
            <v>0</v>
          </cell>
          <cell r="BD767">
            <v>0</v>
          </cell>
          <cell r="BE767">
            <v>0</v>
          </cell>
          <cell r="BF767">
            <v>0</v>
          </cell>
          <cell r="BG767">
            <v>192</v>
          </cell>
          <cell r="BH767">
            <v>1.5</v>
          </cell>
          <cell r="BI767">
            <v>1.5</v>
          </cell>
          <cell r="BJ767">
            <v>0</v>
          </cell>
          <cell r="BL767">
            <v>0</v>
          </cell>
          <cell r="BM767">
            <v>4</v>
          </cell>
          <cell r="BN767">
            <v>0</v>
          </cell>
          <cell r="BO767">
            <v>4</v>
          </cell>
          <cell r="BP767">
            <v>0</v>
          </cell>
          <cell r="BQ767">
            <v>0</v>
          </cell>
          <cell r="BR767">
            <v>0</v>
          </cell>
          <cell r="BS767">
            <v>0</v>
          </cell>
          <cell r="BT767">
            <v>4</v>
          </cell>
          <cell r="BU767">
            <v>0</v>
          </cell>
          <cell r="BV767">
            <v>0</v>
          </cell>
          <cell r="BW767">
            <v>0</v>
          </cell>
          <cell r="BX767">
            <v>0</v>
          </cell>
          <cell r="BY767">
            <v>0</v>
          </cell>
          <cell r="BZ767">
            <v>0</v>
          </cell>
          <cell r="CA767">
            <v>4</v>
          </cell>
          <cell r="CB767">
            <v>0</v>
          </cell>
          <cell r="CC767">
            <v>4</v>
          </cell>
          <cell r="CD767">
            <v>0</v>
          </cell>
          <cell r="CE767">
            <v>0</v>
          </cell>
          <cell r="CF767">
            <v>0</v>
          </cell>
          <cell r="CG767">
            <v>0</v>
          </cell>
          <cell r="CH767">
            <v>4</v>
          </cell>
          <cell r="CI767">
            <v>0</v>
          </cell>
          <cell r="CJ767">
            <v>4</v>
          </cell>
          <cell r="CK767">
            <v>0</v>
          </cell>
          <cell r="CL767">
            <v>0</v>
          </cell>
          <cell r="CM767">
            <v>0</v>
          </cell>
          <cell r="CR767">
            <v>0</v>
          </cell>
          <cell r="CS767">
            <v>0</v>
          </cell>
          <cell r="CT767">
            <v>28</v>
          </cell>
          <cell r="CU767">
            <v>0</v>
          </cell>
          <cell r="CV767">
            <v>0</v>
          </cell>
          <cell r="CZ767">
            <v>28</v>
          </cell>
        </row>
        <row r="768">
          <cell r="C768" t="str">
            <v>04175</v>
          </cell>
          <cell r="D768" t="str">
            <v>Nguyễn Thanh Tài</v>
          </cell>
          <cell r="E768" t="str">
            <v>Production</v>
          </cell>
          <cell r="F768" t="str">
            <v>Die Cut</v>
          </cell>
          <cell r="G768" t="str">
            <v>Worker</v>
          </cell>
          <cell r="H768">
            <v>45539</v>
          </cell>
          <cell r="I768">
            <v>8</v>
          </cell>
          <cell r="J768">
            <v>8</v>
          </cell>
          <cell r="K768">
            <v>8</v>
          </cell>
          <cell r="L768" t="str">
            <v>CN</v>
          </cell>
          <cell r="M768" t="str">
            <v>Đ</v>
          </cell>
          <cell r="N768" t="str">
            <v>Đ</v>
          </cell>
          <cell r="O768" t="str">
            <v>Đ</v>
          </cell>
          <cell r="P768" t="str">
            <v>Đ</v>
          </cell>
          <cell r="Q768" t="str">
            <v>Đ</v>
          </cell>
          <cell r="R768" t="str">
            <v>Đ</v>
          </cell>
          <cell r="S768" t="str">
            <v>CN</v>
          </cell>
          <cell r="T768">
            <v>8</v>
          </cell>
          <cell r="U768">
            <v>8</v>
          </cell>
          <cell r="V768">
            <v>8</v>
          </cell>
          <cell r="W768">
            <v>8</v>
          </cell>
          <cell r="X768">
            <v>8</v>
          </cell>
          <cell r="Y768">
            <v>8</v>
          </cell>
          <cell r="Z768" t="str">
            <v>CN</v>
          </cell>
          <cell r="AA768" t="str">
            <v>Đ</v>
          </cell>
          <cell r="AB768" t="str">
            <v>Đ</v>
          </cell>
          <cell r="AC768" t="str">
            <v>Đ</v>
          </cell>
          <cell r="AD768" t="str">
            <v>Đ</v>
          </cell>
          <cell r="AE768" t="str">
            <v>Đ</v>
          </cell>
          <cell r="AF768" t="str">
            <v>Đ</v>
          </cell>
          <cell r="AG768" t="str">
            <v>CN</v>
          </cell>
          <cell r="AH768">
            <v>8</v>
          </cell>
          <cell r="AI768">
            <v>8</v>
          </cell>
          <cell r="AJ768">
            <v>8</v>
          </cell>
          <cell r="AN768">
            <v>96</v>
          </cell>
          <cell r="AO768">
            <v>96</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192</v>
          </cell>
          <cell r="BH768">
            <v>0</v>
          </cell>
          <cell r="BI768">
            <v>0</v>
          </cell>
          <cell r="BJ768">
            <v>1</v>
          </cell>
          <cell r="BL768">
            <v>0</v>
          </cell>
          <cell r="BM768">
            <v>1.5</v>
          </cell>
          <cell r="BN768">
            <v>1.5</v>
          </cell>
          <cell r="BO768">
            <v>0</v>
          </cell>
          <cell r="BP768">
            <v>1.5</v>
          </cell>
          <cell r="BQ768">
            <v>3</v>
          </cell>
          <cell r="BR768">
            <v>0</v>
          </cell>
          <cell r="BS768">
            <v>3</v>
          </cell>
          <cell r="BT768">
            <v>3</v>
          </cell>
          <cell r="BU768">
            <v>0</v>
          </cell>
          <cell r="BV768">
            <v>0</v>
          </cell>
          <cell r="BW768">
            <v>3</v>
          </cell>
          <cell r="BX768">
            <v>3</v>
          </cell>
          <cell r="BY768">
            <v>3</v>
          </cell>
          <cell r="BZ768">
            <v>3</v>
          </cell>
          <cell r="CA768">
            <v>3</v>
          </cell>
          <cell r="CB768">
            <v>3</v>
          </cell>
          <cell r="CC768">
            <v>8</v>
          </cell>
          <cell r="CD768">
            <v>1.5</v>
          </cell>
          <cell r="CE768">
            <v>4</v>
          </cell>
          <cell r="CF768">
            <v>4</v>
          </cell>
          <cell r="CG768">
            <v>4</v>
          </cell>
          <cell r="CH768">
            <v>1.5</v>
          </cell>
          <cell r="CI768">
            <v>1.5</v>
          </cell>
          <cell r="CJ768">
            <v>0</v>
          </cell>
          <cell r="CK768">
            <v>1.5</v>
          </cell>
          <cell r="CL768">
            <v>3</v>
          </cell>
          <cell r="CM768">
            <v>1.5</v>
          </cell>
          <cell r="CR768">
            <v>0</v>
          </cell>
          <cell r="CS768">
            <v>0</v>
          </cell>
          <cell r="CT768">
            <v>54</v>
          </cell>
          <cell r="CU768">
            <v>8</v>
          </cell>
          <cell r="CV768">
            <v>0</v>
          </cell>
          <cell r="CZ768">
            <v>62</v>
          </cell>
        </row>
        <row r="769">
          <cell r="C769" t="str">
            <v>04176</v>
          </cell>
          <cell r="D769" t="str">
            <v>Mai Văn Hiếu</v>
          </cell>
          <cell r="E769" t="str">
            <v>Production</v>
          </cell>
          <cell r="F769" t="str">
            <v>Prefitting</v>
          </cell>
          <cell r="G769" t="str">
            <v>Worker</v>
          </cell>
          <cell r="H769">
            <v>45539</v>
          </cell>
          <cell r="I769">
            <v>8</v>
          </cell>
          <cell r="J769" t="str">
            <v>Đ</v>
          </cell>
          <cell r="K769" t="str">
            <v>Đ</v>
          </cell>
          <cell r="L769" t="str">
            <v>CN</v>
          </cell>
          <cell r="M769">
            <v>8</v>
          </cell>
          <cell r="N769">
            <v>8</v>
          </cell>
          <cell r="O769">
            <v>8</v>
          </cell>
          <cell r="P769">
            <v>8</v>
          </cell>
          <cell r="Q769">
            <v>8</v>
          </cell>
          <cell r="R769">
            <v>8</v>
          </cell>
          <cell r="S769" t="str">
            <v>CN</v>
          </cell>
          <cell r="T769">
            <v>8</v>
          </cell>
          <cell r="U769">
            <v>8</v>
          </cell>
          <cell r="V769">
            <v>8</v>
          </cell>
          <cell r="W769">
            <v>8</v>
          </cell>
          <cell r="X769" t="str">
            <v>Đ</v>
          </cell>
          <cell r="Y769" t="str">
            <v>Đ</v>
          </cell>
          <cell r="Z769" t="str">
            <v>CN</v>
          </cell>
          <cell r="AA769">
            <v>8</v>
          </cell>
          <cell r="AB769">
            <v>8</v>
          </cell>
          <cell r="AC769">
            <v>8</v>
          </cell>
          <cell r="AD769">
            <v>8</v>
          </cell>
          <cell r="AE769">
            <v>8</v>
          </cell>
          <cell r="AF769">
            <v>8</v>
          </cell>
          <cell r="AG769" t="str">
            <v>CN</v>
          </cell>
          <cell r="AH769">
            <v>8</v>
          </cell>
          <cell r="AI769">
            <v>8</v>
          </cell>
          <cell r="AJ769">
            <v>8</v>
          </cell>
          <cell r="AN769">
            <v>32</v>
          </cell>
          <cell r="AO769">
            <v>160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192</v>
          </cell>
          <cell r="BH769">
            <v>0</v>
          </cell>
          <cell r="BI769">
            <v>0</v>
          </cell>
          <cell r="BJ769">
            <v>3</v>
          </cell>
          <cell r="BL769">
            <v>0</v>
          </cell>
          <cell r="BM769">
            <v>0</v>
          </cell>
          <cell r="BN769">
            <v>0</v>
          </cell>
          <cell r="BO769">
            <v>0</v>
          </cell>
          <cell r="BP769">
            <v>0</v>
          </cell>
          <cell r="BQ769">
            <v>0</v>
          </cell>
          <cell r="BR769">
            <v>0</v>
          </cell>
          <cell r="BS769">
            <v>0</v>
          </cell>
          <cell r="BT769">
            <v>4</v>
          </cell>
          <cell r="BU769">
            <v>4</v>
          </cell>
          <cell r="BV769">
            <v>0</v>
          </cell>
          <cell r="BW769">
            <v>0</v>
          </cell>
          <cell r="BX769">
            <v>0</v>
          </cell>
          <cell r="BY769">
            <v>0</v>
          </cell>
          <cell r="BZ769">
            <v>0</v>
          </cell>
          <cell r="CA769">
            <v>4</v>
          </cell>
          <cell r="CB769">
            <v>4</v>
          </cell>
          <cell r="CC769">
            <v>0</v>
          </cell>
          <cell r="CD769">
            <v>0</v>
          </cell>
          <cell r="CE769">
            <v>0</v>
          </cell>
          <cell r="CF769">
            <v>0</v>
          </cell>
          <cell r="CG769">
            <v>4</v>
          </cell>
          <cell r="CH769">
            <v>4</v>
          </cell>
          <cell r="CI769">
            <v>4</v>
          </cell>
          <cell r="CJ769">
            <v>0</v>
          </cell>
          <cell r="CK769">
            <v>0</v>
          </cell>
          <cell r="CL769">
            <v>0</v>
          </cell>
          <cell r="CM769">
            <v>0</v>
          </cell>
          <cell r="CR769">
            <v>0</v>
          </cell>
          <cell r="CS769">
            <v>0</v>
          </cell>
          <cell r="CT769">
            <v>28</v>
          </cell>
          <cell r="CU769">
            <v>0</v>
          </cell>
          <cell r="CV769">
            <v>0</v>
          </cell>
          <cell r="CZ769">
            <v>28</v>
          </cell>
        </row>
        <row r="770">
          <cell r="C770" t="str">
            <v>04177</v>
          </cell>
          <cell r="D770" t="str">
            <v>Nguyễn Minh Hải</v>
          </cell>
          <cell r="E770" t="str">
            <v>Production</v>
          </cell>
          <cell r="F770" t="str">
            <v>Die Cut</v>
          </cell>
          <cell r="G770" t="str">
            <v>Worker</v>
          </cell>
          <cell r="H770">
            <v>45539</v>
          </cell>
          <cell r="I770">
            <v>8</v>
          </cell>
          <cell r="J770">
            <v>8</v>
          </cell>
          <cell r="K770">
            <v>8</v>
          </cell>
          <cell r="L770" t="str">
            <v>CN</v>
          </cell>
          <cell r="M770" t="str">
            <v>Đ</v>
          </cell>
          <cell r="N770" t="str">
            <v>Đ</v>
          </cell>
          <cell r="O770" t="str">
            <v>Đ</v>
          </cell>
          <cell r="P770" t="str">
            <v>Đ</v>
          </cell>
          <cell r="Q770" t="str">
            <v>Đ</v>
          </cell>
          <cell r="R770" t="str">
            <v>Đ</v>
          </cell>
          <cell r="S770" t="str">
            <v>CN</v>
          </cell>
          <cell r="T770">
            <v>8</v>
          </cell>
          <cell r="U770">
            <v>8</v>
          </cell>
          <cell r="V770">
            <v>8</v>
          </cell>
          <cell r="W770">
            <v>8</v>
          </cell>
          <cell r="X770">
            <v>8</v>
          </cell>
          <cell r="Y770" t="str">
            <v>AL8</v>
          </cell>
          <cell r="Z770" t="str">
            <v>CN</v>
          </cell>
          <cell r="AA770" t="str">
            <v>Đ</v>
          </cell>
          <cell r="AB770" t="str">
            <v>Đ</v>
          </cell>
          <cell r="AC770" t="str">
            <v>Đ</v>
          </cell>
          <cell r="AD770" t="str">
            <v>Đ</v>
          </cell>
          <cell r="AE770" t="str">
            <v>Đ</v>
          </cell>
          <cell r="AF770" t="str">
            <v>Đ</v>
          </cell>
          <cell r="AG770" t="str">
            <v>CN</v>
          </cell>
          <cell r="AH770">
            <v>8</v>
          </cell>
          <cell r="AI770">
            <v>8</v>
          </cell>
          <cell r="AJ770">
            <v>8</v>
          </cell>
          <cell r="AN770">
            <v>96</v>
          </cell>
          <cell r="AO770">
            <v>88</v>
          </cell>
          <cell r="AP770">
            <v>0</v>
          </cell>
          <cell r="AQ770">
            <v>0</v>
          </cell>
          <cell r="AR770">
            <v>0</v>
          </cell>
          <cell r="AS770">
            <v>0</v>
          </cell>
          <cell r="AT770">
            <v>0</v>
          </cell>
          <cell r="AU770">
            <v>0</v>
          </cell>
          <cell r="AV770">
            <v>0</v>
          </cell>
          <cell r="AW770">
            <v>0</v>
          </cell>
          <cell r="AX770">
            <v>0</v>
          </cell>
          <cell r="AY770">
            <v>0</v>
          </cell>
          <cell r="AZ770">
            <v>0</v>
          </cell>
          <cell r="BA770">
            <v>8</v>
          </cell>
          <cell r="BB770">
            <v>0</v>
          </cell>
          <cell r="BC770">
            <v>0</v>
          </cell>
          <cell r="BD770">
            <v>0</v>
          </cell>
          <cell r="BE770">
            <v>0</v>
          </cell>
          <cell r="BF770">
            <v>0</v>
          </cell>
          <cell r="BG770">
            <v>192</v>
          </cell>
          <cell r="BH770">
            <v>1</v>
          </cell>
          <cell r="BI770">
            <v>1</v>
          </cell>
          <cell r="BJ770">
            <v>-1</v>
          </cell>
          <cell r="BL770">
            <v>0</v>
          </cell>
          <cell r="BM770">
            <v>0</v>
          </cell>
          <cell r="BN770">
            <v>0</v>
          </cell>
          <cell r="BO770">
            <v>0</v>
          </cell>
          <cell r="BP770">
            <v>1.5</v>
          </cell>
          <cell r="BQ770">
            <v>0</v>
          </cell>
          <cell r="BR770">
            <v>0</v>
          </cell>
          <cell r="BS770">
            <v>4</v>
          </cell>
          <cell r="BT770">
            <v>4</v>
          </cell>
          <cell r="BU770">
            <v>0</v>
          </cell>
          <cell r="BV770">
            <v>0</v>
          </cell>
          <cell r="BW770">
            <v>3</v>
          </cell>
          <cell r="BX770">
            <v>3</v>
          </cell>
          <cell r="BY770">
            <v>3</v>
          </cell>
          <cell r="BZ770">
            <v>3</v>
          </cell>
          <cell r="CA770">
            <v>3</v>
          </cell>
          <cell r="CB770">
            <v>0</v>
          </cell>
          <cell r="CC770">
            <v>0</v>
          </cell>
          <cell r="CD770">
            <v>4</v>
          </cell>
          <cell r="CE770">
            <v>4</v>
          </cell>
          <cell r="CF770">
            <v>4</v>
          </cell>
          <cell r="CG770">
            <v>4</v>
          </cell>
          <cell r="CH770">
            <v>4</v>
          </cell>
          <cell r="CI770">
            <v>1.5</v>
          </cell>
          <cell r="CJ770">
            <v>0</v>
          </cell>
          <cell r="CK770">
            <v>3</v>
          </cell>
          <cell r="CL770">
            <v>3</v>
          </cell>
          <cell r="CM770">
            <v>3</v>
          </cell>
          <cell r="CR770">
            <v>0</v>
          </cell>
          <cell r="CS770">
            <v>0</v>
          </cell>
          <cell r="CT770">
            <v>55</v>
          </cell>
          <cell r="CU770">
            <v>0</v>
          </cell>
          <cell r="CV770">
            <v>0</v>
          </cell>
          <cell r="CZ770">
            <v>55</v>
          </cell>
        </row>
        <row r="771">
          <cell r="C771" t="str">
            <v>04179</v>
          </cell>
          <cell r="D771" t="str">
            <v>Mai Thị Yến Nhi</v>
          </cell>
          <cell r="E771" t="str">
            <v>Production</v>
          </cell>
          <cell r="F771" t="str">
            <v>Logo</v>
          </cell>
          <cell r="G771" t="str">
            <v>Worker</v>
          </cell>
          <cell r="H771">
            <v>45539</v>
          </cell>
          <cell r="I771" t="str">
            <v>SL</v>
          </cell>
          <cell r="J771">
            <v>8</v>
          </cell>
          <cell r="K771">
            <v>8</v>
          </cell>
          <cell r="L771" t="str">
            <v>CN</v>
          </cell>
          <cell r="M771" t="str">
            <v>AL8</v>
          </cell>
          <cell r="N771" t="str">
            <v>AL8</v>
          </cell>
          <cell r="O771" t="str">
            <v>AL8</v>
          </cell>
          <cell r="P771" t="str">
            <v>Đ</v>
          </cell>
          <cell r="Q771" t="str">
            <v>SWD</v>
          </cell>
          <cell r="R771" t="str">
            <v>Đ</v>
          </cell>
          <cell r="S771" t="str">
            <v>CN</v>
          </cell>
          <cell r="T771">
            <v>8</v>
          </cell>
          <cell r="U771">
            <v>8</v>
          </cell>
          <cell r="V771">
            <v>8</v>
          </cell>
          <cell r="W771">
            <v>8</v>
          </cell>
          <cell r="X771">
            <v>8</v>
          </cell>
          <cell r="Y771">
            <v>8</v>
          </cell>
          <cell r="Z771" t="str">
            <v>CN</v>
          </cell>
          <cell r="AA771" t="str">
            <v>Đ</v>
          </cell>
          <cell r="AB771" t="str">
            <v>Đ</v>
          </cell>
          <cell r="AC771" t="str">
            <v>SL</v>
          </cell>
          <cell r="AD771" t="str">
            <v>Đ</v>
          </cell>
          <cell r="AE771" t="str">
            <v>Đ</v>
          </cell>
          <cell r="AF771" t="str">
            <v>Đ</v>
          </cell>
          <cell r="AG771" t="str">
            <v>CN</v>
          </cell>
          <cell r="AH771" t="str">
            <v>SWD4</v>
          </cell>
          <cell r="AI771" t="str">
            <v>SL</v>
          </cell>
          <cell r="AJ771" t="str">
            <v>SWD</v>
          </cell>
          <cell r="AN771">
            <v>56</v>
          </cell>
          <cell r="AO771">
            <v>68</v>
          </cell>
          <cell r="AP771">
            <v>0</v>
          </cell>
          <cell r="AQ771">
            <v>3</v>
          </cell>
          <cell r="AR771">
            <v>4</v>
          </cell>
          <cell r="AS771">
            <v>16</v>
          </cell>
          <cell r="AT771">
            <v>0</v>
          </cell>
          <cell r="AU771">
            <v>0</v>
          </cell>
          <cell r="AV771">
            <v>0</v>
          </cell>
          <cell r="AW771">
            <v>0</v>
          </cell>
          <cell r="AX771">
            <v>0</v>
          </cell>
          <cell r="AY771">
            <v>0</v>
          </cell>
          <cell r="AZ771">
            <v>0</v>
          </cell>
          <cell r="BA771">
            <v>24</v>
          </cell>
          <cell r="BB771">
            <v>0</v>
          </cell>
          <cell r="BC771">
            <v>0</v>
          </cell>
          <cell r="BD771">
            <v>0</v>
          </cell>
          <cell r="BE771">
            <v>0</v>
          </cell>
          <cell r="BF771">
            <v>0</v>
          </cell>
          <cell r="BG771">
            <v>148</v>
          </cell>
          <cell r="BH771">
            <v>3</v>
          </cell>
          <cell r="BI771">
            <v>3</v>
          </cell>
          <cell r="BJ771">
            <v>-3</v>
          </cell>
          <cell r="BL771">
            <v>0</v>
          </cell>
          <cell r="BM771">
            <v>0</v>
          </cell>
          <cell r="BN771">
            <v>0</v>
          </cell>
          <cell r="BO771">
            <v>0</v>
          </cell>
          <cell r="BP771">
            <v>0</v>
          </cell>
          <cell r="BQ771">
            <v>0</v>
          </cell>
          <cell r="BR771">
            <v>0</v>
          </cell>
          <cell r="BS771">
            <v>4</v>
          </cell>
          <cell r="BT771">
            <v>0</v>
          </cell>
          <cell r="BU771">
            <v>4</v>
          </cell>
          <cell r="BV771">
            <v>0</v>
          </cell>
          <cell r="BW771">
            <v>3</v>
          </cell>
          <cell r="BX771">
            <v>3</v>
          </cell>
          <cell r="BY771">
            <v>2</v>
          </cell>
          <cell r="BZ771">
            <v>3</v>
          </cell>
          <cell r="CA771">
            <v>3</v>
          </cell>
          <cell r="CB771">
            <v>0</v>
          </cell>
          <cell r="CC771">
            <v>0</v>
          </cell>
          <cell r="CD771">
            <v>2</v>
          </cell>
          <cell r="CE771">
            <v>4</v>
          </cell>
          <cell r="CF771">
            <v>0</v>
          </cell>
          <cell r="CG771">
            <v>4</v>
          </cell>
          <cell r="CH771">
            <v>0</v>
          </cell>
          <cell r="CI771">
            <v>3</v>
          </cell>
          <cell r="CJ771">
            <v>0</v>
          </cell>
          <cell r="CK771">
            <v>0</v>
          </cell>
          <cell r="CL771">
            <v>0</v>
          </cell>
          <cell r="CM771">
            <v>0</v>
          </cell>
          <cell r="CR771">
            <v>0</v>
          </cell>
          <cell r="CS771">
            <v>0</v>
          </cell>
          <cell r="CT771">
            <v>35</v>
          </cell>
          <cell r="CU771">
            <v>0</v>
          </cell>
          <cell r="CV771">
            <v>0</v>
          </cell>
          <cell r="CZ771">
            <v>35</v>
          </cell>
        </row>
        <row r="772">
          <cell r="C772" t="str">
            <v>04180</v>
          </cell>
          <cell r="D772" t="str">
            <v>Võ Trương Thùy Dương</v>
          </cell>
          <cell r="E772" t="str">
            <v>Production</v>
          </cell>
          <cell r="F772" t="str">
            <v>Logo</v>
          </cell>
          <cell r="G772" t="str">
            <v>Worker</v>
          </cell>
          <cell r="H772">
            <v>45539</v>
          </cell>
          <cell r="I772" t="str">
            <v>Đ</v>
          </cell>
          <cell r="J772" t="str">
            <v>Đ</v>
          </cell>
          <cell r="K772" t="str">
            <v>Đ</v>
          </cell>
          <cell r="L772" t="str">
            <v>CN</v>
          </cell>
          <cell r="M772">
            <v>8</v>
          </cell>
          <cell r="N772">
            <v>8</v>
          </cell>
          <cell r="O772">
            <v>8</v>
          </cell>
          <cell r="P772">
            <v>8</v>
          </cell>
          <cell r="Q772">
            <v>8</v>
          </cell>
          <cell r="R772" t="str">
            <v>AL8</v>
          </cell>
          <cell r="S772" t="str">
            <v>CN</v>
          </cell>
          <cell r="T772" t="str">
            <v>Đ</v>
          </cell>
          <cell r="U772" t="str">
            <v>Đ</v>
          </cell>
          <cell r="V772" t="str">
            <v>Đ</v>
          </cell>
          <cell r="W772" t="str">
            <v>Đ</v>
          </cell>
          <cell r="X772" t="str">
            <v>Đ</v>
          </cell>
          <cell r="Y772" t="str">
            <v>Đ</v>
          </cell>
          <cell r="Z772" t="str">
            <v>CN</v>
          </cell>
          <cell r="AA772">
            <v>8</v>
          </cell>
          <cell r="AB772">
            <v>8</v>
          </cell>
          <cell r="AC772" t="str">
            <v>UP4</v>
          </cell>
          <cell r="AD772">
            <v>8</v>
          </cell>
          <cell r="AE772">
            <v>8</v>
          </cell>
          <cell r="AF772">
            <v>8</v>
          </cell>
          <cell r="AG772" t="str">
            <v>CN</v>
          </cell>
          <cell r="AH772">
            <v>8</v>
          </cell>
          <cell r="AI772" t="str">
            <v>AL8</v>
          </cell>
          <cell r="AJ772">
            <v>8</v>
          </cell>
          <cell r="AN772">
            <v>72</v>
          </cell>
          <cell r="AO772">
            <v>100</v>
          </cell>
          <cell r="AP772">
            <v>0</v>
          </cell>
          <cell r="AQ772">
            <v>0</v>
          </cell>
          <cell r="AR772">
            <v>4</v>
          </cell>
          <cell r="AS772">
            <v>4</v>
          </cell>
          <cell r="AT772">
            <v>0</v>
          </cell>
          <cell r="AU772">
            <v>0</v>
          </cell>
          <cell r="AV772">
            <v>0</v>
          </cell>
          <cell r="AW772">
            <v>0</v>
          </cell>
          <cell r="AX772">
            <v>0</v>
          </cell>
          <cell r="AY772">
            <v>0</v>
          </cell>
          <cell r="AZ772">
            <v>0</v>
          </cell>
          <cell r="BA772">
            <v>16</v>
          </cell>
          <cell r="BB772">
            <v>0</v>
          </cell>
          <cell r="BC772">
            <v>0</v>
          </cell>
          <cell r="BD772">
            <v>0</v>
          </cell>
          <cell r="BE772">
            <v>0</v>
          </cell>
          <cell r="BF772">
            <v>0</v>
          </cell>
          <cell r="BG772">
            <v>188</v>
          </cell>
          <cell r="BH772">
            <v>2</v>
          </cell>
          <cell r="BI772">
            <v>2</v>
          </cell>
          <cell r="BJ772">
            <v>0</v>
          </cell>
          <cell r="BL772">
            <v>0</v>
          </cell>
          <cell r="BM772">
            <v>0</v>
          </cell>
          <cell r="BN772">
            <v>0</v>
          </cell>
          <cell r="BO772">
            <v>0</v>
          </cell>
          <cell r="BP772">
            <v>1.5</v>
          </cell>
          <cell r="BQ772">
            <v>3</v>
          </cell>
          <cell r="BR772">
            <v>0</v>
          </cell>
          <cell r="BS772">
            <v>3</v>
          </cell>
          <cell r="BT772">
            <v>3</v>
          </cell>
          <cell r="BU772">
            <v>0</v>
          </cell>
          <cell r="BV772">
            <v>0</v>
          </cell>
          <cell r="BW772">
            <v>3</v>
          </cell>
          <cell r="BX772">
            <v>4</v>
          </cell>
          <cell r="BY772">
            <v>4</v>
          </cell>
          <cell r="BZ772">
            <v>4</v>
          </cell>
          <cell r="CA772">
            <v>4</v>
          </cell>
          <cell r="CB772">
            <v>4</v>
          </cell>
          <cell r="CC772">
            <v>0</v>
          </cell>
          <cell r="CD772">
            <v>3</v>
          </cell>
          <cell r="CE772">
            <v>3</v>
          </cell>
          <cell r="CF772">
            <v>0</v>
          </cell>
          <cell r="CG772">
            <v>3</v>
          </cell>
          <cell r="CH772">
            <v>1.5</v>
          </cell>
          <cell r="CI772">
            <v>1.5</v>
          </cell>
          <cell r="CJ772">
            <v>8</v>
          </cell>
          <cell r="CK772">
            <v>1.5</v>
          </cell>
          <cell r="CL772">
            <v>0</v>
          </cell>
          <cell r="CM772">
            <v>0</v>
          </cell>
          <cell r="CR772">
            <v>0</v>
          </cell>
          <cell r="CS772">
            <v>0</v>
          </cell>
          <cell r="CT772">
            <v>47</v>
          </cell>
          <cell r="CU772">
            <v>8</v>
          </cell>
          <cell r="CV772">
            <v>0</v>
          </cell>
          <cell r="CZ772">
            <v>55</v>
          </cell>
        </row>
        <row r="773">
          <cell r="C773" t="str">
            <v>04181</v>
          </cell>
          <cell r="D773" t="str">
            <v xml:space="preserve">Nguyễn Thị Cẩm Trang </v>
          </cell>
          <cell r="E773" t="str">
            <v>Production</v>
          </cell>
          <cell r="F773" t="str">
            <v>Die Cut</v>
          </cell>
          <cell r="G773" t="str">
            <v>Worker</v>
          </cell>
          <cell r="H773">
            <v>45539</v>
          </cell>
          <cell r="I773">
            <v>8</v>
          </cell>
          <cell r="J773">
            <v>8</v>
          </cell>
          <cell r="K773">
            <v>8</v>
          </cell>
          <cell r="L773" t="str">
            <v>CN</v>
          </cell>
          <cell r="M773" t="str">
            <v>Đ</v>
          </cell>
          <cell r="N773" t="str">
            <v>Đ</v>
          </cell>
          <cell r="O773" t="str">
            <v>Đ</v>
          </cell>
          <cell r="P773" t="str">
            <v>Đ</v>
          </cell>
          <cell r="Q773" t="str">
            <v>Đ</v>
          </cell>
          <cell r="R773" t="str">
            <v>Đ</v>
          </cell>
          <cell r="S773" t="str">
            <v>CN</v>
          </cell>
          <cell r="T773">
            <v>8</v>
          </cell>
          <cell r="U773">
            <v>8</v>
          </cell>
          <cell r="V773">
            <v>8</v>
          </cell>
          <cell r="W773">
            <v>8</v>
          </cell>
          <cell r="X773">
            <v>8</v>
          </cell>
          <cell r="Y773">
            <v>8</v>
          </cell>
          <cell r="Z773" t="str">
            <v>CN</v>
          </cell>
          <cell r="AA773" t="str">
            <v>Đ</v>
          </cell>
          <cell r="AB773" t="str">
            <v>Đ</v>
          </cell>
          <cell r="AC773" t="str">
            <v>Đ</v>
          </cell>
          <cell r="AD773" t="str">
            <v>Đ</v>
          </cell>
          <cell r="AE773" t="str">
            <v>Đ</v>
          </cell>
          <cell r="AF773" t="str">
            <v>Đ</v>
          </cell>
          <cell r="AG773" t="str">
            <v>CN</v>
          </cell>
          <cell r="AH773">
            <v>8</v>
          </cell>
          <cell r="AI773">
            <v>8</v>
          </cell>
          <cell r="AJ773" t="str">
            <v>AL8</v>
          </cell>
          <cell r="AN773">
            <v>96</v>
          </cell>
          <cell r="AO773">
            <v>88</v>
          </cell>
          <cell r="AP773">
            <v>0</v>
          </cell>
          <cell r="AQ773">
            <v>0</v>
          </cell>
          <cell r="AR773">
            <v>0</v>
          </cell>
          <cell r="AS773">
            <v>0</v>
          </cell>
          <cell r="AT773">
            <v>0</v>
          </cell>
          <cell r="AU773">
            <v>0</v>
          </cell>
          <cell r="AV773">
            <v>0</v>
          </cell>
          <cell r="AW773">
            <v>0</v>
          </cell>
          <cell r="AX773">
            <v>0</v>
          </cell>
          <cell r="AY773">
            <v>0</v>
          </cell>
          <cell r="AZ773">
            <v>0</v>
          </cell>
          <cell r="BA773">
            <v>8</v>
          </cell>
          <cell r="BB773">
            <v>0</v>
          </cell>
          <cell r="BC773">
            <v>0</v>
          </cell>
          <cell r="BD773">
            <v>0</v>
          </cell>
          <cell r="BE773">
            <v>0</v>
          </cell>
          <cell r="BF773">
            <v>0</v>
          </cell>
          <cell r="BG773">
            <v>192</v>
          </cell>
          <cell r="BH773">
            <v>1</v>
          </cell>
          <cell r="BI773">
            <v>1</v>
          </cell>
          <cell r="BJ773">
            <v>1</v>
          </cell>
          <cell r="BL773">
            <v>0</v>
          </cell>
          <cell r="BM773">
            <v>0</v>
          </cell>
          <cell r="BN773">
            <v>0</v>
          </cell>
          <cell r="BO773">
            <v>0</v>
          </cell>
          <cell r="BP773">
            <v>1.5</v>
          </cell>
          <cell r="BQ773">
            <v>3</v>
          </cell>
          <cell r="BR773">
            <v>0</v>
          </cell>
          <cell r="BS773">
            <v>3</v>
          </cell>
          <cell r="BT773">
            <v>3</v>
          </cell>
          <cell r="BU773">
            <v>0</v>
          </cell>
          <cell r="BV773">
            <v>0</v>
          </cell>
          <cell r="BW773">
            <v>3</v>
          </cell>
          <cell r="BX773">
            <v>3</v>
          </cell>
          <cell r="BY773">
            <v>3</v>
          </cell>
          <cell r="BZ773">
            <v>3</v>
          </cell>
          <cell r="CA773">
            <v>3</v>
          </cell>
          <cell r="CB773">
            <v>3</v>
          </cell>
          <cell r="CC773">
            <v>8</v>
          </cell>
          <cell r="CD773">
            <v>4</v>
          </cell>
          <cell r="CE773">
            <v>4</v>
          </cell>
          <cell r="CF773">
            <v>4</v>
          </cell>
          <cell r="CG773">
            <v>4</v>
          </cell>
          <cell r="CH773">
            <v>1.5</v>
          </cell>
          <cell r="CI773">
            <v>1.5</v>
          </cell>
          <cell r="CJ773">
            <v>0</v>
          </cell>
          <cell r="CK773">
            <v>1.5</v>
          </cell>
          <cell r="CL773">
            <v>0</v>
          </cell>
          <cell r="CM773">
            <v>0</v>
          </cell>
          <cell r="CR773">
            <v>0</v>
          </cell>
          <cell r="CS773">
            <v>0</v>
          </cell>
          <cell r="CT773">
            <v>49</v>
          </cell>
          <cell r="CU773">
            <v>8</v>
          </cell>
          <cell r="CV773">
            <v>0</v>
          </cell>
          <cell r="CZ773">
            <v>57</v>
          </cell>
        </row>
        <row r="774">
          <cell r="C774" t="str">
            <v>04182</v>
          </cell>
          <cell r="D774" t="str">
            <v>Nguyễn Thị Bé Thơ</v>
          </cell>
          <cell r="E774" t="str">
            <v>Production</v>
          </cell>
          <cell r="F774" t="str">
            <v>Die Cut</v>
          </cell>
          <cell r="G774" t="str">
            <v>Worker</v>
          </cell>
          <cell r="H774">
            <v>45539</v>
          </cell>
          <cell r="I774">
            <v>8</v>
          </cell>
          <cell r="J774">
            <v>8</v>
          </cell>
          <cell r="K774">
            <v>8</v>
          </cell>
          <cell r="L774" t="str">
            <v>CN</v>
          </cell>
          <cell r="M774" t="str">
            <v>Đ</v>
          </cell>
          <cell r="N774" t="str">
            <v>Đ</v>
          </cell>
          <cell r="O774" t="str">
            <v>Đ</v>
          </cell>
          <cell r="P774" t="str">
            <v>Đ</v>
          </cell>
          <cell r="Q774" t="str">
            <v>Đ</v>
          </cell>
          <cell r="R774" t="str">
            <v>Đ</v>
          </cell>
          <cell r="S774" t="str">
            <v>CN</v>
          </cell>
          <cell r="T774" t="str">
            <v>AL8</v>
          </cell>
          <cell r="U774">
            <v>8</v>
          </cell>
          <cell r="V774">
            <v>8</v>
          </cell>
          <cell r="W774">
            <v>8</v>
          </cell>
          <cell r="X774">
            <v>8</v>
          </cell>
          <cell r="Y774">
            <v>8</v>
          </cell>
          <cell r="Z774" t="str">
            <v>CN</v>
          </cell>
          <cell r="AA774" t="str">
            <v>Đ</v>
          </cell>
          <cell r="AB774" t="str">
            <v>Đ</v>
          </cell>
          <cell r="AC774" t="str">
            <v>Đ</v>
          </cell>
          <cell r="AD774" t="str">
            <v>Đ</v>
          </cell>
          <cell r="AE774" t="str">
            <v>Đ</v>
          </cell>
          <cell r="AF774" t="str">
            <v>Đ</v>
          </cell>
          <cell r="AG774" t="str">
            <v>CN</v>
          </cell>
          <cell r="AH774">
            <v>8</v>
          </cell>
          <cell r="AI774">
            <v>8</v>
          </cell>
          <cell r="AJ774">
            <v>8</v>
          </cell>
          <cell r="AN774">
            <v>96</v>
          </cell>
          <cell r="AO774">
            <v>88</v>
          </cell>
          <cell r="AP774">
            <v>0</v>
          </cell>
          <cell r="AQ774">
            <v>0</v>
          </cell>
          <cell r="AR774">
            <v>0</v>
          </cell>
          <cell r="AS774">
            <v>0</v>
          </cell>
          <cell r="AT774">
            <v>0</v>
          </cell>
          <cell r="AU774">
            <v>0</v>
          </cell>
          <cell r="AV774">
            <v>0</v>
          </cell>
          <cell r="AW774">
            <v>0</v>
          </cell>
          <cell r="AX774">
            <v>0</v>
          </cell>
          <cell r="AY774">
            <v>0</v>
          </cell>
          <cell r="AZ774">
            <v>0</v>
          </cell>
          <cell r="BA774">
            <v>8</v>
          </cell>
          <cell r="BB774">
            <v>0</v>
          </cell>
          <cell r="BC774">
            <v>0</v>
          </cell>
          <cell r="BD774">
            <v>0</v>
          </cell>
          <cell r="BE774">
            <v>0</v>
          </cell>
          <cell r="BF774">
            <v>0</v>
          </cell>
          <cell r="BG774">
            <v>192</v>
          </cell>
          <cell r="BH774">
            <v>1</v>
          </cell>
          <cell r="BI774">
            <v>1</v>
          </cell>
          <cell r="BJ774">
            <v>5</v>
          </cell>
          <cell r="BL774">
            <v>0</v>
          </cell>
          <cell r="BM774">
            <v>0</v>
          </cell>
          <cell r="BN774">
            <v>0</v>
          </cell>
          <cell r="BO774">
            <v>0</v>
          </cell>
          <cell r="BP774">
            <v>1.5</v>
          </cell>
          <cell r="BQ774">
            <v>3</v>
          </cell>
          <cell r="BR774">
            <v>0</v>
          </cell>
          <cell r="BS774">
            <v>3</v>
          </cell>
          <cell r="BT774">
            <v>3</v>
          </cell>
          <cell r="BU774">
            <v>0</v>
          </cell>
          <cell r="BV774">
            <v>0</v>
          </cell>
          <cell r="BW774">
            <v>0</v>
          </cell>
          <cell r="BX774">
            <v>3</v>
          </cell>
          <cell r="BY774">
            <v>3</v>
          </cell>
          <cell r="BZ774">
            <v>3</v>
          </cell>
          <cell r="CA774">
            <v>3</v>
          </cell>
          <cell r="CB774">
            <v>3</v>
          </cell>
          <cell r="CC774">
            <v>8</v>
          </cell>
          <cell r="CD774">
            <v>4</v>
          </cell>
          <cell r="CE774">
            <v>4</v>
          </cell>
          <cell r="CF774">
            <v>4</v>
          </cell>
          <cell r="CG774">
            <v>4</v>
          </cell>
          <cell r="CH774">
            <v>1.5</v>
          </cell>
          <cell r="CI774">
            <v>1.5</v>
          </cell>
          <cell r="CJ774">
            <v>0</v>
          </cell>
          <cell r="CK774">
            <v>1.5</v>
          </cell>
          <cell r="CL774">
            <v>1.5</v>
          </cell>
          <cell r="CM774">
            <v>1.5</v>
          </cell>
          <cell r="CR774">
            <v>0</v>
          </cell>
          <cell r="CS774">
            <v>0</v>
          </cell>
          <cell r="CT774">
            <v>49</v>
          </cell>
          <cell r="CU774">
            <v>8</v>
          </cell>
          <cell r="CV774">
            <v>0</v>
          </cell>
          <cell r="CZ774">
            <v>57</v>
          </cell>
        </row>
        <row r="775">
          <cell r="C775" t="str">
            <v>04183</v>
          </cell>
          <cell r="D775" t="str">
            <v>Tiêu Ngọc Thụy</v>
          </cell>
          <cell r="E775" t="str">
            <v>Production</v>
          </cell>
          <cell r="F775" t="str">
            <v>Logo</v>
          </cell>
          <cell r="G775" t="str">
            <v>Worker</v>
          </cell>
          <cell r="H775">
            <v>45539</v>
          </cell>
          <cell r="I775" t="str">
            <v>Đ</v>
          </cell>
          <cell r="J775" t="str">
            <v>Đ</v>
          </cell>
          <cell r="K775" t="str">
            <v>Đ</v>
          </cell>
          <cell r="L775" t="str">
            <v>CN</v>
          </cell>
          <cell r="M775">
            <v>8</v>
          </cell>
          <cell r="N775">
            <v>8</v>
          </cell>
          <cell r="O775">
            <v>8</v>
          </cell>
          <cell r="P775">
            <v>8</v>
          </cell>
          <cell r="Q775">
            <v>8</v>
          </cell>
          <cell r="R775" t="str">
            <v>AL4</v>
          </cell>
          <cell r="S775" t="str">
            <v>CN</v>
          </cell>
          <cell r="T775" t="str">
            <v>Đ</v>
          </cell>
          <cell r="U775" t="str">
            <v>Đ</v>
          </cell>
          <cell r="V775" t="str">
            <v>Đ</v>
          </cell>
          <cell r="W775" t="str">
            <v>Đ</v>
          </cell>
          <cell r="X775" t="str">
            <v>Đ</v>
          </cell>
          <cell r="Y775" t="str">
            <v>Đ</v>
          </cell>
          <cell r="Z775" t="str">
            <v>CN</v>
          </cell>
          <cell r="AA775">
            <v>8</v>
          </cell>
          <cell r="AB775">
            <v>8</v>
          </cell>
          <cell r="AC775">
            <v>8</v>
          </cell>
          <cell r="AD775">
            <v>8</v>
          </cell>
          <cell r="AE775">
            <v>8</v>
          </cell>
          <cell r="AF775">
            <v>8</v>
          </cell>
          <cell r="AG775" t="str">
            <v>CN</v>
          </cell>
          <cell r="AH775" t="str">
            <v>Đ</v>
          </cell>
          <cell r="AI775" t="str">
            <v>Đ</v>
          </cell>
          <cell r="AJ775" t="str">
            <v>Đ</v>
          </cell>
          <cell r="AN775">
            <v>96</v>
          </cell>
          <cell r="AO775">
            <v>92</v>
          </cell>
          <cell r="AP775">
            <v>4</v>
          </cell>
          <cell r="AQ775">
            <v>0</v>
          </cell>
          <cell r="AR775">
            <v>0</v>
          </cell>
          <cell r="AS775">
            <v>0</v>
          </cell>
          <cell r="AT775">
            <v>0</v>
          </cell>
          <cell r="AU775">
            <v>0</v>
          </cell>
          <cell r="AV775">
            <v>0</v>
          </cell>
          <cell r="AW775">
            <v>0</v>
          </cell>
          <cell r="AX775">
            <v>0</v>
          </cell>
          <cell r="AY775">
            <v>0</v>
          </cell>
          <cell r="AZ775">
            <v>0</v>
          </cell>
          <cell r="BA775">
            <v>4</v>
          </cell>
          <cell r="BB775">
            <v>0</v>
          </cell>
          <cell r="BC775">
            <v>0</v>
          </cell>
          <cell r="BD775">
            <v>0</v>
          </cell>
          <cell r="BE775">
            <v>0</v>
          </cell>
          <cell r="BF775">
            <v>0</v>
          </cell>
          <cell r="BG775">
            <v>192</v>
          </cell>
          <cell r="BH775">
            <v>0.5</v>
          </cell>
          <cell r="BI775">
            <v>0.5</v>
          </cell>
          <cell r="BJ775">
            <v>2</v>
          </cell>
          <cell r="BL775">
            <v>0</v>
          </cell>
          <cell r="BM775">
            <v>0</v>
          </cell>
          <cell r="BN775">
            <v>0</v>
          </cell>
          <cell r="BO775">
            <v>0</v>
          </cell>
          <cell r="BP775">
            <v>1.5</v>
          </cell>
          <cell r="BQ775">
            <v>0</v>
          </cell>
          <cell r="BR775">
            <v>0</v>
          </cell>
          <cell r="BS775">
            <v>3</v>
          </cell>
          <cell r="BT775">
            <v>0</v>
          </cell>
          <cell r="BU775">
            <v>0</v>
          </cell>
          <cell r="BV775">
            <v>0</v>
          </cell>
          <cell r="BW775">
            <v>3</v>
          </cell>
          <cell r="BX775">
            <v>4</v>
          </cell>
          <cell r="BY775">
            <v>4</v>
          </cell>
          <cell r="BZ775">
            <v>4</v>
          </cell>
          <cell r="CA775">
            <v>4</v>
          </cell>
          <cell r="CB775">
            <v>4</v>
          </cell>
          <cell r="CC775">
            <v>0</v>
          </cell>
          <cell r="CD775">
            <v>3</v>
          </cell>
          <cell r="CE775">
            <v>3</v>
          </cell>
          <cell r="CF775">
            <v>3</v>
          </cell>
          <cell r="CG775">
            <v>3</v>
          </cell>
          <cell r="CH775">
            <v>1.5</v>
          </cell>
          <cell r="CI775">
            <v>1.5</v>
          </cell>
          <cell r="CJ775">
            <v>8</v>
          </cell>
          <cell r="CK775">
            <v>1.5</v>
          </cell>
          <cell r="CL775">
            <v>1.5</v>
          </cell>
          <cell r="CM775">
            <v>1.5</v>
          </cell>
          <cell r="CR775">
            <v>0</v>
          </cell>
          <cell r="CS775">
            <v>0</v>
          </cell>
          <cell r="CT775">
            <v>47</v>
          </cell>
          <cell r="CU775">
            <v>8</v>
          </cell>
          <cell r="CV775">
            <v>0</v>
          </cell>
          <cell r="CZ775">
            <v>55</v>
          </cell>
        </row>
        <row r="776">
          <cell r="C776" t="str">
            <v>04185</v>
          </cell>
          <cell r="D776" t="str">
            <v>Nguyễn Thị Thúy Linh</v>
          </cell>
          <cell r="E776" t="str">
            <v>Production</v>
          </cell>
          <cell r="F776" t="str">
            <v>Logo</v>
          </cell>
          <cell r="G776" t="str">
            <v>Worker</v>
          </cell>
          <cell r="H776">
            <v>45539</v>
          </cell>
          <cell r="I776" t="str">
            <v>Đ</v>
          </cell>
          <cell r="J776" t="str">
            <v>Đ</v>
          </cell>
          <cell r="K776" t="str">
            <v>Đ</v>
          </cell>
          <cell r="L776" t="str">
            <v>CN</v>
          </cell>
          <cell r="M776">
            <v>8</v>
          </cell>
          <cell r="N776">
            <v>8</v>
          </cell>
          <cell r="O776">
            <v>8</v>
          </cell>
          <cell r="P776">
            <v>8</v>
          </cell>
          <cell r="Q776">
            <v>8</v>
          </cell>
          <cell r="R776">
            <v>8</v>
          </cell>
          <cell r="S776" t="str">
            <v>CN</v>
          </cell>
          <cell r="T776" t="str">
            <v>Đ</v>
          </cell>
          <cell r="U776" t="str">
            <v>Đ</v>
          </cell>
          <cell r="V776" t="str">
            <v>Đ</v>
          </cell>
          <cell r="W776" t="str">
            <v>Đ</v>
          </cell>
          <cell r="X776" t="str">
            <v>Đ</v>
          </cell>
          <cell r="Y776" t="str">
            <v>Đ</v>
          </cell>
          <cell r="Z776" t="str">
            <v>CN</v>
          </cell>
          <cell r="AA776">
            <v>8</v>
          </cell>
          <cell r="AB776">
            <v>8</v>
          </cell>
          <cell r="AC776">
            <v>8</v>
          </cell>
          <cell r="AD776">
            <v>8</v>
          </cell>
          <cell r="AE776">
            <v>8</v>
          </cell>
          <cell r="AF776">
            <v>8</v>
          </cell>
          <cell r="AG776" t="str">
            <v>CN</v>
          </cell>
          <cell r="AH776" t="str">
            <v>Đ</v>
          </cell>
          <cell r="AI776" t="str">
            <v>Đ</v>
          </cell>
          <cell r="AJ776" t="str">
            <v>Đ</v>
          </cell>
          <cell r="AN776">
            <v>96</v>
          </cell>
          <cell r="AO776">
            <v>96</v>
          </cell>
          <cell r="AP776">
            <v>0</v>
          </cell>
          <cell r="AQ776">
            <v>0</v>
          </cell>
          <cell r="AR776">
            <v>0</v>
          </cell>
          <cell r="AS776">
            <v>0</v>
          </cell>
          <cell r="AT776">
            <v>0</v>
          </cell>
          <cell r="AU776">
            <v>0</v>
          </cell>
          <cell r="AV776">
            <v>0</v>
          </cell>
          <cell r="AW776">
            <v>0</v>
          </cell>
          <cell r="AX776">
            <v>0</v>
          </cell>
          <cell r="AY776">
            <v>0</v>
          </cell>
          <cell r="AZ776">
            <v>0</v>
          </cell>
          <cell r="BA776">
            <v>0</v>
          </cell>
          <cell r="BB776">
            <v>0</v>
          </cell>
          <cell r="BC776">
            <v>0</v>
          </cell>
          <cell r="BD776">
            <v>0</v>
          </cell>
          <cell r="BE776">
            <v>0</v>
          </cell>
          <cell r="BF776">
            <v>0</v>
          </cell>
          <cell r="BG776">
            <v>192</v>
          </cell>
          <cell r="BH776">
            <v>0</v>
          </cell>
          <cell r="BI776">
            <v>0</v>
          </cell>
          <cell r="BJ776">
            <v>3</v>
          </cell>
          <cell r="BL776">
            <v>0</v>
          </cell>
          <cell r="BM776">
            <v>0</v>
          </cell>
          <cell r="BN776">
            <v>0</v>
          </cell>
          <cell r="BO776">
            <v>0</v>
          </cell>
          <cell r="BP776">
            <v>1.5</v>
          </cell>
          <cell r="BQ776">
            <v>3</v>
          </cell>
          <cell r="BR776">
            <v>0</v>
          </cell>
          <cell r="BS776">
            <v>3</v>
          </cell>
          <cell r="BT776">
            <v>3</v>
          </cell>
          <cell r="BU776">
            <v>0</v>
          </cell>
          <cell r="BV776">
            <v>0</v>
          </cell>
          <cell r="BW776">
            <v>3</v>
          </cell>
          <cell r="BX776">
            <v>4</v>
          </cell>
          <cell r="BY776">
            <v>4</v>
          </cell>
          <cell r="BZ776">
            <v>4</v>
          </cell>
          <cell r="CA776">
            <v>4</v>
          </cell>
          <cell r="CB776">
            <v>4</v>
          </cell>
          <cell r="CC776">
            <v>0</v>
          </cell>
          <cell r="CD776">
            <v>3</v>
          </cell>
          <cell r="CE776">
            <v>3</v>
          </cell>
          <cell r="CF776">
            <v>3</v>
          </cell>
          <cell r="CG776">
            <v>3</v>
          </cell>
          <cell r="CH776">
            <v>1.5</v>
          </cell>
          <cell r="CI776">
            <v>1.5</v>
          </cell>
          <cell r="CJ776">
            <v>8</v>
          </cell>
          <cell r="CK776">
            <v>1.5</v>
          </cell>
          <cell r="CL776">
            <v>1.5</v>
          </cell>
          <cell r="CM776">
            <v>1.5</v>
          </cell>
          <cell r="CR776">
            <v>0</v>
          </cell>
          <cell r="CS776">
            <v>0</v>
          </cell>
          <cell r="CT776">
            <v>53</v>
          </cell>
          <cell r="CU776">
            <v>8</v>
          </cell>
          <cell r="CV776">
            <v>0</v>
          </cell>
          <cell r="CZ776">
            <v>61</v>
          </cell>
        </row>
        <row r="777">
          <cell r="C777" t="str">
            <v>04188</v>
          </cell>
          <cell r="D777" t="str">
            <v>Nguyễn Phú Hổ</v>
          </cell>
          <cell r="E777" t="str">
            <v>Production</v>
          </cell>
          <cell r="F777" t="str">
            <v>Prefitting</v>
          </cell>
          <cell r="G777" t="str">
            <v>Worker</v>
          </cell>
          <cell r="H777">
            <v>45539</v>
          </cell>
          <cell r="I777">
            <v>8</v>
          </cell>
          <cell r="J777">
            <v>8</v>
          </cell>
          <cell r="K777">
            <v>8</v>
          </cell>
          <cell r="L777" t="str">
            <v>CN</v>
          </cell>
          <cell r="M777" t="str">
            <v>AL4</v>
          </cell>
          <cell r="N777">
            <v>8</v>
          </cell>
          <cell r="O777">
            <v>8</v>
          </cell>
          <cell r="P777">
            <v>8</v>
          </cell>
          <cell r="Q777">
            <v>8</v>
          </cell>
          <cell r="R777">
            <v>8</v>
          </cell>
          <cell r="S777" t="str">
            <v>CN</v>
          </cell>
          <cell r="T777">
            <v>8</v>
          </cell>
          <cell r="U777">
            <v>8</v>
          </cell>
          <cell r="V777">
            <v>8</v>
          </cell>
          <cell r="W777">
            <v>8</v>
          </cell>
          <cell r="X777" t="str">
            <v>Đ</v>
          </cell>
          <cell r="Y777" t="str">
            <v>UP8</v>
          </cell>
          <cell r="Z777" t="str">
            <v>CN</v>
          </cell>
          <cell r="AA777" t="str">
            <v>UP8</v>
          </cell>
          <cell r="AB777" t="str">
            <v>SL</v>
          </cell>
          <cell r="AC777" t="str">
            <v>SL</v>
          </cell>
          <cell r="AD777" t="str">
            <v>SL</v>
          </cell>
          <cell r="AE777" t="str">
            <v>SL</v>
          </cell>
          <cell r="AF777" t="str">
            <v>SL</v>
          </cell>
          <cell r="AG777" t="str">
            <v>CN</v>
          </cell>
          <cell r="AH777" t="str">
            <v>UP8</v>
          </cell>
          <cell r="AI777">
            <v>8</v>
          </cell>
          <cell r="AJ777">
            <v>8</v>
          </cell>
          <cell r="AN777">
            <v>8</v>
          </cell>
          <cell r="AO777">
            <v>116</v>
          </cell>
          <cell r="AP777">
            <v>4</v>
          </cell>
          <cell r="AQ777">
            <v>5</v>
          </cell>
          <cell r="AR777">
            <v>0</v>
          </cell>
          <cell r="AS777">
            <v>24</v>
          </cell>
          <cell r="AT777">
            <v>0</v>
          </cell>
          <cell r="AU777">
            <v>0</v>
          </cell>
          <cell r="AV777">
            <v>0</v>
          </cell>
          <cell r="AW777">
            <v>0</v>
          </cell>
          <cell r="AX777">
            <v>0</v>
          </cell>
          <cell r="AY777">
            <v>0</v>
          </cell>
          <cell r="AZ777">
            <v>0</v>
          </cell>
          <cell r="BA777">
            <v>4</v>
          </cell>
          <cell r="BB777">
            <v>0</v>
          </cell>
          <cell r="BC777">
            <v>0</v>
          </cell>
          <cell r="BD777">
            <v>0</v>
          </cell>
          <cell r="BE777">
            <v>0</v>
          </cell>
          <cell r="BF777">
            <v>0</v>
          </cell>
          <cell r="BG777">
            <v>128</v>
          </cell>
          <cell r="BH777">
            <v>0.5</v>
          </cell>
          <cell r="BI777">
            <v>0.5</v>
          </cell>
          <cell r="BJ777">
            <v>-2.5</v>
          </cell>
          <cell r="BL777">
            <v>0</v>
          </cell>
          <cell r="BM777">
            <v>0</v>
          </cell>
          <cell r="BN777">
            <v>0</v>
          </cell>
          <cell r="BO777">
            <v>0</v>
          </cell>
          <cell r="BP777">
            <v>0</v>
          </cell>
          <cell r="BQ777">
            <v>0</v>
          </cell>
          <cell r="BR777">
            <v>0</v>
          </cell>
          <cell r="BS777">
            <v>0</v>
          </cell>
          <cell r="BT777">
            <v>0</v>
          </cell>
          <cell r="BU777">
            <v>0</v>
          </cell>
          <cell r="BV777">
            <v>0</v>
          </cell>
          <cell r="BW777">
            <v>0</v>
          </cell>
          <cell r="BX777">
            <v>0</v>
          </cell>
          <cell r="BY777">
            <v>0</v>
          </cell>
          <cell r="BZ777">
            <v>0</v>
          </cell>
          <cell r="CA777">
            <v>4</v>
          </cell>
          <cell r="CB777">
            <v>0</v>
          </cell>
          <cell r="CC777">
            <v>0</v>
          </cell>
          <cell r="CD777">
            <v>0</v>
          </cell>
          <cell r="CE777">
            <v>0</v>
          </cell>
          <cell r="CF777">
            <v>0</v>
          </cell>
          <cell r="CG777">
            <v>0</v>
          </cell>
          <cell r="CH777">
            <v>0</v>
          </cell>
          <cell r="CI777">
            <v>0</v>
          </cell>
          <cell r="CJ777">
            <v>0</v>
          </cell>
          <cell r="CK777">
            <v>0</v>
          </cell>
          <cell r="CL777">
            <v>0</v>
          </cell>
          <cell r="CM777">
            <v>0</v>
          </cell>
          <cell r="CR777">
            <v>0</v>
          </cell>
          <cell r="CS777">
            <v>0</v>
          </cell>
          <cell r="CT777">
            <v>4</v>
          </cell>
          <cell r="CU777">
            <v>0</v>
          </cell>
          <cell r="CV777">
            <v>0</v>
          </cell>
          <cell r="CZ777">
            <v>4</v>
          </cell>
        </row>
        <row r="778">
          <cell r="C778" t="str">
            <v>04192</v>
          </cell>
          <cell r="D778" t="str">
            <v>Slen Liên Bánh</v>
          </cell>
          <cell r="E778" t="str">
            <v>PD</v>
          </cell>
          <cell r="F778" t="str">
            <v>PD office</v>
          </cell>
          <cell r="G778" t="str">
            <v>Specialist</v>
          </cell>
          <cell r="H778">
            <v>45551</v>
          </cell>
          <cell r="I778">
            <v>8</v>
          </cell>
          <cell r="J778" t="str">
            <v>BS</v>
          </cell>
          <cell r="K778" t="str">
            <v>PO</v>
          </cell>
          <cell r="L778" t="str">
            <v>CN</v>
          </cell>
          <cell r="M778" t="str">
            <v>AL8</v>
          </cell>
          <cell r="N778" t="str">
            <v>AL8</v>
          </cell>
          <cell r="O778">
            <v>8</v>
          </cell>
          <cell r="P778" t="str">
            <v>BS</v>
          </cell>
          <cell r="Q778" t="str">
            <v>PO</v>
          </cell>
          <cell r="R778" t="str">
            <v>BS</v>
          </cell>
          <cell r="S778" t="str">
            <v>CN</v>
          </cell>
          <cell r="T778">
            <v>8</v>
          </cell>
          <cell r="U778" t="str">
            <v>BS</v>
          </cell>
          <cell r="V778">
            <v>8</v>
          </cell>
          <cell r="W778">
            <v>8</v>
          </cell>
          <cell r="X778" t="str">
            <v>BS</v>
          </cell>
          <cell r="Y778" t="str">
            <v>PO</v>
          </cell>
          <cell r="Z778" t="str">
            <v>CN</v>
          </cell>
          <cell r="AA778">
            <v>8</v>
          </cell>
          <cell r="AB778">
            <v>8</v>
          </cell>
          <cell r="AC778" t="str">
            <v>BS</v>
          </cell>
          <cell r="AD778">
            <v>8</v>
          </cell>
          <cell r="AE778" t="str">
            <v>BS</v>
          </cell>
          <cell r="AF778" t="str">
            <v>PO</v>
          </cell>
          <cell r="AG778" t="str">
            <v>CN</v>
          </cell>
          <cell r="AH778">
            <v>8</v>
          </cell>
          <cell r="AI778">
            <v>8</v>
          </cell>
          <cell r="AJ778">
            <v>8</v>
          </cell>
          <cell r="AN778">
            <v>0</v>
          </cell>
          <cell r="AO778">
            <v>88</v>
          </cell>
          <cell r="AP778">
            <v>0</v>
          </cell>
          <cell r="AQ778">
            <v>0</v>
          </cell>
          <cell r="AR778">
            <v>0</v>
          </cell>
          <cell r="AS778">
            <v>0</v>
          </cell>
          <cell r="AT778">
            <v>0</v>
          </cell>
          <cell r="AU778">
            <v>56</v>
          </cell>
          <cell r="AV778">
            <v>32</v>
          </cell>
          <cell r="AW778">
            <v>0</v>
          </cell>
          <cell r="AX778">
            <v>0</v>
          </cell>
          <cell r="AY778">
            <v>0</v>
          </cell>
          <cell r="AZ778">
            <v>0</v>
          </cell>
          <cell r="BA778">
            <v>16</v>
          </cell>
          <cell r="BB778">
            <v>0</v>
          </cell>
          <cell r="BC778">
            <v>0</v>
          </cell>
          <cell r="BD778">
            <v>0</v>
          </cell>
          <cell r="BE778">
            <v>0</v>
          </cell>
          <cell r="BF778">
            <v>0</v>
          </cell>
          <cell r="BG778">
            <v>192</v>
          </cell>
          <cell r="BH778">
            <v>2</v>
          </cell>
          <cell r="BI778">
            <v>2</v>
          </cell>
          <cell r="BJ778">
            <v>8</v>
          </cell>
          <cell r="BL778">
            <v>1</v>
          </cell>
          <cell r="BM778">
            <v>0</v>
          </cell>
          <cell r="BN778">
            <v>0</v>
          </cell>
          <cell r="BO778">
            <v>0</v>
          </cell>
          <cell r="BP778">
            <v>0</v>
          </cell>
          <cell r="BQ778">
            <v>0</v>
          </cell>
          <cell r="BR778">
            <v>0</v>
          </cell>
          <cell r="BS778">
            <v>0</v>
          </cell>
          <cell r="BT778">
            <v>0</v>
          </cell>
          <cell r="BU778">
            <v>0</v>
          </cell>
          <cell r="BV778">
            <v>0</v>
          </cell>
          <cell r="BW778">
            <v>0</v>
          </cell>
          <cell r="BX778">
            <v>0</v>
          </cell>
          <cell r="BY778">
            <v>0</v>
          </cell>
          <cell r="BZ778">
            <v>0</v>
          </cell>
          <cell r="CA778">
            <v>0</v>
          </cell>
          <cell r="CB778">
            <v>0</v>
          </cell>
          <cell r="CC778">
            <v>0</v>
          </cell>
          <cell r="CD778">
            <v>0</v>
          </cell>
          <cell r="CE778">
            <v>0</v>
          </cell>
          <cell r="CF778">
            <v>0</v>
          </cell>
          <cell r="CG778">
            <v>0</v>
          </cell>
          <cell r="CH778">
            <v>0</v>
          </cell>
          <cell r="CI778">
            <v>0</v>
          </cell>
          <cell r="CJ778">
            <v>0</v>
          </cell>
          <cell r="CK778">
            <v>0</v>
          </cell>
          <cell r="CL778">
            <v>0</v>
          </cell>
          <cell r="CM778">
            <v>0</v>
          </cell>
          <cell r="CR778">
            <v>0</v>
          </cell>
          <cell r="CS778">
            <v>0</v>
          </cell>
          <cell r="CT778">
            <v>1</v>
          </cell>
          <cell r="CU778">
            <v>0</v>
          </cell>
          <cell r="CV778">
            <v>0</v>
          </cell>
          <cell r="CZ778">
            <v>1</v>
          </cell>
        </row>
        <row r="779">
          <cell r="C779" t="str">
            <v>04193</v>
          </cell>
          <cell r="D779" t="str">
            <v>Phan Duy Lâm</v>
          </cell>
          <cell r="E779" t="str">
            <v>IT</v>
          </cell>
          <cell r="F779" t="str">
            <v>IT</v>
          </cell>
          <cell r="G779" t="str">
            <v>Associate Engineer</v>
          </cell>
          <cell r="H779">
            <v>45551</v>
          </cell>
          <cell r="I779">
            <v>8</v>
          </cell>
          <cell r="J779">
            <v>8</v>
          </cell>
          <cell r="K779" t="str">
            <v>PO</v>
          </cell>
          <cell r="L779" t="str">
            <v>CN</v>
          </cell>
          <cell r="M779">
            <v>8</v>
          </cell>
          <cell r="N779">
            <v>8</v>
          </cell>
          <cell r="O779">
            <v>8</v>
          </cell>
          <cell r="P779">
            <v>8</v>
          </cell>
          <cell r="Q779" t="str">
            <v>AL8</v>
          </cell>
          <cell r="R779" t="str">
            <v>PO</v>
          </cell>
          <cell r="S779" t="str">
            <v>CN</v>
          </cell>
          <cell r="T779">
            <v>8</v>
          </cell>
          <cell r="U779">
            <v>8</v>
          </cell>
          <cell r="V779">
            <v>8</v>
          </cell>
          <cell r="W779">
            <v>8</v>
          </cell>
          <cell r="X779" t="str">
            <v>WH</v>
          </cell>
          <cell r="Y779" t="str">
            <v>PO</v>
          </cell>
          <cell r="Z779" t="str">
            <v>CN</v>
          </cell>
          <cell r="AA779">
            <v>8</v>
          </cell>
          <cell r="AB779">
            <v>8</v>
          </cell>
          <cell r="AC779">
            <v>8</v>
          </cell>
          <cell r="AD779">
            <v>8</v>
          </cell>
          <cell r="AE779">
            <v>8</v>
          </cell>
          <cell r="AF779" t="str">
            <v>PO</v>
          </cell>
          <cell r="AG779" t="str">
            <v>CN</v>
          </cell>
          <cell r="AH779">
            <v>8</v>
          </cell>
          <cell r="AI779">
            <v>8</v>
          </cell>
          <cell r="AJ779">
            <v>8</v>
          </cell>
          <cell r="AN779">
            <v>0</v>
          </cell>
          <cell r="AO779">
            <v>144</v>
          </cell>
          <cell r="AP779">
            <v>0</v>
          </cell>
          <cell r="AQ779">
            <v>0</v>
          </cell>
          <cell r="AR779">
            <v>0</v>
          </cell>
          <cell r="AS779">
            <v>0</v>
          </cell>
          <cell r="AT779">
            <v>0</v>
          </cell>
          <cell r="AU779">
            <v>0</v>
          </cell>
          <cell r="AV779">
            <v>32</v>
          </cell>
          <cell r="AW779">
            <v>0</v>
          </cell>
          <cell r="AX779">
            <v>0</v>
          </cell>
          <cell r="AY779">
            <v>0</v>
          </cell>
          <cell r="AZ779">
            <v>0</v>
          </cell>
          <cell r="BA779">
            <v>8</v>
          </cell>
          <cell r="BB779">
            <v>0</v>
          </cell>
          <cell r="BC779">
            <v>0</v>
          </cell>
          <cell r="BD779">
            <v>8</v>
          </cell>
          <cell r="BE779">
            <v>0</v>
          </cell>
          <cell r="BF779">
            <v>0</v>
          </cell>
          <cell r="BG779">
            <v>192</v>
          </cell>
          <cell r="BH779">
            <v>1</v>
          </cell>
          <cell r="BI779">
            <v>1</v>
          </cell>
          <cell r="BJ779">
            <v>0</v>
          </cell>
          <cell r="BL779">
            <v>0</v>
          </cell>
          <cell r="BM779">
            <v>0</v>
          </cell>
          <cell r="BN779">
            <v>0</v>
          </cell>
          <cell r="BO779">
            <v>0</v>
          </cell>
          <cell r="BP779">
            <v>0</v>
          </cell>
          <cell r="BQ779">
            <v>0</v>
          </cell>
          <cell r="BR779">
            <v>0</v>
          </cell>
          <cell r="BS779">
            <v>0</v>
          </cell>
          <cell r="BT779">
            <v>0</v>
          </cell>
          <cell r="BU779">
            <v>0</v>
          </cell>
          <cell r="BV779">
            <v>0</v>
          </cell>
          <cell r="BW779">
            <v>0</v>
          </cell>
          <cell r="BX779">
            <v>0</v>
          </cell>
          <cell r="BY779">
            <v>0</v>
          </cell>
          <cell r="BZ779">
            <v>0</v>
          </cell>
          <cell r="CA779">
            <v>0</v>
          </cell>
          <cell r="CB779">
            <v>0</v>
          </cell>
          <cell r="CC779">
            <v>0</v>
          </cell>
          <cell r="CD779">
            <v>0</v>
          </cell>
          <cell r="CE779">
            <v>0</v>
          </cell>
          <cell r="CF779">
            <v>0</v>
          </cell>
          <cell r="CG779">
            <v>0</v>
          </cell>
          <cell r="CH779">
            <v>0</v>
          </cell>
          <cell r="CI779">
            <v>0</v>
          </cell>
          <cell r="CJ779">
            <v>0</v>
          </cell>
          <cell r="CK779">
            <v>0</v>
          </cell>
          <cell r="CL779">
            <v>0</v>
          </cell>
          <cell r="CM779">
            <v>0</v>
          </cell>
          <cell r="CR779">
            <v>0</v>
          </cell>
          <cell r="CS779">
            <v>0</v>
          </cell>
          <cell r="CT779">
            <v>0</v>
          </cell>
          <cell r="CU779">
            <v>0</v>
          </cell>
          <cell r="CV779">
            <v>0</v>
          </cell>
          <cell r="CZ779">
            <v>0</v>
          </cell>
        </row>
        <row r="780">
          <cell r="C780" t="str">
            <v>04195</v>
          </cell>
          <cell r="D780" t="str">
            <v>Lê Văn Tươi</v>
          </cell>
          <cell r="E780" t="str">
            <v>Foaming</v>
          </cell>
          <cell r="F780" t="str">
            <v>FOAMING Rectangular</v>
          </cell>
          <cell r="G780" t="str">
            <v>Worker</v>
          </cell>
          <cell r="H780">
            <v>45554</v>
          </cell>
          <cell r="I780" t="str">
            <v>Đ</v>
          </cell>
          <cell r="J780" t="str">
            <v>Đ</v>
          </cell>
          <cell r="K780" t="str">
            <v>Đ</v>
          </cell>
          <cell r="L780" t="str">
            <v>CN</v>
          </cell>
          <cell r="M780" t="str">
            <v>Đ</v>
          </cell>
          <cell r="N780" t="str">
            <v>AL8</v>
          </cell>
          <cell r="O780" t="str">
            <v>Đ</v>
          </cell>
          <cell r="P780" t="str">
            <v>Đ</v>
          </cell>
          <cell r="Q780" t="str">
            <v>Đ</v>
          </cell>
          <cell r="R780" t="str">
            <v>Đ</v>
          </cell>
          <cell r="S780" t="str">
            <v>CN</v>
          </cell>
          <cell r="T780">
            <v>8</v>
          </cell>
          <cell r="U780">
            <v>8</v>
          </cell>
          <cell r="V780">
            <v>8</v>
          </cell>
          <cell r="W780">
            <v>8</v>
          </cell>
          <cell r="X780">
            <v>8</v>
          </cell>
          <cell r="Y780">
            <v>8</v>
          </cell>
          <cell r="Z780" t="str">
            <v>CN</v>
          </cell>
          <cell r="AA780" t="str">
            <v>Đ</v>
          </cell>
          <cell r="AB780" t="str">
            <v>Đ</v>
          </cell>
          <cell r="AC780" t="str">
            <v>Đ</v>
          </cell>
          <cell r="AD780" t="str">
            <v>Đ</v>
          </cell>
          <cell r="AE780" t="str">
            <v>Đ</v>
          </cell>
          <cell r="AF780" t="str">
            <v>Đ</v>
          </cell>
          <cell r="AG780" t="str">
            <v>CN</v>
          </cell>
          <cell r="AH780" t="str">
            <v>Đ</v>
          </cell>
          <cell r="AI780" t="str">
            <v>Đ</v>
          </cell>
          <cell r="AJ780" t="str">
            <v>Đ</v>
          </cell>
          <cell r="AN780">
            <v>136</v>
          </cell>
          <cell r="AO780">
            <v>48</v>
          </cell>
          <cell r="AP780">
            <v>0</v>
          </cell>
          <cell r="AQ780">
            <v>0</v>
          </cell>
          <cell r="AR780">
            <v>0</v>
          </cell>
          <cell r="AS780">
            <v>0</v>
          </cell>
          <cell r="AT780">
            <v>0</v>
          </cell>
          <cell r="AU780">
            <v>0</v>
          </cell>
          <cell r="AV780">
            <v>0</v>
          </cell>
          <cell r="AW780">
            <v>0</v>
          </cell>
          <cell r="AX780">
            <v>0</v>
          </cell>
          <cell r="AY780">
            <v>0</v>
          </cell>
          <cell r="AZ780">
            <v>0</v>
          </cell>
          <cell r="BA780">
            <v>8</v>
          </cell>
          <cell r="BB780">
            <v>0</v>
          </cell>
          <cell r="BC780">
            <v>0</v>
          </cell>
          <cell r="BD780">
            <v>0</v>
          </cell>
          <cell r="BE780">
            <v>0</v>
          </cell>
          <cell r="BF780">
            <v>0</v>
          </cell>
          <cell r="BG780">
            <v>192</v>
          </cell>
          <cell r="BH780">
            <v>1</v>
          </cell>
          <cell r="BI780">
            <v>1</v>
          </cell>
          <cell r="BJ780">
            <v>-4.5</v>
          </cell>
          <cell r="BL780">
            <v>4</v>
          </cell>
          <cell r="BM780">
            <v>4</v>
          </cell>
          <cell r="BN780">
            <v>4</v>
          </cell>
          <cell r="BO780" t="str">
            <v>12Đ</v>
          </cell>
          <cell r="BP780">
            <v>2</v>
          </cell>
          <cell r="BQ780">
            <v>0</v>
          </cell>
          <cell r="BR780">
            <v>4</v>
          </cell>
          <cell r="BS780">
            <v>4</v>
          </cell>
          <cell r="BT780">
            <v>0</v>
          </cell>
          <cell r="BU780">
            <v>4</v>
          </cell>
          <cell r="BV780">
            <v>0</v>
          </cell>
          <cell r="BW780">
            <v>4</v>
          </cell>
          <cell r="BX780">
            <v>4</v>
          </cell>
          <cell r="BY780">
            <v>4</v>
          </cell>
          <cell r="BZ780">
            <v>4</v>
          </cell>
          <cell r="CA780">
            <v>4</v>
          </cell>
          <cell r="CB780">
            <v>4</v>
          </cell>
          <cell r="CC780" t="str">
            <v>8Đ</v>
          </cell>
          <cell r="CD780">
            <v>0</v>
          </cell>
          <cell r="CE780">
            <v>4</v>
          </cell>
          <cell r="CF780">
            <v>4</v>
          </cell>
          <cell r="CG780">
            <v>4</v>
          </cell>
          <cell r="CH780">
            <v>4</v>
          </cell>
          <cell r="CI780">
            <v>0</v>
          </cell>
          <cell r="CJ780" t="str">
            <v>12Đ</v>
          </cell>
          <cell r="CK780">
            <v>4</v>
          </cell>
          <cell r="CL780">
            <v>4</v>
          </cell>
          <cell r="CM780">
            <v>4</v>
          </cell>
          <cell r="CR780">
            <v>0</v>
          </cell>
          <cell r="CS780">
            <v>0</v>
          </cell>
          <cell r="CT780">
            <v>78</v>
          </cell>
          <cell r="CU780">
            <v>8</v>
          </cell>
          <cell r="CV780">
            <v>24</v>
          </cell>
          <cell r="CZ780">
            <v>110</v>
          </cell>
        </row>
        <row r="781">
          <cell r="C781" t="str">
            <v>04196</v>
          </cell>
          <cell r="D781" t="str">
            <v>Hồ Quốc Tế</v>
          </cell>
          <cell r="E781" t="str">
            <v>Foaming</v>
          </cell>
          <cell r="F781" t="str">
            <v>FOAMING Rectangular</v>
          </cell>
          <cell r="G781" t="str">
            <v>Worker</v>
          </cell>
          <cell r="H781">
            <v>45554</v>
          </cell>
          <cell r="I781">
            <v>8</v>
          </cell>
          <cell r="J781" t="str">
            <v>AL8</v>
          </cell>
          <cell r="K781">
            <v>8</v>
          </cell>
          <cell r="L781" t="str">
            <v>CN</v>
          </cell>
          <cell r="M781">
            <v>8</v>
          </cell>
          <cell r="N781">
            <v>8</v>
          </cell>
          <cell r="O781">
            <v>8</v>
          </cell>
          <cell r="P781">
            <v>8</v>
          </cell>
          <cell r="Q781">
            <v>8</v>
          </cell>
          <cell r="R781">
            <v>8</v>
          </cell>
          <cell r="S781" t="str">
            <v>CN</v>
          </cell>
          <cell r="T781" t="str">
            <v>AL4</v>
          </cell>
          <cell r="U781">
            <v>8</v>
          </cell>
          <cell r="V781">
            <v>8</v>
          </cell>
          <cell r="W781">
            <v>8</v>
          </cell>
          <cell r="X781">
            <v>8</v>
          </cell>
          <cell r="Y781">
            <v>8</v>
          </cell>
          <cell r="Z781" t="str">
            <v>CN</v>
          </cell>
          <cell r="AA781" t="str">
            <v>Đ</v>
          </cell>
          <cell r="AB781" t="str">
            <v>Đ</v>
          </cell>
          <cell r="AC781" t="str">
            <v>Đ</v>
          </cell>
          <cell r="AD781" t="str">
            <v>Đ</v>
          </cell>
          <cell r="AE781" t="str">
            <v>Đ</v>
          </cell>
          <cell r="AF781" t="str">
            <v>Đ</v>
          </cell>
          <cell r="AG781" t="str">
            <v>CN</v>
          </cell>
          <cell r="AH781" t="str">
            <v>Đ</v>
          </cell>
          <cell r="AI781" t="str">
            <v>Đ</v>
          </cell>
          <cell r="AJ781" t="str">
            <v>Đ</v>
          </cell>
          <cell r="AN781">
            <v>72</v>
          </cell>
          <cell r="AO781">
            <v>108</v>
          </cell>
          <cell r="AP781">
            <v>4</v>
          </cell>
          <cell r="AQ781">
            <v>0</v>
          </cell>
          <cell r="AR781">
            <v>0</v>
          </cell>
          <cell r="AS781">
            <v>0</v>
          </cell>
          <cell r="AT781">
            <v>0</v>
          </cell>
          <cell r="AU781">
            <v>0</v>
          </cell>
          <cell r="AV781">
            <v>0</v>
          </cell>
          <cell r="AW781">
            <v>0</v>
          </cell>
          <cell r="AX781">
            <v>0</v>
          </cell>
          <cell r="AY781">
            <v>0</v>
          </cell>
          <cell r="AZ781">
            <v>0</v>
          </cell>
          <cell r="BA781">
            <v>12</v>
          </cell>
          <cell r="BB781">
            <v>0</v>
          </cell>
          <cell r="BC781">
            <v>0</v>
          </cell>
          <cell r="BD781">
            <v>0</v>
          </cell>
          <cell r="BE781">
            <v>0</v>
          </cell>
          <cell r="BF781">
            <v>0</v>
          </cell>
          <cell r="BG781">
            <v>192</v>
          </cell>
          <cell r="BH781">
            <v>1.5</v>
          </cell>
          <cell r="BI781">
            <v>1.5</v>
          </cell>
          <cell r="BJ781">
            <v>-2.5</v>
          </cell>
          <cell r="BL781">
            <v>0</v>
          </cell>
          <cell r="BM781">
            <v>0</v>
          </cell>
          <cell r="BN781">
            <v>4</v>
          </cell>
          <cell r="BO781">
            <v>0</v>
          </cell>
          <cell r="BP781">
            <v>0</v>
          </cell>
          <cell r="BQ781">
            <v>0</v>
          </cell>
          <cell r="BR781">
            <v>0</v>
          </cell>
          <cell r="BS781">
            <v>4</v>
          </cell>
          <cell r="BT781">
            <v>4</v>
          </cell>
          <cell r="BU781">
            <v>0</v>
          </cell>
          <cell r="BV781">
            <v>12</v>
          </cell>
          <cell r="BW781">
            <v>0</v>
          </cell>
          <cell r="BX781">
            <v>4</v>
          </cell>
          <cell r="BY781">
            <v>4</v>
          </cell>
          <cell r="BZ781">
            <v>4</v>
          </cell>
          <cell r="CA781">
            <v>4</v>
          </cell>
          <cell r="CB781">
            <v>4</v>
          </cell>
          <cell r="CC781" t="str">
            <v>12Đ</v>
          </cell>
          <cell r="CD781">
            <v>4</v>
          </cell>
          <cell r="CE781">
            <v>4</v>
          </cell>
          <cell r="CF781">
            <v>4</v>
          </cell>
          <cell r="CG781">
            <v>4</v>
          </cell>
          <cell r="CH781">
            <v>4</v>
          </cell>
          <cell r="CI781">
            <v>4</v>
          </cell>
          <cell r="CJ781" t="str">
            <v>12Đ</v>
          </cell>
          <cell r="CK781">
            <v>4</v>
          </cell>
          <cell r="CL781">
            <v>4</v>
          </cell>
          <cell r="CM781">
            <v>4</v>
          </cell>
          <cell r="CR781">
            <v>0</v>
          </cell>
          <cell r="CS781">
            <v>0</v>
          </cell>
          <cell r="CT781">
            <v>68</v>
          </cell>
          <cell r="CU781">
            <v>20</v>
          </cell>
          <cell r="CV781">
            <v>16</v>
          </cell>
          <cell r="CZ781">
            <v>104</v>
          </cell>
        </row>
        <row r="782">
          <cell r="C782" t="str">
            <v>04198</v>
          </cell>
          <cell r="D782" t="str">
            <v>Võ Thị Huỳnh Như</v>
          </cell>
          <cell r="E782" t="str">
            <v>Production</v>
          </cell>
          <cell r="F782" t="str">
            <v>Logo</v>
          </cell>
          <cell r="G782" t="str">
            <v>Worker</v>
          </cell>
          <cell r="H782">
            <v>45554</v>
          </cell>
          <cell r="I782">
            <v>8</v>
          </cell>
          <cell r="J782">
            <v>8</v>
          </cell>
          <cell r="K782">
            <v>8</v>
          </cell>
          <cell r="L782" t="str">
            <v>CN</v>
          </cell>
          <cell r="M782" t="str">
            <v>Đ</v>
          </cell>
          <cell r="N782" t="str">
            <v>AL8</v>
          </cell>
          <cell r="O782" t="str">
            <v>Đ</v>
          </cell>
          <cell r="P782" t="str">
            <v>Đ</v>
          </cell>
          <cell r="Q782" t="str">
            <v>Đ</v>
          </cell>
          <cell r="R782" t="str">
            <v>Đ</v>
          </cell>
          <cell r="S782" t="str">
            <v>CN</v>
          </cell>
          <cell r="T782">
            <v>8</v>
          </cell>
          <cell r="U782">
            <v>8</v>
          </cell>
          <cell r="V782">
            <v>8</v>
          </cell>
          <cell r="W782">
            <v>8</v>
          </cell>
          <cell r="X782">
            <v>8</v>
          </cell>
          <cell r="Y782">
            <v>8</v>
          </cell>
          <cell r="Z782" t="str">
            <v>CN</v>
          </cell>
          <cell r="AA782" t="str">
            <v>Đ</v>
          </cell>
          <cell r="AB782" t="str">
            <v>Đ</v>
          </cell>
          <cell r="AC782" t="str">
            <v>Đ</v>
          </cell>
          <cell r="AD782" t="str">
            <v>Đ</v>
          </cell>
          <cell r="AE782" t="str">
            <v>Đ</v>
          </cell>
          <cell r="AF782" t="str">
            <v>Đ</v>
          </cell>
          <cell r="AG782" t="str">
            <v>CN</v>
          </cell>
          <cell r="AH782">
            <v>8</v>
          </cell>
          <cell r="AI782" t="str">
            <v>AL8</v>
          </cell>
          <cell r="AJ782">
            <v>8</v>
          </cell>
          <cell r="AN782">
            <v>88</v>
          </cell>
          <cell r="AO782">
            <v>88</v>
          </cell>
          <cell r="AP782">
            <v>0</v>
          </cell>
          <cell r="AQ782">
            <v>0</v>
          </cell>
          <cell r="AR782">
            <v>0</v>
          </cell>
          <cell r="AS782">
            <v>0</v>
          </cell>
          <cell r="AT782">
            <v>0</v>
          </cell>
          <cell r="AU782">
            <v>0</v>
          </cell>
          <cell r="AV782">
            <v>0</v>
          </cell>
          <cell r="AW782">
            <v>0</v>
          </cell>
          <cell r="AX782">
            <v>0</v>
          </cell>
          <cell r="AY782">
            <v>0</v>
          </cell>
          <cell r="AZ782">
            <v>0</v>
          </cell>
          <cell r="BA782">
            <v>16</v>
          </cell>
          <cell r="BB782">
            <v>0</v>
          </cell>
          <cell r="BC782">
            <v>0</v>
          </cell>
          <cell r="BD782">
            <v>0</v>
          </cell>
          <cell r="BE782">
            <v>0</v>
          </cell>
          <cell r="BF782">
            <v>0</v>
          </cell>
          <cell r="BG782">
            <v>192</v>
          </cell>
          <cell r="BH782">
            <v>2</v>
          </cell>
          <cell r="BI782">
            <v>2</v>
          </cell>
          <cell r="BJ782">
            <v>1</v>
          </cell>
          <cell r="BL782">
            <v>0</v>
          </cell>
          <cell r="BM782">
            <v>1.5</v>
          </cell>
          <cell r="BN782">
            <v>0</v>
          </cell>
          <cell r="BO782">
            <v>0</v>
          </cell>
          <cell r="BP782">
            <v>1.5</v>
          </cell>
          <cell r="BQ782">
            <v>0</v>
          </cell>
          <cell r="BR782">
            <v>0</v>
          </cell>
          <cell r="BS782">
            <v>4</v>
          </cell>
          <cell r="BT782">
            <v>4</v>
          </cell>
          <cell r="BU782">
            <v>4</v>
          </cell>
          <cell r="BV782">
            <v>0</v>
          </cell>
          <cell r="BW782">
            <v>3</v>
          </cell>
          <cell r="BX782">
            <v>3</v>
          </cell>
          <cell r="BY782">
            <v>3</v>
          </cell>
          <cell r="BZ782">
            <v>0</v>
          </cell>
          <cell r="CA782">
            <v>3</v>
          </cell>
          <cell r="CB782">
            <v>3</v>
          </cell>
          <cell r="CC782">
            <v>8</v>
          </cell>
          <cell r="CD782">
            <v>4</v>
          </cell>
          <cell r="CE782">
            <v>4</v>
          </cell>
          <cell r="CF782">
            <v>4</v>
          </cell>
          <cell r="CG782">
            <v>4</v>
          </cell>
          <cell r="CH782">
            <v>4</v>
          </cell>
          <cell r="CI782">
            <v>4</v>
          </cell>
          <cell r="CJ782">
            <v>0</v>
          </cell>
          <cell r="CK782">
            <v>3</v>
          </cell>
          <cell r="CL782">
            <v>0</v>
          </cell>
          <cell r="CM782">
            <v>3</v>
          </cell>
          <cell r="CR782">
            <v>0</v>
          </cell>
          <cell r="CS782">
            <v>0</v>
          </cell>
          <cell r="CT782">
            <v>60</v>
          </cell>
          <cell r="CU782">
            <v>8</v>
          </cell>
          <cell r="CV782">
            <v>0</v>
          </cell>
          <cell r="CZ782">
            <v>68</v>
          </cell>
        </row>
        <row r="783">
          <cell r="C783" t="str">
            <v>04199</v>
          </cell>
          <cell r="D783" t="str">
            <v>Đỗ Phước Sang</v>
          </cell>
          <cell r="E783" t="str">
            <v>Production</v>
          </cell>
          <cell r="F783" t="str">
            <v>Molding</v>
          </cell>
          <cell r="G783" t="str">
            <v>Worker</v>
          </cell>
          <cell r="H783">
            <v>45554</v>
          </cell>
          <cell r="I783" t="str">
            <v>Đ</v>
          </cell>
          <cell r="J783" t="str">
            <v>Đ</v>
          </cell>
          <cell r="K783" t="str">
            <v>Đ</v>
          </cell>
          <cell r="L783" t="str">
            <v>CN</v>
          </cell>
          <cell r="M783">
            <v>8</v>
          </cell>
          <cell r="N783">
            <v>8</v>
          </cell>
          <cell r="O783">
            <v>8</v>
          </cell>
          <cell r="P783">
            <v>8</v>
          </cell>
          <cell r="Q783">
            <v>8</v>
          </cell>
          <cell r="R783">
            <v>8</v>
          </cell>
          <cell r="S783" t="str">
            <v>CN</v>
          </cell>
          <cell r="T783" t="str">
            <v>Đ</v>
          </cell>
          <cell r="U783" t="str">
            <v>Đ</v>
          </cell>
          <cell r="V783" t="str">
            <v>Đ</v>
          </cell>
          <cell r="W783" t="str">
            <v>Đ</v>
          </cell>
          <cell r="X783" t="str">
            <v>Đ</v>
          </cell>
          <cell r="Y783" t="str">
            <v>Đ</v>
          </cell>
          <cell r="Z783" t="str">
            <v>CN</v>
          </cell>
          <cell r="AA783">
            <v>8</v>
          </cell>
          <cell r="AB783">
            <v>8</v>
          </cell>
          <cell r="AC783">
            <v>8</v>
          </cell>
          <cell r="AD783" t="str">
            <v>AL8</v>
          </cell>
          <cell r="AE783">
            <v>8</v>
          </cell>
          <cell r="AF783">
            <v>8</v>
          </cell>
          <cell r="AG783" t="str">
            <v>CN</v>
          </cell>
          <cell r="AH783" t="str">
            <v>Đ</v>
          </cell>
          <cell r="AI783" t="str">
            <v>Đ</v>
          </cell>
          <cell r="AJ783" t="str">
            <v>Đ</v>
          </cell>
          <cell r="AN783">
            <v>96</v>
          </cell>
          <cell r="AO783">
            <v>88</v>
          </cell>
          <cell r="AP783">
            <v>0</v>
          </cell>
          <cell r="AQ783">
            <v>0</v>
          </cell>
          <cell r="AR783">
            <v>0</v>
          </cell>
          <cell r="AS783">
            <v>0</v>
          </cell>
          <cell r="AT783">
            <v>0</v>
          </cell>
          <cell r="AU783">
            <v>0</v>
          </cell>
          <cell r="AV783">
            <v>0</v>
          </cell>
          <cell r="AW783">
            <v>0</v>
          </cell>
          <cell r="AX783">
            <v>0</v>
          </cell>
          <cell r="AY783">
            <v>0</v>
          </cell>
          <cell r="AZ783">
            <v>0</v>
          </cell>
          <cell r="BA783">
            <v>8</v>
          </cell>
          <cell r="BB783">
            <v>0</v>
          </cell>
          <cell r="BC783">
            <v>0</v>
          </cell>
          <cell r="BD783">
            <v>0</v>
          </cell>
          <cell r="BE783">
            <v>0</v>
          </cell>
          <cell r="BF783">
            <v>0</v>
          </cell>
          <cell r="BG783">
            <v>192</v>
          </cell>
          <cell r="BH783">
            <v>1</v>
          </cell>
          <cell r="BI783">
            <v>1</v>
          </cell>
          <cell r="BJ783">
            <v>2</v>
          </cell>
          <cell r="BL783">
            <v>0</v>
          </cell>
          <cell r="BM783">
            <v>4</v>
          </cell>
          <cell r="BN783">
            <v>0</v>
          </cell>
          <cell r="BO783">
            <v>0</v>
          </cell>
          <cell r="BP783">
            <v>0</v>
          </cell>
          <cell r="BQ783">
            <v>4</v>
          </cell>
          <cell r="BR783">
            <v>4</v>
          </cell>
          <cell r="BS783">
            <v>0</v>
          </cell>
          <cell r="BT783">
            <v>4</v>
          </cell>
          <cell r="BU783">
            <v>0</v>
          </cell>
          <cell r="BV783">
            <v>0</v>
          </cell>
          <cell r="BW783">
            <v>0</v>
          </cell>
          <cell r="BX783">
            <v>0</v>
          </cell>
          <cell r="BY783">
            <v>0</v>
          </cell>
          <cell r="BZ783">
            <v>4</v>
          </cell>
          <cell r="CA783">
            <v>0</v>
          </cell>
          <cell r="CB783">
            <v>0</v>
          </cell>
          <cell r="CC783">
            <v>0</v>
          </cell>
          <cell r="CD783">
            <v>0</v>
          </cell>
          <cell r="CE783">
            <v>0</v>
          </cell>
          <cell r="CF783">
            <v>4</v>
          </cell>
          <cell r="CG783">
            <v>0</v>
          </cell>
          <cell r="CH783">
            <v>0</v>
          </cell>
          <cell r="CI783">
            <v>0</v>
          </cell>
          <cell r="CJ783" t="str">
            <v>12Đ</v>
          </cell>
          <cell r="CK783">
            <v>0</v>
          </cell>
          <cell r="CL783">
            <v>0</v>
          </cell>
          <cell r="CM783">
            <v>0</v>
          </cell>
          <cell r="CR783">
            <v>0</v>
          </cell>
          <cell r="CS783">
            <v>0</v>
          </cell>
          <cell r="CT783">
            <v>24</v>
          </cell>
          <cell r="CU783">
            <v>4</v>
          </cell>
          <cell r="CV783">
            <v>8</v>
          </cell>
          <cell r="CZ783">
            <v>36</v>
          </cell>
        </row>
        <row r="784">
          <cell r="C784" t="str">
            <v>04200</v>
          </cell>
          <cell r="D784" t="str">
            <v>Nguyễn Văn Tường</v>
          </cell>
          <cell r="E784" t="str">
            <v>Production</v>
          </cell>
          <cell r="F784" t="str">
            <v>Molding</v>
          </cell>
          <cell r="G784" t="str">
            <v>Worker</v>
          </cell>
          <cell r="H784">
            <v>45554</v>
          </cell>
          <cell r="I784" t="str">
            <v>Đ</v>
          </cell>
          <cell r="J784" t="str">
            <v>Đ</v>
          </cell>
          <cell r="K784" t="str">
            <v>Đ</v>
          </cell>
          <cell r="L784" t="str">
            <v>CN</v>
          </cell>
          <cell r="M784">
            <v>8</v>
          </cell>
          <cell r="N784" t="str">
            <v>AL8</v>
          </cell>
          <cell r="O784">
            <v>8</v>
          </cell>
          <cell r="P784">
            <v>8</v>
          </cell>
          <cell r="Q784">
            <v>8</v>
          </cell>
          <cell r="R784" t="str">
            <v>UP8</v>
          </cell>
          <cell r="S784" t="str">
            <v>CN</v>
          </cell>
          <cell r="T784" t="str">
            <v>Đ</v>
          </cell>
          <cell r="U784" t="str">
            <v>Đ</v>
          </cell>
          <cell r="V784" t="str">
            <v>Đ</v>
          </cell>
          <cell r="W784" t="str">
            <v>Đ</v>
          </cell>
          <cell r="X784" t="str">
            <v>Đ</v>
          </cell>
          <cell r="Y784" t="str">
            <v>Đ</v>
          </cell>
          <cell r="Z784" t="str">
            <v>CN</v>
          </cell>
          <cell r="AA784">
            <v>8</v>
          </cell>
          <cell r="AB784" t="str">
            <v>SL</v>
          </cell>
          <cell r="AC784">
            <v>8</v>
          </cell>
          <cell r="AD784">
            <v>8</v>
          </cell>
          <cell r="AE784">
            <v>8</v>
          </cell>
          <cell r="AF784" t="str">
            <v>UP8</v>
          </cell>
          <cell r="AG784" t="str">
            <v>CN</v>
          </cell>
          <cell r="AH784" t="str">
            <v>Đ</v>
          </cell>
          <cell r="AI784" t="str">
            <v>Đ</v>
          </cell>
          <cell r="AJ784" t="str">
            <v>Đ</v>
          </cell>
          <cell r="AN784">
            <v>96</v>
          </cell>
          <cell r="AO784">
            <v>64</v>
          </cell>
          <cell r="AP784">
            <v>0</v>
          </cell>
          <cell r="AQ784">
            <v>1</v>
          </cell>
          <cell r="AR784">
            <v>0</v>
          </cell>
          <cell r="AS784">
            <v>16</v>
          </cell>
          <cell r="AT784">
            <v>0</v>
          </cell>
          <cell r="AU784">
            <v>0</v>
          </cell>
          <cell r="AV784">
            <v>0</v>
          </cell>
          <cell r="AW784">
            <v>0</v>
          </cell>
          <cell r="AX784">
            <v>0</v>
          </cell>
          <cell r="AY784">
            <v>0</v>
          </cell>
          <cell r="AZ784">
            <v>0</v>
          </cell>
          <cell r="BA784">
            <v>8</v>
          </cell>
          <cell r="BB784">
            <v>0</v>
          </cell>
          <cell r="BC784">
            <v>0</v>
          </cell>
          <cell r="BD784">
            <v>0</v>
          </cell>
          <cell r="BE784">
            <v>0</v>
          </cell>
          <cell r="BF784">
            <v>0</v>
          </cell>
          <cell r="BG784">
            <v>168</v>
          </cell>
          <cell r="BH784">
            <v>1</v>
          </cell>
          <cell r="BI784">
            <v>1</v>
          </cell>
          <cell r="BJ784">
            <v>-1</v>
          </cell>
          <cell r="BL784">
            <v>0</v>
          </cell>
          <cell r="BM784">
            <v>0</v>
          </cell>
          <cell r="BN784">
            <v>0</v>
          </cell>
          <cell r="BO784">
            <v>0</v>
          </cell>
          <cell r="BP784">
            <v>0</v>
          </cell>
          <cell r="BQ784">
            <v>0</v>
          </cell>
          <cell r="BR784">
            <v>0</v>
          </cell>
          <cell r="BS784">
            <v>0</v>
          </cell>
          <cell r="BT784">
            <v>0</v>
          </cell>
          <cell r="BU784">
            <v>0</v>
          </cell>
          <cell r="BV784">
            <v>0</v>
          </cell>
          <cell r="BW784">
            <v>0</v>
          </cell>
          <cell r="BX784">
            <v>0</v>
          </cell>
          <cell r="BY784">
            <v>0</v>
          </cell>
          <cell r="BZ784">
            <v>0</v>
          </cell>
          <cell r="CA784">
            <v>4</v>
          </cell>
          <cell r="CB784">
            <v>0</v>
          </cell>
          <cell r="CC784">
            <v>0</v>
          </cell>
          <cell r="CD784">
            <v>0</v>
          </cell>
          <cell r="CE784">
            <v>0</v>
          </cell>
          <cell r="CF784">
            <v>0</v>
          </cell>
          <cell r="CG784">
            <v>0</v>
          </cell>
          <cell r="CH784">
            <v>0</v>
          </cell>
          <cell r="CI784">
            <v>0</v>
          </cell>
          <cell r="CJ784">
            <v>0</v>
          </cell>
          <cell r="CK784">
            <v>0</v>
          </cell>
          <cell r="CL784">
            <v>0</v>
          </cell>
          <cell r="CM784">
            <v>0</v>
          </cell>
          <cell r="CR784">
            <v>0</v>
          </cell>
          <cell r="CS784">
            <v>0</v>
          </cell>
          <cell r="CT784">
            <v>4</v>
          </cell>
          <cell r="CU784">
            <v>0</v>
          </cell>
          <cell r="CV784">
            <v>0</v>
          </cell>
          <cell r="CZ784">
            <v>4</v>
          </cell>
        </row>
        <row r="785">
          <cell r="C785" t="str">
            <v>04201</v>
          </cell>
          <cell r="D785" t="str">
            <v>Trần Ngọc Tấn</v>
          </cell>
          <cell r="E785" t="str">
            <v>Production</v>
          </cell>
          <cell r="F785" t="str">
            <v>Die Cut</v>
          </cell>
          <cell r="G785" t="str">
            <v>Worker</v>
          </cell>
          <cell r="H785">
            <v>45554</v>
          </cell>
          <cell r="I785">
            <v>8</v>
          </cell>
          <cell r="J785">
            <v>8</v>
          </cell>
          <cell r="K785">
            <v>8</v>
          </cell>
          <cell r="L785" t="str">
            <v>CN</v>
          </cell>
          <cell r="M785" t="str">
            <v>Đ</v>
          </cell>
          <cell r="N785" t="str">
            <v>Đ</v>
          </cell>
          <cell r="O785" t="str">
            <v>Đ</v>
          </cell>
          <cell r="P785" t="str">
            <v>Đ</v>
          </cell>
          <cell r="Q785" t="str">
            <v>Đ</v>
          </cell>
          <cell r="R785" t="str">
            <v>Đ</v>
          </cell>
          <cell r="S785" t="str">
            <v>CN</v>
          </cell>
          <cell r="T785">
            <v>8</v>
          </cell>
          <cell r="U785">
            <v>8</v>
          </cell>
          <cell r="V785">
            <v>8</v>
          </cell>
          <cell r="W785">
            <v>8</v>
          </cell>
          <cell r="X785">
            <v>8</v>
          </cell>
          <cell r="Y785">
            <v>8</v>
          </cell>
          <cell r="Z785" t="str">
            <v>CN</v>
          </cell>
          <cell r="AA785" t="str">
            <v>Đ</v>
          </cell>
          <cell r="AB785" t="str">
            <v>Đ</v>
          </cell>
          <cell r="AC785" t="str">
            <v>Đ</v>
          </cell>
          <cell r="AD785" t="str">
            <v>Đ</v>
          </cell>
          <cell r="AE785" t="str">
            <v>Đ</v>
          </cell>
          <cell r="AF785" t="str">
            <v>Đ</v>
          </cell>
          <cell r="AG785" t="str">
            <v>CN</v>
          </cell>
          <cell r="AH785">
            <v>8</v>
          </cell>
          <cell r="AI785">
            <v>8</v>
          </cell>
          <cell r="AJ785">
            <v>8</v>
          </cell>
          <cell r="AN785">
            <v>96</v>
          </cell>
          <cell r="AO785">
            <v>96</v>
          </cell>
          <cell r="AP785">
            <v>0</v>
          </cell>
          <cell r="AQ785">
            <v>0</v>
          </cell>
          <cell r="AR785">
            <v>0</v>
          </cell>
          <cell r="AS785">
            <v>0</v>
          </cell>
          <cell r="AT785">
            <v>0</v>
          </cell>
          <cell r="AU785">
            <v>0</v>
          </cell>
          <cell r="AV785">
            <v>0</v>
          </cell>
          <cell r="AW785">
            <v>0</v>
          </cell>
          <cell r="AX785">
            <v>0</v>
          </cell>
          <cell r="AY785">
            <v>0</v>
          </cell>
          <cell r="AZ785">
            <v>0</v>
          </cell>
          <cell r="BA785">
            <v>0</v>
          </cell>
          <cell r="BB785">
            <v>0</v>
          </cell>
          <cell r="BC785">
            <v>0</v>
          </cell>
          <cell r="BD785">
            <v>0</v>
          </cell>
          <cell r="BE785">
            <v>0</v>
          </cell>
          <cell r="BF785">
            <v>0</v>
          </cell>
          <cell r="BG785">
            <v>192</v>
          </cell>
          <cell r="BH785">
            <v>0</v>
          </cell>
          <cell r="BI785">
            <v>0</v>
          </cell>
          <cell r="BJ785">
            <v>0</v>
          </cell>
          <cell r="BL785">
            <v>1.5</v>
          </cell>
          <cell r="BM785">
            <v>1.5</v>
          </cell>
          <cell r="BN785">
            <v>0</v>
          </cell>
          <cell r="BO785">
            <v>0</v>
          </cell>
          <cell r="BP785">
            <v>1.5</v>
          </cell>
          <cell r="BQ785">
            <v>0</v>
          </cell>
          <cell r="BR785">
            <v>0</v>
          </cell>
          <cell r="BS785">
            <v>0</v>
          </cell>
          <cell r="BT785">
            <v>4</v>
          </cell>
          <cell r="BU785">
            <v>0</v>
          </cell>
          <cell r="BV785">
            <v>0</v>
          </cell>
          <cell r="BW785">
            <v>3</v>
          </cell>
          <cell r="BX785">
            <v>3</v>
          </cell>
          <cell r="BY785">
            <v>3</v>
          </cell>
          <cell r="BZ785">
            <v>0</v>
          </cell>
          <cell r="CA785">
            <v>3</v>
          </cell>
          <cell r="CB785">
            <v>3</v>
          </cell>
          <cell r="CC785">
            <v>8</v>
          </cell>
          <cell r="CD785">
            <v>4</v>
          </cell>
          <cell r="CE785">
            <v>4</v>
          </cell>
          <cell r="CF785">
            <v>4</v>
          </cell>
          <cell r="CG785">
            <v>4</v>
          </cell>
          <cell r="CH785">
            <v>4</v>
          </cell>
          <cell r="CI785">
            <v>4</v>
          </cell>
          <cell r="CJ785">
            <v>0</v>
          </cell>
          <cell r="CK785">
            <v>3</v>
          </cell>
          <cell r="CL785">
            <v>3</v>
          </cell>
          <cell r="CM785">
            <v>0</v>
          </cell>
          <cell r="CR785">
            <v>0</v>
          </cell>
          <cell r="CS785">
            <v>0</v>
          </cell>
          <cell r="CT785">
            <v>53.5</v>
          </cell>
          <cell r="CU785">
            <v>8</v>
          </cell>
          <cell r="CV785">
            <v>0</v>
          </cell>
          <cell r="CZ785">
            <v>61.5</v>
          </cell>
        </row>
        <row r="786">
          <cell r="C786" t="str">
            <v>04202</v>
          </cell>
          <cell r="D786" t="str">
            <v>Tăng Thị Bé Nem</v>
          </cell>
          <cell r="E786" t="str">
            <v>Production</v>
          </cell>
          <cell r="F786" t="str">
            <v>Logo</v>
          </cell>
          <cell r="G786" t="str">
            <v>Worker</v>
          </cell>
          <cell r="H786">
            <v>45554</v>
          </cell>
          <cell r="I786">
            <v>8</v>
          </cell>
          <cell r="J786">
            <v>8</v>
          </cell>
          <cell r="K786">
            <v>8</v>
          </cell>
          <cell r="L786" t="str">
            <v>CN</v>
          </cell>
          <cell r="M786" t="str">
            <v>Đ</v>
          </cell>
          <cell r="N786" t="str">
            <v>Đ</v>
          </cell>
          <cell r="O786" t="str">
            <v>Đ</v>
          </cell>
          <cell r="P786" t="str">
            <v>Đ</v>
          </cell>
          <cell r="Q786" t="str">
            <v>Đ</v>
          </cell>
          <cell r="R786" t="str">
            <v>Đ</v>
          </cell>
          <cell r="S786" t="str">
            <v>CN</v>
          </cell>
          <cell r="T786">
            <v>8</v>
          </cell>
          <cell r="U786">
            <v>8</v>
          </cell>
          <cell r="V786">
            <v>8</v>
          </cell>
          <cell r="W786" t="str">
            <v>AL8</v>
          </cell>
          <cell r="X786" t="str">
            <v>AL8</v>
          </cell>
          <cell r="Y786" t="str">
            <v>UP8</v>
          </cell>
          <cell r="Z786" t="str">
            <v>CN</v>
          </cell>
          <cell r="AA786" t="str">
            <v>Đ</v>
          </cell>
          <cell r="AB786" t="str">
            <v>Đ</v>
          </cell>
          <cell r="AC786" t="str">
            <v>Đ</v>
          </cell>
          <cell r="AD786" t="str">
            <v>Đ</v>
          </cell>
          <cell r="AE786" t="str">
            <v>Đ</v>
          </cell>
          <cell r="AF786" t="str">
            <v>Đ</v>
          </cell>
          <cell r="AG786" t="str">
            <v>CN</v>
          </cell>
          <cell r="AH786">
            <v>8</v>
          </cell>
          <cell r="AI786">
            <v>8</v>
          </cell>
          <cell r="AJ786">
            <v>8</v>
          </cell>
          <cell r="AN786">
            <v>96</v>
          </cell>
          <cell r="AO786">
            <v>72</v>
          </cell>
          <cell r="AP786">
            <v>0</v>
          </cell>
          <cell r="AQ786">
            <v>0</v>
          </cell>
          <cell r="AR786">
            <v>0</v>
          </cell>
          <cell r="AS786">
            <v>8</v>
          </cell>
          <cell r="AT786">
            <v>0</v>
          </cell>
          <cell r="AU786">
            <v>0</v>
          </cell>
          <cell r="AV786">
            <v>0</v>
          </cell>
          <cell r="AW786">
            <v>0</v>
          </cell>
          <cell r="AX786">
            <v>0</v>
          </cell>
          <cell r="AY786">
            <v>0</v>
          </cell>
          <cell r="AZ786">
            <v>0</v>
          </cell>
          <cell r="BA786">
            <v>16</v>
          </cell>
          <cell r="BB786">
            <v>0</v>
          </cell>
          <cell r="BC786">
            <v>0</v>
          </cell>
          <cell r="BD786">
            <v>0</v>
          </cell>
          <cell r="BE786">
            <v>0</v>
          </cell>
          <cell r="BF786">
            <v>0</v>
          </cell>
          <cell r="BG786">
            <v>184</v>
          </cell>
          <cell r="BH786">
            <v>2</v>
          </cell>
          <cell r="BI786">
            <v>2</v>
          </cell>
          <cell r="BJ786">
            <v>0</v>
          </cell>
          <cell r="BL786">
            <v>0</v>
          </cell>
          <cell r="BM786">
            <v>0</v>
          </cell>
          <cell r="BN786">
            <v>0</v>
          </cell>
          <cell r="BO786">
            <v>0</v>
          </cell>
          <cell r="BP786">
            <v>1.5</v>
          </cell>
          <cell r="BQ786">
            <v>3</v>
          </cell>
          <cell r="BR786">
            <v>0</v>
          </cell>
          <cell r="BS786">
            <v>3</v>
          </cell>
          <cell r="BT786">
            <v>0</v>
          </cell>
          <cell r="BU786">
            <v>0</v>
          </cell>
          <cell r="BV786">
            <v>0</v>
          </cell>
          <cell r="BW786">
            <v>3</v>
          </cell>
          <cell r="BX786">
            <v>3</v>
          </cell>
          <cell r="BY786">
            <v>3</v>
          </cell>
          <cell r="BZ786">
            <v>0</v>
          </cell>
          <cell r="CA786">
            <v>0</v>
          </cell>
          <cell r="CB786">
            <v>0</v>
          </cell>
          <cell r="CC786">
            <v>0</v>
          </cell>
          <cell r="CD786">
            <v>4</v>
          </cell>
          <cell r="CE786">
            <v>4</v>
          </cell>
          <cell r="CF786">
            <v>4</v>
          </cell>
          <cell r="CG786">
            <v>4</v>
          </cell>
          <cell r="CH786">
            <v>1.5</v>
          </cell>
          <cell r="CI786">
            <v>1.5</v>
          </cell>
          <cell r="CJ786">
            <v>0</v>
          </cell>
          <cell r="CK786">
            <v>1.5</v>
          </cell>
          <cell r="CL786">
            <v>1.5</v>
          </cell>
          <cell r="CM786">
            <v>1.5</v>
          </cell>
          <cell r="CR786">
            <v>0</v>
          </cell>
          <cell r="CS786">
            <v>0</v>
          </cell>
          <cell r="CT786">
            <v>40</v>
          </cell>
          <cell r="CU786">
            <v>0</v>
          </cell>
          <cell r="CV786">
            <v>0</v>
          </cell>
          <cell r="CZ786">
            <v>40</v>
          </cell>
        </row>
        <row r="787">
          <cell r="C787" t="str">
            <v>04204</v>
          </cell>
          <cell r="D787" t="str">
            <v>Nguyễn Thị Thùy Trang</v>
          </cell>
          <cell r="E787" t="str">
            <v>Production</v>
          </cell>
          <cell r="F787" t="str">
            <v>Molding</v>
          </cell>
          <cell r="G787" t="str">
            <v>Worker</v>
          </cell>
          <cell r="H787">
            <v>45554</v>
          </cell>
          <cell r="I787" t="str">
            <v>Đ</v>
          </cell>
          <cell r="J787" t="str">
            <v>Đ</v>
          </cell>
          <cell r="K787" t="str">
            <v>Đ</v>
          </cell>
          <cell r="L787" t="str">
            <v>CN</v>
          </cell>
          <cell r="M787">
            <v>8</v>
          </cell>
          <cell r="N787">
            <v>8</v>
          </cell>
          <cell r="O787">
            <v>8</v>
          </cell>
          <cell r="P787">
            <v>8</v>
          </cell>
          <cell r="Q787">
            <v>8</v>
          </cell>
          <cell r="R787">
            <v>8</v>
          </cell>
          <cell r="S787" t="str">
            <v>CN</v>
          </cell>
          <cell r="T787" t="str">
            <v>Đ</v>
          </cell>
          <cell r="U787" t="str">
            <v>Đ</v>
          </cell>
          <cell r="V787" t="str">
            <v>Đ</v>
          </cell>
          <cell r="W787" t="str">
            <v>Đ</v>
          </cell>
          <cell r="X787" t="str">
            <v>Đ</v>
          </cell>
          <cell r="Y787" t="str">
            <v>CN</v>
          </cell>
          <cell r="Z787">
            <v>8</v>
          </cell>
          <cell r="AA787">
            <v>8</v>
          </cell>
          <cell r="AB787">
            <v>8</v>
          </cell>
          <cell r="AC787">
            <v>8</v>
          </cell>
          <cell r="AD787">
            <v>8</v>
          </cell>
          <cell r="AE787">
            <v>8</v>
          </cell>
          <cell r="AF787" t="str">
            <v>CN</v>
          </cell>
          <cell r="AG787" t="str">
            <v>Đ</v>
          </cell>
          <cell r="AH787" t="str">
            <v>Đ</v>
          </cell>
          <cell r="AI787" t="str">
            <v>Đ</v>
          </cell>
          <cell r="AJ787" t="str">
            <v>Đ</v>
          </cell>
          <cell r="AN787">
            <v>96</v>
          </cell>
          <cell r="AO787">
            <v>96</v>
          </cell>
          <cell r="AP787">
            <v>0</v>
          </cell>
          <cell r="AQ787">
            <v>0</v>
          </cell>
          <cell r="AR787">
            <v>0</v>
          </cell>
          <cell r="AS787">
            <v>0</v>
          </cell>
          <cell r="AT787">
            <v>0</v>
          </cell>
          <cell r="AU787">
            <v>0</v>
          </cell>
          <cell r="AV787">
            <v>0</v>
          </cell>
          <cell r="AW787">
            <v>0</v>
          </cell>
          <cell r="AX787">
            <v>0</v>
          </cell>
          <cell r="AY787">
            <v>0</v>
          </cell>
          <cell r="AZ787">
            <v>0</v>
          </cell>
          <cell r="BA787">
            <v>0</v>
          </cell>
          <cell r="BB787">
            <v>0</v>
          </cell>
          <cell r="BC787">
            <v>0</v>
          </cell>
          <cell r="BD787">
            <v>0</v>
          </cell>
          <cell r="BE787">
            <v>0</v>
          </cell>
          <cell r="BF787">
            <v>0</v>
          </cell>
          <cell r="BG787">
            <v>192</v>
          </cell>
          <cell r="BH787">
            <v>0</v>
          </cell>
          <cell r="BI787">
            <v>0</v>
          </cell>
          <cell r="BJ787">
            <v>5</v>
          </cell>
          <cell r="BL787">
            <v>0</v>
          </cell>
          <cell r="BM787">
            <v>0</v>
          </cell>
          <cell r="BN787">
            <v>0</v>
          </cell>
          <cell r="BO787">
            <v>0</v>
          </cell>
          <cell r="BP787">
            <v>0</v>
          </cell>
          <cell r="BQ787">
            <v>0</v>
          </cell>
          <cell r="BR787">
            <v>0</v>
          </cell>
          <cell r="BS787">
            <v>0</v>
          </cell>
          <cell r="BT787">
            <v>4</v>
          </cell>
          <cell r="BU787">
            <v>4</v>
          </cell>
          <cell r="BV787">
            <v>0</v>
          </cell>
          <cell r="BW787">
            <v>0</v>
          </cell>
          <cell r="BX787">
            <v>4</v>
          </cell>
          <cell r="BY787">
            <v>0</v>
          </cell>
          <cell r="BZ787">
            <v>0</v>
          </cell>
          <cell r="CA787">
            <v>4</v>
          </cell>
          <cell r="CB787">
            <v>0</v>
          </cell>
          <cell r="CC787">
            <v>4</v>
          </cell>
          <cell r="CD787">
            <v>0</v>
          </cell>
          <cell r="CE787">
            <v>0</v>
          </cell>
          <cell r="CF787">
            <v>0</v>
          </cell>
          <cell r="CG787">
            <v>4</v>
          </cell>
          <cell r="CH787">
            <v>4</v>
          </cell>
          <cell r="CI787">
            <v>0</v>
          </cell>
          <cell r="CJ787">
            <v>4</v>
          </cell>
          <cell r="CK787">
            <v>0</v>
          </cell>
          <cell r="CL787">
            <v>4</v>
          </cell>
          <cell r="CM787">
            <v>0</v>
          </cell>
          <cell r="CR787">
            <v>0</v>
          </cell>
          <cell r="CS787">
            <v>0</v>
          </cell>
          <cell r="CT787">
            <v>36</v>
          </cell>
          <cell r="CU787">
            <v>0</v>
          </cell>
          <cell r="CV787">
            <v>0</v>
          </cell>
          <cell r="CZ787">
            <v>36</v>
          </cell>
        </row>
        <row r="788">
          <cell r="C788" t="str">
            <v>04205</v>
          </cell>
          <cell r="D788" t="str">
            <v>Nguyễn Thị Thu Thảo</v>
          </cell>
          <cell r="E788" t="str">
            <v>Production</v>
          </cell>
          <cell r="F788" t="str">
            <v>Logo</v>
          </cell>
          <cell r="G788" t="str">
            <v>Worker</v>
          </cell>
          <cell r="H788">
            <v>45554</v>
          </cell>
          <cell r="I788">
            <v>8</v>
          </cell>
          <cell r="J788">
            <v>8</v>
          </cell>
          <cell r="K788">
            <v>8</v>
          </cell>
          <cell r="L788" t="str">
            <v>CN</v>
          </cell>
          <cell r="M788" t="str">
            <v>Đ</v>
          </cell>
          <cell r="N788" t="str">
            <v>Đ</v>
          </cell>
          <cell r="O788" t="str">
            <v>Đ</v>
          </cell>
          <cell r="P788" t="str">
            <v>Đ</v>
          </cell>
          <cell r="Q788" t="str">
            <v>Đ</v>
          </cell>
          <cell r="R788" t="str">
            <v>AL8</v>
          </cell>
          <cell r="S788" t="str">
            <v>CN</v>
          </cell>
          <cell r="T788" t="str">
            <v>Đ</v>
          </cell>
          <cell r="U788" t="str">
            <v>Đ</v>
          </cell>
          <cell r="V788" t="str">
            <v>Đ</v>
          </cell>
          <cell r="W788" t="str">
            <v>Đ</v>
          </cell>
          <cell r="X788" t="str">
            <v>Đ</v>
          </cell>
          <cell r="Y788" t="str">
            <v>Đ</v>
          </cell>
          <cell r="Z788" t="str">
            <v>CN</v>
          </cell>
          <cell r="AA788">
            <v>8</v>
          </cell>
          <cell r="AB788">
            <v>8</v>
          </cell>
          <cell r="AC788">
            <v>8</v>
          </cell>
          <cell r="AD788">
            <v>8</v>
          </cell>
          <cell r="AE788">
            <v>8</v>
          </cell>
          <cell r="AF788">
            <v>8</v>
          </cell>
          <cell r="AG788" t="str">
            <v>CN</v>
          </cell>
          <cell r="AH788" t="str">
            <v>Đ</v>
          </cell>
          <cell r="AI788" t="str">
            <v>Đ</v>
          </cell>
          <cell r="AJ788" t="str">
            <v>Đ</v>
          </cell>
          <cell r="AN788">
            <v>112</v>
          </cell>
          <cell r="AO788">
            <v>72</v>
          </cell>
          <cell r="AP788">
            <v>0</v>
          </cell>
          <cell r="AQ788">
            <v>0</v>
          </cell>
          <cell r="AR788">
            <v>0</v>
          </cell>
          <cell r="AS788">
            <v>0</v>
          </cell>
          <cell r="AT788">
            <v>0</v>
          </cell>
          <cell r="AU788">
            <v>0</v>
          </cell>
          <cell r="AV788">
            <v>0</v>
          </cell>
          <cell r="AW788">
            <v>0</v>
          </cell>
          <cell r="AX788">
            <v>0</v>
          </cell>
          <cell r="AY788">
            <v>0</v>
          </cell>
          <cell r="AZ788">
            <v>0</v>
          </cell>
          <cell r="BA788">
            <v>8</v>
          </cell>
          <cell r="BB788">
            <v>0</v>
          </cell>
          <cell r="BC788">
            <v>0</v>
          </cell>
          <cell r="BD788">
            <v>0</v>
          </cell>
          <cell r="BE788">
            <v>0</v>
          </cell>
          <cell r="BF788">
            <v>0</v>
          </cell>
          <cell r="BG788">
            <v>192</v>
          </cell>
          <cell r="BH788">
            <v>1</v>
          </cell>
          <cell r="BI788">
            <v>1</v>
          </cell>
          <cell r="BJ788">
            <v>3</v>
          </cell>
          <cell r="BL788">
            <v>0</v>
          </cell>
          <cell r="BM788">
            <v>0</v>
          </cell>
          <cell r="BN788">
            <v>0</v>
          </cell>
          <cell r="BO788">
            <v>0</v>
          </cell>
          <cell r="BP788">
            <v>1.5</v>
          </cell>
          <cell r="BQ788">
            <v>3</v>
          </cell>
          <cell r="BR788">
            <v>0</v>
          </cell>
          <cell r="BS788">
            <v>3</v>
          </cell>
          <cell r="BT788">
            <v>3</v>
          </cell>
          <cell r="BU788">
            <v>0</v>
          </cell>
          <cell r="BV788">
            <v>0</v>
          </cell>
          <cell r="BW788">
            <v>3</v>
          </cell>
          <cell r="BX788">
            <v>4</v>
          </cell>
          <cell r="BY788">
            <v>4</v>
          </cell>
          <cell r="BZ788">
            <v>4</v>
          </cell>
          <cell r="CA788">
            <v>4</v>
          </cell>
          <cell r="CB788">
            <v>4</v>
          </cell>
          <cell r="CC788">
            <v>0</v>
          </cell>
          <cell r="CD788">
            <v>1.5</v>
          </cell>
          <cell r="CE788">
            <v>3</v>
          </cell>
          <cell r="CF788">
            <v>3</v>
          </cell>
          <cell r="CG788">
            <v>3</v>
          </cell>
          <cell r="CH788">
            <v>1.5</v>
          </cell>
          <cell r="CI788">
            <v>1.5</v>
          </cell>
          <cell r="CJ788">
            <v>8</v>
          </cell>
          <cell r="CK788">
            <v>1.5</v>
          </cell>
          <cell r="CL788">
            <v>4</v>
          </cell>
          <cell r="CM788">
            <v>1.5</v>
          </cell>
          <cell r="CR788">
            <v>0</v>
          </cell>
          <cell r="CS788">
            <v>0</v>
          </cell>
          <cell r="CT788">
            <v>54</v>
          </cell>
          <cell r="CU788">
            <v>8</v>
          </cell>
          <cell r="CV788">
            <v>0</v>
          </cell>
          <cell r="CZ788">
            <v>62</v>
          </cell>
        </row>
        <row r="789">
          <cell r="C789" t="str">
            <v>04206</v>
          </cell>
          <cell r="D789" t="str">
            <v>Nguyễn Tấn Hưng</v>
          </cell>
          <cell r="E789" t="str">
            <v>Production</v>
          </cell>
          <cell r="F789" t="str">
            <v>Lamination</v>
          </cell>
          <cell r="G789" t="str">
            <v>Worker</v>
          </cell>
          <cell r="H789">
            <v>45554</v>
          </cell>
          <cell r="I789">
            <v>8</v>
          </cell>
          <cell r="J789" t="str">
            <v>CN</v>
          </cell>
          <cell r="K789">
            <v>8</v>
          </cell>
          <cell r="L789" t="str">
            <v>Đ</v>
          </cell>
          <cell r="M789" t="str">
            <v>Đ</v>
          </cell>
          <cell r="N789" t="str">
            <v>Đ</v>
          </cell>
          <cell r="O789" t="str">
            <v>Đ</v>
          </cell>
          <cell r="P789" t="str">
            <v>Đ</v>
          </cell>
          <cell r="Q789" t="str">
            <v>CN</v>
          </cell>
          <cell r="R789">
            <v>8</v>
          </cell>
          <cell r="S789">
            <v>8</v>
          </cell>
          <cell r="T789">
            <v>8</v>
          </cell>
          <cell r="U789">
            <v>8</v>
          </cell>
          <cell r="V789">
            <v>8</v>
          </cell>
          <cell r="W789">
            <v>8</v>
          </cell>
          <cell r="X789" t="str">
            <v>CN</v>
          </cell>
          <cell r="Y789">
            <v>8</v>
          </cell>
          <cell r="Z789" t="str">
            <v>Đ</v>
          </cell>
          <cell r="AA789" t="str">
            <v>Đ</v>
          </cell>
          <cell r="AB789" t="str">
            <v>Đ</v>
          </cell>
          <cell r="AC789" t="str">
            <v>Đ</v>
          </cell>
          <cell r="AD789" t="str">
            <v>Đ</v>
          </cell>
          <cell r="AE789" t="str">
            <v>CN</v>
          </cell>
          <cell r="AF789">
            <v>8</v>
          </cell>
          <cell r="AG789" t="str">
            <v>Đ</v>
          </cell>
          <cell r="AH789" t="str">
            <v>Đ</v>
          </cell>
          <cell r="AI789" t="str">
            <v>Đ</v>
          </cell>
          <cell r="AJ789" t="str">
            <v>Đ</v>
          </cell>
          <cell r="AN789">
            <v>112</v>
          </cell>
          <cell r="AO789">
            <v>80</v>
          </cell>
          <cell r="AP789">
            <v>0</v>
          </cell>
          <cell r="AQ789">
            <v>0</v>
          </cell>
          <cell r="AR789">
            <v>0</v>
          </cell>
          <cell r="AS789">
            <v>0</v>
          </cell>
          <cell r="AT789">
            <v>0</v>
          </cell>
          <cell r="AU789">
            <v>0</v>
          </cell>
          <cell r="AV789">
            <v>0</v>
          </cell>
          <cell r="AW789">
            <v>0</v>
          </cell>
          <cell r="AX789">
            <v>0</v>
          </cell>
          <cell r="AY789">
            <v>0</v>
          </cell>
          <cell r="AZ789">
            <v>0</v>
          </cell>
          <cell r="BA789">
            <v>0</v>
          </cell>
          <cell r="BB789">
            <v>0</v>
          </cell>
          <cell r="BC789">
            <v>0</v>
          </cell>
          <cell r="BD789">
            <v>0</v>
          </cell>
          <cell r="BE789">
            <v>0</v>
          </cell>
          <cell r="BF789">
            <v>0</v>
          </cell>
          <cell r="BG789">
            <v>192</v>
          </cell>
          <cell r="BH789">
            <v>0</v>
          </cell>
          <cell r="BI789">
            <v>0</v>
          </cell>
          <cell r="BJ789">
            <v>7.5</v>
          </cell>
          <cell r="BL789">
            <v>0</v>
          </cell>
          <cell r="BM789">
            <v>0</v>
          </cell>
          <cell r="BN789">
            <v>4</v>
          </cell>
          <cell r="BO789">
            <v>4</v>
          </cell>
          <cell r="BP789">
            <v>0</v>
          </cell>
          <cell r="BQ789">
            <v>0</v>
          </cell>
          <cell r="BR789">
            <v>0</v>
          </cell>
          <cell r="BS789">
            <v>4</v>
          </cell>
          <cell r="BT789">
            <v>0</v>
          </cell>
          <cell r="BU789">
            <v>4</v>
          </cell>
          <cell r="BV789">
            <v>4</v>
          </cell>
          <cell r="BW789">
            <v>0</v>
          </cell>
          <cell r="BX789">
            <v>0</v>
          </cell>
          <cell r="BY789">
            <v>0</v>
          </cell>
          <cell r="BZ789">
            <v>0</v>
          </cell>
          <cell r="CA789">
            <v>0</v>
          </cell>
          <cell r="CB789">
            <v>4</v>
          </cell>
          <cell r="CC789">
            <v>4</v>
          </cell>
          <cell r="CD789">
            <v>0</v>
          </cell>
          <cell r="CE789">
            <v>0</v>
          </cell>
          <cell r="CF789">
            <v>0</v>
          </cell>
          <cell r="CG789">
            <v>4</v>
          </cell>
          <cell r="CH789">
            <v>0</v>
          </cell>
          <cell r="CI789">
            <v>4</v>
          </cell>
          <cell r="CJ789">
            <v>4</v>
          </cell>
          <cell r="CK789">
            <v>0</v>
          </cell>
          <cell r="CL789">
            <v>0</v>
          </cell>
          <cell r="CM789">
            <v>0</v>
          </cell>
          <cell r="CR789">
            <v>0</v>
          </cell>
          <cell r="CS789">
            <v>0</v>
          </cell>
          <cell r="CT789">
            <v>40</v>
          </cell>
          <cell r="CU789">
            <v>0</v>
          </cell>
          <cell r="CV789">
            <v>0</v>
          </cell>
          <cell r="CZ789">
            <v>40</v>
          </cell>
        </row>
        <row r="790">
          <cell r="C790" t="str">
            <v>04209</v>
          </cell>
          <cell r="D790" t="str">
            <v>Vương Tấn Hải</v>
          </cell>
          <cell r="E790" t="str">
            <v>Production</v>
          </cell>
          <cell r="F790" t="str">
            <v>Lamination</v>
          </cell>
          <cell r="G790" t="str">
            <v>Worker</v>
          </cell>
          <cell r="H790">
            <v>45554</v>
          </cell>
          <cell r="I790">
            <v>8</v>
          </cell>
          <cell r="J790">
            <v>8</v>
          </cell>
          <cell r="K790">
            <v>8</v>
          </cell>
          <cell r="L790" t="str">
            <v>CN</v>
          </cell>
          <cell r="M790">
            <v>8</v>
          </cell>
          <cell r="N790">
            <v>8</v>
          </cell>
          <cell r="O790">
            <v>8</v>
          </cell>
          <cell r="P790">
            <v>8</v>
          </cell>
          <cell r="Q790">
            <v>8</v>
          </cell>
          <cell r="R790">
            <v>8</v>
          </cell>
          <cell r="S790" t="str">
            <v>CN</v>
          </cell>
          <cell r="T790" t="str">
            <v>Đ</v>
          </cell>
          <cell r="U790" t="str">
            <v>Đ</v>
          </cell>
          <cell r="V790" t="str">
            <v>Đ</v>
          </cell>
          <cell r="W790" t="str">
            <v>Đ</v>
          </cell>
          <cell r="X790" t="str">
            <v>Đ</v>
          </cell>
          <cell r="Y790" t="str">
            <v>Đ</v>
          </cell>
          <cell r="Z790" t="str">
            <v>CN</v>
          </cell>
          <cell r="AA790" t="str">
            <v>Đ</v>
          </cell>
          <cell r="AB790" t="str">
            <v>Đ</v>
          </cell>
          <cell r="AC790" t="str">
            <v>AL8</v>
          </cell>
          <cell r="AD790" t="str">
            <v>Đ</v>
          </cell>
          <cell r="AE790" t="str">
            <v>CN</v>
          </cell>
          <cell r="AF790">
            <v>8</v>
          </cell>
          <cell r="AG790" t="str">
            <v>Đ</v>
          </cell>
          <cell r="AH790" t="str">
            <v>Đ</v>
          </cell>
          <cell r="AI790" t="str">
            <v>Đ</v>
          </cell>
          <cell r="AJ790" t="str">
            <v>Đ</v>
          </cell>
          <cell r="AN790">
            <v>104</v>
          </cell>
          <cell r="AO790">
            <v>80</v>
          </cell>
          <cell r="AP790">
            <v>0</v>
          </cell>
          <cell r="AQ790">
            <v>0</v>
          </cell>
          <cell r="AR790">
            <v>0</v>
          </cell>
          <cell r="AS790">
            <v>0</v>
          </cell>
          <cell r="AT790">
            <v>0</v>
          </cell>
          <cell r="AU790">
            <v>0</v>
          </cell>
          <cell r="AV790">
            <v>0</v>
          </cell>
          <cell r="AW790">
            <v>0</v>
          </cell>
          <cell r="AX790">
            <v>0</v>
          </cell>
          <cell r="AY790">
            <v>0</v>
          </cell>
          <cell r="AZ790">
            <v>0</v>
          </cell>
          <cell r="BA790">
            <v>8</v>
          </cell>
          <cell r="BB790">
            <v>0</v>
          </cell>
          <cell r="BC790">
            <v>0</v>
          </cell>
          <cell r="BD790">
            <v>0</v>
          </cell>
          <cell r="BE790">
            <v>0</v>
          </cell>
          <cell r="BF790">
            <v>0</v>
          </cell>
          <cell r="BG790">
            <v>192</v>
          </cell>
          <cell r="BH790">
            <v>1</v>
          </cell>
          <cell r="BI790">
            <v>1</v>
          </cell>
          <cell r="BJ790">
            <v>0.5</v>
          </cell>
          <cell r="BL790">
            <v>0</v>
          </cell>
          <cell r="BM790">
            <v>0</v>
          </cell>
          <cell r="BN790">
            <v>4</v>
          </cell>
          <cell r="BO790">
            <v>0</v>
          </cell>
          <cell r="BP790">
            <v>0</v>
          </cell>
          <cell r="BQ790">
            <v>4</v>
          </cell>
          <cell r="BR790">
            <v>0</v>
          </cell>
          <cell r="BS790">
            <v>4</v>
          </cell>
          <cell r="BT790">
            <v>4</v>
          </cell>
          <cell r="BU790">
            <v>0</v>
          </cell>
          <cell r="BV790">
            <v>0</v>
          </cell>
          <cell r="BW790">
            <v>0</v>
          </cell>
          <cell r="BX790">
            <v>0</v>
          </cell>
          <cell r="BY790">
            <v>4</v>
          </cell>
          <cell r="BZ790">
            <v>0</v>
          </cell>
          <cell r="CA790">
            <v>4</v>
          </cell>
          <cell r="CB790">
            <v>0</v>
          </cell>
          <cell r="CC790">
            <v>0</v>
          </cell>
          <cell r="CD790">
            <v>0</v>
          </cell>
          <cell r="CE790">
            <v>0</v>
          </cell>
          <cell r="CF790">
            <v>0</v>
          </cell>
          <cell r="CG790">
            <v>0</v>
          </cell>
          <cell r="CH790">
            <v>0</v>
          </cell>
          <cell r="CI790">
            <v>4</v>
          </cell>
          <cell r="CJ790">
            <v>4</v>
          </cell>
          <cell r="CK790">
            <v>4</v>
          </cell>
          <cell r="CL790">
            <v>0</v>
          </cell>
          <cell r="CM790">
            <v>0</v>
          </cell>
          <cell r="CR790">
            <v>0</v>
          </cell>
          <cell r="CS790">
            <v>0</v>
          </cell>
          <cell r="CT790">
            <v>36</v>
          </cell>
          <cell r="CU790">
            <v>0</v>
          </cell>
          <cell r="CV790">
            <v>0</v>
          </cell>
          <cell r="CZ790">
            <v>36</v>
          </cell>
        </row>
        <row r="791">
          <cell r="C791" t="str">
            <v>04211</v>
          </cell>
          <cell r="D791" t="str">
            <v>Nguyễn Phú Nhật</v>
          </cell>
          <cell r="E791" t="str">
            <v>Production</v>
          </cell>
          <cell r="F791" t="str">
            <v>Prefitting</v>
          </cell>
          <cell r="G791" t="str">
            <v>Worker</v>
          </cell>
          <cell r="H791">
            <v>45554</v>
          </cell>
          <cell r="I791" t="str">
            <v>Đ</v>
          </cell>
          <cell r="J791" t="str">
            <v>CN</v>
          </cell>
          <cell r="K791">
            <v>8</v>
          </cell>
          <cell r="L791">
            <v>8</v>
          </cell>
          <cell r="M791">
            <v>8</v>
          </cell>
          <cell r="N791" t="str">
            <v>AL4</v>
          </cell>
          <cell r="O791">
            <v>8</v>
          </cell>
          <cell r="P791">
            <v>8</v>
          </cell>
          <cell r="Q791" t="str">
            <v>CN</v>
          </cell>
          <cell r="R791" t="str">
            <v>Đ</v>
          </cell>
          <cell r="S791" t="str">
            <v>Đ</v>
          </cell>
          <cell r="T791" t="str">
            <v>Đ</v>
          </cell>
          <cell r="U791" t="str">
            <v>Đ</v>
          </cell>
          <cell r="V791" t="str">
            <v>Đ</v>
          </cell>
          <cell r="W791" t="str">
            <v>Đ</v>
          </cell>
          <cell r="X791" t="str">
            <v>CN</v>
          </cell>
          <cell r="Y791">
            <v>8</v>
          </cell>
          <cell r="Z791">
            <v>8</v>
          </cell>
          <cell r="AA791">
            <v>8</v>
          </cell>
          <cell r="AB791">
            <v>8</v>
          </cell>
          <cell r="AC791">
            <v>8</v>
          </cell>
          <cell r="AD791">
            <v>8</v>
          </cell>
          <cell r="AE791" t="str">
            <v>CN</v>
          </cell>
          <cell r="AF791">
            <v>8</v>
          </cell>
          <cell r="AG791" t="str">
            <v>AL4</v>
          </cell>
          <cell r="AH791">
            <v>8</v>
          </cell>
          <cell r="AI791">
            <v>8</v>
          </cell>
          <cell r="AJ791">
            <v>8</v>
          </cell>
          <cell r="AN791">
            <v>56</v>
          </cell>
          <cell r="AO791">
            <v>128</v>
          </cell>
          <cell r="AP791">
            <v>8</v>
          </cell>
          <cell r="AQ791">
            <v>0</v>
          </cell>
          <cell r="AR791">
            <v>0</v>
          </cell>
          <cell r="AS791">
            <v>0</v>
          </cell>
          <cell r="AT791">
            <v>0</v>
          </cell>
          <cell r="AU791">
            <v>0</v>
          </cell>
          <cell r="AV791">
            <v>0</v>
          </cell>
          <cell r="AW791">
            <v>0</v>
          </cell>
          <cell r="AX791">
            <v>0</v>
          </cell>
          <cell r="AY791">
            <v>0</v>
          </cell>
          <cell r="AZ791">
            <v>0</v>
          </cell>
          <cell r="BA791">
            <v>8</v>
          </cell>
          <cell r="BB791">
            <v>0</v>
          </cell>
          <cell r="BC791">
            <v>0</v>
          </cell>
          <cell r="BD791">
            <v>0</v>
          </cell>
          <cell r="BE791">
            <v>0</v>
          </cell>
          <cell r="BF791">
            <v>0</v>
          </cell>
          <cell r="BG791">
            <v>192</v>
          </cell>
          <cell r="BH791">
            <v>1</v>
          </cell>
          <cell r="BI791">
            <v>1</v>
          </cell>
          <cell r="BJ791">
            <v>-3</v>
          </cell>
          <cell r="BL791">
            <v>0</v>
          </cell>
          <cell r="BM791">
            <v>0</v>
          </cell>
          <cell r="BN791">
            <v>4</v>
          </cell>
          <cell r="BO791">
            <v>4</v>
          </cell>
          <cell r="BP791">
            <v>0</v>
          </cell>
          <cell r="BQ791">
            <v>0</v>
          </cell>
          <cell r="BR791">
            <v>0</v>
          </cell>
          <cell r="BS791">
            <v>0</v>
          </cell>
          <cell r="BT791">
            <v>0</v>
          </cell>
          <cell r="BU791">
            <v>4</v>
          </cell>
          <cell r="BV791">
            <v>4</v>
          </cell>
          <cell r="BW791">
            <v>0</v>
          </cell>
          <cell r="BX791">
            <v>0</v>
          </cell>
          <cell r="BY791">
            <v>0</v>
          </cell>
          <cell r="BZ791">
            <v>4</v>
          </cell>
          <cell r="CA791">
            <v>0</v>
          </cell>
          <cell r="CB791">
            <v>4</v>
          </cell>
          <cell r="CC791">
            <v>4</v>
          </cell>
          <cell r="CD791">
            <v>0</v>
          </cell>
          <cell r="CE791">
            <v>0</v>
          </cell>
          <cell r="CF791">
            <v>0</v>
          </cell>
          <cell r="CG791">
            <v>4</v>
          </cell>
          <cell r="CH791">
            <v>0</v>
          </cell>
          <cell r="CI791">
            <v>4</v>
          </cell>
          <cell r="CJ791">
            <v>4</v>
          </cell>
          <cell r="CK791">
            <v>0</v>
          </cell>
          <cell r="CL791">
            <v>0</v>
          </cell>
          <cell r="CM791">
            <v>0</v>
          </cell>
          <cell r="CR791">
            <v>0</v>
          </cell>
          <cell r="CS791">
            <v>0</v>
          </cell>
          <cell r="CT791">
            <v>40</v>
          </cell>
          <cell r="CU791">
            <v>0</v>
          </cell>
          <cell r="CV791">
            <v>0</v>
          </cell>
          <cell r="CZ791">
            <v>40</v>
          </cell>
        </row>
        <row r="792">
          <cell r="C792" t="str">
            <v>04212</v>
          </cell>
          <cell r="D792" t="str">
            <v>Thạch Ngọc Tiền</v>
          </cell>
          <cell r="E792" t="str">
            <v>Production</v>
          </cell>
          <cell r="F792" t="str">
            <v>Molding</v>
          </cell>
          <cell r="G792" t="str">
            <v>Worker</v>
          </cell>
          <cell r="H792">
            <v>45554</v>
          </cell>
          <cell r="I792" t="str">
            <v>Đ</v>
          </cell>
          <cell r="J792" t="str">
            <v>Đ</v>
          </cell>
          <cell r="K792" t="str">
            <v>UP8</v>
          </cell>
          <cell r="L792" t="str">
            <v>CN</v>
          </cell>
          <cell r="M792" t="str">
            <v>UP8</v>
          </cell>
          <cell r="N792" t="str">
            <v>UP8</v>
          </cell>
          <cell r="O792">
            <v>8</v>
          </cell>
          <cell r="P792">
            <v>8</v>
          </cell>
          <cell r="Q792">
            <v>8</v>
          </cell>
          <cell r="R792">
            <v>8</v>
          </cell>
          <cell r="S792" t="str">
            <v>CN</v>
          </cell>
          <cell r="T792" t="str">
            <v>Đ</v>
          </cell>
          <cell r="U792" t="str">
            <v>Đ</v>
          </cell>
          <cell r="V792" t="str">
            <v>Đ</v>
          </cell>
          <cell r="W792" t="str">
            <v>Đ</v>
          </cell>
          <cell r="X792" t="str">
            <v>Đ</v>
          </cell>
          <cell r="Y792" t="str">
            <v>Đ</v>
          </cell>
          <cell r="Z792" t="str">
            <v>CN</v>
          </cell>
          <cell r="AA792">
            <v>8</v>
          </cell>
          <cell r="AB792">
            <v>8</v>
          </cell>
          <cell r="AC792">
            <v>8</v>
          </cell>
          <cell r="AD792">
            <v>8</v>
          </cell>
          <cell r="AE792">
            <v>8</v>
          </cell>
          <cell r="AF792">
            <v>8</v>
          </cell>
          <cell r="AG792" t="str">
            <v>CN</v>
          </cell>
          <cell r="AH792" t="str">
            <v>Đ</v>
          </cell>
          <cell r="AI792" t="str">
            <v>Đ</v>
          </cell>
          <cell r="AJ792" t="str">
            <v>Đ</v>
          </cell>
          <cell r="AN792">
            <v>88</v>
          </cell>
          <cell r="AO792">
            <v>80</v>
          </cell>
          <cell r="AP792">
            <v>0</v>
          </cell>
          <cell r="AQ792">
            <v>0</v>
          </cell>
          <cell r="AR792">
            <v>0</v>
          </cell>
          <cell r="AS792">
            <v>24</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168</v>
          </cell>
          <cell r="BH792">
            <v>0</v>
          </cell>
          <cell r="BI792">
            <v>0</v>
          </cell>
          <cell r="BJ792">
            <v>1</v>
          </cell>
          <cell r="BL792">
            <v>0</v>
          </cell>
          <cell r="BM792">
            <v>0</v>
          </cell>
          <cell r="BN792">
            <v>0</v>
          </cell>
          <cell r="BO792">
            <v>0</v>
          </cell>
          <cell r="BP792">
            <v>0</v>
          </cell>
          <cell r="BQ792">
            <v>0</v>
          </cell>
          <cell r="BR792">
            <v>0</v>
          </cell>
          <cell r="BS792">
            <v>0</v>
          </cell>
          <cell r="BT792">
            <v>4</v>
          </cell>
          <cell r="BU792">
            <v>0</v>
          </cell>
          <cell r="BV792">
            <v>0</v>
          </cell>
          <cell r="BW792">
            <v>0</v>
          </cell>
          <cell r="BX792">
            <v>4</v>
          </cell>
          <cell r="BY792">
            <v>4</v>
          </cell>
          <cell r="BZ792">
            <v>0</v>
          </cell>
          <cell r="CA792">
            <v>0</v>
          </cell>
          <cell r="CB792">
            <v>0</v>
          </cell>
          <cell r="CC792">
            <v>0</v>
          </cell>
          <cell r="CD792">
            <v>0</v>
          </cell>
          <cell r="CE792">
            <v>0</v>
          </cell>
          <cell r="CF792">
            <v>4</v>
          </cell>
          <cell r="CG792">
            <v>0</v>
          </cell>
          <cell r="CH792">
            <v>4</v>
          </cell>
          <cell r="CI792">
            <v>4</v>
          </cell>
          <cell r="CJ792" t="str">
            <v>12Đ</v>
          </cell>
          <cell r="CK792">
            <v>4</v>
          </cell>
          <cell r="CL792">
            <v>0</v>
          </cell>
          <cell r="CM792">
            <v>0</v>
          </cell>
          <cell r="CR792">
            <v>0</v>
          </cell>
          <cell r="CS792">
            <v>0</v>
          </cell>
          <cell r="CT792">
            <v>28</v>
          </cell>
          <cell r="CU792">
            <v>4</v>
          </cell>
          <cell r="CV792">
            <v>8</v>
          </cell>
          <cell r="CZ792">
            <v>40</v>
          </cell>
        </row>
        <row r="793">
          <cell r="C793" t="str">
            <v>04214</v>
          </cell>
          <cell r="D793" t="str">
            <v xml:space="preserve"> Lê Vũ Linh</v>
          </cell>
          <cell r="E793" t="str">
            <v>Production</v>
          </cell>
          <cell r="F793" t="str">
            <v>Lamination</v>
          </cell>
          <cell r="G793" t="str">
            <v>Worker</v>
          </cell>
          <cell r="H793">
            <v>45561</v>
          </cell>
          <cell r="I793" t="str">
            <v>Đ</v>
          </cell>
          <cell r="J793" t="str">
            <v>Đ</v>
          </cell>
          <cell r="K793" t="str">
            <v>Đ</v>
          </cell>
          <cell r="L793" t="str">
            <v>CN</v>
          </cell>
          <cell r="M793">
            <v>8</v>
          </cell>
          <cell r="N793">
            <v>8</v>
          </cell>
          <cell r="O793">
            <v>8</v>
          </cell>
          <cell r="P793">
            <v>8</v>
          </cell>
          <cell r="Q793">
            <v>8</v>
          </cell>
          <cell r="R793">
            <v>8</v>
          </cell>
          <cell r="S793" t="str">
            <v>CN</v>
          </cell>
          <cell r="T793">
            <v>8</v>
          </cell>
          <cell r="U793">
            <v>8</v>
          </cell>
          <cell r="V793">
            <v>8</v>
          </cell>
          <cell r="W793">
            <v>8</v>
          </cell>
          <cell r="X793" t="str">
            <v>AL8</v>
          </cell>
          <cell r="Y793">
            <v>8</v>
          </cell>
          <cell r="Z793" t="str">
            <v>CN</v>
          </cell>
          <cell r="AA793">
            <v>8</v>
          </cell>
          <cell r="AB793">
            <v>8</v>
          </cell>
          <cell r="AC793">
            <v>8</v>
          </cell>
          <cell r="AD793">
            <v>8</v>
          </cell>
          <cell r="AE793">
            <v>8</v>
          </cell>
          <cell r="AF793" t="str">
            <v>CN</v>
          </cell>
          <cell r="AG793">
            <v>8</v>
          </cell>
          <cell r="AH793">
            <v>8</v>
          </cell>
          <cell r="AI793">
            <v>8</v>
          </cell>
          <cell r="AJ793">
            <v>8</v>
          </cell>
          <cell r="AN793">
            <v>24</v>
          </cell>
          <cell r="AO793">
            <v>160</v>
          </cell>
          <cell r="AP793">
            <v>0</v>
          </cell>
          <cell r="AQ793">
            <v>0</v>
          </cell>
          <cell r="AR793">
            <v>0</v>
          </cell>
          <cell r="AS793">
            <v>0</v>
          </cell>
          <cell r="AT793">
            <v>0</v>
          </cell>
          <cell r="AU793">
            <v>0</v>
          </cell>
          <cell r="AV793">
            <v>0</v>
          </cell>
          <cell r="AW793">
            <v>0</v>
          </cell>
          <cell r="AX793">
            <v>0</v>
          </cell>
          <cell r="AY793">
            <v>0</v>
          </cell>
          <cell r="AZ793">
            <v>0</v>
          </cell>
          <cell r="BA793">
            <v>8</v>
          </cell>
          <cell r="BB793">
            <v>0</v>
          </cell>
          <cell r="BC793">
            <v>0</v>
          </cell>
          <cell r="BD793">
            <v>0</v>
          </cell>
          <cell r="BE793">
            <v>0</v>
          </cell>
          <cell r="BF793">
            <v>0</v>
          </cell>
          <cell r="BG793">
            <v>192</v>
          </cell>
          <cell r="BH793">
            <v>1</v>
          </cell>
          <cell r="BI793">
            <v>1</v>
          </cell>
          <cell r="BJ793">
            <v>2</v>
          </cell>
          <cell r="BL793">
            <v>0</v>
          </cell>
          <cell r="BM793">
            <v>0</v>
          </cell>
          <cell r="BN793">
            <v>0</v>
          </cell>
          <cell r="BO793">
            <v>0</v>
          </cell>
          <cell r="BP793">
            <v>0</v>
          </cell>
          <cell r="BQ793">
            <v>4</v>
          </cell>
          <cell r="BR793">
            <v>0</v>
          </cell>
          <cell r="BS793">
            <v>0</v>
          </cell>
          <cell r="BT793">
            <v>4</v>
          </cell>
          <cell r="BU793">
            <v>0</v>
          </cell>
          <cell r="BV793">
            <v>0</v>
          </cell>
          <cell r="BW793">
            <v>0</v>
          </cell>
          <cell r="BX793">
            <v>0</v>
          </cell>
          <cell r="BY793">
            <v>4</v>
          </cell>
          <cell r="BZ793">
            <v>0</v>
          </cell>
          <cell r="CA793">
            <v>0</v>
          </cell>
          <cell r="CB793">
            <v>0</v>
          </cell>
          <cell r="CC793">
            <v>0</v>
          </cell>
          <cell r="CD793">
            <v>0</v>
          </cell>
          <cell r="CE793">
            <v>4</v>
          </cell>
          <cell r="CF793">
            <v>4</v>
          </cell>
          <cell r="CG793">
            <v>0</v>
          </cell>
          <cell r="CH793">
            <v>4</v>
          </cell>
          <cell r="CI793">
            <v>0</v>
          </cell>
          <cell r="CJ793">
            <v>4</v>
          </cell>
          <cell r="CK793">
            <v>4</v>
          </cell>
          <cell r="CL793">
            <v>0</v>
          </cell>
          <cell r="CM793">
            <v>0</v>
          </cell>
          <cell r="CR793">
            <v>0</v>
          </cell>
          <cell r="CS793">
            <v>0</v>
          </cell>
          <cell r="CT793">
            <v>32</v>
          </cell>
          <cell r="CU793">
            <v>0</v>
          </cell>
          <cell r="CV793">
            <v>0</v>
          </cell>
          <cell r="CZ793">
            <v>32</v>
          </cell>
        </row>
        <row r="794">
          <cell r="C794" t="str">
            <v>04219</v>
          </cell>
          <cell r="D794" t="str">
            <v xml:space="preserve">Huỳnh Phú Trung </v>
          </cell>
          <cell r="E794" t="str">
            <v>Production</v>
          </cell>
          <cell r="F794" t="str">
            <v>Lamination</v>
          </cell>
          <cell r="G794" t="str">
            <v>Worker</v>
          </cell>
          <cell r="H794">
            <v>45561</v>
          </cell>
          <cell r="I794">
            <v>8</v>
          </cell>
          <cell r="J794">
            <v>8</v>
          </cell>
          <cell r="K794">
            <v>8</v>
          </cell>
          <cell r="L794" t="str">
            <v>CN</v>
          </cell>
          <cell r="M794">
            <v>8</v>
          </cell>
          <cell r="N794">
            <v>8</v>
          </cell>
          <cell r="O794">
            <v>8</v>
          </cell>
          <cell r="P794">
            <v>8</v>
          </cell>
          <cell r="Q794">
            <v>8</v>
          </cell>
          <cell r="R794">
            <v>8</v>
          </cell>
          <cell r="S794" t="str">
            <v>CN</v>
          </cell>
          <cell r="T794">
            <v>8</v>
          </cell>
          <cell r="U794">
            <v>8</v>
          </cell>
          <cell r="V794">
            <v>8</v>
          </cell>
          <cell r="W794">
            <v>8</v>
          </cell>
          <cell r="X794" t="str">
            <v>CN</v>
          </cell>
          <cell r="Y794">
            <v>8</v>
          </cell>
          <cell r="Z794" t="str">
            <v>Đ</v>
          </cell>
          <cell r="AA794" t="str">
            <v>Đ</v>
          </cell>
          <cell r="AB794" t="str">
            <v>Đ</v>
          </cell>
          <cell r="AC794" t="str">
            <v>Đ</v>
          </cell>
          <cell r="AD794" t="str">
            <v>Đ</v>
          </cell>
          <cell r="AE794" t="str">
            <v>CN</v>
          </cell>
          <cell r="AF794">
            <v>8</v>
          </cell>
          <cell r="AG794" t="str">
            <v>Đ</v>
          </cell>
          <cell r="AH794" t="str">
            <v>Đ</v>
          </cell>
          <cell r="AI794" t="str">
            <v>Đ</v>
          </cell>
          <cell r="AJ794" t="str">
            <v>Đ</v>
          </cell>
          <cell r="AN794">
            <v>72</v>
          </cell>
          <cell r="AO794">
            <v>120</v>
          </cell>
          <cell r="AP794">
            <v>0</v>
          </cell>
          <cell r="AQ794">
            <v>0</v>
          </cell>
          <cell r="AR794">
            <v>0</v>
          </cell>
          <cell r="AS794">
            <v>0</v>
          </cell>
          <cell r="AT794">
            <v>0</v>
          </cell>
          <cell r="AU794">
            <v>0</v>
          </cell>
          <cell r="AV794">
            <v>0</v>
          </cell>
          <cell r="AW794">
            <v>0</v>
          </cell>
          <cell r="AX794">
            <v>0</v>
          </cell>
          <cell r="AY794">
            <v>0</v>
          </cell>
          <cell r="AZ794">
            <v>0</v>
          </cell>
          <cell r="BA794">
            <v>0</v>
          </cell>
          <cell r="BB794">
            <v>0</v>
          </cell>
          <cell r="BC794">
            <v>0</v>
          </cell>
          <cell r="BD794">
            <v>0</v>
          </cell>
          <cell r="BE794">
            <v>0</v>
          </cell>
          <cell r="BF794">
            <v>0</v>
          </cell>
          <cell r="BG794">
            <v>192</v>
          </cell>
          <cell r="BH794">
            <v>0</v>
          </cell>
          <cell r="BI794">
            <v>0</v>
          </cell>
          <cell r="BJ794">
            <v>9.5</v>
          </cell>
          <cell r="BL794">
            <v>4</v>
          </cell>
          <cell r="BM794">
            <v>0</v>
          </cell>
          <cell r="BN794">
            <v>0</v>
          </cell>
          <cell r="BO794">
            <v>0</v>
          </cell>
          <cell r="BP794">
            <v>0</v>
          </cell>
          <cell r="BQ794">
            <v>4</v>
          </cell>
          <cell r="BR794">
            <v>0</v>
          </cell>
          <cell r="BS794">
            <v>4</v>
          </cell>
          <cell r="BT794">
            <v>0</v>
          </cell>
          <cell r="BU794">
            <v>4</v>
          </cell>
          <cell r="BV794">
            <v>0</v>
          </cell>
          <cell r="BW794">
            <v>0</v>
          </cell>
          <cell r="BX794">
            <v>0</v>
          </cell>
          <cell r="BY794">
            <v>4</v>
          </cell>
          <cell r="BZ794">
            <v>0</v>
          </cell>
          <cell r="CA794">
            <v>0</v>
          </cell>
          <cell r="CB794">
            <v>4</v>
          </cell>
          <cell r="CC794">
            <v>4</v>
          </cell>
          <cell r="CD794">
            <v>0</v>
          </cell>
          <cell r="CE794">
            <v>0</v>
          </cell>
          <cell r="CF794">
            <v>0</v>
          </cell>
          <cell r="CG794">
            <v>4</v>
          </cell>
          <cell r="CH794">
            <v>0</v>
          </cell>
          <cell r="CI794">
            <v>4</v>
          </cell>
          <cell r="CJ794">
            <v>4</v>
          </cell>
          <cell r="CK794">
            <v>4</v>
          </cell>
          <cell r="CL794">
            <v>0</v>
          </cell>
          <cell r="CM794">
            <v>0</v>
          </cell>
          <cell r="CR794">
            <v>0</v>
          </cell>
          <cell r="CS794">
            <v>0</v>
          </cell>
          <cell r="CT794">
            <v>44</v>
          </cell>
          <cell r="CU794">
            <v>0</v>
          </cell>
          <cell r="CV794">
            <v>0</v>
          </cell>
          <cell r="CZ794">
            <v>44</v>
          </cell>
        </row>
        <row r="795">
          <cell r="C795" t="str">
            <v>04220</v>
          </cell>
          <cell r="D795" t="str">
            <v>Nguyễn Bảo Qúi</v>
          </cell>
          <cell r="E795" t="str">
            <v>Production</v>
          </cell>
          <cell r="F795" t="str">
            <v>Prefitting</v>
          </cell>
          <cell r="G795" t="str">
            <v>Worker</v>
          </cell>
          <cell r="H795">
            <v>45561</v>
          </cell>
          <cell r="I795">
            <v>8</v>
          </cell>
          <cell r="J795" t="str">
            <v>Đ</v>
          </cell>
          <cell r="K795" t="str">
            <v>Đ</v>
          </cell>
          <cell r="L795" t="str">
            <v>CN</v>
          </cell>
          <cell r="M795" t="str">
            <v>AL4</v>
          </cell>
          <cell r="N795">
            <v>8</v>
          </cell>
          <cell r="O795">
            <v>8</v>
          </cell>
          <cell r="P795">
            <v>8</v>
          </cell>
          <cell r="Q795">
            <v>8</v>
          </cell>
          <cell r="R795">
            <v>8</v>
          </cell>
          <cell r="S795" t="str">
            <v>CN</v>
          </cell>
          <cell r="T795">
            <v>8</v>
          </cell>
          <cell r="U795">
            <v>8</v>
          </cell>
          <cell r="V795">
            <v>8</v>
          </cell>
          <cell r="W795">
            <v>8</v>
          </cell>
          <cell r="X795" t="str">
            <v>Đ</v>
          </cell>
          <cell r="Y795" t="str">
            <v>Đ</v>
          </cell>
          <cell r="Z795" t="str">
            <v>CN</v>
          </cell>
          <cell r="AA795" t="str">
            <v>AL4</v>
          </cell>
          <cell r="AB795">
            <v>8</v>
          </cell>
          <cell r="AC795">
            <v>8</v>
          </cell>
          <cell r="AD795">
            <v>8</v>
          </cell>
          <cell r="AE795">
            <v>8</v>
          </cell>
          <cell r="AF795">
            <v>8</v>
          </cell>
          <cell r="AG795" t="str">
            <v>CN</v>
          </cell>
          <cell r="AH795">
            <v>8</v>
          </cell>
          <cell r="AI795">
            <v>8</v>
          </cell>
          <cell r="AJ795">
            <v>8</v>
          </cell>
          <cell r="AN795">
            <v>32</v>
          </cell>
          <cell r="AO795">
            <v>152</v>
          </cell>
          <cell r="AP795">
            <v>8</v>
          </cell>
          <cell r="AQ795">
            <v>0</v>
          </cell>
          <cell r="AR795">
            <v>0</v>
          </cell>
          <cell r="AS795">
            <v>0</v>
          </cell>
          <cell r="AT795">
            <v>0</v>
          </cell>
          <cell r="AU795">
            <v>0</v>
          </cell>
          <cell r="AV795">
            <v>0</v>
          </cell>
          <cell r="AW795">
            <v>0</v>
          </cell>
          <cell r="AX795">
            <v>0</v>
          </cell>
          <cell r="AY795">
            <v>0</v>
          </cell>
          <cell r="AZ795">
            <v>0</v>
          </cell>
          <cell r="BA795">
            <v>8</v>
          </cell>
          <cell r="BB795">
            <v>0</v>
          </cell>
          <cell r="BC795">
            <v>0</v>
          </cell>
          <cell r="BD795">
            <v>0</v>
          </cell>
          <cell r="BE795">
            <v>0</v>
          </cell>
          <cell r="BF795">
            <v>0</v>
          </cell>
          <cell r="BG795">
            <v>192</v>
          </cell>
          <cell r="BH795">
            <v>1</v>
          </cell>
          <cell r="BI795">
            <v>1</v>
          </cell>
          <cell r="BJ795">
            <v>0</v>
          </cell>
          <cell r="BL795">
            <v>0</v>
          </cell>
          <cell r="BM795">
            <v>0</v>
          </cell>
          <cell r="BN795">
            <v>0</v>
          </cell>
          <cell r="BO795">
            <v>0</v>
          </cell>
          <cell r="BP795">
            <v>0</v>
          </cell>
          <cell r="BQ795">
            <v>0</v>
          </cell>
          <cell r="BR795">
            <v>0</v>
          </cell>
          <cell r="BS795">
            <v>0</v>
          </cell>
          <cell r="BT795">
            <v>0</v>
          </cell>
          <cell r="BU795">
            <v>4</v>
          </cell>
          <cell r="BV795">
            <v>0</v>
          </cell>
          <cell r="BW795">
            <v>0</v>
          </cell>
          <cell r="BX795">
            <v>0</v>
          </cell>
          <cell r="BY795">
            <v>0</v>
          </cell>
          <cell r="BZ795">
            <v>0</v>
          </cell>
          <cell r="CA795">
            <v>4</v>
          </cell>
          <cell r="CB795">
            <v>4</v>
          </cell>
          <cell r="CC795">
            <v>0</v>
          </cell>
          <cell r="CD795">
            <v>0</v>
          </cell>
          <cell r="CE795">
            <v>0</v>
          </cell>
          <cell r="CF795">
            <v>0</v>
          </cell>
          <cell r="CG795">
            <v>4</v>
          </cell>
          <cell r="CH795">
            <v>4</v>
          </cell>
          <cell r="CI795">
            <v>4</v>
          </cell>
          <cell r="CJ795">
            <v>0</v>
          </cell>
          <cell r="CK795">
            <v>0</v>
          </cell>
          <cell r="CL795">
            <v>0</v>
          </cell>
          <cell r="CM795">
            <v>0</v>
          </cell>
          <cell r="CR795">
            <v>0</v>
          </cell>
          <cell r="CS795">
            <v>0</v>
          </cell>
          <cell r="CT795">
            <v>24</v>
          </cell>
          <cell r="CU795">
            <v>0</v>
          </cell>
          <cell r="CV795">
            <v>0</v>
          </cell>
          <cell r="CZ795">
            <v>24</v>
          </cell>
        </row>
        <row r="796">
          <cell r="C796" t="str">
            <v>04224</v>
          </cell>
          <cell r="D796" t="str">
            <v>Nguyễn Thị Ngọc Hiếu</v>
          </cell>
          <cell r="E796" t="str">
            <v>Production</v>
          </cell>
          <cell r="F796" t="str">
            <v>Molding</v>
          </cell>
          <cell r="G796" t="str">
            <v>Worker</v>
          </cell>
          <cell r="H796">
            <v>45561</v>
          </cell>
          <cell r="I796" t="str">
            <v>Đ</v>
          </cell>
          <cell r="J796" t="str">
            <v>Đ</v>
          </cell>
          <cell r="K796" t="str">
            <v>CN</v>
          </cell>
          <cell r="L796">
            <v>8</v>
          </cell>
          <cell r="M796">
            <v>8</v>
          </cell>
          <cell r="N796">
            <v>8</v>
          </cell>
          <cell r="O796">
            <v>8</v>
          </cell>
          <cell r="P796">
            <v>8</v>
          </cell>
          <cell r="Q796">
            <v>8</v>
          </cell>
          <cell r="R796" t="str">
            <v>CN</v>
          </cell>
          <cell r="S796" t="str">
            <v>Đ</v>
          </cell>
          <cell r="T796" t="str">
            <v>Đ</v>
          </cell>
          <cell r="U796" t="str">
            <v>Đ</v>
          </cell>
          <cell r="V796" t="str">
            <v>Đ</v>
          </cell>
          <cell r="W796" t="str">
            <v>Đ</v>
          </cell>
          <cell r="X796" t="str">
            <v>Đ</v>
          </cell>
          <cell r="Y796" t="str">
            <v>CN</v>
          </cell>
          <cell r="Z796">
            <v>8</v>
          </cell>
          <cell r="AA796">
            <v>8</v>
          </cell>
          <cell r="AB796">
            <v>8</v>
          </cell>
          <cell r="AC796">
            <v>8</v>
          </cell>
          <cell r="AD796">
            <v>8</v>
          </cell>
          <cell r="AE796">
            <v>8</v>
          </cell>
          <cell r="AF796" t="str">
            <v>CN</v>
          </cell>
          <cell r="AG796" t="str">
            <v>Đ</v>
          </cell>
          <cell r="AH796" t="str">
            <v>Đ</v>
          </cell>
          <cell r="AI796" t="str">
            <v>Đ</v>
          </cell>
          <cell r="AJ796" t="str">
            <v>Đ</v>
          </cell>
          <cell r="AN796">
            <v>96</v>
          </cell>
          <cell r="AO796">
            <v>96</v>
          </cell>
          <cell r="AP796">
            <v>0</v>
          </cell>
          <cell r="AQ796">
            <v>0</v>
          </cell>
          <cell r="AR796">
            <v>0</v>
          </cell>
          <cell r="AS796">
            <v>0</v>
          </cell>
          <cell r="AT796">
            <v>0</v>
          </cell>
          <cell r="AU796">
            <v>0</v>
          </cell>
          <cell r="AV796">
            <v>0</v>
          </cell>
          <cell r="AW796">
            <v>0</v>
          </cell>
          <cell r="AX796">
            <v>0</v>
          </cell>
          <cell r="AY796">
            <v>0</v>
          </cell>
          <cell r="AZ796">
            <v>0</v>
          </cell>
          <cell r="BA796">
            <v>0</v>
          </cell>
          <cell r="BB796">
            <v>0</v>
          </cell>
          <cell r="BC796">
            <v>0</v>
          </cell>
          <cell r="BD796">
            <v>0</v>
          </cell>
          <cell r="BE796">
            <v>0</v>
          </cell>
          <cell r="BF796">
            <v>0</v>
          </cell>
          <cell r="BG796">
            <v>192</v>
          </cell>
          <cell r="BH796">
            <v>0</v>
          </cell>
          <cell r="BI796">
            <v>0</v>
          </cell>
          <cell r="BJ796">
            <v>0.5</v>
          </cell>
          <cell r="BL796">
            <v>0</v>
          </cell>
          <cell r="BM796">
            <v>4</v>
          </cell>
          <cell r="BN796">
            <v>0</v>
          </cell>
          <cell r="BO796">
            <v>4</v>
          </cell>
          <cell r="BP796">
            <v>0</v>
          </cell>
          <cell r="BQ796">
            <v>0</v>
          </cell>
          <cell r="BR796">
            <v>0</v>
          </cell>
          <cell r="BS796">
            <v>0</v>
          </cell>
          <cell r="BT796">
            <v>4</v>
          </cell>
          <cell r="BU796">
            <v>0</v>
          </cell>
          <cell r="BV796">
            <v>4</v>
          </cell>
          <cell r="BW796">
            <v>0</v>
          </cell>
          <cell r="BX796">
            <v>0</v>
          </cell>
          <cell r="BY796">
            <v>0</v>
          </cell>
          <cell r="BZ796">
            <v>0</v>
          </cell>
          <cell r="CA796">
            <v>4</v>
          </cell>
          <cell r="CB796">
            <v>0</v>
          </cell>
          <cell r="CC796">
            <v>4</v>
          </cell>
          <cell r="CD796">
            <v>0</v>
          </cell>
          <cell r="CE796">
            <v>0</v>
          </cell>
          <cell r="CF796">
            <v>0</v>
          </cell>
          <cell r="CG796">
            <v>0</v>
          </cell>
          <cell r="CH796">
            <v>4</v>
          </cell>
          <cell r="CI796">
            <v>0</v>
          </cell>
          <cell r="CJ796">
            <v>4</v>
          </cell>
          <cell r="CK796">
            <v>0</v>
          </cell>
          <cell r="CL796">
            <v>0</v>
          </cell>
          <cell r="CM796">
            <v>0</v>
          </cell>
          <cell r="CR796">
            <v>0</v>
          </cell>
          <cell r="CS796">
            <v>0</v>
          </cell>
          <cell r="CT796">
            <v>32</v>
          </cell>
          <cell r="CU796">
            <v>0</v>
          </cell>
          <cell r="CV796">
            <v>0</v>
          </cell>
          <cell r="CZ796">
            <v>32</v>
          </cell>
        </row>
        <row r="797">
          <cell r="C797" t="str">
            <v>04226</v>
          </cell>
          <cell r="D797" t="str">
            <v>Nguyễn Thị Mai</v>
          </cell>
          <cell r="E797" t="str">
            <v>Production</v>
          </cell>
          <cell r="F797" t="str">
            <v>Molding</v>
          </cell>
          <cell r="G797" t="str">
            <v>Worker</v>
          </cell>
          <cell r="H797">
            <v>45561</v>
          </cell>
          <cell r="I797">
            <v>8</v>
          </cell>
          <cell r="J797" t="str">
            <v>CN</v>
          </cell>
          <cell r="K797" t="str">
            <v>Đ</v>
          </cell>
          <cell r="L797" t="str">
            <v>Đ</v>
          </cell>
          <cell r="M797" t="str">
            <v>Đ</v>
          </cell>
          <cell r="N797" t="str">
            <v>Đ</v>
          </cell>
          <cell r="O797" t="str">
            <v>Đ</v>
          </cell>
          <cell r="P797" t="str">
            <v>Đ</v>
          </cell>
          <cell r="Q797" t="str">
            <v>CN</v>
          </cell>
          <cell r="R797">
            <v>8</v>
          </cell>
          <cell r="S797">
            <v>8</v>
          </cell>
          <cell r="T797">
            <v>8</v>
          </cell>
          <cell r="U797">
            <v>8</v>
          </cell>
          <cell r="V797">
            <v>8</v>
          </cell>
          <cell r="W797">
            <v>8</v>
          </cell>
          <cell r="X797" t="str">
            <v>CN</v>
          </cell>
          <cell r="Y797" t="str">
            <v>Đ</v>
          </cell>
          <cell r="Z797" t="str">
            <v>Đ</v>
          </cell>
          <cell r="AA797" t="str">
            <v>Đ</v>
          </cell>
          <cell r="AB797" t="str">
            <v>Đ</v>
          </cell>
          <cell r="AC797" t="str">
            <v>UP8</v>
          </cell>
          <cell r="AD797" t="str">
            <v>UP8</v>
          </cell>
          <cell r="AE797" t="str">
            <v>CN</v>
          </cell>
          <cell r="AF797" t="str">
            <v>UP8</v>
          </cell>
          <cell r="AG797" t="str">
            <v>UP8</v>
          </cell>
          <cell r="AH797" t="str">
            <v>UP8</v>
          </cell>
          <cell r="AI797" t="str">
            <v>UP8</v>
          </cell>
          <cell r="AJ797" t="str">
            <v>UP8</v>
          </cell>
          <cell r="AN797">
            <v>80</v>
          </cell>
          <cell r="AO797">
            <v>56</v>
          </cell>
          <cell r="AP797">
            <v>0</v>
          </cell>
          <cell r="AQ797">
            <v>0</v>
          </cell>
          <cell r="AR797">
            <v>0</v>
          </cell>
          <cell r="AS797">
            <v>56</v>
          </cell>
          <cell r="AT797">
            <v>0</v>
          </cell>
          <cell r="AU797">
            <v>0</v>
          </cell>
          <cell r="AV797">
            <v>0</v>
          </cell>
          <cell r="AW797">
            <v>0</v>
          </cell>
          <cell r="AX797">
            <v>0</v>
          </cell>
          <cell r="AY797">
            <v>0</v>
          </cell>
          <cell r="AZ797">
            <v>0</v>
          </cell>
          <cell r="BA797">
            <v>0</v>
          </cell>
          <cell r="BB797">
            <v>0</v>
          </cell>
          <cell r="BC797">
            <v>0</v>
          </cell>
          <cell r="BD797">
            <v>0</v>
          </cell>
          <cell r="BE797">
            <v>0</v>
          </cell>
          <cell r="BF797">
            <v>0</v>
          </cell>
          <cell r="BG797">
            <v>136</v>
          </cell>
          <cell r="BH797">
            <v>0</v>
          </cell>
          <cell r="BI797">
            <v>0</v>
          </cell>
          <cell r="BJ797">
            <v>0</v>
          </cell>
          <cell r="BL797">
            <v>0</v>
          </cell>
          <cell r="BM797">
            <v>0</v>
          </cell>
          <cell r="BN797">
            <v>4</v>
          </cell>
          <cell r="BO797">
            <v>4</v>
          </cell>
          <cell r="BP797">
            <v>0</v>
          </cell>
          <cell r="BQ797">
            <v>0</v>
          </cell>
          <cell r="BR797">
            <v>0</v>
          </cell>
          <cell r="BS797">
            <v>0</v>
          </cell>
          <cell r="BT797">
            <v>0</v>
          </cell>
          <cell r="BU797">
            <v>0</v>
          </cell>
          <cell r="BV797">
            <v>4</v>
          </cell>
          <cell r="BW797">
            <v>0</v>
          </cell>
          <cell r="BX797">
            <v>0</v>
          </cell>
          <cell r="BY797">
            <v>0</v>
          </cell>
          <cell r="BZ797">
            <v>0</v>
          </cell>
          <cell r="CA797">
            <v>0</v>
          </cell>
          <cell r="CB797">
            <v>4</v>
          </cell>
          <cell r="CC797">
            <v>4</v>
          </cell>
          <cell r="CD797">
            <v>0</v>
          </cell>
          <cell r="CE797">
            <v>0</v>
          </cell>
          <cell r="CF797">
            <v>0</v>
          </cell>
          <cell r="CG797">
            <v>0</v>
          </cell>
          <cell r="CH797">
            <v>0</v>
          </cell>
          <cell r="CI797">
            <v>0</v>
          </cell>
          <cell r="CJ797">
            <v>0</v>
          </cell>
          <cell r="CK797">
            <v>0</v>
          </cell>
          <cell r="CL797">
            <v>0</v>
          </cell>
          <cell r="CM797">
            <v>0</v>
          </cell>
          <cell r="CR797">
            <v>0</v>
          </cell>
          <cell r="CS797">
            <v>0</v>
          </cell>
          <cell r="CT797">
            <v>20</v>
          </cell>
          <cell r="CU797">
            <v>0</v>
          </cell>
          <cell r="CV797">
            <v>0</v>
          </cell>
          <cell r="CZ797">
            <v>20</v>
          </cell>
        </row>
        <row r="798">
          <cell r="C798" t="str">
            <v>04228</v>
          </cell>
          <cell r="D798" t="str">
            <v>Lê Tấn Vương</v>
          </cell>
          <cell r="E798" t="str">
            <v>Production</v>
          </cell>
          <cell r="F798" t="str">
            <v>Prefitting</v>
          </cell>
          <cell r="G798" t="str">
            <v>Worker</v>
          </cell>
          <cell r="H798">
            <v>45561</v>
          </cell>
          <cell r="I798" t="str">
            <v>Đ</v>
          </cell>
          <cell r="J798" t="str">
            <v>CN</v>
          </cell>
          <cell r="K798">
            <v>8</v>
          </cell>
          <cell r="L798">
            <v>8</v>
          </cell>
          <cell r="M798">
            <v>8</v>
          </cell>
          <cell r="N798">
            <v>8</v>
          </cell>
          <cell r="O798">
            <v>8</v>
          </cell>
          <cell r="P798">
            <v>8</v>
          </cell>
          <cell r="Q798" t="str">
            <v>CN</v>
          </cell>
          <cell r="R798" t="str">
            <v>Đ</v>
          </cell>
          <cell r="S798" t="str">
            <v>Đ</v>
          </cell>
          <cell r="T798" t="str">
            <v>Đ</v>
          </cell>
          <cell r="U798" t="str">
            <v>Đ</v>
          </cell>
          <cell r="V798" t="str">
            <v>Đ</v>
          </cell>
          <cell r="W798" t="str">
            <v>Đ</v>
          </cell>
          <cell r="X798" t="str">
            <v>CN</v>
          </cell>
          <cell r="Y798">
            <v>8</v>
          </cell>
          <cell r="Z798">
            <v>8</v>
          </cell>
          <cell r="AA798">
            <v>8</v>
          </cell>
          <cell r="AB798">
            <v>8</v>
          </cell>
          <cell r="AC798">
            <v>8</v>
          </cell>
          <cell r="AD798">
            <v>8</v>
          </cell>
          <cell r="AE798" t="str">
            <v>CN</v>
          </cell>
          <cell r="AF798" t="str">
            <v>Đ</v>
          </cell>
          <cell r="AG798" t="str">
            <v>Đ</v>
          </cell>
          <cell r="AH798" t="str">
            <v>Đ</v>
          </cell>
          <cell r="AI798" t="str">
            <v>Đ</v>
          </cell>
          <cell r="AJ798" t="str">
            <v>Đ</v>
          </cell>
          <cell r="AN798">
            <v>96</v>
          </cell>
          <cell r="AO798">
            <v>96</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192</v>
          </cell>
          <cell r="BH798">
            <v>0</v>
          </cell>
          <cell r="BI798">
            <v>0</v>
          </cell>
          <cell r="BJ798">
            <v>1</v>
          </cell>
          <cell r="BL798">
            <v>0</v>
          </cell>
          <cell r="BM798">
            <v>0</v>
          </cell>
          <cell r="BN798">
            <v>4</v>
          </cell>
          <cell r="BO798">
            <v>4</v>
          </cell>
          <cell r="BP798">
            <v>0</v>
          </cell>
          <cell r="BQ798">
            <v>0</v>
          </cell>
          <cell r="BR798">
            <v>0</v>
          </cell>
          <cell r="BS798">
            <v>0</v>
          </cell>
          <cell r="BT798">
            <v>0</v>
          </cell>
          <cell r="BU798">
            <v>4</v>
          </cell>
          <cell r="BV798">
            <v>4</v>
          </cell>
          <cell r="BW798">
            <v>0</v>
          </cell>
          <cell r="BX798">
            <v>0</v>
          </cell>
          <cell r="BY798">
            <v>0</v>
          </cell>
          <cell r="BZ798">
            <v>0</v>
          </cell>
          <cell r="CA798">
            <v>0</v>
          </cell>
          <cell r="CB798">
            <v>4</v>
          </cell>
          <cell r="CC798">
            <v>4</v>
          </cell>
          <cell r="CD798">
            <v>0</v>
          </cell>
          <cell r="CE798">
            <v>0</v>
          </cell>
          <cell r="CF798">
            <v>0</v>
          </cell>
          <cell r="CG798">
            <v>0</v>
          </cell>
          <cell r="CH798">
            <v>0</v>
          </cell>
          <cell r="CI798">
            <v>4</v>
          </cell>
          <cell r="CJ798">
            <v>4</v>
          </cell>
          <cell r="CK798">
            <v>0</v>
          </cell>
          <cell r="CL798">
            <v>0</v>
          </cell>
          <cell r="CM798">
            <v>0</v>
          </cell>
          <cell r="CR798">
            <v>0</v>
          </cell>
          <cell r="CS798">
            <v>0</v>
          </cell>
          <cell r="CT798">
            <v>32</v>
          </cell>
          <cell r="CU798">
            <v>0</v>
          </cell>
          <cell r="CV798">
            <v>0</v>
          </cell>
          <cell r="CZ798">
            <v>32</v>
          </cell>
        </row>
        <row r="799">
          <cell r="C799" t="str">
            <v>04230</v>
          </cell>
          <cell r="D799" t="str">
            <v>Lê Thị Kim Ngân</v>
          </cell>
          <cell r="E799" t="str">
            <v>Production</v>
          </cell>
          <cell r="F799" t="str">
            <v>Molding</v>
          </cell>
          <cell r="G799" t="str">
            <v>Worker</v>
          </cell>
          <cell r="H799">
            <v>45561</v>
          </cell>
          <cell r="I799">
            <v>8</v>
          </cell>
          <cell r="J799">
            <v>8</v>
          </cell>
          <cell r="K799">
            <v>8</v>
          </cell>
          <cell r="L799" t="str">
            <v>CN</v>
          </cell>
          <cell r="M799">
            <v>8</v>
          </cell>
          <cell r="N799">
            <v>8</v>
          </cell>
          <cell r="O799">
            <v>8</v>
          </cell>
          <cell r="P799">
            <v>8</v>
          </cell>
          <cell r="Q799">
            <v>8</v>
          </cell>
          <cell r="R799">
            <v>8</v>
          </cell>
          <cell r="S799" t="str">
            <v>CN</v>
          </cell>
          <cell r="T799">
            <v>8</v>
          </cell>
          <cell r="U799">
            <v>8</v>
          </cell>
          <cell r="V799">
            <v>8</v>
          </cell>
          <cell r="W799">
            <v>8</v>
          </cell>
          <cell r="X799">
            <v>8</v>
          </cell>
          <cell r="Y799">
            <v>8</v>
          </cell>
          <cell r="Z799" t="str">
            <v>CN</v>
          </cell>
          <cell r="AA799">
            <v>8</v>
          </cell>
          <cell r="AB799">
            <v>8</v>
          </cell>
          <cell r="AC799">
            <v>8</v>
          </cell>
          <cell r="AD799">
            <v>8</v>
          </cell>
          <cell r="AE799">
            <v>8</v>
          </cell>
          <cell r="AF799">
            <v>8</v>
          </cell>
          <cell r="AG799" t="str">
            <v>CN</v>
          </cell>
          <cell r="AH799">
            <v>8</v>
          </cell>
          <cell r="AI799">
            <v>8</v>
          </cell>
          <cell r="AJ799">
            <v>8</v>
          </cell>
          <cell r="AN799">
            <v>0</v>
          </cell>
          <cell r="AO799">
            <v>192</v>
          </cell>
          <cell r="AP799">
            <v>0</v>
          </cell>
          <cell r="AQ799">
            <v>0</v>
          </cell>
          <cell r="AR799">
            <v>0</v>
          </cell>
          <cell r="AS799">
            <v>0</v>
          </cell>
          <cell r="AT799">
            <v>0</v>
          </cell>
          <cell r="AU799">
            <v>0</v>
          </cell>
          <cell r="AV799">
            <v>0</v>
          </cell>
          <cell r="AW799">
            <v>0</v>
          </cell>
          <cell r="AX799">
            <v>0</v>
          </cell>
          <cell r="AY799">
            <v>0</v>
          </cell>
          <cell r="AZ799">
            <v>0</v>
          </cell>
          <cell r="BA799">
            <v>0</v>
          </cell>
          <cell r="BB799">
            <v>0</v>
          </cell>
          <cell r="BC799">
            <v>0</v>
          </cell>
          <cell r="BD799">
            <v>0</v>
          </cell>
          <cell r="BE799">
            <v>0</v>
          </cell>
          <cell r="BF799">
            <v>0</v>
          </cell>
          <cell r="BG799">
            <v>192</v>
          </cell>
          <cell r="BH799">
            <v>0</v>
          </cell>
          <cell r="BI799">
            <v>0</v>
          </cell>
          <cell r="BJ799">
            <v>1</v>
          </cell>
          <cell r="BL799">
            <v>0</v>
          </cell>
          <cell r="BM799">
            <v>0</v>
          </cell>
          <cell r="BN799">
            <v>0</v>
          </cell>
          <cell r="BO799">
            <v>0</v>
          </cell>
          <cell r="BP799">
            <v>0</v>
          </cell>
          <cell r="BQ799">
            <v>4</v>
          </cell>
          <cell r="BR799">
            <v>0</v>
          </cell>
          <cell r="BS799">
            <v>0</v>
          </cell>
          <cell r="BT799">
            <v>0</v>
          </cell>
          <cell r="BU799">
            <v>0</v>
          </cell>
          <cell r="BV799">
            <v>0</v>
          </cell>
          <cell r="BW799">
            <v>4</v>
          </cell>
          <cell r="BX799">
            <v>4</v>
          </cell>
          <cell r="BY799">
            <v>0</v>
          </cell>
          <cell r="BZ799">
            <v>0</v>
          </cell>
          <cell r="CA799">
            <v>4</v>
          </cell>
          <cell r="CB799">
            <v>0</v>
          </cell>
          <cell r="CC799">
            <v>0</v>
          </cell>
          <cell r="CD799">
            <v>4</v>
          </cell>
          <cell r="CE799">
            <v>0</v>
          </cell>
          <cell r="CF799">
            <v>0</v>
          </cell>
          <cell r="CG799">
            <v>0</v>
          </cell>
          <cell r="CH799">
            <v>4</v>
          </cell>
          <cell r="CI799">
            <v>4</v>
          </cell>
          <cell r="CJ799">
            <v>0</v>
          </cell>
          <cell r="CK799">
            <v>4</v>
          </cell>
          <cell r="CL799">
            <v>0</v>
          </cell>
          <cell r="CM799">
            <v>0</v>
          </cell>
          <cell r="CR799">
            <v>0</v>
          </cell>
          <cell r="CS799">
            <v>0</v>
          </cell>
          <cell r="CT799">
            <v>32</v>
          </cell>
          <cell r="CU799">
            <v>0</v>
          </cell>
          <cell r="CV799">
            <v>0</v>
          </cell>
          <cell r="CZ799">
            <v>32</v>
          </cell>
        </row>
        <row r="800">
          <cell r="C800" t="str">
            <v>04232</v>
          </cell>
          <cell r="D800" t="str">
            <v>Tạ Thị Yến Trang</v>
          </cell>
          <cell r="E800" t="str">
            <v>Production</v>
          </cell>
          <cell r="F800" t="str">
            <v>Molding</v>
          </cell>
          <cell r="G800" t="str">
            <v>Worker</v>
          </cell>
          <cell r="H800">
            <v>45561</v>
          </cell>
          <cell r="I800">
            <v>8</v>
          </cell>
          <cell r="J800" t="str">
            <v>CN</v>
          </cell>
          <cell r="K800" t="str">
            <v>Đ</v>
          </cell>
          <cell r="L800" t="str">
            <v>Đ</v>
          </cell>
          <cell r="M800" t="str">
            <v>Đ</v>
          </cell>
          <cell r="N800" t="str">
            <v>Đ</v>
          </cell>
          <cell r="O800" t="str">
            <v>Đ</v>
          </cell>
          <cell r="P800" t="str">
            <v>Đ</v>
          </cell>
          <cell r="Q800" t="str">
            <v>CN</v>
          </cell>
          <cell r="R800">
            <v>8</v>
          </cell>
          <cell r="S800">
            <v>8</v>
          </cell>
          <cell r="T800" t="str">
            <v>UP4</v>
          </cell>
          <cell r="U800">
            <v>8</v>
          </cell>
          <cell r="V800">
            <v>8</v>
          </cell>
          <cell r="W800" t="str">
            <v>AL8</v>
          </cell>
          <cell r="X800" t="str">
            <v>CN</v>
          </cell>
          <cell r="Y800" t="str">
            <v>UP8</v>
          </cell>
          <cell r="Z800" t="str">
            <v>Đ</v>
          </cell>
          <cell r="AA800" t="str">
            <v>Đ</v>
          </cell>
          <cell r="AB800" t="str">
            <v>Đ</v>
          </cell>
          <cell r="AC800" t="str">
            <v>Đ</v>
          </cell>
          <cell r="AD800" t="str">
            <v>Đ</v>
          </cell>
          <cell r="AE800" t="str">
            <v>CN</v>
          </cell>
          <cell r="AF800">
            <v>8</v>
          </cell>
          <cell r="AG800" t="str">
            <v>SL</v>
          </cell>
          <cell r="AH800" t="str">
            <v>SL</v>
          </cell>
          <cell r="AI800">
            <v>8</v>
          </cell>
          <cell r="AJ800">
            <v>8</v>
          </cell>
          <cell r="AN800">
            <v>88</v>
          </cell>
          <cell r="AO800">
            <v>68</v>
          </cell>
          <cell r="AP800">
            <v>0</v>
          </cell>
          <cell r="AQ800">
            <v>2</v>
          </cell>
          <cell r="AR800">
            <v>4</v>
          </cell>
          <cell r="AS800">
            <v>12</v>
          </cell>
          <cell r="AT800">
            <v>0</v>
          </cell>
          <cell r="AU800">
            <v>0</v>
          </cell>
          <cell r="AV800">
            <v>0</v>
          </cell>
          <cell r="AW800">
            <v>0</v>
          </cell>
          <cell r="AX800">
            <v>0</v>
          </cell>
          <cell r="AY800">
            <v>0</v>
          </cell>
          <cell r="AZ800">
            <v>0</v>
          </cell>
          <cell r="BA800">
            <v>8</v>
          </cell>
          <cell r="BB800">
            <v>0</v>
          </cell>
          <cell r="BC800">
            <v>0</v>
          </cell>
          <cell r="BD800">
            <v>0</v>
          </cell>
          <cell r="BE800">
            <v>0</v>
          </cell>
          <cell r="BF800">
            <v>0</v>
          </cell>
          <cell r="BG800">
            <v>164</v>
          </cell>
          <cell r="BH800">
            <v>1</v>
          </cell>
          <cell r="BI800">
            <v>1</v>
          </cell>
          <cell r="BJ800">
            <v>-3</v>
          </cell>
          <cell r="BL800">
            <v>0</v>
          </cell>
          <cell r="BM800">
            <v>0</v>
          </cell>
          <cell r="BN800">
            <v>0</v>
          </cell>
          <cell r="BO800">
            <v>4</v>
          </cell>
          <cell r="BP800">
            <v>0</v>
          </cell>
          <cell r="BQ800">
            <v>0</v>
          </cell>
          <cell r="BR800">
            <v>0</v>
          </cell>
          <cell r="BS800">
            <v>0</v>
          </cell>
          <cell r="BT800">
            <v>0</v>
          </cell>
          <cell r="BU800">
            <v>4</v>
          </cell>
          <cell r="BV800">
            <v>4</v>
          </cell>
          <cell r="BW800">
            <v>0</v>
          </cell>
          <cell r="BX800">
            <v>0</v>
          </cell>
          <cell r="BY800">
            <v>0</v>
          </cell>
          <cell r="BZ800">
            <v>0</v>
          </cell>
          <cell r="CA800">
            <v>0</v>
          </cell>
          <cell r="CB800">
            <v>2.5</v>
          </cell>
          <cell r="CC800">
            <v>4</v>
          </cell>
          <cell r="CD800">
            <v>0</v>
          </cell>
          <cell r="CE800">
            <v>0</v>
          </cell>
          <cell r="CF800">
            <v>0</v>
          </cell>
          <cell r="CG800">
            <v>0</v>
          </cell>
          <cell r="CH800">
            <v>0</v>
          </cell>
          <cell r="CI800">
            <v>4</v>
          </cell>
          <cell r="CJ800">
            <v>0</v>
          </cell>
          <cell r="CK800">
            <v>0</v>
          </cell>
          <cell r="CL800">
            <v>0</v>
          </cell>
          <cell r="CM800">
            <v>0</v>
          </cell>
          <cell r="CR800">
            <v>0</v>
          </cell>
          <cell r="CS800">
            <v>0</v>
          </cell>
          <cell r="CT800">
            <v>22.5</v>
          </cell>
          <cell r="CU800">
            <v>0</v>
          </cell>
          <cell r="CV800">
            <v>0</v>
          </cell>
          <cell r="CZ800">
            <v>22.5</v>
          </cell>
        </row>
        <row r="801">
          <cell r="C801" t="str">
            <v>04237</v>
          </cell>
          <cell r="D801" t="str">
            <v xml:space="preserve">Phan Kiều Diễm </v>
          </cell>
          <cell r="E801" t="str">
            <v>Foaming</v>
          </cell>
          <cell r="F801" t="str">
            <v>FOAMING Production control</v>
          </cell>
          <cell r="G801" t="str">
            <v>Staff</v>
          </cell>
          <cell r="H801">
            <v>45561</v>
          </cell>
          <cell r="I801">
            <v>8</v>
          </cell>
          <cell r="J801">
            <v>8</v>
          </cell>
          <cell r="K801" t="str">
            <v>PO</v>
          </cell>
          <cell r="L801" t="str">
            <v>CN</v>
          </cell>
          <cell r="M801">
            <v>8</v>
          </cell>
          <cell r="N801">
            <v>8</v>
          </cell>
          <cell r="O801">
            <v>8</v>
          </cell>
          <cell r="P801">
            <v>8</v>
          </cell>
          <cell r="Q801">
            <v>8</v>
          </cell>
          <cell r="R801" t="str">
            <v>PO</v>
          </cell>
          <cell r="S801" t="str">
            <v>CN</v>
          </cell>
          <cell r="T801">
            <v>8</v>
          </cell>
          <cell r="U801">
            <v>8</v>
          </cell>
          <cell r="V801">
            <v>8</v>
          </cell>
          <cell r="W801">
            <v>8</v>
          </cell>
          <cell r="X801">
            <v>8</v>
          </cell>
          <cell r="Y801" t="str">
            <v>PO</v>
          </cell>
          <cell r="Z801" t="str">
            <v>CN</v>
          </cell>
          <cell r="AA801">
            <v>8</v>
          </cell>
          <cell r="AB801">
            <v>8</v>
          </cell>
          <cell r="AC801">
            <v>8</v>
          </cell>
          <cell r="AD801">
            <v>8</v>
          </cell>
          <cell r="AE801">
            <v>8</v>
          </cell>
          <cell r="AF801" t="str">
            <v>PO</v>
          </cell>
          <cell r="AG801" t="str">
            <v>CN</v>
          </cell>
          <cell r="AH801">
            <v>8</v>
          </cell>
          <cell r="AI801">
            <v>8</v>
          </cell>
          <cell r="AJ801">
            <v>8</v>
          </cell>
          <cell r="AN801">
            <v>0</v>
          </cell>
          <cell r="AO801">
            <v>160</v>
          </cell>
          <cell r="AP801">
            <v>0</v>
          </cell>
          <cell r="AQ801">
            <v>0</v>
          </cell>
          <cell r="AR801">
            <v>0</v>
          </cell>
          <cell r="AS801">
            <v>0</v>
          </cell>
          <cell r="AT801">
            <v>0</v>
          </cell>
          <cell r="AU801">
            <v>0</v>
          </cell>
          <cell r="AV801">
            <v>32</v>
          </cell>
          <cell r="AW801">
            <v>0</v>
          </cell>
          <cell r="AX801">
            <v>0</v>
          </cell>
          <cell r="AY801">
            <v>0</v>
          </cell>
          <cell r="AZ801">
            <v>0</v>
          </cell>
          <cell r="BA801">
            <v>0</v>
          </cell>
          <cell r="BB801">
            <v>0</v>
          </cell>
          <cell r="BC801">
            <v>0</v>
          </cell>
          <cell r="BD801">
            <v>0</v>
          </cell>
          <cell r="BE801">
            <v>0</v>
          </cell>
          <cell r="BF801">
            <v>0</v>
          </cell>
          <cell r="BG801">
            <v>192</v>
          </cell>
          <cell r="BH801">
            <v>0</v>
          </cell>
          <cell r="BI801">
            <v>0</v>
          </cell>
          <cell r="BJ801">
            <v>5</v>
          </cell>
          <cell r="BL801">
            <v>1.5</v>
          </cell>
          <cell r="BM801">
            <v>0</v>
          </cell>
          <cell r="BN801">
            <v>0</v>
          </cell>
          <cell r="BO801">
            <v>0</v>
          </cell>
          <cell r="BP801">
            <v>1</v>
          </cell>
          <cell r="BQ801">
            <v>0</v>
          </cell>
          <cell r="BR801">
            <v>0</v>
          </cell>
          <cell r="BS801">
            <v>0</v>
          </cell>
          <cell r="BT801">
            <v>0</v>
          </cell>
          <cell r="BU801">
            <v>0</v>
          </cell>
          <cell r="BV801">
            <v>0</v>
          </cell>
          <cell r="BW801">
            <v>0</v>
          </cell>
          <cell r="BX801">
            <v>0</v>
          </cell>
          <cell r="BY801">
            <v>1</v>
          </cell>
          <cell r="BZ801">
            <v>0</v>
          </cell>
          <cell r="CA801">
            <v>0</v>
          </cell>
          <cell r="CB801">
            <v>0</v>
          </cell>
          <cell r="CC801">
            <v>0</v>
          </cell>
          <cell r="CD801">
            <v>0</v>
          </cell>
          <cell r="CE801">
            <v>0</v>
          </cell>
          <cell r="CF801">
            <v>1.5</v>
          </cell>
          <cell r="CG801">
            <v>0</v>
          </cell>
          <cell r="CH801">
            <v>0</v>
          </cell>
          <cell r="CI801">
            <v>0</v>
          </cell>
          <cell r="CJ801">
            <v>0</v>
          </cell>
          <cell r="CK801">
            <v>0.5</v>
          </cell>
          <cell r="CL801">
            <v>0</v>
          </cell>
          <cell r="CM801">
            <v>0.75</v>
          </cell>
          <cell r="CR801">
            <v>0</v>
          </cell>
          <cell r="CS801">
            <v>0</v>
          </cell>
          <cell r="CT801">
            <v>6.25</v>
          </cell>
          <cell r="CU801">
            <v>0</v>
          </cell>
          <cell r="CV801">
            <v>0</v>
          </cell>
          <cell r="CZ801">
            <v>6.25</v>
          </cell>
        </row>
        <row r="802">
          <cell r="C802" t="str">
            <v>01184</v>
          </cell>
          <cell r="D802" t="str">
            <v>Bạch Thị Vy</v>
          </cell>
          <cell r="E802" t="str">
            <v>Sales</v>
          </cell>
          <cell r="F802" t="str">
            <v>Costing</v>
          </cell>
          <cell r="G802" t="str">
            <v>Specialist</v>
          </cell>
          <cell r="H802">
            <v>43181</v>
          </cell>
          <cell r="I802">
            <v>8</v>
          </cell>
          <cell r="J802">
            <v>8</v>
          </cell>
          <cell r="K802" t="str">
            <v>PO</v>
          </cell>
          <cell r="L802" t="str">
            <v>CN</v>
          </cell>
          <cell r="M802">
            <v>8</v>
          </cell>
          <cell r="N802">
            <v>8</v>
          </cell>
          <cell r="O802">
            <v>8</v>
          </cell>
          <cell r="P802">
            <v>8</v>
          </cell>
          <cell r="Q802">
            <v>8</v>
          </cell>
          <cell r="R802" t="str">
            <v>PO</v>
          </cell>
          <cell r="S802" t="str">
            <v>CN</v>
          </cell>
          <cell r="T802">
            <v>8</v>
          </cell>
          <cell r="U802">
            <v>8</v>
          </cell>
          <cell r="V802">
            <v>8</v>
          </cell>
          <cell r="W802">
            <v>8</v>
          </cell>
          <cell r="X802">
            <v>8</v>
          </cell>
          <cell r="Y802" t="str">
            <v>PO</v>
          </cell>
          <cell r="Z802" t="str">
            <v>CN</v>
          </cell>
          <cell r="AA802">
            <v>8</v>
          </cell>
          <cell r="AB802">
            <v>8</v>
          </cell>
          <cell r="AC802">
            <v>8</v>
          </cell>
          <cell r="AD802">
            <v>8</v>
          </cell>
          <cell r="AE802">
            <v>8</v>
          </cell>
          <cell r="AF802" t="str">
            <v>PO</v>
          </cell>
          <cell r="AG802" t="str">
            <v>CN</v>
          </cell>
          <cell r="AH802">
            <v>8</v>
          </cell>
          <cell r="AI802" t="str">
            <v>AL4</v>
          </cell>
          <cell r="AJ802" t="str">
            <v>AL8</v>
          </cell>
          <cell r="AN802">
            <v>0</v>
          </cell>
          <cell r="AO802">
            <v>148</v>
          </cell>
          <cell r="AP802">
            <v>4</v>
          </cell>
          <cell r="AQ802">
            <v>0</v>
          </cell>
          <cell r="AR802">
            <v>0</v>
          </cell>
          <cell r="AS802">
            <v>0</v>
          </cell>
          <cell r="AT802">
            <v>0</v>
          </cell>
          <cell r="AU802">
            <v>0</v>
          </cell>
          <cell r="AV802">
            <v>32</v>
          </cell>
          <cell r="AW802">
            <v>0</v>
          </cell>
          <cell r="AX802">
            <v>0</v>
          </cell>
          <cell r="AY802">
            <v>0</v>
          </cell>
          <cell r="AZ802">
            <v>0</v>
          </cell>
          <cell r="BA802">
            <v>12</v>
          </cell>
          <cell r="BB802">
            <v>0</v>
          </cell>
          <cell r="BC802">
            <v>0</v>
          </cell>
          <cell r="BD802">
            <v>0</v>
          </cell>
          <cell r="BE802">
            <v>0</v>
          </cell>
          <cell r="BF802">
            <v>0</v>
          </cell>
          <cell r="BG802">
            <v>192</v>
          </cell>
          <cell r="BH802">
            <v>1.5</v>
          </cell>
          <cell r="BI802">
            <v>1.5</v>
          </cell>
          <cell r="BJ802">
            <v>4</v>
          </cell>
          <cell r="BL802">
            <v>0</v>
          </cell>
          <cell r="BM802">
            <v>0</v>
          </cell>
          <cell r="BN802">
            <v>0</v>
          </cell>
          <cell r="BO802">
            <v>0</v>
          </cell>
          <cell r="BP802">
            <v>0</v>
          </cell>
          <cell r="BQ802">
            <v>0</v>
          </cell>
          <cell r="BR802">
            <v>0</v>
          </cell>
          <cell r="BS802">
            <v>0</v>
          </cell>
          <cell r="BT802">
            <v>0</v>
          </cell>
          <cell r="BU802">
            <v>0</v>
          </cell>
          <cell r="BV802">
            <v>0</v>
          </cell>
          <cell r="BW802">
            <v>0</v>
          </cell>
          <cell r="BX802">
            <v>0</v>
          </cell>
          <cell r="BY802">
            <v>0</v>
          </cell>
          <cell r="BZ802">
            <v>0</v>
          </cell>
          <cell r="CA802">
            <v>0</v>
          </cell>
          <cell r="CB802">
            <v>0</v>
          </cell>
          <cell r="CC802">
            <v>0</v>
          </cell>
          <cell r="CD802">
            <v>0</v>
          </cell>
          <cell r="CE802">
            <v>0</v>
          </cell>
          <cell r="CF802">
            <v>0</v>
          </cell>
          <cell r="CG802">
            <v>0</v>
          </cell>
          <cell r="CH802">
            <v>0</v>
          </cell>
          <cell r="CI802">
            <v>0</v>
          </cell>
          <cell r="CJ802">
            <v>0</v>
          </cell>
          <cell r="CK802">
            <v>0</v>
          </cell>
          <cell r="CL802">
            <v>0</v>
          </cell>
          <cell r="CM802">
            <v>0</v>
          </cell>
          <cell r="CR802">
            <v>0</v>
          </cell>
          <cell r="CS802">
            <v>0</v>
          </cell>
          <cell r="CT802">
            <v>0</v>
          </cell>
          <cell r="CU802">
            <v>0</v>
          </cell>
          <cell r="CV802">
            <v>0</v>
          </cell>
          <cell r="CZ802">
            <v>0</v>
          </cell>
        </row>
        <row r="803">
          <cell r="C803" t="str">
            <v>04239</v>
          </cell>
          <cell r="D803" t="str">
            <v>Phan Thị Hiểu</v>
          </cell>
          <cell r="E803" t="str">
            <v>PD</v>
          </cell>
          <cell r="F803" t="str">
            <v>PD office</v>
          </cell>
          <cell r="G803" t="str">
            <v>Staff</v>
          </cell>
          <cell r="H803">
            <v>45565</v>
          </cell>
          <cell r="I803">
            <v>8</v>
          </cell>
          <cell r="J803">
            <v>8</v>
          </cell>
          <cell r="K803" t="str">
            <v>PO</v>
          </cell>
          <cell r="L803" t="str">
            <v>CN</v>
          </cell>
          <cell r="M803">
            <v>8</v>
          </cell>
          <cell r="N803">
            <v>8</v>
          </cell>
          <cell r="O803">
            <v>8</v>
          </cell>
          <cell r="P803">
            <v>8</v>
          </cell>
          <cell r="Q803">
            <v>8</v>
          </cell>
          <cell r="R803" t="str">
            <v>PO</v>
          </cell>
          <cell r="S803" t="str">
            <v>CN</v>
          </cell>
          <cell r="T803">
            <v>8</v>
          </cell>
          <cell r="U803">
            <v>8</v>
          </cell>
          <cell r="V803">
            <v>8</v>
          </cell>
          <cell r="W803" t="str">
            <v>AL4</v>
          </cell>
          <cell r="X803" t="str">
            <v>AL8</v>
          </cell>
          <cell r="Y803" t="str">
            <v>PO</v>
          </cell>
          <cell r="Z803" t="str">
            <v>CN</v>
          </cell>
          <cell r="AA803">
            <v>8</v>
          </cell>
          <cell r="AB803">
            <v>8</v>
          </cell>
          <cell r="AC803">
            <v>8</v>
          </cell>
          <cell r="AD803">
            <v>8</v>
          </cell>
          <cell r="AE803">
            <v>7.9666666670000001</v>
          </cell>
          <cell r="AF803" t="str">
            <v>PO</v>
          </cell>
          <cell r="AG803" t="str">
            <v>CN</v>
          </cell>
          <cell r="AH803">
            <v>8</v>
          </cell>
          <cell r="AI803">
            <v>8</v>
          </cell>
          <cell r="AJ803">
            <v>8</v>
          </cell>
          <cell r="AN803">
            <v>0</v>
          </cell>
          <cell r="AO803">
            <v>147.966666667</v>
          </cell>
          <cell r="AP803">
            <v>4</v>
          </cell>
          <cell r="AQ803">
            <v>0</v>
          </cell>
          <cell r="AR803">
            <v>0</v>
          </cell>
          <cell r="AS803">
            <v>0</v>
          </cell>
          <cell r="AT803">
            <v>0</v>
          </cell>
          <cell r="AU803">
            <v>0</v>
          </cell>
          <cell r="AV803">
            <v>32</v>
          </cell>
          <cell r="AW803">
            <v>0</v>
          </cell>
          <cell r="AX803">
            <v>0</v>
          </cell>
          <cell r="AY803">
            <v>0</v>
          </cell>
          <cell r="AZ803">
            <v>0</v>
          </cell>
          <cell r="BA803">
            <v>12</v>
          </cell>
          <cell r="BB803">
            <v>0</v>
          </cell>
          <cell r="BC803">
            <v>0</v>
          </cell>
          <cell r="BD803">
            <v>0</v>
          </cell>
          <cell r="BE803">
            <v>0</v>
          </cell>
          <cell r="BF803">
            <v>0</v>
          </cell>
          <cell r="BG803">
            <v>191.966666667</v>
          </cell>
          <cell r="BH803">
            <v>1.5</v>
          </cell>
          <cell r="BI803">
            <v>1.5</v>
          </cell>
          <cell r="BJ803">
            <v>11</v>
          </cell>
          <cell r="BL803">
            <v>0</v>
          </cell>
          <cell r="BM803">
            <v>0</v>
          </cell>
          <cell r="BN803">
            <v>0</v>
          </cell>
          <cell r="BO803">
            <v>0</v>
          </cell>
          <cell r="BP803">
            <v>0</v>
          </cell>
          <cell r="BQ803">
            <v>0</v>
          </cell>
          <cell r="BR803">
            <v>0</v>
          </cell>
          <cell r="BS803">
            <v>0</v>
          </cell>
          <cell r="BT803">
            <v>0</v>
          </cell>
          <cell r="BU803">
            <v>0</v>
          </cell>
          <cell r="BV803">
            <v>0</v>
          </cell>
          <cell r="BW803">
            <v>0</v>
          </cell>
          <cell r="BX803">
            <v>0</v>
          </cell>
          <cell r="BY803">
            <v>0</v>
          </cell>
          <cell r="BZ803">
            <v>0</v>
          </cell>
          <cell r="CA803">
            <v>0</v>
          </cell>
          <cell r="CB803">
            <v>0</v>
          </cell>
          <cell r="CC803">
            <v>0</v>
          </cell>
          <cell r="CD803">
            <v>0.5</v>
          </cell>
          <cell r="CE803">
            <v>0</v>
          </cell>
          <cell r="CF803">
            <v>0</v>
          </cell>
          <cell r="CG803">
            <v>0</v>
          </cell>
          <cell r="CH803">
            <v>0</v>
          </cell>
          <cell r="CI803">
            <v>0</v>
          </cell>
          <cell r="CJ803">
            <v>0</v>
          </cell>
          <cell r="CK803">
            <v>0.75</v>
          </cell>
          <cell r="CL803">
            <v>0</v>
          </cell>
          <cell r="CM803">
            <v>0</v>
          </cell>
          <cell r="CR803">
            <v>0</v>
          </cell>
          <cell r="CS803">
            <v>0</v>
          </cell>
          <cell r="CT803">
            <v>1.25</v>
          </cell>
          <cell r="CU803">
            <v>0</v>
          </cell>
          <cell r="CV803">
            <v>0</v>
          </cell>
          <cell r="CZ803">
            <v>1.25</v>
          </cell>
        </row>
        <row r="804">
          <cell r="C804" t="str">
            <v>04240</v>
          </cell>
          <cell r="D804" t="str">
            <v>Trầm Công Lý</v>
          </cell>
          <cell r="E804" t="str">
            <v>Foaming</v>
          </cell>
          <cell r="F804" t="str">
            <v>FOAMING Production control</v>
          </cell>
          <cell r="G804" t="str">
            <v>Junior Technician</v>
          </cell>
          <cell r="H804">
            <v>45565</v>
          </cell>
          <cell r="I804">
            <v>8</v>
          </cell>
          <cell r="J804">
            <v>8</v>
          </cell>
          <cell r="K804">
            <v>8</v>
          </cell>
          <cell r="L804" t="str">
            <v>CN</v>
          </cell>
          <cell r="M804">
            <v>8</v>
          </cell>
          <cell r="N804">
            <v>8</v>
          </cell>
          <cell r="O804">
            <v>8</v>
          </cell>
          <cell r="P804">
            <v>8</v>
          </cell>
          <cell r="Q804" t="str">
            <v>PO</v>
          </cell>
          <cell r="R804">
            <v>8</v>
          </cell>
          <cell r="S804" t="str">
            <v>CN</v>
          </cell>
          <cell r="T804">
            <v>8</v>
          </cell>
          <cell r="U804">
            <v>8</v>
          </cell>
          <cell r="V804">
            <v>8</v>
          </cell>
          <cell r="W804">
            <v>8</v>
          </cell>
          <cell r="X804">
            <v>8</v>
          </cell>
          <cell r="Y804">
            <v>8</v>
          </cell>
          <cell r="Z804" t="str">
            <v>CN</v>
          </cell>
          <cell r="AA804">
            <v>8</v>
          </cell>
          <cell r="AB804">
            <v>8</v>
          </cell>
          <cell r="AC804">
            <v>8</v>
          </cell>
          <cell r="AD804">
            <v>8</v>
          </cell>
          <cell r="AE804">
            <v>8</v>
          </cell>
          <cell r="AF804">
            <v>8</v>
          </cell>
          <cell r="AG804" t="str">
            <v>CN</v>
          </cell>
          <cell r="AH804">
            <v>8</v>
          </cell>
          <cell r="AI804" t="str">
            <v>AL8</v>
          </cell>
          <cell r="AJ804">
            <v>8</v>
          </cell>
          <cell r="AN804">
            <v>0</v>
          </cell>
          <cell r="AO804">
            <v>176</v>
          </cell>
          <cell r="AP804">
            <v>0</v>
          </cell>
          <cell r="AQ804">
            <v>0</v>
          </cell>
          <cell r="AR804">
            <v>0</v>
          </cell>
          <cell r="AS804">
            <v>0</v>
          </cell>
          <cell r="AT804">
            <v>0</v>
          </cell>
          <cell r="AU804">
            <v>0</v>
          </cell>
          <cell r="AV804">
            <v>8</v>
          </cell>
          <cell r="AW804">
            <v>0</v>
          </cell>
          <cell r="AX804">
            <v>0</v>
          </cell>
          <cell r="AY804">
            <v>0</v>
          </cell>
          <cell r="AZ804">
            <v>0</v>
          </cell>
          <cell r="BA804">
            <v>8</v>
          </cell>
          <cell r="BB804">
            <v>0</v>
          </cell>
          <cell r="BC804">
            <v>0</v>
          </cell>
          <cell r="BD804">
            <v>0</v>
          </cell>
          <cell r="BE804">
            <v>0</v>
          </cell>
          <cell r="BF804">
            <v>0</v>
          </cell>
          <cell r="BG804">
            <v>192</v>
          </cell>
          <cell r="BH804">
            <v>1</v>
          </cell>
          <cell r="BI804">
            <v>1</v>
          </cell>
          <cell r="BJ804">
            <v>0.5</v>
          </cell>
          <cell r="BL804">
            <v>2</v>
          </cell>
          <cell r="BM804">
            <v>0</v>
          </cell>
          <cell r="BN804">
            <v>0</v>
          </cell>
          <cell r="BO804">
            <v>0</v>
          </cell>
          <cell r="BP804">
            <v>0</v>
          </cell>
          <cell r="BQ804">
            <v>3</v>
          </cell>
          <cell r="BR804">
            <v>0</v>
          </cell>
          <cell r="BS804">
            <v>0</v>
          </cell>
          <cell r="BT804">
            <v>0</v>
          </cell>
          <cell r="BU804">
            <v>0</v>
          </cell>
          <cell r="BV804">
            <v>0</v>
          </cell>
          <cell r="BW804">
            <v>0</v>
          </cell>
          <cell r="BX804">
            <v>0</v>
          </cell>
          <cell r="BY804">
            <v>0</v>
          </cell>
          <cell r="BZ804">
            <v>0</v>
          </cell>
          <cell r="CA804">
            <v>0</v>
          </cell>
          <cell r="CB804">
            <v>0</v>
          </cell>
          <cell r="CC804">
            <v>0</v>
          </cell>
          <cell r="CD804">
            <v>0</v>
          </cell>
          <cell r="CE804">
            <v>0</v>
          </cell>
          <cell r="CF804">
            <v>0</v>
          </cell>
          <cell r="CG804">
            <v>0</v>
          </cell>
          <cell r="CH804">
            <v>0</v>
          </cell>
          <cell r="CI804">
            <v>0</v>
          </cell>
          <cell r="CJ804">
            <v>0</v>
          </cell>
          <cell r="CK804">
            <v>0</v>
          </cell>
          <cell r="CL804">
            <v>0</v>
          </cell>
          <cell r="CM804">
            <v>0</v>
          </cell>
          <cell r="CR804">
            <v>0</v>
          </cell>
          <cell r="CS804">
            <v>0</v>
          </cell>
          <cell r="CT804">
            <v>5</v>
          </cell>
          <cell r="CU804">
            <v>0</v>
          </cell>
          <cell r="CV804">
            <v>0</v>
          </cell>
          <cell r="CZ804">
            <v>5</v>
          </cell>
        </row>
        <row r="805">
          <cell r="C805" t="str">
            <v>04242</v>
          </cell>
          <cell r="D805" t="str">
            <v xml:space="preserve">Thị Liễu </v>
          </cell>
          <cell r="E805" t="str">
            <v>Production</v>
          </cell>
          <cell r="F805" t="str">
            <v>Molding</v>
          </cell>
          <cell r="G805" t="str">
            <v>Worker</v>
          </cell>
          <cell r="H805">
            <v>45568</v>
          </cell>
          <cell r="I805">
            <v>8</v>
          </cell>
          <cell r="J805">
            <v>8</v>
          </cell>
          <cell r="K805">
            <v>8</v>
          </cell>
          <cell r="L805" t="str">
            <v>CN</v>
          </cell>
          <cell r="M805">
            <v>8</v>
          </cell>
          <cell r="N805">
            <v>8</v>
          </cell>
          <cell r="O805">
            <v>8</v>
          </cell>
          <cell r="P805">
            <v>8</v>
          </cell>
          <cell r="Q805" t="str">
            <v>Đ</v>
          </cell>
          <cell r="R805" t="str">
            <v>Đ</v>
          </cell>
          <cell r="S805" t="str">
            <v>CN</v>
          </cell>
          <cell r="T805">
            <v>8</v>
          </cell>
          <cell r="U805">
            <v>8</v>
          </cell>
          <cell r="V805">
            <v>8</v>
          </cell>
          <cell r="W805">
            <v>8</v>
          </cell>
          <cell r="X805">
            <v>8</v>
          </cell>
          <cell r="Y805">
            <v>8</v>
          </cell>
          <cell r="Z805" t="str">
            <v>CN</v>
          </cell>
          <cell r="AA805">
            <v>8</v>
          </cell>
          <cell r="AB805">
            <v>8</v>
          </cell>
          <cell r="AC805">
            <v>8</v>
          </cell>
          <cell r="AD805">
            <v>8</v>
          </cell>
          <cell r="AE805" t="str">
            <v>Đ</v>
          </cell>
          <cell r="AF805" t="str">
            <v>Đ</v>
          </cell>
          <cell r="AG805" t="str">
            <v>CN</v>
          </cell>
          <cell r="AH805">
            <v>8</v>
          </cell>
          <cell r="AI805">
            <v>8</v>
          </cell>
          <cell r="AJ805">
            <v>8</v>
          </cell>
          <cell r="AN805">
            <v>32</v>
          </cell>
          <cell r="AO805">
            <v>160</v>
          </cell>
          <cell r="AP805">
            <v>0</v>
          </cell>
          <cell r="AQ805">
            <v>0</v>
          </cell>
          <cell r="AR805">
            <v>0</v>
          </cell>
          <cell r="AS805">
            <v>0</v>
          </cell>
          <cell r="AT805">
            <v>0</v>
          </cell>
          <cell r="AU805">
            <v>0</v>
          </cell>
          <cell r="AV805">
            <v>0</v>
          </cell>
          <cell r="AW805">
            <v>0</v>
          </cell>
          <cell r="AX805">
            <v>0</v>
          </cell>
          <cell r="AY805">
            <v>0</v>
          </cell>
          <cell r="AZ805">
            <v>0</v>
          </cell>
          <cell r="BA805">
            <v>0</v>
          </cell>
          <cell r="BB805">
            <v>0</v>
          </cell>
          <cell r="BC805">
            <v>0</v>
          </cell>
          <cell r="BD805">
            <v>0</v>
          </cell>
          <cell r="BE805">
            <v>0</v>
          </cell>
          <cell r="BF805">
            <v>0</v>
          </cell>
          <cell r="BG805">
            <v>192</v>
          </cell>
          <cell r="BH805">
            <v>0</v>
          </cell>
          <cell r="BI805">
            <v>0</v>
          </cell>
          <cell r="BJ805">
            <v>3</v>
          </cell>
          <cell r="BL805">
            <v>0</v>
          </cell>
          <cell r="BM805">
            <v>4</v>
          </cell>
          <cell r="BN805">
            <v>4</v>
          </cell>
          <cell r="BO805">
            <v>0</v>
          </cell>
          <cell r="BP805">
            <v>0</v>
          </cell>
          <cell r="BQ805">
            <v>0</v>
          </cell>
          <cell r="BR805">
            <v>0</v>
          </cell>
          <cell r="BS805">
            <v>0</v>
          </cell>
          <cell r="BT805">
            <v>4</v>
          </cell>
          <cell r="BU805">
            <v>4</v>
          </cell>
          <cell r="BV805">
            <v>0</v>
          </cell>
          <cell r="BW805">
            <v>0</v>
          </cell>
          <cell r="BX805">
            <v>0</v>
          </cell>
          <cell r="BY805">
            <v>4</v>
          </cell>
          <cell r="BZ805">
            <v>0</v>
          </cell>
          <cell r="CA805">
            <v>4</v>
          </cell>
          <cell r="CB805">
            <v>4</v>
          </cell>
          <cell r="CC805">
            <v>0</v>
          </cell>
          <cell r="CD805">
            <v>0</v>
          </cell>
          <cell r="CE805">
            <v>0</v>
          </cell>
          <cell r="CF805">
            <v>0</v>
          </cell>
          <cell r="CG805">
            <v>0</v>
          </cell>
          <cell r="CH805">
            <v>4</v>
          </cell>
          <cell r="CI805">
            <v>4</v>
          </cell>
          <cell r="CJ805">
            <v>0</v>
          </cell>
          <cell r="CK805">
            <v>0</v>
          </cell>
          <cell r="CL805">
            <v>0</v>
          </cell>
          <cell r="CM805">
            <v>0</v>
          </cell>
          <cell r="CR805">
            <v>0</v>
          </cell>
          <cell r="CS805">
            <v>0</v>
          </cell>
          <cell r="CT805">
            <v>36</v>
          </cell>
          <cell r="CU805">
            <v>0</v>
          </cell>
          <cell r="CV805">
            <v>0</v>
          </cell>
          <cell r="CZ805">
            <v>36</v>
          </cell>
        </row>
        <row r="806">
          <cell r="C806" t="str">
            <v>04243</v>
          </cell>
          <cell r="D806" t="str">
            <v xml:space="preserve">Đặng Văn Nghĩa </v>
          </cell>
          <cell r="E806" t="str">
            <v>Production</v>
          </cell>
          <cell r="F806" t="str">
            <v>Prefitting</v>
          </cell>
          <cell r="G806" t="str">
            <v>Worker</v>
          </cell>
          <cell r="H806">
            <v>45568</v>
          </cell>
          <cell r="I806" t="str">
            <v>Đ</v>
          </cell>
          <cell r="J806" t="str">
            <v>CN</v>
          </cell>
          <cell r="K806">
            <v>8</v>
          </cell>
          <cell r="L806">
            <v>8</v>
          </cell>
          <cell r="M806">
            <v>8</v>
          </cell>
          <cell r="N806">
            <v>8</v>
          </cell>
          <cell r="O806">
            <v>8</v>
          </cell>
          <cell r="P806">
            <v>8</v>
          </cell>
          <cell r="Q806" t="str">
            <v>CN</v>
          </cell>
          <cell r="R806" t="str">
            <v>Đ</v>
          </cell>
          <cell r="S806" t="str">
            <v>Đ</v>
          </cell>
          <cell r="T806" t="str">
            <v>Đ</v>
          </cell>
          <cell r="U806" t="str">
            <v>Đ</v>
          </cell>
          <cell r="V806" t="str">
            <v>Đ</v>
          </cell>
          <cell r="W806" t="str">
            <v>Đ</v>
          </cell>
          <cell r="X806" t="str">
            <v>CN</v>
          </cell>
          <cell r="Y806">
            <v>8</v>
          </cell>
          <cell r="Z806">
            <v>8</v>
          </cell>
          <cell r="AA806">
            <v>8</v>
          </cell>
          <cell r="AB806">
            <v>8</v>
          </cell>
          <cell r="AC806">
            <v>8</v>
          </cell>
          <cell r="AD806" t="str">
            <v>AL8</v>
          </cell>
          <cell r="AE806" t="str">
            <v>CN</v>
          </cell>
          <cell r="AF806" t="str">
            <v>Đ</v>
          </cell>
          <cell r="AG806" t="str">
            <v>Đ</v>
          </cell>
          <cell r="AH806" t="str">
            <v>Đ</v>
          </cell>
          <cell r="AI806" t="str">
            <v>Đ</v>
          </cell>
          <cell r="AJ806" t="str">
            <v>Đ</v>
          </cell>
          <cell r="AN806">
            <v>96</v>
          </cell>
          <cell r="AO806">
            <v>88</v>
          </cell>
          <cell r="AP806">
            <v>0</v>
          </cell>
          <cell r="AQ806">
            <v>0</v>
          </cell>
          <cell r="AR806">
            <v>0</v>
          </cell>
          <cell r="AS806">
            <v>0</v>
          </cell>
          <cell r="AT806">
            <v>0</v>
          </cell>
          <cell r="AU806">
            <v>0</v>
          </cell>
          <cell r="AV806">
            <v>0</v>
          </cell>
          <cell r="AW806">
            <v>0</v>
          </cell>
          <cell r="AX806">
            <v>0</v>
          </cell>
          <cell r="AY806">
            <v>0</v>
          </cell>
          <cell r="AZ806">
            <v>0</v>
          </cell>
          <cell r="BA806">
            <v>8</v>
          </cell>
          <cell r="BB806">
            <v>0</v>
          </cell>
          <cell r="BC806">
            <v>0</v>
          </cell>
          <cell r="BD806">
            <v>0</v>
          </cell>
          <cell r="BE806">
            <v>0</v>
          </cell>
          <cell r="BF806">
            <v>0</v>
          </cell>
          <cell r="BG806">
            <v>192</v>
          </cell>
          <cell r="BH806">
            <v>1</v>
          </cell>
          <cell r="BI806">
            <v>1</v>
          </cell>
          <cell r="BJ806">
            <v>0</v>
          </cell>
          <cell r="BL806">
            <v>3</v>
          </cell>
          <cell r="BM806">
            <v>0</v>
          </cell>
          <cell r="BN806">
            <v>4</v>
          </cell>
          <cell r="BO806">
            <v>4</v>
          </cell>
          <cell r="BP806">
            <v>0</v>
          </cell>
          <cell r="BQ806">
            <v>0</v>
          </cell>
          <cell r="BR806">
            <v>0</v>
          </cell>
          <cell r="BS806">
            <v>0</v>
          </cell>
          <cell r="BT806">
            <v>0</v>
          </cell>
          <cell r="BU806">
            <v>2</v>
          </cell>
          <cell r="BV806">
            <v>4</v>
          </cell>
          <cell r="BW806">
            <v>0</v>
          </cell>
          <cell r="BX806">
            <v>3</v>
          </cell>
          <cell r="BY806">
            <v>0</v>
          </cell>
          <cell r="BZ806">
            <v>0</v>
          </cell>
          <cell r="CA806">
            <v>0</v>
          </cell>
          <cell r="CB806">
            <v>4</v>
          </cell>
          <cell r="CC806">
            <v>4</v>
          </cell>
          <cell r="CD806">
            <v>0</v>
          </cell>
          <cell r="CE806">
            <v>0</v>
          </cell>
          <cell r="CF806">
            <v>0</v>
          </cell>
          <cell r="CG806">
            <v>0</v>
          </cell>
          <cell r="CH806">
            <v>0</v>
          </cell>
          <cell r="CI806">
            <v>4</v>
          </cell>
          <cell r="CJ806">
            <v>4</v>
          </cell>
          <cell r="CK806">
            <v>4</v>
          </cell>
          <cell r="CL806">
            <v>4</v>
          </cell>
          <cell r="CM806">
            <v>0</v>
          </cell>
          <cell r="CR806">
            <v>0</v>
          </cell>
          <cell r="CS806">
            <v>0</v>
          </cell>
          <cell r="CT806">
            <v>44</v>
          </cell>
          <cell r="CU806">
            <v>0</v>
          </cell>
          <cell r="CV806">
            <v>0</v>
          </cell>
          <cell r="CZ806">
            <v>44</v>
          </cell>
        </row>
        <row r="807">
          <cell r="C807" t="str">
            <v>04244</v>
          </cell>
          <cell r="D807" t="str">
            <v>Nguyễn Hoàng Thịnh</v>
          </cell>
          <cell r="E807" t="str">
            <v>Production</v>
          </cell>
          <cell r="F807" t="str">
            <v>Prefitting</v>
          </cell>
          <cell r="G807" t="str">
            <v>Worker</v>
          </cell>
          <cell r="H807">
            <v>45568</v>
          </cell>
          <cell r="I807" t="str">
            <v>Đ</v>
          </cell>
          <cell r="J807" t="str">
            <v>Đ</v>
          </cell>
          <cell r="K807" t="str">
            <v>Đ</v>
          </cell>
          <cell r="L807" t="str">
            <v>CN</v>
          </cell>
          <cell r="M807">
            <v>8</v>
          </cell>
          <cell r="N807">
            <v>8</v>
          </cell>
          <cell r="O807">
            <v>8</v>
          </cell>
          <cell r="P807">
            <v>8</v>
          </cell>
          <cell r="Q807">
            <v>8</v>
          </cell>
          <cell r="R807">
            <v>8</v>
          </cell>
          <cell r="S807" t="str">
            <v>CN</v>
          </cell>
          <cell r="T807">
            <v>8</v>
          </cell>
          <cell r="U807">
            <v>8</v>
          </cell>
          <cell r="V807">
            <v>8</v>
          </cell>
          <cell r="W807">
            <v>8</v>
          </cell>
          <cell r="X807">
            <v>8</v>
          </cell>
          <cell r="Y807">
            <v>8</v>
          </cell>
          <cell r="Z807" t="str">
            <v>CN</v>
          </cell>
          <cell r="AA807">
            <v>8</v>
          </cell>
          <cell r="AB807">
            <v>8</v>
          </cell>
          <cell r="AC807">
            <v>8</v>
          </cell>
          <cell r="AD807">
            <v>8</v>
          </cell>
          <cell r="AE807" t="str">
            <v>CN</v>
          </cell>
          <cell r="AF807" t="str">
            <v>Đ</v>
          </cell>
          <cell r="AG807" t="str">
            <v>Đ</v>
          </cell>
          <cell r="AH807" t="str">
            <v>Đ</v>
          </cell>
          <cell r="AI807" t="str">
            <v>Đ</v>
          </cell>
          <cell r="AJ807" t="str">
            <v>Đ</v>
          </cell>
          <cell r="AN807">
            <v>64</v>
          </cell>
          <cell r="AO807">
            <v>128</v>
          </cell>
          <cell r="AP807">
            <v>0</v>
          </cell>
          <cell r="AQ807">
            <v>0</v>
          </cell>
          <cell r="AR807">
            <v>0</v>
          </cell>
          <cell r="AS807">
            <v>0</v>
          </cell>
          <cell r="AT807">
            <v>0</v>
          </cell>
          <cell r="AU807">
            <v>0</v>
          </cell>
          <cell r="AV807">
            <v>0</v>
          </cell>
          <cell r="AW807">
            <v>0</v>
          </cell>
          <cell r="AX807">
            <v>0</v>
          </cell>
          <cell r="AY807">
            <v>0</v>
          </cell>
          <cell r="AZ807">
            <v>0</v>
          </cell>
          <cell r="BA807">
            <v>0</v>
          </cell>
          <cell r="BB807">
            <v>0</v>
          </cell>
          <cell r="BC807">
            <v>0</v>
          </cell>
          <cell r="BD807">
            <v>0</v>
          </cell>
          <cell r="BE807">
            <v>0</v>
          </cell>
          <cell r="BF807">
            <v>0</v>
          </cell>
          <cell r="BG807">
            <v>192</v>
          </cell>
          <cell r="BH807">
            <v>0</v>
          </cell>
          <cell r="BI807">
            <v>0</v>
          </cell>
          <cell r="BJ807">
            <v>1</v>
          </cell>
          <cell r="BL807">
            <v>0</v>
          </cell>
          <cell r="BM807">
            <v>4</v>
          </cell>
          <cell r="BN807">
            <v>0</v>
          </cell>
          <cell r="BO807">
            <v>0</v>
          </cell>
          <cell r="BP807">
            <v>0</v>
          </cell>
          <cell r="BQ807">
            <v>0</v>
          </cell>
          <cell r="BR807">
            <v>0</v>
          </cell>
          <cell r="BS807">
            <v>0</v>
          </cell>
          <cell r="BT807">
            <v>0</v>
          </cell>
          <cell r="BU807">
            <v>0</v>
          </cell>
          <cell r="BV807">
            <v>0</v>
          </cell>
          <cell r="BW807">
            <v>0</v>
          </cell>
          <cell r="BX807">
            <v>0</v>
          </cell>
          <cell r="BY807">
            <v>0</v>
          </cell>
          <cell r="BZ807">
            <v>0</v>
          </cell>
          <cell r="CA807">
            <v>0</v>
          </cell>
          <cell r="CB807">
            <v>3</v>
          </cell>
          <cell r="CC807">
            <v>0</v>
          </cell>
          <cell r="CD807">
            <v>0</v>
          </cell>
          <cell r="CE807">
            <v>0</v>
          </cell>
          <cell r="CF807">
            <v>0</v>
          </cell>
          <cell r="CG807">
            <v>0</v>
          </cell>
          <cell r="CH807">
            <v>0</v>
          </cell>
          <cell r="CI807">
            <v>4</v>
          </cell>
          <cell r="CJ807">
            <v>4</v>
          </cell>
          <cell r="CK807">
            <v>0</v>
          </cell>
          <cell r="CL807">
            <v>0</v>
          </cell>
          <cell r="CM807">
            <v>4</v>
          </cell>
          <cell r="CR807">
            <v>0</v>
          </cell>
          <cell r="CS807">
            <v>0</v>
          </cell>
          <cell r="CT807">
            <v>19</v>
          </cell>
          <cell r="CU807">
            <v>0</v>
          </cell>
          <cell r="CV807">
            <v>0</v>
          </cell>
          <cell r="CZ807">
            <v>19</v>
          </cell>
        </row>
        <row r="808">
          <cell r="C808" t="str">
            <v>04246</v>
          </cell>
          <cell r="D808" t="str">
            <v>Nguyễn Yến Nhi</v>
          </cell>
          <cell r="E808" t="str">
            <v>Production</v>
          </cell>
          <cell r="F808" t="str">
            <v>Molding</v>
          </cell>
          <cell r="G808" t="str">
            <v>Worker</v>
          </cell>
          <cell r="H808">
            <v>45573</v>
          </cell>
          <cell r="I808" t="str">
            <v>Đ</v>
          </cell>
          <cell r="J808" t="str">
            <v>Đ</v>
          </cell>
          <cell r="K808" t="str">
            <v>CN</v>
          </cell>
          <cell r="L808">
            <v>8</v>
          </cell>
          <cell r="M808">
            <v>8</v>
          </cell>
          <cell r="N808">
            <v>8</v>
          </cell>
          <cell r="O808">
            <v>8</v>
          </cell>
          <cell r="P808">
            <v>8</v>
          </cell>
          <cell r="Q808">
            <v>8</v>
          </cell>
          <cell r="R808" t="str">
            <v>CN</v>
          </cell>
          <cell r="S808" t="str">
            <v>Đ</v>
          </cell>
          <cell r="T808" t="str">
            <v>Đ</v>
          </cell>
          <cell r="U808" t="str">
            <v>Đ</v>
          </cell>
          <cell r="V808" t="str">
            <v>Đ</v>
          </cell>
          <cell r="W808" t="str">
            <v>Đ</v>
          </cell>
          <cell r="X808" t="str">
            <v>Đ</v>
          </cell>
          <cell r="Y808" t="str">
            <v>CN</v>
          </cell>
          <cell r="Z808">
            <v>8</v>
          </cell>
          <cell r="AA808">
            <v>8</v>
          </cell>
          <cell r="AB808">
            <v>8</v>
          </cell>
          <cell r="AC808">
            <v>8</v>
          </cell>
          <cell r="AD808">
            <v>8</v>
          </cell>
          <cell r="AE808">
            <v>8</v>
          </cell>
          <cell r="AF808" t="str">
            <v>CN</v>
          </cell>
          <cell r="AG808" t="str">
            <v>Đ</v>
          </cell>
          <cell r="AH808" t="str">
            <v>Đ</v>
          </cell>
          <cell r="AI808" t="str">
            <v>Đ</v>
          </cell>
          <cell r="AJ808" t="str">
            <v>Đ</v>
          </cell>
          <cell r="AN808">
            <v>96</v>
          </cell>
          <cell r="AO808">
            <v>96</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192</v>
          </cell>
          <cell r="BH808">
            <v>0</v>
          </cell>
          <cell r="BI808">
            <v>0</v>
          </cell>
          <cell r="BJ808">
            <v>2</v>
          </cell>
          <cell r="BL808">
            <v>0</v>
          </cell>
          <cell r="BM808">
            <v>0</v>
          </cell>
          <cell r="BN808">
            <v>0</v>
          </cell>
          <cell r="BO808">
            <v>4</v>
          </cell>
          <cell r="BP808">
            <v>0</v>
          </cell>
          <cell r="BQ808">
            <v>0</v>
          </cell>
          <cell r="BR808">
            <v>4</v>
          </cell>
          <cell r="BS808">
            <v>0</v>
          </cell>
          <cell r="BT808">
            <v>4</v>
          </cell>
          <cell r="BU808">
            <v>0</v>
          </cell>
          <cell r="BV808">
            <v>4</v>
          </cell>
          <cell r="BW808">
            <v>0</v>
          </cell>
          <cell r="BX808">
            <v>4</v>
          </cell>
          <cell r="BY808">
            <v>0</v>
          </cell>
          <cell r="BZ808">
            <v>0</v>
          </cell>
          <cell r="CA808">
            <v>4</v>
          </cell>
          <cell r="CB808">
            <v>0</v>
          </cell>
          <cell r="CC808">
            <v>4</v>
          </cell>
          <cell r="CD808">
            <v>0</v>
          </cell>
          <cell r="CE808">
            <v>0</v>
          </cell>
          <cell r="CF808">
            <v>0</v>
          </cell>
          <cell r="CG808">
            <v>0</v>
          </cell>
          <cell r="CH808">
            <v>0</v>
          </cell>
          <cell r="CI808">
            <v>0</v>
          </cell>
          <cell r="CJ808">
            <v>4</v>
          </cell>
          <cell r="CK808">
            <v>4</v>
          </cell>
          <cell r="CL808">
            <v>0</v>
          </cell>
          <cell r="CM808">
            <v>4</v>
          </cell>
          <cell r="CR808">
            <v>0</v>
          </cell>
          <cell r="CS808">
            <v>0</v>
          </cell>
          <cell r="CT808">
            <v>40</v>
          </cell>
          <cell r="CU808">
            <v>0</v>
          </cell>
          <cell r="CV808">
            <v>0</v>
          </cell>
          <cell r="CZ808">
            <v>40</v>
          </cell>
        </row>
        <row r="809">
          <cell r="C809" t="str">
            <v>04253</v>
          </cell>
          <cell r="D809" t="str">
            <v>Đỗ Thị Nhung</v>
          </cell>
          <cell r="E809" t="str">
            <v>Production</v>
          </cell>
          <cell r="F809" t="str">
            <v>Molding</v>
          </cell>
          <cell r="G809" t="str">
            <v>Worker</v>
          </cell>
          <cell r="H809">
            <v>45573</v>
          </cell>
          <cell r="I809">
            <v>8</v>
          </cell>
          <cell r="J809" t="str">
            <v>CN</v>
          </cell>
          <cell r="K809" t="str">
            <v>Đ</v>
          </cell>
          <cell r="L809" t="str">
            <v>Đ</v>
          </cell>
          <cell r="M809" t="str">
            <v>Đ</v>
          </cell>
          <cell r="N809" t="str">
            <v>Đ</v>
          </cell>
          <cell r="O809" t="str">
            <v>Đ</v>
          </cell>
          <cell r="P809" t="str">
            <v>Đ</v>
          </cell>
          <cell r="Q809" t="str">
            <v>CN</v>
          </cell>
          <cell r="R809">
            <v>8</v>
          </cell>
          <cell r="S809">
            <v>8</v>
          </cell>
          <cell r="T809" t="str">
            <v>AL4</v>
          </cell>
          <cell r="U809">
            <v>8</v>
          </cell>
          <cell r="V809">
            <v>8</v>
          </cell>
          <cell r="W809">
            <v>8</v>
          </cell>
          <cell r="X809" t="str">
            <v>CN</v>
          </cell>
          <cell r="Y809" t="str">
            <v>Đ</v>
          </cell>
          <cell r="Z809" t="str">
            <v>Đ</v>
          </cell>
          <cell r="AA809" t="str">
            <v>Đ</v>
          </cell>
          <cell r="AB809" t="str">
            <v>Đ</v>
          </cell>
          <cell r="AC809" t="str">
            <v>Đ</v>
          </cell>
          <cell r="AD809" t="str">
            <v>Đ</v>
          </cell>
          <cell r="AE809" t="str">
            <v>CN</v>
          </cell>
          <cell r="AF809">
            <v>8</v>
          </cell>
          <cell r="AG809">
            <v>8</v>
          </cell>
          <cell r="AH809">
            <v>8</v>
          </cell>
          <cell r="AI809">
            <v>8</v>
          </cell>
          <cell r="AJ809">
            <v>8</v>
          </cell>
          <cell r="AN809">
            <v>96</v>
          </cell>
          <cell r="AO809">
            <v>92</v>
          </cell>
          <cell r="AP809">
            <v>4</v>
          </cell>
          <cell r="AQ809">
            <v>0</v>
          </cell>
          <cell r="AR809">
            <v>0</v>
          </cell>
          <cell r="AS809">
            <v>0</v>
          </cell>
          <cell r="AT809">
            <v>0</v>
          </cell>
          <cell r="AU809">
            <v>0</v>
          </cell>
          <cell r="AV809">
            <v>0</v>
          </cell>
          <cell r="AW809">
            <v>0</v>
          </cell>
          <cell r="AX809">
            <v>0</v>
          </cell>
          <cell r="AY809">
            <v>0</v>
          </cell>
          <cell r="AZ809">
            <v>0</v>
          </cell>
          <cell r="BA809">
            <v>4</v>
          </cell>
          <cell r="BB809">
            <v>0</v>
          </cell>
          <cell r="BC809">
            <v>0</v>
          </cell>
          <cell r="BD809">
            <v>0</v>
          </cell>
          <cell r="BE809">
            <v>0</v>
          </cell>
          <cell r="BF809">
            <v>0</v>
          </cell>
          <cell r="BG809">
            <v>192</v>
          </cell>
          <cell r="BH809">
            <v>0.5</v>
          </cell>
          <cell r="BI809">
            <v>0.5</v>
          </cell>
          <cell r="BJ809">
            <v>1</v>
          </cell>
          <cell r="BL809">
            <v>0</v>
          </cell>
          <cell r="BM809">
            <v>0</v>
          </cell>
          <cell r="BN809">
            <v>4</v>
          </cell>
          <cell r="BO809">
            <v>4</v>
          </cell>
          <cell r="BP809">
            <v>0</v>
          </cell>
          <cell r="BQ809">
            <v>0</v>
          </cell>
          <cell r="BR809">
            <v>0</v>
          </cell>
          <cell r="BS809">
            <v>0</v>
          </cell>
          <cell r="BT809">
            <v>0</v>
          </cell>
          <cell r="BU809">
            <v>4</v>
          </cell>
          <cell r="BV809">
            <v>4</v>
          </cell>
          <cell r="BW809">
            <v>0</v>
          </cell>
          <cell r="BX809">
            <v>0</v>
          </cell>
          <cell r="BY809">
            <v>0</v>
          </cell>
          <cell r="BZ809">
            <v>0</v>
          </cell>
          <cell r="CA809">
            <v>0</v>
          </cell>
          <cell r="CB809">
            <v>4</v>
          </cell>
          <cell r="CC809">
            <v>4</v>
          </cell>
          <cell r="CD809">
            <v>0</v>
          </cell>
          <cell r="CE809">
            <v>0</v>
          </cell>
          <cell r="CF809">
            <v>0</v>
          </cell>
          <cell r="CG809">
            <v>0</v>
          </cell>
          <cell r="CH809">
            <v>0</v>
          </cell>
          <cell r="CI809">
            <v>4</v>
          </cell>
          <cell r="CJ809">
            <v>4</v>
          </cell>
          <cell r="CK809">
            <v>0</v>
          </cell>
          <cell r="CL809">
            <v>0</v>
          </cell>
          <cell r="CM809">
            <v>0</v>
          </cell>
          <cell r="CR809">
            <v>0</v>
          </cell>
          <cell r="CS809">
            <v>0</v>
          </cell>
          <cell r="CT809">
            <v>32</v>
          </cell>
          <cell r="CU809">
            <v>0</v>
          </cell>
          <cell r="CV809">
            <v>0</v>
          </cell>
          <cell r="CZ809">
            <v>32</v>
          </cell>
        </row>
        <row r="810">
          <cell r="C810" t="str">
            <v>04255</v>
          </cell>
          <cell r="D810" t="str">
            <v>Trần Thị Thanh Nhi</v>
          </cell>
          <cell r="E810" t="str">
            <v>Production</v>
          </cell>
          <cell r="F810" t="str">
            <v>Molding</v>
          </cell>
          <cell r="G810" t="str">
            <v>Worker</v>
          </cell>
          <cell r="H810">
            <v>45573</v>
          </cell>
          <cell r="I810">
            <v>8</v>
          </cell>
          <cell r="J810" t="str">
            <v>CN</v>
          </cell>
          <cell r="K810" t="str">
            <v>Đ</v>
          </cell>
          <cell r="L810" t="str">
            <v>Đ</v>
          </cell>
          <cell r="M810" t="str">
            <v>Đ</v>
          </cell>
          <cell r="N810" t="str">
            <v>AL8</v>
          </cell>
          <cell r="O810" t="str">
            <v>AL8</v>
          </cell>
          <cell r="P810" t="str">
            <v>AL8</v>
          </cell>
          <cell r="Q810" t="str">
            <v>CN</v>
          </cell>
          <cell r="R810">
            <v>8</v>
          </cell>
          <cell r="S810">
            <v>8</v>
          </cell>
          <cell r="T810">
            <v>8</v>
          </cell>
          <cell r="U810">
            <v>8</v>
          </cell>
          <cell r="V810">
            <v>8</v>
          </cell>
          <cell r="W810">
            <v>8</v>
          </cell>
          <cell r="X810" t="str">
            <v>CN</v>
          </cell>
          <cell r="Y810" t="str">
            <v>Đ</v>
          </cell>
          <cell r="Z810" t="str">
            <v>Đ</v>
          </cell>
          <cell r="AA810" t="str">
            <v>Đ</v>
          </cell>
          <cell r="AB810" t="str">
            <v>Đ</v>
          </cell>
          <cell r="AC810" t="str">
            <v>Đ</v>
          </cell>
          <cell r="AD810" t="str">
            <v>Đ</v>
          </cell>
          <cell r="AE810" t="str">
            <v>CN</v>
          </cell>
          <cell r="AF810" t="str">
            <v>UP8</v>
          </cell>
          <cell r="AG810" t="str">
            <v>UP8</v>
          </cell>
          <cell r="AH810">
            <v>8</v>
          </cell>
          <cell r="AI810">
            <v>8</v>
          </cell>
          <cell r="AJ810">
            <v>8</v>
          </cell>
          <cell r="AN810">
            <v>72</v>
          </cell>
          <cell r="AO810">
            <v>80</v>
          </cell>
          <cell r="AP810">
            <v>0</v>
          </cell>
          <cell r="AQ810">
            <v>0</v>
          </cell>
          <cell r="AR810">
            <v>0</v>
          </cell>
          <cell r="AS810">
            <v>16</v>
          </cell>
          <cell r="AT810">
            <v>0</v>
          </cell>
          <cell r="AU810">
            <v>0</v>
          </cell>
          <cell r="AV810">
            <v>0</v>
          </cell>
          <cell r="AW810">
            <v>0</v>
          </cell>
          <cell r="AX810">
            <v>0</v>
          </cell>
          <cell r="AY810">
            <v>0</v>
          </cell>
          <cell r="AZ810">
            <v>0</v>
          </cell>
          <cell r="BA810">
            <v>24</v>
          </cell>
          <cell r="BB810">
            <v>0</v>
          </cell>
          <cell r="BC810">
            <v>0</v>
          </cell>
          <cell r="BD810">
            <v>0</v>
          </cell>
          <cell r="BE810">
            <v>0</v>
          </cell>
          <cell r="BF810">
            <v>0</v>
          </cell>
          <cell r="BG810">
            <v>176</v>
          </cell>
          <cell r="BH810">
            <v>3</v>
          </cell>
          <cell r="BI810">
            <v>3</v>
          </cell>
          <cell r="BJ810">
            <v>-2</v>
          </cell>
          <cell r="BL810">
            <v>0</v>
          </cell>
          <cell r="BM810">
            <v>0</v>
          </cell>
          <cell r="BN810">
            <v>0</v>
          </cell>
          <cell r="BO810">
            <v>4</v>
          </cell>
          <cell r="BP810">
            <v>0</v>
          </cell>
          <cell r="BQ810">
            <v>0</v>
          </cell>
          <cell r="BR810">
            <v>0</v>
          </cell>
          <cell r="BS810">
            <v>0</v>
          </cell>
          <cell r="BT810">
            <v>0</v>
          </cell>
          <cell r="BU810">
            <v>4</v>
          </cell>
          <cell r="BV810">
            <v>4</v>
          </cell>
          <cell r="BW810">
            <v>0</v>
          </cell>
          <cell r="BX810">
            <v>0</v>
          </cell>
          <cell r="BY810">
            <v>0</v>
          </cell>
          <cell r="BZ810">
            <v>0</v>
          </cell>
          <cell r="CA810">
            <v>0</v>
          </cell>
          <cell r="CB810">
            <v>4</v>
          </cell>
          <cell r="CC810">
            <v>4</v>
          </cell>
          <cell r="CD810">
            <v>0</v>
          </cell>
          <cell r="CE810">
            <v>0</v>
          </cell>
          <cell r="CF810">
            <v>0</v>
          </cell>
          <cell r="CG810">
            <v>0</v>
          </cell>
          <cell r="CH810">
            <v>0</v>
          </cell>
          <cell r="CI810">
            <v>0</v>
          </cell>
          <cell r="CJ810">
            <v>0</v>
          </cell>
          <cell r="CK810">
            <v>0</v>
          </cell>
          <cell r="CL810">
            <v>0</v>
          </cell>
          <cell r="CM810">
            <v>0</v>
          </cell>
          <cell r="CR810">
            <v>0</v>
          </cell>
          <cell r="CS810">
            <v>0</v>
          </cell>
          <cell r="CT810">
            <v>20</v>
          </cell>
          <cell r="CU810">
            <v>0</v>
          </cell>
          <cell r="CV810">
            <v>0</v>
          </cell>
          <cell r="CZ810">
            <v>20</v>
          </cell>
        </row>
        <row r="811">
          <cell r="C811" t="str">
            <v>04265</v>
          </cell>
          <cell r="D811" t="str">
            <v>Hồng Văn Toàn</v>
          </cell>
          <cell r="E811" t="str">
            <v>Production</v>
          </cell>
          <cell r="F811" t="str">
            <v>Prefitting</v>
          </cell>
          <cell r="G811" t="str">
            <v>Worker</v>
          </cell>
          <cell r="H811">
            <v>45573</v>
          </cell>
          <cell r="I811" t="str">
            <v>Đ</v>
          </cell>
          <cell r="J811" t="str">
            <v>Đ</v>
          </cell>
          <cell r="K811" t="str">
            <v>Đ</v>
          </cell>
          <cell r="L811" t="str">
            <v>CN</v>
          </cell>
          <cell r="M811">
            <v>8</v>
          </cell>
          <cell r="N811">
            <v>8</v>
          </cell>
          <cell r="O811">
            <v>8</v>
          </cell>
          <cell r="P811">
            <v>8</v>
          </cell>
          <cell r="Q811">
            <v>8</v>
          </cell>
          <cell r="R811">
            <v>8</v>
          </cell>
          <cell r="S811" t="str">
            <v>CN</v>
          </cell>
          <cell r="T811">
            <v>8</v>
          </cell>
          <cell r="U811">
            <v>8</v>
          </cell>
          <cell r="V811">
            <v>8</v>
          </cell>
          <cell r="W811">
            <v>8</v>
          </cell>
          <cell r="X811">
            <v>8</v>
          </cell>
          <cell r="Y811" t="str">
            <v>AL8</v>
          </cell>
          <cell r="Z811" t="str">
            <v>CN</v>
          </cell>
          <cell r="AA811">
            <v>8</v>
          </cell>
          <cell r="AB811">
            <v>8</v>
          </cell>
          <cell r="AC811">
            <v>8</v>
          </cell>
          <cell r="AD811">
            <v>8</v>
          </cell>
          <cell r="AE811">
            <v>8</v>
          </cell>
          <cell r="AF811">
            <v>8</v>
          </cell>
          <cell r="AG811" t="str">
            <v>CN</v>
          </cell>
          <cell r="AH811" t="str">
            <v>Đ</v>
          </cell>
          <cell r="AI811" t="str">
            <v>AL8</v>
          </cell>
          <cell r="AJ811" t="str">
            <v>AL8</v>
          </cell>
          <cell r="AN811">
            <v>32</v>
          </cell>
          <cell r="AO811">
            <v>136</v>
          </cell>
          <cell r="AP811">
            <v>0</v>
          </cell>
          <cell r="AQ811">
            <v>0</v>
          </cell>
          <cell r="AR811">
            <v>0</v>
          </cell>
          <cell r="AS811">
            <v>0</v>
          </cell>
          <cell r="AT811">
            <v>0</v>
          </cell>
          <cell r="AU811">
            <v>0</v>
          </cell>
          <cell r="AV811">
            <v>0</v>
          </cell>
          <cell r="AW811">
            <v>0</v>
          </cell>
          <cell r="AX811">
            <v>0</v>
          </cell>
          <cell r="AY811">
            <v>0</v>
          </cell>
          <cell r="AZ811">
            <v>0</v>
          </cell>
          <cell r="BA811">
            <v>24</v>
          </cell>
          <cell r="BB811">
            <v>0</v>
          </cell>
          <cell r="BC811">
            <v>0</v>
          </cell>
          <cell r="BD811">
            <v>0</v>
          </cell>
          <cell r="BE811">
            <v>0</v>
          </cell>
          <cell r="BF811">
            <v>0</v>
          </cell>
          <cell r="BG811">
            <v>192</v>
          </cell>
          <cell r="BH811">
            <v>3</v>
          </cell>
          <cell r="BI811">
            <v>3</v>
          </cell>
          <cell r="BJ811">
            <v>4</v>
          </cell>
          <cell r="BL811">
            <v>0</v>
          </cell>
          <cell r="BM811">
            <v>0</v>
          </cell>
          <cell r="BN811">
            <v>0</v>
          </cell>
          <cell r="BO811">
            <v>0</v>
          </cell>
          <cell r="BP811">
            <v>0</v>
          </cell>
          <cell r="BQ811">
            <v>0</v>
          </cell>
          <cell r="BR811">
            <v>0</v>
          </cell>
          <cell r="BS811">
            <v>0</v>
          </cell>
          <cell r="BT811">
            <v>0</v>
          </cell>
          <cell r="BU811">
            <v>0</v>
          </cell>
          <cell r="BV811">
            <v>0</v>
          </cell>
          <cell r="BW811">
            <v>0</v>
          </cell>
          <cell r="BX811">
            <v>0</v>
          </cell>
          <cell r="BY811">
            <v>0</v>
          </cell>
          <cell r="BZ811">
            <v>0</v>
          </cell>
          <cell r="CA811">
            <v>0</v>
          </cell>
          <cell r="CB811">
            <v>0</v>
          </cell>
          <cell r="CC811">
            <v>0</v>
          </cell>
          <cell r="CD811">
            <v>0</v>
          </cell>
          <cell r="CE811">
            <v>0</v>
          </cell>
          <cell r="CF811">
            <v>0</v>
          </cell>
          <cell r="CG811">
            <v>0</v>
          </cell>
          <cell r="CH811">
            <v>4</v>
          </cell>
          <cell r="CI811">
            <v>4</v>
          </cell>
          <cell r="CJ811">
            <v>0</v>
          </cell>
          <cell r="CK811">
            <v>0</v>
          </cell>
          <cell r="CL811">
            <v>0</v>
          </cell>
          <cell r="CM811">
            <v>0</v>
          </cell>
          <cell r="CR811">
            <v>0</v>
          </cell>
          <cell r="CS811">
            <v>0</v>
          </cell>
          <cell r="CT811">
            <v>8</v>
          </cell>
          <cell r="CU811">
            <v>0</v>
          </cell>
          <cell r="CV811">
            <v>0</v>
          </cell>
          <cell r="CZ811">
            <v>8</v>
          </cell>
        </row>
        <row r="812">
          <cell r="C812" t="str">
            <v>04269</v>
          </cell>
          <cell r="D812" t="str">
            <v>Trần Thị Phụng</v>
          </cell>
          <cell r="E812" t="str">
            <v>Production</v>
          </cell>
          <cell r="F812" t="str">
            <v>Molding</v>
          </cell>
          <cell r="G812" t="str">
            <v>Worker</v>
          </cell>
          <cell r="H812">
            <v>45573</v>
          </cell>
          <cell r="I812" t="str">
            <v>Đ</v>
          </cell>
          <cell r="J812" t="str">
            <v>Đ</v>
          </cell>
          <cell r="K812" t="str">
            <v>CN</v>
          </cell>
          <cell r="L812">
            <v>8</v>
          </cell>
          <cell r="M812">
            <v>8</v>
          </cell>
          <cell r="N812">
            <v>8</v>
          </cell>
          <cell r="O812">
            <v>8</v>
          </cell>
          <cell r="P812">
            <v>8</v>
          </cell>
          <cell r="Q812">
            <v>8</v>
          </cell>
          <cell r="R812" t="str">
            <v>CN</v>
          </cell>
          <cell r="S812" t="str">
            <v>Đ</v>
          </cell>
          <cell r="T812" t="str">
            <v>Đ</v>
          </cell>
          <cell r="U812" t="str">
            <v>Đ</v>
          </cell>
          <cell r="V812" t="str">
            <v>Đ</v>
          </cell>
          <cell r="W812" t="str">
            <v>Đ</v>
          </cell>
          <cell r="X812" t="str">
            <v>Đ</v>
          </cell>
          <cell r="Y812" t="str">
            <v>CN</v>
          </cell>
          <cell r="Z812">
            <v>8</v>
          </cell>
          <cell r="AA812">
            <v>8</v>
          </cell>
          <cell r="AB812">
            <v>8</v>
          </cell>
          <cell r="AC812">
            <v>8</v>
          </cell>
          <cell r="AD812">
            <v>8</v>
          </cell>
          <cell r="AE812">
            <v>8</v>
          </cell>
          <cell r="AF812" t="str">
            <v>CN</v>
          </cell>
          <cell r="AG812" t="str">
            <v>Đ</v>
          </cell>
          <cell r="AH812" t="str">
            <v>Đ</v>
          </cell>
          <cell r="AI812" t="str">
            <v>Đ</v>
          </cell>
          <cell r="AJ812" t="str">
            <v>Đ</v>
          </cell>
          <cell r="AN812">
            <v>96</v>
          </cell>
          <cell r="AO812">
            <v>96</v>
          </cell>
          <cell r="AP812">
            <v>0</v>
          </cell>
          <cell r="AQ812">
            <v>0</v>
          </cell>
          <cell r="AR812">
            <v>0</v>
          </cell>
          <cell r="AS812">
            <v>0</v>
          </cell>
          <cell r="AT812">
            <v>0</v>
          </cell>
          <cell r="AU812">
            <v>0</v>
          </cell>
          <cell r="AV812">
            <v>0</v>
          </cell>
          <cell r="AW812">
            <v>0</v>
          </cell>
          <cell r="AX812">
            <v>0</v>
          </cell>
          <cell r="AY812">
            <v>0</v>
          </cell>
          <cell r="AZ812">
            <v>0</v>
          </cell>
          <cell r="BA812">
            <v>0</v>
          </cell>
          <cell r="BB812">
            <v>0</v>
          </cell>
          <cell r="BC812">
            <v>0</v>
          </cell>
          <cell r="BD812">
            <v>0</v>
          </cell>
          <cell r="BE812">
            <v>0</v>
          </cell>
          <cell r="BF812">
            <v>0</v>
          </cell>
          <cell r="BG812">
            <v>192</v>
          </cell>
          <cell r="BH812">
            <v>0</v>
          </cell>
          <cell r="BI812">
            <v>0</v>
          </cell>
          <cell r="BJ812">
            <v>1.5</v>
          </cell>
          <cell r="BL812">
            <v>0</v>
          </cell>
          <cell r="BM812">
            <v>0</v>
          </cell>
          <cell r="BN812">
            <v>0</v>
          </cell>
          <cell r="BO812">
            <v>4</v>
          </cell>
          <cell r="BP812">
            <v>0</v>
          </cell>
          <cell r="BQ812">
            <v>0</v>
          </cell>
          <cell r="BR812">
            <v>0</v>
          </cell>
          <cell r="BS812">
            <v>0</v>
          </cell>
          <cell r="BT812">
            <v>4</v>
          </cell>
          <cell r="BU812">
            <v>0</v>
          </cell>
          <cell r="BV812">
            <v>4</v>
          </cell>
          <cell r="BW812">
            <v>0</v>
          </cell>
          <cell r="BX812">
            <v>0</v>
          </cell>
          <cell r="BY812">
            <v>0</v>
          </cell>
          <cell r="BZ812">
            <v>0</v>
          </cell>
          <cell r="CA812">
            <v>4</v>
          </cell>
          <cell r="CB812">
            <v>0</v>
          </cell>
          <cell r="CC812">
            <v>4</v>
          </cell>
          <cell r="CD812">
            <v>0</v>
          </cell>
          <cell r="CE812">
            <v>0</v>
          </cell>
          <cell r="CF812">
            <v>0</v>
          </cell>
          <cell r="CG812">
            <v>0</v>
          </cell>
          <cell r="CH812">
            <v>4</v>
          </cell>
          <cell r="CI812">
            <v>0</v>
          </cell>
          <cell r="CJ812">
            <v>4</v>
          </cell>
          <cell r="CK812">
            <v>0</v>
          </cell>
          <cell r="CL812">
            <v>0</v>
          </cell>
          <cell r="CM812">
            <v>0</v>
          </cell>
          <cell r="CR812">
            <v>0</v>
          </cell>
          <cell r="CS812">
            <v>0</v>
          </cell>
          <cell r="CT812">
            <v>28</v>
          </cell>
          <cell r="CU812">
            <v>0</v>
          </cell>
          <cell r="CV812">
            <v>0</v>
          </cell>
          <cell r="CZ812">
            <v>28</v>
          </cell>
        </row>
        <row r="813">
          <cell r="C813" t="str">
            <v>04270</v>
          </cell>
          <cell r="D813" t="str">
            <v>Trần Cẩm Chúc</v>
          </cell>
          <cell r="E813" t="str">
            <v>Production</v>
          </cell>
          <cell r="F813" t="str">
            <v>Packing</v>
          </cell>
          <cell r="G813" t="str">
            <v>Worker</v>
          </cell>
          <cell r="H813">
            <v>45573</v>
          </cell>
          <cell r="I813">
            <v>8</v>
          </cell>
          <cell r="J813">
            <v>8</v>
          </cell>
          <cell r="K813">
            <v>8</v>
          </cell>
          <cell r="L813" t="str">
            <v>CN</v>
          </cell>
          <cell r="M813" t="str">
            <v>Đ</v>
          </cell>
          <cell r="N813" t="str">
            <v>Đ</v>
          </cell>
          <cell r="O813" t="str">
            <v>Đ</v>
          </cell>
          <cell r="P813" t="str">
            <v>Đ</v>
          </cell>
          <cell r="Q813" t="str">
            <v>Đ</v>
          </cell>
          <cell r="R813" t="str">
            <v>Đ</v>
          </cell>
          <cell r="S813" t="str">
            <v>CN</v>
          </cell>
          <cell r="T813">
            <v>8</v>
          </cell>
          <cell r="U813">
            <v>8</v>
          </cell>
          <cell r="V813">
            <v>8</v>
          </cell>
          <cell r="W813">
            <v>8</v>
          </cell>
          <cell r="X813" t="str">
            <v>UP4</v>
          </cell>
          <cell r="Y813">
            <v>8</v>
          </cell>
          <cell r="Z813" t="str">
            <v>CN</v>
          </cell>
          <cell r="AA813" t="str">
            <v>Đ</v>
          </cell>
          <cell r="AB813" t="str">
            <v>Đ</v>
          </cell>
          <cell r="AC813" t="str">
            <v>Đ</v>
          </cell>
          <cell r="AD813" t="str">
            <v>Đ</v>
          </cell>
          <cell r="AE813" t="str">
            <v>Đ</v>
          </cell>
          <cell r="AF813" t="str">
            <v>Đ</v>
          </cell>
          <cell r="AG813" t="str">
            <v>CN</v>
          </cell>
          <cell r="AH813">
            <v>8</v>
          </cell>
          <cell r="AI813">
            <v>8</v>
          </cell>
          <cell r="AJ813">
            <v>8</v>
          </cell>
          <cell r="AN813">
            <v>96</v>
          </cell>
          <cell r="AO813">
            <v>92</v>
          </cell>
          <cell r="AP813">
            <v>0</v>
          </cell>
          <cell r="AQ813">
            <v>0</v>
          </cell>
          <cell r="AR813">
            <v>4</v>
          </cell>
          <cell r="AS813">
            <v>4</v>
          </cell>
          <cell r="AT813">
            <v>0</v>
          </cell>
          <cell r="AU813">
            <v>0</v>
          </cell>
          <cell r="AV813">
            <v>0</v>
          </cell>
          <cell r="AW813">
            <v>0</v>
          </cell>
          <cell r="AX813">
            <v>0</v>
          </cell>
          <cell r="AY813">
            <v>0</v>
          </cell>
          <cell r="AZ813">
            <v>0</v>
          </cell>
          <cell r="BA813">
            <v>0</v>
          </cell>
          <cell r="BB813">
            <v>0</v>
          </cell>
          <cell r="BC813">
            <v>0</v>
          </cell>
          <cell r="BD813">
            <v>0</v>
          </cell>
          <cell r="BE813">
            <v>0</v>
          </cell>
          <cell r="BF813">
            <v>0</v>
          </cell>
          <cell r="BG813">
            <v>188</v>
          </cell>
          <cell r="BH813">
            <v>0</v>
          </cell>
          <cell r="BI813">
            <v>0</v>
          </cell>
          <cell r="BJ813">
            <v>1</v>
          </cell>
          <cell r="BL813">
            <v>1.5</v>
          </cell>
          <cell r="BM813">
            <v>0</v>
          </cell>
          <cell r="BN813">
            <v>1.5</v>
          </cell>
          <cell r="BO813">
            <v>0</v>
          </cell>
          <cell r="BP813">
            <v>4</v>
          </cell>
          <cell r="BQ813">
            <v>0</v>
          </cell>
          <cell r="BR813">
            <v>1.5</v>
          </cell>
          <cell r="BS813">
            <v>4</v>
          </cell>
          <cell r="BT813">
            <v>4</v>
          </cell>
          <cell r="BU813">
            <v>4</v>
          </cell>
          <cell r="BV813">
            <v>0</v>
          </cell>
          <cell r="BW813">
            <v>3</v>
          </cell>
          <cell r="BX813">
            <v>3</v>
          </cell>
          <cell r="BY813">
            <v>4</v>
          </cell>
          <cell r="BZ813">
            <v>2</v>
          </cell>
          <cell r="CA813">
            <v>2</v>
          </cell>
          <cell r="CB813">
            <v>3</v>
          </cell>
          <cell r="CC813">
            <v>8</v>
          </cell>
          <cell r="CD813">
            <v>4</v>
          </cell>
          <cell r="CE813">
            <v>4</v>
          </cell>
          <cell r="CF813">
            <v>4</v>
          </cell>
          <cell r="CG813">
            <v>4</v>
          </cell>
          <cell r="CH813">
            <v>4</v>
          </cell>
          <cell r="CI813">
            <v>4</v>
          </cell>
          <cell r="CJ813">
            <v>0</v>
          </cell>
          <cell r="CK813">
            <v>3</v>
          </cell>
          <cell r="CL813">
            <v>3</v>
          </cell>
          <cell r="CM813">
            <v>3</v>
          </cell>
          <cell r="CR813">
            <v>0</v>
          </cell>
          <cell r="CS813">
            <v>0</v>
          </cell>
          <cell r="CT813">
            <v>70.5</v>
          </cell>
          <cell r="CU813">
            <v>8</v>
          </cell>
          <cell r="CV813">
            <v>0</v>
          </cell>
          <cell r="CZ813">
            <v>78.5</v>
          </cell>
        </row>
        <row r="814">
          <cell r="C814" t="str">
            <v>04271</v>
          </cell>
          <cell r="D814" t="str">
            <v>Trần Hữu Lộc</v>
          </cell>
          <cell r="E814" t="str">
            <v>Production</v>
          </cell>
          <cell r="F814" t="str">
            <v>Die Cut</v>
          </cell>
          <cell r="G814" t="str">
            <v>Worker</v>
          </cell>
          <cell r="H814">
            <v>45573</v>
          </cell>
          <cell r="I814">
            <v>8</v>
          </cell>
          <cell r="J814">
            <v>8</v>
          </cell>
          <cell r="K814">
            <v>8</v>
          </cell>
          <cell r="L814" t="str">
            <v>CN</v>
          </cell>
          <cell r="M814" t="str">
            <v>Đ</v>
          </cell>
          <cell r="N814" t="str">
            <v>Đ</v>
          </cell>
          <cell r="O814" t="str">
            <v>Đ</v>
          </cell>
          <cell r="P814" t="str">
            <v>Đ</v>
          </cell>
          <cell r="Q814" t="str">
            <v>Đ</v>
          </cell>
          <cell r="R814" t="str">
            <v>Đ</v>
          </cell>
          <cell r="S814" t="str">
            <v>CN</v>
          </cell>
          <cell r="T814">
            <v>8</v>
          </cell>
          <cell r="U814">
            <v>8</v>
          </cell>
          <cell r="V814">
            <v>8</v>
          </cell>
          <cell r="W814" t="str">
            <v>UP4</v>
          </cell>
          <cell r="X814">
            <v>8</v>
          </cell>
          <cell r="Y814">
            <v>8</v>
          </cell>
          <cell r="Z814" t="str">
            <v>CN</v>
          </cell>
          <cell r="AA814" t="str">
            <v>Đ</v>
          </cell>
          <cell r="AB814" t="str">
            <v>Đ</v>
          </cell>
          <cell r="AC814" t="str">
            <v>Đ</v>
          </cell>
          <cell r="AD814" t="str">
            <v>Đ</v>
          </cell>
          <cell r="AE814" t="str">
            <v>Đ</v>
          </cell>
          <cell r="AF814" t="str">
            <v>Đ</v>
          </cell>
          <cell r="AG814" t="str">
            <v>CN</v>
          </cell>
          <cell r="AH814">
            <v>8</v>
          </cell>
          <cell r="AI814">
            <v>8</v>
          </cell>
          <cell r="AJ814">
            <v>8</v>
          </cell>
          <cell r="AN814">
            <v>96</v>
          </cell>
          <cell r="AO814">
            <v>92</v>
          </cell>
          <cell r="AP814">
            <v>0</v>
          </cell>
          <cell r="AQ814">
            <v>0</v>
          </cell>
          <cell r="AR814">
            <v>4</v>
          </cell>
          <cell r="AS814">
            <v>4</v>
          </cell>
          <cell r="AT814">
            <v>0</v>
          </cell>
          <cell r="AU814">
            <v>0</v>
          </cell>
          <cell r="AV814">
            <v>0</v>
          </cell>
          <cell r="AW814">
            <v>0</v>
          </cell>
          <cell r="AX814">
            <v>0</v>
          </cell>
          <cell r="AY814">
            <v>0</v>
          </cell>
          <cell r="AZ814">
            <v>0</v>
          </cell>
          <cell r="BA814">
            <v>0</v>
          </cell>
          <cell r="BB814">
            <v>0</v>
          </cell>
          <cell r="BC814">
            <v>0</v>
          </cell>
          <cell r="BD814">
            <v>0</v>
          </cell>
          <cell r="BE814">
            <v>0</v>
          </cell>
          <cell r="BF814">
            <v>0</v>
          </cell>
          <cell r="BG814">
            <v>188</v>
          </cell>
          <cell r="BH814">
            <v>0</v>
          </cell>
          <cell r="BI814">
            <v>0</v>
          </cell>
          <cell r="BJ814">
            <v>0</v>
          </cell>
          <cell r="BL814">
            <v>1.5</v>
          </cell>
          <cell r="BM814">
            <v>0</v>
          </cell>
          <cell r="BN814">
            <v>1.5</v>
          </cell>
          <cell r="BO814">
            <v>0</v>
          </cell>
          <cell r="BP814">
            <v>1.5</v>
          </cell>
          <cell r="BQ814">
            <v>0</v>
          </cell>
          <cell r="BR814">
            <v>0</v>
          </cell>
          <cell r="BS814">
            <v>4</v>
          </cell>
          <cell r="BT814">
            <v>4</v>
          </cell>
          <cell r="BU814">
            <v>4</v>
          </cell>
          <cell r="BV814">
            <v>0</v>
          </cell>
          <cell r="BW814">
            <v>3</v>
          </cell>
          <cell r="BX814">
            <v>3</v>
          </cell>
          <cell r="BY814">
            <v>3</v>
          </cell>
          <cell r="BZ814">
            <v>2</v>
          </cell>
          <cell r="CA814">
            <v>3</v>
          </cell>
          <cell r="CB814">
            <v>3</v>
          </cell>
          <cell r="CC814">
            <v>0</v>
          </cell>
          <cell r="CD814">
            <v>4</v>
          </cell>
          <cell r="CE814">
            <v>4</v>
          </cell>
          <cell r="CF814">
            <v>4</v>
          </cell>
          <cell r="CG814">
            <v>4</v>
          </cell>
          <cell r="CH814">
            <v>4</v>
          </cell>
          <cell r="CI814">
            <v>4</v>
          </cell>
          <cell r="CJ814">
            <v>0</v>
          </cell>
          <cell r="CK814">
            <v>3</v>
          </cell>
          <cell r="CL814">
            <v>3</v>
          </cell>
          <cell r="CM814">
            <v>3</v>
          </cell>
          <cell r="CR814">
            <v>0</v>
          </cell>
          <cell r="CS814">
            <v>0</v>
          </cell>
          <cell r="CT814">
            <v>66.5</v>
          </cell>
          <cell r="CU814">
            <v>0</v>
          </cell>
          <cell r="CV814">
            <v>0</v>
          </cell>
          <cell r="CZ814">
            <v>66.5</v>
          </cell>
        </row>
        <row r="815">
          <cell r="C815" t="str">
            <v>04272</v>
          </cell>
          <cell r="D815" t="str">
            <v>Lê Quang Tỷ</v>
          </cell>
          <cell r="E815" t="str">
            <v>Production</v>
          </cell>
          <cell r="F815" t="str">
            <v>Lamination</v>
          </cell>
          <cell r="G815" t="str">
            <v>Worker</v>
          </cell>
          <cell r="H815">
            <v>45573</v>
          </cell>
          <cell r="I815" t="str">
            <v>Đ</v>
          </cell>
          <cell r="J815" t="str">
            <v>Đ</v>
          </cell>
          <cell r="K815" t="str">
            <v>CN</v>
          </cell>
          <cell r="L815">
            <v>8</v>
          </cell>
          <cell r="M815">
            <v>8</v>
          </cell>
          <cell r="N815">
            <v>8</v>
          </cell>
          <cell r="O815">
            <v>8</v>
          </cell>
          <cell r="P815">
            <v>8</v>
          </cell>
          <cell r="Q815" t="str">
            <v>AL8</v>
          </cell>
          <cell r="R815" t="str">
            <v>CN</v>
          </cell>
          <cell r="S815" t="str">
            <v>Đ</v>
          </cell>
          <cell r="T815" t="str">
            <v>Đ</v>
          </cell>
          <cell r="U815" t="str">
            <v>Đ</v>
          </cell>
          <cell r="V815" t="str">
            <v>Đ</v>
          </cell>
          <cell r="W815" t="str">
            <v>Đ</v>
          </cell>
          <cell r="X815" t="str">
            <v>Đ</v>
          </cell>
          <cell r="Y815" t="str">
            <v>CN</v>
          </cell>
          <cell r="Z815">
            <v>8</v>
          </cell>
          <cell r="AA815">
            <v>8</v>
          </cell>
          <cell r="AB815">
            <v>8</v>
          </cell>
          <cell r="AC815">
            <v>8</v>
          </cell>
          <cell r="AD815">
            <v>8</v>
          </cell>
          <cell r="AE815">
            <v>8</v>
          </cell>
          <cell r="AF815" t="str">
            <v>CN</v>
          </cell>
          <cell r="AG815">
            <v>8</v>
          </cell>
          <cell r="AH815">
            <v>8</v>
          </cell>
          <cell r="AI815">
            <v>8</v>
          </cell>
          <cell r="AJ815">
            <v>8</v>
          </cell>
          <cell r="AN815">
            <v>64</v>
          </cell>
          <cell r="AO815">
            <v>120</v>
          </cell>
          <cell r="AP815">
            <v>0</v>
          </cell>
          <cell r="AQ815">
            <v>0</v>
          </cell>
          <cell r="AR815">
            <v>0</v>
          </cell>
          <cell r="AS815">
            <v>0</v>
          </cell>
          <cell r="AT815">
            <v>0</v>
          </cell>
          <cell r="AU815">
            <v>0</v>
          </cell>
          <cell r="AV815">
            <v>0</v>
          </cell>
          <cell r="AW815">
            <v>0</v>
          </cell>
          <cell r="AX815">
            <v>0</v>
          </cell>
          <cell r="AY815">
            <v>0</v>
          </cell>
          <cell r="AZ815">
            <v>0</v>
          </cell>
          <cell r="BA815">
            <v>8</v>
          </cell>
          <cell r="BB815">
            <v>0</v>
          </cell>
          <cell r="BC815">
            <v>0</v>
          </cell>
          <cell r="BD815">
            <v>0</v>
          </cell>
          <cell r="BE815">
            <v>0</v>
          </cell>
          <cell r="BF815">
            <v>0</v>
          </cell>
          <cell r="BG815">
            <v>192</v>
          </cell>
          <cell r="BH815">
            <v>1</v>
          </cell>
          <cell r="BI815">
            <v>1</v>
          </cell>
          <cell r="BJ815">
            <v>1.5</v>
          </cell>
          <cell r="BL815">
            <v>0</v>
          </cell>
          <cell r="BM815">
            <v>4</v>
          </cell>
          <cell r="BN815">
            <v>0</v>
          </cell>
          <cell r="BO815">
            <v>4</v>
          </cell>
          <cell r="BP815">
            <v>0</v>
          </cell>
          <cell r="BQ815">
            <v>0</v>
          </cell>
          <cell r="BR815">
            <v>0</v>
          </cell>
          <cell r="BS815">
            <v>0</v>
          </cell>
          <cell r="BT815">
            <v>0</v>
          </cell>
          <cell r="BU815">
            <v>0</v>
          </cell>
          <cell r="BV815">
            <v>4</v>
          </cell>
          <cell r="BW815">
            <v>0</v>
          </cell>
          <cell r="BX815">
            <v>0</v>
          </cell>
          <cell r="BY815">
            <v>0</v>
          </cell>
          <cell r="BZ815">
            <v>0</v>
          </cell>
          <cell r="CA815">
            <v>4</v>
          </cell>
          <cell r="CB815">
            <v>0</v>
          </cell>
          <cell r="CC815">
            <v>4</v>
          </cell>
          <cell r="CD815">
            <v>0</v>
          </cell>
          <cell r="CE815">
            <v>0</v>
          </cell>
          <cell r="CF815">
            <v>0</v>
          </cell>
          <cell r="CG815">
            <v>0</v>
          </cell>
          <cell r="CH815">
            <v>4</v>
          </cell>
          <cell r="CI815">
            <v>0</v>
          </cell>
          <cell r="CJ815">
            <v>4</v>
          </cell>
          <cell r="CK815">
            <v>0</v>
          </cell>
          <cell r="CL815">
            <v>0</v>
          </cell>
          <cell r="CM815">
            <v>0</v>
          </cell>
          <cell r="CR815">
            <v>0</v>
          </cell>
          <cell r="CS815">
            <v>0</v>
          </cell>
          <cell r="CT815">
            <v>28</v>
          </cell>
          <cell r="CU815">
            <v>0</v>
          </cell>
          <cell r="CV815">
            <v>0</v>
          </cell>
          <cell r="CZ815">
            <v>28</v>
          </cell>
        </row>
        <row r="816">
          <cell r="C816" t="str">
            <v>04276</v>
          </cell>
          <cell r="D816" t="str">
            <v>Chu Thị Duyên</v>
          </cell>
          <cell r="E816" t="str">
            <v>Production</v>
          </cell>
          <cell r="F816" t="str">
            <v>Molding</v>
          </cell>
          <cell r="G816" t="str">
            <v>Worker</v>
          </cell>
          <cell r="H816">
            <v>45573</v>
          </cell>
          <cell r="I816">
            <v>8</v>
          </cell>
          <cell r="J816">
            <v>8</v>
          </cell>
          <cell r="K816">
            <v>8</v>
          </cell>
          <cell r="L816" t="str">
            <v>CN</v>
          </cell>
          <cell r="M816">
            <v>8</v>
          </cell>
          <cell r="N816">
            <v>8</v>
          </cell>
          <cell r="O816">
            <v>8</v>
          </cell>
          <cell r="P816">
            <v>8</v>
          </cell>
          <cell r="Q816">
            <v>8</v>
          </cell>
          <cell r="R816">
            <v>8</v>
          </cell>
          <cell r="S816" t="str">
            <v>CN</v>
          </cell>
          <cell r="T816">
            <v>8</v>
          </cell>
          <cell r="U816">
            <v>8</v>
          </cell>
          <cell r="V816">
            <v>8</v>
          </cell>
          <cell r="W816">
            <v>8</v>
          </cell>
          <cell r="X816">
            <v>8</v>
          </cell>
          <cell r="Y816">
            <v>8</v>
          </cell>
          <cell r="Z816" t="str">
            <v>CN</v>
          </cell>
          <cell r="AA816">
            <v>8</v>
          </cell>
          <cell r="AB816">
            <v>8</v>
          </cell>
          <cell r="AC816">
            <v>8</v>
          </cell>
          <cell r="AD816">
            <v>8</v>
          </cell>
          <cell r="AE816">
            <v>8</v>
          </cell>
          <cell r="AF816">
            <v>8</v>
          </cell>
          <cell r="AG816" t="str">
            <v>CN</v>
          </cell>
          <cell r="AH816">
            <v>8</v>
          </cell>
          <cell r="AI816">
            <v>8</v>
          </cell>
          <cell r="AJ816">
            <v>8</v>
          </cell>
          <cell r="AN816">
            <v>0</v>
          </cell>
          <cell r="AO816">
            <v>192</v>
          </cell>
          <cell r="AP816">
            <v>0</v>
          </cell>
          <cell r="AQ816">
            <v>0</v>
          </cell>
          <cell r="AR816">
            <v>0</v>
          </cell>
          <cell r="AS816">
            <v>0</v>
          </cell>
          <cell r="AT816">
            <v>0</v>
          </cell>
          <cell r="AU816">
            <v>0</v>
          </cell>
          <cell r="AV816">
            <v>0</v>
          </cell>
          <cell r="AW816">
            <v>0</v>
          </cell>
          <cell r="AX816">
            <v>0</v>
          </cell>
          <cell r="AY816">
            <v>0</v>
          </cell>
          <cell r="AZ816">
            <v>0</v>
          </cell>
          <cell r="BA816">
            <v>0</v>
          </cell>
          <cell r="BB816">
            <v>0</v>
          </cell>
          <cell r="BC816">
            <v>0</v>
          </cell>
          <cell r="BD816">
            <v>0</v>
          </cell>
          <cell r="BE816">
            <v>0</v>
          </cell>
          <cell r="BF816">
            <v>0</v>
          </cell>
          <cell r="BG816">
            <v>192</v>
          </cell>
          <cell r="BH816">
            <v>0</v>
          </cell>
          <cell r="BI816">
            <v>0</v>
          </cell>
          <cell r="BJ816">
            <v>1</v>
          </cell>
          <cell r="BL816">
            <v>0</v>
          </cell>
          <cell r="BM816">
            <v>0</v>
          </cell>
          <cell r="BN816">
            <v>0</v>
          </cell>
          <cell r="BO816">
            <v>0</v>
          </cell>
          <cell r="BP816">
            <v>0</v>
          </cell>
          <cell r="BQ816">
            <v>0</v>
          </cell>
          <cell r="BR816">
            <v>0</v>
          </cell>
          <cell r="BS816">
            <v>0</v>
          </cell>
          <cell r="BT816">
            <v>0</v>
          </cell>
          <cell r="BU816">
            <v>0</v>
          </cell>
          <cell r="BV816">
            <v>0</v>
          </cell>
          <cell r="BW816">
            <v>4</v>
          </cell>
          <cell r="BX816">
            <v>4</v>
          </cell>
          <cell r="BY816">
            <v>0</v>
          </cell>
          <cell r="BZ816">
            <v>4</v>
          </cell>
          <cell r="CA816">
            <v>0</v>
          </cell>
          <cell r="CB816">
            <v>0</v>
          </cell>
          <cell r="CC816">
            <v>0</v>
          </cell>
          <cell r="CD816">
            <v>0</v>
          </cell>
          <cell r="CE816">
            <v>0</v>
          </cell>
          <cell r="CF816">
            <v>0</v>
          </cell>
          <cell r="CG816">
            <v>0</v>
          </cell>
          <cell r="CH816">
            <v>4</v>
          </cell>
          <cell r="CI816">
            <v>0</v>
          </cell>
          <cell r="CJ816">
            <v>0</v>
          </cell>
          <cell r="CK816">
            <v>0</v>
          </cell>
          <cell r="CL816">
            <v>4</v>
          </cell>
          <cell r="CM816">
            <v>0</v>
          </cell>
          <cell r="CR816">
            <v>0</v>
          </cell>
          <cell r="CS816">
            <v>0</v>
          </cell>
          <cell r="CT816">
            <v>20</v>
          </cell>
          <cell r="CU816">
            <v>0</v>
          </cell>
          <cell r="CV816">
            <v>0</v>
          </cell>
          <cell r="CZ816">
            <v>20</v>
          </cell>
        </row>
        <row r="817">
          <cell r="C817" t="str">
            <v>04282</v>
          </cell>
          <cell r="D817" t="str">
            <v>Nguyễn Thị Bích Phượng</v>
          </cell>
          <cell r="E817" t="str">
            <v>CS</v>
          </cell>
          <cell r="F817" t="str">
            <v>CS</v>
          </cell>
          <cell r="G817" t="str">
            <v>Staff</v>
          </cell>
          <cell r="H817">
            <v>45580</v>
          </cell>
          <cell r="I817">
            <v>8</v>
          </cell>
          <cell r="J817">
            <v>8</v>
          </cell>
          <cell r="K817" t="str">
            <v>PO</v>
          </cell>
          <cell r="L817" t="str">
            <v>CN</v>
          </cell>
          <cell r="M817">
            <v>8</v>
          </cell>
          <cell r="N817">
            <v>8</v>
          </cell>
          <cell r="O817">
            <v>8</v>
          </cell>
          <cell r="P817">
            <v>8</v>
          </cell>
          <cell r="Q817">
            <v>8</v>
          </cell>
          <cell r="R817" t="str">
            <v>PO</v>
          </cell>
          <cell r="S817" t="str">
            <v>CN</v>
          </cell>
          <cell r="T817">
            <v>8</v>
          </cell>
          <cell r="U817">
            <v>8</v>
          </cell>
          <cell r="V817">
            <v>8</v>
          </cell>
          <cell r="W817">
            <v>8</v>
          </cell>
          <cell r="X817">
            <v>8</v>
          </cell>
          <cell r="Y817" t="str">
            <v>PO</v>
          </cell>
          <cell r="Z817" t="str">
            <v>CN</v>
          </cell>
          <cell r="AA817">
            <v>8</v>
          </cell>
          <cell r="AB817">
            <v>8</v>
          </cell>
          <cell r="AC817">
            <v>8</v>
          </cell>
          <cell r="AD817">
            <v>8</v>
          </cell>
          <cell r="AE817">
            <v>8</v>
          </cell>
          <cell r="AF817" t="str">
            <v>PO</v>
          </cell>
          <cell r="AG817" t="str">
            <v>CN</v>
          </cell>
          <cell r="AH817">
            <v>8</v>
          </cell>
          <cell r="AI817">
            <v>8</v>
          </cell>
          <cell r="AJ817">
            <v>8</v>
          </cell>
          <cell r="AN817">
            <v>0</v>
          </cell>
          <cell r="AO817">
            <v>160</v>
          </cell>
          <cell r="AP817">
            <v>0</v>
          </cell>
          <cell r="AQ817">
            <v>0</v>
          </cell>
          <cell r="AR817">
            <v>0</v>
          </cell>
          <cell r="AS817">
            <v>0</v>
          </cell>
          <cell r="AT817">
            <v>0</v>
          </cell>
          <cell r="AU817">
            <v>0</v>
          </cell>
          <cell r="AV817">
            <v>32</v>
          </cell>
          <cell r="AW817">
            <v>0</v>
          </cell>
          <cell r="AX817">
            <v>0</v>
          </cell>
          <cell r="AY817">
            <v>0</v>
          </cell>
          <cell r="AZ817">
            <v>0</v>
          </cell>
          <cell r="BA817">
            <v>0</v>
          </cell>
          <cell r="BB817">
            <v>0</v>
          </cell>
          <cell r="BC817">
            <v>0</v>
          </cell>
          <cell r="BD817">
            <v>0</v>
          </cell>
          <cell r="BE817">
            <v>0</v>
          </cell>
          <cell r="BF817">
            <v>0</v>
          </cell>
          <cell r="BG817">
            <v>192</v>
          </cell>
          <cell r="BH817">
            <v>0</v>
          </cell>
          <cell r="BI817">
            <v>0</v>
          </cell>
          <cell r="BJ817">
            <v>5</v>
          </cell>
          <cell r="BL817">
            <v>0</v>
          </cell>
          <cell r="BM817">
            <v>0</v>
          </cell>
          <cell r="BN817">
            <v>0</v>
          </cell>
          <cell r="BO817">
            <v>0</v>
          </cell>
          <cell r="BP817">
            <v>3</v>
          </cell>
          <cell r="BQ817">
            <v>2</v>
          </cell>
          <cell r="BR817">
            <v>0</v>
          </cell>
          <cell r="BS817">
            <v>0</v>
          </cell>
          <cell r="BT817">
            <v>0</v>
          </cell>
          <cell r="BU817">
            <v>0</v>
          </cell>
          <cell r="BV817">
            <v>0</v>
          </cell>
          <cell r="BW817">
            <v>0</v>
          </cell>
          <cell r="BX817">
            <v>0</v>
          </cell>
          <cell r="BY817">
            <v>0</v>
          </cell>
          <cell r="BZ817">
            <v>2</v>
          </cell>
          <cell r="CA817">
            <v>0</v>
          </cell>
          <cell r="CB817">
            <v>0</v>
          </cell>
          <cell r="CC817">
            <v>0</v>
          </cell>
          <cell r="CD817">
            <v>0</v>
          </cell>
          <cell r="CE817">
            <v>0</v>
          </cell>
          <cell r="CF817">
            <v>0</v>
          </cell>
          <cell r="CG817">
            <v>0</v>
          </cell>
          <cell r="CH817">
            <v>2.5</v>
          </cell>
          <cell r="CI817">
            <v>0</v>
          </cell>
          <cell r="CJ817">
            <v>0</v>
          </cell>
          <cell r="CK817">
            <v>2</v>
          </cell>
          <cell r="CL817">
            <v>2</v>
          </cell>
          <cell r="CM817">
            <v>0</v>
          </cell>
          <cell r="CR817">
            <v>0</v>
          </cell>
          <cell r="CS817">
            <v>0</v>
          </cell>
          <cell r="CT817">
            <v>13.5</v>
          </cell>
          <cell r="CU817">
            <v>0</v>
          </cell>
          <cell r="CV817">
            <v>0</v>
          </cell>
          <cell r="CZ817">
            <v>13.5</v>
          </cell>
        </row>
        <row r="818">
          <cell r="C818" t="str">
            <v>04283</v>
          </cell>
          <cell r="D818" t="str">
            <v>Lê Trung Lil</v>
          </cell>
          <cell r="E818" t="str">
            <v>Foaming</v>
          </cell>
          <cell r="F818" t="str">
            <v>FOAMING Splitting</v>
          </cell>
          <cell r="G818" t="str">
            <v>Worker</v>
          </cell>
          <cell r="H818">
            <v>45580</v>
          </cell>
          <cell r="I818" t="str">
            <v>Đ</v>
          </cell>
          <cell r="J818" t="str">
            <v>Đ</v>
          </cell>
          <cell r="K818" t="str">
            <v>Đ</v>
          </cell>
          <cell r="L818" t="str">
            <v>CN</v>
          </cell>
          <cell r="M818" t="str">
            <v>Đ</v>
          </cell>
          <cell r="N818" t="str">
            <v>Đ</v>
          </cell>
          <cell r="O818" t="str">
            <v>Đ</v>
          </cell>
          <cell r="P818" t="str">
            <v>Đ</v>
          </cell>
          <cell r="Q818" t="str">
            <v>Đ</v>
          </cell>
          <cell r="R818" t="str">
            <v>Đ</v>
          </cell>
          <cell r="S818" t="str">
            <v>CN</v>
          </cell>
          <cell r="T818" t="str">
            <v>Đ</v>
          </cell>
          <cell r="U818" t="str">
            <v>Đ</v>
          </cell>
          <cell r="V818" t="str">
            <v>Đ</v>
          </cell>
          <cell r="W818" t="str">
            <v>Đ</v>
          </cell>
          <cell r="X818" t="str">
            <v>Đ</v>
          </cell>
          <cell r="Y818" t="str">
            <v>Đ</v>
          </cell>
          <cell r="Z818" t="str">
            <v>CN</v>
          </cell>
          <cell r="AA818">
            <v>8</v>
          </cell>
          <cell r="AB818">
            <v>8</v>
          </cell>
          <cell r="AC818">
            <v>8</v>
          </cell>
          <cell r="AD818">
            <v>8</v>
          </cell>
          <cell r="AE818">
            <v>8</v>
          </cell>
          <cell r="AF818">
            <v>8</v>
          </cell>
          <cell r="AG818" t="str">
            <v>CN</v>
          </cell>
          <cell r="AH818">
            <v>8</v>
          </cell>
          <cell r="AI818">
            <v>8</v>
          </cell>
          <cell r="AJ818">
            <v>8</v>
          </cell>
          <cell r="AN818">
            <v>120</v>
          </cell>
          <cell r="AO818">
            <v>72</v>
          </cell>
          <cell r="AP818">
            <v>0</v>
          </cell>
          <cell r="AQ818">
            <v>0</v>
          </cell>
          <cell r="AR818">
            <v>0</v>
          </cell>
          <cell r="AS818">
            <v>0</v>
          </cell>
          <cell r="AT818">
            <v>0</v>
          </cell>
          <cell r="AU818">
            <v>0</v>
          </cell>
          <cell r="AV818">
            <v>0</v>
          </cell>
          <cell r="AW818">
            <v>0</v>
          </cell>
          <cell r="AX818">
            <v>0</v>
          </cell>
          <cell r="AY818">
            <v>0</v>
          </cell>
          <cell r="AZ818">
            <v>0</v>
          </cell>
          <cell r="BA818">
            <v>0</v>
          </cell>
          <cell r="BB818">
            <v>0</v>
          </cell>
          <cell r="BC818">
            <v>0</v>
          </cell>
          <cell r="BD818">
            <v>0</v>
          </cell>
          <cell r="BE818">
            <v>0</v>
          </cell>
          <cell r="BF818">
            <v>0</v>
          </cell>
          <cell r="BG818">
            <v>192</v>
          </cell>
          <cell r="BH818">
            <v>0</v>
          </cell>
          <cell r="BI818">
            <v>0</v>
          </cell>
          <cell r="BJ818">
            <v>-4</v>
          </cell>
          <cell r="BL818">
            <v>4</v>
          </cell>
          <cell r="BM818">
            <v>4</v>
          </cell>
          <cell r="BN818">
            <v>4</v>
          </cell>
          <cell r="BO818" t="str">
            <v>12Đ</v>
          </cell>
          <cell r="BP818">
            <v>2</v>
          </cell>
          <cell r="BQ818">
            <v>4</v>
          </cell>
          <cell r="BR818">
            <v>4</v>
          </cell>
          <cell r="BS818">
            <v>4</v>
          </cell>
          <cell r="BT818">
            <v>4</v>
          </cell>
          <cell r="BU818">
            <v>4</v>
          </cell>
          <cell r="BV818" t="str">
            <v>12Đ</v>
          </cell>
          <cell r="BW818">
            <v>4</v>
          </cell>
          <cell r="BX818">
            <v>4</v>
          </cell>
          <cell r="BY818">
            <v>4</v>
          </cell>
          <cell r="BZ818">
            <v>4</v>
          </cell>
          <cell r="CA818">
            <v>4</v>
          </cell>
          <cell r="CB818">
            <v>4</v>
          </cell>
          <cell r="CC818">
            <v>0</v>
          </cell>
          <cell r="CD818">
            <v>4</v>
          </cell>
          <cell r="CE818">
            <v>4</v>
          </cell>
          <cell r="CF818">
            <v>0</v>
          </cell>
          <cell r="CG818">
            <v>2</v>
          </cell>
          <cell r="CH818">
            <v>4</v>
          </cell>
          <cell r="CI818">
            <v>2</v>
          </cell>
          <cell r="CJ818">
            <v>11</v>
          </cell>
          <cell r="CK818">
            <v>4</v>
          </cell>
          <cell r="CL818">
            <v>0</v>
          </cell>
          <cell r="CM818">
            <v>4</v>
          </cell>
          <cell r="CR818">
            <v>0</v>
          </cell>
          <cell r="CS818">
            <v>0</v>
          </cell>
          <cell r="CT818">
            <v>82</v>
          </cell>
          <cell r="CU818">
            <v>19</v>
          </cell>
          <cell r="CV818">
            <v>16</v>
          </cell>
          <cell r="CZ818">
            <v>117</v>
          </cell>
        </row>
        <row r="819">
          <cell r="C819" t="str">
            <v>04287</v>
          </cell>
          <cell r="D819" t="str">
            <v>Nguyễn Thành Đạt</v>
          </cell>
          <cell r="E819" t="str">
            <v>Production</v>
          </cell>
          <cell r="F819" t="str">
            <v>Molding</v>
          </cell>
          <cell r="G819" t="str">
            <v>Worker</v>
          </cell>
          <cell r="H819">
            <v>45580</v>
          </cell>
          <cell r="I819" t="str">
            <v>CĐ</v>
          </cell>
          <cell r="J819" t="str">
            <v>UP8</v>
          </cell>
          <cell r="K819">
            <v>8</v>
          </cell>
          <cell r="L819" t="str">
            <v>CN</v>
          </cell>
          <cell r="M819">
            <v>8</v>
          </cell>
          <cell r="N819">
            <v>8</v>
          </cell>
          <cell r="O819">
            <v>8</v>
          </cell>
          <cell r="P819">
            <v>8</v>
          </cell>
          <cell r="Q819">
            <v>8</v>
          </cell>
          <cell r="R819">
            <v>8</v>
          </cell>
          <cell r="S819" t="str">
            <v>CN</v>
          </cell>
          <cell r="T819">
            <v>8</v>
          </cell>
          <cell r="U819">
            <v>8</v>
          </cell>
          <cell r="V819">
            <v>8</v>
          </cell>
          <cell r="W819">
            <v>8</v>
          </cell>
          <cell r="X819">
            <v>8</v>
          </cell>
          <cell r="Y819">
            <v>8</v>
          </cell>
          <cell r="Z819" t="str">
            <v>CN</v>
          </cell>
          <cell r="AA819">
            <v>8</v>
          </cell>
          <cell r="AB819">
            <v>8</v>
          </cell>
          <cell r="AC819">
            <v>8</v>
          </cell>
          <cell r="AD819">
            <v>8</v>
          </cell>
          <cell r="AE819">
            <v>8</v>
          </cell>
          <cell r="AF819">
            <v>8</v>
          </cell>
          <cell r="AG819" t="str">
            <v>CN</v>
          </cell>
          <cell r="AH819">
            <v>8</v>
          </cell>
          <cell r="AI819">
            <v>8</v>
          </cell>
          <cell r="AJ819">
            <v>8</v>
          </cell>
          <cell r="AN819">
            <v>0</v>
          </cell>
          <cell r="AO819">
            <v>176</v>
          </cell>
          <cell r="AP819">
            <v>0</v>
          </cell>
          <cell r="AQ819">
            <v>0</v>
          </cell>
          <cell r="AR819">
            <v>0</v>
          </cell>
          <cell r="AS819">
            <v>8</v>
          </cell>
          <cell r="AT819">
            <v>0</v>
          </cell>
          <cell r="AU819">
            <v>0</v>
          </cell>
          <cell r="AV819">
            <v>0</v>
          </cell>
          <cell r="AW819">
            <v>0</v>
          </cell>
          <cell r="AX819">
            <v>0</v>
          </cell>
          <cell r="AY819">
            <v>0</v>
          </cell>
          <cell r="AZ819">
            <v>8</v>
          </cell>
          <cell r="BA819">
            <v>0</v>
          </cell>
          <cell r="BB819">
            <v>0</v>
          </cell>
          <cell r="BC819">
            <v>0</v>
          </cell>
          <cell r="BD819">
            <v>0</v>
          </cell>
          <cell r="BE819">
            <v>0</v>
          </cell>
          <cell r="BF819">
            <v>0</v>
          </cell>
          <cell r="BG819">
            <v>184</v>
          </cell>
          <cell r="BH819">
            <v>0</v>
          </cell>
          <cell r="BI819">
            <v>0</v>
          </cell>
          <cell r="BJ819">
            <v>1.5</v>
          </cell>
          <cell r="BL819">
            <v>0</v>
          </cell>
          <cell r="BM819">
            <v>0</v>
          </cell>
          <cell r="BN819">
            <v>0</v>
          </cell>
          <cell r="BO819">
            <v>0</v>
          </cell>
          <cell r="BP819">
            <v>0</v>
          </cell>
          <cell r="BQ819">
            <v>4</v>
          </cell>
          <cell r="BR819">
            <v>0</v>
          </cell>
          <cell r="BS819">
            <v>4</v>
          </cell>
          <cell r="BT819">
            <v>0</v>
          </cell>
          <cell r="BU819">
            <v>0</v>
          </cell>
          <cell r="BV819">
            <v>0</v>
          </cell>
          <cell r="BW819">
            <v>0</v>
          </cell>
          <cell r="BX819">
            <v>0</v>
          </cell>
          <cell r="BY819">
            <v>0</v>
          </cell>
          <cell r="BZ819">
            <v>4</v>
          </cell>
          <cell r="CA819">
            <v>0</v>
          </cell>
          <cell r="CB819">
            <v>0</v>
          </cell>
          <cell r="CC819">
            <v>0</v>
          </cell>
          <cell r="CD819">
            <v>0</v>
          </cell>
          <cell r="CE819">
            <v>4</v>
          </cell>
          <cell r="CF819">
            <v>0</v>
          </cell>
          <cell r="CG819">
            <v>4</v>
          </cell>
          <cell r="CH819">
            <v>0</v>
          </cell>
          <cell r="CI819">
            <v>0</v>
          </cell>
          <cell r="CJ819">
            <v>0</v>
          </cell>
          <cell r="CK819">
            <v>0</v>
          </cell>
          <cell r="CL819">
            <v>0</v>
          </cell>
          <cell r="CM819">
            <v>0</v>
          </cell>
          <cell r="CR819">
            <v>0</v>
          </cell>
          <cell r="CS819">
            <v>0</v>
          </cell>
          <cell r="CT819">
            <v>20</v>
          </cell>
          <cell r="CU819">
            <v>0</v>
          </cell>
          <cell r="CV819">
            <v>0</v>
          </cell>
          <cell r="CZ819">
            <v>20</v>
          </cell>
        </row>
        <row r="820">
          <cell r="C820" t="str">
            <v>04290</v>
          </cell>
          <cell r="D820" t="str">
            <v>Lương Ngọc Ý</v>
          </cell>
          <cell r="E820" t="str">
            <v>Production</v>
          </cell>
          <cell r="F820" t="str">
            <v>Molding</v>
          </cell>
          <cell r="G820" t="str">
            <v>Worker</v>
          </cell>
          <cell r="H820">
            <v>45580</v>
          </cell>
          <cell r="I820" t="str">
            <v>UP8</v>
          </cell>
          <cell r="J820">
            <v>8</v>
          </cell>
          <cell r="K820">
            <v>8</v>
          </cell>
          <cell r="L820" t="str">
            <v>CN</v>
          </cell>
          <cell r="M820">
            <v>8</v>
          </cell>
          <cell r="N820">
            <v>8</v>
          </cell>
          <cell r="O820">
            <v>8</v>
          </cell>
          <cell r="P820">
            <v>8</v>
          </cell>
          <cell r="Q820" t="str">
            <v>Đ</v>
          </cell>
          <cell r="R820" t="str">
            <v>Đ</v>
          </cell>
          <cell r="S820" t="str">
            <v>CN</v>
          </cell>
          <cell r="T820">
            <v>8</v>
          </cell>
          <cell r="U820">
            <v>8</v>
          </cell>
          <cell r="V820">
            <v>8</v>
          </cell>
          <cell r="W820">
            <v>8</v>
          </cell>
          <cell r="X820">
            <v>8</v>
          </cell>
          <cell r="Y820">
            <v>8</v>
          </cell>
          <cell r="Z820" t="str">
            <v>CN</v>
          </cell>
          <cell r="AA820">
            <v>8</v>
          </cell>
          <cell r="AB820">
            <v>8</v>
          </cell>
          <cell r="AC820">
            <v>8</v>
          </cell>
          <cell r="AD820">
            <v>8</v>
          </cell>
          <cell r="AE820" t="str">
            <v>Đ</v>
          </cell>
          <cell r="AF820" t="str">
            <v>Đ</v>
          </cell>
          <cell r="AG820" t="str">
            <v>CN</v>
          </cell>
          <cell r="AH820" t="str">
            <v>UP4</v>
          </cell>
          <cell r="AI820">
            <v>8</v>
          </cell>
          <cell r="AJ820" t="str">
            <v>AL8</v>
          </cell>
          <cell r="AN820">
            <v>32</v>
          </cell>
          <cell r="AO820">
            <v>140</v>
          </cell>
          <cell r="AP820">
            <v>0</v>
          </cell>
          <cell r="AQ820">
            <v>0</v>
          </cell>
          <cell r="AR820">
            <v>4</v>
          </cell>
          <cell r="AS820">
            <v>12</v>
          </cell>
          <cell r="AT820">
            <v>0</v>
          </cell>
          <cell r="AU820">
            <v>0</v>
          </cell>
          <cell r="AV820">
            <v>0</v>
          </cell>
          <cell r="AW820">
            <v>0</v>
          </cell>
          <cell r="AX820">
            <v>0</v>
          </cell>
          <cell r="AY820">
            <v>0</v>
          </cell>
          <cell r="AZ820">
            <v>0</v>
          </cell>
          <cell r="BA820">
            <v>8</v>
          </cell>
          <cell r="BB820">
            <v>0</v>
          </cell>
          <cell r="BC820">
            <v>0</v>
          </cell>
          <cell r="BD820">
            <v>0</v>
          </cell>
          <cell r="BE820">
            <v>0</v>
          </cell>
          <cell r="BF820">
            <v>0</v>
          </cell>
          <cell r="BG820">
            <v>180</v>
          </cell>
          <cell r="BH820">
            <v>1</v>
          </cell>
          <cell r="BI820">
            <v>1</v>
          </cell>
          <cell r="BJ820">
            <v>0</v>
          </cell>
          <cell r="BL820">
            <v>0</v>
          </cell>
          <cell r="BM820">
            <v>4</v>
          </cell>
          <cell r="BN820">
            <v>4</v>
          </cell>
          <cell r="BO820">
            <v>0</v>
          </cell>
          <cell r="BP820">
            <v>0</v>
          </cell>
          <cell r="BQ820">
            <v>0</v>
          </cell>
          <cell r="BR820">
            <v>0</v>
          </cell>
          <cell r="BS820">
            <v>0</v>
          </cell>
          <cell r="BT820">
            <v>3</v>
          </cell>
          <cell r="BU820">
            <v>4</v>
          </cell>
          <cell r="BV820">
            <v>0</v>
          </cell>
          <cell r="BW820">
            <v>0</v>
          </cell>
          <cell r="BX820">
            <v>0</v>
          </cell>
          <cell r="BY820">
            <v>0</v>
          </cell>
          <cell r="BZ820">
            <v>0</v>
          </cell>
          <cell r="CA820">
            <v>4</v>
          </cell>
          <cell r="CB820">
            <v>4</v>
          </cell>
          <cell r="CC820">
            <v>0</v>
          </cell>
          <cell r="CD820">
            <v>0</v>
          </cell>
          <cell r="CE820">
            <v>0</v>
          </cell>
          <cell r="CF820">
            <v>0</v>
          </cell>
          <cell r="CG820">
            <v>0</v>
          </cell>
          <cell r="CH820">
            <v>4</v>
          </cell>
          <cell r="CI820">
            <v>4</v>
          </cell>
          <cell r="CJ820">
            <v>0</v>
          </cell>
          <cell r="CK820">
            <v>0</v>
          </cell>
          <cell r="CL820">
            <v>0</v>
          </cell>
          <cell r="CM820">
            <v>0</v>
          </cell>
          <cell r="CR820">
            <v>0</v>
          </cell>
          <cell r="CS820">
            <v>0</v>
          </cell>
          <cell r="CT820">
            <v>31</v>
          </cell>
          <cell r="CU820">
            <v>0</v>
          </cell>
          <cell r="CV820">
            <v>0</v>
          </cell>
          <cell r="CZ820">
            <v>31</v>
          </cell>
        </row>
        <row r="821">
          <cell r="C821" t="str">
            <v>04292</v>
          </cell>
          <cell r="D821" t="str">
            <v>Hầu Văn Hải</v>
          </cell>
          <cell r="E821" t="str">
            <v>Production</v>
          </cell>
          <cell r="F821" t="str">
            <v>Molding</v>
          </cell>
          <cell r="G821" t="str">
            <v>Worker</v>
          </cell>
          <cell r="H821">
            <v>45580</v>
          </cell>
          <cell r="I821" t="str">
            <v>Đ</v>
          </cell>
          <cell r="J821" t="str">
            <v>Đ</v>
          </cell>
          <cell r="K821" t="str">
            <v>CN</v>
          </cell>
          <cell r="L821">
            <v>8</v>
          </cell>
          <cell r="M821">
            <v>8</v>
          </cell>
          <cell r="N821">
            <v>8</v>
          </cell>
          <cell r="O821">
            <v>8</v>
          </cell>
          <cell r="P821">
            <v>8</v>
          </cell>
          <cell r="Q821">
            <v>8</v>
          </cell>
          <cell r="R821" t="str">
            <v>CN</v>
          </cell>
          <cell r="S821" t="str">
            <v>Đ</v>
          </cell>
          <cell r="T821" t="str">
            <v>Đ</v>
          </cell>
          <cell r="U821" t="str">
            <v>Đ</v>
          </cell>
          <cell r="V821" t="str">
            <v>Đ</v>
          </cell>
          <cell r="W821" t="str">
            <v>Đ</v>
          </cell>
          <cell r="X821" t="str">
            <v>Đ</v>
          </cell>
          <cell r="Y821" t="str">
            <v>CN</v>
          </cell>
          <cell r="Z821">
            <v>8</v>
          </cell>
          <cell r="AA821">
            <v>8</v>
          </cell>
          <cell r="AB821">
            <v>8</v>
          </cell>
          <cell r="AC821">
            <v>8</v>
          </cell>
          <cell r="AD821">
            <v>8</v>
          </cell>
          <cell r="AE821">
            <v>8</v>
          </cell>
          <cell r="AF821" t="str">
            <v>CN</v>
          </cell>
          <cell r="AG821" t="str">
            <v>Đ</v>
          </cell>
          <cell r="AH821" t="str">
            <v>Đ</v>
          </cell>
          <cell r="AI821" t="str">
            <v>Đ</v>
          </cell>
          <cell r="AJ821" t="str">
            <v>Đ</v>
          </cell>
          <cell r="AN821">
            <v>96</v>
          </cell>
          <cell r="AO821">
            <v>96</v>
          </cell>
          <cell r="AP821">
            <v>0</v>
          </cell>
          <cell r="AQ821">
            <v>0</v>
          </cell>
          <cell r="AR821">
            <v>0</v>
          </cell>
          <cell r="AS821">
            <v>0</v>
          </cell>
          <cell r="AT821">
            <v>0</v>
          </cell>
          <cell r="AU821">
            <v>0</v>
          </cell>
          <cell r="AV821">
            <v>0</v>
          </cell>
          <cell r="AW821">
            <v>0</v>
          </cell>
          <cell r="AX821">
            <v>0</v>
          </cell>
          <cell r="AY821">
            <v>0</v>
          </cell>
          <cell r="AZ821">
            <v>0</v>
          </cell>
          <cell r="BA821">
            <v>0</v>
          </cell>
          <cell r="BB821">
            <v>0</v>
          </cell>
          <cell r="BC821">
            <v>0</v>
          </cell>
          <cell r="BD821">
            <v>0</v>
          </cell>
          <cell r="BE821">
            <v>0</v>
          </cell>
          <cell r="BF821">
            <v>0</v>
          </cell>
          <cell r="BG821">
            <v>192</v>
          </cell>
          <cell r="BH821">
            <v>0</v>
          </cell>
          <cell r="BI821">
            <v>0</v>
          </cell>
          <cell r="BJ821">
            <v>2</v>
          </cell>
          <cell r="BL821">
            <v>0</v>
          </cell>
          <cell r="BM821">
            <v>0</v>
          </cell>
          <cell r="BN821">
            <v>0</v>
          </cell>
          <cell r="BO821">
            <v>4</v>
          </cell>
          <cell r="BP821">
            <v>4</v>
          </cell>
          <cell r="BQ821">
            <v>0</v>
          </cell>
          <cell r="BR821">
            <v>0</v>
          </cell>
          <cell r="BS821">
            <v>0</v>
          </cell>
          <cell r="BT821">
            <v>0</v>
          </cell>
          <cell r="BU821">
            <v>0</v>
          </cell>
          <cell r="BV821">
            <v>4</v>
          </cell>
          <cell r="BW821">
            <v>4</v>
          </cell>
          <cell r="BX821">
            <v>0</v>
          </cell>
          <cell r="BY821">
            <v>0</v>
          </cell>
          <cell r="BZ821">
            <v>0</v>
          </cell>
          <cell r="CA821">
            <v>4</v>
          </cell>
          <cell r="CB821">
            <v>0</v>
          </cell>
          <cell r="CC821">
            <v>4</v>
          </cell>
          <cell r="CD821">
            <v>0</v>
          </cell>
          <cell r="CE821">
            <v>0</v>
          </cell>
          <cell r="CF821">
            <v>0</v>
          </cell>
          <cell r="CG821">
            <v>0</v>
          </cell>
          <cell r="CH821">
            <v>4</v>
          </cell>
          <cell r="CI821">
            <v>0</v>
          </cell>
          <cell r="CJ821">
            <v>4</v>
          </cell>
          <cell r="CK821">
            <v>4</v>
          </cell>
          <cell r="CL821">
            <v>0</v>
          </cell>
          <cell r="CM821">
            <v>0</v>
          </cell>
          <cell r="CR821">
            <v>0</v>
          </cell>
          <cell r="CS821">
            <v>0</v>
          </cell>
          <cell r="CT821">
            <v>36</v>
          </cell>
          <cell r="CU821">
            <v>0</v>
          </cell>
          <cell r="CV821">
            <v>0</v>
          </cell>
          <cell r="CZ821">
            <v>36</v>
          </cell>
        </row>
        <row r="822">
          <cell r="C822" t="str">
            <v>04293</v>
          </cell>
          <cell r="D822" t="str">
            <v>Chau Thị Phượng</v>
          </cell>
          <cell r="E822" t="str">
            <v>Production</v>
          </cell>
          <cell r="F822" t="str">
            <v>Molding</v>
          </cell>
          <cell r="G822" t="str">
            <v>Worker</v>
          </cell>
          <cell r="H822">
            <v>45580</v>
          </cell>
          <cell r="I822">
            <v>8</v>
          </cell>
          <cell r="J822">
            <v>8</v>
          </cell>
          <cell r="K822">
            <v>8</v>
          </cell>
          <cell r="L822" t="str">
            <v>CN</v>
          </cell>
          <cell r="M822">
            <v>8</v>
          </cell>
          <cell r="N822">
            <v>8</v>
          </cell>
          <cell r="O822">
            <v>8</v>
          </cell>
          <cell r="P822">
            <v>8</v>
          </cell>
          <cell r="Q822" t="str">
            <v>Đ</v>
          </cell>
          <cell r="R822" t="str">
            <v>Đ</v>
          </cell>
          <cell r="S822" t="str">
            <v>CN</v>
          </cell>
          <cell r="T822">
            <v>8</v>
          </cell>
          <cell r="U822">
            <v>8</v>
          </cell>
          <cell r="V822" t="str">
            <v>AL8</v>
          </cell>
          <cell r="W822">
            <v>8</v>
          </cell>
          <cell r="X822">
            <v>8</v>
          </cell>
          <cell r="Y822">
            <v>8</v>
          </cell>
          <cell r="Z822" t="str">
            <v>CN</v>
          </cell>
          <cell r="AA822">
            <v>8</v>
          </cell>
          <cell r="AB822">
            <v>8</v>
          </cell>
          <cell r="AC822">
            <v>8</v>
          </cell>
          <cell r="AD822">
            <v>8</v>
          </cell>
          <cell r="AE822" t="str">
            <v>Đ</v>
          </cell>
          <cell r="AF822" t="str">
            <v>Đ</v>
          </cell>
          <cell r="AG822" t="str">
            <v>CN</v>
          </cell>
          <cell r="AH822">
            <v>8</v>
          </cell>
          <cell r="AI822">
            <v>8</v>
          </cell>
          <cell r="AJ822" t="str">
            <v>UP4</v>
          </cell>
          <cell r="AN822">
            <v>32</v>
          </cell>
          <cell r="AO822">
            <v>148</v>
          </cell>
          <cell r="AP822">
            <v>0</v>
          </cell>
          <cell r="AQ822">
            <v>0</v>
          </cell>
          <cell r="AR822">
            <v>4</v>
          </cell>
          <cell r="AS822">
            <v>4</v>
          </cell>
          <cell r="AT822">
            <v>0</v>
          </cell>
          <cell r="AU822">
            <v>0</v>
          </cell>
          <cell r="AV822">
            <v>0</v>
          </cell>
          <cell r="AW822">
            <v>0</v>
          </cell>
          <cell r="AX822">
            <v>0</v>
          </cell>
          <cell r="AY822">
            <v>0</v>
          </cell>
          <cell r="AZ822">
            <v>0</v>
          </cell>
          <cell r="BA822">
            <v>8</v>
          </cell>
          <cell r="BB822">
            <v>0</v>
          </cell>
          <cell r="BC822">
            <v>0</v>
          </cell>
          <cell r="BD822">
            <v>0</v>
          </cell>
          <cell r="BE822">
            <v>0</v>
          </cell>
          <cell r="BF822">
            <v>0</v>
          </cell>
          <cell r="BG822">
            <v>188</v>
          </cell>
          <cell r="BH822">
            <v>1</v>
          </cell>
          <cell r="BI822">
            <v>1</v>
          </cell>
          <cell r="BJ822">
            <v>-2</v>
          </cell>
          <cell r="BL822">
            <v>0</v>
          </cell>
          <cell r="BM822">
            <v>0</v>
          </cell>
          <cell r="BN822">
            <v>0</v>
          </cell>
          <cell r="BO822">
            <v>0</v>
          </cell>
          <cell r="BP822">
            <v>0</v>
          </cell>
          <cell r="BQ822">
            <v>0</v>
          </cell>
          <cell r="BR822">
            <v>0</v>
          </cell>
          <cell r="BS822">
            <v>4</v>
          </cell>
          <cell r="BT822">
            <v>4</v>
          </cell>
          <cell r="BU822">
            <v>4</v>
          </cell>
          <cell r="BV822">
            <v>0</v>
          </cell>
          <cell r="BW822">
            <v>0</v>
          </cell>
          <cell r="BX822">
            <v>0</v>
          </cell>
          <cell r="BY822">
            <v>0</v>
          </cell>
          <cell r="BZ822">
            <v>4</v>
          </cell>
          <cell r="CA822">
            <v>4</v>
          </cell>
          <cell r="CB822">
            <v>4</v>
          </cell>
          <cell r="CC822">
            <v>0</v>
          </cell>
          <cell r="CD822">
            <v>0</v>
          </cell>
          <cell r="CE822">
            <v>0</v>
          </cell>
          <cell r="CF822">
            <v>0</v>
          </cell>
          <cell r="CG822">
            <v>0</v>
          </cell>
          <cell r="CH822">
            <v>4</v>
          </cell>
          <cell r="CI822">
            <v>4</v>
          </cell>
          <cell r="CJ822">
            <v>0</v>
          </cell>
          <cell r="CK822">
            <v>0</v>
          </cell>
          <cell r="CL822">
            <v>0</v>
          </cell>
          <cell r="CM822">
            <v>0</v>
          </cell>
          <cell r="CR822">
            <v>0</v>
          </cell>
          <cell r="CS822">
            <v>0</v>
          </cell>
          <cell r="CT822">
            <v>32</v>
          </cell>
          <cell r="CU822">
            <v>0</v>
          </cell>
          <cell r="CV822">
            <v>0</v>
          </cell>
          <cell r="CZ822">
            <v>32</v>
          </cell>
        </row>
        <row r="823">
          <cell r="C823" t="str">
            <v>04297</v>
          </cell>
          <cell r="D823" t="str">
            <v>Lê Quỳnh Ân</v>
          </cell>
          <cell r="E823" t="str">
            <v>Production</v>
          </cell>
          <cell r="F823" t="str">
            <v>Prefitting</v>
          </cell>
          <cell r="G823" t="str">
            <v>Worker</v>
          </cell>
          <cell r="H823">
            <v>45580</v>
          </cell>
          <cell r="I823" t="str">
            <v>TV</v>
          </cell>
          <cell r="J823" t="str">
            <v>TV</v>
          </cell>
          <cell r="K823" t="str">
            <v>TV</v>
          </cell>
          <cell r="L823" t="str">
            <v>TV</v>
          </cell>
          <cell r="M823" t="str">
            <v>TV</v>
          </cell>
          <cell r="N823" t="str">
            <v>TV</v>
          </cell>
          <cell r="O823" t="str">
            <v>TV</v>
          </cell>
          <cell r="P823" t="str">
            <v>TV</v>
          </cell>
          <cell r="Q823" t="str">
            <v>TV</v>
          </cell>
          <cell r="R823" t="str">
            <v>TV</v>
          </cell>
          <cell r="S823" t="str">
            <v>TV</v>
          </cell>
          <cell r="T823" t="str">
            <v>TV</v>
          </cell>
          <cell r="U823" t="str">
            <v>TV</v>
          </cell>
          <cell r="V823" t="str">
            <v>TV</v>
          </cell>
          <cell r="W823" t="str">
            <v>TV</v>
          </cell>
          <cell r="X823" t="str">
            <v>TV</v>
          </cell>
          <cell r="Y823" t="str">
            <v>TV</v>
          </cell>
          <cell r="Z823" t="str">
            <v>TV</v>
          </cell>
          <cell r="AA823" t="str">
            <v>TV</v>
          </cell>
          <cell r="AB823" t="str">
            <v>TV</v>
          </cell>
          <cell r="AC823" t="str">
            <v>TV</v>
          </cell>
          <cell r="AD823" t="str">
            <v>TV</v>
          </cell>
          <cell r="AE823" t="str">
            <v>TV</v>
          </cell>
          <cell r="AF823" t="str">
            <v>TV</v>
          </cell>
          <cell r="AG823" t="str">
            <v>TV</v>
          </cell>
          <cell r="AH823" t="str">
            <v>TV</v>
          </cell>
          <cell r="AI823" t="str">
            <v>TV</v>
          </cell>
          <cell r="AJ823" t="str">
            <v>TV</v>
          </cell>
          <cell r="AN823">
            <v>0</v>
          </cell>
          <cell r="AO823">
            <v>0</v>
          </cell>
          <cell r="AP823">
            <v>0</v>
          </cell>
          <cell r="AQ823">
            <v>0</v>
          </cell>
          <cell r="AR823">
            <v>0</v>
          </cell>
          <cell r="AS823">
            <v>0</v>
          </cell>
          <cell r="AT823">
            <v>0</v>
          </cell>
          <cell r="AU823">
            <v>0</v>
          </cell>
          <cell r="AV823">
            <v>0</v>
          </cell>
          <cell r="AW823">
            <v>0</v>
          </cell>
          <cell r="AX823">
            <v>0</v>
          </cell>
          <cell r="AY823">
            <v>0</v>
          </cell>
          <cell r="AZ823">
            <v>0</v>
          </cell>
          <cell r="BA823">
            <v>0</v>
          </cell>
          <cell r="BB823">
            <v>0</v>
          </cell>
          <cell r="BC823">
            <v>0</v>
          </cell>
          <cell r="BD823">
            <v>0</v>
          </cell>
          <cell r="BE823">
            <v>0</v>
          </cell>
          <cell r="BF823">
            <v>0</v>
          </cell>
          <cell r="BG823">
            <v>0</v>
          </cell>
          <cell r="BH823">
            <v>0</v>
          </cell>
          <cell r="BI823">
            <v>0</v>
          </cell>
          <cell r="BJ823">
            <v>-1</v>
          </cell>
          <cell r="BL823">
            <v>0</v>
          </cell>
          <cell r="BM823">
            <v>0</v>
          </cell>
          <cell r="BN823">
            <v>0</v>
          </cell>
          <cell r="BO823">
            <v>0</v>
          </cell>
          <cell r="BP823">
            <v>0</v>
          </cell>
          <cell r="BQ823">
            <v>0</v>
          </cell>
          <cell r="BR823">
            <v>0</v>
          </cell>
          <cell r="BS823">
            <v>0</v>
          </cell>
          <cell r="BT823">
            <v>0</v>
          </cell>
          <cell r="BU823">
            <v>0</v>
          </cell>
          <cell r="BV823">
            <v>0</v>
          </cell>
          <cell r="BW823">
            <v>0</v>
          </cell>
          <cell r="BX823">
            <v>0</v>
          </cell>
          <cell r="BY823">
            <v>0</v>
          </cell>
          <cell r="BZ823">
            <v>0</v>
          </cell>
          <cell r="CA823">
            <v>0</v>
          </cell>
          <cell r="CB823">
            <v>0</v>
          </cell>
          <cell r="CC823">
            <v>0</v>
          </cell>
          <cell r="CD823">
            <v>0</v>
          </cell>
          <cell r="CE823">
            <v>0</v>
          </cell>
          <cell r="CF823">
            <v>0</v>
          </cell>
          <cell r="CG823">
            <v>0</v>
          </cell>
          <cell r="CH823">
            <v>0</v>
          </cell>
          <cell r="CI823">
            <v>0</v>
          </cell>
          <cell r="CJ823">
            <v>0</v>
          </cell>
          <cell r="CK823">
            <v>0</v>
          </cell>
          <cell r="CL823">
            <v>0</v>
          </cell>
          <cell r="CM823">
            <v>0</v>
          </cell>
          <cell r="CR823">
            <v>0</v>
          </cell>
          <cell r="CS823">
            <v>0</v>
          </cell>
          <cell r="CT823">
            <v>0</v>
          </cell>
          <cell r="CU823">
            <v>0</v>
          </cell>
          <cell r="CV823">
            <v>0</v>
          </cell>
          <cell r="CZ823">
            <v>0</v>
          </cell>
        </row>
        <row r="824">
          <cell r="C824" t="str">
            <v>04300</v>
          </cell>
          <cell r="D824" t="str">
            <v>Lê Thị Qua</v>
          </cell>
          <cell r="E824" t="str">
            <v>Production</v>
          </cell>
          <cell r="F824" t="str">
            <v>Packing</v>
          </cell>
          <cell r="G824" t="str">
            <v>Worker</v>
          </cell>
          <cell r="H824">
            <v>45580</v>
          </cell>
          <cell r="I824" t="str">
            <v>Đ</v>
          </cell>
          <cell r="J824" t="str">
            <v>Đ</v>
          </cell>
          <cell r="K824" t="str">
            <v>Đ</v>
          </cell>
          <cell r="L824" t="str">
            <v>CN</v>
          </cell>
          <cell r="M824">
            <v>8</v>
          </cell>
          <cell r="N824">
            <v>8</v>
          </cell>
          <cell r="O824">
            <v>8</v>
          </cell>
          <cell r="P824">
            <v>8</v>
          </cell>
          <cell r="Q824">
            <v>8</v>
          </cell>
          <cell r="R824" t="str">
            <v>AL4</v>
          </cell>
          <cell r="S824" t="str">
            <v>CN</v>
          </cell>
          <cell r="T824" t="str">
            <v>Đ</v>
          </cell>
          <cell r="U824" t="str">
            <v>Đ</v>
          </cell>
          <cell r="V824" t="str">
            <v>Đ</v>
          </cell>
          <cell r="W824" t="str">
            <v>Đ</v>
          </cell>
          <cell r="X824" t="str">
            <v>Đ</v>
          </cell>
          <cell r="Y824" t="str">
            <v>Đ</v>
          </cell>
          <cell r="Z824" t="str">
            <v>CN</v>
          </cell>
          <cell r="AA824">
            <v>8</v>
          </cell>
          <cell r="AB824">
            <v>8</v>
          </cell>
          <cell r="AC824">
            <v>8</v>
          </cell>
          <cell r="AD824">
            <v>8</v>
          </cell>
          <cell r="AE824">
            <v>8</v>
          </cell>
          <cell r="AF824" t="str">
            <v>AL8</v>
          </cell>
          <cell r="AG824" t="str">
            <v>CN</v>
          </cell>
          <cell r="AH824" t="str">
            <v>Đ</v>
          </cell>
          <cell r="AI824" t="str">
            <v>Đ</v>
          </cell>
          <cell r="AJ824" t="str">
            <v>Đ</v>
          </cell>
          <cell r="AN824">
            <v>96</v>
          </cell>
          <cell r="AO824">
            <v>84</v>
          </cell>
          <cell r="AP824">
            <v>4</v>
          </cell>
          <cell r="AQ824">
            <v>0</v>
          </cell>
          <cell r="AR824">
            <v>0</v>
          </cell>
          <cell r="AS824">
            <v>0</v>
          </cell>
          <cell r="AT824">
            <v>0</v>
          </cell>
          <cell r="AU824">
            <v>0</v>
          </cell>
          <cell r="AV824">
            <v>0</v>
          </cell>
          <cell r="AW824">
            <v>0</v>
          </cell>
          <cell r="AX824">
            <v>0</v>
          </cell>
          <cell r="AY824">
            <v>0</v>
          </cell>
          <cell r="AZ824">
            <v>0</v>
          </cell>
          <cell r="BA824">
            <v>12</v>
          </cell>
          <cell r="BB824">
            <v>0</v>
          </cell>
          <cell r="BC824">
            <v>0</v>
          </cell>
          <cell r="BD824">
            <v>0</v>
          </cell>
          <cell r="BE824">
            <v>0</v>
          </cell>
          <cell r="BF824">
            <v>0</v>
          </cell>
          <cell r="BG824">
            <v>192</v>
          </cell>
          <cell r="BH824">
            <v>1.5</v>
          </cell>
          <cell r="BI824">
            <v>1.5</v>
          </cell>
          <cell r="BJ824">
            <v>-0.5</v>
          </cell>
          <cell r="BL824">
            <v>1.5</v>
          </cell>
          <cell r="BM824">
            <v>1.5</v>
          </cell>
          <cell r="BN824">
            <v>1.5</v>
          </cell>
          <cell r="BO824">
            <v>0</v>
          </cell>
          <cell r="BP824">
            <v>1.5</v>
          </cell>
          <cell r="BQ824">
            <v>0</v>
          </cell>
          <cell r="BR824">
            <v>0</v>
          </cell>
          <cell r="BS824">
            <v>0</v>
          </cell>
          <cell r="BT824">
            <v>0</v>
          </cell>
          <cell r="BU824">
            <v>2</v>
          </cell>
          <cell r="BV824">
            <v>0</v>
          </cell>
          <cell r="BW824">
            <v>4</v>
          </cell>
          <cell r="BX824">
            <v>4</v>
          </cell>
          <cell r="BY824">
            <v>4</v>
          </cell>
          <cell r="BZ824">
            <v>4</v>
          </cell>
          <cell r="CA824">
            <v>0</v>
          </cell>
          <cell r="CB824">
            <v>4</v>
          </cell>
          <cell r="CC824">
            <v>0</v>
          </cell>
          <cell r="CD824">
            <v>3</v>
          </cell>
          <cell r="CE824">
            <v>3</v>
          </cell>
          <cell r="CF824">
            <v>3</v>
          </cell>
          <cell r="CG824">
            <v>3</v>
          </cell>
          <cell r="CH824">
            <v>3</v>
          </cell>
          <cell r="CI824">
            <v>0</v>
          </cell>
          <cell r="CJ824">
            <v>0</v>
          </cell>
          <cell r="CK824">
            <v>0</v>
          </cell>
          <cell r="CL824">
            <v>4</v>
          </cell>
          <cell r="CM824">
            <v>4</v>
          </cell>
          <cell r="CR824">
            <v>0</v>
          </cell>
          <cell r="CS824">
            <v>0</v>
          </cell>
          <cell r="CT824">
            <v>51</v>
          </cell>
          <cell r="CU824">
            <v>0</v>
          </cell>
          <cell r="CV824">
            <v>0</v>
          </cell>
          <cell r="CZ824">
            <v>51</v>
          </cell>
        </row>
        <row r="825">
          <cell r="C825" t="str">
            <v>04301</v>
          </cell>
          <cell r="D825" t="str">
            <v>Lâm Thị Dang</v>
          </cell>
          <cell r="E825" t="str">
            <v>Production</v>
          </cell>
          <cell r="F825" t="str">
            <v>Logo</v>
          </cell>
          <cell r="G825" t="str">
            <v>Worker</v>
          </cell>
          <cell r="H825">
            <v>45580</v>
          </cell>
          <cell r="I825" t="str">
            <v>Đ</v>
          </cell>
          <cell r="J825" t="str">
            <v>Đ</v>
          </cell>
          <cell r="K825" t="str">
            <v>Đ</v>
          </cell>
          <cell r="L825" t="str">
            <v>CN</v>
          </cell>
          <cell r="M825">
            <v>8</v>
          </cell>
          <cell r="N825">
            <v>8</v>
          </cell>
          <cell r="O825">
            <v>8</v>
          </cell>
          <cell r="P825">
            <v>8</v>
          </cell>
          <cell r="Q825" t="str">
            <v>AL4</v>
          </cell>
          <cell r="R825">
            <v>8</v>
          </cell>
          <cell r="S825" t="str">
            <v>CN</v>
          </cell>
          <cell r="T825" t="str">
            <v>Đ</v>
          </cell>
          <cell r="U825" t="str">
            <v>Đ</v>
          </cell>
          <cell r="V825" t="str">
            <v>Đ</v>
          </cell>
          <cell r="W825" t="str">
            <v>Đ</v>
          </cell>
          <cell r="X825" t="str">
            <v>Đ</v>
          </cell>
          <cell r="Y825" t="str">
            <v>Đ</v>
          </cell>
          <cell r="Z825" t="str">
            <v>CN</v>
          </cell>
          <cell r="AA825">
            <v>8</v>
          </cell>
          <cell r="AB825">
            <v>8</v>
          </cell>
          <cell r="AC825">
            <v>8</v>
          </cell>
          <cell r="AD825">
            <v>8</v>
          </cell>
          <cell r="AE825">
            <v>8</v>
          </cell>
          <cell r="AF825">
            <v>8</v>
          </cell>
          <cell r="AG825" t="str">
            <v>CN</v>
          </cell>
          <cell r="AH825" t="str">
            <v>Đ</v>
          </cell>
          <cell r="AI825" t="str">
            <v>Đ</v>
          </cell>
          <cell r="AJ825" t="str">
            <v>Đ</v>
          </cell>
          <cell r="AN825">
            <v>96</v>
          </cell>
          <cell r="AO825">
            <v>92</v>
          </cell>
          <cell r="AP825">
            <v>4</v>
          </cell>
          <cell r="AQ825">
            <v>0</v>
          </cell>
          <cell r="AR825">
            <v>0</v>
          </cell>
          <cell r="AS825">
            <v>0</v>
          </cell>
          <cell r="AT825">
            <v>0</v>
          </cell>
          <cell r="AU825">
            <v>0</v>
          </cell>
          <cell r="AV825">
            <v>0</v>
          </cell>
          <cell r="AW825">
            <v>0</v>
          </cell>
          <cell r="AX825">
            <v>0</v>
          </cell>
          <cell r="AY825">
            <v>0</v>
          </cell>
          <cell r="AZ825">
            <v>0</v>
          </cell>
          <cell r="BA825">
            <v>4</v>
          </cell>
          <cell r="BB825">
            <v>0</v>
          </cell>
          <cell r="BC825">
            <v>0</v>
          </cell>
          <cell r="BD825">
            <v>0</v>
          </cell>
          <cell r="BE825">
            <v>0</v>
          </cell>
          <cell r="BF825">
            <v>0</v>
          </cell>
          <cell r="BG825">
            <v>192</v>
          </cell>
          <cell r="BH825">
            <v>0.5</v>
          </cell>
          <cell r="BI825">
            <v>0.5</v>
          </cell>
          <cell r="BJ825">
            <v>-0.5</v>
          </cell>
          <cell r="BL825">
            <v>0</v>
          </cell>
          <cell r="BM825">
            <v>0</v>
          </cell>
          <cell r="BN825">
            <v>0</v>
          </cell>
          <cell r="BO825">
            <v>0</v>
          </cell>
          <cell r="BP825">
            <v>1.5</v>
          </cell>
          <cell r="BQ825">
            <v>3</v>
          </cell>
          <cell r="BR825">
            <v>0</v>
          </cell>
          <cell r="BS825">
            <v>3</v>
          </cell>
          <cell r="BT825">
            <v>0</v>
          </cell>
          <cell r="BU825">
            <v>0</v>
          </cell>
          <cell r="BV825">
            <v>0</v>
          </cell>
          <cell r="BW825">
            <v>3</v>
          </cell>
          <cell r="BX825">
            <v>4</v>
          </cell>
          <cell r="BY825">
            <v>4</v>
          </cell>
          <cell r="BZ825">
            <v>4</v>
          </cell>
          <cell r="CA825">
            <v>4</v>
          </cell>
          <cell r="CB825">
            <v>4</v>
          </cell>
          <cell r="CC825">
            <v>0</v>
          </cell>
          <cell r="CD825">
            <v>3</v>
          </cell>
          <cell r="CE825">
            <v>3</v>
          </cell>
          <cell r="CF825">
            <v>3</v>
          </cell>
          <cell r="CG825">
            <v>3</v>
          </cell>
          <cell r="CH825">
            <v>1.5</v>
          </cell>
          <cell r="CI825">
            <v>1.5</v>
          </cell>
          <cell r="CJ825">
            <v>8</v>
          </cell>
          <cell r="CK825">
            <v>1.5</v>
          </cell>
          <cell r="CL825">
            <v>1.5</v>
          </cell>
          <cell r="CM825">
            <v>1.5</v>
          </cell>
          <cell r="CR825">
            <v>0</v>
          </cell>
          <cell r="CS825">
            <v>0</v>
          </cell>
          <cell r="CT825">
            <v>50</v>
          </cell>
          <cell r="CU825">
            <v>8</v>
          </cell>
          <cell r="CV825">
            <v>0</v>
          </cell>
          <cell r="CZ825">
            <v>58</v>
          </cell>
        </row>
        <row r="826">
          <cell r="C826" t="str">
            <v>04303</v>
          </cell>
          <cell r="D826" t="str">
            <v>Nguyễn Thị Chúc</v>
          </cell>
          <cell r="E826" t="str">
            <v>Production</v>
          </cell>
          <cell r="F826" t="str">
            <v>Molding</v>
          </cell>
          <cell r="G826" t="str">
            <v>Worker</v>
          </cell>
          <cell r="H826">
            <v>45580</v>
          </cell>
          <cell r="I826" t="str">
            <v>Đ</v>
          </cell>
          <cell r="J826" t="str">
            <v>Đ</v>
          </cell>
          <cell r="K826" t="str">
            <v>CN</v>
          </cell>
          <cell r="L826">
            <v>8</v>
          </cell>
          <cell r="M826">
            <v>8</v>
          </cell>
          <cell r="N826">
            <v>8</v>
          </cell>
          <cell r="O826">
            <v>8</v>
          </cell>
          <cell r="P826">
            <v>8</v>
          </cell>
          <cell r="Q826">
            <v>8</v>
          </cell>
          <cell r="R826" t="str">
            <v>CN</v>
          </cell>
          <cell r="S826" t="str">
            <v>Đ</v>
          </cell>
          <cell r="T826" t="str">
            <v>Đ</v>
          </cell>
          <cell r="U826" t="str">
            <v>Đ</v>
          </cell>
          <cell r="V826" t="str">
            <v>Đ</v>
          </cell>
          <cell r="W826" t="str">
            <v>Đ</v>
          </cell>
          <cell r="X826" t="str">
            <v>Đ</v>
          </cell>
          <cell r="Y826" t="str">
            <v>CN</v>
          </cell>
          <cell r="Z826">
            <v>8</v>
          </cell>
          <cell r="AA826">
            <v>8</v>
          </cell>
          <cell r="AB826">
            <v>8</v>
          </cell>
          <cell r="AC826">
            <v>8</v>
          </cell>
          <cell r="AD826">
            <v>8</v>
          </cell>
          <cell r="AE826">
            <v>8</v>
          </cell>
          <cell r="AF826" t="str">
            <v>CN</v>
          </cell>
          <cell r="AG826" t="str">
            <v>Đ</v>
          </cell>
          <cell r="AH826" t="str">
            <v>Đ</v>
          </cell>
          <cell r="AI826" t="str">
            <v>Đ</v>
          </cell>
          <cell r="AJ826" t="str">
            <v>Đ</v>
          </cell>
          <cell r="AN826">
            <v>96</v>
          </cell>
          <cell r="AO826">
            <v>96</v>
          </cell>
          <cell r="AP826">
            <v>0</v>
          </cell>
          <cell r="AQ826">
            <v>0</v>
          </cell>
          <cell r="AR826">
            <v>0</v>
          </cell>
          <cell r="AS826">
            <v>0</v>
          </cell>
          <cell r="AT826">
            <v>0</v>
          </cell>
          <cell r="AU826">
            <v>0</v>
          </cell>
          <cell r="AV826">
            <v>0</v>
          </cell>
          <cell r="AW826">
            <v>0</v>
          </cell>
          <cell r="AX826">
            <v>0</v>
          </cell>
          <cell r="AY826">
            <v>0</v>
          </cell>
          <cell r="AZ826">
            <v>0</v>
          </cell>
          <cell r="BA826">
            <v>0</v>
          </cell>
          <cell r="BB826">
            <v>0</v>
          </cell>
          <cell r="BC826">
            <v>0</v>
          </cell>
          <cell r="BD826">
            <v>0</v>
          </cell>
          <cell r="BE826">
            <v>0</v>
          </cell>
          <cell r="BF826">
            <v>0</v>
          </cell>
          <cell r="BG826">
            <v>192</v>
          </cell>
          <cell r="BH826">
            <v>0</v>
          </cell>
          <cell r="BI826">
            <v>0</v>
          </cell>
          <cell r="BJ826">
            <v>5</v>
          </cell>
          <cell r="BL826">
            <v>0</v>
          </cell>
          <cell r="BM826">
            <v>0</v>
          </cell>
          <cell r="BN826">
            <v>0</v>
          </cell>
          <cell r="BO826">
            <v>4</v>
          </cell>
          <cell r="BP826">
            <v>0</v>
          </cell>
          <cell r="BQ826">
            <v>0</v>
          </cell>
          <cell r="BR826">
            <v>0</v>
          </cell>
          <cell r="BS826">
            <v>0</v>
          </cell>
          <cell r="BT826">
            <v>4</v>
          </cell>
          <cell r="BU826">
            <v>0</v>
          </cell>
          <cell r="BV826">
            <v>4</v>
          </cell>
          <cell r="BW826">
            <v>0</v>
          </cell>
          <cell r="BX826">
            <v>0</v>
          </cell>
          <cell r="BY826">
            <v>0</v>
          </cell>
          <cell r="BZ826">
            <v>4</v>
          </cell>
          <cell r="CA826">
            <v>4</v>
          </cell>
          <cell r="CB826">
            <v>0</v>
          </cell>
          <cell r="CC826">
            <v>4</v>
          </cell>
          <cell r="CD826">
            <v>0</v>
          </cell>
          <cell r="CE826">
            <v>0</v>
          </cell>
          <cell r="CF826">
            <v>4</v>
          </cell>
          <cell r="CG826">
            <v>0</v>
          </cell>
          <cell r="CH826">
            <v>4</v>
          </cell>
          <cell r="CI826">
            <v>0</v>
          </cell>
          <cell r="CJ826">
            <v>4</v>
          </cell>
          <cell r="CK826">
            <v>0</v>
          </cell>
          <cell r="CL826">
            <v>0</v>
          </cell>
          <cell r="CM826">
            <v>0</v>
          </cell>
          <cell r="CR826">
            <v>0</v>
          </cell>
          <cell r="CS826">
            <v>0</v>
          </cell>
          <cell r="CT826">
            <v>36</v>
          </cell>
          <cell r="CU826">
            <v>0</v>
          </cell>
          <cell r="CV826">
            <v>0</v>
          </cell>
          <cell r="CZ826">
            <v>36</v>
          </cell>
        </row>
        <row r="827">
          <cell r="C827" t="str">
            <v>04305</v>
          </cell>
          <cell r="D827" t="str">
            <v>Hồ Thị Duyên</v>
          </cell>
          <cell r="E827" t="str">
            <v>Production</v>
          </cell>
          <cell r="F827" t="str">
            <v>Logo</v>
          </cell>
          <cell r="G827" t="str">
            <v>Worker</v>
          </cell>
          <cell r="H827">
            <v>45580</v>
          </cell>
          <cell r="I827">
            <v>8</v>
          </cell>
          <cell r="J827">
            <v>8</v>
          </cell>
          <cell r="K827">
            <v>8</v>
          </cell>
          <cell r="L827" t="str">
            <v>CN</v>
          </cell>
          <cell r="M827" t="str">
            <v>AL8</v>
          </cell>
          <cell r="N827" t="str">
            <v>Đ</v>
          </cell>
          <cell r="O827" t="str">
            <v>Đ</v>
          </cell>
          <cell r="P827" t="str">
            <v>Đ</v>
          </cell>
          <cell r="Q827" t="str">
            <v>Đ</v>
          </cell>
          <cell r="R827" t="str">
            <v>Đ</v>
          </cell>
          <cell r="S827" t="str">
            <v>CN</v>
          </cell>
          <cell r="T827" t="str">
            <v>UP8</v>
          </cell>
          <cell r="U827">
            <v>8</v>
          </cell>
          <cell r="V827">
            <v>8</v>
          </cell>
          <cell r="W827">
            <v>8</v>
          </cell>
          <cell r="X827">
            <v>8</v>
          </cell>
          <cell r="Y827">
            <v>8</v>
          </cell>
          <cell r="Z827" t="str">
            <v>CN</v>
          </cell>
          <cell r="AA827" t="str">
            <v>Đ</v>
          </cell>
          <cell r="AB827" t="str">
            <v>Đ</v>
          </cell>
          <cell r="AC827" t="str">
            <v>Đ</v>
          </cell>
          <cell r="AD827" t="str">
            <v>Đ</v>
          </cell>
          <cell r="AE827" t="str">
            <v>Đ</v>
          </cell>
          <cell r="AF827" t="str">
            <v>Đ</v>
          </cell>
          <cell r="AG827" t="str">
            <v>CN</v>
          </cell>
          <cell r="AH827">
            <v>8</v>
          </cell>
          <cell r="AI827">
            <v>8</v>
          </cell>
          <cell r="AJ827">
            <v>8</v>
          </cell>
          <cell r="AN827">
            <v>88</v>
          </cell>
          <cell r="AO827">
            <v>88</v>
          </cell>
          <cell r="AP827">
            <v>0</v>
          </cell>
          <cell r="AQ827">
            <v>0</v>
          </cell>
          <cell r="AR827">
            <v>0</v>
          </cell>
          <cell r="AS827">
            <v>8</v>
          </cell>
          <cell r="AT827">
            <v>0</v>
          </cell>
          <cell r="AU827">
            <v>0</v>
          </cell>
          <cell r="AV827">
            <v>0</v>
          </cell>
          <cell r="AW827">
            <v>0</v>
          </cell>
          <cell r="AX827">
            <v>0</v>
          </cell>
          <cell r="AY827">
            <v>0</v>
          </cell>
          <cell r="AZ827">
            <v>0</v>
          </cell>
          <cell r="BA827">
            <v>8</v>
          </cell>
          <cell r="BB827">
            <v>0</v>
          </cell>
          <cell r="BC827">
            <v>0</v>
          </cell>
          <cell r="BD827">
            <v>0</v>
          </cell>
          <cell r="BE827">
            <v>0</v>
          </cell>
          <cell r="BF827">
            <v>0</v>
          </cell>
          <cell r="BG827">
            <v>184</v>
          </cell>
          <cell r="BH827">
            <v>1</v>
          </cell>
          <cell r="BI827">
            <v>1</v>
          </cell>
          <cell r="BJ827">
            <v>0</v>
          </cell>
          <cell r="BL827">
            <v>1.5</v>
          </cell>
          <cell r="BM827">
            <v>1.5</v>
          </cell>
          <cell r="BN827">
            <v>0</v>
          </cell>
          <cell r="BO827">
            <v>0</v>
          </cell>
          <cell r="BP827">
            <v>0</v>
          </cell>
          <cell r="BQ827">
            <v>0</v>
          </cell>
          <cell r="BR827">
            <v>0</v>
          </cell>
          <cell r="BS827">
            <v>0</v>
          </cell>
          <cell r="BT827">
            <v>0</v>
          </cell>
          <cell r="BU827">
            <v>0</v>
          </cell>
          <cell r="BV827">
            <v>0</v>
          </cell>
          <cell r="BW827">
            <v>0</v>
          </cell>
          <cell r="BX827">
            <v>0</v>
          </cell>
          <cell r="BY827">
            <v>0</v>
          </cell>
          <cell r="BZ827">
            <v>0</v>
          </cell>
          <cell r="CA827">
            <v>0</v>
          </cell>
          <cell r="CB827">
            <v>0</v>
          </cell>
          <cell r="CC827">
            <v>8</v>
          </cell>
          <cell r="CD827">
            <v>0</v>
          </cell>
          <cell r="CE827">
            <v>0</v>
          </cell>
          <cell r="CF827">
            <v>0</v>
          </cell>
          <cell r="CG827">
            <v>0</v>
          </cell>
          <cell r="CH827">
            <v>0</v>
          </cell>
          <cell r="CI827">
            <v>0</v>
          </cell>
          <cell r="CJ827">
            <v>0</v>
          </cell>
          <cell r="CK827">
            <v>0</v>
          </cell>
          <cell r="CL827">
            <v>0</v>
          </cell>
          <cell r="CM827">
            <v>0</v>
          </cell>
          <cell r="CR827">
            <v>0</v>
          </cell>
          <cell r="CS827">
            <v>0</v>
          </cell>
          <cell r="CT827">
            <v>3</v>
          </cell>
          <cell r="CU827">
            <v>8</v>
          </cell>
          <cell r="CV827">
            <v>0</v>
          </cell>
          <cell r="CZ827">
            <v>11</v>
          </cell>
        </row>
        <row r="828">
          <cell r="C828" t="str">
            <v>04310</v>
          </cell>
          <cell r="D828" t="str">
            <v>Nguyễn Hũu Tình</v>
          </cell>
          <cell r="E828" t="str">
            <v>Production</v>
          </cell>
          <cell r="F828" t="str">
            <v>Lamination</v>
          </cell>
          <cell r="G828" t="str">
            <v>Worker</v>
          </cell>
          <cell r="H828">
            <v>45580</v>
          </cell>
          <cell r="I828" t="str">
            <v>Đ</v>
          </cell>
          <cell r="J828" t="str">
            <v>Đ</v>
          </cell>
          <cell r="K828" t="str">
            <v>CN</v>
          </cell>
          <cell r="L828">
            <v>8</v>
          </cell>
          <cell r="M828">
            <v>8</v>
          </cell>
          <cell r="N828">
            <v>8</v>
          </cell>
          <cell r="O828">
            <v>8</v>
          </cell>
          <cell r="P828">
            <v>8</v>
          </cell>
          <cell r="Q828">
            <v>8</v>
          </cell>
          <cell r="R828" t="str">
            <v>CN</v>
          </cell>
          <cell r="S828" t="str">
            <v>Đ</v>
          </cell>
          <cell r="T828" t="str">
            <v>Đ</v>
          </cell>
          <cell r="U828" t="str">
            <v>Đ</v>
          </cell>
          <cell r="V828" t="str">
            <v>Đ</v>
          </cell>
          <cell r="W828" t="str">
            <v>Đ</v>
          </cell>
          <cell r="X828" t="str">
            <v>Đ</v>
          </cell>
          <cell r="Y828" t="str">
            <v>CN</v>
          </cell>
          <cell r="Z828">
            <v>8</v>
          </cell>
          <cell r="AA828">
            <v>8</v>
          </cell>
          <cell r="AB828">
            <v>8</v>
          </cell>
          <cell r="AC828">
            <v>8</v>
          </cell>
          <cell r="AD828">
            <v>8</v>
          </cell>
          <cell r="AE828">
            <v>8</v>
          </cell>
          <cell r="AF828" t="str">
            <v>CN</v>
          </cell>
          <cell r="AG828">
            <v>8</v>
          </cell>
          <cell r="AH828">
            <v>8</v>
          </cell>
          <cell r="AI828">
            <v>8</v>
          </cell>
          <cell r="AJ828">
            <v>8</v>
          </cell>
          <cell r="AN828">
            <v>64</v>
          </cell>
          <cell r="AO828">
            <v>128</v>
          </cell>
          <cell r="AP828">
            <v>0</v>
          </cell>
          <cell r="AQ828">
            <v>0</v>
          </cell>
          <cell r="AR828">
            <v>0</v>
          </cell>
          <cell r="AS828">
            <v>0</v>
          </cell>
          <cell r="AT828">
            <v>0</v>
          </cell>
          <cell r="AU828">
            <v>0</v>
          </cell>
          <cell r="AV828">
            <v>0</v>
          </cell>
          <cell r="AW828">
            <v>0</v>
          </cell>
          <cell r="AX828">
            <v>0</v>
          </cell>
          <cell r="AY828">
            <v>0</v>
          </cell>
          <cell r="AZ828">
            <v>0</v>
          </cell>
          <cell r="BA828">
            <v>0</v>
          </cell>
          <cell r="BB828">
            <v>0</v>
          </cell>
          <cell r="BC828">
            <v>0</v>
          </cell>
          <cell r="BD828">
            <v>0</v>
          </cell>
          <cell r="BE828">
            <v>0</v>
          </cell>
          <cell r="BF828">
            <v>0</v>
          </cell>
          <cell r="BG828">
            <v>192</v>
          </cell>
          <cell r="BH828">
            <v>0</v>
          </cell>
          <cell r="BI828">
            <v>0</v>
          </cell>
          <cell r="BJ828">
            <v>7.5</v>
          </cell>
          <cell r="BL828">
            <v>0</v>
          </cell>
          <cell r="BM828">
            <v>0</v>
          </cell>
          <cell r="BN828">
            <v>0</v>
          </cell>
          <cell r="BO828">
            <v>4</v>
          </cell>
          <cell r="BP828">
            <v>0</v>
          </cell>
          <cell r="BQ828">
            <v>0</v>
          </cell>
          <cell r="BR828">
            <v>0</v>
          </cell>
          <cell r="BS828">
            <v>4</v>
          </cell>
          <cell r="BT828">
            <v>4</v>
          </cell>
          <cell r="BU828">
            <v>0</v>
          </cell>
          <cell r="BV828">
            <v>4</v>
          </cell>
          <cell r="BW828">
            <v>0</v>
          </cell>
          <cell r="BX828">
            <v>0</v>
          </cell>
          <cell r="BY828">
            <v>0</v>
          </cell>
          <cell r="BZ828">
            <v>4</v>
          </cell>
          <cell r="CA828">
            <v>4</v>
          </cell>
          <cell r="CB828">
            <v>0</v>
          </cell>
          <cell r="CC828">
            <v>3</v>
          </cell>
          <cell r="CD828">
            <v>0</v>
          </cell>
          <cell r="CE828">
            <v>0</v>
          </cell>
          <cell r="CF828">
            <v>0</v>
          </cell>
          <cell r="CG828">
            <v>3</v>
          </cell>
          <cell r="CH828">
            <v>3</v>
          </cell>
          <cell r="CI828">
            <v>0</v>
          </cell>
          <cell r="CJ828">
            <v>3</v>
          </cell>
          <cell r="CK828">
            <v>0</v>
          </cell>
          <cell r="CL828">
            <v>0</v>
          </cell>
          <cell r="CM828">
            <v>0</v>
          </cell>
          <cell r="CR828">
            <v>0</v>
          </cell>
          <cell r="CS828">
            <v>0</v>
          </cell>
          <cell r="CT828">
            <v>36</v>
          </cell>
          <cell r="CU828">
            <v>0</v>
          </cell>
          <cell r="CV828">
            <v>0</v>
          </cell>
          <cell r="CZ828">
            <v>36</v>
          </cell>
        </row>
        <row r="829">
          <cell r="C829" t="str">
            <v>04311</v>
          </cell>
          <cell r="D829" t="str">
            <v>Hoàng Văn Hà</v>
          </cell>
          <cell r="E829" t="str">
            <v>Production</v>
          </cell>
          <cell r="F829" t="str">
            <v>Lamination</v>
          </cell>
          <cell r="G829" t="str">
            <v>Worker</v>
          </cell>
          <cell r="H829">
            <v>45580</v>
          </cell>
          <cell r="I829" t="str">
            <v>Đ</v>
          </cell>
          <cell r="J829" t="str">
            <v>Đ</v>
          </cell>
          <cell r="K829" t="str">
            <v>Đ</v>
          </cell>
          <cell r="L829" t="str">
            <v>CN</v>
          </cell>
          <cell r="M829">
            <v>8</v>
          </cell>
          <cell r="N829">
            <v>8</v>
          </cell>
          <cell r="O829">
            <v>8</v>
          </cell>
          <cell r="P829">
            <v>8</v>
          </cell>
          <cell r="Q829">
            <v>8</v>
          </cell>
          <cell r="R829">
            <v>8</v>
          </cell>
          <cell r="S829" t="str">
            <v>CN</v>
          </cell>
          <cell r="T829">
            <v>8</v>
          </cell>
          <cell r="U829">
            <v>8</v>
          </cell>
          <cell r="V829">
            <v>8</v>
          </cell>
          <cell r="W829">
            <v>8</v>
          </cell>
          <cell r="X829">
            <v>8</v>
          </cell>
          <cell r="Y829">
            <v>8</v>
          </cell>
          <cell r="Z829" t="str">
            <v>CN</v>
          </cell>
          <cell r="AA829">
            <v>8</v>
          </cell>
          <cell r="AB829">
            <v>8</v>
          </cell>
          <cell r="AC829">
            <v>8</v>
          </cell>
          <cell r="AD829">
            <v>8</v>
          </cell>
          <cell r="AE829">
            <v>8</v>
          </cell>
          <cell r="AF829" t="str">
            <v>CN</v>
          </cell>
          <cell r="AG829">
            <v>8</v>
          </cell>
          <cell r="AH829">
            <v>8</v>
          </cell>
          <cell r="AI829">
            <v>8</v>
          </cell>
          <cell r="AJ829">
            <v>8</v>
          </cell>
          <cell r="AN829">
            <v>24</v>
          </cell>
          <cell r="AO829">
            <v>168</v>
          </cell>
          <cell r="AP829">
            <v>0</v>
          </cell>
          <cell r="AQ829">
            <v>0</v>
          </cell>
          <cell r="AR829">
            <v>0</v>
          </cell>
          <cell r="AS829">
            <v>0</v>
          </cell>
          <cell r="AT829">
            <v>0</v>
          </cell>
          <cell r="AU829">
            <v>0</v>
          </cell>
          <cell r="AV829">
            <v>0</v>
          </cell>
          <cell r="AW829">
            <v>0</v>
          </cell>
          <cell r="AX829">
            <v>0</v>
          </cell>
          <cell r="AY829">
            <v>0</v>
          </cell>
          <cell r="AZ829">
            <v>0</v>
          </cell>
          <cell r="BA829">
            <v>0</v>
          </cell>
          <cell r="BB829">
            <v>0</v>
          </cell>
          <cell r="BC829">
            <v>0</v>
          </cell>
          <cell r="BD829">
            <v>0</v>
          </cell>
          <cell r="BE829">
            <v>0</v>
          </cell>
          <cell r="BF829">
            <v>0</v>
          </cell>
          <cell r="BG829">
            <v>192</v>
          </cell>
          <cell r="BH829">
            <v>0</v>
          </cell>
          <cell r="BI829">
            <v>0</v>
          </cell>
          <cell r="BJ829">
            <v>5</v>
          </cell>
          <cell r="BL829">
            <v>0</v>
          </cell>
          <cell r="BM829">
            <v>0</v>
          </cell>
          <cell r="BN829">
            <v>0</v>
          </cell>
          <cell r="BO829">
            <v>0</v>
          </cell>
          <cell r="BP829">
            <v>0</v>
          </cell>
          <cell r="BQ829">
            <v>0</v>
          </cell>
          <cell r="BR829">
            <v>0</v>
          </cell>
          <cell r="BS829">
            <v>0</v>
          </cell>
          <cell r="BT829">
            <v>0</v>
          </cell>
          <cell r="BU829">
            <v>0</v>
          </cell>
          <cell r="BV829">
            <v>0</v>
          </cell>
          <cell r="BW829">
            <v>0</v>
          </cell>
          <cell r="BX829">
            <v>4</v>
          </cell>
          <cell r="BY829">
            <v>0</v>
          </cell>
          <cell r="BZ829">
            <v>0</v>
          </cell>
          <cell r="CA829">
            <v>4</v>
          </cell>
          <cell r="CB829">
            <v>4</v>
          </cell>
          <cell r="CC829">
            <v>0</v>
          </cell>
          <cell r="CD829">
            <v>0</v>
          </cell>
          <cell r="CE829">
            <v>0</v>
          </cell>
          <cell r="CF829">
            <v>0</v>
          </cell>
          <cell r="CG829">
            <v>4</v>
          </cell>
          <cell r="CH829">
            <v>4</v>
          </cell>
          <cell r="CI829">
            <v>0</v>
          </cell>
          <cell r="CJ829">
            <v>4</v>
          </cell>
          <cell r="CK829">
            <v>4</v>
          </cell>
          <cell r="CL829">
            <v>0</v>
          </cell>
          <cell r="CM829">
            <v>0</v>
          </cell>
          <cell r="CR829">
            <v>0</v>
          </cell>
          <cell r="CS829">
            <v>0</v>
          </cell>
          <cell r="CT829">
            <v>28</v>
          </cell>
          <cell r="CU829">
            <v>0</v>
          </cell>
          <cell r="CV829">
            <v>0</v>
          </cell>
          <cell r="CZ829">
            <v>28</v>
          </cell>
        </row>
        <row r="830">
          <cell r="C830" t="str">
            <v>04313</v>
          </cell>
          <cell r="D830" t="str">
            <v>Nguyễn Hồng Thuận</v>
          </cell>
          <cell r="E830" t="str">
            <v>Foaming</v>
          </cell>
          <cell r="F830" t="str">
            <v>FOAMING Rectangular</v>
          </cell>
          <cell r="G830" t="str">
            <v>Worker</v>
          </cell>
          <cell r="H830">
            <v>45586</v>
          </cell>
          <cell r="I830">
            <v>8</v>
          </cell>
          <cell r="J830">
            <v>8</v>
          </cell>
          <cell r="K830">
            <v>8</v>
          </cell>
          <cell r="L830" t="str">
            <v>CN</v>
          </cell>
          <cell r="M830" t="str">
            <v>Đ</v>
          </cell>
          <cell r="N830" t="str">
            <v>Đ</v>
          </cell>
          <cell r="O830" t="str">
            <v>Đ</v>
          </cell>
          <cell r="P830" t="str">
            <v>Đ</v>
          </cell>
          <cell r="Q830" t="str">
            <v>Đ</v>
          </cell>
          <cell r="R830" t="str">
            <v>Đ</v>
          </cell>
          <cell r="S830" t="str">
            <v>CN</v>
          </cell>
          <cell r="T830" t="str">
            <v>Đ</v>
          </cell>
          <cell r="U830" t="str">
            <v>Đ</v>
          </cell>
          <cell r="V830" t="str">
            <v>Đ</v>
          </cell>
          <cell r="W830" t="str">
            <v>Đ</v>
          </cell>
          <cell r="X830" t="str">
            <v>Đ</v>
          </cell>
          <cell r="Y830" t="str">
            <v>Đ</v>
          </cell>
          <cell r="Z830" t="str">
            <v>CN</v>
          </cell>
          <cell r="AA830">
            <v>8</v>
          </cell>
          <cell r="AB830" t="str">
            <v>AL4</v>
          </cell>
          <cell r="AC830">
            <v>8</v>
          </cell>
          <cell r="AD830">
            <v>8</v>
          </cell>
          <cell r="AE830">
            <v>8</v>
          </cell>
          <cell r="AF830">
            <v>8</v>
          </cell>
          <cell r="AG830" t="str">
            <v>CN</v>
          </cell>
          <cell r="AH830">
            <v>8</v>
          </cell>
          <cell r="AI830">
            <v>8</v>
          </cell>
          <cell r="AJ830">
            <v>8</v>
          </cell>
          <cell r="AN830">
            <v>96</v>
          </cell>
          <cell r="AO830">
            <v>92</v>
          </cell>
          <cell r="AP830">
            <v>4</v>
          </cell>
          <cell r="AQ830">
            <v>0</v>
          </cell>
          <cell r="AR830">
            <v>0</v>
          </cell>
          <cell r="AS830">
            <v>0</v>
          </cell>
          <cell r="AT830">
            <v>0</v>
          </cell>
          <cell r="AU830">
            <v>0</v>
          </cell>
          <cell r="AV830">
            <v>0</v>
          </cell>
          <cell r="AW830">
            <v>0</v>
          </cell>
          <cell r="AX830">
            <v>0</v>
          </cell>
          <cell r="AY830">
            <v>0</v>
          </cell>
          <cell r="AZ830">
            <v>0</v>
          </cell>
          <cell r="BA830">
            <v>4</v>
          </cell>
          <cell r="BB830">
            <v>0</v>
          </cell>
          <cell r="BC830">
            <v>0</v>
          </cell>
          <cell r="BD830">
            <v>0</v>
          </cell>
          <cell r="BE830">
            <v>0</v>
          </cell>
          <cell r="BF830">
            <v>0</v>
          </cell>
          <cell r="BG830">
            <v>192</v>
          </cell>
          <cell r="BH830">
            <v>0.5</v>
          </cell>
          <cell r="BI830">
            <v>0.5</v>
          </cell>
          <cell r="BJ830">
            <v>-3.5</v>
          </cell>
          <cell r="BL830">
            <v>4</v>
          </cell>
          <cell r="BM830">
            <v>4</v>
          </cell>
          <cell r="BN830">
            <v>0</v>
          </cell>
          <cell r="BO830" t="str">
            <v>12Đ</v>
          </cell>
          <cell r="BP830">
            <v>0</v>
          </cell>
          <cell r="BQ830">
            <v>4</v>
          </cell>
          <cell r="BR830">
            <v>4</v>
          </cell>
          <cell r="BS830">
            <v>4</v>
          </cell>
          <cell r="BT830">
            <v>4</v>
          </cell>
          <cell r="BU830">
            <v>0</v>
          </cell>
          <cell r="BV830">
            <v>0</v>
          </cell>
          <cell r="BW830">
            <v>0</v>
          </cell>
          <cell r="BX830">
            <v>4</v>
          </cell>
          <cell r="BY830">
            <v>4</v>
          </cell>
          <cell r="BZ830">
            <v>4</v>
          </cell>
          <cell r="CA830">
            <v>4</v>
          </cell>
          <cell r="CB830">
            <v>0</v>
          </cell>
          <cell r="CC830">
            <v>0</v>
          </cell>
          <cell r="CD830">
            <v>4</v>
          </cell>
          <cell r="CE830">
            <v>4</v>
          </cell>
          <cell r="CF830">
            <v>4</v>
          </cell>
          <cell r="CG830">
            <v>4</v>
          </cell>
          <cell r="CH830">
            <v>4</v>
          </cell>
          <cell r="CI830">
            <v>4</v>
          </cell>
          <cell r="CJ830">
            <v>12</v>
          </cell>
          <cell r="CK830">
            <v>4</v>
          </cell>
          <cell r="CL830">
            <v>4</v>
          </cell>
          <cell r="CM830">
            <v>4</v>
          </cell>
          <cell r="CR830">
            <v>0</v>
          </cell>
          <cell r="CS830">
            <v>0</v>
          </cell>
          <cell r="CT830">
            <v>76</v>
          </cell>
          <cell r="CU830">
            <v>16</v>
          </cell>
          <cell r="CV830">
            <v>8</v>
          </cell>
          <cell r="CZ830">
            <v>100</v>
          </cell>
        </row>
        <row r="831">
          <cell r="C831" t="str">
            <v>04314</v>
          </cell>
          <cell r="D831" t="str">
            <v>Nguyễn Trọng Sơn</v>
          </cell>
          <cell r="E831" t="str">
            <v>Foaming</v>
          </cell>
          <cell r="F831" t="str">
            <v>FOAMING Rectangular</v>
          </cell>
          <cell r="G831" t="str">
            <v>Worker</v>
          </cell>
          <cell r="H831">
            <v>45586</v>
          </cell>
          <cell r="I831" t="str">
            <v>Đ</v>
          </cell>
          <cell r="J831" t="str">
            <v>Đ</v>
          </cell>
          <cell r="K831" t="str">
            <v>Đ</v>
          </cell>
          <cell r="L831" t="str">
            <v>CN</v>
          </cell>
          <cell r="M831" t="str">
            <v>Đ</v>
          </cell>
          <cell r="N831" t="str">
            <v>Đ</v>
          </cell>
          <cell r="O831" t="str">
            <v>Đ</v>
          </cell>
          <cell r="P831" t="str">
            <v>Đ</v>
          </cell>
          <cell r="Q831" t="str">
            <v>Đ</v>
          </cell>
          <cell r="R831" t="str">
            <v>Đ</v>
          </cell>
          <cell r="S831" t="str">
            <v>CN</v>
          </cell>
          <cell r="T831" t="str">
            <v>Đ</v>
          </cell>
          <cell r="U831" t="str">
            <v>Đ</v>
          </cell>
          <cell r="V831" t="str">
            <v>Đ</v>
          </cell>
          <cell r="W831" t="str">
            <v>Đ</v>
          </cell>
          <cell r="X831" t="str">
            <v>Đ</v>
          </cell>
          <cell r="Y831" t="str">
            <v>Đ</v>
          </cell>
          <cell r="Z831" t="str">
            <v>CN</v>
          </cell>
          <cell r="AA831">
            <v>8</v>
          </cell>
          <cell r="AB831">
            <v>8</v>
          </cell>
          <cell r="AC831">
            <v>8</v>
          </cell>
          <cell r="AD831">
            <v>8</v>
          </cell>
          <cell r="AE831" t="str">
            <v>AL8</v>
          </cell>
          <cell r="AF831">
            <v>8</v>
          </cell>
          <cell r="AG831" t="str">
            <v>CN</v>
          </cell>
          <cell r="AH831">
            <v>8</v>
          </cell>
          <cell r="AI831">
            <v>8</v>
          </cell>
          <cell r="AJ831">
            <v>8</v>
          </cell>
          <cell r="AN831">
            <v>120</v>
          </cell>
          <cell r="AO831">
            <v>64</v>
          </cell>
          <cell r="AP831">
            <v>0</v>
          </cell>
          <cell r="AQ831">
            <v>0</v>
          </cell>
          <cell r="AR831">
            <v>0</v>
          </cell>
          <cell r="AS831">
            <v>0</v>
          </cell>
          <cell r="AT831">
            <v>0</v>
          </cell>
          <cell r="AU831">
            <v>0</v>
          </cell>
          <cell r="AV831">
            <v>0</v>
          </cell>
          <cell r="AW831">
            <v>0</v>
          </cell>
          <cell r="AX831">
            <v>0</v>
          </cell>
          <cell r="AY831">
            <v>0</v>
          </cell>
          <cell r="AZ831">
            <v>0</v>
          </cell>
          <cell r="BA831">
            <v>8</v>
          </cell>
          <cell r="BB831">
            <v>0</v>
          </cell>
          <cell r="BC831">
            <v>0</v>
          </cell>
          <cell r="BD831">
            <v>0</v>
          </cell>
          <cell r="BE831">
            <v>0</v>
          </cell>
          <cell r="BF831">
            <v>0</v>
          </cell>
          <cell r="BG831">
            <v>192</v>
          </cell>
          <cell r="BH831">
            <v>1</v>
          </cell>
          <cell r="BI831">
            <v>1</v>
          </cell>
          <cell r="BJ831">
            <v>-1</v>
          </cell>
          <cell r="BL831">
            <v>4</v>
          </cell>
          <cell r="BM831">
            <v>4</v>
          </cell>
          <cell r="BN831">
            <v>4</v>
          </cell>
          <cell r="BO831" t="str">
            <v>12Đ</v>
          </cell>
          <cell r="BP831">
            <v>4</v>
          </cell>
          <cell r="BQ831">
            <v>4</v>
          </cell>
          <cell r="BR831">
            <v>4</v>
          </cell>
          <cell r="BS831">
            <v>4</v>
          </cell>
          <cell r="BT831">
            <v>4</v>
          </cell>
          <cell r="BU831">
            <v>4</v>
          </cell>
          <cell r="BV831" t="str">
            <v>12Đ</v>
          </cell>
          <cell r="BW831">
            <v>4</v>
          </cell>
          <cell r="BX831">
            <v>4</v>
          </cell>
          <cell r="BY831">
            <v>4</v>
          </cell>
          <cell r="BZ831">
            <v>4</v>
          </cell>
          <cell r="CA831">
            <v>4</v>
          </cell>
          <cell r="CB831">
            <v>4</v>
          </cell>
          <cell r="CC831">
            <v>0</v>
          </cell>
          <cell r="CD831">
            <v>4</v>
          </cell>
          <cell r="CE831">
            <v>4</v>
          </cell>
          <cell r="CF831">
            <v>4</v>
          </cell>
          <cell r="CG831">
            <v>4</v>
          </cell>
          <cell r="CH831">
            <v>0</v>
          </cell>
          <cell r="CI831">
            <v>4</v>
          </cell>
          <cell r="CJ831">
            <v>12</v>
          </cell>
          <cell r="CK831">
            <v>4</v>
          </cell>
          <cell r="CL831">
            <v>4</v>
          </cell>
          <cell r="CM831">
            <v>4</v>
          </cell>
          <cell r="CR831">
            <v>0</v>
          </cell>
          <cell r="CS831">
            <v>0</v>
          </cell>
          <cell r="CT831">
            <v>92</v>
          </cell>
          <cell r="CU831">
            <v>20</v>
          </cell>
          <cell r="CV831">
            <v>16</v>
          </cell>
          <cell r="CZ831">
            <v>128</v>
          </cell>
        </row>
        <row r="832">
          <cell r="C832" t="str">
            <v>04316</v>
          </cell>
          <cell r="D832" t="str">
            <v>Lâm Hoàng Thanh</v>
          </cell>
          <cell r="E832" t="str">
            <v>Production</v>
          </cell>
          <cell r="F832" t="str">
            <v>Molding</v>
          </cell>
          <cell r="G832" t="str">
            <v>Worker</v>
          </cell>
          <cell r="H832">
            <v>45586</v>
          </cell>
          <cell r="I832">
            <v>8</v>
          </cell>
          <cell r="J832">
            <v>8</v>
          </cell>
          <cell r="K832">
            <v>8</v>
          </cell>
          <cell r="L832" t="str">
            <v>CN</v>
          </cell>
          <cell r="M832">
            <v>8</v>
          </cell>
          <cell r="N832">
            <v>8</v>
          </cell>
          <cell r="O832">
            <v>8</v>
          </cell>
          <cell r="P832">
            <v>8</v>
          </cell>
          <cell r="Q832" t="str">
            <v>Đ</v>
          </cell>
          <cell r="R832" t="str">
            <v>Đ</v>
          </cell>
          <cell r="S832" t="str">
            <v>CN</v>
          </cell>
          <cell r="T832">
            <v>8</v>
          </cell>
          <cell r="U832">
            <v>8</v>
          </cell>
          <cell r="V832">
            <v>8</v>
          </cell>
          <cell r="W832">
            <v>8</v>
          </cell>
          <cell r="X832">
            <v>8</v>
          </cell>
          <cell r="Y832">
            <v>8</v>
          </cell>
          <cell r="Z832" t="str">
            <v>CN</v>
          </cell>
          <cell r="AA832">
            <v>8</v>
          </cell>
          <cell r="AB832">
            <v>8</v>
          </cell>
          <cell r="AC832">
            <v>8</v>
          </cell>
          <cell r="AD832">
            <v>8</v>
          </cell>
          <cell r="AE832" t="str">
            <v>Đ</v>
          </cell>
          <cell r="AF832" t="str">
            <v>Đ</v>
          </cell>
          <cell r="AG832" t="str">
            <v>CN</v>
          </cell>
          <cell r="AH832">
            <v>8</v>
          </cell>
          <cell r="AI832">
            <v>8</v>
          </cell>
          <cell r="AJ832">
            <v>8</v>
          </cell>
          <cell r="AN832">
            <v>32</v>
          </cell>
          <cell r="AO832">
            <v>160</v>
          </cell>
          <cell r="AP832">
            <v>0</v>
          </cell>
          <cell r="AQ832">
            <v>0</v>
          </cell>
          <cell r="AR832">
            <v>0</v>
          </cell>
          <cell r="AS832">
            <v>0</v>
          </cell>
          <cell r="AT832">
            <v>0</v>
          </cell>
          <cell r="AU832">
            <v>0</v>
          </cell>
          <cell r="AV832">
            <v>0</v>
          </cell>
          <cell r="AW832">
            <v>0</v>
          </cell>
          <cell r="AX832">
            <v>0</v>
          </cell>
          <cell r="AY832">
            <v>0</v>
          </cell>
          <cell r="AZ832">
            <v>0</v>
          </cell>
          <cell r="BA832">
            <v>0</v>
          </cell>
          <cell r="BB832">
            <v>0</v>
          </cell>
          <cell r="BC832">
            <v>0</v>
          </cell>
          <cell r="BD832">
            <v>0</v>
          </cell>
          <cell r="BE832">
            <v>0</v>
          </cell>
          <cell r="BF832">
            <v>0</v>
          </cell>
          <cell r="BG832">
            <v>192</v>
          </cell>
          <cell r="BH832">
            <v>0</v>
          </cell>
          <cell r="BI832">
            <v>0</v>
          </cell>
          <cell r="BJ832">
            <v>1.5</v>
          </cell>
          <cell r="BL832">
            <v>0</v>
          </cell>
          <cell r="BM832">
            <v>4</v>
          </cell>
          <cell r="BN832">
            <v>4</v>
          </cell>
          <cell r="BO832">
            <v>0</v>
          </cell>
          <cell r="BP832">
            <v>0</v>
          </cell>
          <cell r="BQ832">
            <v>0</v>
          </cell>
          <cell r="BR832">
            <v>0</v>
          </cell>
          <cell r="BS832">
            <v>0</v>
          </cell>
          <cell r="BT832">
            <v>4</v>
          </cell>
          <cell r="BU832">
            <v>4</v>
          </cell>
          <cell r="BV832">
            <v>0</v>
          </cell>
          <cell r="BW832">
            <v>0</v>
          </cell>
          <cell r="BX832">
            <v>0</v>
          </cell>
          <cell r="BY832">
            <v>0</v>
          </cell>
          <cell r="BZ832">
            <v>4</v>
          </cell>
          <cell r="CA832">
            <v>4</v>
          </cell>
          <cell r="CB832">
            <v>4</v>
          </cell>
          <cell r="CC832">
            <v>0</v>
          </cell>
          <cell r="CD832">
            <v>0</v>
          </cell>
          <cell r="CE832">
            <v>0</v>
          </cell>
          <cell r="CF832">
            <v>0</v>
          </cell>
          <cell r="CG832">
            <v>0</v>
          </cell>
          <cell r="CH832">
            <v>4</v>
          </cell>
          <cell r="CI832">
            <v>4</v>
          </cell>
          <cell r="CJ832">
            <v>0</v>
          </cell>
          <cell r="CK832">
            <v>0</v>
          </cell>
          <cell r="CL832">
            <v>0</v>
          </cell>
          <cell r="CM832">
            <v>0</v>
          </cell>
          <cell r="CR832">
            <v>0</v>
          </cell>
          <cell r="CS832">
            <v>0</v>
          </cell>
          <cell r="CT832">
            <v>36</v>
          </cell>
          <cell r="CU832">
            <v>0</v>
          </cell>
          <cell r="CV832">
            <v>0</v>
          </cell>
          <cell r="CZ832">
            <v>36</v>
          </cell>
        </row>
        <row r="833">
          <cell r="C833" t="str">
            <v>04318</v>
          </cell>
          <cell r="D833" t="str">
            <v>Nguyễn Hoàng Khang</v>
          </cell>
          <cell r="E833" t="str">
            <v>Production</v>
          </cell>
          <cell r="F833" t="str">
            <v>Molding</v>
          </cell>
          <cell r="G833" t="str">
            <v>Worker</v>
          </cell>
          <cell r="H833">
            <v>45586</v>
          </cell>
          <cell r="I833" t="str">
            <v>Đ</v>
          </cell>
          <cell r="J833" t="str">
            <v>Đ</v>
          </cell>
          <cell r="K833" t="str">
            <v>Đ</v>
          </cell>
          <cell r="L833" t="str">
            <v>CN</v>
          </cell>
          <cell r="M833">
            <v>8</v>
          </cell>
          <cell r="N833">
            <v>8</v>
          </cell>
          <cell r="O833" t="str">
            <v>AL8</v>
          </cell>
          <cell r="P833" t="str">
            <v>AL8</v>
          </cell>
          <cell r="Q833" t="str">
            <v>UP8</v>
          </cell>
          <cell r="R833" t="str">
            <v>UP8</v>
          </cell>
          <cell r="S833" t="str">
            <v>CN</v>
          </cell>
          <cell r="T833" t="str">
            <v>Đ</v>
          </cell>
          <cell r="U833" t="str">
            <v>Đ</v>
          </cell>
          <cell r="V833" t="str">
            <v>Đ</v>
          </cell>
          <cell r="W833" t="str">
            <v>Đ</v>
          </cell>
          <cell r="X833" t="str">
            <v>Đ</v>
          </cell>
          <cell r="Y833" t="str">
            <v>Đ</v>
          </cell>
          <cell r="Z833" t="str">
            <v>CN</v>
          </cell>
          <cell r="AA833">
            <v>8</v>
          </cell>
          <cell r="AB833">
            <v>8</v>
          </cell>
          <cell r="AC833">
            <v>8</v>
          </cell>
          <cell r="AD833">
            <v>8</v>
          </cell>
          <cell r="AE833">
            <v>8</v>
          </cell>
          <cell r="AF833">
            <v>8</v>
          </cell>
          <cell r="AG833" t="str">
            <v>CN</v>
          </cell>
          <cell r="AH833" t="str">
            <v>Đ</v>
          </cell>
          <cell r="AI833" t="str">
            <v>Đ</v>
          </cell>
          <cell r="AJ833" t="str">
            <v>Đ</v>
          </cell>
          <cell r="AN833">
            <v>96</v>
          </cell>
          <cell r="AO833">
            <v>64</v>
          </cell>
          <cell r="AP833">
            <v>0</v>
          </cell>
          <cell r="AQ833">
            <v>0</v>
          </cell>
          <cell r="AR833">
            <v>0</v>
          </cell>
          <cell r="AS833">
            <v>16</v>
          </cell>
          <cell r="AT833">
            <v>0</v>
          </cell>
          <cell r="AU833">
            <v>0</v>
          </cell>
          <cell r="AV833">
            <v>0</v>
          </cell>
          <cell r="AW833">
            <v>0</v>
          </cell>
          <cell r="AX833">
            <v>0</v>
          </cell>
          <cell r="AY833">
            <v>0</v>
          </cell>
          <cell r="AZ833">
            <v>0</v>
          </cell>
          <cell r="BA833">
            <v>16</v>
          </cell>
          <cell r="BB833">
            <v>0</v>
          </cell>
          <cell r="BC833">
            <v>0</v>
          </cell>
          <cell r="BD833">
            <v>0</v>
          </cell>
          <cell r="BE833">
            <v>0</v>
          </cell>
          <cell r="BF833">
            <v>0</v>
          </cell>
          <cell r="BG833">
            <v>176</v>
          </cell>
          <cell r="BH833">
            <v>2</v>
          </cell>
          <cell r="BI833">
            <v>2</v>
          </cell>
          <cell r="BJ833">
            <v>0</v>
          </cell>
          <cell r="BL833">
            <v>0</v>
          </cell>
          <cell r="BM833">
            <v>4</v>
          </cell>
          <cell r="BN833">
            <v>0</v>
          </cell>
          <cell r="BO833">
            <v>0</v>
          </cell>
          <cell r="BP833">
            <v>0</v>
          </cell>
          <cell r="BQ833">
            <v>0</v>
          </cell>
          <cell r="BR833">
            <v>0</v>
          </cell>
          <cell r="BS833">
            <v>0</v>
          </cell>
          <cell r="BT833">
            <v>0</v>
          </cell>
          <cell r="BU833">
            <v>0</v>
          </cell>
          <cell r="BV833">
            <v>0</v>
          </cell>
          <cell r="BW833">
            <v>0</v>
          </cell>
          <cell r="BX833">
            <v>0</v>
          </cell>
          <cell r="BY833">
            <v>0</v>
          </cell>
          <cell r="BZ833">
            <v>0</v>
          </cell>
          <cell r="CA833">
            <v>0</v>
          </cell>
          <cell r="CB833">
            <v>4</v>
          </cell>
          <cell r="CC833">
            <v>0</v>
          </cell>
          <cell r="CD833">
            <v>0</v>
          </cell>
          <cell r="CE833">
            <v>0</v>
          </cell>
          <cell r="CF833">
            <v>0</v>
          </cell>
          <cell r="CG833">
            <v>0</v>
          </cell>
          <cell r="CH833">
            <v>0</v>
          </cell>
          <cell r="CI833">
            <v>0</v>
          </cell>
          <cell r="CJ833">
            <v>0</v>
          </cell>
          <cell r="CK833">
            <v>0</v>
          </cell>
          <cell r="CL833">
            <v>0</v>
          </cell>
          <cell r="CM833">
            <v>0</v>
          </cell>
          <cell r="CR833">
            <v>0</v>
          </cell>
          <cell r="CS833">
            <v>0</v>
          </cell>
          <cell r="CT833">
            <v>8</v>
          </cell>
          <cell r="CU833">
            <v>0</v>
          </cell>
          <cell r="CV833">
            <v>0</v>
          </cell>
          <cell r="CZ833">
            <v>8</v>
          </cell>
        </row>
        <row r="834">
          <cell r="C834" t="str">
            <v>04321</v>
          </cell>
          <cell r="D834" t="str">
            <v>Nguyễn Thị Cẩm Quyên</v>
          </cell>
          <cell r="E834" t="str">
            <v>Production</v>
          </cell>
          <cell r="F834" t="str">
            <v>Molding</v>
          </cell>
          <cell r="G834" t="str">
            <v>Worker</v>
          </cell>
          <cell r="H834">
            <v>45586</v>
          </cell>
          <cell r="I834">
            <v>8</v>
          </cell>
          <cell r="J834" t="str">
            <v>CN</v>
          </cell>
          <cell r="K834" t="str">
            <v>Đ</v>
          </cell>
          <cell r="L834" t="str">
            <v>Đ</v>
          </cell>
          <cell r="M834" t="str">
            <v>Đ</v>
          </cell>
          <cell r="N834" t="str">
            <v>Đ</v>
          </cell>
          <cell r="O834" t="str">
            <v>Đ</v>
          </cell>
          <cell r="P834" t="str">
            <v>Đ</v>
          </cell>
          <cell r="Q834" t="str">
            <v>CN</v>
          </cell>
          <cell r="R834">
            <v>8</v>
          </cell>
          <cell r="S834">
            <v>8</v>
          </cell>
          <cell r="T834">
            <v>8</v>
          </cell>
          <cell r="U834">
            <v>8</v>
          </cell>
          <cell r="V834">
            <v>8</v>
          </cell>
          <cell r="W834">
            <v>8</v>
          </cell>
          <cell r="X834" t="str">
            <v>CN</v>
          </cell>
          <cell r="Y834" t="str">
            <v>Đ</v>
          </cell>
          <cell r="Z834" t="str">
            <v>Đ</v>
          </cell>
          <cell r="AA834" t="str">
            <v>Đ</v>
          </cell>
          <cell r="AB834" t="str">
            <v>Đ</v>
          </cell>
          <cell r="AC834" t="str">
            <v>Đ</v>
          </cell>
          <cell r="AD834" t="str">
            <v>Đ</v>
          </cell>
          <cell r="AE834" t="str">
            <v>CN</v>
          </cell>
          <cell r="AF834">
            <v>8</v>
          </cell>
          <cell r="AG834">
            <v>8</v>
          </cell>
          <cell r="AH834">
            <v>8</v>
          </cell>
          <cell r="AI834">
            <v>8</v>
          </cell>
          <cell r="AJ834">
            <v>8</v>
          </cell>
          <cell r="AN834">
            <v>96</v>
          </cell>
          <cell r="AO834">
            <v>96</v>
          </cell>
          <cell r="AP834">
            <v>0</v>
          </cell>
          <cell r="AQ834">
            <v>0</v>
          </cell>
          <cell r="AR834">
            <v>0</v>
          </cell>
          <cell r="AS834">
            <v>0</v>
          </cell>
          <cell r="AT834">
            <v>0</v>
          </cell>
          <cell r="AU834">
            <v>0</v>
          </cell>
          <cell r="AV834">
            <v>0</v>
          </cell>
          <cell r="AW834">
            <v>0</v>
          </cell>
          <cell r="AX834">
            <v>0</v>
          </cell>
          <cell r="AY834">
            <v>0</v>
          </cell>
          <cell r="AZ834">
            <v>0</v>
          </cell>
          <cell r="BA834">
            <v>0</v>
          </cell>
          <cell r="BB834">
            <v>0</v>
          </cell>
          <cell r="BC834">
            <v>0</v>
          </cell>
          <cell r="BD834">
            <v>0</v>
          </cell>
          <cell r="BE834">
            <v>0</v>
          </cell>
          <cell r="BF834">
            <v>0</v>
          </cell>
          <cell r="BG834">
            <v>192</v>
          </cell>
          <cell r="BH834">
            <v>0</v>
          </cell>
          <cell r="BI834">
            <v>0</v>
          </cell>
          <cell r="BJ834">
            <v>2</v>
          </cell>
          <cell r="BL834">
            <v>0</v>
          </cell>
          <cell r="BM834">
            <v>0</v>
          </cell>
          <cell r="BN834">
            <v>4</v>
          </cell>
          <cell r="BO834">
            <v>4</v>
          </cell>
          <cell r="BP834">
            <v>0</v>
          </cell>
          <cell r="BQ834">
            <v>0</v>
          </cell>
          <cell r="BR834">
            <v>0</v>
          </cell>
          <cell r="BS834">
            <v>0</v>
          </cell>
          <cell r="BT834">
            <v>0</v>
          </cell>
          <cell r="BU834">
            <v>4</v>
          </cell>
          <cell r="BV834">
            <v>4</v>
          </cell>
          <cell r="BW834">
            <v>0</v>
          </cell>
          <cell r="BX834">
            <v>0</v>
          </cell>
          <cell r="BY834">
            <v>0</v>
          </cell>
          <cell r="BZ834">
            <v>0</v>
          </cell>
          <cell r="CA834">
            <v>0</v>
          </cell>
          <cell r="CB834">
            <v>4</v>
          </cell>
          <cell r="CC834">
            <v>4</v>
          </cell>
          <cell r="CD834">
            <v>4</v>
          </cell>
          <cell r="CE834">
            <v>0</v>
          </cell>
          <cell r="CF834">
            <v>0</v>
          </cell>
          <cell r="CG834">
            <v>0</v>
          </cell>
          <cell r="CH834">
            <v>0</v>
          </cell>
          <cell r="CI834">
            <v>4</v>
          </cell>
          <cell r="CJ834">
            <v>4</v>
          </cell>
          <cell r="CK834">
            <v>0</v>
          </cell>
          <cell r="CL834">
            <v>0</v>
          </cell>
          <cell r="CM834">
            <v>0</v>
          </cell>
          <cell r="CR834">
            <v>0</v>
          </cell>
          <cell r="CS834">
            <v>0</v>
          </cell>
          <cell r="CT834">
            <v>36</v>
          </cell>
          <cell r="CU834">
            <v>0</v>
          </cell>
          <cell r="CV834">
            <v>0</v>
          </cell>
          <cell r="CZ834">
            <v>36</v>
          </cell>
        </row>
        <row r="835">
          <cell r="C835" t="str">
            <v>04326</v>
          </cell>
          <cell r="D835" t="str">
            <v>Trần Như Thủy</v>
          </cell>
          <cell r="E835" t="str">
            <v>Warehouse</v>
          </cell>
          <cell r="F835" t="str">
            <v>Warehouse</v>
          </cell>
          <cell r="G835" t="str">
            <v xml:space="preserve"> Staff</v>
          </cell>
          <cell r="H835">
            <v>45587</v>
          </cell>
          <cell r="I835">
            <v>8</v>
          </cell>
          <cell r="J835">
            <v>8</v>
          </cell>
          <cell r="K835" t="str">
            <v>PO</v>
          </cell>
          <cell r="L835" t="str">
            <v>CN</v>
          </cell>
          <cell r="M835">
            <v>8</v>
          </cell>
          <cell r="N835">
            <v>8</v>
          </cell>
          <cell r="O835">
            <v>8</v>
          </cell>
          <cell r="P835">
            <v>8</v>
          </cell>
          <cell r="Q835">
            <v>8</v>
          </cell>
          <cell r="R835" t="str">
            <v>PO</v>
          </cell>
          <cell r="S835" t="str">
            <v>CN</v>
          </cell>
          <cell r="T835">
            <v>8</v>
          </cell>
          <cell r="U835">
            <v>8</v>
          </cell>
          <cell r="V835">
            <v>8</v>
          </cell>
          <cell r="W835">
            <v>8</v>
          </cell>
          <cell r="X835">
            <v>8</v>
          </cell>
          <cell r="Y835" t="str">
            <v>PO</v>
          </cell>
          <cell r="Z835" t="str">
            <v>CN</v>
          </cell>
          <cell r="AA835">
            <v>8</v>
          </cell>
          <cell r="AB835">
            <v>8</v>
          </cell>
          <cell r="AC835">
            <v>8</v>
          </cell>
          <cell r="AD835">
            <v>8</v>
          </cell>
          <cell r="AE835">
            <v>8</v>
          </cell>
          <cell r="AF835" t="str">
            <v>PO</v>
          </cell>
          <cell r="AG835" t="str">
            <v>CN</v>
          </cell>
          <cell r="AH835">
            <v>8</v>
          </cell>
          <cell r="AI835">
            <v>8</v>
          </cell>
          <cell r="AJ835">
            <v>8</v>
          </cell>
          <cell r="AN835">
            <v>0</v>
          </cell>
          <cell r="AO835">
            <v>160</v>
          </cell>
          <cell r="AP835">
            <v>0</v>
          </cell>
          <cell r="AQ835">
            <v>0</v>
          </cell>
          <cell r="AR835">
            <v>0</v>
          </cell>
          <cell r="AS835">
            <v>0</v>
          </cell>
          <cell r="AT835">
            <v>0</v>
          </cell>
          <cell r="AU835">
            <v>0</v>
          </cell>
          <cell r="AV835">
            <v>32</v>
          </cell>
          <cell r="AW835">
            <v>0</v>
          </cell>
          <cell r="AX835">
            <v>0</v>
          </cell>
          <cell r="AY835">
            <v>0</v>
          </cell>
          <cell r="AZ835">
            <v>0</v>
          </cell>
          <cell r="BA835">
            <v>0</v>
          </cell>
          <cell r="BB835">
            <v>0</v>
          </cell>
          <cell r="BC835">
            <v>0</v>
          </cell>
          <cell r="BD835">
            <v>0</v>
          </cell>
          <cell r="BE835">
            <v>0</v>
          </cell>
          <cell r="BF835">
            <v>0</v>
          </cell>
          <cell r="BG835">
            <v>192</v>
          </cell>
          <cell r="BH835">
            <v>0</v>
          </cell>
          <cell r="BI835">
            <v>0</v>
          </cell>
          <cell r="BJ835">
            <v>10</v>
          </cell>
          <cell r="BL835">
            <v>0</v>
          </cell>
          <cell r="BM835">
            <v>0.5</v>
          </cell>
          <cell r="BN835">
            <v>2</v>
          </cell>
          <cell r="BO835">
            <v>0</v>
          </cell>
          <cell r="BP835">
            <v>0.5</v>
          </cell>
          <cell r="BQ835">
            <v>1</v>
          </cell>
          <cell r="BR835">
            <v>0.5</v>
          </cell>
          <cell r="BS835">
            <v>1</v>
          </cell>
          <cell r="BT835">
            <v>0</v>
          </cell>
          <cell r="BU835">
            <v>0</v>
          </cell>
          <cell r="BV835">
            <v>0</v>
          </cell>
          <cell r="BW835">
            <v>0</v>
          </cell>
          <cell r="BX835">
            <v>0</v>
          </cell>
          <cell r="BY835">
            <v>0.5</v>
          </cell>
          <cell r="BZ835">
            <v>0.5</v>
          </cell>
          <cell r="CA835">
            <v>1</v>
          </cell>
          <cell r="CB835">
            <v>0</v>
          </cell>
          <cell r="CC835">
            <v>0</v>
          </cell>
          <cell r="CD835">
            <v>1</v>
          </cell>
          <cell r="CE835">
            <v>1</v>
          </cell>
          <cell r="CF835">
            <v>0.5</v>
          </cell>
          <cell r="CG835">
            <v>0.5</v>
          </cell>
          <cell r="CH835">
            <v>1</v>
          </cell>
          <cell r="CI835">
            <v>0</v>
          </cell>
          <cell r="CJ835">
            <v>8</v>
          </cell>
          <cell r="CK835">
            <v>0.5</v>
          </cell>
          <cell r="CL835">
            <v>0.5</v>
          </cell>
          <cell r="CM835">
            <v>0.5</v>
          </cell>
          <cell r="CR835">
            <v>0</v>
          </cell>
          <cell r="CS835">
            <v>0</v>
          </cell>
          <cell r="CT835">
            <v>13</v>
          </cell>
          <cell r="CU835">
            <v>8</v>
          </cell>
          <cell r="CV835">
            <v>0</v>
          </cell>
          <cell r="CZ835">
            <v>21</v>
          </cell>
        </row>
        <row r="836">
          <cell r="C836" t="str">
            <v>04327</v>
          </cell>
          <cell r="D836" t="str">
            <v>Lê Thị Kiều Trang</v>
          </cell>
          <cell r="E836" t="str">
            <v>Production office</v>
          </cell>
          <cell r="F836" t="str">
            <v>Production office</v>
          </cell>
          <cell r="G836" t="str">
            <v>Staff</v>
          </cell>
          <cell r="H836">
            <v>45587</v>
          </cell>
          <cell r="I836">
            <v>8</v>
          </cell>
          <cell r="J836">
            <v>8</v>
          </cell>
          <cell r="K836" t="str">
            <v>PO</v>
          </cell>
          <cell r="L836" t="str">
            <v>CN</v>
          </cell>
          <cell r="M836">
            <v>8</v>
          </cell>
          <cell r="N836">
            <v>8</v>
          </cell>
          <cell r="O836" t="str">
            <v>AL8</v>
          </cell>
          <cell r="P836">
            <v>8</v>
          </cell>
          <cell r="Q836">
            <v>8</v>
          </cell>
          <cell r="R836" t="str">
            <v>PO</v>
          </cell>
          <cell r="S836" t="str">
            <v>CN</v>
          </cell>
          <cell r="T836">
            <v>8</v>
          </cell>
          <cell r="U836">
            <v>8</v>
          </cell>
          <cell r="V836">
            <v>8</v>
          </cell>
          <cell r="W836">
            <v>8</v>
          </cell>
          <cell r="X836">
            <v>8</v>
          </cell>
          <cell r="Y836" t="str">
            <v>PO</v>
          </cell>
          <cell r="Z836" t="str">
            <v>CN</v>
          </cell>
          <cell r="AA836">
            <v>8</v>
          </cell>
          <cell r="AB836">
            <v>8</v>
          </cell>
          <cell r="AC836">
            <v>8</v>
          </cell>
          <cell r="AD836">
            <v>8</v>
          </cell>
          <cell r="AE836">
            <v>8</v>
          </cell>
          <cell r="AF836" t="str">
            <v>PO</v>
          </cell>
          <cell r="AG836" t="str">
            <v>CN</v>
          </cell>
          <cell r="AH836" t="str">
            <v>AL8</v>
          </cell>
          <cell r="AI836">
            <v>8</v>
          </cell>
          <cell r="AJ836">
            <v>8</v>
          </cell>
          <cell r="AN836">
            <v>0</v>
          </cell>
          <cell r="AO836">
            <v>144</v>
          </cell>
          <cell r="AP836">
            <v>0</v>
          </cell>
          <cell r="AQ836">
            <v>0</v>
          </cell>
          <cell r="AR836">
            <v>0</v>
          </cell>
          <cell r="AS836">
            <v>0</v>
          </cell>
          <cell r="AT836">
            <v>0</v>
          </cell>
          <cell r="AU836">
            <v>0</v>
          </cell>
          <cell r="AV836">
            <v>32</v>
          </cell>
          <cell r="AW836">
            <v>0</v>
          </cell>
          <cell r="AX836">
            <v>0</v>
          </cell>
          <cell r="AY836">
            <v>0</v>
          </cell>
          <cell r="AZ836">
            <v>0</v>
          </cell>
          <cell r="BA836">
            <v>16</v>
          </cell>
          <cell r="BB836">
            <v>0</v>
          </cell>
          <cell r="BC836">
            <v>0</v>
          </cell>
          <cell r="BD836">
            <v>0</v>
          </cell>
          <cell r="BE836">
            <v>0</v>
          </cell>
          <cell r="BF836">
            <v>0</v>
          </cell>
          <cell r="BG836">
            <v>192</v>
          </cell>
          <cell r="BH836">
            <v>2</v>
          </cell>
          <cell r="BI836">
            <v>2</v>
          </cell>
          <cell r="BJ836">
            <v>0.5</v>
          </cell>
          <cell r="BL836">
            <v>0</v>
          </cell>
          <cell r="BM836">
            <v>0</v>
          </cell>
          <cell r="BN836">
            <v>0</v>
          </cell>
          <cell r="BO836">
            <v>0</v>
          </cell>
          <cell r="BP836">
            <v>0</v>
          </cell>
          <cell r="BQ836">
            <v>0</v>
          </cell>
          <cell r="BR836">
            <v>0</v>
          </cell>
          <cell r="BS836">
            <v>0</v>
          </cell>
          <cell r="BT836">
            <v>0</v>
          </cell>
          <cell r="BU836">
            <v>0</v>
          </cell>
          <cell r="BV836">
            <v>0</v>
          </cell>
          <cell r="BW836">
            <v>0</v>
          </cell>
          <cell r="BX836">
            <v>0</v>
          </cell>
          <cell r="BY836">
            <v>0</v>
          </cell>
          <cell r="BZ836">
            <v>0</v>
          </cell>
          <cell r="CA836">
            <v>0</v>
          </cell>
          <cell r="CB836">
            <v>0</v>
          </cell>
          <cell r="CC836">
            <v>0</v>
          </cell>
          <cell r="CD836">
            <v>0</v>
          </cell>
          <cell r="CE836">
            <v>0</v>
          </cell>
          <cell r="CF836">
            <v>0</v>
          </cell>
          <cell r="CG836">
            <v>0</v>
          </cell>
          <cell r="CH836">
            <v>0</v>
          </cell>
          <cell r="CI836">
            <v>0</v>
          </cell>
          <cell r="CJ836">
            <v>0</v>
          </cell>
          <cell r="CK836">
            <v>0</v>
          </cell>
          <cell r="CL836">
            <v>0</v>
          </cell>
          <cell r="CM836">
            <v>0</v>
          </cell>
          <cell r="CR836">
            <v>0</v>
          </cell>
          <cell r="CS836">
            <v>0</v>
          </cell>
          <cell r="CT836">
            <v>0</v>
          </cell>
          <cell r="CU836">
            <v>0</v>
          </cell>
          <cell r="CV836">
            <v>0</v>
          </cell>
          <cell r="CZ836">
            <v>0</v>
          </cell>
        </row>
        <row r="837">
          <cell r="C837" t="str">
            <v>00809</v>
          </cell>
          <cell r="D837" t="str">
            <v>Vũ Thị Phượng</v>
          </cell>
          <cell r="E837" t="str">
            <v>Technical Development</v>
          </cell>
          <cell r="F837" t="str">
            <v>PD Sample</v>
          </cell>
          <cell r="G837" t="str">
            <v>Group Leader</v>
          </cell>
          <cell r="H837">
            <v>42567</v>
          </cell>
          <cell r="I837">
            <v>8</v>
          </cell>
          <cell r="J837">
            <v>8</v>
          </cell>
          <cell r="K837" t="str">
            <v>PO</v>
          </cell>
          <cell r="L837" t="str">
            <v>CN</v>
          </cell>
          <cell r="M837">
            <v>8</v>
          </cell>
          <cell r="N837" t="str">
            <v>AL4</v>
          </cell>
          <cell r="O837">
            <v>8</v>
          </cell>
          <cell r="P837">
            <v>8</v>
          </cell>
          <cell r="Q837" t="str">
            <v>PO</v>
          </cell>
          <cell r="R837" t="str">
            <v>PO</v>
          </cell>
          <cell r="S837" t="str">
            <v>CN</v>
          </cell>
          <cell r="T837">
            <v>8</v>
          </cell>
          <cell r="U837">
            <v>8</v>
          </cell>
          <cell r="V837">
            <v>8</v>
          </cell>
          <cell r="W837">
            <v>8</v>
          </cell>
          <cell r="X837">
            <v>8</v>
          </cell>
          <cell r="Y837" t="str">
            <v>PO</v>
          </cell>
          <cell r="Z837" t="str">
            <v>CN</v>
          </cell>
          <cell r="AA837">
            <v>8</v>
          </cell>
          <cell r="AB837">
            <v>8</v>
          </cell>
          <cell r="AC837">
            <v>8</v>
          </cell>
          <cell r="AD837">
            <v>8</v>
          </cell>
          <cell r="AE837" t="str">
            <v>AL4</v>
          </cell>
          <cell r="AF837" t="str">
            <v>PO</v>
          </cell>
          <cell r="AG837" t="str">
            <v>CN</v>
          </cell>
          <cell r="AH837">
            <v>8</v>
          </cell>
          <cell r="AI837">
            <v>8</v>
          </cell>
          <cell r="AJ837">
            <v>8</v>
          </cell>
          <cell r="AN837">
            <v>0</v>
          </cell>
          <cell r="AO837">
            <v>144</v>
          </cell>
          <cell r="AP837">
            <v>8</v>
          </cell>
          <cell r="AQ837">
            <v>0</v>
          </cell>
          <cell r="AR837">
            <v>0</v>
          </cell>
          <cell r="AS837">
            <v>0</v>
          </cell>
          <cell r="AT837">
            <v>0</v>
          </cell>
          <cell r="AU837">
            <v>0</v>
          </cell>
          <cell r="AV837">
            <v>40</v>
          </cell>
          <cell r="AW837">
            <v>0</v>
          </cell>
          <cell r="AX837">
            <v>0</v>
          </cell>
          <cell r="AY837">
            <v>0</v>
          </cell>
          <cell r="AZ837">
            <v>0</v>
          </cell>
          <cell r="BA837">
            <v>8</v>
          </cell>
          <cell r="BB837">
            <v>0</v>
          </cell>
          <cell r="BC837">
            <v>0</v>
          </cell>
          <cell r="BD837">
            <v>0</v>
          </cell>
          <cell r="BE837">
            <v>0</v>
          </cell>
          <cell r="BF837">
            <v>0</v>
          </cell>
          <cell r="BG837">
            <v>192</v>
          </cell>
          <cell r="BH837">
            <v>1</v>
          </cell>
          <cell r="BI837">
            <v>1</v>
          </cell>
          <cell r="BJ837">
            <v>3</v>
          </cell>
          <cell r="BL837">
            <v>0</v>
          </cell>
          <cell r="BM837">
            <v>0</v>
          </cell>
          <cell r="BN837">
            <v>0</v>
          </cell>
          <cell r="BO837">
            <v>0</v>
          </cell>
          <cell r="BP837">
            <v>0</v>
          </cell>
          <cell r="BQ837">
            <v>0</v>
          </cell>
          <cell r="BR837">
            <v>0</v>
          </cell>
          <cell r="BS837">
            <v>0</v>
          </cell>
          <cell r="BT837">
            <v>0</v>
          </cell>
          <cell r="BU837">
            <v>0</v>
          </cell>
          <cell r="BV837">
            <v>0</v>
          </cell>
          <cell r="BW837">
            <v>0</v>
          </cell>
          <cell r="BX837">
            <v>0</v>
          </cell>
          <cell r="BY837">
            <v>0</v>
          </cell>
          <cell r="BZ837">
            <v>0</v>
          </cell>
          <cell r="CA837">
            <v>0</v>
          </cell>
          <cell r="CB837">
            <v>0</v>
          </cell>
          <cell r="CC837">
            <v>0</v>
          </cell>
          <cell r="CD837">
            <v>0</v>
          </cell>
          <cell r="CE837">
            <v>0</v>
          </cell>
          <cell r="CF837">
            <v>0</v>
          </cell>
          <cell r="CG837">
            <v>0</v>
          </cell>
          <cell r="CH837">
            <v>0</v>
          </cell>
          <cell r="CI837">
            <v>0</v>
          </cell>
          <cell r="CJ837">
            <v>0</v>
          </cell>
          <cell r="CK837">
            <v>0</v>
          </cell>
          <cell r="CL837">
            <v>0</v>
          </cell>
          <cell r="CM837">
            <v>0</v>
          </cell>
          <cell r="CR837">
            <v>0</v>
          </cell>
          <cell r="CS837">
            <v>0</v>
          </cell>
          <cell r="CT837">
            <v>0</v>
          </cell>
          <cell r="CU837">
            <v>0</v>
          </cell>
          <cell r="CV837">
            <v>0</v>
          </cell>
          <cell r="CZ837">
            <v>0</v>
          </cell>
        </row>
        <row r="838">
          <cell r="C838" t="str">
            <v>03666</v>
          </cell>
          <cell r="D838" t="str">
            <v>Nguyễn Đặng Thị Kiều Trang</v>
          </cell>
          <cell r="E838" t="str">
            <v>Production</v>
          </cell>
          <cell r="F838" t="str">
            <v>Logo</v>
          </cell>
          <cell r="G838" t="str">
            <v>Worker</v>
          </cell>
          <cell r="H838">
            <v>44816</v>
          </cell>
          <cell r="I838">
            <v>8</v>
          </cell>
          <cell r="J838" t="str">
            <v>AL8</v>
          </cell>
          <cell r="K838">
            <v>8</v>
          </cell>
          <cell r="L838" t="str">
            <v>CN</v>
          </cell>
          <cell r="M838" t="str">
            <v>SL</v>
          </cell>
          <cell r="N838" t="str">
            <v>Đ</v>
          </cell>
          <cell r="O838" t="str">
            <v>Đ</v>
          </cell>
          <cell r="P838" t="str">
            <v>Đ</v>
          </cell>
          <cell r="Q838" t="str">
            <v>Đ</v>
          </cell>
          <cell r="R838" t="str">
            <v>Đ</v>
          </cell>
          <cell r="S838" t="str">
            <v>CN</v>
          </cell>
          <cell r="T838">
            <v>8</v>
          </cell>
          <cell r="U838" t="str">
            <v>AL4</v>
          </cell>
          <cell r="V838">
            <v>8</v>
          </cell>
          <cell r="W838">
            <v>8</v>
          </cell>
          <cell r="X838">
            <v>8</v>
          </cell>
          <cell r="Y838">
            <v>8</v>
          </cell>
          <cell r="Z838" t="str">
            <v>CN</v>
          </cell>
          <cell r="AA838" t="str">
            <v>Đ</v>
          </cell>
          <cell r="AB838" t="str">
            <v>Đ</v>
          </cell>
          <cell r="AC838" t="str">
            <v>Đ</v>
          </cell>
          <cell r="AD838" t="str">
            <v>Đ</v>
          </cell>
          <cell r="AE838" t="str">
            <v>Đ</v>
          </cell>
          <cell r="AF838" t="str">
            <v>Đ</v>
          </cell>
          <cell r="AG838" t="str">
            <v>CN</v>
          </cell>
          <cell r="AH838">
            <v>8</v>
          </cell>
          <cell r="AI838">
            <v>8</v>
          </cell>
          <cell r="AJ838">
            <v>8</v>
          </cell>
          <cell r="AN838">
            <v>88</v>
          </cell>
          <cell r="AO838">
            <v>84</v>
          </cell>
          <cell r="AP838">
            <v>4</v>
          </cell>
          <cell r="AQ838">
            <v>1</v>
          </cell>
          <cell r="AR838">
            <v>0</v>
          </cell>
          <cell r="AS838">
            <v>0</v>
          </cell>
          <cell r="AT838">
            <v>0</v>
          </cell>
          <cell r="AU838">
            <v>0</v>
          </cell>
          <cell r="AV838">
            <v>0</v>
          </cell>
          <cell r="AW838">
            <v>0</v>
          </cell>
          <cell r="AX838">
            <v>0</v>
          </cell>
          <cell r="AY838">
            <v>0</v>
          </cell>
          <cell r="AZ838">
            <v>0</v>
          </cell>
          <cell r="BA838">
            <v>12</v>
          </cell>
          <cell r="BB838">
            <v>0</v>
          </cell>
          <cell r="BC838">
            <v>0</v>
          </cell>
          <cell r="BD838">
            <v>0</v>
          </cell>
          <cell r="BE838">
            <v>0</v>
          </cell>
          <cell r="BF838">
            <v>0</v>
          </cell>
          <cell r="BG838">
            <v>184</v>
          </cell>
          <cell r="BH838">
            <v>1.5</v>
          </cell>
          <cell r="BI838">
            <v>1.5</v>
          </cell>
          <cell r="BJ838">
            <v>1</v>
          </cell>
          <cell r="BL838">
            <v>0</v>
          </cell>
          <cell r="BM838">
            <v>0</v>
          </cell>
          <cell r="BN838">
            <v>0</v>
          </cell>
          <cell r="BO838">
            <v>0</v>
          </cell>
          <cell r="BP838">
            <v>0</v>
          </cell>
          <cell r="BQ838">
            <v>0</v>
          </cell>
          <cell r="BR838">
            <v>0</v>
          </cell>
          <cell r="BS838">
            <v>4</v>
          </cell>
          <cell r="BT838">
            <v>4</v>
          </cell>
          <cell r="BU838">
            <v>4</v>
          </cell>
          <cell r="BV838">
            <v>0</v>
          </cell>
          <cell r="BW838">
            <v>3</v>
          </cell>
          <cell r="BX838">
            <v>2</v>
          </cell>
          <cell r="BY838">
            <v>3</v>
          </cell>
          <cell r="BZ838">
            <v>3</v>
          </cell>
          <cell r="CA838">
            <v>3</v>
          </cell>
          <cell r="CB838">
            <v>3</v>
          </cell>
          <cell r="CC838">
            <v>8</v>
          </cell>
          <cell r="CD838">
            <v>4</v>
          </cell>
          <cell r="CE838">
            <v>4</v>
          </cell>
          <cell r="CF838">
            <v>4</v>
          </cell>
          <cell r="CG838">
            <v>4</v>
          </cell>
          <cell r="CH838">
            <v>4</v>
          </cell>
          <cell r="CI838">
            <v>4</v>
          </cell>
          <cell r="CJ838">
            <v>0</v>
          </cell>
          <cell r="CK838">
            <v>3</v>
          </cell>
          <cell r="CL838">
            <v>2</v>
          </cell>
          <cell r="CM838">
            <v>3</v>
          </cell>
          <cell r="CR838">
            <v>0</v>
          </cell>
          <cell r="CS838">
            <v>0</v>
          </cell>
          <cell r="CT838">
            <v>61</v>
          </cell>
          <cell r="CU838">
            <v>8</v>
          </cell>
          <cell r="CV838">
            <v>0</v>
          </cell>
          <cell r="CZ838">
            <v>69</v>
          </cell>
        </row>
        <row r="839">
          <cell r="C839" t="str">
            <v>04329</v>
          </cell>
          <cell r="D839" t="str">
            <v>Nguyễn Tất Thành</v>
          </cell>
          <cell r="E839" t="str">
            <v>Production</v>
          </cell>
          <cell r="F839" t="str">
            <v>Lamination</v>
          </cell>
          <cell r="G839" t="str">
            <v>Worker</v>
          </cell>
          <cell r="H839">
            <v>45594</v>
          </cell>
          <cell r="I839">
            <v>8</v>
          </cell>
          <cell r="J839">
            <v>8</v>
          </cell>
          <cell r="K839">
            <v>8</v>
          </cell>
          <cell r="L839" t="str">
            <v>CN</v>
          </cell>
          <cell r="M839" t="str">
            <v>AL8</v>
          </cell>
          <cell r="N839" t="str">
            <v>UP8</v>
          </cell>
          <cell r="O839" t="str">
            <v>Đ</v>
          </cell>
          <cell r="P839" t="str">
            <v>Đ</v>
          </cell>
          <cell r="Q839" t="str">
            <v>Đ</v>
          </cell>
          <cell r="R839" t="str">
            <v>Đ</v>
          </cell>
          <cell r="S839" t="str">
            <v>CN</v>
          </cell>
          <cell r="T839">
            <v>8</v>
          </cell>
          <cell r="U839">
            <v>8</v>
          </cell>
          <cell r="V839">
            <v>8</v>
          </cell>
          <cell r="W839">
            <v>8</v>
          </cell>
          <cell r="X839">
            <v>8</v>
          </cell>
          <cell r="Y839" t="str">
            <v>Đ</v>
          </cell>
          <cell r="Z839" t="str">
            <v>CN</v>
          </cell>
          <cell r="AA839">
            <v>8</v>
          </cell>
          <cell r="AB839">
            <v>8</v>
          </cell>
          <cell r="AC839">
            <v>8</v>
          </cell>
          <cell r="AD839">
            <v>8</v>
          </cell>
          <cell r="AE839" t="str">
            <v>Đ</v>
          </cell>
          <cell r="AF839" t="str">
            <v>Đ</v>
          </cell>
          <cell r="AG839" t="str">
            <v>CN</v>
          </cell>
          <cell r="AH839">
            <v>8</v>
          </cell>
          <cell r="AI839">
            <v>8</v>
          </cell>
          <cell r="AJ839">
            <v>8</v>
          </cell>
          <cell r="AN839">
            <v>56</v>
          </cell>
          <cell r="AO839">
            <v>120</v>
          </cell>
          <cell r="AP839">
            <v>0</v>
          </cell>
          <cell r="AQ839">
            <v>0</v>
          </cell>
          <cell r="AR839">
            <v>0</v>
          </cell>
          <cell r="AS839">
            <v>8</v>
          </cell>
          <cell r="AT839">
            <v>0</v>
          </cell>
          <cell r="AU839">
            <v>0</v>
          </cell>
          <cell r="AV839">
            <v>0</v>
          </cell>
          <cell r="AW839">
            <v>0</v>
          </cell>
          <cell r="AX839">
            <v>0</v>
          </cell>
          <cell r="AY839">
            <v>0</v>
          </cell>
          <cell r="AZ839">
            <v>0</v>
          </cell>
          <cell r="BA839">
            <v>8</v>
          </cell>
          <cell r="BB839">
            <v>0</v>
          </cell>
          <cell r="BC839">
            <v>0</v>
          </cell>
          <cell r="BD839">
            <v>0</v>
          </cell>
          <cell r="BE839">
            <v>0</v>
          </cell>
          <cell r="BF839">
            <v>0</v>
          </cell>
          <cell r="BG839">
            <v>184</v>
          </cell>
          <cell r="BH839">
            <v>1</v>
          </cell>
          <cell r="BI839">
            <v>1</v>
          </cell>
          <cell r="BJ839">
            <v>0</v>
          </cell>
          <cell r="BL839">
            <v>0</v>
          </cell>
          <cell r="BM839">
            <v>0</v>
          </cell>
          <cell r="BN839">
            <v>0</v>
          </cell>
          <cell r="BO839">
            <v>0</v>
          </cell>
          <cell r="BP839">
            <v>0</v>
          </cell>
          <cell r="BQ839">
            <v>0</v>
          </cell>
          <cell r="BR839">
            <v>0</v>
          </cell>
          <cell r="BS839">
            <v>0</v>
          </cell>
          <cell r="BT839">
            <v>0</v>
          </cell>
          <cell r="BU839">
            <v>0</v>
          </cell>
          <cell r="BV839">
            <v>0</v>
          </cell>
          <cell r="BW839">
            <v>0</v>
          </cell>
          <cell r="BX839">
            <v>0</v>
          </cell>
          <cell r="BY839">
            <v>0</v>
          </cell>
          <cell r="BZ839">
            <v>0</v>
          </cell>
          <cell r="CA839">
            <v>4</v>
          </cell>
          <cell r="CB839">
            <v>4</v>
          </cell>
          <cell r="CC839">
            <v>0</v>
          </cell>
          <cell r="CD839">
            <v>0</v>
          </cell>
          <cell r="CE839">
            <v>0</v>
          </cell>
          <cell r="CF839">
            <v>0</v>
          </cell>
          <cell r="CG839">
            <v>4</v>
          </cell>
          <cell r="CH839">
            <v>4</v>
          </cell>
          <cell r="CI839">
            <v>4</v>
          </cell>
          <cell r="CJ839">
            <v>0</v>
          </cell>
          <cell r="CK839">
            <v>4</v>
          </cell>
          <cell r="CL839">
            <v>0</v>
          </cell>
          <cell r="CM839">
            <v>0</v>
          </cell>
          <cell r="CR839">
            <v>0</v>
          </cell>
          <cell r="CS839">
            <v>0</v>
          </cell>
          <cell r="CT839">
            <v>24</v>
          </cell>
          <cell r="CU839">
            <v>0</v>
          </cell>
          <cell r="CV839">
            <v>0</v>
          </cell>
          <cell r="CZ839">
            <v>24</v>
          </cell>
        </row>
        <row r="840">
          <cell r="C840" t="str">
            <v>04330</v>
          </cell>
          <cell r="D840" t="str">
            <v>Võ Bá Thủy</v>
          </cell>
          <cell r="E840" t="str">
            <v>Production</v>
          </cell>
          <cell r="F840" t="str">
            <v>Molding</v>
          </cell>
          <cell r="G840" t="str">
            <v>Worker</v>
          </cell>
          <cell r="H840">
            <v>45594</v>
          </cell>
          <cell r="I840">
            <v>8</v>
          </cell>
          <cell r="J840" t="str">
            <v>CN</v>
          </cell>
          <cell r="K840" t="str">
            <v>Đ</v>
          </cell>
          <cell r="L840" t="str">
            <v>Đ</v>
          </cell>
          <cell r="M840" t="str">
            <v>Đ</v>
          </cell>
          <cell r="N840" t="str">
            <v>Đ</v>
          </cell>
          <cell r="O840" t="str">
            <v>Đ</v>
          </cell>
          <cell r="P840" t="str">
            <v>Đ</v>
          </cell>
          <cell r="Q840" t="str">
            <v>CN</v>
          </cell>
          <cell r="R840">
            <v>8</v>
          </cell>
          <cell r="S840">
            <v>8</v>
          </cell>
          <cell r="T840">
            <v>8</v>
          </cell>
          <cell r="U840">
            <v>8</v>
          </cell>
          <cell r="V840">
            <v>8</v>
          </cell>
          <cell r="W840" t="str">
            <v>AL8</v>
          </cell>
          <cell r="X840" t="str">
            <v>CN</v>
          </cell>
          <cell r="Y840" t="str">
            <v>Đ</v>
          </cell>
          <cell r="Z840" t="str">
            <v>Đ</v>
          </cell>
          <cell r="AA840" t="str">
            <v>Đ</v>
          </cell>
          <cell r="AB840" t="str">
            <v>Đ</v>
          </cell>
          <cell r="AC840" t="str">
            <v>Đ</v>
          </cell>
          <cell r="AD840" t="str">
            <v>Đ</v>
          </cell>
          <cell r="AE840" t="str">
            <v>CN</v>
          </cell>
          <cell r="AF840">
            <v>8</v>
          </cell>
          <cell r="AG840">
            <v>8</v>
          </cell>
          <cell r="AH840">
            <v>8</v>
          </cell>
          <cell r="AI840">
            <v>8</v>
          </cell>
          <cell r="AJ840">
            <v>8</v>
          </cell>
          <cell r="AN840">
            <v>96</v>
          </cell>
          <cell r="AO840">
            <v>88</v>
          </cell>
          <cell r="AP840">
            <v>0</v>
          </cell>
          <cell r="AQ840">
            <v>0</v>
          </cell>
          <cell r="AR840">
            <v>0</v>
          </cell>
          <cell r="AS840">
            <v>0</v>
          </cell>
          <cell r="AT840">
            <v>0</v>
          </cell>
          <cell r="AU840">
            <v>0</v>
          </cell>
          <cell r="AV840">
            <v>0</v>
          </cell>
          <cell r="AW840">
            <v>0</v>
          </cell>
          <cell r="AX840">
            <v>0</v>
          </cell>
          <cell r="AY840">
            <v>0</v>
          </cell>
          <cell r="AZ840">
            <v>0</v>
          </cell>
          <cell r="BA840">
            <v>8</v>
          </cell>
          <cell r="BB840">
            <v>0</v>
          </cell>
          <cell r="BC840">
            <v>0</v>
          </cell>
          <cell r="BD840">
            <v>0</v>
          </cell>
          <cell r="BE840">
            <v>0</v>
          </cell>
          <cell r="BF840">
            <v>0</v>
          </cell>
          <cell r="BG840">
            <v>192</v>
          </cell>
          <cell r="BH840">
            <v>1</v>
          </cell>
          <cell r="BI840">
            <v>1</v>
          </cell>
          <cell r="BJ840">
            <v>0.5</v>
          </cell>
          <cell r="BL840">
            <v>0</v>
          </cell>
          <cell r="BM840">
            <v>0</v>
          </cell>
          <cell r="BN840">
            <v>0</v>
          </cell>
          <cell r="BO840">
            <v>4</v>
          </cell>
          <cell r="BP840">
            <v>0</v>
          </cell>
          <cell r="BQ840">
            <v>4</v>
          </cell>
          <cell r="BR840">
            <v>0</v>
          </cell>
          <cell r="BS840">
            <v>0</v>
          </cell>
          <cell r="BT840">
            <v>0</v>
          </cell>
          <cell r="BU840">
            <v>4</v>
          </cell>
          <cell r="BV840">
            <v>4</v>
          </cell>
          <cell r="BW840">
            <v>4</v>
          </cell>
          <cell r="BX840">
            <v>0</v>
          </cell>
          <cell r="BY840">
            <v>0</v>
          </cell>
          <cell r="BZ840">
            <v>0</v>
          </cell>
          <cell r="CA840">
            <v>0</v>
          </cell>
          <cell r="CB840">
            <v>4</v>
          </cell>
          <cell r="CC840">
            <v>4</v>
          </cell>
          <cell r="CD840">
            <v>4</v>
          </cell>
          <cell r="CE840">
            <v>0</v>
          </cell>
          <cell r="CF840">
            <v>0</v>
          </cell>
          <cell r="CG840">
            <v>0</v>
          </cell>
          <cell r="CH840">
            <v>0</v>
          </cell>
          <cell r="CI840">
            <v>4</v>
          </cell>
          <cell r="CJ840">
            <v>4</v>
          </cell>
          <cell r="CK840">
            <v>0</v>
          </cell>
          <cell r="CL840">
            <v>0</v>
          </cell>
          <cell r="CM840">
            <v>0</v>
          </cell>
          <cell r="CR840">
            <v>0</v>
          </cell>
          <cell r="CS840">
            <v>0</v>
          </cell>
          <cell r="CT840">
            <v>40</v>
          </cell>
          <cell r="CU840">
            <v>0</v>
          </cell>
          <cell r="CV840">
            <v>0</v>
          </cell>
          <cell r="CZ840">
            <v>40</v>
          </cell>
        </row>
        <row r="841">
          <cell r="C841" t="str">
            <v>04334</v>
          </cell>
          <cell r="D841" t="str">
            <v>Huỳnh Thị Bích Tiền</v>
          </cell>
          <cell r="E841" t="str">
            <v>Production</v>
          </cell>
          <cell r="F841" t="str">
            <v>Molding</v>
          </cell>
          <cell r="G841" t="str">
            <v>Worker</v>
          </cell>
          <cell r="H841">
            <v>45594</v>
          </cell>
          <cell r="I841">
            <v>8</v>
          </cell>
          <cell r="J841" t="str">
            <v>CN</v>
          </cell>
          <cell r="K841" t="str">
            <v>Đ</v>
          </cell>
          <cell r="L841" t="str">
            <v>Đ</v>
          </cell>
          <cell r="M841" t="str">
            <v>Đ</v>
          </cell>
          <cell r="N841" t="str">
            <v>Đ</v>
          </cell>
          <cell r="O841" t="str">
            <v>Đ</v>
          </cell>
          <cell r="P841" t="str">
            <v>Đ</v>
          </cell>
          <cell r="Q841" t="str">
            <v>CN</v>
          </cell>
          <cell r="R841">
            <v>8</v>
          </cell>
          <cell r="S841">
            <v>8</v>
          </cell>
          <cell r="T841">
            <v>8</v>
          </cell>
          <cell r="U841">
            <v>8</v>
          </cell>
          <cell r="V841">
            <v>8</v>
          </cell>
          <cell r="W841">
            <v>8</v>
          </cell>
          <cell r="X841" t="str">
            <v>CN</v>
          </cell>
          <cell r="Y841" t="str">
            <v>Đ</v>
          </cell>
          <cell r="Z841" t="str">
            <v>Đ</v>
          </cell>
          <cell r="AA841" t="str">
            <v>Đ</v>
          </cell>
          <cell r="AB841" t="str">
            <v>Đ</v>
          </cell>
          <cell r="AC841" t="str">
            <v>Đ</v>
          </cell>
          <cell r="AD841" t="str">
            <v>Đ</v>
          </cell>
          <cell r="AE841" t="str">
            <v>CN</v>
          </cell>
          <cell r="AF841" t="str">
            <v>NP</v>
          </cell>
          <cell r="AG841" t="str">
            <v>NP</v>
          </cell>
          <cell r="AH841" t="str">
            <v>NP</v>
          </cell>
          <cell r="AI841" t="str">
            <v>NP</v>
          </cell>
          <cell r="AJ841" t="str">
            <v>NP</v>
          </cell>
          <cell r="AN841">
            <v>96</v>
          </cell>
          <cell r="AO841">
            <v>56</v>
          </cell>
          <cell r="AP841">
            <v>0</v>
          </cell>
          <cell r="AQ841">
            <v>0</v>
          </cell>
          <cell r="AR841">
            <v>0</v>
          </cell>
          <cell r="AS841">
            <v>0</v>
          </cell>
          <cell r="AT841">
            <v>5</v>
          </cell>
          <cell r="AU841">
            <v>0</v>
          </cell>
          <cell r="AV841">
            <v>0</v>
          </cell>
          <cell r="AW841">
            <v>0</v>
          </cell>
          <cell r="AX841">
            <v>0</v>
          </cell>
          <cell r="AY841">
            <v>0</v>
          </cell>
          <cell r="AZ841">
            <v>0</v>
          </cell>
          <cell r="BA841">
            <v>0</v>
          </cell>
          <cell r="BB841">
            <v>0</v>
          </cell>
          <cell r="BC841">
            <v>0</v>
          </cell>
          <cell r="BD841">
            <v>0</v>
          </cell>
          <cell r="BE841">
            <v>0</v>
          </cell>
          <cell r="BF841">
            <v>0</v>
          </cell>
          <cell r="BG841">
            <v>152</v>
          </cell>
          <cell r="BH841">
            <v>0</v>
          </cell>
          <cell r="BI841">
            <v>0</v>
          </cell>
          <cell r="BJ841">
            <v>-2</v>
          </cell>
          <cell r="BL841">
            <v>0</v>
          </cell>
          <cell r="BM841">
            <v>0</v>
          </cell>
          <cell r="BN841">
            <v>0</v>
          </cell>
          <cell r="BO841">
            <v>4</v>
          </cell>
          <cell r="BP841">
            <v>0</v>
          </cell>
          <cell r="BQ841">
            <v>0</v>
          </cell>
          <cell r="BR841">
            <v>0</v>
          </cell>
          <cell r="BS841">
            <v>0</v>
          </cell>
          <cell r="BT841">
            <v>0</v>
          </cell>
          <cell r="BU841">
            <v>4</v>
          </cell>
          <cell r="BV841">
            <v>4</v>
          </cell>
          <cell r="BW841">
            <v>0</v>
          </cell>
          <cell r="BX841">
            <v>0</v>
          </cell>
          <cell r="BY841">
            <v>0</v>
          </cell>
          <cell r="BZ841">
            <v>0</v>
          </cell>
          <cell r="CA841">
            <v>0</v>
          </cell>
          <cell r="CB841">
            <v>4</v>
          </cell>
          <cell r="CC841">
            <v>4</v>
          </cell>
          <cell r="CD841">
            <v>0</v>
          </cell>
          <cell r="CE841">
            <v>0</v>
          </cell>
          <cell r="CF841">
            <v>0</v>
          </cell>
          <cell r="CG841">
            <v>0</v>
          </cell>
          <cell r="CH841">
            <v>0</v>
          </cell>
          <cell r="CI841">
            <v>0</v>
          </cell>
          <cell r="CJ841">
            <v>0</v>
          </cell>
          <cell r="CK841">
            <v>0</v>
          </cell>
          <cell r="CL841">
            <v>0</v>
          </cell>
          <cell r="CM841">
            <v>0</v>
          </cell>
          <cell r="CR841">
            <v>0</v>
          </cell>
          <cell r="CS841">
            <v>0</v>
          </cell>
          <cell r="CT841">
            <v>20</v>
          </cell>
          <cell r="CU841">
            <v>0</v>
          </cell>
          <cell r="CV841">
            <v>0</v>
          </cell>
          <cell r="CZ841">
            <v>20</v>
          </cell>
        </row>
        <row r="842">
          <cell r="C842" t="str">
            <v>04340</v>
          </cell>
          <cell r="D842" t="str">
            <v>Phạm Thị Minh Hiếu</v>
          </cell>
          <cell r="E842" t="str">
            <v>Warehouse</v>
          </cell>
          <cell r="F842" t="str">
            <v>FGS Warehouse</v>
          </cell>
          <cell r="G842" t="str">
            <v>Staff</v>
          </cell>
          <cell r="H842">
            <v>45594</v>
          </cell>
          <cell r="I842">
            <v>8</v>
          </cell>
          <cell r="J842">
            <v>8</v>
          </cell>
          <cell r="K842" t="str">
            <v>PO</v>
          </cell>
          <cell r="L842" t="str">
            <v>CN</v>
          </cell>
          <cell r="M842">
            <v>8</v>
          </cell>
          <cell r="N842">
            <v>8</v>
          </cell>
          <cell r="O842" t="str">
            <v>AL4</v>
          </cell>
          <cell r="P842" t="str">
            <v>AL4</v>
          </cell>
          <cell r="Q842">
            <v>8</v>
          </cell>
          <cell r="R842" t="str">
            <v>PO</v>
          </cell>
          <cell r="S842" t="str">
            <v>CN</v>
          </cell>
          <cell r="T842">
            <v>8</v>
          </cell>
          <cell r="U842">
            <v>8</v>
          </cell>
          <cell r="V842" t="str">
            <v>AL4</v>
          </cell>
          <cell r="W842">
            <v>8</v>
          </cell>
          <cell r="X842">
            <v>8</v>
          </cell>
          <cell r="Y842" t="str">
            <v>PO</v>
          </cell>
          <cell r="Z842" t="str">
            <v>CN</v>
          </cell>
          <cell r="AA842">
            <v>8</v>
          </cell>
          <cell r="AB842">
            <v>8</v>
          </cell>
          <cell r="AC842">
            <v>8</v>
          </cell>
          <cell r="AD842">
            <v>8</v>
          </cell>
          <cell r="AE842">
            <v>8</v>
          </cell>
          <cell r="AF842" t="str">
            <v>PO</v>
          </cell>
          <cell r="AG842" t="str">
            <v>CN</v>
          </cell>
          <cell r="AH842">
            <v>8</v>
          </cell>
          <cell r="AI842">
            <v>8</v>
          </cell>
          <cell r="AJ842">
            <v>8</v>
          </cell>
          <cell r="AN842">
            <v>0</v>
          </cell>
          <cell r="AO842">
            <v>148</v>
          </cell>
          <cell r="AP842">
            <v>12</v>
          </cell>
          <cell r="AQ842">
            <v>0</v>
          </cell>
          <cell r="AR842">
            <v>0</v>
          </cell>
          <cell r="AS842">
            <v>0</v>
          </cell>
          <cell r="AT842">
            <v>0</v>
          </cell>
          <cell r="AU842">
            <v>0</v>
          </cell>
          <cell r="AV842">
            <v>32</v>
          </cell>
          <cell r="AW842">
            <v>0</v>
          </cell>
          <cell r="AX842">
            <v>0</v>
          </cell>
          <cell r="AY842">
            <v>0</v>
          </cell>
          <cell r="AZ842">
            <v>0</v>
          </cell>
          <cell r="BA842">
            <v>12</v>
          </cell>
          <cell r="BB842">
            <v>0</v>
          </cell>
          <cell r="BC842">
            <v>0</v>
          </cell>
          <cell r="BD842">
            <v>0</v>
          </cell>
          <cell r="BE842">
            <v>0</v>
          </cell>
          <cell r="BF842">
            <v>0</v>
          </cell>
          <cell r="BG842">
            <v>192</v>
          </cell>
          <cell r="BH842">
            <v>1.5</v>
          </cell>
          <cell r="BI842">
            <v>1.5</v>
          </cell>
          <cell r="BJ842">
            <v>6.5</v>
          </cell>
          <cell r="BL842">
            <v>0.5</v>
          </cell>
          <cell r="BM842">
            <v>0.5</v>
          </cell>
          <cell r="BN842">
            <v>3</v>
          </cell>
          <cell r="BO842">
            <v>0</v>
          </cell>
          <cell r="BP842">
            <v>3</v>
          </cell>
          <cell r="BQ842">
            <v>1</v>
          </cell>
          <cell r="BR842">
            <v>0.5</v>
          </cell>
          <cell r="BS842">
            <v>0.5</v>
          </cell>
          <cell r="BT842">
            <v>0</v>
          </cell>
          <cell r="BU842">
            <v>0</v>
          </cell>
          <cell r="BV842">
            <v>0</v>
          </cell>
          <cell r="BW842">
            <v>2</v>
          </cell>
          <cell r="BX842">
            <v>2.5</v>
          </cell>
          <cell r="BY842">
            <v>1</v>
          </cell>
          <cell r="BZ842">
            <v>0.5</v>
          </cell>
          <cell r="CA842">
            <v>1</v>
          </cell>
          <cell r="CB842">
            <v>0</v>
          </cell>
          <cell r="CC842">
            <v>0</v>
          </cell>
          <cell r="CD842">
            <v>2</v>
          </cell>
          <cell r="CE842">
            <v>2</v>
          </cell>
          <cell r="CF842">
            <v>0.5</v>
          </cell>
          <cell r="CG842">
            <v>1.5</v>
          </cell>
          <cell r="CH842">
            <v>2</v>
          </cell>
          <cell r="CI842">
            <v>0</v>
          </cell>
          <cell r="CJ842">
            <v>0</v>
          </cell>
          <cell r="CK842">
            <v>3</v>
          </cell>
          <cell r="CL842">
            <v>2.5</v>
          </cell>
          <cell r="CM842">
            <v>0</v>
          </cell>
          <cell r="CR842">
            <v>0</v>
          </cell>
          <cell r="CS842">
            <v>0</v>
          </cell>
          <cell r="CT842">
            <v>29.5</v>
          </cell>
          <cell r="CU842">
            <v>0</v>
          </cell>
          <cell r="CV842">
            <v>0</v>
          </cell>
          <cell r="CZ842">
            <v>29.5</v>
          </cell>
        </row>
        <row r="843">
          <cell r="C843" t="str">
            <v>04341</v>
          </cell>
          <cell r="D843" t="str">
            <v>Lê Phúc Vinh</v>
          </cell>
          <cell r="E843" t="str">
            <v>COE</v>
          </cell>
          <cell r="F843" t="str">
            <v>COE</v>
          </cell>
          <cell r="G843" t="str">
            <v>Production Engineer</v>
          </cell>
          <cell r="H843">
            <v>45594</v>
          </cell>
          <cell r="I843">
            <v>8</v>
          </cell>
          <cell r="J843">
            <v>8</v>
          </cell>
          <cell r="K843" t="str">
            <v>PO</v>
          </cell>
          <cell r="L843" t="str">
            <v>CN</v>
          </cell>
          <cell r="M843">
            <v>8</v>
          </cell>
          <cell r="N843">
            <v>8</v>
          </cell>
          <cell r="O843">
            <v>8</v>
          </cell>
          <cell r="P843">
            <v>8</v>
          </cell>
          <cell r="Q843" t="str">
            <v>PO</v>
          </cell>
          <cell r="R843" t="str">
            <v>PO</v>
          </cell>
          <cell r="S843" t="str">
            <v>CN</v>
          </cell>
          <cell r="T843">
            <v>8</v>
          </cell>
          <cell r="U843">
            <v>8</v>
          </cell>
          <cell r="V843">
            <v>8</v>
          </cell>
          <cell r="W843">
            <v>8</v>
          </cell>
          <cell r="X843">
            <v>8</v>
          </cell>
          <cell r="Y843" t="str">
            <v>PO</v>
          </cell>
          <cell r="Z843" t="str">
            <v>CN</v>
          </cell>
          <cell r="AA843">
            <v>8</v>
          </cell>
          <cell r="AB843">
            <v>8</v>
          </cell>
          <cell r="AC843">
            <v>8</v>
          </cell>
          <cell r="AD843">
            <v>8</v>
          </cell>
          <cell r="AE843">
            <v>8</v>
          </cell>
          <cell r="AF843" t="str">
            <v>PO</v>
          </cell>
          <cell r="AG843" t="str">
            <v>CN</v>
          </cell>
          <cell r="AH843">
            <v>8</v>
          </cell>
          <cell r="AI843">
            <v>8</v>
          </cell>
          <cell r="AJ843">
            <v>8</v>
          </cell>
          <cell r="AN843">
            <v>0</v>
          </cell>
          <cell r="AO843">
            <v>152</v>
          </cell>
          <cell r="AP843">
            <v>0</v>
          </cell>
          <cell r="AQ843">
            <v>0</v>
          </cell>
          <cell r="AR843">
            <v>0</v>
          </cell>
          <cell r="AS843">
            <v>0</v>
          </cell>
          <cell r="AT843">
            <v>0</v>
          </cell>
          <cell r="AU843">
            <v>0</v>
          </cell>
          <cell r="AV843">
            <v>40</v>
          </cell>
          <cell r="AW843">
            <v>0</v>
          </cell>
          <cell r="AX843">
            <v>0</v>
          </cell>
          <cell r="AY843">
            <v>0</v>
          </cell>
          <cell r="AZ843">
            <v>0</v>
          </cell>
          <cell r="BA843">
            <v>0</v>
          </cell>
          <cell r="BB843">
            <v>0</v>
          </cell>
          <cell r="BC843">
            <v>0</v>
          </cell>
          <cell r="BD843">
            <v>0</v>
          </cell>
          <cell r="BE843">
            <v>0</v>
          </cell>
          <cell r="BF843">
            <v>0</v>
          </cell>
          <cell r="BG843">
            <v>192</v>
          </cell>
          <cell r="BH843">
            <v>0</v>
          </cell>
          <cell r="BI843">
            <v>0</v>
          </cell>
          <cell r="BJ843">
            <v>9</v>
          </cell>
          <cell r="BL843">
            <v>0</v>
          </cell>
          <cell r="BM843">
            <v>0</v>
          </cell>
          <cell r="BN843">
            <v>0</v>
          </cell>
          <cell r="BO843">
            <v>0</v>
          </cell>
          <cell r="BP843">
            <v>0</v>
          </cell>
          <cell r="BQ843">
            <v>0</v>
          </cell>
          <cell r="BR843">
            <v>0</v>
          </cell>
          <cell r="BS843">
            <v>0</v>
          </cell>
          <cell r="BT843">
            <v>0</v>
          </cell>
          <cell r="BU843">
            <v>0</v>
          </cell>
          <cell r="BV843">
            <v>0</v>
          </cell>
          <cell r="BW843">
            <v>0</v>
          </cell>
          <cell r="BX843">
            <v>0</v>
          </cell>
          <cell r="BY843">
            <v>0</v>
          </cell>
          <cell r="BZ843">
            <v>0</v>
          </cell>
          <cell r="CA843">
            <v>0</v>
          </cell>
          <cell r="CB843">
            <v>0</v>
          </cell>
          <cell r="CC843">
            <v>8</v>
          </cell>
          <cell r="CD843">
            <v>0</v>
          </cell>
          <cell r="CE843">
            <v>0</v>
          </cell>
          <cell r="CF843">
            <v>0</v>
          </cell>
          <cell r="CG843">
            <v>0</v>
          </cell>
          <cell r="CH843">
            <v>0</v>
          </cell>
          <cell r="CI843">
            <v>0</v>
          </cell>
          <cell r="CJ843">
            <v>0</v>
          </cell>
          <cell r="CK843">
            <v>0</v>
          </cell>
          <cell r="CL843">
            <v>0</v>
          </cell>
          <cell r="CM843">
            <v>0</v>
          </cell>
          <cell r="CR843">
            <v>0</v>
          </cell>
          <cell r="CS843">
            <v>0</v>
          </cell>
          <cell r="CT843">
            <v>0</v>
          </cell>
          <cell r="CU843">
            <v>8</v>
          </cell>
          <cell r="CV843">
            <v>0</v>
          </cell>
          <cell r="CZ843">
            <v>8</v>
          </cell>
        </row>
        <row r="844">
          <cell r="C844" t="str">
            <v>04343</v>
          </cell>
          <cell r="D844" t="str">
            <v>Nguyễn Thị Phương</v>
          </cell>
          <cell r="E844" t="str">
            <v>Production office</v>
          </cell>
          <cell r="F844" t="str">
            <v>Production office</v>
          </cell>
          <cell r="G844" t="str">
            <v>Staff</v>
          </cell>
          <cell r="H844">
            <v>45600</v>
          </cell>
          <cell r="I844">
            <v>8</v>
          </cell>
          <cell r="J844">
            <v>8</v>
          </cell>
          <cell r="K844" t="str">
            <v>PO</v>
          </cell>
          <cell r="L844" t="str">
            <v>CN</v>
          </cell>
          <cell r="M844">
            <v>8</v>
          </cell>
          <cell r="N844">
            <v>8</v>
          </cell>
          <cell r="O844">
            <v>8</v>
          </cell>
          <cell r="P844">
            <v>8</v>
          </cell>
          <cell r="Q844">
            <v>8</v>
          </cell>
          <cell r="R844" t="str">
            <v>PO</v>
          </cell>
          <cell r="S844" t="str">
            <v>CN</v>
          </cell>
          <cell r="T844">
            <v>8</v>
          </cell>
          <cell r="U844">
            <v>8</v>
          </cell>
          <cell r="V844">
            <v>8</v>
          </cell>
          <cell r="W844">
            <v>8</v>
          </cell>
          <cell r="X844">
            <v>8</v>
          </cell>
          <cell r="Y844" t="str">
            <v>PO</v>
          </cell>
          <cell r="Z844" t="str">
            <v>CN</v>
          </cell>
          <cell r="AA844">
            <v>8</v>
          </cell>
          <cell r="AB844">
            <v>8</v>
          </cell>
          <cell r="AC844">
            <v>8</v>
          </cell>
          <cell r="AD844">
            <v>8</v>
          </cell>
          <cell r="AE844">
            <v>8</v>
          </cell>
          <cell r="AF844" t="str">
            <v>PO</v>
          </cell>
          <cell r="AG844" t="str">
            <v>CN</v>
          </cell>
          <cell r="AH844">
            <v>8</v>
          </cell>
          <cell r="AI844">
            <v>8</v>
          </cell>
          <cell r="AJ844">
            <v>8</v>
          </cell>
          <cell r="AN844">
            <v>0</v>
          </cell>
          <cell r="AO844">
            <v>160</v>
          </cell>
          <cell r="AP844">
            <v>0</v>
          </cell>
          <cell r="AQ844">
            <v>0</v>
          </cell>
          <cell r="AR844">
            <v>0</v>
          </cell>
          <cell r="AS844">
            <v>0</v>
          </cell>
          <cell r="AT844">
            <v>0</v>
          </cell>
          <cell r="AU844">
            <v>0</v>
          </cell>
          <cell r="AV844">
            <v>32</v>
          </cell>
          <cell r="AW844">
            <v>0</v>
          </cell>
          <cell r="AX844">
            <v>0</v>
          </cell>
          <cell r="AY844">
            <v>0</v>
          </cell>
          <cell r="AZ844">
            <v>0</v>
          </cell>
          <cell r="BA844">
            <v>0</v>
          </cell>
          <cell r="BB844">
            <v>0</v>
          </cell>
          <cell r="BC844">
            <v>0</v>
          </cell>
          <cell r="BD844">
            <v>0</v>
          </cell>
          <cell r="BE844">
            <v>0</v>
          </cell>
          <cell r="BF844">
            <v>0</v>
          </cell>
          <cell r="BG844">
            <v>192</v>
          </cell>
          <cell r="BH844">
            <v>0</v>
          </cell>
          <cell r="BI844">
            <v>0</v>
          </cell>
          <cell r="BJ844">
            <v>2.5</v>
          </cell>
          <cell r="BL844">
            <v>0</v>
          </cell>
          <cell r="BM844">
            <v>0</v>
          </cell>
          <cell r="BN844">
            <v>0</v>
          </cell>
          <cell r="BO844">
            <v>0</v>
          </cell>
          <cell r="BP844">
            <v>0</v>
          </cell>
          <cell r="BQ844">
            <v>2.5</v>
          </cell>
          <cell r="BR844">
            <v>0</v>
          </cell>
          <cell r="BS844">
            <v>0</v>
          </cell>
          <cell r="BT844">
            <v>0</v>
          </cell>
          <cell r="BU844">
            <v>0</v>
          </cell>
          <cell r="BV844">
            <v>0</v>
          </cell>
          <cell r="BW844">
            <v>3</v>
          </cell>
          <cell r="BX844">
            <v>0</v>
          </cell>
          <cell r="BY844">
            <v>0</v>
          </cell>
          <cell r="BZ844">
            <v>0</v>
          </cell>
          <cell r="CA844">
            <v>0</v>
          </cell>
          <cell r="CB844">
            <v>0</v>
          </cell>
          <cell r="CC844">
            <v>0</v>
          </cell>
          <cell r="CD844">
            <v>0</v>
          </cell>
          <cell r="CE844">
            <v>0</v>
          </cell>
          <cell r="CF844">
            <v>0</v>
          </cell>
          <cell r="CG844">
            <v>0</v>
          </cell>
          <cell r="CH844">
            <v>0</v>
          </cell>
          <cell r="CI844">
            <v>0</v>
          </cell>
          <cell r="CJ844">
            <v>0</v>
          </cell>
          <cell r="CK844">
            <v>0</v>
          </cell>
          <cell r="CL844">
            <v>0</v>
          </cell>
          <cell r="CM844">
            <v>0</v>
          </cell>
          <cell r="CR844">
            <v>0</v>
          </cell>
          <cell r="CS844">
            <v>0</v>
          </cell>
          <cell r="CT844">
            <v>5.5</v>
          </cell>
          <cell r="CU844">
            <v>0</v>
          </cell>
          <cell r="CV844">
            <v>0</v>
          </cell>
          <cell r="CZ844">
            <v>5.5</v>
          </cell>
        </row>
        <row r="845">
          <cell r="C845" t="str">
            <v>04345</v>
          </cell>
          <cell r="D845" t="str">
            <v>Nguyễn Hoàng Long</v>
          </cell>
          <cell r="E845" t="str">
            <v xml:space="preserve">EHS &amp; Facilities </v>
          </cell>
          <cell r="F845" t="str">
            <v>Maintenance</v>
          </cell>
          <cell r="G845" t="str">
            <v>Automation Engineer</v>
          </cell>
          <cell r="H845">
            <v>45607</v>
          </cell>
          <cell r="I845">
            <v>8</v>
          </cell>
          <cell r="J845">
            <v>8</v>
          </cell>
          <cell r="K845" t="str">
            <v>PO</v>
          </cell>
          <cell r="L845" t="str">
            <v>CN</v>
          </cell>
          <cell r="M845">
            <v>8</v>
          </cell>
          <cell r="N845">
            <v>8</v>
          </cell>
          <cell r="O845">
            <v>8</v>
          </cell>
          <cell r="P845">
            <v>8</v>
          </cell>
          <cell r="Q845" t="str">
            <v>PO</v>
          </cell>
          <cell r="R845" t="str">
            <v>PO</v>
          </cell>
          <cell r="S845" t="str">
            <v>CN</v>
          </cell>
          <cell r="T845">
            <v>8</v>
          </cell>
          <cell r="U845">
            <v>8</v>
          </cell>
          <cell r="V845">
            <v>8</v>
          </cell>
          <cell r="W845">
            <v>8</v>
          </cell>
          <cell r="X845" t="str">
            <v>AL8</v>
          </cell>
          <cell r="Y845" t="str">
            <v>PO</v>
          </cell>
          <cell r="Z845" t="str">
            <v>CN</v>
          </cell>
          <cell r="AA845">
            <v>8</v>
          </cell>
          <cell r="AB845">
            <v>8</v>
          </cell>
          <cell r="AC845" t="str">
            <v>BS</v>
          </cell>
          <cell r="AD845">
            <v>8</v>
          </cell>
          <cell r="AE845">
            <v>8</v>
          </cell>
          <cell r="AF845" t="str">
            <v>PO</v>
          </cell>
          <cell r="AG845" t="str">
            <v>CN</v>
          </cell>
          <cell r="AH845">
            <v>8</v>
          </cell>
          <cell r="AI845">
            <v>8</v>
          </cell>
          <cell r="AJ845">
            <v>8</v>
          </cell>
          <cell r="AN845">
            <v>0</v>
          </cell>
          <cell r="AO845">
            <v>136</v>
          </cell>
          <cell r="AP845">
            <v>0</v>
          </cell>
          <cell r="AQ845">
            <v>0</v>
          </cell>
          <cell r="AR845">
            <v>0</v>
          </cell>
          <cell r="AS845">
            <v>0</v>
          </cell>
          <cell r="AT845">
            <v>0</v>
          </cell>
          <cell r="AU845">
            <v>8</v>
          </cell>
          <cell r="AV845">
            <v>40</v>
          </cell>
          <cell r="AW845">
            <v>0</v>
          </cell>
          <cell r="AX845">
            <v>0</v>
          </cell>
          <cell r="AY845">
            <v>0</v>
          </cell>
          <cell r="AZ845">
            <v>0</v>
          </cell>
          <cell r="BA845">
            <v>8</v>
          </cell>
          <cell r="BB845">
            <v>0</v>
          </cell>
          <cell r="BC845">
            <v>0</v>
          </cell>
          <cell r="BD845">
            <v>0</v>
          </cell>
          <cell r="BE845">
            <v>0</v>
          </cell>
          <cell r="BF845">
            <v>0</v>
          </cell>
          <cell r="BG845">
            <v>192</v>
          </cell>
          <cell r="BH845">
            <v>1</v>
          </cell>
          <cell r="BI845">
            <v>1</v>
          </cell>
          <cell r="BJ845">
            <v>2</v>
          </cell>
          <cell r="BL845">
            <v>0</v>
          </cell>
          <cell r="BM845">
            <v>0</v>
          </cell>
          <cell r="BN845">
            <v>0</v>
          </cell>
          <cell r="BO845">
            <v>0</v>
          </cell>
          <cell r="BP845">
            <v>0</v>
          </cell>
          <cell r="BQ845">
            <v>0</v>
          </cell>
          <cell r="BR845">
            <v>0</v>
          </cell>
          <cell r="BS845">
            <v>1</v>
          </cell>
          <cell r="BT845">
            <v>0</v>
          </cell>
          <cell r="BU845">
            <v>0</v>
          </cell>
          <cell r="BV845">
            <v>0</v>
          </cell>
          <cell r="BW845">
            <v>0</v>
          </cell>
          <cell r="BX845">
            <v>0</v>
          </cell>
          <cell r="BY845">
            <v>0</v>
          </cell>
          <cell r="BZ845">
            <v>0</v>
          </cell>
          <cell r="CA845">
            <v>0</v>
          </cell>
          <cell r="CB845">
            <v>0</v>
          </cell>
          <cell r="CC845">
            <v>0</v>
          </cell>
          <cell r="CD845">
            <v>0</v>
          </cell>
          <cell r="CE845">
            <v>0</v>
          </cell>
          <cell r="CF845">
            <v>0</v>
          </cell>
          <cell r="CG845">
            <v>0</v>
          </cell>
          <cell r="CH845">
            <v>0</v>
          </cell>
          <cell r="CI845">
            <v>0</v>
          </cell>
          <cell r="CJ845">
            <v>0</v>
          </cell>
          <cell r="CK845">
            <v>0</v>
          </cell>
          <cell r="CL845">
            <v>0</v>
          </cell>
          <cell r="CM845">
            <v>0</v>
          </cell>
          <cell r="CR845">
            <v>0</v>
          </cell>
          <cell r="CS845">
            <v>0</v>
          </cell>
          <cell r="CT845">
            <v>1</v>
          </cell>
          <cell r="CU845">
            <v>0</v>
          </cell>
          <cell r="CV845">
            <v>0</v>
          </cell>
          <cell r="CZ845">
            <v>1</v>
          </cell>
        </row>
        <row r="846">
          <cell r="C846" t="str">
            <v>04348</v>
          </cell>
          <cell r="D846" t="str">
            <v>Nguyễn Minh Huy</v>
          </cell>
          <cell r="E846" t="str">
            <v>Production</v>
          </cell>
          <cell r="F846" t="str">
            <v>Prefitting</v>
          </cell>
          <cell r="G846" t="str">
            <v>Worker</v>
          </cell>
          <cell r="H846">
            <v>45608</v>
          </cell>
          <cell r="I846">
            <v>8</v>
          </cell>
          <cell r="J846">
            <v>8</v>
          </cell>
          <cell r="K846" t="str">
            <v>CN</v>
          </cell>
          <cell r="L846" t="str">
            <v>Đ</v>
          </cell>
          <cell r="M846" t="str">
            <v>Đ</v>
          </cell>
          <cell r="N846" t="str">
            <v>Đ</v>
          </cell>
          <cell r="O846" t="str">
            <v>Đ</v>
          </cell>
          <cell r="P846" t="str">
            <v>Đ</v>
          </cell>
          <cell r="Q846" t="str">
            <v>Đ</v>
          </cell>
          <cell r="R846" t="str">
            <v>CN</v>
          </cell>
          <cell r="S846">
            <v>8</v>
          </cell>
          <cell r="T846">
            <v>8</v>
          </cell>
          <cell r="U846">
            <v>8</v>
          </cell>
          <cell r="V846">
            <v>8</v>
          </cell>
          <cell r="W846">
            <v>8</v>
          </cell>
          <cell r="X846">
            <v>8</v>
          </cell>
          <cell r="Y846" t="str">
            <v>CN</v>
          </cell>
          <cell r="Z846" t="str">
            <v>Đ</v>
          </cell>
          <cell r="AA846" t="str">
            <v>Đ</v>
          </cell>
          <cell r="AB846" t="str">
            <v>Đ</v>
          </cell>
          <cell r="AC846" t="str">
            <v>Đ</v>
          </cell>
          <cell r="AD846" t="str">
            <v>Đ</v>
          </cell>
          <cell r="AE846" t="str">
            <v>Đ</v>
          </cell>
          <cell r="AF846" t="str">
            <v>CN</v>
          </cell>
          <cell r="AG846">
            <v>8</v>
          </cell>
          <cell r="AH846">
            <v>8</v>
          </cell>
          <cell r="AI846">
            <v>8</v>
          </cell>
          <cell r="AJ846">
            <v>8</v>
          </cell>
          <cell r="AN846">
            <v>96</v>
          </cell>
          <cell r="AO846">
            <v>96</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192</v>
          </cell>
          <cell r="BH846">
            <v>0</v>
          </cell>
          <cell r="BI846">
            <v>0</v>
          </cell>
          <cell r="BJ846">
            <v>2.5</v>
          </cell>
          <cell r="BL846">
            <v>4</v>
          </cell>
          <cell r="BM846">
            <v>4</v>
          </cell>
          <cell r="BN846">
            <v>0</v>
          </cell>
          <cell r="BO846">
            <v>4</v>
          </cell>
          <cell r="BP846">
            <v>0</v>
          </cell>
          <cell r="BQ846">
            <v>0</v>
          </cell>
          <cell r="BR846">
            <v>0</v>
          </cell>
          <cell r="BS846">
            <v>0</v>
          </cell>
          <cell r="BT846">
            <v>0</v>
          </cell>
          <cell r="BU846">
            <v>0</v>
          </cell>
          <cell r="BV846">
            <v>4</v>
          </cell>
          <cell r="BW846">
            <v>0</v>
          </cell>
          <cell r="BX846">
            <v>0</v>
          </cell>
          <cell r="BY846">
            <v>0</v>
          </cell>
          <cell r="BZ846">
            <v>0</v>
          </cell>
          <cell r="CA846">
            <v>4</v>
          </cell>
          <cell r="CB846">
            <v>0</v>
          </cell>
          <cell r="CC846">
            <v>4</v>
          </cell>
          <cell r="CD846">
            <v>0</v>
          </cell>
          <cell r="CE846">
            <v>0</v>
          </cell>
          <cell r="CF846">
            <v>0</v>
          </cell>
          <cell r="CG846">
            <v>0</v>
          </cell>
          <cell r="CH846">
            <v>4</v>
          </cell>
          <cell r="CI846">
            <v>0</v>
          </cell>
          <cell r="CJ846">
            <v>4</v>
          </cell>
          <cell r="CK846">
            <v>0</v>
          </cell>
          <cell r="CL846">
            <v>4</v>
          </cell>
          <cell r="CM846">
            <v>0</v>
          </cell>
          <cell r="CR846">
            <v>0</v>
          </cell>
          <cell r="CS846">
            <v>0</v>
          </cell>
          <cell r="CT846">
            <v>36</v>
          </cell>
          <cell r="CU846">
            <v>0</v>
          </cell>
          <cell r="CV846">
            <v>0</v>
          </cell>
          <cell r="CZ846">
            <v>36</v>
          </cell>
        </row>
        <row r="847">
          <cell r="C847" t="str">
            <v>04349</v>
          </cell>
          <cell r="D847" t="str">
            <v>Phan Thị Thảo</v>
          </cell>
          <cell r="E847" t="str">
            <v>Production</v>
          </cell>
          <cell r="F847" t="str">
            <v>Logo</v>
          </cell>
          <cell r="G847" t="str">
            <v>Worker</v>
          </cell>
          <cell r="H847">
            <v>45608</v>
          </cell>
          <cell r="I847">
            <v>8</v>
          </cell>
          <cell r="J847">
            <v>8</v>
          </cell>
          <cell r="K847">
            <v>8</v>
          </cell>
          <cell r="L847" t="str">
            <v>CN</v>
          </cell>
          <cell r="M847" t="str">
            <v>Đ</v>
          </cell>
          <cell r="N847" t="str">
            <v>Đ</v>
          </cell>
          <cell r="O847" t="str">
            <v>Đ</v>
          </cell>
          <cell r="P847" t="str">
            <v>Đ</v>
          </cell>
          <cell r="Q847" t="str">
            <v>Đ</v>
          </cell>
          <cell r="R847" t="str">
            <v>Đ</v>
          </cell>
          <cell r="S847" t="str">
            <v>CN</v>
          </cell>
          <cell r="T847">
            <v>8</v>
          </cell>
          <cell r="U847">
            <v>8</v>
          </cell>
          <cell r="V847">
            <v>8</v>
          </cell>
          <cell r="W847" t="str">
            <v>AL8</v>
          </cell>
          <cell r="X847" t="str">
            <v>AL8</v>
          </cell>
          <cell r="Y847" t="str">
            <v>UP8</v>
          </cell>
          <cell r="Z847" t="str">
            <v>CN</v>
          </cell>
          <cell r="AA847" t="str">
            <v>UP8</v>
          </cell>
          <cell r="AB847" t="str">
            <v>Đ</v>
          </cell>
          <cell r="AC847" t="str">
            <v>Đ</v>
          </cell>
          <cell r="AD847" t="str">
            <v>Đ</v>
          </cell>
          <cell r="AE847" t="str">
            <v>Đ</v>
          </cell>
          <cell r="AF847" t="str">
            <v>Đ</v>
          </cell>
          <cell r="AG847" t="str">
            <v>CN</v>
          </cell>
          <cell r="AH847">
            <v>8</v>
          </cell>
          <cell r="AI847">
            <v>8</v>
          </cell>
          <cell r="AJ847">
            <v>8</v>
          </cell>
          <cell r="AN847">
            <v>88</v>
          </cell>
          <cell r="AO847">
            <v>72</v>
          </cell>
          <cell r="AP847">
            <v>0</v>
          </cell>
          <cell r="AQ847">
            <v>0</v>
          </cell>
          <cell r="AR847">
            <v>0</v>
          </cell>
          <cell r="AS847">
            <v>16</v>
          </cell>
          <cell r="AT847">
            <v>0</v>
          </cell>
          <cell r="AU847">
            <v>0</v>
          </cell>
          <cell r="AV847">
            <v>0</v>
          </cell>
          <cell r="AW847">
            <v>0</v>
          </cell>
          <cell r="AX847">
            <v>0</v>
          </cell>
          <cell r="AY847">
            <v>0</v>
          </cell>
          <cell r="AZ847">
            <v>0</v>
          </cell>
          <cell r="BA847">
            <v>16</v>
          </cell>
          <cell r="BB847">
            <v>0</v>
          </cell>
          <cell r="BC847">
            <v>0</v>
          </cell>
          <cell r="BD847">
            <v>0</v>
          </cell>
          <cell r="BE847">
            <v>0</v>
          </cell>
          <cell r="BF847">
            <v>0</v>
          </cell>
          <cell r="BG847">
            <v>176</v>
          </cell>
          <cell r="BH847">
            <v>2</v>
          </cell>
          <cell r="BI847">
            <v>2</v>
          </cell>
          <cell r="BJ847">
            <v>-2</v>
          </cell>
          <cell r="BL847">
            <v>0</v>
          </cell>
          <cell r="BM847">
            <v>1.5</v>
          </cell>
          <cell r="BN847">
            <v>1.5</v>
          </cell>
          <cell r="BO847">
            <v>0</v>
          </cell>
          <cell r="BP847">
            <v>1.5</v>
          </cell>
          <cell r="BQ847">
            <v>0</v>
          </cell>
          <cell r="BR847">
            <v>0</v>
          </cell>
          <cell r="BS847">
            <v>4</v>
          </cell>
          <cell r="BT847">
            <v>3</v>
          </cell>
          <cell r="BU847">
            <v>4</v>
          </cell>
          <cell r="BV847">
            <v>0</v>
          </cell>
          <cell r="BW847">
            <v>3</v>
          </cell>
          <cell r="BX847">
            <v>3</v>
          </cell>
          <cell r="BY847">
            <v>0</v>
          </cell>
          <cell r="BZ847">
            <v>0</v>
          </cell>
          <cell r="CA847">
            <v>0</v>
          </cell>
          <cell r="CB847">
            <v>0</v>
          </cell>
          <cell r="CC847">
            <v>0</v>
          </cell>
          <cell r="CD847">
            <v>0</v>
          </cell>
          <cell r="CE847">
            <v>4</v>
          </cell>
          <cell r="CF847">
            <v>4</v>
          </cell>
          <cell r="CG847">
            <v>4</v>
          </cell>
          <cell r="CH847">
            <v>4</v>
          </cell>
          <cell r="CI847">
            <v>4</v>
          </cell>
          <cell r="CJ847">
            <v>0</v>
          </cell>
          <cell r="CK847">
            <v>3</v>
          </cell>
          <cell r="CL847">
            <v>3</v>
          </cell>
          <cell r="CM847">
            <v>3</v>
          </cell>
          <cell r="CR847">
            <v>0</v>
          </cell>
          <cell r="CS847">
            <v>0</v>
          </cell>
          <cell r="CT847">
            <v>50.5</v>
          </cell>
          <cell r="CU847">
            <v>0</v>
          </cell>
          <cell r="CV847">
            <v>0</v>
          </cell>
          <cell r="CZ847">
            <v>50.5</v>
          </cell>
        </row>
        <row r="848">
          <cell r="C848" t="str">
            <v>04350</v>
          </cell>
          <cell r="D848" t="str">
            <v>Nguyễn Thị Cẩm Thạch</v>
          </cell>
          <cell r="E848" t="str">
            <v>Production</v>
          </cell>
          <cell r="F848" t="str">
            <v>Molding</v>
          </cell>
          <cell r="G848" t="str">
            <v>Worker</v>
          </cell>
          <cell r="H848">
            <v>45608</v>
          </cell>
          <cell r="I848" t="str">
            <v>UP8</v>
          </cell>
          <cell r="J848" t="str">
            <v>UP8</v>
          </cell>
          <cell r="K848" t="str">
            <v>UP8</v>
          </cell>
          <cell r="L848" t="str">
            <v>CN</v>
          </cell>
          <cell r="M848" t="str">
            <v>UP8</v>
          </cell>
          <cell r="N848" t="str">
            <v>UP8</v>
          </cell>
          <cell r="O848" t="str">
            <v>UP8</v>
          </cell>
          <cell r="P848" t="str">
            <v>UP8</v>
          </cell>
          <cell r="Q848" t="str">
            <v>UP8</v>
          </cell>
          <cell r="R848" t="str">
            <v>UP8</v>
          </cell>
          <cell r="S848" t="str">
            <v>CN</v>
          </cell>
          <cell r="T848" t="str">
            <v>UP8</v>
          </cell>
          <cell r="U848" t="str">
            <v>UP8</v>
          </cell>
          <cell r="V848" t="str">
            <v>UP8</v>
          </cell>
          <cell r="W848" t="str">
            <v>NP</v>
          </cell>
          <cell r="X848" t="str">
            <v>NP</v>
          </cell>
          <cell r="Y848" t="str">
            <v>NP</v>
          </cell>
          <cell r="Z848" t="str">
            <v>CN</v>
          </cell>
          <cell r="AA848" t="str">
            <v>NP</v>
          </cell>
          <cell r="AB848" t="str">
            <v>NP</v>
          </cell>
          <cell r="AC848" t="str">
            <v>TV</v>
          </cell>
          <cell r="AD848" t="str">
            <v>TV</v>
          </cell>
          <cell r="AE848" t="str">
            <v>TV</v>
          </cell>
          <cell r="AF848" t="str">
            <v>TV</v>
          </cell>
          <cell r="AG848" t="str">
            <v>TV</v>
          </cell>
          <cell r="AH848" t="str">
            <v>TV</v>
          </cell>
          <cell r="AI848" t="str">
            <v>TV</v>
          </cell>
          <cell r="AJ848" t="str">
            <v>TV</v>
          </cell>
          <cell r="AN848">
            <v>0</v>
          </cell>
          <cell r="AO848">
            <v>0</v>
          </cell>
          <cell r="AP848">
            <v>0</v>
          </cell>
          <cell r="AQ848">
            <v>0</v>
          </cell>
          <cell r="AR848">
            <v>0</v>
          </cell>
          <cell r="AS848">
            <v>96</v>
          </cell>
          <cell r="AT848">
            <v>5</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L848">
            <v>0</v>
          </cell>
          <cell r="BM848">
            <v>0</v>
          </cell>
          <cell r="BN848">
            <v>0</v>
          </cell>
          <cell r="BO848">
            <v>0</v>
          </cell>
          <cell r="BP848">
            <v>0</v>
          </cell>
          <cell r="BQ848">
            <v>0</v>
          </cell>
          <cell r="BR848">
            <v>0</v>
          </cell>
          <cell r="BS848">
            <v>0</v>
          </cell>
          <cell r="BT848">
            <v>0</v>
          </cell>
          <cell r="BU848">
            <v>0</v>
          </cell>
          <cell r="BV848">
            <v>0</v>
          </cell>
          <cell r="BW848">
            <v>0</v>
          </cell>
          <cell r="BX848">
            <v>0</v>
          </cell>
          <cell r="BY848">
            <v>0</v>
          </cell>
          <cell r="BZ848">
            <v>0</v>
          </cell>
          <cell r="CA848">
            <v>0</v>
          </cell>
          <cell r="CB848">
            <v>0</v>
          </cell>
          <cell r="CC848">
            <v>0</v>
          </cell>
          <cell r="CD848">
            <v>0</v>
          </cell>
          <cell r="CE848">
            <v>0</v>
          </cell>
          <cell r="CF848">
            <v>0</v>
          </cell>
          <cell r="CG848">
            <v>0</v>
          </cell>
          <cell r="CH848">
            <v>0</v>
          </cell>
          <cell r="CI848">
            <v>0</v>
          </cell>
          <cell r="CJ848">
            <v>0</v>
          </cell>
          <cell r="CK848">
            <v>0</v>
          </cell>
          <cell r="CL848">
            <v>0</v>
          </cell>
          <cell r="CM848">
            <v>0</v>
          </cell>
          <cell r="CR848">
            <v>0</v>
          </cell>
          <cell r="CS848">
            <v>0</v>
          </cell>
          <cell r="CT848">
            <v>0</v>
          </cell>
          <cell r="CU848">
            <v>0</v>
          </cell>
          <cell r="CV848">
            <v>0</v>
          </cell>
          <cell r="CZ848">
            <v>0</v>
          </cell>
        </row>
        <row r="849">
          <cell r="C849" t="str">
            <v>04352</v>
          </cell>
          <cell r="D849" t="str">
            <v>Tô Hữu Tài</v>
          </cell>
          <cell r="E849" t="str">
            <v>Production</v>
          </cell>
          <cell r="F849" t="str">
            <v>Molding</v>
          </cell>
          <cell r="G849" t="str">
            <v>Worker</v>
          </cell>
          <cell r="H849">
            <v>45608</v>
          </cell>
          <cell r="I849" t="str">
            <v>Đ</v>
          </cell>
          <cell r="J849" t="str">
            <v>Đ</v>
          </cell>
          <cell r="K849" t="str">
            <v>Đ</v>
          </cell>
          <cell r="L849" t="str">
            <v>CN</v>
          </cell>
          <cell r="M849">
            <v>8</v>
          </cell>
          <cell r="N849">
            <v>8</v>
          </cell>
          <cell r="O849">
            <v>8</v>
          </cell>
          <cell r="P849">
            <v>8</v>
          </cell>
          <cell r="Q849">
            <v>8</v>
          </cell>
          <cell r="R849">
            <v>8</v>
          </cell>
          <cell r="S849" t="str">
            <v>CN</v>
          </cell>
          <cell r="T849" t="str">
            <v>Đ</v>
          </cell>
          <cell r="U849" t="str">
            <v>Đ</v>
          </cell>
          <cell r="V849" t="str">
            <v>Đ</v>
          </cell>
          <cell r="W849" t="str">
            <v>Đ</v>
          </cell>
          <cell r="X849" t="str">
            <v>Đ</v>
          </cell>
          <cell r="Y849" t="str">
            <v>Đ</v>
          </cell>
          <cell r="Z849" t="str">
            <v>CN</v>
          </cell>
          <cell r="AA849">
            <v>8</v>
          </cell>
          <cell r="AB849">
            <v>8</v>
          </cell>
          <cell r="AC849">
            <v>8</v>
          </cell>
          <cell r="AD849">
            <v>8</v>
          </cell>
          <cell r="AE849">
            <v>8</v>
          </cell>
          <cell r="AF849">
            <v>8</v>
          </cell>
          <cell r="AG849" t="str">
            <v>CN</v>
          </cell>
          <cell r="AH849" t="str">
            <v>Đ</v>
          </cell>
          <cell r="AI849" t="str">
            <v>Đ</v>
          </cell>
          <cell r="AJ849" t="str">
            <v>Đ</v>
          </cell>
          <cell r="AN849">
            <v>96</v>
          </cell>
          <cell r="AO849">
            <v>96</v>
          </cell>
          <cell r="AP849">
            <v>0</v>
          </cell>
          <cell r="AQ849">
            <v>0</v>
          </cell>
          <cell r="AR849">
            <v>0</v>
          </cell>
          <cell r="AS849">
            <v>0</v>
          </cell>
          <cell r="AT849">
            <v>0</v>
          </cell>
          <cell r="AU849">
            <v>0</v>
          </cell>
          <cell r="AV849">
            <v>0</v>
          </cell>
          <cell r="AW849">
            <v>0</v>
          </cell>
          <cell r="AX849">
            <v>0</v>
          </cell>
          <cell r="AY849">
            <v>0</v>
          </cell>
          <cell r="AZ849">
            <v>0</v>
          </cell>
          <cell r="BA849">
            <v>0</v>
          </cell>
          <cell r="BB849">
            <v>0</v>
          </cell>
          <cell r="BC849">
            <v>0</v>
          </cell>
          <cell r="BD849">
            <v>0</v>
          </cell>
          <cell r="BE849">
            <v>0</v>
          </cell>
          <cell r="BF849">
            <v>0</v>
          </cell>
          <cell r="BG849">
            <v>192</v>
          </cell>
          <cell r="BH849">
            <v>0</v>
          </cell>
          <cell r="BI849">
            <v>0</v>
          </cell>
          <cell r="BJ849">
            <v>1</v>
          </cell>
          <cell r="BL849">
            <v>4</v>
          </cell>
          <cell r="BM849">
            <v>0</v>
          </cell>
          <cell r="BN849">
            <v>0</v>
          </cell>
          <cell r="BO849">
            <v>0</v>
          </cell>
          <cell r="BP849">
            <v>4</v>
          </cell>
          <cell r="BQ849">
            <v>4</v>
          </cell>
          <cell r="BR849">
            <v>4</v>
          </cell>
          <cell r="BS849">
            <v>0</v>
          </cell>
          <cell r="BT849">
            <v>0</v>
          </cell>
          <cell r="BU849">
            <v>0</v>
          </cell>
          <cell r="BV849">
            <v>0</v>
          </cell>
          <cell r="BW849">
            <v>0</v>
          </cell>
          <cell r="BX849">
            <v>0</v>
          </cell>
          <cell r="BY849">
            <v>0</v>
          </cell>
          <cell r="BZ849">
            <v>0</v>
          </cell>
          <cell r="CA849">
            <v>4</v>
          </cell>
          <cell r="CB849">
            <v>0</v>
          </cell>
          <cell r="CC849">
            <v>0</v>
          </cell>
          <cell r="CD849">
            <v>4</v>
          </cell>
          <cell r="CE849">
            <v>0</v>
          </cell>
          <cell r="CF849">
            <v>0</v>
          </cell>
          <cell r="CG849">
            <v>4</v>
          </cell>
          <cell r="CH849">
            <v>4</v>
          </cell>
          <cell r="CI849">
            <v>0</v>
          </cell>
          <cell r="CJ849">
            <v>0</v>
          </cell>
          <cell r="CK849">
            <v>0</v>
          </cell>
          <cell r="CL849">
            <v>0</v>
          </cell>
          <cell r="CM849">
            <v>0</v>
          </cell>
          <cell r="CR849">
            <v>0</v>
          </cell>
          <cell r="CS849">
            <v>0</v>
          </cell>
          <cell r="CT849">
            <v>32</v>
          </cell>
          <cell r="CU849">
            <v>0</v>
          </cell>
          <cell r="CV849">
            <v>0</v>
          </cell>
          <cell r="CZ849">
            <v>32</v>
          </cell>
        </row>
        <row r="850">
          <cell r="C850" t="str">
            <v>04358</v>
          </cell>
          <cell r="D850" t="str">
            <v>Danh Thành</v>
          </cell>
          <cell r="E850" t="str">
            <v>QC</v>
          </cell>
          <cell r="F850" t="str">
            <v>QC</v>
          </cell>
          <cell r="G850" t="str">
            <v>Worker</v>
          </cell>
          <cell r="H850">
            <v>45610</v>
          </cell>
          <cell r="I850">
            <v>8</v>
          </cell>
          <cell r="J850">
            <v>8</v>
          </cell>
          <cell r="K850">
            <v>8</v>
          </cell>
          <cell r="L850" t="str">
            <v>CN</v>
          </cell>
          <cell r="M850">
            <v>8</v>
          </cell>
          <cell r="N850">
            <v>8</v>
          </cell>
          <cell r="O850">
            <v>8</v>
          </cell>
          <cell r="P850">
            <v>8</v>
          </cell>
          <cell r="Q850">
            <v>8</v>
          </cell>
          <cell r="R850">
            <v>8</v>
          </cell>
          <cell r="S850" t="str">
            <v>CN</v>
          </cell>
          <cell r="T850">
            <v>8</v>
          </cell>
          <cell r="U850">
            <v>8</v>
          </cell>
          <cell r="V850">
            <v>8</v>
          </cell>
          <cell r="W850">
            <v>8</v>
          </cell>
          <cell r="X850">
            <v>8</v>
          </cell>
          <cell r="Y850">
            <v>8</v>
          </cell>
          <cell r="Z850" t="str">
            <v>CN</v>
          </cell>
          <cell r="AA850">
            <v>8</v>
          </cell>
          <cell r="AB850">
            <v>8</v>
          </cell>
          <cell r="AC850">
            <v>8</v>
          </cell>
          <cell r="AD850">
            <v>8</v>
          </cell>
          <cell r="AE850">
            <v>8</v>
          </cell>
          <cell r="AF850">
            <v>8</v>
          </cell>
          <cell r="AG850" t="str">
            <v>CN</v>
          </cell>
          <cell r="AH850">
            <v>8</v>
          </cell>
          <cell r="AI850">
            <v>8</v>
          </cell>
          <cell r="AJ850">
            <v>8</v>
          </cell>
          <cell r="AN850">
            <v>0</v>
          </cell>
          <cell r="AO850">
            <v>192</v>
          </cell>
          <cell r="AP850">
            <v>0</v>
          </cell>
          <cell r="AQ850">
            <v>0</v>
          </cell>
          <cell r="AR850">
            <v>0</v>
          </cell>
          <cell r="AS850">
            <v>0</v>
          </cell>
          <cell r="AT850">
            <v>0</v>
          </cell>
          <cell r="AU850">
            <v>0</v>
          </cell>
          <cell r="AV850">
            <v>0</v>
          </cell>
          <cell r="AW850">
            <v>0</v>
          </cell>
          <cell r="AX850">
            <v>0</v>
          </cell>
          <cell r="AY850">
            <v>0</v>
          </cell>
          <cell r="AZ850">
            <v>0</v>
          </cell>
          <cell r="BA850">
            <v>0</v>
          </cell>
          <cell r="BB850">
            <v>0</v>
          </cell>
          <cell r="BC850">
            <v>0</v>
          </cell>
          <cell r="BD850">
            <v>0</v>
          </cell>
          <cell r="BE850">
            <v>0</v>
          </cell>
          <cell r="BF850">
            <v>0</v>
          </cell>
          <cell r="BG850">
            <v>192</v>
          </cell>
          <cell r="BH850">
            <v>0</v>
          </cell>
          <cell r="BI850">
            <v>0</v>
          </cell>
          <cell r="BJ850">
            <v>5</v>
          </cell>
          <cell r="BL850">
            <v>2</v>
          </cell>
          <cell r="BM850">
            <v>2</v>
          </cell>
          <cell r="BN850">
            <v>1</v>
          </cell>
          <cell r="BO850">
            <v>0</v>
          </cell>
          <cell r="BP850">
            <v>0</v>
          </cell>
          <cell r="BQ850">
            <v>3</v>
          </cell>
          <cell r="BR850">
            <v>4</v>
          </cell>
          <cell r="BS850">
            <v>3</v>
          </cell>
          <cell r="BT850">
            <v>0</v>
          </cell>
          <cell r="BU850">
            <v>0</v>
          </cell>
          <cell r="BV850">
            <v>0</v>
          </cell>
          <cell r="BW850">
            <v>2</v>
          </cell>
          <cell r="BX850">
            <v>2</v>
          </cell>
          <cell r="BY850">
            <v>1</v>
          </cell>
          <cell r="BZ850">
            <v>1</v>
          </cell>
          <cell r="CA850">
            <v>1</v>
          </cell>
          <cell r="CB850">
            <v>2</v>
          </cell>
          <cell r="CC850">
            <v>0</v>
          </cell>
          <cell r="CD850">
            <v>2</v>
          </cell>
          <cell r="CE850">
            <v>2</v>
          </cell>
          <cell r="CF850">
            <v>2</v>
          </cell>
          <cell r="CG850">
            <v>2</v>
          </cell>
          <cell r="CH850">
            <v>1</v>
          </cell>
          <cell r="CI850">
            <v>2</v>
          </cell>
          <cell r="CJ850">
            <v>0</v>
          </cell>
          <cell r="CK850">
            <v>0</v>
          </cell>
          <cell r="CL850">
            <v>3</v>
          </cell>
          <cell r="CM850">
            <v>0</v>
          </cell>
          <cell r="CR850">
            <v>0</v>
          </cell>
          <cell r="CS850">
            <v>0</v>
          </cell>
          <cell r="CT850">
            <v>38</v>
          </cell>
          <cell r="CU850">
            <v>0</v>
          </cell>
          <cell r="CV850">
            <v>0</v>
          </cell>
          <cell r="CZ850">
            <v>38</v>
          </cell>
        </row>
        <row r="851">
          <cell r="C851" t="str">
            <v>01281</v>
          </cell>
          <cell r="D851" t="str">
            <v>Nguyễn Thị Tuyên</v>
          </cell>
          <cell r="E851" t="str">
            <v>PD</v>
          </cell>
          <cell r="F851" t="str">
            <v>PD office</v>
          </cell>
          <cell r="G851" t="str">
            <v>Supervisor</v>
          </cell>
          <cell r="H851">
            <v>43248</v>
          </cell>
          <cell r="I851">
            <v>8</v>
          </cell>
          <cell r="J851">
            <v>8</v>
          </cell>
          <cell r="K851" t="str">
            <v>PO</v>
          </cell>
          <cell r="L851" t="str">
            <v>CN</v>
          </cell>
          <cell r="M851">
            <v>8</v>
          </cell>
          <cell r="N851">
            <v>8</v>
          </cell>
          <cell r="O851">
            <v>8</v>
          </cell>
          <cell r="P851">
            <v>8</v>
          </cell>
          <cell r="Q851" t="str">
            <v>PO</v>
          </cell>
          <cell r="R851" t="str">
            <v>PO</v>
          </cell>
          <cell r="S851" t="str">
            <v>CN</v>
          </cell>
          <cell r="T851" t="str">
            <v>UP6.5</v>
          </cell>
          <cell r="U851">
            <v>8</v>
          </cell>
          <cell r="V851">
            <v>8</v>
          </cell>
          <cell r="W851">
            <v>8</v>
          </cell>
          <cell r="X851">
            <v>8</v>
          </cell>
          <cell r="Y851" t="str">
            <v>PO</v>
          </cell>
          <cell r="Z851" t="str">
            <v>CN</v>
          </cell>
          <cell r="AA851">
            <v>8</v>
          </cell>
          <cell r="AB851">
            <v>7.983333333</v>
          </cell>
          <cell r="AC851">
            <v>8</v>
          </cell>
          <cell r="AD851">
            <v>8</v>
          </cell>
          <cell r="AE851">
            <v>8</v>
          </cell>
          <cell r="AF851" t="str">
            <v>PO</v>
          </cell>
          <cell r="AG851" t="str">
            <v>CN</v>
          </cell>
          <cell r="AH851">
            <v>8</v>
          </cell>
          <cell r="AI851">
            <v>8</v>
          </cell>
          <cell r="AJ851">
            <v>8</v>
          </cell>
          <cell r="AN851">
            <v>0</v>
          </cell>
          <cell r="AO851">
            <v>150.48333333300002</v>
          </cell>
          <cell r="AP851">
            <v>0</v>
          </cell>
          <cell r="AQ851">
            <v>0</v>
          </cell>
          <cell r="AR851">
            <v>6.5</v>
          </cell>
          <cell r="AS851">
            <v>0</v>
          </cell>
          <cell r="AT851">
            <v>0</v>
          </cell>
          <cell r="AU851">
            <v>0</v>
          </cell>
          <cell r="AV851">
            <v>40</v>
          </cell>
          <cell r="AW851">
            <v>0</v>
          </cell>
          <cell r="AX851">
            <v>0</v>
          </cell>
          <cell r="AY851">
            <v>0</v>
          </cell>
          <cell r="AZ851">
            <v>0</v>
          </cell>
          <cell r="BA851">
            <v>0</v>
          </cell>
          <cell r="BB851">
            <v>0</v>
          </cell>
          <cell r="BC851">
            <v>0</v>
          </cell>
          <cell r="BD851">
            <v>0</v>
          </cell>
          <cell r="BE851">
            <v>0</v>
          </cell>
          <cell r="BF851">
            <v>0</v>
          </cell>
          <cell r="BG851">
            <v>190.48333333300002</v>
          </cell>
          <cell r="BH851">
            <v>0</v>
          </cell>
          <cell r="BI851">
            <v>0</v>
          </cell>
          <cell r="BJ851">
            <v>2.5</v>
          </cell>
          <cell r="BL851">
            <v>0</v>
          </cell>
          <cell r="BM851">
            <v>0</v>
          </cell>
          <cell r="BN851">
            <v>0</v>
          </cell>
          <cell r="BO851">
            <v>0</v>
          </cell>
          <cell r="BP851">
            <v>0</v>
          </cell>
          <cell r="BQ851">
            <v>0</v>
          </cell>
          <cell r="BR851">
            <v>0</v>
          </cell>
          <cell r="BS851">
            <v>0</v>
          </cell>
          <cell r="BT851">
            <v>0</v>
          </cell>
          <cell r="BU851">
            <v>0</v>
          </cell>
          <cell r="BV851">
            <v>0</v>
          </cell>
          <cell r="BW851">
            <v>0</v>
          </cell>
          <cell r="BX851">
            <v>0</v>
          </cell>
          <cell r="BY851">
            <v>0</v>
          </cell>
          <cell r="BZ851">
            <v>0</v>
          </cell>
          <cell r="CA851">
            <v>0</v>
          </cell>
          <cell r="CB851">
            <v>0</v>
          </cell>
          <cell r="CC851">
            <v>0</v>
          </cell>
          <cell r="CD851">
            <v>0</v>
          </cell>
          <cell r="CE851">
            <v>0</v>
          </cell>
          <cell r="CF851">
            <v>0</v>
          </cell>
          <cell r="CG851">
            <v>0</v>
          </cell>
          <cell r="CH851">
            <v>0</v>
          </cell>
          <cell r="CI851">
            <v>0</v>
          </cell>
          <cell r="CJ851">
            <v>0</v>
          </cell>
          <cell r="CK851">
            <v>0</v>
          </cell>
          <cell r="CL851">
            <v>0</v>
          </cell>
          <cell r="CM851">
            <v>0</v>
          </cell>
          <cell r="CR851">
            <v>0</v>
          </cell>
          <cell r="CS851">
            <v>0</v>
          </cell>
          <cell r="CT851">
            <v>0</v>
          </cell>
          <cell r="CU851">
            <v>0</v>
          </cell>
          <cell r="CV851">
            <v>0</v>
          </cell>
          <cell r="CZ851">
            <v>0</v>
          </cell>
        </row>
        <row r="852">
          <cell r="C852" t="str">
            <v>02890</v>
          </cell>
          <cell r="D852" t="str">
            <v>Dương Thị Thu Thảo</v>
          </cell>
          <cell r="E852" t="str">
            <v>Production</v>
          </cell>
          <cell r="F852" t="str">
            <v>Packing</v>
          </cell>
          <cell r="G852" t="str">
            <v>Worker</v>
          </cell>
          <cell r="H852" t="str">
            <v>07/04/2021</v>
          </cell>
          <cell r="I852" t="str">
            <v>Đ</v>
          </cell>
          <cell r="J852" t="str">
            <v>Đ</v>
          </cell>
          <cell r="K852" t="str">
            <v>Đ</v>
          </cell>
          <cell r="L852" t="str">
            <v>CN</v>
          </cell>
          <cell r="M852">
            <v>8</v>
          </cell>
          <cell r="N852">
            <v>8</v>
          </cell>
          <cell r="O852">
            <v>8</v>
          </cell>
          <cell r="P852">
            <v>8</v>
          </cell>
          <cell r="Q852">
            <v>8</v>
          </cell>
          <cell r="R852">
            <v>8</v>
          </cell>
          <cell r="S852" t="str">
            <v>CN</v>
          </cell>
          <cell r="T852" t="str">
            <v>Đ</v>
          </cell>
          <cell r="U852" t="str">
            <v>Đ</v>
          </cell>
          <cell r="V852" t="str">
            <v>Đ</v>
          </cell>
          <cell r="W852" t="str">
            <v>Đ</v>
          </cell>
          <cell r="X852" t="str">
            <v>Đ</v>
          </cell>
          <cell r="Y852" t="str">
            <v>Đ</v>
          </cell>
          <cell r="Z852" t="str">
            <v>CN</v>
          </cell>
          <cell r="AA852">
            <v>8</v>
          </cell>
          <cell r="AB852">
            <v>8</v>
          </cell>
          <cell r="AC852" t="str">
            <v>AL8</v>
          </cell>
          <cell r="AD852" t="str">
            <v>AL8</v>
          </cell>
          <cell r="AE852" t="str">
            <v>UP8</v>
          </cell>
          <cell r="AF852" t="str">
            <v>UP8</v>
          </cell>
          <cell r="AG852" t="str">
            <v>CN</v>
          </cell>
          <cell r="AH852" t="str">
            <v>Đ</v>
          </cell>
          <cell r="AI852" t="str">
            <v>Đ</v>
          </cell>
          <cell r="AJ852" t="str">
            <v>Đ</v>
          </cell>
          <cell r="AN852">
            <v>96</v>
          </cell>
          <cell r="AO852">
            <v>64</v>
          </cell>
          <cell r="AP852">
            <v>0</v>
          </cell>
          <cell r="AQ852">
            <v>0</v>
          </cell>
          <cell r="AR852">
            <v>0</v>
          </cell>
          <cell r="AS852">
            <v>16</v>
          </cell>
          <cell r="AT852">
            <v>0</v>
          </cell>
          <cell r="AU852">
            <v>0</v>
          </cell>
          <cell r="AV852">
            <v>0</v>
          </cell>
          <cell r="AW852">
            <v>0</v>
          </cell>
          <cell r="AX852">
            <v>0</v>
          </cell>
          <cell r="AY852">
            <v>0</v>
          </cell>
          <cell r="AZ852">
            <v>0</v>
          </cell>
          <cell r="BA852">
            <v>16</v>
          </cell>
          <cell r="BB852">
            <v>0</v>
          </cell>
          <cell r="BC852">
            <v>0</v>
          </cell>
          <cell r="BD852">
            <v>0</v>
          </cell>
          <cell r="BE852">
            <v>0</v>
          </cell>
          <cell r="BF852">
            <v>0</v>
          </cell>
          <cell r="BG852">
            <v>176</v>
          </cell>
          <cell r="BH852">
            <v>2</v>
          </cell>
          <cell r="BI852">
            <v>2</v>
          </cell>
          <cell r="BJ852">
            <v>0</v>
          </cell>
          <cell r="BL852">
            <v>0</v>
          </cell>
          <cell r="BM852">
            <v>0</v>
          </cell>
          <cell r="BN852">
            <v>0</v>
          </cell>
          <cell r="BO852">
            <v>0</v>
          </cell>
          <cell r="BP852">
            <v>1.5</v>
          </cell>
          <cell r="BQ852">
            <v>3</v>
          </cell>
          <cell r="BR852">
            <v>0</v>
          </cell>
          <cell r="BS852">
            <v>3</v>
          </cell>
          <cell r="BT852">
            <v>3</v>
          </cell>
          <cell r="BU852">
            <v>0</v>
          </cell>
          <cell r="BV852">
            <v>0</v>
          </cell>
          <cell r="BW852">
            <v>3</v>
          </cell>
          <cell r="BX852">
            <v>4</v>
          </cell>
          <cell r="BY852">
            <v>4</v>
          </cell>
          <cell r="BZ852">
            <v>0</v>
          </cell>
          <cell r="CA852">
            <v>4</v>
          </cell>
          <cell r="CB852">
            <v>4</v>
          </cell>
          <cell r="CC852">
            <v>0</v>
          </cell>
          <cell r="CD852">
            <v>3</v>
          </cell>
          <cell r="CE852">
            <v>3</v>
          </cell>
          <cell r="CF852">
            <v>0</v>
          </cell>
          <cell r="CG852">
            <v>0</v>
          </cell>
          <cell r="CH852">
            <v>0</v>
          </cell>
          <cell r="CI852">
            <v>0</v>
          </cell>
          <cell r="CJ852">
            <v>0</v>
          </cell>
          <cell r="CK852">
            <v>1.5</v>
          </cell>
          <cell r="CL852">
            <v>1.5</v>
          </cell>
          <cell r="CM852">
            <v>1.5</v>
          </cell>
          <cell r="CR852">
            <v>0</v>
          </cell>
          <cell r="CS852">
            <v>0</v>
          </cell>
          <cell r="CT852">
            <v>40</v>
          </cell>
          <cell r="CU852">
            <v>0</v>
          </cell>
          <cell r="CV852">
            <v>0</v>
          </cell>
          <cell r="CZ852">
            <v>40</v>
          </cell>
        </row>
        <row r="853">
          <cell r="C853" t="str">
            <v>04363</v>
          </cell>
          <cell r="D853" t="str">
            <v>Lê Văn Đông</v>
          </cell>
          <cell r="E853" t="str">
            <v>Production</v>
          </cell>
          <cell r="F853" t="str">
            <v>Molding</v>
          </cell>
          <cell r="G853" t="str">
            <v>Worker</v>
          </cell>
          <cell r="H853">
            <v>45622</v>
          </cell>
          <cell r="I853" t="str">
            <v>Đ</v>
          </cell>
          <cell r="J853" t="str">
            <v>Đ</v>
          </cell>
          <cell r="K853" t="str">
            <v>Đ</v>
          </cell>
          <cell r="L853" t="str">
            <v>CN</v>
          </cell>
          <cell r="M853">
            <v>8</v>
          </cell>
          <cell r="N853">
            <v>8</v>
          </cell>
          <cell r="O853">
            <v>8</v>
          </cell>
          <cell r="P853">
            <v>8</v>
          </cell>
          <cell r="Q853">
            <v>8</v>
          </cell>
          <cell r="R853">
            <v>8</v>
          </cell>
          <cell r="S853" t="str">
            <v>CN</v>
          </cell>
          <cell r="T853" t="str">
            <v>Đ</v>
          </cell>
          <cell r="U853" t="str">
            <v>Đ</v>
          </cell>
          <cell r="V853" t="str">
            <v>Đ</v>
          </cell>
          <cell r="W853" t="str">
            <v>Đ</v>
          </cell>
          <cell r="X853" t="str">
            <v>Đ</v>
          </cell>
          <cell r="Y853" t="str">
            <v>Đ</v>
          </cell>
          <cell r="Z853" t="str">
            <v>CN</v>
          </cell>
          <cell r="AA853">
            <v>8</v>
          </cell>
          <cell r="AB853">
            <v>8</v>
          </cell>
          <cell r="AC853">
            <v>8</v>
          </cell>
          <cell r="AD853">
            <v>8</v>
          </cell>
          <cell r="AE853">
            <v>8</v>
          </cell>
          <cell r="AF853">
            <v>8</v>
          </cell>
          <cell r="AG853" t="str">
            <v>CN</v>
          </cell>
          <cell r="AH853" t="str">
            <v>Đ</v>
          </cell>
          <cell r="AI853" t="str">
            <v>Đ</v>
          </cell>
          <cell r="AJ853" t="str">
            <v>Đ</v>
          </cell>
          <cell r="AN853">
            <v>96</v>
          </cell>
          <cell r="AO853">
            <v>96</v>
          </cell>
          <cell r="AP853">
            <v>0</v>
          </cell>
          <cell r="AQ853">
            <v>0</v>
          </cell>
          <cell r="AR853">
            <v>0</v>
          </cell>
          <cell r="AS853">
            <v>0</v>
          </cell>
          <cell r="AT853">
            <v>0</v>
          </cell>
          <cell r="AU853">
            <v>0</v>
          </cell>
          <cell r="AV853">
            <v>0</v>
          </cell>
          <cell r="AW853">
            <v>0</v>
          </cell>
          <cell r="AX853">
            <v>0</v>
          </cell>
          <cell r="AY853">
            <v>0</v>
          </cell>
          <cell r="AZ853">
            <v>0</v>
          </cell>
          <cell r="BA853">
            <v>0</v>
          </cell>
          <cell r="BB853">
            <v>0</v>
          </cell>
          <cell r="BC853">
            <v>0</v>
          </cell>
          <cell r="BD853">
            <v>0</v>
          </cell>
          <cell r="BE853">
            <v>0</v>
          </cell>
          <cell r="BF853">
            <v>0</v>
          </cell>
          <cell r="BG853">
            <v>192</v>
          </cell>
          <cell r="BH853">
            <v>0</v>
          </cell>
          <cell r="BI853">
            <v>0</v>
          </cell>
          <cell r="BJ853">
            <v>2.5</v>
          </cell>
          <cell r="BL853">
            <v>0</v>
          </cell>
          <cell r="BM853">
            <v>4</v>
          </cell>
          <cell r="BN853">
            <v>0</v>
          </cell>
          <cell r="BO853">
            <v>0</v>
          </cell>
          <cell r="BP853">
            <v>0</v>
          </cell>
          <cell r="BQ853">
            <v>4</v>
          </cell>
          <cell r="BR853">
            <v>4</v>
          </cell>
          <cell r="BS853">
            <v>0</v>
          </cell>
          <cell r="BT853">
            <v>0</v>
          </cell>
          <cell r="BU853">
            <v>0</v>
          </cell>
          <cell r="BV853">
            <v>0</v>
          </cell>
          <cell r="BW853">
            <v>0</v>
          </cell>
          <cell r="BX853">
            <v>0</v>
          </cell>
          <cell r="BY853">
            <v>0</v>
          </cell>
          <cell r="BZ853">
            <v>0</v>
          </cell>
          <cell r="CA853">
            <v>4</v>
          </cell>
          <cell r="CB853">
            <v>0</v>
          </cell>
          <cell r="CC853">
            <v>0</v>
          </cell>
          <cell r="CD853">
            <v>0</v>
          </cell>
          <cell r="CE853">
            <v>0</v>
          </cell>
          <cell r="CF853">
            <v>0</v>
          </cell>
          <cell r="CG853">
            <v>4</v>
          </cell>
          <cell r="CH853">
            <v>4</v>
          </cell>
          <cell r="CI853">
            <v>0</v>
          </cell>
          <cell r="CJ853">
            <v>12</v>
          </cell>
          <cell r="CK853">
            <v>0</v>
          </cell>
          <cell r="CL853">
            <v>0</v>
          </cell>
          <cell r="CM853">
            <v>0</v>
          </cell>
          <cell r="CR853">
            <v>0</v>
          </cell>
          <cell r="CS853">
            <v>0</v>
          </cell>
          <cell r="CT853">
            <v>24</v>
          </cell>
          <cell r="CU853">
            <v>12</v>
          </cell>
          <cell r="CV853">
            <v>0</v>
          </cell>
          <cell r="CZ853">
            <v>36</v>
          </cell>
        </row>
        <row r="854">
          <cell r="C854" t="str">
            <v>04365</v>
          </cell>
          <cell r="D854" t="str">
            <v>Phan Mỹ Dung</v>
          </cell>
          <cell r="E854" t="str">
            <v>Production</v>
          </cell>
          <cell r="F854" t="str">
            <v>Molding</v>
          </cell>
          <cell r="G854" t="str">
            <v>Worker</v>
          </cell>
          <cell r="H854">
            <v>45622</v>
          </cell>
          <cell r="I854" t="str">
            <v>Đ</v>
          </cell>
          <cell r="J854" t="str">
            <v>Đ</v>
          </cell>
          <cell r="K854" t="str">
            <v>CN</v>
          </cell>
          <cell r="L854">
            <v>8</v>
          </cell>
          <cell r="M854">
            <v>8</v>
          </cell>
          <cell r="N854">
            <v>8</v>
          </cell>
          <cell r="O854">
            <v>8</v>
          </cell>
          <cell r="P854">
            <v>8</v>
          </cell>
          <cell r="Q854">
            <v>8</v>
          </cell>
          <cell r="R854" t="str">
            <v>CN</v>
          </cell>
          <cell r="S854" t="str">
            <v>Đ</v>
          </cell>
          <cell r="T854" t="str">
            <v>Đ</v>
          </cell>
          <cell r="U854" t="str">
            <v>Đ</v>
          </cell>
          <cell r="V854" t="str">
            <v>Đ</v>
          </cell>
          <cell r="W854" t="str">
            <v>Đ</v>
          </cell>
          <cell r="X854" t="str">
            <v>Đ</v>
          </cell>
          <cell r="Y854" t="str">
            <v>CN</v>
          </cell>
          <cell r="Z854">
            <v>8</v>
          </cell>
          <cell r="AA854">
            <v>8</v>
          </cell>
          <cell r="AB854">
            <v>8</v>
          </cell>
          <cell r="AC854">
            <v>8</v>
          </cell>
          <cell r="AD854">
            <v>8</v>
          </cell>
          <cell r="AE854">
            <v>8</v>
          </cell>
          <cell r="AF854" t="str">
            <v>CN</v>
          </cell>
          <cell r="AG854" t="str">
            <v>Đ</v>
          </cell>
          <cell r="AH854" t="str">
            <v>Đ</v>
          </cell>
          <cell r="AI854" t="str">
            <v>Đ</v>
          </cell>
          <cell r="AJ854" t="str">
            <v>Đ</v>
          </cell>
          <cell r="AN854">
            <v>96</v>
          </cell>
          <cell r="AO854">
            <v>96</v>
          </cell>
          <cell r="AP854">
            <v>0</v>
          </cell>
          <cell r="AQ854">
            <v>0</v>
          </cell>
          <cell r="AR854">
            <v>0</v>
          </cell>
          <cell r="AS854">
            <v>0</v>
          </cell>
          <cell r="AT854">
            <v>0</v>
          </cell>
          <cell r="AU854">
            <v>0</v>
          </cell>
          <cell r="AV854">
            <v>0</v>
          </cell>
          <cell r="AW854">
            <v>0</v>
          </cell>
          <cell r="AX854">
            <v>0</v>
          </cell>
          <cell r="AY854">
            <v>0</v>
          </cell>
          <cell r="AZ854">
            <v>0</v>
          </cell>
          <cell r="BA854">
            <v>0</v>
          </cell>
          <cell r="BB854">
            <v>0</v>
          </cell>
          <cell r="BC854">
            <v>0</v>
          </cell>
          <cell r="BD854">
            <v>0</v>
          </cell>
          <cell r="BE854">
            <v>0</v>
          </cell>
          <cell r="BF854">
            <v>0</v>
          </cell>
          <cell r="BG854">
            <v>192</v>
          </cell>
          <cell r="BH854">
            <v>0</v>
          </cell>
          <cell r="BI854">
            <v>0</v>
          </cell>
          <cell r="BJ854">
            <v>2</v>
          </cell>
          <cell r="BL854">
            <v>0</v>
          </cell>
          <cell r="BM854">
            <v>4</v>
          </cell>
          <cell r="BN854">
            <v>0</v>
          </cell>
          <cell r="BO854">
            <v>0</v>
          </cell>
          <cell r="BP854">
            <v>0</v>
          </cell>
          <cell r="BQ854">
            <v>0</v>
          </cell>
          <cell r="BR854">
            <v>0</v>
          </cell>
          <cell r="BS854">
            <v>0</v>
          </cell>
          <cell r="BT854">
            <v>4</v>
          </cell>
          <cell r="BU854">
            <v>0</v>
          </cell>
          <cell r="BV854">
            <v>4</v>
          </cell>
          <cell r="BW854">
            <v>0</v>
          </cell>
          <cell r="BX854">
            <v>0</v>
          </cell>
          <cell r="BY854">
            <v>0</v>
          </cell>
          <cell r="BZ854">
            <v>0</v>
          </cell>
          <cell r="CA854">
            <v>4</v>
          </cell>
          <cell r="CB854">
            <v>0</v>
          </cell>
          <cell r="CC854">
            <v>4</v>
          </cell>
          <cell r="CD854">
            <v>0</v>
          </cell>
          <cell r="CE854">
            <v>0</v>
          </cell>
          <cell r="CF854">
            <v>0</v>
          </cell>
          <cell r="CG854">
            <v>0</v>
          </cell>
          <cell r="CH854">
            <v>4</v>
          </cell>
          <cell r="CI854">
            <v>0</v>
          </cell>
          <cell r="CJ854">
            <v>4</v>
          </cell>
          <cell r="CK854">
            <v>0</v>
          </cell>
          <cell r="CL854">
            <v>0</v>
          </cell>
          <cell r="CM854">
            <v>0</v>
          </cell>
          <cell r="CR854">
            <v>0</v>
          </cell>
          <cell r="CS854">
            <v>0</v>
          </cell>
          <cell r="CT854">
            <v>28</v>
          </cell>
          <cell r="CU854">
            <v>0</v>
          </cell>
          <cell r="CV854">
            <v>0</v>
          </cell>
          <cell r="CZ854">
            <v>28</v>
          </cell>
        </row>
        <row r="855">
          <cell r="C855" t="str">
            <v>04368</v>
          </cell>
          <cell r="D855" t="str">
            <v>Lê Thị Diễm My</v>
          </cell>
          <cell r="E855" t="str">
            <v>Production</v>
          </cell>
          <cell r="F855" t="str">
            <v>Packing</v>
          </cell>
          <cell r="G855" t="str">
            <v>Worker</v>
          </cell>
          <cell r="H855">
            <v>45622</v>
          </cell>
          <cell r="I855" t="str">
            <v>Đ</v>
          </cell>
          <cell r="J855" t="str">
            <v>Đ</v>
          </cell>
          <cell r="K855" t="str">
            <v>Đ</v>
          </cell>
          <cell r="L855" t="str">
            <v>CN</v>
          </cell>
          <cell r="M855">
            <v>8</v>
          </cell>
          <cell r="N855">
            <v>8</v>
          </cell>
          <cell r="O855">
            <v>8</v>
          </cell>
          <cell r="P855">
            <v>8</v>
          </cell>
          <cell r="Q855">
            <v>8</v>
          </cell>
          <cell r="R855">
            <v>8</v>
          </cell>
          <cell r="S855" t="str">
            <v>CN</v>
          </cell>
          <cell r="T855" t="str">
            <v>Đ</v>
          </cell>
          <cell r="U855" t="str">
            <v>Đ</v>
          </cell>
          <cell r="V855" t="str">
            <v>Đ</v>
          </cell>
          <cell r="W855" t="str">
            <v>Đ</v>
          </cell>
          <cell r="X855" t="str">
            <v>Đ</v>
          </cell>
          <cell r="Y855" t="str">
            <v>Đ</v>
          </cell>
          <cell r="Z855" t="str">
            <v>CN</v>
          </cell>
          <cell r="AA855" t="str">
            <v>AL8</v>
          </cell>
          <cell r="AB855">
            <v>8</v>
          </cell>
          <cell r="AC855">
            <v>8</v>
          </cell>
          <cell r="AD855">
            <v>8</v>
          </cell>
          <cell r="AE855">
            <v>8</v>
          </cell>
          <cell r="AF855">
            <v>8</v>
          </cell>
          <cell r="AG855" t="str">
            <v>CN</v>
          </cell>
          <cell r="AH855" t="str">
            <v>Đ</v>
          </cell>
          <cell r="AI855" t="str">
            <v>Đ</v>
          </cell>
          <cell r="AJ855" t="str">
            <v>Đ</v>
          </cell>
          <cell r="AN855">
            <v>96</v>
          </cell>
          <cell r="AO855">
            <v>88</v>
          </cell>
          <cell r="AP855">
            <v>0</v>
          </cell>
          <cell r="AQ855">
            <v>0</v>
          </cell>
          <cell r="AR855">
            <v>0</v>
          </cell>
          <cell r="AS855">
            <v>0</v>
          </cell>
          <cell r="AT855">
            <v>0</v>
          </cell>
          <cell r="AU855">
            <v>0</v>
          </cell>
          <cell r="AV855">
            <v>0</v>
          </cell>
          <cell r="AW855">
            <v>0</v>
          </cell>
          <cell r="AX855">
            <v>0</v>
          </cell>
          <cell r="AY855">
            <v>0</v>
          </cell>
          <cell r="AZ855">
            <v>0</v>
          </cell>
          <cell r="BA855">
            <v>8</v>
          </cell>
          <cell r="BB855">
            <v>0</v>
          </cell>
          <cell r="BC855">
            <v>0</v>
          </cell>
          <cell r="BD855">
            <v>0</v>
          </cell>
          <cell r="BE855">
            <v>0</v>
          </cell>
          <cell r="BF855">
            <v>0</v>
          </cell>
          <cell r="BG855">
            <v>192</v>
          </cell>
          <cell r="BH855">
            <v>1</v>
          </cell>
          <cell r="BI855">
            <v>1</v>
          </cell>
          <cell r="BJ855">
            <v>1</v>
          </cell>
          <cell r="BL855">
            <v>1.5</v>
          </cell>
          <cell r="BM855">
            <v>1.5</v>
          </cell>
          <cell r="BN855">
            <v>1.5</v>
          </cell>
          <cell r="BO855">
            <v>0</v>
          </cell>
          <cell r="BP855">
            <v>1.5</v>
          </cell>
          <cell r="BQ855">
            <v>0</v>
          </cell>
          <cell r="BR855">
            <v>0</v>
          </cell>
          <cell r="BS855">
            <v>3</v>
          </cell>
          <cell r="BT855">
            <v>3</v>
          </cell>
          <cell r="BU855">
            <v>3</v>
          </cell>
          <cell r="BV855">
            <v>0</v>
          </cell>
          <cell r="BW855">
            <v>4</v>
          </cell>
          <cell r="BX855">
            <v>4</v>
          </cell>
          <cell r="BY855">
            <v>4</v>
          </cell>
          <cell r="BZ855">
            <v>4</v>
          </cell>
          <cell r="CA855">
            <v>4</v>
          </cell>
          <cell r="CB855">
            <v>4</v>
          </cell>
          <cell r="CC855">
            <v>0</v>
          </cell>
          <cell r="CD855">
            <v>0</v>
          </cell>
          <cell r="CE855">
            <v>3</v>
          </cell>
          <cell r="CF855">
            <v>3</v>
          </cell>
          <cell r="CG855">
            <v>3</v>
          </cell>
          <cell r="CH855">
            <v>3</v>
          </cell>
          <cell r="CI855">
            <v>3</v>
          </cell>
          <cell r="CJ855">
            <v>8</v>
          </cell>
          <cell r="CK855">
            <v>4</v>
          </cell>
          <cell r="CL855">
            <v>4</v>
          </cell>
          <cell r="CM855">
            <v>4</v>
          </cell>
          <cell r="CR855">
            <v>0</v>
          </cell>
          <cell r="CS855">
            <v>0</v>
          </cell>
          <cell r="CT855">
            <v>66</v>
          </cell>
          <cell r="CU855">
            <v>8</v>
          </cell>
          <cell r="CV855">
            <v>0</v>
          </cell>
          <cell r="CZ855">
            <v>74</v>
          </cell>
        </row>
        <row r="856">
          <cell r="C856" t="str">
            <v>04369</v>
          </cell>
          <cell r="D856" t="str">
            <v>Danh Minh Tuấn</v>
          </cell>
          <cell r="E856" t="str">
            <v>Production</v>
          </cell>
          <cell r="F856" t="str">
            <v>Die Cut</v>
          </cell>
          <cell r="G856" t="str">
            <v>Worker</v>
          </cell>
          <cell r="H856">
            <v>45622</v>
          </cell>
          <cell r="I856">
            <v>8</v>
          </cell>
          <cell r="J856">
            <v>8</v>
          </cell>
          <cell r="K856">
            <v>8</v>
          </cell>
          <cell r="L856" t="str">
            <v>CN</v>
          </cell>
          <cell r="M856" t="str">
            <v>Đ</v>
          </cell>
          <cell r="N856" t="str">
            <v>Đ</v>
          </cell>
          <cell r="O856" t="str">
            <v>Đ</v>
          </cell>
          <cell r="P856" t="str">
            <v>Đ</v>
          </cell>
          <cell r="Q856" t="str">
            <v>Đ</v>
          </cell>
          <cell r="R856" t="str">
            <v>Đ</v>
          </cell>
          <cell r="S856" t="str">
            <v>CN</v>
          </cell>
          <cell r="T856" t="str">
            <v>AL8</v>
          </cell>
          <cell r="U856">
            <v>8</v>
          </cell>
          <cell r="V856">
            <v>8</v>
          </cell>
          <cell r="W856">
            <v>8</v>
          </cell>
          <cell r="X856">
            <v>8</v>
          </cell>
          <cell r="Y856">
            <v>8</v>
          </cell>
          <cell r="Z856" t="str">
            <v>CN</v>
          </cell>
          <cell r="AA856" t="str">
            <v>Đ</v>
          </cell>
          <cell r="AB856" t="str">
            <v>Đ</v>
          </cell>
          <cell r="AC856" t="str">
            <v>Đ</v>
          </cell>
          <cell r="AD856" t="str">
            <v>Đ</v>
          </cell>
          <cell r="AE856" t="str">
            <v>Đ</v>
          </cell>
          <cell r="AF856" t="str">
            <v>Đ</v>
          </cell>
          <cell r="AG856" t="str">
            <v>CN</v>
          </cell>
          <cell r="AH856">
            <v>8</v>
          </cell>
          <cell r="AI856">
            <v>8</v>
          </cell>
          <cell r="AJ856">
            <v>8</v>
          </cell>
          <cell r="AN856">
            <v>96</v>
          </cell>
          <cell r="AO856">
            <v>88</v>
          </cell>
          <cell r="AP856">
            <v>0</v>
          </cell>
          <cell r="AQ856">
            <v>0</v>
          </cell>
          <cell r="AR856">
            <v>0</v>
          </cell>
          <cell r="AS856">
            <v>0</v>
          </cell>
          <cell r="AT856">
            <v>0</v>
          </cell>
          <cell r="AU856">
            <v>0</v>
          </cell>
          <cell r="AV856">
            <v>0</v>
          </cell>
          <cell r="AW856">
            <v>0</v>
          </cell>
          <cell r="AX856">
            <v>0</v>
          </cell>
          <cell r="AY856">
            <v>0</v>
          </cell>
          <cell r="AZ856">
            <v>0</v>
          </cell>
          <cell r="BA856">
            <v>8</v>
          </cell>
          <cell r="BB856">
            <v>0</v>
          </cell>
          <cell r="BC856">
            <v>0</v>
          </cell>
          <cell r="BD856">
            <v>0</v>
          </cell>
          <cell r="BE856">
            <v>0</v>
          </cell>
          <cell r="BF856">
            <v>0</v>
          </cell>
          <cell r="BG856">
            <v>192</v>
          </cell>
          <cell r="BH856">
            <v>1</v>
          </cell>
          <cell r="BI856">
            <v>1</v>
          </cell>
          <cell r="BJ856">
            <v>3</v>
          </cell>
          <cell r="BL856">
            <v>1.5</v>
          </cell>
          <cell r="BM856">
            <v>1.5</v>
          </cell>
          <cell r="BN856">
            <v>0</v>
          </cell>
          <cell r="BO856">
            <v>0</v>
          </cell>
          <cell r="BP856">
            <v>1.5</v>
          </cell>
          <cell r="BQ856">
            <v>0</v>
          </cell>
          <cell r="BR856">
            <v>0</v>
          </cell>
          <cell r="BS856">
            <v>4</v>
          </cell>
          <cell r="BT856">
            <v>4</v>
          </cell>
          <cell r="BU856">
            <v>4</v>
          </cell>
          <cell r="BV856">
            <v>0</v>
          </cell>
          <cell r="BW856">
            <v>0</v>
          </cell>
          <cell r="BX856">
            <v>0</v>
          </cell>
          <cell r="BY856">
            <v>3</v>
          </cell>
          <cell r="BZ856">
            <v>3</v>
          </cell>
          <cell r="CA856">
            <v>3</v>
          </cell>
          <cell r="CB856">
            <v>0</v>
          </cell>
          <cell r="CC856">
            <v>0</v>
          </cell>
          <cell r="CD856">
            <v>4</v>
          </cell>
          <cell r="CE856">
            <v>4</v>
          </cell>
          <cell r="CF856">
            <v>4</v>
          </cell>
          <cell r="CG856">
            <v>4</v>
          </cell>
          <cell r="CH856">
            <v>4</v>
          </cell>
          <cell r="CI856">
            <v>3</v>
          </cell>
          <cell r="CJ856">
            <v>0</v>
          </cell>
          <cell r="CK856">
            <v>0</v>
          </cell>
          <cell r="CL856">
            <v>3</v>
          </cell>
          <cell r="CM856">
            <v>3</v>
          </cell>
          <cell r="CR856">
            <v>0</v>
          </cell>
          <cell r="CS856">
            <v>0</v>
          </cell>
          <cell r="CT856">
            <v>54.5</v>
          </cell>
          <cell r="CU856">
            <v>0</v>
          </cell>
          <cell r="CV856">
            <v>0</v>
          </cell>
          <cell r="CZ856">
            <v>54.5</v>
          </cell>
        </row>
        <row r="857">
          <cell r="C857" t="str">
            <v>04370</v>
          </cell>
          <cell r="D857" t="str">
            <v>Huỳnh Tấn Phát</v>
          </cell>
          <cell r="E857" t="str">
            <v>Warehouse</v>
          </cell>
          <cell r="F857" t="str">
            <v>RM Warehouse</v>
          </cell>
          <cell r="G857" t="str">
            <v>Worker</v>
          </cell>
          <cell r="H857">
            <v>45622</v>
          </cell>
          <cell r="I857">
            <v>8</v>
          </cell>
          <cell r="J857">
            <v>8</v>
          </cell>
          <cell r="K857">
            <v>8</v>
          </cell>
          <cell r="L857" t="str">
            <v>CN</v>
          </cell>
          <cell r="M857">
            <v>8</v>
          </cell>
          <cell r="N857">
            <v>8</v>
          </cell>
          <cell r="O857">
            <v>8</v>
          </cell>
          <cell r="P857">
            <v>8</v>
          </cell>
          <cell r="Q857">
            <v>8</v>
          </cell>
          <cell r="R857">
            <v>8</v>
          </cell>
          <cell r="S857" t="str">
            <v>CN</v>
          </cell>
          <cell r="T857">
            <v>8</v>
          </cell>
          <cell r="U857">
            <v>8</v>
          </cell>
          <cell r="V857">
            <v>8</v>
          </cell>
          <cell r="W857">
            <v>8</v>
          </cell>
          <cell r="X857">
            <v>8</v>
          </cell>
          <cell r="Y857">
            <v>8</v>
          </cell>
          <cell r="Z857" t="str">
            <v>CN</v>
          </cell>
          <cell r="AA857">
            <v>8</v>
          </cell>
          <cell r="AB857">
            <v>8</v>
          </cell>
          <cell r="AC857">
            <v>8</v>
          </cell>
          <cell r="AD857">
            <v>8</v>
          </cell>
          <cell r="AE857">
            <v>8</v>
          </cell>
          <cell r="AF857">
            <v>8</v>
          </cell>
          <cell r="AG857" t="str">
            <v>CN</v>
          </cell>
          <cell r="AH857">
            <v>8</v>
          </cell>
          <cell r="AI857">
            <v>8</v>
          </cell>
          <cell r="AJ857">
            <v>8</v>
          </cell>
          <cell r="AN857">
            <v>0</v>
          </cell>
          <cell r="AO857">
            <v>192</v>
          </cell>
          <cell r="AP857">
            <v>0</v>
          </cell>
          <cell r="AQ857">
            <v>0</v>
          </cell>
          <cell r="AR857">
            <v>0</v>
          </cell>
          <cell r="AS857">
            <v>0</v>
          </cell>
          <cell r="AT857">
            <v>0</v>
          </cell>
          <cell r="AU857">
            <v>0</v>
          </cell>
          <cell r="AV857">
            <v>0</v>
          </cell>
          <cell r="AW857">
            <v>0</v>
          </cell>
          <cell r="AX857">
            <v>0</v>
          </cell>
          <cell r="AY857">
            <v>0</v>
          </cell>
          <cell r="AZ857">
            <v>0</v>
          </cell>
          <cell r="BA857">
            <v>0</v>
          </cell>
          <cell r="BB857">
            <v>0</v>
          </cell>
          <cell r="BC857">
            <v>0</v>
          </cell>
          <cell r="BD857">
            <v>0</v>
          </cell>
          <cell r="BE857">
            <v>0</v>
          </cell>
          <cell r="BF857">
            <v>0</v>
          </cell>
          <cell r="BG857">
            <v>192</v>
          </cell>
          <cell r="BH857">
            <v>0</v>
          </cell>
          <cell r="BI857">
            <v>0</v>
          </cell>
          <cell r="BJ857">
            <v>2.5</v>
          </cell>
          <cell r="BL857">
            <v>0</v>
          </cell>
          <cell r="BM857">
            <v>0</v>
          </cell>
          <cell r="BN857">
            <v>0</v>
          </cell>
          <cell r="BO857">
            <v>0</v>
          </cell>
          <cell r="BP857">
            <v>0</v>
          </cell>
          <cell r="BQ857">
            <v>0</v>
          </cell>
          <cell r="BR857">
            <v>0</v>
          </cell>
          <cell r="BS857">
            <v>0</v>
          </cell>
          <cell r="BT857">
            <v>0</v>
          </cell>
          <cell r="BU857">
            <v>0</v>
          </cell>
          <cell r="BV857">
            <v>0</v>
          </cell>
          <cell r="BW857">
            <v>3</v>
          </cell>
          <cell r="BX857">
            <v>3</v>
          </cell>
          <cell r="BY857">
            <v>0</v>
          </cell>
          <cell r="BZ857">
            <v>0</v>
          </cell>
          <cell r="CA857">
            <v>0</v>
          </cell>
          <cell r="CB857">
            <v>0</v>
          </cell>
          <cell r="CC857">
            <v>0</v>
          </cell>
          <cell r="CD857">
            <v>0</v>
          </cell>
          <cell r="CE857">
            <v>3</v>
          </cell>
          <cell r="CF857">
            <v>1</v>
          </cell>
          <cell r="CG857">
            <v>3</v>
          </cell>
          <cell r="CH857">
            <v>0</v>
          </cell>
          <cell r="CI857">
            <v>0</v>
          </cell>
          <cell r="CJ857">
            <v>8</v>
          </cell>
          <cell r="CK857">
            <v>0</v>
          </cell>
          <cell r="CL857">
            <v>0</v>
          </cell>
          <cell r="CM857">
            <v>0</v>
          </cell>
          <cell r="CR857">
            <v>0</v>
          </cell>
          <cell r="CS857">
            <v>0</v>
          </cell>
          <cell r="CT857">
            <v>13</v>
          </cell>
          <cell r="CU857">
            <v>8</v>
          </cell>
          <cell r="CV857">
            <v>0</v>
          </cell>
          <cell r="CZ857">
            <v>21</v>
          </cell>
        </row>
        <row r="858">
          <cell r="C858" t="str">
            <v>04374</v>
          </cell>
          <cell r="D858" t="str">
            <v>Ngô Thị Ngọc Giàu</v>
          </cell>
          <cell r="E858" t="str">
            <v>CS</v>
          </cell>
          <cell r="F858" t="str">
            <v>CS</v>
          </cell>
          <cell r="G858" t="str">
            <v>Staff</v>
          </cell>
          <cell r="H858">
            <v>45635</v>
          </cell>
          <cell r="I858">
            <v>8</v>
          </cell>
          <cell r="J858">
            <v>8</v>
          </cell>
          <cell r="K858" t="str">
            <v>PO</v>
          </cell>
          <cell r="L858" t="str">
            <v>CN</v>
          </cell>
          <cell r="M858">
            <v>8</v>
          </cell>
          <cell r="N858">
            <v>8</v>
          </cell>
          <cell r="O858">
            <v>8</v>
          </cell>
          <cell r="P858">
            <v>8</v>
          </cell>
          <cell r="Q858">
            <v>8</v>
          </cell>
          <cell r="R858" t="str">
            <v>PO</v>
          </cell>
          <cell r="S858" t="str">
            <v>CN</v>
          </cell>
          <cell r="T858">
            <v>8</v>
          </cell>
          <cell r="U858">
            <v>8</v>
          </cell>
          <cell r="V858">
            <v>8</v>
          </cell>
          <cell r="W858">
            <v>8</v>
          </cell>
          <cell r="X858">
            <v>8</v>
          </cell>
          <cell r="Y858" t="str">
            <v>PO</v>
          </cell>
          <cell r="Z858" t="str">
            <v>CN</v>
          </cell>
          <cell r="AA858">
            <v>8</v>
          </cell>
          <cell r="AB858">
            <v>8</v>
          </cell>
          <cell r="AC858">
            <v>8</v>
          </cell>
          <cell r="AD858">
            <v>8</v>
          </cell>
          <cell r="AE858">
            <v>8</v>
          </cell>
          <cell r="AF858" t="str">
            <v>PO</v>
          </cell>
          <cell r="AG858" t="str">
            <v>CN</v>
          </cell>
          <cell r="AH858">
            <v>8</v>
          </cell>
          <cell r="AI858">
            <v>8</v>
          </cell>
          <cell r="AJ858">
            <v>8</v>
          </cell>
          <cell r="AN858">
            <v>0</v>
          </cell>
          <cell r="AO858">
            <v>160</v>
          </cell>
          <cell r="AP858">
            <v>0</v>
          </cell>
          <cell r="AQ858">
            <v>0</v>
          </cell>
          <cell r="AR858">
            <v>0</v>
          </cell>
          <cell r="AS858">
            <v>0</v>
          </cell>
          <cell r="AT858">
            <v>0</v>
          </cell>
          <cell r="AU858">
            <v>0</v>
          </cell>
          <cell r="AV858">
            <v>32</v>
          </cell>
          <cell r="AW858">
            <v>0</v>
          </cell>
          <cell r="AX858">
            <v>0</v>
          </cell>
          <cell r="AY858">
            <v>0</v>
          </cell>
          <cell r="AZ858">
            <v>0</v>
          </cell>
          <cell r="BA858">
            <v>0</v>
          </cell>
          <cell r="BB858">
            <v>0</v>
          </cell>
          <cell r="BC858">
            <v>0</v>
          </cell>
          <cell r="BD858">
            <v>0</v>
          </cell>
          <cell r="BE858">
            <v>0</v>
          </cell>
          <cell r="BF858">
            <v>0</v>
          </cell>
          <cell r="BG858">
            <v>192</v>
          </cell>
          <cell r="BH858">
            <v>0</v>
          </cell>
          <cell r="BI858">
            <v>0</v>
          </cell>
          <cell r="BJ858">
            <v>10</v>
          </cell>
          <cell r="BL858">
            <v>0</v>
          </cell>
          <cell r="BM858">
            <v>0</v>
          </cell>
          <cell r="BN858">
            <v>0</v>
          </cell>
          <cell r="BO858">
            <v>0</v>
          </cell>
          <cell r="BP858">
            <v>1.5</v>
          </cell>
          <cell r="BQ858">
            <v>2.5</v>
          </cell>
          <cell r="BR858">
            <v>0</v>
          </cell>
          <cell r="BS858">
            <v>0</v>
          </cell>
          <cell r="BT858">
            <v>0</v>
          </cell>
          <cell r="BU858">
            <v>0</v>
          </cell>
          <cell r="BV858">
            <v>0</v>
          </cell>
          <cell r="BW858">
            <v>0</v>
          </cell>
          <cell r="BX858">
            <v>1.5</v>
          </cell>
          <cell r="BY858">
            <v>0</v>
          </cell>
          <cell r="BZ858">
            <v>0</v>
          </cell>
          <cell r="CA858">
            <v>0</v>
          </cell>
          <cell r="CB858">
            <v>0</v>
          </cell>
          <cell r="CC858">
            <v>0</v>
          </cell>
          <cell r="CD858">
            <v>0</v>
          </cell>
          <cell r="CE858">
            <v>0</v>
          </cell>
          <cell r="CF858">
            <v>2.5</v>
          </cell>
          <cell r="CG858">
            <v>0</v>
          </cell>
          <cell r="CH858">
            <v>0.5</v>
          </cell>
          <cell r="CI858">
            <v>0</v>
          </cell>
          <cell r="CJ858">
            <v>0</v>
          </cell>
          <cell r="CK858">
            <v>0</v>
          </cell>
          <cell r="CL858">
            <v>0</v>
          </cell>
          <cell r="CM858">
            <v>0</v>
          </cell>
          <cell r="CR858">
            <v>0</v>
          </cell>
          <cell r="CS858">
            <v>0</v>
          </cell>
          <cell r="CT858">
            <v>8.5</v>
          </cell>
          <cell r="CU858">
            <v>0</v>
          </cell>
          <cell r="CV858">
            <v>0</v>
          </cell>
          <cell r="CZ858">
            <v>8.5</v>
          </cell>
        </row>
        <row r="859">
          <cell r="C859" t="str">
            <v>04375</v>
          </cell>
          <cell r="D859" t="str">
            <v>Phạm Phương Toàn</v>
          </cell>
          <cell r="E859" t="str">
            <v>Foaming</v>
          </cell>
          <cell r="F859" t="str">
            <v>FOAMING Rectangular</v>
          </cell>
          <cell r="G859" t="str">
            <v>Skilled worker</v>
          </cell>
          <cell r="H859">
            <v>45642</v>
          </cell>
          <cell r="I859" t="str">
            <v>TV</v>
          </cell>
          <cell r="J859" t="str">
            <v>TV</v>
          </cell>
          <cell r="K859" t="str">
            <v>TV</v>
          </cell>
          <cell r="L859" t="str">
            <v>TV</v>
          </cell>
          <cell r="M859" t="str">
            <v>TV</v>
          </cell>
          <cell r="N859" t="str">
            <v>TV</v>
          </cell>
          <cell r="O859" t="str">
            <v>TV</v>
          </cell>
          <cell r="P859" t="str">
            <v>TV</v>
          </cell>
          <cell r="Q859" t="str">
            <v>TV</v>
          </cell>
          <cell r="R859" t="str">
            <v>TV</v>
          </cell>
          <cell r="S859" t="str">
            <v>TV</v>
          </cell>
          <cell r="T859" t="str">
            <v>TV</v>
          </cell>
          <cell r="U859" t="str">
            <v>TV</v>
          </cell>
          <cell r="V859" t="str">
            <v>TV</v>
          </cell>
          <cell r="W859" t="str">
            <v>TV</v>
          </cell>
          <cell r="X859" t="str">
            <v>TV</v>
          </cell>
          <cell r="Y859" t="str">
            <v>TV</v>
          </cell>
          <cell r="Z859" t="str">
            <v>TV</v>
          </cell>
          <cell r="AA859" t="str">
            <v>TV</v>
          </cell>
          <cell r="AB859" t="str">
            <v>TV</v>
          </cell>
          <cell r="AC859" t="str">
            <v>TV</v>
          </cell>
          <cell r="AD859" t="str">
            <v>TV</v>
          </cell>
          <cell r="AE859" t="str">
            <v>TV</v>
          </cell>
          <cell r="AF859" t="str">
            <v>TV</v>
          </cell>
          <cell r="AG859" t="str">
            <v>TV</v>
          </cell>
          <cell r="AH859" t="str">
            <v>TV</v>
          </cell>
          <cell r="AI859" t="str">
            <v>TV</v>
          </cell>
          <cell r="AJ859" t="str">
            <v>TV</v>
          </cell>
          <cell r="AN859">
            <v>0</v>
          </cell>
          <cell r="AO859">
            <v>0</v>
          </cell>
          <cell r="AP859">
            <v>0</v>
          </cell>
          <cell r="AQ859">
            <v>0</v>
          </cell>
          <cell r="AR859">
            <v>0</v>
          </cell>
          <cell r="AS859">
            <v>0</v>
          </cell>
          <cell r="AT859">
            <v>0</v>
          </cell>
          <cell r="AU859">
            <v>0</v>
          </cell>
          <cell r="AV859">
            <v>0</v>
          </cell>
          <cell r="AW859">
            <v>0</v>
          </cell>
          <cell r="AX859">
            <v>0</v>
          </cell>
          <cell r="AY859">
            <v>0</v>
          </cell>
          <cell r="AZ859">
            <v>0</v>
          </cell>
          <cell r="BA859">
            <v>0</v>
          </cell>
          <cell r="BB859">
            <v>0</v>
          </cell>
          <cell r="BC859">
            <v>0</v>
          </cell>
          <cell r="BD859">
            <v>0</v>
          </cell>
          <cell r="BE859">
            <v>0</v>
          </cell>
          <cell r="BF859">
            <v>0</v>
          </cell>
          <cell r="BG859">
            <v>0</v>
          </cell>
          <cell r="BH859">
            <v>0</v>
          </cell>
          <cell r="BI859">
            <v>0</v>
          </cell>
          <cell r="BJ859">
            <v>-2</v>
          </cell>
          <cell r="BL859">
            <v>0</v>
          </cell>
          <cell r="BM859">
            <v>0</v>
          </cell>
          <cell r="BN859">
            <v>0</v>
          </cell>
          <cell r="BO859">
            <v>0</v>
          </cell>
          <cell r="BP859">
            <v>0</v>
          </cell>
          <cell r="BQ859">
            <v>0</v>
          </cell>
          <cell r="BR859">
            <v>0</v>
          </cell>
          <cell r="BS859">
            <v>0</v>
          </cell>
          <cell r="BT859">
            <v>0</v>
          </cell>
          <cell r="BU859">
            <v>0</v>
          </cell>
          <cell r="BV859">
            <v>0</v>
          </cell>
          <cell r="BW859">
            <v>0</v>
          </cell>
          <cell r="BX859">
            <v>0</v>
          </cell>
          <cell r="BY859">
            <v>0</v>
          </cell>
          <cell r="BZ859">
            <v>0</v>
          </cell>
          <cell r="CA859">
            <v>0</v>
          </cell>
          <cell r="CB859">
            <v>0</v>
          </cell>
          <cell r="CC859">
            <v>0</v>
          </cell>
          <cell r="CD859">
            <v>0</v>
          </cell>
          <cell r="CE859">
            <v>0</v>
          </cell>
          <cell r="CF859">
            <v>0</v>
          </cell>
          <cell r="CG859">
            <v>0</v>
          </cell>
          <cell r="CH859">
            <v>0</v>
          </cell>
          <cell r="CI859">
            <v>0</v>
          </cell>
          <cell r="CJ859">
            <v>0</v>
          </cell>
          <cell r="CK859">
            <v>0</v>
          </cell>
          <cell r="CL859">
            <v>0</v>
          </cell>
          <cell r="CM859">
            <v>0</v>
          </cell>
          <cell r="CR859">
            <v>0</v>
          </cell>
          <cell r="CS859">
            <v>0</v>
          </cell>
          <cell r="CT859">
            <v>0</v>
          </cell>
          <cell r="CU859">
            <v>0</v>
          </cell>
          <cell r="CV859">
            <v>0</v>
          </cell>
          <cell r="CZ859">
            <v>0</v>
          </cell>
        </row>
        <row r="860">
          <cell r="C860" t="str">
            <v>04378</v>
          </cell>
          <cell r="D860" t="str">
            <v>Trần Quốc Thịnh</v>
          </cell>
          <cell r="E860" t="str">
            <v>Production</v>
          </cell>
          <cell r="F860" t="str">
            <v>Prefitting</v>
          </cell>
          <cell r="G860" t="str">
            <v>Worker</v>
          </cell>
          <cell r="H860">
            <v>45642</v>
          </cell>
          <cell r="I860">
            <v>8</v>
          </cell>
          <cell r="J860">
            <v>8</v>
          </cell>
          <cell r="K860">
            <v>8</v>
          </cell>
          <cell r="L860" t="str">
            <v>CN</v>
          </cell>
          <cell r="M860" t="str">
            <v>Đ</v>
          </cell>
          <cell r="N860" t="str">
            <v>Đ</v>
          </cell>
          <cell r="O860" t="str">
            <v>Đ</v>
          </cell>
          <cell r="P860" t="str">
            <v>Đ</v>
          </cell>
          <cell r="Q860" t="str">
            <v>Đ</v>
          </cell>
          <cell r="R860" t="str">
            <v>Đ</v>
          </cell>
          <cell r="S860" t="str">
            <v>CN</v>
          </cell>
          <cell r="T860">
            <v>8</v>
          </cell>
          <cell r="U860" t="str">
            <v>AL8</v>
          </cell>
          <cell r="V860">
            <v>8</v>
          </cell>
          <cell r="W860">
            <v>8</v>
          </cell>
          <cell r="X860" t="str">
            <v>AL8</v>
          </cell>
          <cell r="Y860">
            <v>8</v>
          </cell>
          <cell r="Z860" t="str">
            <v>CN</v>
          </cell>
          <cell r="AA860">
            <v>8</v>
          </cell>
          <cell r="AB860">
            <v>8</v>
          </cell>
          <cell r="AC860">
            <v>8</v>
          </cell>
          <cell r="AD860" t="str">
            <v>TV</v>
          </cell>
          <cell r="AE860" t="str">
            <v>TV</v>
          </cell>
          <cell r="AF860" t="str">
            <v>TV</v>
          </cell>
          <cell r="AG860" t="str">
            <v>TV</v>
          </cell>
          <cell r="AH860" t="str">
            <v>TV</v>
          </cell>
          <cell r="AI860" t="str">
            <v>TV</v>
          </cell>
          <cell r="AJ860" t="str">
            <v>TV</v>
          </cell>
          <cell r="AN860">
            <v>48</v>
          </cell>
          <cell r="AO860">
            <v>80</v>
          </cell>
          <cell r="AP860">
            <v>0</v>
          </cell>
          <cell r="AQ860">
            <v>0</v>
          </cell>
          <cell r="AR860">
            <v>0</v>
          </cell>
          <cell r="AS860">
            <v>0</v>
          </cell>
          <cell r="AT860">
            <v>0</v>
          </cell>
          <cell r="AU860">
            <v>0</v>
          </cell>
          <cell r="AV860">
            <v>0</v>
          </cell>
          <cell r="AW860">
            <v>0</v>
          </cell>
          <cell r="AX860">
            <v>0</v>
          </cell>
          <cell r="AY860">
            <v>0</v>
          </cell>
          <cell r="AZ860">
            <v>0</v>
          </cell>
          <cell r="BA860">
            <v>16</v>
          </cell>
          <cell r="BB860">
            <v>0</v>
          </cell>
          <cell r="BC860">
            <v>0</v>
          </cell>
          <cell r="BD860">
            <v>0</v>
          </cell>
          <cell r="BE860">
            <v>0</v>
          </cell>
          <cell r="BF860">
            <v>0</v>
          </cell>
          <cell r="BG860">
            <v>144</v>
          </cell>
          <cell r="BH860">
            <v>2</v>
          </cell>
          <cell r="BI860">
            <v>2</v>
          </cell>
          <cell r="BJ860">
            <v>-1</v>
          </cell>
          <cell r="BL860">
            <v>0</v>
          </cell>
          <cell r="BM860">
            <v>0</v>
          </cell>
          <cell r="BN860">
            <v>0</v>
          </cell>
          <cell r="BO860">
            <v>0</v>
          </cell>
          <cell r="BP860">
            <v>0</v>
          </cell>
          <cell r="BQ860">
            <v>0</v>
          </cell>
          <cell r="BR860">
            <v>0</v>
          </cell>
          <cell r="BS860">
            <v>0</v>
          </cell>
          <cell r="BT860">
            <v>0</v>
          </cell>
          <cell r="BU860">
            <v>0</v>
          </cell>
          <cell r="BV860">
            <v>0</v>
          </cell>
          <cell r="BW860">
            <v>0</v>
          </cell>
          <cell r="BX860">
            <v>0</v>
          </cell>
          <cell r="BY860">
            <v>0</v>
          </cell>
          <cell r="BZ860">
            <v>0</v>
          </cell>
          <cell r="CA860">
            <v>0</v>
          </cell>
          <cell r="CB860">
            <v>0</v>
          </cell>
          <cell r="CC860">
            <v>0</v>
          </cell>
          <cell r="CD860">
            <v>0</v>
          </cell>
          <cell r="CE860">
            <v>0</v>
          </cell>
          <cell r="CF860">
            <v>0</v>
          </cell>
          <cell r="CG860">
            <v>0</v>
          </cell>
          <cell r="CH860">
            <v>0</v>
          </cell>
          <cell r="CI860">
            <v>0</v>
          </cell>
          <cell r="CJ860">
            <v>0</v>
          </cell>
          <cell r="CK860">
            <v>0</v>
          </cell>
          <cell r="CL860">
            <v>0</v>
          </cell>
          <cell r="CM860">
            <v>0</v>
          </cell>
          <cell r="CR860">
            <v>0</v>
          </cell>
          <cell r="CS860">
            <v>0</v>
          </cell>
          <cell r="CT860">
            <v>0</v>
          </cell>
          <cell r="CU860">
            <v>0</v>
          </cell>
          <cell r="CV860">
            <v>0</v>
          </cell>
          <cell r="CZ860">
            <v>0</v>
          </cell>
        </row>
        <row r="861">
          <cell r="C861" t="str">
            <v>04383</v>
          </cell>
          <cell r="D861" t="str">
            <v>Lê Thị Trúc Nguyên</v>
          </cell>
          <cell r="E861" t="str">
            <v>Production</v>
          </cell>
          <cell r="F861" t="str">
            <v>Prefitting</v>
          </cell>
          <cell r="G861" t="str">
            <v>Worker</v>
          </cell>
          <cell r="H861">
            <v>45642</v>
          </cell>
          <cell r="I861">
            <v>8</v>
          </cell>
          <cell r="J861">
            <v>8</v>
          </cell>
          <cell r="K861">
            <v>8</v>
          </cell>
          <cell r="L861" t="str">
            <v>CN</v>
          </cell>
          <cell r="M861">
            <v>8</v>
          </cell>
          <cell r="N861">
            <v>8</v>
          </cell>
          <cell r="O861">
            <v>8</v>
          </cell>
          <cell r="P861">
            <v>8</v>
          </cell>
          <cell r="Q861">
            <v>8</v>
          </cell>
          <cell r="R861">
            <v>8</v>
          </cell>
          <cell r="S861" t="str">
            <v>CN</v>
          </cell>
          <cell r="T861">
            <v>8</v>
          </cell>
          <cell r="U861">
            <v>8</v>
          </cell>
          <cell r="V861">
            <v>8</v>
          </cell>
          <cell r="W861">
            <v>8</v>
          </cell>
          <cell r="X861" t="str">
            <v>Đ</v>
          </cell>
          <cell r="Y861" t="str">
            <v>Đ</v>
          </cell>
          <cell r="Z861" t="str">
            <v>CN</v>
          </cell>
          <cell r="AA861">
            <v>8</v>
          </cell>
          <cell r="AB861">
            <v>8</v>
          </cell>
          <cell r="AC861">
            <v>8</v>
          </cell>
          <cell r="AD861" t="str">
            <v>AL8</v>
          </cell>
          <cell r="AE861">
            <v>8</v>
          </cell>
          <cell r="AF861">
            <v>8</v>
          </cell>
          <cell r="AG861" t="str">
            <v>CN</v>
          </cell>
          <cell r="AH861">
            <v>8</v>
          </cell>
          <cell r="AI861">
            <v>8</v>
          </cell>
          <cell r="AJ861">
            <v>8</v>
          </cell>
          <cell r="AN861">
            <v>16</v>
          </cell>
          <cell r="AO861">
            <v>168</v>
          </cell>
          <cell r="AP861">
            <v>0</v>
          </cell>
          <cell r="AQ861">
            <v>0</v>
          </cell>
          <cell r="AR861">
            <v>0</v>
          </cell>
          <cell r="AS861">
            <v>0</v>
          </cell>
          <cell r="AT861">
            <v>0</v>
          </cell>
          <cell r="AU861">
            <v>0</v>
          </cell>
          <cell r="AV861">
            <v>0</v>
          </cell>
          <cell r="AW861">
            <v>0</v>
          </cell>
          <cell r="AX861">
            <v>0</v>
          </cell>
          <cell r="AY861">
            <v>0</v>
          </cell>
          <cell r="AZ861">
            <v>0</v>
          </cell>
          <cell r="BA861">
            <v>8</v>
          </cell>
          <cell r="BB861">
            <v>0</v>
          </cell>
          <cell r="BC861">
            <v>0</v>
          </cell>
          <cell r="BD861">
            <v>0</v>
          </cell>
          <cell r="BE861">
            <v>0</v>
          </cell>
          <cell r="BF861">
            <v>0</v>
          </cell>
          <cell r="BG861">
            <v>192</v>
          </cell>
          <cell r="BH861">
            <v>1</v>
          </cell>
          <cell r="BI861">
            <v>1</v>
          </cell>
          <cell r="BJ861">
            <v>1</v>
          </cell>
          <cell r="BL861">
            <v>0</v>
          </cell>
          <cell r="BM861">
            <v>0</v>
          </cell>
          <cell r="BN861">
            <v>0</v>
          </cell>
          <cell r="BO861">
            <v>0</v>
          </cell>
          <cell r="BP861">
            <v>0</v>
          </cell>
          <cell r="BQ861">
            <v>0</v>
          </cell>
          <cell r="BR861">
            <v>0</v>
          </cell>
          <cell r="BS861">
            <v>0</v>
          </cell>
          <cell r="BT861">
            <v>4</v>
          </cell>
          <cell r="BU861">
            <v>4</v>
          </cell>
          <cell r="BV861">
            <v>0</v>
          </cell>
          <cell r="BW861">
            <v>0</v>
          </cell>
          <cell r="BX861">
            <v>0</v>
          </cell>
          <cell r="BY861">
            <v>4</v>
          </cell>
          <cell r="BZ861">
            <v>0</v>
          </cell>
          <cell r="CA861">
            <v>4</v>
          </cell>
          <cell r="CB861">
            <v>4</v>
          </cell>
          <cell r="CC861">
            <v>0</v>
          </cell>
          <cell r="CD861">
            <v>0</v>
          </cell>
          <cell r="CE861">
            <v>0</v>
          </cell>
          <cell r="CF861">
            <v>0</v>
          </cell>
          <cell r="CG861">
            <v>0</v>
          </cell>
          <cell r="CH861">
            <v>4</v>
          </cell>
          <cell r="CI861">
            <v>4</v>
          </cell>
          <cell r="CJ861">
            <v>0</v>
          </cell>
          <cell r="CK861">
            <v>0</v>
          </cell>
          <cell r="CL861">
            <v>0</v>
          </cell>
          <cell r="CM861">
            <v>0</v>
          </cell>
          <cell r="CR861">
            <v>0</v>
          </cell>
          <cell r="CS861">
            <v>0</v>
          </cell>
          <cell r="CT861">
            <v>28</v>
          </cell>
          <cell r="CU861">
            <v>0</v>
          </cell>
          <cell r="CV861">
            <v>0</v>
          </cell>
          <cell r="CZ861">
            <v>28</v>
          </cell>
        </row>
        <row r="862">
          <cell r="C862" t="str">
            <v>04385</v>
          </cell>
          <cell r="D862" t="str">
            <v>Lê Thị Kim Linh</v>
          </cell>
          <cell r="E862" t="str">
            <v>Production</v>
          </cell>
          <cell r="F862" t="str">
            <v>Logo</v>
          </cell>
          <cell r="G862" t="str">
            <v>Worker</v>
          </cell>
          <cell r="H862">
            <v>45642</v>
          </cell>
          <cell r="I862" t="str">
            <v>AL8</v>
          </cell>
          <cell r="J862" t="str">
            <v>SL</v>
          </cell>
          <cell r="K862" t="str">
            <v>Đ</v>
          </cell>
          <cell r="L862" t="str">
            <v>CN</v>
          </cell>
          <cell r="M862">
            <v>8</v>
          </cell>
          <cell r="N862">
            <v>8</v>
          </cell>
          <cell r="O862">
            <v>8</v>
          </cell>
          <cell r="P862">
            <v>8</v>
          </cell>
          <cell r="Q862">
            <v>8</v>
          </cell>
          <cell r="R862">
            <v>8</v>
          </cell>
          <cell r="S862" t="str">
            <v>CN</v>
          </cell>
          <cell r="T862" t="str">
            <v>Đ</v>
          </cell>
          <cell r="U862" t="str">
            <v>Đ</v>
          </cell>
          <cell r="V862" t="str">
            <v>Đ</v>
          </cell>
          <cell r="W862" t="str">
            <v>Đ</v>
          </cell>
          <cell r="X862" t="str">
            <v>Đ</v>
          </cell>
          <cell r="Y862" t="str">
            <v>Đ</v>
          </cell>
          <cell r="Z862" t="str">
            <v>CN</v>
          </cell>
          <cell r="AA862">
            <v>8</v>
          </cell>
          <cell r="AB862">
            <v>8</v>
          </cell>
          <cell r="AC862">
            <v>8</v>
          </cell>
          <cell r="AD862">
            <v>8</v>
          </cell>
          <cell r="AE862">
            <v>8</v>
          </cell>
          <cell r="AF862">
            <v>8</v>
          </cell>
          <cell r="AG862" t="str">
            <v>CN</v>
          </cell>
          <cell r="AH862" t="str">
            <v>Đ</v>
          </cell>
          <cell r="AI862" t="str">
            <v>Đ</v>
          </cell>
          <cell r="AJ862" t="str">
            <v>Đ</v>
          </cell>
          <cell r="AN862">
            <v>80</v>
          </cell>
          <cell r="AO862">
            <v>96</v>
          </cell>
          <cell r="AP862">
            <v>0</v>
          </cell>
          <cell r="AQ862">
            <v>1</v>
          </cell>
          <cell r="AR862">
            <v>0</v>
          </cell>
          <cell r="AS862">
            <v>0</v>
          </cell>
          <cell r="AT862">
            <v>0</v>
          </cell>
          <cell r="AU862">
            <v>0</v>
          </cell>
          <cell r="AV862">
            <v>0</v>
          </cell>
          <cell r="AW862">
            <v>0</v>
          </cell>
          <cell r="AX862">
            <v>0</v>
          </cell>
          <cell r="AY862">
            <v>0</v>
          </cell>
          <cell r="AZ862">
            <v>0</v>
          </cell>
          <cell r="BA862">
            <v>8</v>
          </cell>
          <cell r="BB862">
            <v>0</v>
          </cell>
          <cell r="BC862">
            <v>0</v>
          </cell>
          <cell r="BD862">
            <v>0</v>
          </cell>
          <cell r="BE862">
            <v>0</v>
          </cell>
          <cell r="BF862">
            <v>0</v>
          </cell>
          <cell r="BG862">
            <v>184</v>
          </cell>
          <cell r="BH862">
            <v>1</v>
          </cell>
          <cell r="BI862">
            <v>1</v>
          </cell>
          <cell r="BJ862">
            <v>-1</v>
          </cell>
          <cell r="BL862">
            <v>0</v>
          </cell>
          <cell r="BM862">
            <v>0</v>
          </cell>
          <cell r="BN862">
            <v>1.5</v>
          </cell>
          <cell r="BO862">
            <v>0</v>
          </cell>
          <cell r="BP862">
            <v>1.5</v>
          </cell>
          <cell r="BQ862">
            <v>0</v>
          </cell>
          <cell r="BR862">
            <v>0</v>
          </cell>
          <cell r="BS862">
            <v>3</v>
          </cell>
          <cell r="BT862">
            <v>3</v>
          </cell>
          <cell r="BU862">
            <v>3</v>
          </cell>
          <cell r="BV862">
            <v>0</v>
          </cell>
          <cell r="BW862">
            <v>4</v>
          </cell>
          <cell r="BX862">
            <v>4</v>
          </cell>
          <cell r="BY862">
            <v>4</v>
          </cell>
          <cell r="BZ862">
            <v>4</v>
          </cell>
          <cell r="CA862">
            <v>4</v>
          </cell>
          <cell r="CB862">
            <v>4</v>
          </cell>
          <cell r="CC862">
            <v>0</v>
          </cell>
          <cell r="CD862">
            <v>3</v>
          </cell>
          <cell r="CE862">
            <v>3</v>
          </cell>
          <cell r="CF862">
            <v>3</v>
          </cell>
          <cell r="CG862">
            <v>3</v>
          </cell>
          <cell r="CH862">
            <v>3</v>
          </cell>
          <cell r="CI862">
            <v>3</v>
          </cell>
          <cell r="CJ862">
            <v>8</v>
          </cell>
          <cell r="CK862">
            <v>4</v>
          </cell>
          <cell r="CL862">
            <v>4</v>
          </cell>
          <cell r="CM862">
            <v>4</v>
          </cell>
          <cell r="CR862">
            <v>0</v>
          </cell>
          <cell r="CS862">
            <v>0</v>
          </cell>
          <cell r="CT862">
            <v>66</v>
          </cell>
          <cell r="CU862">
            <v>8</v>
          </cell>
          <cell r="CV862">
            <v>0</v>
          </cell>
          <cell r="CZ862">
            <v>74</v>
          </cell>
        </row>
        <row r="863">
          <cell r="C863" t="str">
            <v>04388</v>
          </cell>
          <cell r="D863" t="str">
            <v>Trần Ngọc Mỹ</v>
          </cell>
          <cell r="E863" t="str">
            <v>Technical Development</v>
          </cell>
          <cell r="F863" t="str">
            <v>PD Sample</v>
          </cell>
          <cell r="G863" t="str">
            <v>Worker</v>
          </cell>
          <cell r="H863">
            <v>45642</v>
          </cell>
          <cell r="I863">
            <v>8</v>
          </cell>
          <cell r="J863">
            <v>8</v>
          </cell>
          <cell r="K863">
            <v>8</v>
          </cell>
          <cell r="L863" t="str">
            <v>CN</v>
          </cell>
          <cell r="M863">
            <v>8</v>
          </cell>
          <cell r="N863">
            <v>8</v>
          </cell>
          <cell r="O863">
            <v>8</v>
          </cell>
          <cell r="P863">
            <v>8</v>
          </cell>
          <cell r="Q863">
            <v>8</v>
          </cell>
          <cell r="R863">
            <v>8</v>
          </cell>
          <cell r="S863" t="str">
            <v>CN</v>
          </cell>
          <cell r="T863">
            <v>8</v>
          </cell>
          <cell r="U863">
            <v>8</v>
          </cell>
          <cell r="V863">
            <v>8</v>
          </cell>
          <cell r="W863">
            <v>8</v>
          </cell>
          <cell r="X863">
            <v>8</v>
          </cell>
          <cell r="Y863">
            <v>8</v>
          </cell>
          <cell r="Z863" t="str">
            <v>CN</v>
          </cell>
          <cell r="AA863">
            <v>8</v>
          </cell>
          <cell r="AB863">
            <v>8</v>
          </cell>
          <cell r="AC863">
            <v>8</v>
          </cell>
          <cell r="AD863">
            <v>8</v>
          </cell>
          <cell r="AE863">
            <v>8</v>
          </cell>
          <cell r="AF863">
            <v>8</v>
          </cell>
          <cell r="AG863" t="str">
            <v>CN</v>
          </cell>
          <cell r="AH863">
            <v>8</v>
          </cell>
          <cell r="AI863">
            <v>8</v>
          </cell>
          <cell r="AJ863">
            <v>8</v>
          </cell>
          <cell r="AN863">
            <v>0</v>
          </cell>
          <cell r="AO863">
            <v>192</v>
          </cell>
          <cell r="AP863">
            <v>0</v>
          </cell>
          <cell r="AQ863">
            <v>0</v>
          </cell>
          <cell r="AR863">
            <v>0</v>
          </cell>
          <cell r="AS863">
            <v>0</v>
          </cell>
          <cell r="AT863">
            <v>0</v>
          </cell>
          <cell r="AU863">
            <v>0</v>
          </cell>
          <cell r="AV863">
            <v>0</v>
          </cell>
          <cell r="AW863">
            <v>0</v>
          </cell>
          <cell r="AX863">
            <v>0</v>
          </cell>
          <cell r="AY863">
            <v>0</v>
          </cell>
          <cell r="AZ863">
            <v>0</v>
          </cell>
          <cell r="BA863">
            <v>0</v>
          </cell>
          <cell r="BB863">
            <v>0</v>
          </cell>
          <cell r="BC863">
            <v>0</v>
          </cell>
          <cell r="BD863">
            <v>0</v>
          </cell>
          <cell r="BE863">
            <v>0</v>
          </cell>
          <cell r="BF863">
            <v>0</v>
          </cell>
          <cell r="BG863">
            <v>192</v>
          </cell>
          <cell r="BH863">
            <v>0</v>
          </cell>
          <cell r="BI863">
            <v>0</v>
          </cell>
          <cell r="BJ863">
            <v>3.5</v>
          </cell>
          <cell r="BL863">
            <v>3</v>
          </cell>
          <cell r="BM863">
            <v>3</v>
          </cell>
          <cell r="BN863">
            <v>0</v>
          </cell>
          <cell r="BO863">
            <v>0</v>
          </cell>
          <cell r="BP863">
            <v>3</v>
          </cell>
          <cell r="BQ863">
            <v>3</v>
          </cell>
          <cell r="BR863">
            <v>3</v>
          </cell>
          <cell r="BS863">
            <v>3</v>
          </cell>
          <cell r="BT863">
            <v>0</v>
          </cell>
          <cell r="BU863">
            <v>0</v>
          </cell>
          <cell r="BV863">
            <v>0</v>
          </cell>
          <cell r="BW863">
            <v>3</v>
          </cell>
          <cell r="BX863">
            <v>3</v>
          </cell>
          <cell r="BY863">
            <v>3</v>
          </cell>
          <cell r="BZ863">
            <v>3</v>
          </cell>
          <cell r="CA863">
            <v>0</v>
          </cell>
          <cell r="CB863">
            <v>0</v>
          </cell>
          <cell r="CC863">
            <v>0</v>
          </cell>
          <cell r="CD863">
            <v>3</v>
          </cell>
          <cell r="CE863">
            <v>3</v>
          </cell>
          <cell r="CF863">
            <v>0</v>
          </cell>
          <cell r="CG863">
            <v>3</v>
          </cell>
          <cell r="CH863">
            <v>3</v>
          </cell>
          <cell r="CI863">
            <v>0</v>
          </cell>
          <cell r="CJ863">
            <v>0</v>
          </cell>
          <cell r="CK863">
            <v>0</v>
          </cell>
          <cell r="CL863">
            <v>0</v>
          </cell>
          <cell r="CM863">
            <v>0</v>
          </cell>
          <cell r="CR863">
            <v>0</v>
          </cell>
          <cell r="CS863">
            <v>0</v>
          </cell>
          <cell r="CT863">
            <v>42</v>
          </cell>
          <cell r="CU863">
            <v>0</v>
          </cell>
          <cell r="CV863">
            <v>0</v>
          </cell>
          <cell r="CZ863">
            <v>42</v>
          </cell>
        </row>
        <row r="864">
          <cell r="C864" t="str">
            <v>03792</v>
          </cell>
          <cell r="D864" t="str">
            <v>Đàm Thị Tươi</v>
          </cell>
          <cell r="E864" t="str">
            <v>Production</v>
          </cell>
          <cell r="F864" t="str">
            <v>Lamination</v>
          </cell>
          <cell r="G864" t="str">
            <v>Worker</v>
          </cell>
          <cell r="H864">
            <v>44999</v>
          </cell>
          <cell r="I864" t="str">
            <v>Đ</v>
          </cell>
          <cell r="J864" t="str">
            <v>Đ</v>
          </cell>
          <cell r="K864" t="str">
            <v>Đ</v>
          </cell>
          <cell r="L864" t="str">
            <v>CN</v>
          </cell>
          <cell r="M864">
            <v>8</v>
          </cell>
          <cell r="N864">
            <v>8</v>
          </cell>
          <cell r="O864">
            <v>8</v>
          </cell>
          <cell r="P864" t="str">
            <v>UP4</v>
          </cell>
          <cell r="Q864">
            <v>8</v>
          </cell>
          <cell r="R864">
            <v>8</v>
          </cell>
          <cell r="S864" t="str">
            <v>CN</v>
          </cell>
          <cell r="T864" t="str">
            <v>Đ</v>
          </cell>
          <cell r="U864" t="str">
            <v>Đ</v>
          </cell>
          <cell r="V864" t="str">
            <v>Đ</v>
          </cell>
          <cell r="W864" t="str">
            <v>Đ</v>
          </cell>
          <cell r="X864" t="str">
            <v>Đ</v>
          </cell>
          <cell r="Y864" t="str">
            <v>Đ</v>
          </cell>
          <cell r="Z864" t="str">
            <v>CN</v>
          </cell>
          <cell r="AA864">
            <v>8</v>
          </cell>
          <cell r="AB864">
            <v>8</v>
          </cell>
          <cell r="AC864">
            <v>8</v>
          </cell>
          <cell r="AD864">
            <v>8</v>
          </cell>
          <cell r="AE864" t="str">
            <v>AL4</v>
          </cell>
          <cell r="AF864">
            <v>8</v>
          </cell>
          <cell r="AG864" t="str">
            <v>CN</v>
          </cell>
          <cell r="AH864" t="str">
            <v>Đ</v>
          </cell>
          <cell r="AI864" t="str">
            <v>Đ</v>
          </cell>
          <cell r="AJ864" t="str">
            <v>Đ</v>
          </cell>
          <cell r="AN864">
            <v>96</v>
          </cell>
          <cell r="AO864">
            <v>88</v>
          </cell>
          <cell r="AP864">
            <v>4</v>
          </cell>
          <cell r="AQ864">
            <v>0</v>
          </cell>
          <cell r="AR864">
            <v>4</v>
          </cell>
          <cell r="AS864">
            <v>4</v>
          </cell>
          <cell r="AT864">
            <v>0</v>
          </cell>
          <cell r="AU864">
            <v>0</v>
          </cell>
          <cell r="AV864">
            <v>0</v>
          </cell>
          <cell r="AW864">
            <v>0</v>
          </cell>
          <cell r="AX864">
            <v>0</v>
          </cell>
          <cell r="AY864">
            <v>0</v>
          </cell>
          <cell r="AZ864">
            <v>0</v>
          </cell>
          <cell r="BA864">
            <v>4</v>
          </cell>
          <cell r="BB864">
            <v>0</v>
          </cell>
          <cell r="BC864">
            <v>0</v>
          </cell>
          <cell r="BD864">
            <v>0</v>
          </cell>
          <cell r="BE864">
            <v>0</v>
          </cell>
          <cell r="BF864">
            <v>0</v>
          </cell>
          <cell r="BG864">
            <v>188</v>
          </cell>
          <cell r="BH864">
            <v>0.5</v>
          </cell>
          <cell r="BI864">
            <v>0.5</v>
          </cell>
          <cell r="BJ864">
            <v>0.5</v>
          </cell>
          <cell r="BL864">
            <v>4</v>
          </cell>
          <cell r="BM864">
            <v>4</v>
          </cell>
          <cell r="BN864">
            <v>0</v>
          </cell>
          <cell r="BO864">
            <v>0</v>
          </cell>
          <cell r="BP864">
            <v>3</v>
          </cell>
          <cell r="BQ864">
            <v>3</v>
          </cell>
          <cell r="BR864">
            <v>3</v>
          </cell>
          <cell r="BS864">
            <v>0</v>
          </cell>
          <cell r="BT864">
            <v>3</v>
          </cell>
          <cell r="BU864">
            <v>0</v>
          </cell>
          <cell r="BV864">
            <v>0</v>
          </cell>
          <cell r="BW864">
            <v>0</v>
          </cell>
          <cell r="BX864">
            <v>0</v>
          </cell>
          <cell r="BY864">
            <v>0</v>
          </cell>
          <cell r="BZ864">
            <v>4</v>
          </cell>
          <cell r="CA864">
            <v>4</v>
          </cell>
          <cell r="CB864">
            <v>0</v>
          </cell>
          <cell r="CC864">
            <v>0</v>
          </cell>
          <cell r="CD864">
            <v>0</v>
          </cell>
          <cell r="CE864">
            <v>3</v>
          </cell>
          <cell r="CF864">
            <v>3</v>
          </cell>
          <cell r="CG864">
            <v>3</v>
          </cell>
          <cell r="CH864">
            <v>0</v>
          </cell>
          <cell r="CI864">
            <v>0</v>
          </cell>
          <cell r="CJ864">
            <v>8</v>
          </cell>
          <cell r="CK864">
            <v>0</v>
          </cell>
          <cell r="CL864">
            <v>0</v>
          </cell>
          <cell r="CM864">
            <v>3</v>
          </cell>
          <cell r="CR864">
            <v>0</v>
          </cell>
          <cell r="CS864">
            <v>0</v>
          </cell>
          <cell r="CT864">
            <v>40</v>
          </cell>
          <cell r="CU864">
            <v>8</v>
          </cell>
          <cell r="CV864">
            <v>0</v>
          </cell>
          <cell r="CZ864">
            <v>48</v>
          </cell>
        </row>
        <row r="865">
          <cell r="C865" t="str">
            <v>01429</v>
          </cell>
          <cell r="D865" t="str">
            <v>Hoàng Ngọc Ánh Thảo</v>
          </cell>
          <cell r="E865" t="str">
            <v>Warehouse</v>
          </cell>
          <cell r="F865" t="str">
            <v>FGS Warehouse</v>
          </cell>
          <cell r="G865" t="str">
            <v>Staff</v>
          </cell>
          <cell r="H865">
            <v>43439</v>
          </cell>
          <cell r="I865">
            <v>8</v>
          </cell>
          <cell r="J865">
            <v>8</v>
          </cell>
          <cell r="K865" t="str">
            <v>PO</v>
          </cell>
          <cell r="L865" t="str">
            <v>CN</v>
          </cell>
          <cell r="M865">
            <v>8</v>
          </cell>
          <cell r="N865" t="str">
            <v>AL8</v>
          </cell>
          <cell r="O865">
            <v>8</v>
          </cell>
          <cell r="P865">
            <v>8</v>
          </cell>
          <cell r="Q865">
            <v>8</v>
          </cell>
          <cell r="R865" t="str">
            <v>PO</v>
          </cell>
          <cell r="S865" t="str">
            <v>CN</v>
          </cell>
          <cell r="T865">
            <v>8</v>
          </cell>
          <cell r="U865">
            <v>8</v>
          </cell>
          <cell r="V865">
            <v>8</v>
          </cell>
          <cell r="W865">
            <v>8</v>
          </cell>
          <cell r="X865">
            <v>8</v>
          </cell>
          <cell r="Y865" t="str">
            <v>PO</v>
          </cell>
          <cell r="Z865" t="str">
            <v>CN</v>
          </cell>
          <cell r="AA865" t="str">
            <v>AL8</v>
          </cell>
          <cell r="AB865">
            <v>8</v>
          </cell>
          <cell r="AC865">
            <v>8</v>
          </cell>
          <cell r="AD865">
            <v>8</v>
          </cell>
          <cell r="AE865">
            <v>8</v>
          </cell>
          <cell r="AF865" t="str">
            <v>PO</v>
          </cell>
          <cell r="AG865" t="str">
            <v>CN</v>
          </cell>
          <cell r="AH865">
            <v>8</v>
          </cell>
          <cell r="AI865">
            <v>8</v>
          </cell>
          <cell r="AJ865">
            <v>8</v>
          </cell>
          <cell r="AN865">
            <v>0</v>
          </cell>
          <cell r="AO865">
            <v>144</v>
          </cell>
          <cell r="AP865">
            <v>0</v>
          </cell>
          <cell r="AQ865">
            <v>0</v>
          </cell>
          <cell r="AR865">
            <v>0</v>
          </cell>
          <cell r="AS865">
            <v>0</v>
          </cell>
          <cell r="AT865">
            <v>0</v>
          </cell>
          <cell r="AU865">
            <v>0</v>
          </cell>
          <cell r="AV865">
            <v>32</v>
          </cell>
          <cell r="AW865">
            <v>0</v>
          </cell>
          <cell r="AX865">
            <v>0</v>
          </cell>
          <cell r="AY865">
            <v>0</v>
          </cell>
          <cell r="AZ865">
            <v>0</v>
          </cell>
          <cell r="BA865">
            <v>16</v>
          </cell>
          <cell r="BB865">
            <v>0</v>
          </cell>
          <cell r="BC865">
            <v>0</v>
          </cell>
          <cell r="BD865">
            <v>0</v>
          </cell>
          <cell r="BE865">
            <v>0</v>
          </cell>
          <cell r="BF865">
            <v>0</v>
          </cell>
          <cell r="BG865">
            <v>192</v>
          </cell>
          <cell r="BH865">
            <v>2</v>
          </cell>
          <cell r="BI865">
            <v>2</v>
          </cell>
          <cell r="BJ865">
            <v>4</v>
          </cell>
          <cell r="BL865">
            <v>0</v>
          </cell>
          <cell r="BM865">
            <v>0</v>
          </cell>
          <cell r="BN865">
            <v>0</v>
          </cell>
          <cell r="BO865">
            <v>0</v>
          </cell>
          <cell r="BP865">
            <v>0</v>
          </cell>
          <cell r="BQ865">
            <v>0</v>
          </cell>
          <cell r="BR865">
            <v>0</v>
          </cell>
          <cell r="BS865">
            <v>0</v>
          </cell>
          <cell r="BT865">
            <v>0</v>
          </cell>
          <cell r="BU865">
            <v>0</v>
          </cell>
          <cell r="BV865">
            <v>0</v>
          </cell>
          <cell r="BW865">
            <v>0</v>
          </cell>
          <cell r="BX865">
            <v>0</v>
          </cell>
          <cell r="BY865">
            <v>0</v>
          </cell>
          <cell r="BZ865">
            <v>0</v>
          </cell>
          <cell r="CA865">
            <v>0</v>
          </cell>
          <cell r="CB865">
            <v>0</v>
          </cell>
          <cell r="CC865">
            <v>0</v>
          </cell>
          <cell r="CD865">
            <v>0</v>
          </cell>
          <cell r="CE865">
            <v>0</v>
          </cell>
          <cell r="CF865">
            <v>0</v>
          </cell>
          <cell r="CG865">
            <v>0</v>
          </cell>
          <cell r="CH865">
            <v>0</v>
          </cell>
          <cell r="CI865">
            <v>0</v>
          </cell>
          <cell r="CJ865">
            <v>0</v>
          </cell>
          <cell r="CK865">
            <v>0</v>
          </cell>
          <cell r="CL865">
            <v>0</v>
          </cell>
          <cell r="CM865">
            <v>0</v>
          </cell>
          <cell r="CR865">
            <v>0</v>
          </cell>
          <cell r="CS865">
            <v>0</v>
          </cell>
          <cell r="CT865">
            <v>0</v>
          </cell>
          <cell r="CU865">
            <v>0</v>
          </cell>
          <cell r="CV865">
            <v>0</v>
          </cell>
          <cell r="CZ865">
            <v>0</v>
          </cell>
        </row>
        <row r="866">
          <cell r="C866" t="str">
            <v>02106</v>
          </cell>
          <cell r="D866" t="str">
            <v>Nguyễn Thị Hiền Duyên</v>
          </cell>
          <cell r="E866" t="str">
            <v>Purchasing</v>
          </cell>
          <cell r="F866" t="str">
            <v>Purchasing</v>
          </cell>
          <cell r="G866" t="str">
            <v>Senior Staff</v>
          </cell>
          <cell r="H866">
            <v>43843</v>
          </cell>
          <cell r="I866" t="str">
            <v>WH</v>
          </cell>
          <cell r="J866">
            <v>8</v>
          </cell>
          <cell r="K866" t="str">
            <v>PO</v>
          </cell>
          <cell r="L866" t="str">
            <v>CN</v>
          </cell>
          <cell r="M866">
            <v>8</v>
          </cell>
          <cell r="N866">
            <v>8</v>
          </cell>
          <cell r="O866">
            <v>8</v>
          </cell>
          <cell r="P866">
            <v>8</v>
          </cell>
          <cell r="Q866">
            <v>8</v>
          </cell>
          <cell r="R866" t="str">
            <v>PO</v>
          </cell>
          <cell r="S866" t="str">
            <v>CN</v>
          </cell>
          <cell r="T866">
            <v>8</v>
          </cell>
          <cell r="U866">
            <v>8</v>
          </cell>
          <cell r="V866">
            <v>8</v>
          </cell>
          <cell r="W866" t="str">
            <v>WH</v>
          </cell>
          <cell r="X866">
            <v>8</v>
          </cell>
          <cell r="Y866" t="str">
            <v>PO</v>
          </cell>
          <cell r="Z866" t="str">
            <v>CN</v>
          </cell>
          <cell r="AA866">
            <v>8</v>
          </cell>
          <cell r="AB866">
            <v>8</v>
          </cell>
          <cell r="AC866">
            <v>8</v>
          </cell>
          <cell r="AD866">
            <v>8</v>
          </cell>
          <cell r="AE866">
            <v>8</v>
          </cell>
          <cell r="AF866" t="str">
            <v>PO</v>
          </cell>
          <cell r="AG866" t="str">
            <v>CN</v>
          </cell>
          <cell r="AH866">
            <v>8</v>
          </cell>
          <cell r="AI866">
            <v>8</v>
          </cell>
          <cell r="AJ866">
            <v>8</v>
          </cell>
          <cell r="AN866">
            <v>0</v>
          </cell>
          <cell r="AO866">
            <v>144</v>
          </cell>
          <cell r="AP866">
            <v>0</v>
          </cell>
          <cell r="AQ866">
            <v>0</v>
          </cell>
          <cell r="AR866">
            <v>0</v>
          </cell>
          <cell r="AS866">
            <v>0</v>
          </cell>
          <cell r="AT866">
            <v>0</v>
          </cell>
          <cell r="AU866">
            <v>0</v>
          </cell>
          <cell r="AV866">
            <v>32</v>
          </cell>
          <cell r="AW866">
            <v>0</v>
          </cell>
          <cell r="AX866">
            <v>0</v>
          </cell>
          <cell r="AY866">
            <v>0</v>
          </cell>
          <cell r="AZ866">
            <v>0</v>
          </cell>
          <cell r="BA866">
            <v>0</v>
          </cell>
          <cell r="BB866">
            <v>0</v>
          </cell>
          <cell r="BC866">
            <v>0</v>
          </cell>
          <cell r="BD866">
            <v>16</v>
          </cell>
          <cell r="BE866">
            <v>0</v>
          </cell>
          <cell r="BF866">
            <v>0</v>
          </cell>
          <cell r="BG866">
            <v>192</v>
          </cell>
          <cell r="BH866">
            <v>0</v>
          </cell>
          <cell r="BI866">
            <v>0</v>
          </cell>
          <cell r="BJ866">
            <v>7</v>
          </cell>
          <cell r="BL866">
            <v>0</v>
          </cell>
          <cell r="BM866">
            <v>4</v>
          </cell>
          <cell r="BN866">
            <v>0</v>
          </cell>
          <cell r="BO866">
            <v>0</v>
          </cell>
          <cell r="BP866">
            <v>4</v>
          </cell>
          <cell r="BQ866">
            <v>4</v>
          </cell>
          <cell r="BR866">
            <v>4</v>
          </cell>
          <cell r="BS866">
            <v>0</v>
          </cell>
          <cell r="BT866">
            <v>0</v>
          </cell>
          <cell r="BU866">
            <v>0</v>
          </cell>
          <cell r="BV866">
            <v>0</v>
          </cell>
          <cell r="BW866">
            <v>4</v>
          </cell>
          <cell r="BX866">
            <v>4</v>
          </cell>
          <cell r="BY866">
            <v>4</v>
          </cell>
          <cell r="BZ866">
            <v>0</v>
          </cell>
          <cell r="CA866">
            <v>0</v>
          </cell>
          <cell r="CB866">
            <v>0</v>
          </cell>
          <cell r="CC866">
            <v>0</v>
          </cell>
          <cell r="CD866">
            <v>4</v>
          </cell>
          <cell r="CE866">
            <v>4</v>
          </cell>
          <cell r="CF866">
            <v>0</v>
          </cell>
          <cell r="CG866">
            <v>0</v>
          </cell>
          <cell r="CH866">
            <v>0</v>
          </cell>
          <cell r="CI866">
            <v>0</v>
          </cell>
          <cell r="CJ866">
            <v>0</v>
          </cell>
          <cell r="CK866">
            <v>0</v>
          </cell>
          <cell r="CL866">
            <v>0</v>
          </cell>
          <cell r="CM866">
            <v>0</v>
          </cell>
          <cell r="CR866">
            <v>0</v>
          </cell>
          <cell r="CS866">
            <v>0</v>
          </cell>
          <cell r="CT866">
            <v>36</v>
          </cell>
          <cell r="CU866">
            <v>0</v>
          </cell>
          <cell r="CV866">
            <v>0</v>
          </cell>
          <cell r="CZ866">
            <v>36</v>
          </cell>
        </row>
        <row r="867">
          <cell r="C867" t="str">
            <v>02779</v>
          </cell>
          <cell r="D867" t="str">
            <v>Trịnh Thanh Huyền</v>
          </cell>
          <cell r="E867" t="str">
            <v>Technical Development</v>
          </cell>
          <cell r="F867" t="str">
            <v>PD Sample</v>
          </cell>
          <cell r="G867" t="str">
            <v>Staff</v>
          </cell>
          <cell r="H867">
            <v>44252</v>
          </cell>
          <cell r="I867">
            <v>8</v>
          </cell>
          <cell r="J867">
            <v>8</v>
          </cell>
          <cell r="K867" t="str">
            <v>PO</v>
          </cell>
          <cell r="L867" t="str">
            <v>CN</v>
          </cell>
          <cell r="M867">
            <v>8</v>
          </cell>
          <cell r="N867">
            <v>8</v>
          </cell>
          <cell r="O867">
            <v>8</v>
          </cell>
          <cell r="P867">
            <v>8</v>
          </cell>
          <cell r="Q867">
            <v>8</v>
          </cell>
          <cell r="R867" t="str">
            <v>PO</v>
          </cell>
          <cell r="S867" t="str">
            <v>CN</v>
          </cell>
          <cell r="T867">
            <v>8</v>
          </cell>
          <cell r="U867">
            <v>8</v>
          </cell>
          <cell r="V867">
            <v>8</v>
          </cell>
          <cell r="W867">
            <v>8</v>
          </cell>
          <cell r="X867">
            <v>8</v>
          </cell>
          <cell r="Y867" t="str">
            <v>PO</v>
          </cell>
          <cell r="Z867" t="str">
            <v>CN</v>
          </cell>
          <cell r="AA867">
            <v>8</v>
          </cell>
          <cell r="AB867">
            <v>8</v>
          </cell>
          <cell r="AC867">
            <v>8</v>
          </cell>
          <cell r="AD867">
            <v>8</v>
          </cell>
          <cell r="AE867">
            <v>8</v>
          </cell>
          <cell r="AF867" t="str">
            <v>PO</v>
          </cell>
          <cell r="AG867" t="str">
            <v>CN</v>
          </cell>
          <cell r="AH867">
            <v>8</v>
          </cell>
          <cell r="AI867">
            <v>8</v>
          </cell>
          <cell r="AJ867">
            <v>8</v>
          </cell>
          <cell r="AN867">
            <v>0</v>
          </cell>
          <cell r="AO867">
            <v>160</v>
          </cell>
          <cell r="AP867">
            <v>0</v>
          </cell>
          <cell r="AQ867">
            <v>0</v>
          </cell>
          <cell r="AR867">
            <v>0</v>
          </cell>
          <cell r="AS867">
            <v>0</v>
          </cell>
          <cell r="AT867">
            <v>0</v>
          </cell>
          <cell r="AU867">
            <v>0</v>
          </cell>
          <cell r="AV867">
            <v>32</v>
          </cell>
          <cell r="AW867">
            <v>0</v>
          </cell>
          <cell r="AX867">
            <v>0</v>
          </cell>
          <cell r="AY867">
            <v>0</v>
          </cell>
          <cell r="AZ867">
            <v>0</v>
          </cell>
          <cell r="BA867">
            <v>0</v>
          </cell>
          <cell r="BB867">
            <v>0</v>
          </cell>
          <cell r="BC867">
            <v>0</v>
          </cell>
          <cell r="BD867">
            <v>0</v>
          </cell>
          <cell r="BE867">
            <v>0</v>
          </cell>
          <cell r="BF867">
            <v>0</v>
          </cell>
          <cell r="BG867">
            <v>192</v>
          </cell>
          <cell r="BH867">
            <v>0</v>
          </cell>
          <cell r="BI867">
            <v>0</v>
          </cell>
          <cell r="BJ867">
            <v>9.5</v>
          </cell>
          <cell r="BL867">
            <v>0</v>
          </cell>
          <cell r="BM867">
            <v>0</v>
          </cell>
          <cell r="BN867">
            <v>0</v>
          </cell>
          <cell r="BO867">
            <v>0</v>
          </cell>
          <cell r="BP867">
            <v>0</v>
          </cell>
          <cell r="BQ867">
            <v>0</v>
          </cell>
          <cell r="BR867">
            <v>0</v>
          </cell>
          <cell r="BS867">
            <v>0</v>
          </cell>
          <cell r="BT867">
            <v>0</v>
          </cell>
          <cell r="BU867">
            <v>0</v>
          </cell>
          <cell r="BV867">
            <v>0</v>
          </cell>
          <cell r="BW867">
            <v>0</v>
          </cell>
          <cell r="BX867">
            <v>0</v>
          </cell>
          <cell r="BY867">
            <v>0</v>
          </cell>
          <cell r="BZ867">
            <v>0</v>
          </cell>
          <cell r="CA867">
            <v>0</v>
          </cell>
          <cell r="CB867">
            <v>0</v>
          </cell>
          <cell r="CC867">
            <v>0</v>
          </cell>
          <cell r="CD867">
            <v>0</v>
          </cell>
          <cell r="CE867">
            <v>0</v>
          </cell>
          <cell r="CF867">
            <v>0</v>
          </cell>
          <cell r="CG867">
            <v>0</v>
          </cell>
          <cell r="CH867">
            <v>0</v>
          </cell>
          <cell r="CI867">
            <v>0</v>
          </cell>
          <cell r="CJ867">
            <v>0</v>
          </cell>
          <cell r="CK867">
            <v>0</v>
          </cell>
          <cell r="CL867">
            <v>0</v>
          </cell>
          <cell r="CM867">
            <v>0</v>
          </cell>
          <cell r="CR867">
            <v>0</v>
          </cell>
          <cell r="CS867">
            <v>0</v>
          </cell>
          <cell r="CT867">
            <v>0</v>
          </cell>
          <cell r="CU867">
            <v>0</v>
          </cell>
          <cell r="CV867">
            <v>0</v>
          </cell>
          <cell r="CZ867">
            <v>0</v>
          </cell>
        </row>
        <row r="868">
          <cell r="C868" t="str">
            <v>04392</v>
          </cell>
          <cell r="D868" t="str">
            <v>Lê Phi Công</v>
          </cell>
          <cell r="E868" t="str">
            <v>Foaming</v>
          </cell>
          <cell r="F868" t="str">
            <v>FOAMING Splitting</v>
          </cell>
          <cell r="G868" t="str">
            <v>Worker</v>
          </cell>
          <cell r="H868">
            <v>45659</v>
          </cell>
          <cell r="I868">
            <v>7.733333333</v>
          </cell>
          <cell r="J868">
            <v>8</v>
          </cell>
          <cell r="K868">
            <v>8</v>
          </cell>
          <cell r="L868" t="str">
            <v>CN</v>
          </cell>
          <cell r="M868">
            <v>8</v>
          </cell>
          <cell r="N868">
            <v>8</v>
          </cell>
          <cell r="O868">
            <v>8</v>
          </cell>
          <cell r="P868">
            <v>8</v>
          </cell>
          <cell r="Q868">
            <v>8</v>
          </cell>
          <cell r="R868">
            <v>8</v>
          </cell>
          <cell r="S868" t="str">
            <v>CN</v>
          </cell>
          <cell r="T868">
            <v>8</v>
          </cell>
          <cell r="U868">
            <v>8</v>
          </cell>
          <cell r="V868" t="str">
            <v>AL8</v>
          </cell>
          <cell r="W868">
            <v>8</v>
          </cell>
          <cell r="X868">
            <v>8</v>
          </cell>
          <cell r="Y868">
            <v>8</v>
          </cell>
          <cell r="Z868" t="str">
            <v>CN</v>
          </cell>
          <cell r="AA868" t="str">
            <v>Đ</v>
          </cell>
          <cell r="AB868" t="str">
            <v>Đ</v>
          </cell>
          <cell r="AC868" t="str">
            <v>Đ</v>
          </cell>
          <cell r="AD868" t="str">
            <v>Đ</v>
          </cell>
          <cell r="AE868" t="str">
            <v>Đ</v>
          </cell>
          <cell r="AF868" t="str">
            <v>Đ</v>
          </cell>
          <cell r="AG868" t="str">
            <v>CN</v>
          </cell>
          <cell r="AH868" t="str">
            <v>Đ</v>
          </cell>
          <cell r="AI868" t="str">
            <v>Đ</v>
          </cell>
          <cell r="AJ868" t="str">
            <v>Đ</v>
          </cell>
          <cell r="AN868">
            <v>72</v>
          </cell>
          <cell r="AO868">
            <v>111.733333333</v>
          </cell>
          <cell r="AP868">
            <v>0</v>
          </cell>
          <cell r="AQ868">
            <v>0</v>
          </cell>
          <cell r="AR868">
            <v>0</v>
          </cell>
          <cell r="AS868">
            <v>0</v>
          </cell>
          <cell r="AT868">
            <v>0</v>
          </cell>
          <cell r="AU868">
            <v>0</v>
          </cell>
          <cell r="AV868">
            <v>0</v>
          </cell>
          <cell r="AW868">
            <v>0</v>
          </cell>
          <cell r="AX868">
            <v>0</v>
          </cell>
          <cell r="AY868">
            <v>0</v>
          </cell>
          <cell r="AZ868">
            <v>0</v>
          </cell>
          <cell r="BA868">
            <v>8</v>
          </cell>
          <cell r="BB868">
            <v>0</v>
          </cell>
          <cell r="BC868">
            <v>0</v>
          </cell>
          <cell r="BD868">
            <v>0</v>
          </cell>
          <cell r="BE868">
            <v>0</v>
          </cell>
          <cell r="BF868">
            <v>0</v>
          </cell>
          <cell r="BG868">
            <v>191.73333333300002</v>
          </cell>
          <cell r="BH868">
            <v>1</v>
          </cell>
          <cell r="BI868">
            <v>1</v>
          </cell>
          <cell r="BJ868">
            <v>-2</v>
          </cell>
          <cell r="BL868">
            <v>4</v>
          </cell>
          <cell r="BM868">
            <v>4</v>
          </cell>
          <cell r="BN868">
            <v>4</v>
          </cell>
          <cell r="BO868">
            <v>12</v>
          </cell>
          <cell r="BP868">
            <v>0</v>
          </cell>
          <cell r="BQ868">
            <v>4</v>
          </cell>
          <cell r="BR868">
            <v>4</v>
          </cell>
          <cell r="BS868">
            <v>4</v>
          </cell>
          <cell r="BT868">
            <v>4</v>
          </cell>
          <cell r="BU868">
            <v>4</v>
          </cell>
          <cell r="BV868">
            <v>11</v>
          </cell>
          <cell r="BW868">
            <v>4</v>
          </cell>
          <cell r="BX868">
            <v>4</v>
          </cell>
          <cell r="BY868">
            <v>0</v>
          </cell>
          <cell r="BZ868">
            <v>4</v>
          </cell>
          <cell r="CA868">
            <v>4</v>
          </cell>
          <cell r="CB868">
            <v>4</v>
          </cell>
          <cell r="CC868" t="str">
            <v>12Đ</v>
          </cell>
          <cell r="CD868">
            <v>4</v>
          </cell>
          <cell r="CE868">
            <v>4</v>
          </cell>
          <cell r="CF868">
            <v>4</v>
          </cell>
          <cell r="CG868">
            <v>4</v>
          </cell>
          <cell r="CH868">
            <v>4</v>
          </cell>
          <cell r="CI868">
            <v>4</v>
          </cell>
          <cell r="CJ868" t="str">
            <v>12Đ</v>
          </cell>
          <cell r="CK868">
            <v>4</v>
          </cell>
          <cell r="CL868">
            <v>0</v>
          </cell>
          <cell r="CM868">
            <v>4</v>
          </cell>
          <cell r="CR868">
            <v>0</v>
          </cell>
          <cell r="CS868">
            <v>0</v>
          </cell>
          <cell r="CT868">
            <v>84</v>
          </cell>
          <cell r="CU868">
            <v>31</v>
          </cell>
          <cell r="CV868">
            <v>16</v>
          </cell>
          <cell r="CZ868">
            <v>131</v>
          </cell>
        </row>
        <row r="869">
          <cell r="C869" t="str">
            <v>04393</v>
          </cell>
          <cell r="D869" t="str">
            <v>Ngô Vũ Phương</v>
          </cell>
          <cell r="E869" t="str">
            <v>Foaming</v>
          </cell>
          <cell r="F869" t="str">
            <v>FOAMING Splitting</v>
          </cell>
          <cell r="G869" t="str">
            <v>Worker</v>
          </cell>
          <cell r="H869">
            <v>45659</v>
          </cell>
          <cell r="I869">
            <v>8</v>
          </cell>
          <cell r="J869">
            <v>8</v>
          </cell>
          <cell r="K869" t="str">
            <v>AL8</v>
          </cell>
          <cell r="L869" t="str">
            <v>CN</v>
          </cell>
          <cell r="M869">
            <v>8</v>
          </cell>
          <cell r="N869">
            <v>8</v>
          </cell>
          <cell r="O869">
            <v>8</v>
          </cell>
          <cell r="P869">
            <v>8</v>
          </cell>
          <cell r="Q869">
            <v>8</v>
          </cell>
          <cell r="R869">
            <v>8</v>
          </cell>
          <cell r="S869" t="str">
            <v>CN</v>
          </cell>
          <cell r="T869" t="str">
            <v>AL8</v>
          </cell>
          <cell r="U869" t="str">
            <v>AL8</v>
          </cell>
          <cell r="V869" t="str">
            <v>AL8</v>
          </cell>
          <cell r="W869">
            <v>8</v>
          </cell>
          <cell r="X869">
            <v>8</v>
          </cell>
          <cell r="Y869">
            <v>8</v>
          </cell>
          <cell r="Z869" t="str">
            <v>CN</v>
          </cell>
          <cell r="AA869" t="str">
            <v>Đ</v>
          </cell>
          <cell r="AB869" t="str">
            <v>Đ</v>
          </cell>
          <cell r="AC869" t="str">
            <v>Đ</v>
          </cell>
          <cell r="AD869" t="str">
            <v>Đ</v>
          </cell>
          <cell r="AE869" t="str">
            <v>Đ</v>
          </cell>
          <cell r="AF869" t="str">
            <v>Đ</v>
          </cell>
          <cell r="AG869" t="str">
            <v>CN</v>
          </cell>
          <cell r="AH869" t="str">
            <v>Đ</v>
          </cell>
          <cell r="AI869" t="str">
            <v>Đ</v>
          </cell>
          <cell r="AJ869" t="str">
            <v>Đ</v>
          </cell>
          <cell r="AN869">
            <v>72</v>
          </cell>
          <cell r="AO869">
            <v>88</v>
          </cell>
          <cell r="AP869">
            <v>0</v>
          </cell>
          <cell r="AQ869">
            <v>0</v>
          </cell>
          <cell r="AR869">
            <v>0</v>
          </cell>
          <cell r="AS869">
            <v>0</v>
          </cell>
          <cell r="AT869">
            <v>0</v>
          </cell>
          <cell r="AU869">
            <v>0</v>
          </cell>
          <cell r="AV869">
            <v>0</v>
          </cell>
          <cell r="AW869">
            <v>0</v>
          </cell>
          <cell r="AX869">
            <v>0</v>
          </cell>
          <cell r="AY869">
            <v>0</v>
          </cell>
          <cell r="AZ869">
            <v>0</v>
          </cell>
          <cell r="BA869">
            <v>32</v>
          </cell>
          <cell r="BB869">
            <v>0</v>
          </cell>
          <cell r="BC869">
            <v>0</v>
          </cell>
          <cell r="BD869">
            <v>0</v>
          </cell>
          <cell r="BE869">
            <v>0</v>
          </cell>
          <cell r="BF869">
            <v>0</v>
          </cell>
          <cell r="BG869">
            <v>192</v>
          </cell>
          <cell r="BH869">
            <v>4</v>
          </cell>
          <cell r="BI869">
            <v>4</v>
          </cell>
          <cell r="BJ869">
            <v>-1</v>
          </cell>
          <cell r="BL869">
            <v>4</v>
          </cell>
          <cell r="BM869">
            <v>4</v>
          </cell>
          <cell r="BN869">
            <v>0</v>
          </cell>
          <cell r="BO869">
            <v>12</v>
          </cell>
          <cell r="BP869">
            <v>0</v>
          </cell>
          <cell r="BQ869">
            <v>4</v>
          </cell>
          <cell r="BR869">
            <v>4</v>
          </cell>
          <cell r="BS869">
            <v>4</v>
          </cell>
          <cell r="BT869">
            <v>4</v>
          </cell>
          <cell r="BU869">
            <v>4</v>
          </cell>
          <cell r="BV869">
            <v>0</v>
          </cell>
          <cell r="BW869">
            <v>0</v>
          </cell>
          <cell r="BX869">
            <v>0</v>
          </cell>
          <cell r="BY869">
            <v>0</v>
          </cell>
          <cell r="BZ869">
            <v>4</v>
          </cell>
          <cell r="CA869">
            <v>4</v>
          </cell>
          <cell r="CB869">
            <v>0</v>
          </cell>
          <cell r="CC869" t="str">
            <v>12Đ</v>
          </cell>
          <cell r="CD869">
            <v>4</v>
          </cell>
          <cell r="CE869">
            <v>4</v>
          </cell>
          <cell r="CF869">
            <v>4</v>
          </cell>
          <cell r="CG869">
            <v>4</v>
          </cell>
          <cell r="CH869">
            <v>4</v>
          </cell>
          <cell r="CI869">
            <v>4</v>
          </cell>
          <cell r="CJ869" t="str">
            <v>12Đ</v>
          </cell>
          <cell r="CK869">
            <v>4</v>
          </cell>
          <cell r="CL869">
            <v>0</v>
          </cell>
          <cell r="CM869">
            <v>4</v>
          </cell>
          <cell r="CR869">
            <v>0</v>
          </cell>
          <cell r="CS869">
            <v>0</v>
          </cell>
          <cell r="CT869">
            <v>68</v>
          </cell>
          <cell r="CU869">
            <v>20</v>
          </cell>
          <cell r="CV869">
            <v>16</v>
          </cell>
          <cell r="CZ869">
            <v>104</v>
          </cell>
        </row>
        <row r="870">
          <cell r="C870" t="str">
            <v>04394</v>
          </cell>
          <cell r="D870" t="str">
            <v>Ngô Trần Huyền Ngọc Thi Trang</v>
          </cell>
          <cell r="E870" t="str">
            <v>Warehouse</v>
          </cell>
          <cell r="F870" t="str">
            <v>Warehouse</v>
          </cell>
          <cell r="G870" t="str">
            <v>Staff</v>
          </cell>
          <cell r="H870">
            <v>45659</v>
          </cell>
          <cell r="I870" t="str">
            <v>TV</v>
          </cell>
          <cell r="J870" t="str">
            <v>TV</v>
          </cell>
          <cell r="K870" t="str">
            <v>TV</v>
          </cell>
          <cell r="L870" t="str">
            <v>TV</v>
          </cell>
          <cell r="M870" t="str">
            <v>TV</v>
          </cell>
          <cell r="N870" t="str">
            <v>TV</v>
          </cell>
          <cell r="O870" t="str">
            <v>TV</v>
          </cell>
          <cell r="P870" t="str">
            <v>TV</v>
          </cell>
          <cell r="Q870" t="str">
            <v>TV</v>
          </cell>
          <cell r="R870" t="str">
            <v>TV</v>
          </cell>
          <cell r="S870" t="str">
            <v>TV</v>
          </cell>
          <cell r="T870" t="str">
            <v>TV</v>
          </cell>
          <cell r="U870" t="str">
            <v>TV</v>
          </cell>
          <cell r="V870" t="str">
            <v>TV</v>
          </cell>
          <cell r="W870" t="str">
            <v>TV</v>
          </cell>
          <cell r="X870" t="str">
            <v>TV</v>
          </cell>
          <cell r="Y870" t="str">
            <v>TV</v>
          </cell>
          <cell r="Z870" t="str">
            <v>TV</v>
          </cell>
          <cell r="AA870" t="str">
            <v>TV</v>
          </cell>
          <cell r="AB870" t="str">
            <v>TV</v>
          </cell>
          <cell r="AC870" t="str">
            <v>TV</v>
          </cell>
          <cell r="AD870" t="str">
            <v>TV</v>
          </cell>
          <cell r="AE870" t="str">
            <v>TV</v>
          </cell>
          <cell r="AF870" t="str">
            <v>TV</v>
          </cell>
          <cell r="AG870" t="str">
            <v>TV</v>
          </cell>
          <cell r="AH870" t="str">
            <v>TV</v>
          </cell>
          <cell r="AI870" t="str">
            <v>TV</v>
          </cell>
          <cell r="AJ870" t="str">
            <v>TV</v>
          </cell>
          <cell r="AN870">
            <v>0</v>
          </cell>
          <cell r="AO870">
            <v>0</v>
          </cell>
          <cell r="AP870">
            <v>0</v>
          </cell>
          <cell r="AQ870">
            <v>0</v>
          </cell>
          <cell r="AR870">
            <v>0</v>
          </cell>
          <cell r="AS870">
            <v>0</v>
          </cell>
          <cell r="AT870">
            <v>0</v>
          </cell>
          <cell r="AU870">
            <v>0</v>
          </cell>
          <cell r="AV870">
            <v>0</v>
          </cell>
          <cell r="AW870">
            <v>0</v>
          </cell>
          <cell r="AX870">
            <v>0</v>
          </cell>
          <cell r="AY870">
            <v>0</v>
          </cell>
          <cell r="AZ870">
            <v>0</v>
          </cell>
          <cell r="BA870">
            <v>0</v>
          </cell>
          <cell r="BB870">
            <v>0</v>
          </cell>
          <cell r="BC870">
            <v>0</v>
          </cell>
          <cell r="BD870">
            <v>0</v>
          </cell>
          <cell r="BE870">
            <v>0</v>
          </cell>
          <cell r="BF870">
            <v>0</v>
          </cell>
          <cell r="BG870">
            <v>0</v>
          </cell>
          <cell r="BH870">
            <v>0</v>
          </cell>
          <cell r="BI870">
            <v>0</v>
          </cell>
          <cell r="BJ870">
            <v>3</v>
          </cell>
          <cell r="BL870">
            <v>0</v>
          </cell>
          <cell r="BM870">
            <v>0</v>
          </cell>
          <cell r="BN870">
            <v>0</v>
          </cell>
          <cell r="BO870">
            <v>0</v>
          </cell>
          <cell r="BP870">
            <v>0</v>
          </cell>
          <cell r="BQ870">
            <v>0</v>
          </cell>
          <cell r="BR870">
            <v>0</v>
          </cell>
          <cell r="BS870">
            <v>0</v>
          </cell>
          <cell r="BT870">
            <v>0</v>
          </cell>
          <cell r="BU870">
            <v>0</v>
          </cell>
          <cell r="BV870">
            <v>0</v>
          </cell>
          <cell r="BW870">
            <v>0</v>
          </cell>
          <cell r="BX870">
            <v>0</v>
          </cell>
          <cell r="BY870">
            <v>0</v>
          </cell>
          <cell r="BZ870">
            <v>0</v>
          </cell>
          <cell r="CA870">
            <v>0</v>
          </cell>
          <cell r="CB870">
            <v>0</v>
          </cell>
          <cell r="CC870">
            <v>0</v>
          </cell>
          <cell r="CD870">
            <v>0</v>
          </cell>
          <cell r="CE870">
            <v>0</v>
          </cell>
          <cell r="CF870">
            <v>0</v>
          </cell>
          <cell r="CG870">
            <v>0</v>
          </cell>
          <cell r="CH870">
            <v>0</v>
          </cell>
          <cell r="CI870">
            <v>0</v>
          </cell>
          <cell r="CJ870">
            <v>0</v>
          </cell>
          <cell r="CK870">
            <v>0</v>
          </cell>
          <cell r="CL870">
            <v>0</v>
          </cell>
          <cell r="CM870">
            <v>0</v>
          </cell>
          <cell r="CR870">
            <v>0</v>
          </cell>
          <cell r="CS870">
            <v>0</v>
          </cell>
          <cell r="CT870">
            <v>0</v>
          </cell>
          <cell r="CU870">
            <v>0</v>
          </cell>
          <cell r="CV870">
            <v>0</v>
          </cell>
          <cell r="CZ870">
            <v>0</v>
          </cell>
        </row>
        <row r="871">
          <cell r="C871" t="str">
            <v>04396</v>
          </cell>
          <cell r="D871" t="str">
            <v>Dương Minh Triều</v>
          </cell>
          <cell r="E871" t="str">
            <v>Production</v>
          </cell>
          <cell r="F871" t="str">
            <v>Molding</v>
          </cell>
          <cell r="G871" t="str">
            <v>Team Leader</v>
          </cell>
          <cell r="H871">
            <v>45663</v>
          </cell>
          <cell r="I871">
            <v>8</v>
          </cell>
          <cell r="J871">
            <v>8</v>
          </cell>
          <cell r="K871">
            <v>8</v>
          </cell>
          <cell r="L871" t="str">
            <v>CN</v>
          </cell>
          <cell r="M871" t="str">
            <v>AL8</v>
          </cell>
          <cell r="N871" t="str">
            <v>AL8</v>
          </cell>
          <cell r="O871">
            <v>8</v>
          </cell>
          <cell r="P871">
            <v>8</v>
          </cell>
          <cell r="Q871" t="str">
            <v>Đ</v>
          </cell>
          <cell r="R871" t="str">
            <v>Đ</v>
          </cell>
          <cell r="S871" t="str">
            <v>CN</v>
          </cell>
          <cell r="T871">
            <v>8</v>
          </cell>
          <cell r="U871">
            <v>8</v>
          </cell>
          <cell r="V871">
            <v>8</v>
          </cell>
          <cell r="W871">
            <v>8</v>
          </cell>
          <cell r="X871">
            <v>8</v>
          </cell>
          <cell r="Y871">
            <v>8</v>
          </cell>
          <cell r="Z871" t="str">
            <v>CN</v>
          </cell>
          <cell r="AA871">
            <v>8</v>
          </cell>
          <cell r="AB871">
            <v>8</v>
          </cell>
          <cell r="AC871">
            <v>8</v>
          </cell>
          <cell r="AD871">
            <v>8</v>
          </cell>
          <cell r="AE871" t="str">
            <v>Đ</v>
          </cell>
          <cell r="AF871" t="str">
            <v>Đ</v>
          </cell>
          <cell r="AG871" t="str">
            <v>CN</v>
          </cell>
          <cell r="AH871">
            <v>8</v>
          </cell>
          <cell r="AI871">
            <v>8</v>
          </cell>
          <cell r="AJ871">
            <v>8</v>
          </cell>
          <cell r="AN871">
            <v>32</v>
          </cell>
          <cell r="AO871">
            <v>144</v>
          </cell>
          <cell r="AP871">
            <v>0</v>
          </cell>
          <cell r="AQ871">
            <v>0</v>
          </cell>
          <cell r="AR871">
            <v>0</v>
          </cell>
          <cell r="AS871">
            <v>0</v>
          </cell>
          <cell r="AT871">
            <v>0</v>
          </cell>
          <cell r="AU871">
            <v>0</v>
          </cell>
          <cell r="AV871">
            <v>0</v>
          </cell>
          <cell r="AW871">
            <v>0</v>
          </cell>
          <cell r="AX871">
            <v>0</v>
          </cell>
          <cell r="AY871">
            <v>0</v>
          </cell>
          <cell r="AZ871">
            <v>0</v>
          </cell>
          <cell r="BA871">
            <v>16</v>
          </cell>
          <cell r="BB871">
            <v>0</v>
          </cell>
          <cell r="BC871">
            <v>0</v>
          </cell>
          <cell r="BD871">
            <v>0</v>
          </cell>
          <cell r="BE871">
            <v>0</v>
          </cell>
          <cell r="BF871">
            <v>0</v>
          </cell>
          <cell r="BG871">
            <v>192</v>
          </cell>
          <cell r="BH871">
            <v>2</v>
          </cell>
          <cell r="BI871">
            <v>2</v>
          </cell>
          <cell r="BJ871">
            <v>1.5</v>
          </cell>
          <cell r="BL871">
            <v>0</v>
          </cell>
          <cell r="BM871">
            <v>4</v>
          </cell>
          <cell r="BN871">
            <v>4</v>
          </cell>
          <cell r="BO871">
            <v>0</v>
          </cell>
          <cell r="BP871">
            <v>0</v>
          </cell>
          <cell r="BQ871">
            <v>0</v>
          </cell>
          <cell r="BR871">
            <v>0</v>
          </cell>
          <cell r="BS871">
            <v>0</v>
          </cell>
          <cell r="BT871">
            <v>4</v>
          </cell>
          <cell r="BU871">
            <v>4</v>
          </cell>
          <cell r="BV871">
            <v>0</v>
          </cell>
          <cell r="BW871">
            <v>0</v>
          </cell>
          <cell r="BX871">
            <v>0</v>
          </cell>
          <cell r="BY871">
            <v>0</v>
          </cell>
          <cell r="BZ871">
            <v>2</v>
          </cell>
          <cell r="CA871">
            <v>4</v>
          </cell>
          <cell r="CB871">
            <v>4</v>
          </cell>
          <cell r="CC871">
            <v>0</v>
          </cell>
          <cell r="CD871">
            <v>0</v>
          </cell>
          <cell r="CE871">
            <v>0</v>
          </cell>
          <cell r="CF871">
            <v>0</v>
          </cell>
          <cell r="CG871">
            <v>0</v>
          </cell>
          <cell r="CH871">
            <v>4</v>
          </cell>
          <cell r="CI871">
            <v>4</v>
          </cell>
          <cell r="CJ871">
            <v>0</v>
          </cell>
          <cell r="CK871">
            <v>0</v>
          </cell>
          <cell r="CL871">
            <v>2</v>
          </cell>
          <cell r="CM871">
            <v>0</v>
          </cell>
          <cell r="CR871">
            <v>0</v>
          </cell>
          <cell r="CS871">
            <v>0</v>
          </cell>
          <cell r="CT871">
            <v>36</v>
          </cell>
          <cell r="CU871">
            <v>0</v>
          </cell>
          <cell r="CV871">
            <v>0</v>
          </cell>
          <cell r="CZ871">
            <v>36</v>
          </cell>
        </row>
        <row r="872">
          <cell r="C872" t="str">
            <v>04397</v>
          </cell>
          <cell r="D872" t="str">
            <v>Lê Thùy Linh</v>
          </cell>
          <cell r="E872" t="str">
            <v>Production</v>
          </cell>
          <cell r="F872" t="str">
            <v>Die Cut</v>
          </cell>
          <cell r="G872" t="str">
            <v>Team Leader</v>
          </cell>
          <cell r="H872">
            <v>45663</v>
          </cell>
          <cell r="I872" t="str">
            <v>Đ</v>
          </cell>
          <cell r="J872" t="str">
            <v>Đ</v>
          </cell>
          <cell r="K872" t="str">
            <v>Đ</v>
          </cell>
          <cell r="L872" t="str">
            <v>CN</v>
          </cell>
          <cell r="M872">
            <v>8</v>
          </cell>
          <cell r="N872">
            <v>8</v>
          </cell>
          <cell r="O872">
            <v>8</v>
          </cell>
          <cell r="P872">
            <v>8</v>
          </cell>
          <cell r="Q872" t="str">
            <v>PO</v>
          </cell>
          <cell r="R872">
            <v>8</v>
          </cell>
          <cell r="S872" t="str">
            <v>CN</v>
          </cell>
          <cell r="T872" t="str">
            <v>Đ</v>
          </cell>
          <cell r="U872" t="str">
            <v>Đ</v>
          </cell>
          <cell r="V872" t="str">
            <v>Đ</v>
          </cell>
          <cell r="W872" t="str">
            <v>Đ</v>
          </cell>
          <cell r="X872" t="str">
            <v>Đ</v>
          </cell>
          <cell r="Y872" t="str">
            <v>Đ</v>
          </cell>
          <cell r="Z872" t="str">
            <v>CN</v>
          </cell>
          <cell r="AA872">
            <v>8</v>
          </cell>
          <cell r="AB872">
            <v>8</v>
          </cell>
          <cell r="AC872">
            <v>8</v>
          </cell>
          <cell r="AD872">
            <v>8</v>
          </cell>
          <cell r="AE872">
            <v>8</v>
          </cell>
          <cell r="AF872">
            <v>8</v>
          </cell>
          <cell r="AG872" t="str">
            <v>CN</v>
          </cell>
          <cell r="AH872" t="str">
            <v>Đ</v>
          </cell>
          <cell r="AI872" t="str">
            <v>Đ</v>
          </cell>
          <cell r="AJ872" t="str">
            <v>Đ</v>
          </cell>
          <cell r="AN872">
            <v>96</v>
          </cell>
          <cell r="AO872">
            <v>88</v>
          </cell>
          <cell r="AP872">
            <v>0</v>
          </cell>
          <cell r="AQ872">
            <v>0</v>
          </cell>
          <cell r="AR872">
            <v>0</v>
          </cell>
          <cell r="AS872">
            <v>0</v>
          </cell>
          <cell r="AT872">
            <v>0</v>
          </cell>
          <cell r="AU872">
            <v>0</v>
          </cell>
          <cell r="AV872">
            <v>8</v>
          </cell>
          <cell r="AW872">
            <v>0</v>
          </cell>
          <cell r="AX872">
            <v>0</v>
          </cell>
          <cell r="AY872">
            <v>0</v>
          </cell>
          <cell r="AZ872">
            <v>0</v>
          </cell>
          <cell r="BA872">
            <v>0</v>
          </cell>
          <cell r="BB872">
            <v>0</v>
          </cell>
          <cell r="BC872">
            <v>0</v>
          </cell>
          <cell r="BD872">
            <v>0</v>
          </cell>
          <cell r="BE872">
            <v>0</v>
          </cell>
          <cell r="BF872">
            <v>0</v>
          </cell>
          <cell r="BG872">
            <v>192</v>
          </cell>
          <cell r="BH872">
            <v>0</v>
          </cell>
          <cell r="BI872">
            <v>0</v>
          </cell>
          <cell r="BJ872">
            <v>1</v>
          </cell>
          <cell r="BL872">
            <v>2</v>
          </cell>
          <cell r="BM872">
            <v>2</v>
          </cell>
          <cell r="BN872">
            <v>0</v>
          </cell>
          <cell r="BO872">
            <v>0</v>
          </cell>
          <cell r="BP872">
            <v>2</v>
          </cell>
          <cell r="BQ872">
            <v>1</v>
          </cell>
          <cell r="BR872">
            <v>0</v>
          </cell>
          <cell r="BS872">
            <v>3.5</v>
          </cell>
          <cell r="BT872">
            <v>2</v>
          </cell>
          <cell r="BU872">
            <v>2</v>
          </cell>
          <cell r="BV872">
            <v>0</v>
          </cell>
          <cell r="BW872">
            <v>4</v>
          </cell>
          <cell r="BX872">
            <v>3.5</v>
          </cell>
          <cell r="BY872">
            <v>4</v>
          </cell>
          <cell r="BZ872">
            <v>4</v>
          </cell>
          <cell r="CA872">
            <v>4</v>
          </cell>
          <cell r="CB872">
            <v>4</v>
          </cell>
          <cell r="CC872">
            <v>0</v>
          </cell>
          <cell r="CD872">
            <v>3</v>
          </cell>
          <cell r="CE872">
            <v>3</v>
          </cell>
          <cell r="CF872">
            <v>3</v>
          </cell>
          <cell r="CG872">
            <v>3.5</v>
          </cell>
          <cell r="CH872">
            <v>3.75</v>
          </cell>
          <cell r="CI872">
            <v>1</v>
          </cell>
          <cell r="CJ872">
            <v>11</v>
          </cell>
          <cell r="CK872">
            <v>4</v>
          </cell>
          <cell r="CL872">
            <v>4</v>
          </cell>
          <cell r="CM872">
            <v>3.75</v>
          </cell>
          <cell r="CR872">
            <v>0</v>
          </cell>
          <cell r="CS872">
            <v>0</v>
          </cell>
          <cell r="CT872">
            <v>67</v>
          </cell>
          <cell r="CU872">
            <v>11</v>
          </cell>
          <cell r="CV872">
            <v>0</v>
          </cell>
          <cell r="CZ872">
            <v>78</v>
          </cell>
        </row>
        <row r="873">
          <cell r="C873" t="str">
            <v>04398</v>
          </cell>
          <cell r="D873" t="str">
            <v>Kim Thị Mỹ Xuyên</v>
          </cell>
          <cell r="E873" t="str">
            <v>Production</v>
          </cell>
          <cell r="F873" t="str">
            <v>Packing</v>
          </cell>
          <cell r="G873" t="str">
            <v>Worker</v>
          </cell>
          <cell r="H873">
            <v>45670</v>
          </cell>
          <cell r="I873" t="str">
            <v>Đ</v>
          </cell>
          <cell r="J873" t="str">
            <v>Đ</v>
          </cell>
          <cell r="K873" t="str">
            <v>Đ</v>
          </cell>
          <cell r="L873" t="str">
            <v>CN</v>
          </cell>
          <cell r="M873">
            <v>8</v>
          </cell>
          <cell r="N873">
            <v>8</v>
          </cell>
          <cell r="O873">
            <v>8</v>
          </cell>
          <cell r="P873">
            <v>8</v>
          </cell>
          <cell r="Q873">
            <v>8</v>
          </cell>
          <cell r="R873">
            <v>8</v>
          </cell>
          <cell r="S873" t="str">
            <v>CN</v>
          </cell>
          <cell r="T873" t="str">
            <v>Đ</v>
          </cell>
          <cell r="U873" t="str">
            <v>Đ</v>
          </cell>
          <cell r="V873" t="str">
            <v>Đ</v>
          </cell>
          <cell r="W873" t="str">
            <v>Đ</v>
          </cell>
          <cell r="X873" t="str">
            <v>Đ</v>
          </cell>
          <cell r="Y873" t="str">
            <v>Đ</v>
          </cell>
          <cell r="Z873" t="str">
            <v>CN</v>
          </cell>
          <cell r="AA873">
            <v>8</v>
          </cell>
          <cell r="AB873">
            <v>8</v>
          </cell>
          <cell r="AC873">
            <v>8</v>
          </cell>
          <cell r="AD873">
            <v>8</v>
          </cell>
          <cell r="AE873">
            <v>8</v>
          </cell>
          <cell r="AF873">
            <v>8</v>
          </cell>
          <cell r="AG873" t="str">
            <v>CN</v>
          </cell>
          <cell r="AH873" t="str">
            <v>Đ</v>
          </cell>
          <cell r="AI873" t="str">
            <v>AL8</v>
          </cell>
          <cell r="AJ873" t="str">
            <v>Đ</v>
          </cell>
          <cell r="AN873">
            <v>88</v>
          </cell>
          <cell r="AO873">
            <v>96</v>
          </cell>
          <cell r="AP873">
            <v>0</v>
          </cell>
          <cell r="AQ873">
            <v>0</v>
          </cell>
          <cell r="AR873">
            <v>0</v>
          </cell>
          <cell r="AS873">
            <v>0</v>
          </cell>
          <cell r="AT873">
            <v>0</v>
          </cell>
          <cell r="AU873">
            <v>0</v>
          </cell>
          <cell r="AV873">
            <v>0</v>
          </cell>
          <cell r="AW873">
            <v>0</v>
          </cell>
          <cell r="AX873">
            <v>0</v>
          </cell>
          <cell r="AY873">
            <v>0</v>
          </cell>
          <cell r="AZ873">
            <v>0</v>
          </cell>
          <cell r="BA873">
            <v>8</v>
          </cell>
          <cell r="BB873">
            <v>0</v>
          </cell>
          <cell r="BC873">
            <v>0</v>
          </cell>
          <cell r="BD873">
            <v>0</v>
          </cell>
          <cell r="BE873">
            <v>0</v>
          </cell>
          <cell r="BF873">
            <v>0</v>
          </cell>
          <cell r="BG873">
            <v>192</v>
          </cell>
          <cell r="BH873">
            <v>1</v>
          </cell>
          <cell r="BI873">
            <v>1</v>
          </cell>
          <cell r="BJ873">
            <v>1</v>
          </cell>
          <cell r="BL873">
            <v>0</v>
          </cell>
          <cell r="BM873">
            <v>0</v>
          </cell>
          <cell r="BN873">
            <v>0</v>
          </cell>
          <cell r="BO873">
            <v>0</v>
          </cell>
          <cell r="BP873">
            <v>1.5</v>
          </cell>
          <cell r="BQ873">
            <v>3</v>
          </cell>
          <cell r="BR873">
            <v>0</v>
          </cell>
          <cell r="BS873">
            <v>3</v>
          </cell>
          <cell r="BT873">
            <v>3</v>
          </cell>
          <cell r="BU873">
            <v>0</v>
          </cell>
          <cell r="BV873">
            <v>0</v>
          </cell>
          <cell r="BW873">
            <v>0</v>
          </cell>
          <cell r="BX873">
            <v>0</v>
          </cell>
          <cell r="BY873">
            <v>0</v>
          </cell>
          <cell r="BZ873">
            <v>4</v>
          </cell>
          <cell r="CA873">
            <v>4</v>
          </cell>
          <cell r="CB873">
            <v>4</v>
          </cell>
          <cell r="CC873">
            <v>0</v>
          </cell>
          <cell r="CD873">
            <v>4</v>
          </cell>
          <cell r="CE873">
            <v>4</v>
          </cell>
          <cell r="CF873">
            <v>4</v>
          </cell>
          <cell r="CG873">
            <v>4</v>
          </cell>
          <cell r="CH873">
            <v>4</v>
          </cell>
          <cell r="CI873">
            <v>0</v>
          </cell>
          <cell r="CJ873">
            <v>8</v>
          </cell>
          <cell r="CK873">
            <v>1.5</v>
          </cell>
          <cell r="CL873">
            <v>0</v>
          </cell>
          <cell r="CM873">
            <v>1.5</v>
          </cell>
          <cell r="CR873">
            <v>0</v>
          </cell>
          <cell r="CS873">
            <v>0</v>
          </cell>
          <cell r="CT873">
            <v>45.5</v>
          </cell>
          <cell r="CU873">
            <v>8</v>
          </cell>
          <cell r="CV873">
            <v>0</v>
          </cell>
          <cell r="CZ873">
            <v>53.5</v>
          </cell>
        </row>
        <row r="874">
          <cell r="C874" t="str">
            <v>04403</v>
          </cell>
          <cell r="D874" t="str">
            <v>Đường Anh Tuấn Vũ</v>
          </cell>
          <cell r="E874" t="str">
            <v>Production</v>
          </cell>
          <cell r="F874" t="str">
            <v>Die Cut</v>
          </cell>
          <cell r="G874" t="str">
            <v>Worker</v>
          </cell>
          <cell r="H874">
            <v>45670</v>
          </cell>
          <cell r="I874" t="str">
            <v>Đ</v>
          </cell>
          <cell r="J874" t="str">
            <v>Đ</v>
          </cell>
          <cell r="K874" t="str">
            <v>Đ</v>
          </cell>
          <cell r="L874" t="str">
            <v>CN</v>
          </cell>
          <cell r="M874">
            <v>8</v>
          </cell>
          <cell r="N874">
            <v>8</v>
          </cell>
          <cell r="O874">
            <v>8</v>
          </cell>
          <cell r="P874" t="str">
            <v>SL</v>
          </cell>
          <cell r="Q874">
            <v>8</v>
          </cell>
          <cell r="R874">
            <v>8</v>
          </cell>
          <cell r="S874" t="str">
            <v>CN</v>
          </cell>
          <cell r="T874" t="str">
            <v>Đ</v>
          </cell>
          <cell r="U874" t="str">
            <v>Đ</v>
          </cell>
          <cell r="V874" t="str">
            <v>Đ</v>
          </cell>
          <cell r="W874" t="str">
            <v>Đ</v>
          </cell>
          <cell r="X874" t="str">
            <v>Đ</v>
          </cell>
          <cell r="Y874" t="str">
            <v>Đ</v>
          </cell>
          <cell r="Z874" t="str">
            <v>CN</v>
          </cell>
          <cell r="AA874">
            <v>8</v>
          </cell>
          <cell r="AB874">
            <v>8</v>
          </cell>
          <cell r="AC874">
            <v>8</v>
          </cell>
          <cell r="AD874">
            <v>8</v>
          </cell>
          <cell r="AE874">
            <v>8</v>
          </cell>
          <cell r="AF874">
            <v>8</v>
          </cell>
          <cell r="AG874" t="str">
            <v>CN</v>
          </cell>
          <cell r="AH874" t="str">
            <v>Đ</v>
          </cell>
          <cell r="AI874" t="str">
            <v>Đ</v>
          </cell>
          <cell r="AJ874" t="str">
            <v>Đ</v>
          </cell>
          <cell r="AN874">
            <v>96</v>
          </cell>
          <cell r="AO874">
            <v>88</v>
          </cell>
          <cell r="AP874">
            <v>0</v>
          </cell>
          <cell r="AQ874">
            <v>1</v>
          </cell>
          <cell r="AR874">
            <v>0</v>
          </cell>
          <cell r="AS874">
            <v>0</v>
          </cell>
          <cell r="AT874">
            <v>0</v>
          </cell>
          <cell r="AU874">
            <v>0</v>
          </cell>
          <cell r="AV874">
            <v>0</v>
          </cell>
          <cell r="AW874">
            <v>0</v>
          </cell>
          <cell r="AX874">
            <v>0</v>
          </cell>
          <cell r="AY874">
            <v>0</v>
          </cell>
          <cell r="AZ874">
            <v>0</v>
          </cell>
          <cell r="BA874">
            <v>0</v>
          </cell>
          <cell r="BB874">
            <v>0</v>
          </cell>
          <cell r="BC874">
            <v>0</v>
          </cell>
          <cell r="BD874">
            <v>0</v>
          </cell>
          <cell r="BE874">
            <v>0</v>
          </cell>
          <cell r="BF874">
            <v>0</v>
          </cell>
          <cell r="BG874">
            <v>184</v>
          </cell>
          <cell r="BH874">
            <v>0</v>
          </cell>
          <cell r="BI874">
            <v>0</v>
          </cell>
          <cell r="BJ874">
            <v>3</v>
          </cell>
          <cell r="BL874">
            <v>1.5</v>
          </cell>
          <cell r="BM874">
            <v>1.5</v>
          </cell>
          <cell r="BN874">
            <v>1.5</v>
          </cell>
          <cell r="BO874">
            <v>0</v>
          </cell>
          <cell r="BP874">
            <v>1.5</v>
          </cell>
          <cell r="BQ874">
            <v>0</v>
          </cell>
          <cell r="BR874">
            <v>0</v>
          </cell>
          <cell r="BS874">
            <v>0</v>
          </cell>
          <cell r="BT874">
            <v>0</v>
          </cell>
          <cell r="BU874">
            <v>3</v>
          </cell>
          <cell r="BV874">
            <v>0</v>
          </cell>
          <cell r="BW874">
            <v>4</v>
          </cell>
          <cell r="BX874">
            <v>4</v>
          </cell>
          <cell r="BY874">
            <v>4</v>
          </cell>
          <cell r="BZ874">
            <v>4</v>
          </cell>
          <cell r="CA874">
            <v>4</v>
          </cell>
          <cell r="CB874">
            <v>4</v>
          </cell>
          <cell r="CC874">
            <v>0</v>
          </cell>
          <cell r="CD874">
            <v>3</v>
          </cell>
          <cell r="CE874">
            <v>3</v>
          </cell>
          <cell r="CF874">
            <v>3</v>
          </cell>
          <cell r="CG874">
            <v>3</v>
          </cell>
          <cell r="CH874">
            <v>3</v>
          </cell>
          <cell r="CI874">
            <v>3</v>
          </cell>
          <cell r="CJ874">
            <v>8</v>
          </cell>
          <cell r="CK874">
            <v>4</v>
          </cell>
          <cell r="CL874">
            <v>4</v>
          </cell>
          <cell r="CM874">
            <v>4</v>
          </cell>
          <cell r="CR874">
            <v>0</v>
          </cell>
          <cell r="CS874">
            <v>0</v>
          </cell>
          <cell r="CT874">
            <v>63</v>
          </cell>
          <cell r="CU874">
            <v>8</v>
          </cell>
          <cell r="CV874">
            <v>0</v>
          </cell>
          <cell r="CZ874">
            <v>71</v>
          </cell>
        </row>
        <row r="875">
          <cell r="C875" t="str">
            <v>04405</v>
          </cell>
          <cell r="D875" t="str">
            <v>Hồ Thị Kim Trúc</v>
          </cell>
          <cell r="E875" t="str">
            <v>Production</v>
          </cell>
          <cell r="F875" t="str">
            <v>Packing</v>
          </cell>
          <cell r="G875" t="str">
            <v>Worker</v>
          </cell>
          <cell r="H875">
            <v>45670</v>
          </cell>
          <cell r="I875" t="str">
            <v>Đ</v>
          </cell>
          <cell r="J875" t="str">
            <v>Đ</v>
          </cell>
          <cell r="K875" t="str">
            <v>Đ</v>
          </cell>
          <cell r="L875" t="str">
            <v>CN</v>
          </cell>
          <cell r="M875">
            <v>8</v>
          </cell>
          <cell r="N875">
            <v>8</v>
          </cell>
          <cell r="O875">
            <v>8</v>
          </cell>
          <cell r="P875">
            <v>8</v>
          </cell>
          <cell r="Q875">
            <v>8</v>
          </cell>
          <cell r="R875">
            <v>8</v>
          </cell>
          <cell r="S875" t="str">
            <v>CN</v>
          </cell>
          <cell r="T875" t="str">
            <v>Đ</v>
          </cell>
          <cell r="U875" t="str">
            <v>Đ</v>
          </cell>
          <cell r="V875" t="str">
            <v>Đ</v>
          </cell>
          <cell r="W875" t="str">
            <v>Đ</v>
          </cell>
          <cell r="X875" t="str">
            <v>Đ</v>
          </cell>
          <cell r="Y875" t="str">
            <v>Đ</v>
          </cell>
          <cell r="Z875" t="str">
            <v>CN</v>
          </cell>
          <cell r="AA875">
            <v>8</v>
          </cell>
          <cell r="AB875">
            <v>8</v>
          </cell>
          <cell r="AC875">
            <v>8</v>
          </cell>
          <cell r="AD875">
            <v>8</v>
          </cell>
          <cell r="AE875">
            <v>8</v>
          </cell>
          <cell r="AF875">
            <v>8</v>
          </cell>
          <cell r="AG875" t="str">
            <v>CN</v>
          </cell>
          <cell r="AH875" t="str">
            <v>Đ</v>
          </cell>
          <cell r="AI875" t="str">
            <v>Đ</v>
          </cell>
          <cell r="AJ875" t="str">
            <v>Đ</v>
          </cell>
          <cell r="AN875">
            <v>96</v>
          </cell>
          <cell r="AO875">
            <v>96</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0</v>
          </cell>
          <cell r="BF875">
            <v>0</v>
          </cell>
          <cell r="BG875">
            <v>192</v>
          </cell>
          <cell r="BH875">
            <v>0</v>
          </cell>
          <cell r="BI875">
            <v>0</v>
          </cell>
          <cell r="BJ875">
            <v>1</v>
          </cell>
          <cell r="BL875">
            <v>1.5</v>
          </cell>
          <cell r="BM875">
            <v>1.5</v>
          </cell>
          <cell r="BN875">
            <v>0</v>
          </cell>
          <cell r="BO875">
            <v>0</v>
          </cell>
          <cell r="BP875">
            <v>1.5</v>
          </cell>
          <cell r="BQ875">
            <v>0</v>
          </cell>
          <cell r="BR875">
            <v>0</v>
          </cell>
          <cell r="BS875">
            <v>3</v>
          </cell>
          <cell r="BT875">
            <v>3</v>
          </cell>
          <cell r="BU875">
            <v>3</v>
          </cell>
          <cell r="BV875">
            <v>0</v>
          </cell>
          <cell r="BW875">
            <v>4</v>
          </cell>
          <cell r="BX875">
            <v>4</v>
          </cell>
          <cell r="BY875">
            <v>4</v>
          </cell>
          <cell r="BZ875">
            <v>4</v>
          </cell>
          <cell r="CA875">
            <v>4</v>
          </cell>
          <cell r="CB875">
            <v>0</v>
          </cell>
          <cell r="CC875">
            <v>0</v>
          </cell>
          <cell r="CD875">
            <v>3</v>
          </cell>
          <cell r="CE875">
            <v>3</v>
          </cell>
          <cell r="CF875">
            <v>3</v>
          </cell>
          <cell r="CG875">
            <v>3</v>
          </cell>
          <cell r="CH875">
            <v>3</v>
          </cell>
          <cell r="CI875">
            <v>3</v>
          </cell>
          <cell r="CJ875">
            <v>8</v>
          </cell>
          <cell r="CK875">
            <v>4</v>
          </cell>
          <cell r="CL875">
            <v>4</v>
          </cell>
          <cell r="CM875">
            <v>4</v>
          </cell>
          <cell r="CR875">
            <v>0</v>
          </cell>
          <cell r="CS875">
            <v>0</v>
          </cell>
          <cell r="CT875">
            <v>63.5</v>
          </cell>
          <cell r="CU875">
            <v>8</v>
          </cell>
          <cell r="CV875">
            <v>0</v>
          </cell>
          <cell r="CZ875">
            <v>71.5</v>
          </cell>
        </row>
        <row r="876">
          <cell r="C876" t="str">
            <v>04406</v>
          </cell>
          <cell r="D876" t="str">
            <v>Thạch Long Cước</v>
          </cell>
          <cell r="E876" t="str">
            <v>Production</v>
          </cell>
          <cell r="F876" t="str">
            <v>Die Cut</v>
          </cell>
          <cell r="G876" t="str">
            <v>Worker</v>
          </cell>
          <cell r="H876">
            <v>45670</v>
          </cell>
          <cell r="I876" t="str">
            <v>Đ</v>
          </cell>
          <cell r="J876" t="str">
            <v>Đ</v>
          </cell>
          <cell r="K876" t="str">
            <v>SL</v>
          </cell>
          <cell r="L876" t="str">
            <v>CN</v>
          </cell>
          <cell r="M876">
            <v>8</v>
          </cell>
          <cell r="N876">
            <v>8</v>
          </cell>
          <cell r="O876">
            <v>8</v>
          </cell>
          <cell r="P876">
            <v>8</v>
          </cell>
          <cell r="Q876">
            <v>8</v>
          </cell>
          <cell r="R876">
            <v>8</v>
          </cell>
          <cell r="S876" t="str">
            <v>CN</v>
          </cell>
          <cell r="T876" t="str">
            <v>Đ</v>
          </cell>
          <cell r="U876" t="str">
            <v>Đ</v>
          </cell>
          <cell r="V876" t="str">
            <v>Đ</v>
          </cell>
          <cell r="W876" t="str">
            <v>Đ</v>
          </cell>
          <cell r="X876" t="str">
            <v>AL8</v>
          </cell>
          <cell r="Y876" t="str">
            <v>SL</v>
          </cell>
          <cell r="Z876" t="str">
            <v>CN</v>
          </cell>
          <cell r="AA876">
            <v>8</v>
          </cell>
          <cell r="AB876">
            <v>8</v>
          </cell>
          <cell r="AC876">
            <v>8</v>
          </cell>
          <cell r="AD876">
            <v>8</v>
          </cell>
          <cell r="AE876">
            <v>8</v>
          </cell>
          <cell r="AF876">
            <v>8</v>
          </cell>
          <cell r="AG876" t="str">
            <v>CN</v>
          </cell>
          <cell r="AH876" t="str">
            <v>Đ</v>
          </cell>
          <cell r="AI876" t="str">
            <v>Đ</v>
          </cell>
          <cell r="AJ876" t="str">
            <v>Đ</v>
          </cell>
          <cell r="AN876">
            <v>72</v>
          </cell>
          <cell r="AO876">
            <v>96</v>
          </cell>
          <cell r="AP876">
            <v>0</v>
          </cell>
          <cell r="AQ876">
            <v>2</v>
          </cell>
          <cell r="AR876">
            <v>0</v>
          </cell>
          <cell r="AS876">
            <v>0</v>
          </cell>
          <cell r="AT876">
            <v>0</v>
          </cell>
          <cell r="AU876">
            <v>0</v>
          </cell>
          <cell r="AV876">
            <v>0</v>
          </cell>
          <cell r="AW876">
            <v>0</v>
          </cell>
          <cell r="AX876">
            <v>0</v>
          </cell>
          <cell r="AY876">
            <v>0</v>
          </cell>
          <cell r="AZ876">
            <v>0</v>
          </cell>
          <cell r="BA876">
            <v>8</v>
          </cell>
          <cell r="BB876">
            <v>0</v>
          </cell>
          <cell r="BC876">
            <v>0</v>
          </cell>
          <cell r="BD876">
            <v>0</v>
          </cell>
          <cell r="BE876">
            <v>0</v>
          </cell>
          <cell r="BF876">
            <v>0</v>
          </cell>
          <cell r="BG876">
            <v>176</v>
          </cell>
          <cell r="BH876">
            <v>1</v>
          </cell>
          <cell r="BI876">
            <v>1</v>
          </cell>
          <cell r="BJ876">
            <v>-3</v>
          </cell>
          <cell r="BL876">
            <v>1.5</v>
          </cell>
          <cell r="BM876">
            <v>1.5</v>
          </cell>
          <cell r="BN876">
            <v>0</v>
          </cell>
          <cell r="BO876">
            <v>0</v>
          </cell>
          <cell r="BP876">
            <v>1.5</v>
          </cell>
          <cell r="BQ876">
            <v>0</v>
          </cell>
          <cell r="BR876">
            <v>0</v>
          </cell>
          <cell r="BS876">
            <v>0</v>
          </cell>
          <cell r="BT876">
            <v>3</v>
          </cell>
          <cell r="BU876">
            <v>3</v>
          </cell>
          <cell r="BV876">
            <v>0</v>
          </cell>
          <cell r="BW876">
            <v>4</v>
          </cell>
          <cell r="BX876">
            <v>4</v>
          </cell>
          <cell r="BY876">
            <v>4</v>
          </cell>
          <cell r="BZ876">
            <v>4</v>
          </cell>
          <cell r="CA876">
            <v>0</v>
          </cell>
          <cell r="CB876">
            <v>0</v>
          </cell>
          <cell r="CC876">
            <v>0</v>
          </cell>
          <cell r="CD876">
            <v>3</v>
          </cell>
          <cell r="CE876">
            <v>3</v>
          </cell>
          <cell r="CF876">
            <v>3</v>
          </cell>
          <cell r="CG876">
            <v>3</v>
          </cell>
          <cell r="CH876">
            <v>3</v>
          </cell>
          <cell r="CI876">
            <v>3</v>
          </cell>
          <cell r="CJ876">
            <v>8</v>
          </cell>
          <cell r="CK876">
            <v>4</v>
          </cell>
          <cell r="CL876">
            <v>4</v>
          </cell>
          <cell r="CM876">
            <v>4</v>
          </cell>
          <cell r="CR876">
            <v>0</v>
          </cell>
          <cell r="CS876">
            <v>0</v>
          </cell>
          <cell r="CT876">
            <v>56.5</v>
          </cell>
          <cell r="CU876">
            <v>8</v>
          </cell>
          <cell r="CV876">
            <v>0</v>
          </cell>
          <cell r="CZ876">
            <v>64.5</v>
          </cell>
        </row>
        <row r="877">
          <cell r="C877" t="str">
            <v>04407</v>
          </cell>
          <cell r="D877" t="str">
            <v>Lê Thị Thúy Trinh</v>
          </cell>
          <cell r="E877" t="str">
            <v>Production</v>
          </cell>
          <cell r="F877" t="str">
            <v>Packing</v>
          </cell>
          <cell r="G877" t="str">
            <v>Worker</v>
          </cell>
          <cell r="H877">
            <v>45670</v>
          </cell>
          <cell r="I877" t="str">
            <v>Đ</v>
          </cell>
          <cell r="J877" t="str">
            <v>Đ</v>
          </cell>
          <cell r="K877" t="str">
            <v>Đ</v>
          </cell>
          <cell r="L877" t="str">
            <v>CN</v>
          </cell>
          <cell r="M877">
            <v>8</v>
          </cell>
          <cell r="N877">
            <v>8</v>
          </cell>
          <cell r="O877">
            <v>8</v>
          </cell>
          <cell r="P877">
            <v>8</v>
          </cell>
          <cell r="Q877">
            <v>8</v>
          </cell>
          <cell r="R877">
            <v>8</v>
          </cell>
          <cell r="S877" t="str">
            <v>CN</v>
          </cell>
          <cell r="T877" t="str">
            <v>AL8</v>
          </cell>
          <cell r="U877" t="str">
            <v>Đ</v>
          </cell>
          <cell r="V877" t="str">
            <v>Đ</v>
          </cell>
          <cell r="W877" t="str">
            <v>Đ</v>
          </cell>
          <cell r="X877" t="str">
            <v>Đ</v>
          </cell>
          <cell r="Y877" t="str">
            <v>Đ</v>
          </cell>
          <cell r="Z877" t="str">
            <v>CN</v>
          </cell>
          <cell r="AA877">
            <v>8</v>
          </cell>
          <cell r="AB877" t="str">
            <v>AL8</v>
          </cell>
          <cell r="AC877">
            <v>8</v>
          </cell>
          <cell r="AD877">
            <v>8</v>
          </cell>
          <cell r="AE877">
            <v>8</v>
          </cell>
          <cell r="AF877">
            <v>8</v>
          </cell>
          <cell r="AG877" t="str">
            <v>CN</v>
          </cell>
          <cell r="AH877" t="str">
            <v>UP8</v>
          </cell>
          <cell r="AI877" t="str">
            <v>Đ</v>
          </cell>
          <cell r="AJ877" t="str">
            <v>Đ</v>
          </cell>
          <cell r="AN877">
            <v>80</v>
          </cell>
          <cell r="AO877">
            <v>88</v>
          </cell>
          <cell r="AP877">
            <v>0</v>
          </cell>
          <cell r="AQ877">
            <v>0</v>
          </cell>
          <cell r="AR877">
            <v>0</v>
          </cell>
          <cell r="AS877">
            <v>8</v>
          </cell>
          <cell r="AT877">
            <v>0</v>
          </cell>
          <cell r="AU877">
            <v>0</v>
          </cell>
          <cell r="AV877">
            <v>0</v>
          </cell>
          <cell r="AW877">
            <v>0</v>
          </cell>
          <cell r="AX877">
            <v>0</v>
          </cell>
          <cell r="AY877">
            <v>0</v>
          </cell>
          <cell r="AZ877">
            <v>0</v>
          </cell>
          <cell r="BA877">
            <v>16</v>
          </cell>
          <cell r="BB877">
            <v>0</v>
          </cell>
          <cell r="BC877">
            <v>0</v>
          </cell>
          <cell r="BD877">
            <v>0</v>
          </cell>
          <cell r="BE877">
            <v>0</v>
          </cell>
          <cell r="BF877">
            <v>0</v>
          </cell>
          <cell r="BG877">
            <v>184</v>
          </cell>
          <cell r="BH877">
            <v>2</v>
          </cell>
          <cell r="BI877">
            <v>2</v>
          </cell>
          <cell r="BJ877">
            <v>0</v>
          </cell>
          <cell r="BL877">
            <v>1.5</v>
          </cell>
          <cell r="BM877">
            <v>1.5</v>
          </cell>
          <cell r="BN877">
            <v>1.5</v>
          </cell>
          <cell r="BO877">
            <v>0</v>
          </cell>
          <cell r="BP877">
            <v>1.5</v>
          </cell>
          <cell r="BQ877">
            <v>0</v>
          </cell>
          <cell r="BR877">
            <v>0</v>
          </cell>
          <cell r="BS877">
            <v>0</v>
          </cell>
          <cell r="BT877">
            <v>0</v>
          </cell>
          <cell r="BU877">
            <v>2</v>
          </cell>
          <cell r="BV877">
            <v>0</v>
          </cell>
          <cell r="BW877">
            <v>0</v>
          </cell>
          <cell r="BX877">
            <v>4</v>
          </cell>
          <cell r="BY877">
            <v>4</v>
          </cell>
          <cell r="BZ877">
            <v>4</v>
          </cell>
          <cell r="CA877">
            <v>4</v>
          </cell>
          <cell r="CB877">
            <v>4</v>
          </cell>
          <cell r="CC877">
            <v>0</v>
          </cell>
          <cell r="CD877">
            <v>3</v>
          </cell>
          <cell r="CE877">
            <v>0</v>
          </cell>
          <cell r="CF877">
            <v>3</v>
          </cell>
          <cell r="CG877">
            <v>3</v>
          </cell>
          <cell r="CH877">
            <v>3</v>
          </cell>
          <cell r="CI877">
            <v>3</v>
          </cell>
          <cell r="CJ877">
            <v>8</v>
          </cell>
          <cell r="CK877">
            <v>0</v>
          </cell>
          <cell r="CL877">
            <v>4</v>
          </cell>
          <cell r="CM877">
            <v>4</v>
          </cell>
          <cell r="CR877">
            <v>0</v>
          </cell>
          <cell r="CS877">
            <v>0</v>
          </cell>
          <cell r="CT877">
            <v>51</v>
          </cell>
          <cell r="CU877">
            <v>8</v>
          </cell>
          <cell r="CV877">
            <v>0</v>
          </cell>
          <cell r="CZ877">
            <v>59</v>
          </cell>
        </row>
        <row r="878">
          <cell r="C878" t="str">
            <v>04409</v>
          </cell>
          <cell r="D878" t="str">
            <v>Tạ Thị Thanh Lam</v>
          </cell>
          <cell r="E878" t="str">
            <v>Purchasing</v>
          </cell>
          <cell r="F878" t="str">
            <v>Purchasing</v>
          </cell>
          <cell r="G878" t="str">
            <v>Staff</v>
          </cell>
          <cell r="H878">
            <v>45671</v>
          </cell>
          <cell r="I878">
            <v>8</v>
          </cell>
          <cell r="J878">
            <v>8</v>
          </cell>
          <cell r="K878" t="str">
            <v>PO</v>
          </cell>
          <cell r="L878" t="str">
            <v>CN</v>
          </cell>
          <cell r="M878">
            <v>8</v>
          </cell>
          <cell r="N878">
            <v>8</v>
          </cell>
          <cell r="O878">
            <v>8</v>
          </cell>
          <cell r="P878">
            <v>8</v>
          </cell>
          <cell r="Q878">
            <v>8</v>
          </cell>
          <cell r="R878" t="str">
            <v>PO</v>
          </cell>
          <cell r="S878" t="str">
            <v>CN</v>
          </cell>
          <cell r="T878">
            <v>8</v>
          </cell>
          <cell r="U878">
            <v>8</v>
          </cell>
          <cell r="V878">
            <v>8</v>
          </cell>
          <cell r="W878">
            <v>8</v>
          </cell>
          <cell r="X878" t="str">
            <v>BS</v>
          </cell>
          <cell r="Y878" t="str">
            <v>PO</v>
          </cell>
          <cell r="Z878" t="str">
            <v>CN</v>
          </cell>
          <cell r="AA878">
            <v>8</v>
          </cell>
          <cell r="AB878">
            <v>8</v>
          </cell>
          <cell r="AC878">
            <v>8</v>
          </cell>
          <cell r="AD878">
            <v>8</v>
          </cell>
          <cell r="AE878">
            <v>8</v>
          </cell>
          <cell r="AF878" t="str">
            <v>PO</v>
          </cell>
          <cell r="AG878" t="str">
            <v>CN</v>
          </cell>
          <cell r="AH878">
            <v>8</v>
          </cell>
          <cell r="AI878">
            <v>8</v>
          </cell>
          <cell r="AJ878">
            <v>8</v>
          </cell>
          <cell r="AN878">
            <v>0</v>
          </cell>
          <cell r="AO878">
            <v>152</v>
          </cell>
          <cell r="AP878">
            <v>0</v>
          </cell>
          <cell r="AQ878">
            <v>0</v>
          </cell>
          <cell r="AR878">
            <v>0</v>
          </cell>
          <cell r="AS878">
            <v>0</v>
          </cell>
          <cell r="AT878">
            <v>0</v>
          </cell>
          <cell r="AU878">
            <v>8</v>
          </cell>
          <cell r="AV878">
            <v>32</v>
          </cell>
          <cell r="AW878">
            <v>0</v>
          </cell>
          <cell r="AX878">
            <v>0</v>
          </cell>
          <cell r="AY878">
            <v>0</v>
          </cell>
          <cell r="AZ878">
            <v>0</v>
          </cell>
          <cell r="BA878">
            <v>0</v>
          </cell>
          <cell r="BB878">
            <v>0</v>
          </cell>
          <cell r="BC878">
            <v>0</v>
          </cell>
          <cell r="BD878">
            <v>0</v>
          </cell>
          <cell r="BE878">
            <v>0</v>
          </cell>
          <cell r="BF878">
            <v>0</v>
          </cell>
          <cell r="BG878">
            <v>192</v>
          </cell>
          <cell r="BH878">
            <v>0</v>
          </cell>
          <cell r="BI878">
            <v>0</v>
          </cell>
          <cell r="BJ878">
            <v>8</v>
          </cell>
          <cell r="BL878">
            <v>0</v>
          </cell>
          <cell r="BM878">
            <v>0</v>
          </cell>
          <cell r="BN878">
            <v>0</v>
          </cell>
          <cell r="BO878">
            <v>0</v>
          </cell>
          <cell r="BP878">
            <v>0</v>
          </cell>
          <cell r="BQ878">
            <v>4</v>
          </cell>
          <cell r="BR878">
            <v>4</v>
          </cell>
          <cell r="BS878">
            <v>4</v>
          </cell>
          <cell r="BT878">
            <v>0</v>
          </cell>
          <cell r="BU878">
            <v>0</v>
          </cell>
          <cell r="BV878">
            <v>0</v>
          </cell>
          <cell r="BW878">
            <v>0</v>
          </cell>
          <cell r="BX878">
            <v>4</v>
          </cell>
          <cell r="BY878">
            <v>4</v>
          </cell>
          <cell r="BZ878">
            <v>4</v>
          </cell>
          <cell r="CA878">
            <v>0</v>
          </cell>
          <cell r="CB878">
            <v>0</v>
          </cell>
          <cell r="CC878">
            <v>0</v>
          </cell>
          <cell r="CD878">
            <v>0</v>
          </cell>
          <cell r="CE878">
            <v>4</v>
          </cell>
          <cell r="CF878">
            <v>4</v>
          </cell>
          <cell r="CG878">
            <v>4</v>
          </cell>
          <cell r="CH878">
            <v>0</v>
          </cell>
          <cell r="CI878">
            <v>0</v>
          </cell>
          <cell r="CJ878">
            <v>0</v>
          </cell>
          <cell r="CK878">
            <v>0</v>
          </cell>
          <cell r="CL878">
            <v>0</v>
          </cell>
          <cell r="CM878">
            <v>0</v>
          </cell>
          <cell r="CR878">
            <v>0</v>
          </cell>
          <cell r="CS878">
            <v>0</v>
          </cell>
          <cell r="CT878">
            <v>36</v>
          </cell>
          <cell r="CU878">
            <v>0</v>
          </cell>
          <cell r="CV878">
            <v>0</v>
          </cell>
          <cell r="CZ878">
            <v>36</v>
          </cell>
        </row>
        <row r="879">
          <cell r="C879" t="str">
            <v>03679</v>
          </cell>
          <cell r="D879" t="str">
            <v>Thạch Thị Sa Mây</v>
          </cell>
          <cell r="E879" t="str">
            <v>Production</v>
          </cell>
          <cell r="F879" t="str">
            <v>Logo</v>
          </cell>
          <cell r="G879" t="str">
            <v>Worker</v>
          </cell>
          <cell r="H879">
            <v>44823</v>
          </cell>
          <cell r="I879">
            <v>8</v>
          </cell>
          <cell r="J879">
            <v>8</v>
          </cell>
          <cell r="K879">
            <v>8</v>
          </cell>
          <cell r="L879" t="str">
            <v>CN</v>
          </cell>
          <cell r="M879" t="str">
            <v>UP8</v>
          </cell>
          <cell r="N879" t="str">
            <v>UP8</v>
          </cell>
          <cell r="O879" t="str">
            <v>UP8</v>
          </cell>
          <cell r="P879" t="str">
            <v>UP8</v>
          </cell>
          <cell r="Q879" t="str">
            <v>UP8</v>
          </cell>
          <cell r="R879" t="str">
            <v>UP8</v>
          </cell>
          <cell r="S879" t="str">
            <v>CN</v>
          </cell>
          <cell r="T879">
            <v>8</v>
          </cell>
          <cell r="U879">
            <v>8</v>
          </cell>
          <cell r="V879">
            <v>8</v>
          </cell>
          <cell r="W879">
            <v>8</v>
          </cell>
          <cell r="X879">
            <v>8</v>
          </cell>
          <cell r="Y879" t="str">
            <v>UP8</v>
          </cell>
          <cell r="Z879" t="str">
            <v>CN</v>
          </cell>
          <cell r="AA879" t="str">
            <v>Đ</v>
          </cell>
          <cell r="AB879" t="str">
            <v>Đ</v>
          </cell>
          <cell r="AC879" t="str">
            <v>Đ</v>
          </cell>
          <cell r="AD879" t="str">
            <v>Đ</v>
          </cell>
          <cell r="AE879" t="str">
            <v>Đ</v>
          </cell>
          <cell r="AF879" t="str">
            <v>Đ</v>
          </cell>
          <cell r="AG879" t="str">
            <v>CN</v>
          </cell>
          <cell r="AH879">
            <v>8</v>
          </cell>
          <cell r="AI879">
            <v>8</v>
          </cell>
          <cell r="AJ879">
            <v>8</v>
          </cell>
          <cell r="AN879">
            <v>48</v>
          </cell>
          <cell r="AO879">
            <v>88</v>
          </cell>
          <cell r="AP879">
            <v>0</v>
          </cell>
          <cell r="AQ879">
            <v>0</v>
          </cell>
          <cell r="AR879">
            <v>0</v>
          </cell>
          <cell r="AS879">
            <v>56</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136</v>
          </cell>
          <cell r="BH879">
            <v>0</v>
          </cell>
          <cell r="BI879">
            <v>0</v>
          </cell>
          <cell r="BJ879">
            <v>1</v>
          </cell>
          <cell r="BL879">
            <v>0</v>
          </cell>
          <cell r="BM879">
            <v>0</v>
          </cell>
          <cell r="BN879">
            <v>0</v>
          </cell>
          <cell r="BO879">
            <v>0</v>
          </cell>
          <cell r="BP879">
            <v>0</v>
          </cell>
          <cell r="BQ879">
            <v>0</v>
          </cell>
          <cell r="BR879">
            <v>0</v>
          </cell>
          <cell r="BS879">
            <v>0</v>
          </cell>
          <cell r="BT879">
            <v>0</v>
          </cell>
          <cell r="BU879">
            <v>0</v>
          </cell>
          <cell r="BV879">
            <v>0</v>
          </cell>
          <cell r="BW879">
            <v>0</v>
          </cell>
          <cell r="BX879">
            <v>3</v>
          </cell>
          <cell r="BY879">
            <v>3</v>
          </cell>
          <cell r="BZ879">
            <v>3</v>
          </cell>
          <cell r="CA879">
            <v>3</v>
          </cell>
          <cell r="CB879">
            <v>0</v>
          </cell>
          <cell r="CC879">
            <v>0</v>
          </cell>
          <cell r="CD879">
            <v>4</v>
          </cell>
          <cell r="CE879">
            <v>4</v>
          </cell>
          <cell r="CF879">
            <v>4</v>
          </cell>
          <cell r="CG879">
            <v>4</v>
          </cell>
          <cell r="CH879">
            <v>1.5</v>
          </cell>
          <cell r="CI879">
            <v>1.5</v>
          </cell>
          <cell r="CJ879">
            <v>0</v>
          </cell>
          <cell r="CK879">
            <v>1.5</v>
          </cell>
          <cell r="CL879">
            <v>1.5</v>
          </cell>
          <cell r="CM879">
            <v>1.5</v>
          </cell>
          <cell r="CR879">
            <v>0</v>
          </cell>
          <cell r="CS879">
            <v>0</v>
          </cell>
          <cell r="CT879">
            <v>35.5</v>
          </cell>
          <cell r="CU879">
            <v>0</v>
          </cell>
          <cell r="CV879">
            <v>0</v>
          </cell>
          <cell r="CZ879">
            <v>35.5</v>
          </cell>
        </row>
        <row r="880">
          <cell r="C880" t="str">
            <v>01599</v>
          </cell>
          <cell r="D880" t="str">
            <v>Lê Thị Bé</v>
          </cell>
          <cell r="E880" t="str">
            <v>Production</v>
          </cell>
          <cell r="F880" t="str">
            <v>Logo</v>
          </cell>
          <cell r="G880" t="str">
            <v>Worker</v>
          </cell>
          <cell r="H880">
            <v>43535</v>
          </cell>
          <cell r="I880">
            <v>8</v>
          </cell>
          <cell r="J880">
            <v>8</v>
          </cell>
          <cell r="K880">
            <v>8</v>
          </cell>
          <cell r="L880" t="str">
            <v>CN</v>
          </cell>
          <cell r="M880" t="str">
            <v>Đ</v>
          </cell>
          <cell r="N880" t="str">
            <v>Đ</v>
          </cell>
          <cell r="O880" t="str">
            <v>Đ</v>
          </cell>
          <cell r="P880" t="str">
            <v>Đ</v>
          </cell>
          <cell r="Q880" t="str">
            <v>Đ</v>
          </cell>
          <cell r="R880" t="str">
            <v>Đ</v>
          </cell>
          <cell r="S880" t="str">
            <v>CN</v>
          </cell>
          <cell r="T880" t="str">
            <v>Đ</v>
          </cell>
          <cell r="U880" t="str">
            <v>Đ</v>
          </cell>
          <cell r="V880" t="str">
            <v>Đ</v>
          </cell>
          <cell r="W880" t="str">
            <v>Đ</v>
          </cell>
          <cell r="X880" t="str">
            <v>Đ</v>
          </cell>
          <cell r="Y880" t="str">
            <v>Đ</v>
          </cell>
          <cell r="Z880" t="str">
            <v>CN</v>
          </cell>
          <cell r="AA880">
            <v>8</v>
          </cell>
          <cell r="AB880">
            <v>8</v>
          </cell>
          <cell r="AC880">
            <v>8</v>
          </cell>
          <cell r="AD880">
            <v>8</v>
          </cell>
          <cell r="AE880">
            <v>8</v>
          </cell>
          <cell r="AF880">
            <v>8</v>
          </cell>
          <cell r="AG880" t="str">
            <v>CN</v>
          </cell>
          <cell r="AH880" t="str">
            <v>Đ</v>
          </cell>
          <cell r="AI880" t="str">
            <v>Đ</v>
          </cell>
          <cell r="AJ880" t="str">
            <v>Đ</v>
          </cell>
          <cell r="AN880">
            <v>120</v>
          </cell>
          <cell r="AO880">
            <v>72</v>
          </cell>
          <cell r="AP880">
            <v>0</v>
          </cell>
          <cell r="AQ880">
            <v>0</v>
          </cell>
          <cell r="AR880">
            <v>0</v>
          </cell>
          <cell r="AS880">
            <v>0</v>
          </cell>
          <cell r="AT880">
            <v>0</v>
          </cell>
          <cell r="AU880">
            <v>0</v>
          </cell>
          <cell r="AV880">
            <v>0</v>
          </cell>
          <cell r="AW880">
            <v>0</v>
          </cell>
          <cell r="AX880">
            <v>0</v>
          </cell>
          <cell r="AY880">
            <v>0</v>
          </cell>
          <cell r="AZ880">
            <v>0</v>
          </cell>
          <cell r="BA880">
            <v>0</v>
          </cell>
          <cell r="BB880">
            <v>0</v>
          </cell>
          <cell r="BC880">
            <v>0</v>
          </cell>
          <cell r="BD880">
            <v>0</v>
          </cell>
          <cell r="BE880">
            <v>0</v>
          </cell>
          <cell r="BF880">
            <v>0</v>
          </cell>
          <cell r="BG880">
            <v>192</v>
          </cell>
          <cell r="BH880">
            <v>0</v>
          </cell>
          <cell r="BI880">
            <v>0</v>
          </cell>
          <cell r="BJ880">
            <v>1.5</v>
          </cell>
          <cell r="BL880">
            <v>0</v>
          </cell>
          <cell r="BM880">
            <v>1.5</v>
          </cell>
          <cell r="BN880">
            <v>1.5</v>
          </cell>
          <cell r="BO880">
            <v>0</v>
          </cell>
          <cell r="BP880">
            <v>1.5</v>
          </cell>
          <cell r="BQ880">
            <v>0</v>
          </cell>
          <cell r="BR880">
            <v>0</v>
          </cell>
          <cell r="BS880">
            <v>0</v>
          </cell>
          <cell r="BT880">
            <v>0</v>
          </cell>
          <cell r="BU880">
            <v>0</v>
          </cell>
          <cell r="BV880">
            <v>0</v>
          </cell>
          <cell r="BW880">
            <v>3</v>
          </cell>
          <cell r="BX880">
            <v>3</v>
          </cell>
          <cell r="BY880">
            <v>4</v>
          </cell>
          <cell r="BZ880">
            <v>4</v>
          </cell>
          <cell r="CA880">
            <v>4</v>
          </cell>
          <cell r="CB880">
            <v>4</v>
          </cell>
          <cell r="CC880">
            <v>0</v>
          </cell>
          <cell r="CD880">
            <v>3</v>
          </cell>
          <cell r="CE880">
            <v>3</v>
          </cell>
          <cell r="CF880">
            <v>3</v>
          </cell>
          <cell r="CG880">
            <v>0</v>
          </cell>
          <cell r="CH880">
            <v>3</v>
          </cell>
          <cell r="CI880">
            <v>3</v>
          </cell>
          <cell r="CJ880">
            <v>8</v>
          </cell>
          <cell r="CK880">
            <v>4</v>
          </cell>
          <cell r="CL880">
            <v>4</v>
          </cell>
          <cell r="CM880">
            <v>4</v>
          </cell>
          <cell r="CR880">
            <v>0</v>
          </cell>
          <cell r="CS880">
            <v>0</v>
          </cell>
          <cell r="CT880">
            <v>53.5</v>
          </cell>
          <cell r="CU880">
            <v>8</v>
          </cell>
          <cell r="CV880">
            <v>0</v>
          </cell>
          <cell r="CZ880">
            <v>61.5</v>
          </cell>
        </row>
        <row r="881">
          <cell r="C881" t="str">
            <v>00857</v>
          </cell>
          <cell r="D881" t="str">
            <v>Nguyễn Thị Đầm</v>
          </cell>
          <cell r="E881" t="str">
            <v>Production</v>
          </cell>
          <cell r="F881" t="str">
            <v>Logo</v>
          </cell>
          <cell r="G881" t="str">
            <v>Worker</v>
          </cell>
          <cell r="H881">
            <v>42625</v>
          </cell>
          <cell r="I881" t="str">
            <v>Đ</v>
          </cell>
          <cell r="J881" t="str">
            <v>Đ</v>
          </cell>
          <cell r="K881" t="str">
            <v>Đ</v>
          </cell>
          <cell r="L881" t="str">
            <v>CN</v>
          </cell>
          <cell r="M881">
            <v>8</v>
          </cell>
          <cell r="N881">
            <v>8</v>
          </cell>
          <cell r="O881">
            <v>8</v>
          </cell>
          <cell r="P881">
            <v>8</v>
          </cell>
          <cell r="Q881">
            <v>8</v>
          </cell>
          <cell r="R881">
            <v>8</v>
          </cell>
          <cell r="S881" t="str">
            <v>CN</v>
          </cell>
          <cell r="T881" t="str">
            <v>Đ</v>
          </cell>
          <cell r="U881" t="str">
            <v>Đ</v>
          </cell>
          <cell r="V881" t="str">
            <v>Đ</v>
          </cell>
          <cell r="W881" t="str">
            <v>Đ</v>
          </cell>
          <cell r="X881" t="str">
            <v>Đ</v>
          </cell>
          <cell r="Y881" t="str">
            <v>Đ</v>
          </cell>
          <cell r="Z881" t="str">
            <v>CN</v>
          </cell>
          <cell r="AA881">
            <v>8</v>
          </cell>
          <cell r="AB881">
            <v>8</v>
          </cell>
          <cell r="AC881">
            <v>8</v>
          </cell>
          <cell r="AD881">
            <v>8</v>
          </cell>
          <cell r="AE881">
            <v>8</v>
          </cell>
          <cell r="AF881">
            <v>8</v>
          </cell>
          <cell r="AG881" t="str">
            <v>CN</v>
          </cell>
          <cell r="AH881" t="str">
            <v>Đ</v>
          </cell>
          <cell r="AI881" t="str">
            <v>Đ</v>
          </cell>
          <cell r="AJ881" t="str">
            <v>Đ</v>
          </cell>
          <cell r="AN881">
            <v>96</v>
          </cell>
          <cell r="AO881">
            <v>96</v>
          </cell>
          <cell r="AP881">
            <v>0</v>
          </cell>
          <cell r="AQ881">
            <v>0</v>
          </cell>
          <cell r="AR881">
            <v>0</v>
          </cell>
          <cell r="AS881">
            <v>0</v>
          </cell>
          <cell r="AT881">
            <v>0</v>
          </cell>
          <cell r="AU881">
            <v>0</v>
          </cell>
          <cell r="AV881">
            <v>0</v>
          </cell>
          <cell r="AW881">
            <v>0</v>
          </cell>
          <cell r="AX881">
            <v>0</v>
          </cell>
          <cell r="AY881">
            <v>0</v>
          </cell>
          <cell r="AZ881">
            <v>0</v>
          </cell>
          <cell r="BA881">
            <v>0</v>
          </cell>
          <cell r="BB881">
            <v>0</v>
          </cell>
          <cell r="BC881">
            <v>0</v>
          </cell>
          <cell r="BD881">
            <v>0</v>
          </cell>
          <cell r="BE881">
            <v>0</v>
          </cell>
          <cell r="BF881">
            <v>0</v>
          </cell>
          <cell r="BG881">
            <v>192</v>
          </cell>
          <cell r="BH881">
            <v>0</v>
          </cell>
          <cell r="BI881">
            <v>0</v>
          </cell>
          <cell r="BJ881">
            <v>9.5</v>
          </cell>
          <cell r="BL881">
            <v>1.5</v>
          </cell>
          <cell r="BM881">
            <v>1.5</v>
          </cell>
          <cell r="BN881">
            <v>1.5</v>
          </cell>
          <cell r="BO881">
            <v>0</v>
          </cell>
          <cell r="BP881">
            <v>1.5</v>
          </cell>
          <cell r="BQ881">
            <v>0</v>
          </cell>
          <cell r="BR881">
            <v>0</v>
          </cell>
          <cell r="BS881">
            <v>0</v>
          </cell>
          <cell r="BT881">
            <v>3</v>
          </cell>
          <cell r="BU881">
            <v>3</v>
          </cell>
          <cell r="BV881">
            <v>0</v>
          </cell>
          <cell r="BW881">
            <v>4</v>
          </cell>
          <cell r="BX881">
            <v>4</v>
          </cell>
          <cell r="BY881">
            <v>4</v>
          </cell>
          <cell r="BZ881">
            <v>4</v>
          </cell>
          <cell r="CA881">
            <v>4</v>
          </cell>
          <cell r="CB881">
            <v>4</v>
          </cell>
          <cell r="CC881">
            <v>0</v>
          </cell>
          <cell r="CD881">
            <v>3</v>
          </cell>
          <cell r="CE881">
            <v>3</v>
          </cell>
          <cell r="CF881">
            <v>3</v>
          </cell>
          <cell r="CG881">
            <v>3</v>
          </cell>
          <cell r="CH881">
            <v>3</v>
          </cell>
          <cell r="CI881">
            <v>3</v>
          </cell>
          <cell r="CJ881">
            <v>8</v>
          </cell>
          <cell r="CK881">
            <v>4</v>
          </cell>
          <cell r="CL881">
            <v>4</v>
          </cell>
          <cell r="CM881">
            <v>4</v>
          </cell>
          <cell r="CR881">
            <v>0</v>
          </cell>
          <cell r="CS881">
            <v>0</v>
          </cell>
          <cell r="CT881">
            <v>66</v>
          </cell>
          <cell r="CU881">
            <v>8</v>
          </cell>
          <cell r="CV881">
            <v>0</v>
          </cell>
          <cell r="CZ881">
            <v>74</v>
          </cell>
        </row>
        <row r="882">
          <cell r="C882" t="str">
            <v>04410</v>
          </cell>
          <cell r="D882" t="str">
            <v>Nguyễn Thành Nhân</v>
          </cell>
          <cell r="E882" t="str">
            <v>Production</v>
          </cell>
          <cell r="F882" t="str">
            <v>Packing</v>
          </cell>
          <cell r="G882" t="str">
            <v>Worker</v>
          </cell>
          <cell r="H882">
            <v>45698</v>
          </cell>
          <cell r="I882" t="str">
            <v>Đ</v>
          </cell>
          <cell r="J882" t="str">
            <v>Đ</v>
          </cell>
          <cell r="K882" t="str">
            <v>Đ</v>
          </cell>
          <cell r="L882" t="str">
            <v>CN</v>
          </cell>
          <cell r="M882">
            <v>8</v>
          </cell>
          <cell r="N882">
            <v>8</v>
          </cell>
          <cell r="O882">
            <v>8</v>
          </cell>
          <cell r="P882" t="str">
            <v>AL4</v>
          </cell>
          <cell r="Q882">
            <v>8</v>
          </cell>
          <cell r="R882">
            <v>8</v>
          </cell>
          <cell r="S882" t="str">
            <v>CN</v>
          </cell>
          <cell r="T882" t="str">
            <v>Đ</v>
          </cell>
          <cell r="U882" t="str">
            <v>Đ</v>
          </cell>
          <cell r="V882" t="str">
            <v>Đ</v>
          </cell>
          <cell r="W882" t="str">
            <v>Đ</v>
          </cell>
          <cell r="X882" t="str">
            <v>Đ</v>
          </cell>
          <cell r="Y882" t="str">
            <v>Đ</v>
          </cell>
          <cell r="Z882" t="str">
            <v>CN</v>
          </cell>
          <cell r="AA882">
            <v>8</v>
          </cell>
          <cell r="AB882">
            <v>8</v>
          </cell>
          <cell r="AC882" t="str">
            <v>AL8</v>
          </cell>
          <cell r="AD882">
            <v>8</v>
          </cell>
          <cell r="AE882">
            <v>8</v>
          </cell>
          <cell r="AF882">
            <v>8</v>
          </cell>
          <cell r="AG882" t="str">
            <v>CN</v>
          </cell>
          <cell r="AH882" t="str">
            <v>Đ</v>
          </cell>
          <cell r="AI882" t="str">
            <v>Đ</v>
          </cell>
          <cell r="AJ882" t="str">
            <v>Đ</v>
          </cell>
          <cell r="AN882">
            <v>96</v>
          </cell>
          <cell r="AO882">
            <v>84</v>
          </cell>
          <cell r="AP882">
            <v>4</v>
          </cell>
          <cell r="AQ882">
            <v>0</v>
          </cell>
          <cell r="AR882">
            <v>0</v>
          </cell>
          <cell r="AS882">
            <v>0</v>
          </cell>
          <cell r="AT882">
            <v>0</v>
          </cell>
          <cell r="AU882">
            <v>0</v>
          </cell>
          <cell r="AV882">
            <v>0</v>
          </cell>
          <cell r="AW882">
            <v>0</v>
          </cell>
          <cell r="AX882">
            <v>0</v>
          </cell>
          <cell r="AY882">
            <v>0</v>
          </cell>
          <cell r="AZ882">
            <v>0</v>
          </cell>
          <cell r="BA882">
            <v>12</v>
          </cell>
          <cell r="BB882">
            <v>0</v>
          </cell>
          <cell r="BC882">
            <v>0</v>
          </cell>
          <cell r="BD882">
            <v>0</v>
          </cell>
          <cell r="BE882">
            <v>0</v>
          </cell>
          <cell r="BF882">
            <v>0</v>
          </cell>
          <cell r="BG882">
            <v>192</v>
          </cell>
          <cell r="BH882">
            <v>1.5</v>
          </cell>
          <cell r="BI882">
            <v>1.5</v>
          </cell>
          <cell r="BJ882">
            <v>0.5</v>
          </cell>
          <cell r="BL882">
            <v>0</v>
          </cell>
          <cell r="BM882">
            <v>1.5</v>
          </cell>
          <cell r="BN882">
            <v>1.5</v>
          </cell>
          <cell r="BO882">
            <v>0</v>
          </cell>
          <cell r="BP882">
            <v>1.5</v>
          </cell>
          <cell r="BQ882">
            <v>1.5</v>
          </cell>
          <cell r="BR882">
            <v>1.5</v>
          </cell>
          <cell r="BS882">
            <v>1</v>
          </cell>
          <cell r="BT882">
            <v>3</v>
          </cell>
          <cell r="BU882">
            <v>1.5</v>
          </cell>
          <cell r="BV882">
            <v>0</v>
          </cell>
          <cell r="BW882">
            <v>1.5</v>
          </cell>
          <cell r="BX882">
            <v>1.5</v>
          </cell>
          <cell r="BY882">
            <v>4</v>
          </cell>
          <cell r="BZ882">
            <v>4</v>
          </cell>
          <cell r="CA882">
            <v>4</v>
          </cell>
          <cell r="CB882">
            <v>4</v>
          </cell>
          <cell r="CC882">
            <v>0</v>
          </cell>
          <cell r="CD882">
            <v>3</v>
          </cell>
          <cell r="CE882">
            <v>3</v>
          </cell>
          <cell r="CF882">
            <v>0</v>
          </cell>
          <cell r="CG882">
            <v>3</v>
          </cell>
          <cell r="CH882">
            <v>3</v>
          </cell>
          <cell r="CI882">
            <v>3</v>
          </cell>
          <cell r="CJ882">
            <v>8</v>
          </cell>
          <cell r="CK882">
            <v>4</v>
          </cell>
          <cell r="CL882">
            <v>4</v>
          </cell>
          <cell r="CM882">
            <v>4</v>
          </cell>
          <cell r="CR882">
            <v>0</v>
          </cell>
          <cell r="CS882">
            <v>0</v>
          </cell>
          <cell r="CT882">
            <v>59</v>
          </cell>
          <cell r="CU882">
            <v>8</v>
          </cell>
          <cell r="CV882">
            <v>0</v>
          </cell>
          <cell r="CZ882">
            <v>67</v>
          </cell>
        </row>
        <row r="883">
          <cell r="C883" t="str">
            <v>04412</v>
          </cell>
          <cell r="D883" t="str">
            <v>Trần Văn Công</v>
          </cell>
          <cell r="E883" t="str">
            <v>Production</v>
          </cell>
          <cell r="F883" t="str">
            <v>Prefitting</v>
          </cell>
          <cell r="G883" t="str">
            <v>Worker</v>
          </cell>
          <cell r="H883">
            <v>45698</v>
          </cell>
          <cell r="I883" t="str">
            <v>AL8</v>
          </cell>
          <cell r="J883" t="str">
            <v>CN</v>
          </cell>
          <cell r="K883">
            <v>8</v>
          </cell>
          <cell r="L883">
            <v>8</v>
          </cell>
          <cell r="M883" t="str">
            <v>AL4</v>
          </cell>
          <cell r="N883">
            <v>8</v>
          </cell>
          <cell r="O883">
            <v>8</v>
          </cell>
          <cell r="P883">
            <v>8</v>
          </cell>
          <cell r="Q883" t="str">
            <v>CN</v>
          </cell>
          <cell r="R883" t="str">
            <v>AL8</v>
          </cell>
          <cell r="S883" t="str">
            <v>Đ</v>
          </cell>
          <cell r="T883" t="str">
            <v>Đ</v>
          </cell>
          <cell r="U883" t="str">
            <v>Đ</v>
          </cell>
          <cell r="V883" t="str">
            <v>Đ</v>
          </cell>
          <cell r="W883" t="str">
            <v>Đ</v>
          </cell>
          <cell r="X883" t="str">
            <v>CN</v>
          </cell>
          <cell r="Y883">
            <v>8</v>
          </cell>
          <cell r="Z883">
            <v>8</v>
          </cell>
          <cell r="AA883">
            <v>8</v>
          </cell>
          <cell r="AB883">
            <v>8</v>
          </cell>
          <cell r="AC883">
            <v>8</v>
          </cell>
          <cell r="AD883">
            <v>8</v>
          </cell>
          <cell r="AE883" t="str">
            <v>CN</v>
          </cell>
          <cell r="AF883" t="str">
            <v>Đ</v>
          </cell>
          <cell r="AG883" t="str">
            <v>Đ</v>
          </cell>
          <cell r="AH883" t="str">
            <v>Đ</v>
          </cell>
          <cell r="AI883" t="str">
            <v>Đ</v>
          </cell>
          <cell r="AJ883" t="str">
            <v>Đ</v>
          </cell>
          <cell r="AN883">
            <v>80</v>
          </cell>
          <cell r="AO883">
            <v>92</v>
          </cell>
          <cell r="AP883">
            <v>4</v>
          </cell>
          <cell r="AQ883">
            <v>0</v>
          </cell>
          <cell r="AR883">
            <v>0</v>
          </cell>
          <cell r="AS883">
            <v>0</v>
          </cell>
          <cell r="AT883">
            <v>0</v>
          </cell>
          <cell r="AU883">
            <v>0</v>
          </cell>
          <cell r="AV883">
            <v>0</v>
          </cell>
          <cell r="AW883">
            <v>0</v>
          </cell>
          <cell r="AX883">
            <v>0</v>
          </cell>
          <cell r="AY883">
            <v>0</v>
          </cell>
          <cell r="AZ883">
            <v>0</v>
          </cell>
          <cell r="BA883">
            <v>20</v>
          </cell>
          <cell r="BB883">
            <v>0</v>
          </cell>
          <cell r="BC883">
            <v>0</v>
          </cell>
          <cell r="BD883">
            <v>0</v>
          </cell>
          <cell r="BE883">
            <v>0</v>
          </cell>
          <cell r="BF883">
            <v>0</v>
          </cell>
          <cell r="BG883">
            <v>192</v>
          </cell>
          <cell r="BH883">
            <v>2.5</v>
          </cell>
          <cell r="BI883">
            <v>2.5</v>
          </cell>
          <cell r="BJ883">
            <v>-1.5</v>
          </cell>
          <cell r="BL883">
            <v>0</v>
          </cell>
          <cell r="BM883">
            <v>0</v>
          </cell>
          <cell r="BN883">
            <v>0</v>
          </cell>
          <cell r="BO883">
            <v>4</v>
          </cell>
          <cell r="BP883">
            <v>0</v>
          </cell>
          <cell r="BQ883">
            <v>0</v>
          </cell>
          <cell r="BR883">
            <v>0</v>
          </cell>
          <cell r="BS883">
            <v>0</v>
          </cell>
          <cell r="BT883">
            <v>0</v>
          </cell>
          <cell r="BU883">
            <v>0</v>
          </cell>
          <cell r="BV883">
            <v>4</v>
          </cell>
          <cell r="BW883">
            <v>0</v>
          </cell>
          <cell r="BX883">
            <v>0</v>
          </cell>
          <cell r="BY883">
            <v>0</v>
          </cell>
          <cell r="BZ883">
            <v>0</v>
          </cell>
          <cell r="CA883">
            <v>0</v>
          </cell>
          <cell r="CB883">
            <v>0</v>
          </cell>
          <cell r="CC883">
            <v>4</v>
          </cell>
          <cell r="CD883">
            <v>0</v>
          </cell>
          <cell r="CE883">
            <v>0</v>
          </cell>
          <cell r="CF883">
            <v>0</v>
          </cell>
          <cell r="CG883">
            <v>0</v>
          </cell>
          <cell r="CH883">
            <v>0</v>
          </cell>
          <cell r="CI883">
            <v>4</v>
          </cell>
          <cell r="CJ883">
            <v>4</v>
          </cell>
          <cell r="CK883">
            <v>0</v>
          </cell>
          <cell r="CL883">
            <v>0</v>
          </cell>
          <cell r="CM883">
            <v>0</v>
          </cell>
          <cell r="CR883">
            <v>0</v>
          </cell>
          <cell r="CS883">
            <v>0</v>
          </cell>
          <cell r="CT883">
            <v>20</v>
          </cell>
          <cell r="CU883">
            <v>0</v>
          </cell>
          <cell r="CV883">
            <v>0</v>
          </cell>
          <cell r="CZ883">
            <v>20</v>
          </cell>
        </row>
        <row r="884">
          <cell r="C884" t="str">
            <v>04417</v>
          </cell>
          <cell r="D884" t="str">
            <v>Nguyễn Lý Hồng Ân</v>
          </cell>
          <cell r="E884" t="str">
            <v>Production</v>
          </cell>
          <cell r="F884" t="str">
            <v>Die Cut</v>
          </cell>
          <cell r="G884" t="str">
            <v>Supervisor</v>
          </cell>
          <cell r="H884">
            <v>45698</v>
          </cell>
          <cell r="I884">
            <v>8</v>
          </cell>
          <cell r="J884">
            <v>8</v>
          </cell>
          <cell r="K884" t="str">
            <v>UP7</v>
          </cell>
          <cell r="L884" t="str">
            <v>CN</v>
          </cell>
          <cell r="M884" t="str">
            <v>UP6.25</v>
          </cell>
          <cell r="N884">
            <v>8</v>
          </cell>
          <cell r="O884">
            <v>8</v>
          </cell>
          <cell r="P884">
            <v>8</v>
          </cell>
          <cell r="Q884" t="str">
            <v>PO</v>
          </cell>
          <cell r="R884" t="str">
            <v>AL4</v>
          </cell>
          <cell r="S884" t="str">
            <v>CN</v>
          </cell>
          <cell r="T884">
            <v>8</v>
          </cell>
          <cell r="U884">
            <v>8</v>
          </cell>
          <cell r="V884">
            <v>8</v>
          </cell>
          <cell r="W884">
            <v>8</v>
          </cell>
          <cell r="X884">
            <v>8</v>
          </cell>
          <cell r="Y884" t="str">
            <v>AL4</v>
          </cell>
          <cell r="Z884" t="str">
            <v>CN</v>
          </cell>
          <cell r="AA884">
            <v>8</v>
          </cell>
          <cell r="AB884">
            <v>8</v>
          </cell>
          <cell r="AC884">
            <v>8</v>
          </cell>
          <cell r="AD884">
            <v>8</v>
          </cell>
          <cell r="AE884">
            <v>8</v>
          </cell>
          <cell r="AF884" t="str">
            <v>UP6</v>
          </cell>
          <cell r="AG884" t="str">
            <v>CN</v>
          </cell>
          <cell r="AH884">
            <v>8</v>
          </cell>
          <cell r="AI884">
            <v>8</v>
          </cell>
          <cell r="AJ884" t="str">
            <v>UP7.5</v>
          </cell>
          <cell r="AN884">
            <v>0</v>
          </cell>
          <cell r="AO884">
            <v>170.75</v>
          </cell>
          <cell r="AP884">
            <v>8</v>
          </cell>
          <cell r="AQ884">
            <v>0</v>
          </cell>
          <cell r="AR884">
            <v>26.75</v>
          </cell>
          <cell r="AS884">
            <v>0</v>
          </cell>
          <cell r="AT884">
            <v>0</v>
          </cell>
          <cell r="AU884">
            <v>0</v>
          </cell>
          <cell r="AV884">
            <v>8</v>
          </cell>
          <cell r="AW884">
            <v>0</v>
          </cell>
          <cell r="AX884">
            <v>0</v>
          </cell>
          <cell r="AY884">
            <v>0</v>
          </cell>
          <cell r="AZ884">
            <v>0</v>
          </cell>
          <cell r="BA884">
            <v>8</v>
          </cell>
          <cell r="BB884">
            <v>0</v>
          </cell>
          <cell r="BC884">
            <v>0</v>
          </cell>
          <cell r="BD884">
            <v>0</v>
          </cell>
          <cell r="BE884">
            <v>0</v>
          </cell>
          <cell r="BF884">
            <v>0</v>
          </cell>
          <cell r="BG884">
            <v>186.75</v>
          </cell>
          <cell r="BH884">
            <v>1</v>
          </cell>
          <cell r="BI884">
            <v>1</v>
          </cell>
          <cell r="BJ884">
            <v>0.5</v>
          </cell>
          <cell r="BL884">
            <v>0.5</v>
          </cell>
          <cell r="BM884">
            <v>1</v>
          </cell>
          <cell r="BN884">
            <v>0</v>
          </cell>
          <cell r="BO884">
            <v>0</v>
          </cell>
          <cell r="BP884">
            <v>1.75</v>
          </cell>
          <cell r="BQ884">
            <v>3</v>
          </cell>
          <cell r="BR884">
            <v>0.5</v>
          </cell>
          <cell r="BS884">
            <v>1</v>
          </cell>
          <cell r="BT884">
            <v>0</v>
          </cell>
          <cell r="BU884">
            <v>0</v>
          </cell>
          <cell r="BV884">
            <v>0</v>
          </cell>
          <cell r="BW884">
            <v>0</v>
          </cell>
          <cell r="BX884">
            <v>1.5</v>
          </cell>
          <cell r="BY884">
            <v>1.5</v>
          </cell>
          <cell r="BZ884">
            <v>1</v>
          </cell>
          <cell r="CA884">
            <v>2</v>
          </cell>
          <cell r="CB884">
            <v>0</v>
          </cell>
          <cell r="CC884">
            <v>5.5</v>
          </cell>
          <cell r="CD884">
            <v>1</v>
          </cell>
          <cell r="CE884">
            <v>1.75</v>
          </cell>
          <cell r="CF884">
            <v>1</v>
          </cell>
          <cell r="CG884">
            <v>0.5</v>
          </cell>
          <cell r="CH884">
            <v>1</v>
          </cell>
          <cell r="CI884">
            <v>0</v>
          </cell>
          <cell r="CJ884">
            <v>5</v>
          </cell>
          <cell r="CK884">
            <v>1</v>
          </cell>
          <cell r="CL884">
            <v>1.5</v>
          </cell>
          <cell r="CM884">
            <v>0</v>
          </cell>
          <cell r="CR884">
            <v>0</v>
          </cell>
          <cell r="CS884">
            <v>0</v>
          </cell>
          <cell r="CT884">
            <v>21.5</v>
          </cell>
          <cell r="CU884">
            <v>10.5</v>
          </cell>
          <cell r="CV884">
            <v>0</v>
          </cell>
          <cell r="CZ884">
            <v>32</v>
          </cell>
        </row>
        <row r="885">
          <cell r="C885" t="str">
            <v>04418</v>
          </cell>
          <cell r="D885" t="str">
            <v>Nguyễn Ngọc Diễm</v>
          </cell>
          <cell r="E885" t="str">
            <v>CS</v>
          </cell>
          <cell r="F885" t="str">
            <v>CS</v>
          </cell>
          <cell r="G885" t="str">
            <v>Staff</v>
          </cell>
          <cell r="H885">
            <v>45699</v>
          </cell>
          <cell r="I885">
            <v>8</v>
          </cell>
          <cell r="J885">
            <v>8</v>
          </cell>
          <cell r="K885" t="str">
            <v>PO</v>
          </cell>
          <cell r="L885" t="str">
            <v>CN</v>
          </cell>
          <cell r="M885">
            <v>8</v>
          </cell>
          <cell r="N885">
            <v>8</v>
          </cell>
          <cell r="O885">
            <v>8</v>
          </cell>
          <cell r="P885">
            <v>8</v>
          </cell>
          <cell r="Q885">
            <v>8</v>
          </cell>
          <cell r="R885" t="str">
            <v>PO</v>
          </cell>
          <cell r="S885" t="str">
            <v>CN</v>
          </cell>
          <cell r="T885">
            <v>8</v>
          </cell>
          <cell r="U885">
            <v>8</v>
          </cell>
          <cell r="V885">
            <v>8</v>
          </cell>
          <cell r="W885">
            <v>8</v>
          </cell>
          <cell r="X885">
            <v>8</v>
          </cell>
          <cell r="Y885" t="str">
            <v>PO</v>
          </cell>
          <cell r="Z885" t="str">
            <v>CN</v>
          </cell>
          <cell r="AA885">
            <v>8</v>
          </cell>
          <cell r="AB885">
            <v>8</v>
          </cell>
          <cell r="AC885">
            <v>8</v>
          </cell>
          <cell r="AD885">
            <v>8</v>
          </cell>
          <cell r="AE885">
            <v>8</v>
          </cell>
          <cell r="AF885" t="str">
            <v>PO</v>
          </cell>
          <cell r="AG885" t="str">
            <v>CN</v>
          </cell>
          <cell r="AH885">
            <v>8</v>
          </cell>
          <cell r="AI885" t="str">
            <v>AL4</v>
          </cell>
          <cell r="AJ885">
            <v>8</v>
          </cell>
          <cell r="AN885">
            <v>0</v>
          </cell>
          <cell r="AO885">
            <v>156</v>
          </cell>
          <cell r="AP885">
            <v>4</v>
          </cell>
          <cell r="AQ885">
            <v>0</v>
          </cell>
          <cell r="AR885">
            <v>0</v>
          </cell>
          <cell r="AS885">
            <v>0</v>
          </cell>
          <cell r="AT885">
            <v>0</v>
          </cell>
          <cell r="AU885">
            <v>0</v>
          </cell>
          <cell r="AV885">
            <v>32</v>
          </cell>
          <cell r="AW885">
            <v>0</v>
          </cell>
          <cell r="AX885">
            <v>0</v>
          </cell>
          <cell r="AY885">
            <v>0</v>
          </cell>
          <cell r="AZ885">
            <v>0</v>
          </cell>
          <cell r="BA885">
            <v>4</v>
          </cell>
          <cell r="BB885">
            <v>0</v>
          </cell>
          <cell r="BC885">
            <v>0</v>
          </cell>
          <cell r="BD885">
            <v>0</v>
          </cell>
          <cell r="BE885">
            <v>0</v>
          </cell>
          <cell r="BF885">
            <v>0</v>
          </cell>
          <cell r="BG885">
            <v>192</v>
          </cell>
          <cell r="BH885">
            <v>0.5</v>
          </cell>
          <cell r="BI885">
            <v>0.5</v>
          </cell>
          <cell r="BJ885">
            <v>10.5</v>
          </cell>
          <cell r="BL885">
            <v>0</v>
          </cell>
          <cell r="BM885">
            <v>0</v>
          </cell>
          <cell r="BN885">
            <v>0</v>
          </cell>
          <cell r="BO885">
            <v>0</v>
          </cell>
          <cell r="BP885">
            <v>0</v>
          </cell>
          <cell r="BQ885">
            <v>0</v>
          </cell>
          <cell r="BR885">
            <v>0</v>
          </cell>
          <cell r="BS885">
            <v>0</v>
          </cell>
          <cell r="BT885">
            <v>0</v>
          </cell>
          <cell r="BU885">
            <v>0</v>
          </cell>
          <cell r="BV885">
            <v>0</v>
          </cell>
          <cell r="BW885">
            <v>0</v>
          </cell>
          <cell r="BX885">
            <v>0</v>
          </cell>
          <cell r="BY885">
            <v>0</v>
          </cell>
          <cell r="BZ885">
            <v>0</v>
          </cell>
          <cell r="CA885">
            <v>0</v>
          </cell>
          <cell r="CB885">
            <v>0</v>
          </cell>
          <cell r="CC885">
            <v>0</v>
          </cell>
          <cell r="CD885">
            <v>0</v>
          </cell>
          <cell r="CE885">
            <v>0</v>
          </cell>
          <cell r="CF885">
            <v>0</v>
          </cell>
          <cell r="CG885">
            <v>0</v>
          </cell>
          <cell r="CH885">
            <v>0</v>
          </cell>
          <cell r="CI885">
            <v>0</v>
          </cell>
          <cell r="CJ885">
            <v>0</v>
          </cell>
          <cell r="CK885">
            <v>0</v>
          </cell>
          <cell r="CL885">
            <v>0</v>
          </cell>
          <cell r="CM885">
            <v>0</v>
          </cell>
          <cell r="CR885">
            <v>0</v>
          </cell>
          <cell r="CS885">
            <v>0</v>
          </cell>
          <cell r="CT885">
            <v>0</v>
          </cell>
          <cell r="CU885">
            <v>0</v>
          </cell>
          <cell r="CV885">
            <v>0</v>
          </cell>
          <cell r="CZ885">
            <v>0</v>
          </cell>
        </row>
        <row r="886">
          <cell r="C886" t="str">
            <v>04420</v>
          </cell>
          <cell r="D886" t="str">
            <v>Nguyễn Quốc Nam</v>
          </cell>
          <cell r="E886" t="str">
            <v>Foaming</v>
          </cell>
          <cell r="F886" t="str">
            <v>FOAMING Splitting</v>
          </cell>
          <cell r="G886" t="str">
            <v>Worker</v>
          </cell>
          <cell r="H886">
            <v>45705</v>
          </cell>
          <cell r="I886">
            <v>8</v>
          </cell>
          <cell r="J886">
            <v>8</v>
          </cell>
          <cell r="K886">
            <v>8</v>
          </cell>
          <cell r="L886" t="str">
            <v>CN</v>
          </cell>
          <cell r="M886">
            <v>8</v>
          </cell>
          <cell r="N886">
            <v>8</v>
          </cell>
          <cell r="O886">
            <v>8</v>
          </cell>
          <cell r="P886">
            <v>8</v>
          </cell>
          <cell r="Q886">
            <v>8</v>
          </cell>
          <cell r="R886">
            <v>8</v>
          </cell>
          <cell r="S886" t="str">
            <v>CN</v>
          </cell>
          <cell r="T886">
            <v>8</v>
          </cell>
          <cell r="U886">
            <v>8</v>
          </cell>
          <cell r="V886">
            <v>8</v>
          </cell>
          <cell r="W886">
            <v>8</v>
          </cell>
          <cell r="X886">
            <v>8</v>
          </cell>
          <cell r="Y886">
            <v>8</v>
          </cell>
          <cell r="Z886" t="str">
            <v>CN</v>
          </cell>
          <cell r="AA886">
            <v>8</v>
          </cell>
          <cell r="AB886">
            <v>8</v>
          </cell>
          <cell r="AC886">
            <v>8</v>
          </cell>
          <cell r="AD886">
            <v>8</v>
          </cell>
          <cell r="AE886">
            <v>8</v>
          </cell>
          <cell r="AF886">
            <v>8</v>
          </cell>
          <cell r="AG886" t="str">
            <v>CN</v>
          </cell>
          <cell r="AH886">
            <v>8</v>
          </cell>
          <cell r="AI886">
            <v>8</v>
          </cell>
          <cell r="AJ886">
            <v>8</v>
          </cell>
          <cell r="AN886">
            <v>0</v>
          </cell>
          <cell r="AO886">
            <v>192</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192</v>
          </cell>
          <cell r="BH886">
            <v>0</v>
          </cell>
          <cell r="BI886">
            <v>0</v>
          </cell>
          <cell r="BJ886">
            <v>4</v>
          </cell>
          <cell r="BL886">
            <v>3</v>
          </cell>
          <cell r="BM886">
            <v>4</v>
          </cell>
          <cell r="BN886">
            <v>3</v>
          </cell>
          <cell r="BO886">
            <v>12</v>
          </cell>
          <cell r="BP886">
            <v>2</v>
          </cell>
          <cell r="BQ886">
            <v>2</v>
          </cell>
          <cell r="BR886">
            <v>2</v>
          </cell>
          <cell r="BS886">
            <v>2</v>
          </cell>
          <cell r="BT886">
            <v>2</v>
          </cell>
          <cell r="BU886">
            <v>2</v>
          </cell>
          <cell r="BV886">
            <v>12</v>
          </cell>
          <cell r="BW886">
            <v>4</v>
          </cell>
          <cell r="BX886">
            <v>4</v>
          </cell>
          <cell r="BY886">
            <v>4</v>
          </cell>
          <cell r="BZ886">
            <v>4</v>
          </cell>
          <cell r="CA886">
            <v>4</v>
          </cell>
          <cell r="CB886">
            <v>4</v>
          </cell>
          <cell r="CC886">
            <v>0</v>
          </cell>
          <cell r="CD886">
            <v>4</v>
          </cell>
          <cell r="CE886">
            <v>4</v>
          </cell>
          <cell r="CF886">
            <v>4</v>
          </cell>
          <cell r="CG886">
            <v>4</v>
          </cell>
          <cell r="CH886">
            <v>4</v>
          </cell>
          <cell r="CI886">
            <v>4</v>
          </cell>
          <cell r="CJ886">
            <v>12</v>
          </cell>
          <cell r="CK886">
            <v>4</v>
          </cell>
          <cell r="CL886">
            <v>4</v>
          </cell>
          <cell r="CM886">
            <v>3</v>
          </cell>
          <cell r="CR886">
            <v>0</v>
          </cell>
          <cell r="CS886">
            <v>0</v>
          </cell>
          <cell r="CT886">
            <v>81</v>
          </cell>
          <cell r="CU886">
            <v>36</v>
          </cell>
          <cell r="CV886">
            <v>0</v>
          </cell>
          <cell r="CZ886">
            <v>117</v>
          </cell>
        </row>
        <row r="887">
          <cell r="C887" t="str">
            <v>04421</v>
          </cell>
          <cell r="D887" t="str">
            <v>Lâm Tấn Đạt</v>
          </cell>
          <cell r="E887" t="str">
            <v>Foaming</v>
          </cell>
          <cell r="F887" t="str">
            <v>FOAMING Splitting</v>
          </cell>
          <cell r="G887" t="str">
            <v>Worker</v>
          </cell>
          <cell r="H887">
            <v>45705</v>
          </cell>
          <cell r="I887">
            <v>8</v>
          </cell>
          <cell r="J887" t="str">
            <v>AL8</v>
          </cell>
          <cell r="K887">
            <v>8</v>
          </cell>
          <cell r="L887" t="str">
            <v>CN</v>
          </cell>
          <cell r="M887">
            <v>8</v>
          </cell>
          <cell r="N887">
            <v>8</v>
          </cell>
          <cell r="O887">
            <v>8</v>
          </cell>
          <cell r="P887">
            <v>8</v>
          </cell>
          <cell r="Q887">
            <v>8</v>
          </cell>
          <cell r="R887" t="str">
            <v>AL4</v>
          </cell>
          <cell r="S887" t="str">
            <v>CN</v>
          </cell>
          <cell r="T887">
            <v>8</v>
          </cell>
          <cell r="U887">
            <v>8</v>
          </cell>
          <cell r="V887">
            <v>8</v>
          </cell>
          <cell r="W887">
            <v>8</v>
          </cell>
          <cell r="X887">
            <v>8</v>
          </cell>
          <cell r="Y887">
            <v>8</v>
          </cell>
          <cell r="Z887" t="str">
            <v>CN</v>
          </cell>
          <cell r="AA887">
            <v>8</v>
          </cell>
          <cell r="AB887">
            <v>8</v>
          </cell>
          <cell r="AC887">
            <v>8</v>
          </cell>
          <cell r="AD887">
            <v>8</v>
          </cell>
          <cell r="AE887">
            <v>8</v>
          </cell>
          <cell r="AF887">
            <v>8</v>
          </cell>
          <cell r="AG887" t="str">
            <v>CN</v>
          </cell>
          <cell r="AH887">
            <v>8</v>
          </cell>
          <cell r="AI887">
            <v>8</v>
          </cell>
          <cell r="AJ887">
            <v>8</v>
          </cell>
          <cell r="AN887">
            <v>0</v>
          </cell>
          <cell r="AO887">
            <v>180</v>
          </cell>
          <cell r="AP887">
            <v>4</v>
          </cell>
          <cell r="AQ887">
            <v>0</v>
          </cell>
          <cell r="AR887">
            <v>0</v>
          </cell>
          <cell r="AS887">
            <v>0</v>
          </cell>
          <cell r="AT887">
            <v>0</v>
          </cell>
          <cell r="AU887">
            <v>0</v>
          </cell>
          <cell r="AV887">
            <v>0</v>
          </cell>
          <cell r="AW887">
            <v>0</v>
          </cell>
          <cell r="AX887">
            <v>0</v>
          </cell>
          <cell r="AY887">
            <v>0</v>
          </cell>
          <cell r="AZ887">
            <v>0</v>
          </cell>
          <cell r="BA887">
            <v>12</v>
          </cell>
          <cell r="BB887">
            <v>0</v>
          </cell>
          <cell r="BC887">
            <v>0</v>
          </cell>
          <cell r="BD887">
            <v>0</v>
          </cell>
          <cell r="BE887">
            <v>0</v>
          </cell>
          <cell r="BF887">
            <v>0</v>
          </cell>
          <cell r="BG887">
            <v>192</v>
          </cell>
          <cell r="BH887">
            <v>1.5</v>
          </cell>
          <cell r="BI887">
            <v>1.5</v>
          </cell>
          <cell r="BJ887">
            <v>2</v>
          </cell>
          <cell r="BL887">
            <v>2</v>
          </cell>
          <cell r="BM887">
            <v>0</v>
          </cell>
          <cell r="BN887">
            <v>0</v>
          </cell>
          <cell r="BO887">
            <v>12</v>
          </cell>
          <cell r="BP887">
            <v>2</v>
          </cell>
          <cell r="BQ887">
            <v>2</v>
          </cell>
          <cell r="BR887">
            <v>2</v>
          </cell>
          <cell r="BS887">
            <v>2</v>
          </cell>
          <cell r="BT887">
            <v>2</v>
          </cell>
          <cell r="BU887">
            <v>1</v>
          </cell>
          <cell r="BV887">
            <v>12</v>
          </cell>
          <cell r="BW887">
            <v>3</v>
          </cell>
          <cell r="BX887">
            <v>3</v>
          </cell>
          <cell r="BY887">
            <v>3</v>
          </cell>
          <cell r="BZ887">
            <v>3</v>
          </cell>
          <cell r="CA887">
            <v>3</v>
          </cell>
          <cell r="CB887">
            <v>2</v>
          </cell>
          <cell r="CC887">
            <v>0</v>
          </cell>
          <cell r="CD887">
            <v>4</v>
          </cell>
          <cell r="CE887">
            <v>4</v>
          </cell>
          <cell r="CF887">
            <v>4</v>
          </cell>
          <cell r="CG887">
            <v>4</v>
          </cell>
          <cell r="CH887">
            <v>4</v>
          </cell>
          <cell r="CI887">
            <v>4</v>
          </cell>
          <cell r="CJ887">
            <v>12</v>
          </cell>
          <cell r="CK887">
            <v>3</v>
          </cell>
          <cell r="CL887">
            <v>3</v>
          </cell>
          <cell r="CM887">
            <v>3</v>
          </cell>
          <cell r="CR887">
            <v>0</v>
          </cell>
          <cell r="CS887">
            <v>0</v>
          </cell>
          <cell r="CT887">
            <v>63</v>
          </cell>
          <cell r="CU887">
            <v>36</v>
          </cell>
          <cell r="CV887">
            <v>0</v>
          </cell>
          <cell r="CZ887">
            <v>99</v>
          </cell>
        </row>
        <row r="888">
          <cell r="C888" t="str">
            <v>04424</v>
          </cell>
          <cell r="D888" t="str">
            <v>Huỳnh Tài Chánh</v>
          </cell>
          <cell r="E888" t="str">
            <v>Foaming</v>
          </cell>
          <cell r="F888" t="str">
            <v>FOAMING Rectangular</v>
          </cell>
          <cell r="G888" t="str">
            <v>Worker</v>
          </cell>
          <cell r="H888">
            <v>45705</v>
          </cell>
          <cell r="I888" t="str">
            <v>Đ</v>
          </cell>
          <cell r="J888" t="str">
            <v>Đ</v>
          </cell>
          <cell r="K888" t="str">
            <v>Đ</v>
          </cell>
          <cell r="L888" t="str">
            <v>CN</v>
          </cell>
          <cell r="M888" t="str">
            <v>Đ</v>
          </cell>
          <cell r="N888" t="str">
            <v>Đ</v>
          </cell>
          <cell r="O888" t="str">
            <v>Đ</v>
          </cell>
          <cell r="P888" t="str">
            <v>Đ</v>
          </cell>
          <cell r="Q888" t="str">
            <v>Đ</v>
          </cell>
          <cell r="R888" t="str">
            <v>Đ</v>
          </cell>
          <cell r="S888" t="str">
            <v>CN</v>
          </cell>
          <cell r="T888" t="str">
            <v>Đ</v>
          </cell>
          <cell r="U888" t="str">
            <v>Đ</v>
          </cell>
          <cell r="V888" t="str">
            <v>Đ</v>
          </cell>
          <cell r="W888" t="str">
            <v>Đ</v>
          </cell>
          <cell r="X888" t="str">
            <v>Đ</v>
          </cell>
          <cell r="Y888" t="str">
            <v>Đ</v>
          </cell>
          <cell r="Z888" t="str">
            <v>CN</v>
          </cell>
          <cell r="AA888">
            <v>8</v>
          </cell>
          <cell r="AB888">
            <v>8</v>
          </cell>
          <cell r="AC888">
            <v>8</v>
          </cell>
          <cell r="AD888">
            <v>8</v>
          </cell>
          <cell r="AE888">
            <v>8</v>
          </cell>
          <cell r="AF888">
            <v>8</v>
          </cell>
          <cell r="AG888" t="str">
            <v>CN</v>
          </cell>
          <cell r="AH888">
            <v>8</v>
          </cell>
          <cell r="AI888">
            <v>8</v>
          </cell>
          <cell r="AJ888">
            <v>8</v>
          </cell>
          <cell r="AN888">
            <v>120</v>
          </cell>
          <cell r="AO888">
            <v>72</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192</v>
          </cell>
          <cell r="BH888">
            <v>0</v>
          </cell>
          <cell r="BI888">
            <v>0</v>
          </cell>
          <cell r="BJ888">
            <v>2</v>
          </cell>
          <cell r="BL888">
            <v>4</v>
          </cell>
          <cell r="BM888">
            <v>4</v>
          </cell>
          <cell r="BN888">
            <v>4</v>
          </cell>
          <cell r="BO888" t="str">
            <v>12Đ</v>
          </cell>
          <cell r="BP888">
            <v>2</v>
          </cell>
          <cell r="BQ888">
            <v>4</v>
          </cell>
          <cell r="BR888">
            <v>4</v>
          </cell>
          <cell r="BS888">
            <v>4</v>
          </cell>
          <cell r="BT888">
            <v>4</v>
          </cell>
          <cell r="BU888">
            <v>4</v>
          </cell>
          <cell r="BV888" t="str">
            <v>12Đ</v>
          </cell>
          <cell r="BW888">
            <v>4</v>
          </cell>
          <cell r="BX888">
            <v>4</v>
          </cell>
          <cell r="BY888">
            <v>4</v>
          </cell>
          <cell r="BZ888">
            <v>4</v>
          </cell>
          <cell r="CA888">
            <v>4</v>
          </cell>
          <cell r="CB888">
            <v>4</v>
          </cell>
          <cell r="CC888">
            <v>0</v>
          </cell>
          <cell r="CD888">
            <v>4</v>
          </cell>
          <cell r="CE888">
            <v>4</v>
          </cell>
          <cell r="CF888">
            <v>4</v>
          </cell>
          <cell r="CG888">
            <v>4</v>
          </cell>
          <cell r="CH888">
            <v>4</v>
          </cell>
          <cell r="CI888">
            <v>4</v>
          </cell>
          <cell r="CJ888">
            <v>12</v>
          </cell>
          <cell r="CK888">
            <v>4</v>
          </cell>
          <cell r="CL888">
            <v>4</v>
          </cell>
          <cell r="CM888">
            <v>4</v>
          </cell>
          <cell r="CR888">
            <v>0</v>
          </cell>
          <cell r="CS888">
            <v>0</v>
          </cell>
          <cell r="CT888">
            <v>94</v>
          </cell>
          <cell r="CU888">
            <v>20</v>
          </cell>
          <cell r="CV888">
            <v>16</v>
          </cell>
          <cell r="CZ888">
            <v>130</v>
          </cell>
        </row>
        <row r="889">
          <cell r="C889" t="str">
            <v>04425</v>
          </cell>
          <cell r="D889" t="str">
            <v>Trương Văn Trong</v>
          </cell>
          <cell r="E889" t="str">
            <v>Foaming</v>
          </cell>
          <cell r="F889" t="str">
            <v>FOAMING Rectangular</v>
          </cell>
          <cell r="G889" t="str">
            <v>Worker</v>
          </cell>
          <cell r="H889">
            <v>45705</v>
          </cell>
          <cell r="I889" t="str">
            <v>Đ</v>
          </cell>
          <cell r="J889" t="str">
            <v>Đ</v>
          </cell>
          <cell r="K889" t="str">
            <v>Đ</v>
          </cell>
          <cell r="L889" t="str">
            <v>CN</v>
          </cell>
          <cell r="M889" t="str">
            <v>Đ</v>
          </cell>
          <cell r="N889" t="str">
            <v>Đ</v>
          </cell>
          <cell r="O889" t="str">
            <v>Đ</v>
          </cell>
          <cell r="P889" t="str">
            <v>Đ</v>
          </cell>
          <cell r="Q889" t="str">
            <v>Đ</v>
          </cell>
          <cell r="R889" t="str">
            <v>Đ</v>
          </cell>
          <cell r="S889" t="str">
            <v>CN</v>
          </cell>
          <cell r="T889" t="str">
            <v>Đ</v>
          </cell>
          <cell r="U889" t="str">
            <v>Đ</v>
          </cell>
          <cell r="V889" t="str">
            <v>Đ</v>
          </cell>
          <cell r="W889" t="str">
            <v>Đ</v>
          </cell>
          <cell r="X889" t="str">
            <v>Đ</v>
          </cell>
          <cell r="Y889" t="str">
            <v>Đ</v>
          </cell>
          <cell r="Z889" t="str">
            <v>CN</v>
          </cell>
          <cell r="AA889">
            <v>8</v>
          </cell>
          <cell r="AB889">
            <v>8</v>
          </cell>
          <cell r="AC889">
            <v>8</v>
          </cell>
          <cell r="AD889">
            <v>8</v>
          </cell>
          <cell r="AE889">
            <v>8</v>
          </cell>
          <cell r="AF889">
            <v>8</v>
          </cell>
          <cell r="AG889" t="str">
            <v>CN</v>
          </cell>
          <cell r="AH889" t="str">
            <v>AL8</v>
          </cell>
          <cell r="AI889">
            <v>8</v>
          </cell>
          <cell r="AJ889">
            <v>8</v>
          </cell>
          <cell r="AN889">
            <v>120</v>
          </cell>
          <cell r="AO889">
            <v>64</v>
          </cell>
          <cell r="AP889">
            <v>0</v>
          </cell>
          <cell r="AQ889">
            <v>0</v>
          </cell>
          <cell r="AR889">
            <v>0</v>
          </cell>
          <cell r="AS889">
            <v>0</v>
          </cell>
          <cell r="AT889">
            <v>0</v>
          </cell>
          <cell r="AU889">
            <v>0</v>
          </cell>
          <cell r="AV889">
            <v>0</v>
          </cell>
          <cell r="AW889">
            <v>0</v>
          </cell>
          <cell r="AX889">
            <v>0</v>
          </cell>
          <cell r="AY889">
            <v>0</v>
          </cell>
          <cell r="AZ889">
            <v>0</v>
          </cell>
          <cell r="BA889">
            <v>8</v>
          </cell>
          <cell r="BB889">
            <v>0</v>
          </cell>
          <cell r="BC889">
            <v>0</v>
          </cell>
          <cell r="BD889">
            <v>0</v>
          </cell>
          <cell r="BE889">
            <v>0</v>
          </cell>
          <cell r="BF889">
            <v>0</v>
          </cell>
          <cell r="BG889">
            <v>192</v>
          </cell>
          <cell r="BH889">
            <v>1</v>
          </cell>
          <cell r="BI889">
            <v>1</v>
          </cell>
          <cell r="BJ889">
            <v>6</v>
          </cell>
          <cell r="BL889">
            <v>4</v>
          </cell>
          <cell r="BM889">
            <v>4</v>
          </cell>
          <cell r="BN889">
            <v>4</v>
          </cell>
          <cell r="BO889" t="str">
            <v>12Đ</v>
          </cell>
          <cell r="BP889">
            <v>0</v>
          </cell>
          <cell r="BQ889">
            <v>4</v>
          </cell>
          <cell r="BR889">
            <v>4</v>
          </cell>
          <cell r="BS889">
            <v>4</v>
          </cell>
          <cell r="BT889">
            <v>4</v>
          </cell>
          <cell r="BU889">
            <v>0</v>
          </cell>
          <cell r="BV889" t="str">
            <v>12Đ</v>
          </cell>
          <cell r="BW889">
            <v>4</v>
          </cell>
          <cell r="BX889">
            <v>4</v>
          </cell>
          <cell r="BY889">
            <v>4</v>
          </cell>
          <cell r="BZ889">
            <v>4</v>
          </cell>
          <cell r="CA889">
            <v>4</v>
          </cell>
          <cell r="CB889">
            <v>4</v>
          </cell>
          <cell r="CC889">
            <v>0</v>
          </cell>
          <cell r="CD889">
            <v>4</v>
          </cell>
          <cell r="CE889">
            <v>0</v>
          </cell>
          <cell r="CF889">
            <v>4</v>
          </cell>
          <cell r="CG889">
            <v>4</v>
          </cell>
          <cell r="CH889">
            <v>4</v>
          </cell>
          <cell r="CI889">
            <v>4</v>
          </cell>
          <cell r="CJ889">
            <v>12</v>
          </cell>
          <cell r="CK889">
            <v>0</v>
          </cell>
          <cell r="CL889">
            <v>4</v>
          </cell>
          <cell r="CM889">
            <v>4</v>
          </cell>
          <cell r="CR889">
            <v>0</v>
          </cell>
          <cell r="CS889">
            <v>0</v>
          </cell>
          <cell r="CT889">
            <v>80</v>
          </cell>
          <cell r="CU889">
            <v>20</v>
          </cell>
          <cell r="CV889">
            <v>16</v>
          </cell>
          <cell r="CZ889">
            <v>116</v>
          </cell>
        </row>
        <row r="890">
          <cell r="C890" t="str">
            <v>04428</v>
          </cell>
          <cell r="D890" t="str">
            <v>Nguyễn Thị Diệu Hiền</v>
          </cell>
          <cell r="E890" t="str">
            <v>Production</v>
          </cell>
          <cell r="F890" t="str">
            <v>Molding</v>
          </cell>
          <cell r="G890" t="str">
            <v>Worker</v>
          </cell>
          <cell r="H890">
            <v>45705</v>
          </cell>
          <cell r="I890">
            <v>8</v>
          </cell>
          <cell r="J890">
            <v>8</v>
          </cell>
          <cell r="K890">
            <v>8</v>
          </cell>
          <cell r="L890" t="str">
            <v>CN</v>
          </cell>
          <cell r="M890" t="str">
            <v>AL8</v>
          </cell>
          <cell r="N890" t="str">
            <v>Đ</v>
          </cell>
          <cell r="O890" t="str">
            <v>Đ</v>
          </cell>
          <cell r="P890" t="str">
            <v>Đ</v>
          </cell>
          <cell r="Q890" t="str">
            <v>Đ</v>
          </cell>
          <cell r="R890" t="str">
            <v>Đ</v>
          </cell>
          <cell r="S890" t="str">
            <v>CN</v>
          </cell>
          <cell r="T890">
            <v>8</v>
          </cell>
          <cell r="U890">
            <v>8</v>
          </cell>
          <cell r="V890">
            <v>8</v>
          </cell>
          <cell r="W890">
            <v>8</v>
          </cell>
          <cell r="X890">
            <v>8</v>
          </cell>
          <cell r="Y890">
            <v>8</v>
          </cell>
          <cell r="Z890" t="str">
            <v>CN</v>
          </cell>
          <cell r="AA890" t="str">
            <v>Đ</v>
          </cell>
          <cell r="AB890" t="str">
            <v>Đ</v>
          </cell>
          <cell r="AC890" t="str">
            <v>Đ</v>
          </cell>
          <cell r="AD890" t="str">
            <v>Đ</v>
          </cell>
          <cell r="AE890" t="str">
            <v>Đ</v>
          </cell>
          <cell r="AF890" t="str">
            <v>Đ</v>
          </cell>
          <cell r="AG890" t="str">
            <v>CN</v>
          </cell>
          <cell r="AH890">
            <v>8</v>
          </cell>
          <cell r="AI890">
            <v>8</v>
          </cell>
          <cell r="AJ890">
            <v>8</v>
          </cell>
          <cell r="AN890">
            <v>88</v>
          </cell>
          <cell r="AO890">
            <v>96</v>
          </cell>
          <cell r="AP890">
            <v>0</v>
          </cell>
          <cell r="AQ890">
            <v>0</v>
          </cell>
          <cell r="AR890">
            <v>0</v>
          </cell>
          <cell r="AS890">
            <v>0</v>
          </cell>
          <cell r="AT890">
            <v>0</v>
          </cell>
          <cell r="AU890">
            <v>0</v>
          </cell>
          <cell r="AV890">
            <v>0</v>
          </cell>
          <cell r="AW890">
            <v>0</v>
          </cell>
          <cell r="AX890">
            <v>0</v>
          </cell>
          <cell r="AY890">
            <v>0</v>
          </cell>
          <cell r="AZ890">
            <v>0</v>
          </cell>
          <cell r="BA890">
            <v>8</v>
          </cell>
          <cell r="BB890">
            <v>0</v>
          </cell>
          <cell r="BC890">
            <v>0</v>
          </cell>
          <cell r="BD890">
            <v>0</v>
          </cell>
          <cell r="BE890">
            <v>0</v>
          </cell>
          <cell r="BF890">
            <v>0</v>
          </cell>
          <cell r="BG890">
            <v>192</v>
          </cell>
          <cell r="BH890">
            <v>1</v>
          </cell>
          <cell r="BI890">
            <v>1</v>
          </cell>
          <cell r="BJ890">
            <v>1</v>
          </cell>
          <cell r="BL890">
            <v>0</v>
          </cell>
          <cell r="BM890">
            <v>0</v>
          </cell>
          <cell r="BN890">
            <v>0</v>
          </cell>
          <cell r="BO890">
            <v>0</v>
          </cell>
          <cell r="BP890">
            <v>0</v>
          </cell>
          <cell r="BQ890">
            <v>0</v>
          </cell>
          <cell r="BR890">
            <v>3.5</v>
          </cell>
          <cell r="BS890">
            <v>4</v>
          </cell>
          <cell r="BT890">
            <v>0</v>
          </cell>
          <cell r="BU890">
            <v>4</v>
          </cell>
          <cell r="BV890">
            <v>0</v>
          </cell>
          <cell r="BW890">
            <v>0</v>
          </cell>
          <cell r="BX890">
            <v>0</v>
          </cell>
          <cell r="BY890">
            <v>0</v>
          </cell>
          <cell r="BZ890">
            <v>0</v>
          </cell>
          <cell r="CA890">
            <v>0</v>
          </cell>
          <cell r="CB890">
            <v>0</v>
          </cell>
          <cell r="CC890">
            <v>0</v>
          </cell>
          <cell r="CD890">
            <v>0</v>
          </cell>
          <cell r="CE890">
            <v>0</v>
          </cell>
          <cell r="CF890">
            <v>0</v>
          </cell>
          <cell r="CG890">
            <v>0</v>
          </cell>
          <cell r="CH890">
            <v>4</v>
          </cell>
          <cell r="CI890">
            <v>4</v>
          </cell>
          <cell r="CJ890">
            <v>0</v>
          </cell>
          <cell r="CK890">
            <v>0</v>
          </cell>
          <cell r="CL890">
            <v>4</v>
          </cell>
          <cell r="CM890">
            <v>0</v>
          </cell>
          <cell r="CR890">
            <v>0</v>
          </cell>
          <cell r="CS890">
            <v>0</v>
          </cell>
          <cell r="CT890">
            <v>23.5</v>
          </cell>
          <cell r="CU890">
            <v>0</v>
          </cell>
          <cell r="CV890">
            <v>0</v>
          </cell>
          <cell r="CZ890">
            <v>23.5</v>
          </cell>
        </row>
        <row r="891">
          <cell r="C891" t="str">
            <v>04429</v>
          </cell>
          <cell r="D891" t="str">
            <v>Dương Thị Hoàng Oanh</v>
          </cell>
          <cell r="E891" t="str">
            <v>Production</v>
          </cell>
          <cell r="F891" t="str">
            <v>Logo</v>
          </cell>
          <cell r="G891" t="str">
            <v>Worker</v>
          </cell>
          <cell r="H891">
            <v>45705</v>
          </cell>
          <cell r="I891">
            <v>8</v>
          </cell>
          <cell r="J891">
            <v>8</v>
          </cell>
          <cell r="K891">
            <v>8</v>
          </cell>
          <cell r="L891" t="str">
            <v>CN</v>
          </cell>
          <cell r="M891" t="str">
            <v>Đ</v>
          </cell>
          <cell r="N891" t="str">
            <v>Đ</v>
          </cell>
          <cell r="O891" t="str">
            <v>Đ</v>
          </cell>
          <cell r="P891" t="str">
            <v>Đ</v>
          </cell>
          <cell r="Q891" t="str">
            <v>Đ</v>
          </cell>
          <cell r="R891" t="str">
            <v>Đ</v>
          </cell>
          <cell r="S891" t="str">
            <v>CN</v>
          </cell>
          <cell r="T891">
            <v>8</v>
          </cell>
          <cell r="U891">
            <v>8</v>
          </cell>
          <cell r="V891" t="str">
            <v>AL4</v>
          </cell>
          <cell r="W891">
            <v>8</v>
          </cell>
          <cell r="X891">
            <v>8</v>
          </cell>
          <cell r="Y891">
            <v>8</v>
          </cell>
          <cell r="Z891" t="str">
            <v>CN</v>
          </cell>
          <cell r="AA891" t="str">
            <v>Đ</v>
          </cell>
          <cell r="AB891" t="str">
            <v>Đ</v>
          </cell>
          <cell r="AC891" t="str">
            <v>Đ</v>
          </cell>
          <cell r="AD891" t="str">
            <v>Đ</v>
          </cell>
          <cell r="AE891" t="str">
            <v>Đ</v>
          </cell>
          <cell r="AF891" t="str">
            <v>Đ</v>
          </cell>
          <cell r="AG891" t="str">
            <v>CN</v>
          </cell>
          <cell r="AH891">
            <v>8</v>
          </cell>
          <cell r="AI891">
            <v>8</v>
          </cell>
          <cell r="AJ891">
            <v>8</v>
          </cell>
          <cell r="AN891">
            <v>96</v>
          </cell>
          <cell r="AO891">
            <v>92</v>
          </cell>
          <cell r="AP891">
            <v>4</v>
          </cell>
          <cell r="AQ891">
            <v>0</v>
          </cell>
          <cell r="AR891">
            <v>0</v>
          </cell>
          <cell r="AS891">
            <v>0</v>
          </cell>
          <cell r="AT891">
            <v>0</v>
          </cell>
          <cell r="AU891">
            <v>0</v>
          </cell>
          <cell r="AV891">
            <v>0</v>
          </cell>
          <cell r="AW891">
            <v>0</v>
          </cell>
          <cell r="AX891">
            <v>0</v>
          </cell>
          <cell r="AY891">
            <v>0</v>
          </cell>
          <cell r="AZ891">
            <v>0</v>
          </cell>
          <cell r="BA891">
            <v>4</v>
          </cell>
          <cell r="BB891">
            <v>0</v>
          </cell>
          <cell r="BC891">
            <v>0</v>
          </cell>
          <cell r="BD891">
            <v>0</v>
          </cell>
          <cell r="BE891">
            <v>0</v>
          </cell>
          <cell r="BF891">
            <v>0</v>
          </cell>
          <cell r="BG891">
            <v>192</v>
          </cell>
          <cell r="BH891">
            <v>0.5</v>
          </cell>
          <cell r="BI891">
            <v>0.5</v>
          </cell>
          <cell r="BJ891">
            <v>-1.5</v>
          </cell>
          <cell r="BL891">
            <v>0</v>
          </cell>
          <cell r="BM891">
            <v>1.5</v>
          </cell>
          <cell r="BN891">
            <v>0</v>
          </cell>
          <cell r="BO891">
            <v>0</v>
          </cell>
          <cell r="BP891">
            <v>1.5</v>
          </cell>
          <cell r="BQ891">
            <v>0</v>
          </cell>
          <cell r="BR891">
            <v>0</v>
          </cell>
          <cell r="BS891">
            <v>0</v>
          </cell>
          <cell r="BT891">
            <v>0</v>
          </cell>
          <cell r="BU891">
            <v>0</v>
          </cell>
          <cell r="BV891">
            <v>0</v>
          </cell>
          <cell r="BW891">
            <v>3</v>
          </cell>
          <cell r="BX891">
            <v>3</v>
          </cell>
          <cell r="BY891">
            <v>2</v>
          </cell>
          <cell r="BZ891">
            <v>3</v>
          </cell>
          <cell r="CA891">
            <v>3</v>
          </cell>
          <cell r="CB891">
            <v>0</v>
          </cell>
          <cell r="CC891">
            <v>8</v>
          </cell>
          <cell r="CD891">
            <v>4</v>
          </cell>
          <cell r="CE891">
            <v>4</v>
          </cell>
          <cell r="CF891">
            <v>3</v>
          </cell>
          <cell r="CG891">
            <v>4</v>
          </cell>
          <cell r="CH891">
            <v>4</v>
          </cell>
          <cell r="CI891">
            <v>0</v>
          </cell>
          <cell r="CJ891">
            <v>0</v>
          </cell>
          <cell r="CK891">
            <v>3</v>
          </cell>
          <cell r="CL891">
            <v>2</v>
          </cell>
          <cell r="CM891">
            <v>3</v>
          </cell>
          <cell r="CR891">
            <v>0</v>
          </cell>
          <cell r="CS891">
            <v>0</v>
          </cell>
          <cell r="CT891">
            <v>44</v>
          </cell>
          <cell r="CU891">
            <v>8</v>
          </cell>
          <cell r="CV891">
            <v>0</v>
          </cell>
          <cell r="CZ891">
            <v>52</v>
          </cell>
        </row>
        <row r="892">
          <cell r="C892" t="str">
            <v>04431</v>
          </cell>
          <cell r="D892" t="str">
            <v>Cao Thị Thi</v>
          </cell>
          <cell r="E892" t="str">
            <v>Production</v>
          </cell>
          <cell r="F892" t="str">
            <v>Molding</v>
          </cell>
          <cell r="G892" t="str">
            <v>Worker</v>
          </cell>
          <cell r="H892">
            <v>45705</v>
          </cell>
          <cell r="I892">
            <v>8</v>
          </cell>
          <cell r="J892">
            <v>8</v>
          </cell>
          <cell r="K892">
            <v>8</v>
          </cell>
          <cell r="L892" t="str">
            <v>CN</v>
          </cell>
          <cell r="M892" t="str">
            <v>Đ</v>
          </cell>
          <cell r="N892" t="str">
            <v>Đ</v>
          </cell>
          <cell r="O892" t="str">
            <v>Đ</v>
          </cell>
          <cell r="P892" t="str">
            <v>Đ</v>
          </cell>
          <cell r="Q892" t="str">
            <v>Đ</v>
          </cell>
          <cell r="R892" t="str">
            <v>Đ</v>
          </cell>
          <cell r="S892" t="str">
            <v>CN</v>
          </cell>
          <cell r="T892">
            <v>8</v>
          </cell>
          <cell r="U892">
            <v>8</v>
          </cell>
          <cell r="V892">
            <v>8</v>
          </cell>
          <cell r="W892">
            <v>8</v>
          </cell>
          <cell r="X892" t="str">
            <v>AL8</v>
          </cell>
          <cell r="Y892">
            <v>8</v>
          </cell>
          <cell r="Z892" t="str">
            <v>CN</v>
          </cell>
          <cell r="AA892" t="str">
            <v>Đ</v>
          </cell>
          <cell r="AB892" t="str">
            <v>Đ</v>
          </cell>
          <cell r="AC892" t="str">
            <v>Đ</v>
          </cell>
          <cell r="AD892" t="str">
            <v>Đ</v>
          </cell>
          <cell r="AE892" t="str">
            <v>Đ</v>
          </cell>
          <cell r="AF892" t="str">
            <v>Đ</v>
          </cell>
          <cell r="AG892" t="str">
            <v>CN</v>
          </cell>
          <cell r="AH892">
            <v>8</v>
          </cell>
          <cell r="AI892">
            <v>8</v>
          </cell>
          <cell r="AJ892">
            <v>8</v>
          </cell>
          <cell r="AN892">
            <v>96</v>
          </cell>
          <cell r="AO892">
            <v>88</v>
          </cell>
          <cell r="AP892">
            <v>0</v>
          </cell>
          <cell r="AQ892">
            <v>0</v>
          </cell>
          <cell r="AR892">
            <v>0</v>
          </cell>
          <cell r="AS892">
            <v>0</v>
          </cell>
          <cell r="AT892">
            <v>0</v>
          </cell>
          <cell r="AU892">
            <v>0</v>
          </cell>
          <cell r="AV892">
            <v>0</v>
          </cell>
          <cell r="AW892">
            <v>0</v>
          </cell>
          <cell r="AX892">
            <v>0</v>
          </cell>
          <cell r="AY892">
            <v>0</v>
          </cell>
          <cell r="AZ892">
            <v>0</v>
          </cell>
          <cell r="BA892">
            <v>8</v>
          </cell>
          <cell r="BB892">
            <v>0</v>
          </cell>
          <cell r="BC892">
            <v>0</v>
          </cell>
          <cell r="BD892">
            <v>0</v>
          </cell>
          <cell r="BE892">
            <v>0</v>
          </cell>
          <cell r="BF892">
            <v>0</v>
          </cell>
          <cell r="BG892">
            <v>192</v>
          </cell>
          <cell r="BH892">
            <v>1</v>
          </cell>
          <cell r="BI892">
            <v>1</v>
          </cell>
          <cell r="BJ892">
            <v>0</v>
          </cell>
          <cell r="BL892">
            <v>0</v>
          </cell>
          <cell r="BM892">
            <v>4</v>
          </cell>
          <cell r="BN892">
            <v>0</v>
          </cell>
          <cell r="BO892">
            <v>0</v>
          </cell>
          <cell r="BP892">
            <v>4</v>
          </cell>
          <cell r="BQ892">
            <v>4</v>
          </cell>
          <cell r="BR892">
            <v>0</v>
          </cell>
          <cell r="BS892">
            <v>4</v>
          </cell>
          <cell r="BT892">
            <v>0</v>
          </cell>
          <cell r="BU892">
            <v>0</v>
          </cell>
          <cell r="BV892">
            <v>0</v>
          </cell>
          <cell r="BW892">
            <v>0</v>
          </cell>
          <cell r="BX892">
            <v>0</v>
          </cell>
          <cell r="BY892">
            <v>0</v>
          </cell>
          <cell r="BZ892">
            <v>4</v>
          </cell>
          <cell r="CA892">
            <v>0</v>
          </cell>
          <cell r="CB892">
            <v>0</v>
          </cell>
          <cell r="CC892">
            <v>0</v>
          </cell>
          <cell r="CD892">
            <v>0</v>
          </cell>
          <cell r="CE892">
            <v>4</v>
          </cell>
          <cell r="CF892">
            <v>0</v>
          </cell>
          <cell r="CG892">
            <v>4</v>
          </cell>
          <cell r="CH892">
            <v>0</v>
          </cell>
          <cell r="CI892">
            <v>0</v>
          </cell>
          <cell r="CJ892">
            <v>0</v>
          </cell>
          <cell r="CK892">
            <v>0</v>
          </cell>
          <cell r="CL892">
            <v>4</v>
          </cell>
          <cell r="CM892">
            <v>0</v>
          </cell>
          <cell r="CR892">
            <v>0</v>
          </cell>
          <cell r="CS892">
            <v>0</v>
          </cell>
          <cell r="CT892">
            <v>32</v>
          </cell>
          <cell r="CU892">
            <v>0</v>
          </cell>
          <cell r="CV892">
            <v>0</v>
          </cell>
          <cell r="CZ892">
            <v>32</v>
          </cell>
        </row>
        <row r="893">
          <cell r="C893" t="str">
            <v>04433</v>
          </cell>
          <cell r="D893" t="str">
            <v>Nguyễn Thị Mỹ Tiên</v>
          </cell>
          <cell r="E893" t="str">
            <v>Production</v>
          </cell>
          <cell r="F893" t="str">
            <v>Molding</v>
          </cell>
          <cell r="G893" t="str">
            <v>Worker</v>
          </cell>
          <cell r="H893">
            <v>45705</v>
          </cell>
          <cell r="I893" t="str">
            <v>UP8</v>
          </cell>
          <cell r="J893" t="str">
            <v>UP8</v>
          </cell>
          <cell r="K893" t="str">
            <v>UP8</v>
          </cell>
          <cell r="L893" t="str">
            <v>CN</v>
          </cell>
          <cell r="M893" t="str">
            <v>UP8</v>
          </cell>
          <cell r="N893" t="str">
            <v>UP8</v>
          </cell>
          <cell r="O893" t="str">
            <v>UP8</v>
          </cell>
          <cell r="P893" t="str">
            <v>UP8</v>
          </cell>
          <cell r="Q893" t="str">
            <v>UP8</v>
          </cell>
          <cell r="R893" t="str">
            <v>UP8</v>
          </cell>
          <cell r="S893" t="str">
            <v>CN</v>
          </cell>
          <cell r="T893" t="str">
            <v>UP8</v>
          </cell>
          <cell r="U893" t="str">
            <v>UP8</v>
          </cell>
          <cell r="V893" t="str">
            <v>UP8</v>
          </cell>
          <cell r="W893" t="str">
            <v>NP</v>
          </cell>
          <cell r="X893" t="str">
            <v>NP</v>
          </cell>
          <cell r="Y893" t="str">
            <v>NP</v>
          </cell>
          <cell r="Z893" t="str">
            <v>CN</v>
          </cell>
          <cell r="AA893" t="str">
            <v>NP</v>
          </cell>
          <cell r="AB893" t="str">
            <v>NP</v>
          </cell>
          <cell r="AC893" t="str">
            <v>TV</v>
          </cell>
          <cell r="AD893" t="str">
            <v>TV</v>
          </cell>
          <cell r="AE893" t="str">
            <v>TV</v>
          </cell>
          <cell r="AF893" t="str">
            <v>TV</v>
          </cell>
          <cell r="AG893" t="str">
            <v>TV</v>
          </cell>
          <cell r="AH893" t="str">
            <v>TV</v>
          </cell>
          <cell r="AI893" t="str">
            <v>TV</v>
          </cell>
          <cell r="AJ893" t="str">
            <v>TV</v>
          </cell>
          <cell r="AN893">
            <v>0</v>
          </cell>
          <cell r="AO893">
            <v>0</v>
          </cell>
          <cell r="AP893">
            <v>0</v>
          </cell>
          <cell r="AQ893">
            <v>0</v>
          </cell>
          <cell r="AR893">
            <v>0</v>
          </cell>
          <cell r="AS893">
            <v>96</v>
          </cell>
          <cell r="AT893">
            <v>5</v>
          </cell>
          <cell r="AU893">
            <v>0</v>
          </cell>
          <cell r="AV893">
            <v>0</v>
          </cell>
          <cell r="AW893">
            <v>0</v>
          </cell>
          <cell r="AX893">
            <v>0</v>
          </cell>
          <cell r="AY893">
            <v>0</v>
          </cell>
          <cell r="AZ893">
            <v>0</v>
          </cell>
          <cell r="BA893">
            <v>0</v>
          </cell>
          <cell r="BB893">
            <v>0</v>
          </cell>
          <cell r="BC893">
            <v>0</v>
          </cell>
          <cell r="BD893">
            <v>0</v>
          </cell>
          <cell r="BE893">
            <v>0</v>
          </cell>
          <cell r="BF893">
            <v>0</v>
          </cell>
          <cell r="BG893">
            <v>0</v>
          </cell>
          <cell r="BH893">
            <v>0</v>
          </cell>
          <cell r="BI893">
            <v>0</v>
          </cell>
          <cell r="BJ893">
            <v>2</v>
          </cell>
          <cell r="BL893">
            <v>0</v>
          </cell>
          <cell r="BM893">
            <v>0</v>
          </cell>
          <cell r="BN893">
            <v>0</v>
          </cell>
          <cell r="BO893">
            <v>0</v>
          </cell>
          <cell r="BP893">
            <v>0</v>
          </cell>
          <cell r="BQ893">
            <v>0</v>
          </cell>
          <cell r="BR893">
            <v>0</v>
          </cell>
          <cell r="BS893">
            <v>0</v>
          </cell>
          <cell r="BT893">
            <v>0</v>
          </cell>
          <cell r="BU893">
            <v>0</v>
          </cell>
          <cell r="BV893">
            <v>0</v>
          </cell>
          <cell r="BW893">
            <v>0</v>
          </cell>
          <cell r="BX893">
            <v>0</v>
          </cell>
          <cell r="BY893">
            <v>0</v>
          </cell>
          <cell r="BZ893">
            <v>0</v>
          </cell>
          <cell r="CA893">
            <v>0</v>
          </cell>
          <cell r="CB893">
            <v>0</v>
          </cell>
          <cell r="CC893">
            <v>0</v>
          </cell>
          <cell r="CD893">
            <v>0</v>
          </cell>
          <cell r="CE893">
            <v>0</v>
          </cell>
          <cell r="CF893">
            <v>0</v>
          </cell>
          <cell r="CG893">
            <v>0</v>
          </cell>
          <cell r="CH893">
            <v>0</v>
          </cell>
          <cell r="CI893">
            <v>0</v>
          </cell>
          <cell r="CJ893">
            <v>0</v>
          </cell>
          <cell r="CK893">
            <v>0</v>
          </cell>
          <cell r="CL893">
            <v>0</v>
          </cell>
          <cell r="CM893">
            <v>0</v>
          </cell>
          <cell r="CR893">
            <v>0</v>
          </cell>
          <cell r="CS893">
            <v>0</v>
          </cell>
          <cell r="CT893">
            <v>0</v>
          </cell>
          <cell r="CU893">
            <v>0</v>
          </cell>
          <cell r="CV893">
            <v>0</v>
          </cell>
          <cell r="CZ893">
            <v>0</v>
          </cell>
        </row>
        <row r="894">
          <cell r="C894" t="str">
            <v>04434</v>
          </cell>
          <cell r="D894" t="str">
            <v>Thạch Thị Sa Lắs</v>
          </cell>
          <cell r="E894" t="str">
            <v>Production</v>
          </cell>
          <cell r="F894" t="str">
            <v>Molding</v>
          </cell>
          <cell r="G894" t="str">
            <v>Worker</v>
          </cell>
          <cell r="H894">
            <v>45705</v>
          </cell>
          <cell r="I894" t="str">
            <v>Đ</v>
          </cell>
          <cell r="J894" t="str">
            <v>Đ</v>
          </cell>
          <cell r="K894" t="str">
            <v>Đ</v>
          </cell>
          <cell r="L894" t="str">
            <v>CN</v>
          </cell>
          <cell r="M894">
            <v>8</v>
          </cell>
          <cell r="N894">
            <v>8</v>
          </cell>
          <cell r="O894">
            <v>8</v>
          </cell>
          <cell r="P894">
            <v>8</v>
          </cell>
          <cell r="Q894">
            <v>8</v>
          </cell>
          <cell r="R894">
            <v>8</v>
          </cell>
          <cell r="S894" t="str">
            <v>CN</v>
          </cell>
          <cell r="T894" t="str">
            <v>Đ</v>
          </cell>
          <cell r="U894" t="str">
            <v>Đ</v>
          </cell>
          <cell r="V894" t="str">
            <v>Đ</v>
          </cell>
          <cell r="W894" t="str">
            <v>Đ</v>
          </cell>
          <cell r="X894" t="str">
            <v>Đ</v>
          </cell>
          <cell r="Y894" t="str">
            <v>Đ</v>
          </cell>
          <cell r="Z894" t="str">
            <v>CN</v>
          </cell>
          <cell r="AA894">
            <v>8</v>
          </cell>
          <cell r="AB894">
            <v>8</v>
          </cell>
          <cell r="AC894">
            <v>8</v>
          </cell>
          <cell r="AD894">
            <v>8</v>
          </cell>
          <cell r="AE894">
            <v>8</v>
          </cell>
          <cell r="AF894">
            <v>8</v>
          </cell>
          <cell r="AG894" t="str">
            <v>CN</v>
          </cell>
          <cell r="AH894" t="str">
            <v>Đ</v>
          </cell>
          <cell r="AI894" t="str">
            <v>Đ</v>
          </cell>
          <cell r="AJ894" t="str">
            <v>Đ</v>
          </cell>
          <cell r="AN894">
            <v>96</v>
          </cell>
          <cell r="AO894">
            <v>96</v>
          </cell>
          <cell r="AP894">
            <v>0</v>
          </cell>
          <cell r="AQ894">
            <v>0</v>
          </cell>
          <cell r="AR894">
            <v>0</v>
          </cell>
          <cell r="AS894">
            <v>0</v>
          </cell>
          <cell r="AT894">
            <v>0</v>
          </cell>
          <cell r="AU894">
            <v>0</v>
          </cell>
          <cell r="AV894">
            <v>0</v>
          </cell>
          <cell r="AW894">
            <v>0</v>
          </cell>
          <cell r="AX894">
            <v>0</v>
          </cell>
          <cell r="AY894">
            <v>0</v>
          </cell>
          <cell r="AZ894">
            <v>0</v>
          </cell>
          <cell r="BA894">
            <v>0</v>
          </cell>
          <cell r="BB894">
            <v>0</v>
          </cell>
          <cell r="BC894">
            <v>0</v>
          </cell>
          <cell r="BD894">
            <v>0</v>
          </cell>
          <cell r="BE894">
            <v>0</v>
          </cell>
          <cell r="BF894">
            <v>0</v>
          </cell>
          <cell r="BG894">
            <v>192</v>
          </cell>
          <cell r="BH894">
            <v>0</v>
          </cell>
          <cell r="BI894">
            <v>0</v>
          </cell>
          <cell r="BJ894">
            <v>2</v>
          </cell>
          <cell r="BL894">
            <v>0</v>
          </cell>
          <cell r="BM894">
            <v>0</v>
          </cell>
          <cell r="BN894">
            <v>0</v>
          </cell>
          <cell r="BO894">
            <v>0</v>
          </cell>
          <cell r="BP894">
            <v>0</v>
          </cell>
          <cell r="BQ894">
            <v>0</v>
          </cell>
          <cell r="BR894">
            <v>0</v>
          </cell>
          <cell r="BS894">
            <v>0</v>
          </cell>
          <cell r="BT894">
            <v>4</v>
          </cell>
          <cell r="BU894">
            <v>4</v>
          </cell>
          <cell r="BV894">
            <v>0</v>
          </cell>
          <cell r="BW894">
            <v>0</v>
          </cell>
          <cell r="BX894">
            <v>4</v>
          </cell>
          <cell r="BY894">
            <v>4</v>
          </cell>
          <cell r="BZ894">
            <v>0</v>
          </cell>
          <cell r="CA894">
            <v>0</v>
          </cell>
          <cell r="CB894">
            <v>0</v>
          </cell>
          <cell r="CC894">
            <v>0</v>
          </cell>
          <cell r="CD894">
            <v>0</v>
          </cell>
          <cell r="CE894">
            <v>0</v>
          </cell>
          <cell r="CF894">
            <v>0</v>
          </cell>
          <cell r="CG894">
            <v>0</v>
          </cell>
          <cell r="CH894">
            <v>4</v>
          </cell>
          <cell r="CI894">
            <v>4</v>
          </cell>
          <cell r="CJ894">
            <v>12</v>
          </cell>
          <cell r="CK894">
            <v>0</v>
          </cell>
          <cell r="CL894">
            <v>4</v>
          </cell>
          <cell r="CM894">
            <v>0</v>
          </cell>
          <cell r="CR894">
            <v>0</v>
          </cell>
          <cell r="CS894">
            <v>0</v>
          </cell>
          <cell r="CT894">
            <v>28</v>
          </cell>
          <cell r="CU894">
            <v>12</v>
          </cell>
          <cell r="CV894">
            <v>0</v>
          </cell>
          <cell r="CZ894">
            <v>40</v>
          </cell>
        </row>
        <row r="895">
          <cell r="C895" t="str">
            <v>04437</v>
          </cell>
          <cell r="D895" t="str">
            <v>Mai Thị Thùy Trang</v>
          </cell>
          <cell r="E895" t="str">
            <v>Production</v>
          </cell>
          <cell r="F895" t="str">
            <v>Die Cut</v>
          </cell>
          <cell r="G895" t="str">
            <v>Worker</v>
          </cell>
          <cell r="H895">
            <v>45705</v>
          </cell>
          <cell r="I895" t="str">
            <v>UP8</v>
          </cell>
          <cell r="J895" t="str">
            <v>Đ</v>
          </cell>
          <cell r="K895" t="str">
            <v>Đ</v>
          </cell>
          <cell r="L895" t="str">
            <v>CN</v>
          </cell>
          <cell r="M895">
            <v>8</v>
          </cell>
          <cell r="N895" t="str">
            <v>UP4</v>
          </cell>
          <cell r="O895">
            <v>8</v>
          </cell>
          <cell r="P895">
            <v>8</v>
          </cell>
          <cell r="Q895">
            <v>8</v>
          </cell>
          <cell r="R895">
            <v>8</v>
          </cell>
          <cell r="S895" t="str">
            <v>CN</v>
          </cell>
          <cell r="T895" t="str">
            <v>Đ</v>
          </cell>
          <cell r="U895" t="str">
            <v>Đ</v>
          </cell>
          <cell r="V895" t="str">
            <v>Đ</v>
          </cell>
          <cell r="W895" t="str">
            <v>Đ</v>
          </cell>
          <cell r="X895" t="str">
            <v>Đ</v>
          </cell>
          <cell r="Y895" t="str">
            <v>Đ</v>
          </cell>
          <cell r="Z895" t="str">
            <v>CN</v>
          </cell>
          <cell r="AA895" t="str">
            <v>SL</v>
          </cell>
          <cell r="AB895" t="str">
            <v>AL8</v>
          </cell>
          <cell r="AC895">
            <v>8</v>
          </cell>
          <cell r="AD895">
            <v>8</v>
          </cell>
          <cell r="AE895">
            <v>8</v>
          </cell>
          <cell r="AF895">
            <v>8</v>
          </cell>
          <cell r="AG895" t="str">
            <v>CN</v>
          </cell>
          <cell r="AH895" t="str">
            <v>Đ</v>
          </cell>
          <cell r="AI895" t="str">
            <v>Đ</v>
          </cell>
          <cell r="AJ895" t="str">
            <v>Đ</v>
          </cell>
          <cell r="AN895">
            <v>88</v>
          </cell>
          <cell r="AO895">
            <v>76</v>
          </cell>
          <cell r="AP895">
            <v>0</v>
          </cell>
          <cell r="AQ895">
            <v>1</v>
          </cell>
          <cell r="AR895">
            <v>4</v>
          </cell>
          <cell r="AS895">
            <v>12</v>
          </cell>
          <cell r="AT895">
            <v>0</v>
          </cell>
          <cell r="AU895">
            <v>0</v>
          </cell>
          <cell r="AV895">
            <v>0</v>
          </cell>
          <cell r="AW895">
            <v>0</v>
          </cell>
          <cell r="AX895">
            <v>0</v>
          </cell>
          <cell r="AY895">
            <v>0</v>
          </cell>
          <cell r="AZ895">
            <v>0</v>
          </cell>
          <cell r="BA895">
            <v>8</v>
          </cell>
          <cell r="BB895">
            <v>0</v>
          </cell>
          <cell r="BC895">
            <v>0</v>
          </cell>
          <cell r="BD895">
            <v>0</v>
          </cell>
          <cell r="BE895">
            <v>0</v>
          </cell>
          <cell r="BF895">
            <v>0</v>
          </cell>
          <cell r="BG895">
            <v>172</v>
          </cell>
          <cell r="BH895">
            <v>1</v>
          </cell>
          <cell r="BI895">
            <v>1</v>
          </cell>
          <cell r="BJ895">
            <v>-1</v>
          </cell>
          <cell r="BL895">
            <v>0</v>
          </cell>
          <cell r="BM895">
            <v>1.5</v>
          </cell>
          <cell r="BN895">
            <v>1.5</v>
          </cell>
          <cell r="BO895">
            <v>0</v>
          </cell>
          <cell r="BP895">
            <v>1.5</v>
          </cell>
          <cell r="BQ895">
            <v>0</v>
          </cell>
          <cell r="BR895">
            <v>0</v>
          </cell>
          <cell r="BS895">
            <v>0</v>
          </cell>
          <cell r="BT895">
            <v>0</v>
          </cell>
          <cell r="BU895">
            <v>3</v>
          </cell>
          <cell r="BV895">
            <v>0</v>
          </cell>
          <cell r="BW895">
            <v>4</v>
          </cell>
          <cell r="BX895">
            <v>4</v>
          </cell>
          <cell r="BY895">
            <v>4</v>
          </cell>
          <cell r="BZ895">
            <v>4</v>
          </cell>
          <cell r="CA895">
            <v>4</v>
          </cell>
          <cell r="CB895">
            <v>4</v>
          </cell>
          <cell r="CC895">
            <v>0</v>
          </cell>
          <cell r="CD895">
            <v>0</v>
          </cell>
          <cell r="CE895">
            <v>0</v>
          </cell>
          <cell r="CF895">
            <v>3</v>
          </cell>
          <cell r="CG895">
            <v>3</v>
          </cell>
          <cell r="CH895">
            <v>3</v>
          </cell>
          <cell r="CI895">
            <v>3</v>
          </cell>
          <cell r="CJ895">
            <v>8</v>
          </cell>
          <cell r="CK895">
            <v>4</v>
          </cell>
          <cell r="CL895">
            <v>4</v>
          </cell>
          <cell r="CM895">
            <v>4</v>
          </cell>
          <cell r="CR895">
            <v>0</v>
          </cell>
          <cell r="CS895">
            <v>0</v>
          </cell>
          <cell r="CT895">
            <v>55.5</v>
          </cell>
          <cell r="CU895">
            <v>8</v>
          </cell>
          <cell r="CV895">
            <v>0</v>
          </cell>
          <cell r="CZ895">
            <v>63.5</v>
          </cell>
        </row>
        <row r="896">
          <cell r="C896" t="str">
            <v>04439</v>
          </cell>
          <cell r="D896" t="str">
            <v>Nguyễn Quốc Tình</v>
          </cell>
          <cell r="E896" t="str">
            <v>Production</v>
          </cell>
          <cell r="F896" t="str">
            <v>Packing</v>
          </cell>
          <cell r="G896" t="str">
            <v>Worker</v>
          </cell>
          <cell r="H896">
            <v>45705</v>
          </cell>
          <cell r="I896" t="str">
            <v>Đ</v>
          </cell>
          <cell r="J896" t="str">
            <v>Đ</v>
          </cell>
          <cell r="K896" t="str">
            <v>Đ</v>
          </cell>
          <cell r="L896" t="str">
            <v>CN</v>
          </cell>
          <cell r="M896">
            <v>8</v>
          </cell>
          <cell r="N896">
            <v>8</v>
          </cell>
          <cell r="O896">
            <v>8</v>
          </cell>
          <cell r="P896">
            <v>8</v>
          </cell>
          <cell r="Q896">
            <v>8</v>
          </cell>
          <cell r="R896">
            <v>8</v>
          </cell>
          <cell r="S896" t="str">
            <v>CN</v>
          </cell>
          <cell r="T896" t="str">
            <v>Đ</v>
          </cell>
          <cell r="U896" t="str">
            <v>Đ</v>
          </cell>
          <cell r="V896" t="str">
            <v>Đ</v>
          </cell>
          <cell r="W896" t="str">
            <v>Đ</v>
          </cell>
          <cell r="X896" t="str">
            <v>Đ</v>
          </cell>
          <cell r="Y896" t="str">
            <v>Đ</v>
          </cell>
          <cell r="Z896" t="str">
            <v>CN</v>
          </cell>
          <cell r="AA896">
            <v>8</v>
          </cell>
          <cell r="AB896">
            <v>8</v>
          </cell>
          <cell r="AC896">
            <v>8</v>
          </cell>
          <cell r="AD896">
            <v>8</v>
          </cell>
          <cell r="AE896">
            <v>8</v>
          </cell>
          <cell r="AF896">
            <v>8</v>
          </cell>
          <cell r="AG896" t="str">
            <v>CN</v>
          </cell>
          <cell r="AH896" t="str">
            <v>Đ</v>
          </cell>
          <cell r="AI896" t="str">
            <v>Đ</v>
          </cell>
          <cell r="AJ896" t="str">
            <v>Đ</v>
          </cell>
          <cell r="AN896">
            <v>96</v>
          </cell>
          <cell r="AO896">
            <v>96</v>
          </cell>
          <cell r="AP896">
            <v>0</v>
          </cell>
          <cell r="AQ896">
            <v>0</v>
          </cell>
          <cell r="AR896">
            <v>0</v>
          </cell>
          <cell r="AS896">
            <v>0</v>
          </cell>
          <cell r="AT896">
            <v>0</v>
          </cell>
          <cell r="AU896">
            <v>0</v>
          </cell>
          <cell r="AV896">
            <v>0</v>
          </cell>
          <cell r="AW896">
            <v>0</v>
          </cell>
          <cell r="AX896">
            <v>0</v>
          </cell>
          <cell r="AY896">
            <v>0</v>
          </cell>
          <cell r="AZ896">
            <v>0</v>
          </cell>
          <cell r="BA896">
            <v>0</v>
          </cell>
          <cell r="BB896">
            <v>0</v>
          </cell>
          <cell r="BC896">
            <v>0</v>
          </cell>
          <cell r="BD896">
            <v>0</v>
          </cell>
          <cell r="BE896">
            <v>0</v>
          </cell>
          <cell r="BF896">
            <v>0</v>
          </cell>
          <cell r="BG896">
            <v>192</v>
          </cell>
          <cell r="BH896">
            <v>0</v>
          </cell>
          <cell r="BI896">
            <v>0</v>
          </cell>
          <cell r="BJ896">
            <v>1</v>
          </cell>
          <cell r="BL896">
            <v>0</v>
          </cell>
          <cell r="BM896">
            <v>0</v>
          </cell>
          <cell r="BN896">
            <v>1.5</v>
          </cell>
          <cell r="BO896">
            <v>0</v>
          </cell>
          <cell r="BP896">
            <v>1.5</v>
          </cell>
          <cell r="BQ896">
            <v>3</v>
          </cell>
          <cell r="BR896">
            <v>0</v>
          </cell>
          <cell r="BS896">
            <v>3</v>
          </cell>
          <cell r="BT896">
            <v>3</v>
          </cell>
          <cell r="BU896">
            <v>0</v>
          </cell>
          <cell r="BV896">
            <v>0</v>
          </cell>
          <cell r="BW896">
            <v>3</v>
          </cell>
          <cell r="BX896">
            <v>4</v>
          </cell>
          <cell r="BY896">
            <v>4</v>
          </cell>
          <cell r="BZ896">
            <v>4</v>
          </cell>
          <cell r="CA896">
            <v>4</v>
          </cell>
          <cell r="CB896">
            <v>4</v>
          </cell>
          <cell r="CC896">
            <v>0</v>
          </cell>
          <cell r="CD896">
            <v>3</v>
          </cell>
          <cell r="CE896">
            <v>3</v>
          </cell>
          <cell r="CF896">
            <v>3</v>
          </cell>
          <cell r="CG896">
            <v>3</v>
          </cell>
          <cell r="CH896">
            <v>1.5</v>
          </cell>
          <cell r="CI896">
            <v>1.5</v>
          </cell>
          <cell r="CJ896">
            <v>8</v>
          </cell>
          <cell r="CK896">
            <v>1.5</v>
          </cell>
          <cell r="CL896">
            <v>1.5</v>
          </cell>
          <cell r="CM896">
            <v>1.5</v>
          </cell>
          <cell r="CR896">
            <v>0</v>
          </cell>
          <cell r="CS896">
            <v>0</v>
          </cell>
          <cell r="CT896">
            <v>54.5</v>
          </cell>
          <cell r="CU896">
            <v>8</v>
          </cell>
          <cell r="CV896">
            <v>0</v>
          </cell>
          <cell r="CZ896">
            <v>62.5</v>
          </cell>
        </row>
        <row r="897">
          <cell r="C897" t="str">
            <v>04440</v>
          </cell>
          <cell r="D897" t="str">
            <v>Nguyễn Duy Khánh</v>
          </cell>
          <cell r="E897" t="str">
            <v>Production</v>
          </cell>
          <cell r="F897" t="str">
            <v>Lamination</v>
          </cell>
          <cell r="G897" t="str">
            <v>Worker</v>
          </cell>
          <cell r="H897">
            <v>45705</v>
          </cell>
          <cell r="I897" t="str">
            <v>Đ</v>
          </cell>
          <cell r="J897" t="str">
            <v>Đ</v>
          </cell>
          <cell r="K897" t="str">
            <v>Đ</v>
          </cell>
          <cell r="L897" t="str">
            <v>CN</v>
          </cell>
          <cell r="M897">
            <v>8</v>
          </cell>
          <cell r="N897">
            <v>8</v>
          </cell>
          <cell r="O897">
            <v>8</v>
          </cell>
          <cell r="P897">
            <v>8</v>
          </cell>
          <cell r="Q897" t="str">
            <v>AL4</v>
          </cell>
          <cell r="R897">
            <v>8</v>
          </cell>
          <cell r="S897" t="str">
            <v>CN</v>
          </cell>
          <cell r="T897" t="str">
            <v>Đ</v>
          </cell>
          <cell r="U897" t="str">
            <v>Đ</v>
          </cell>
          <cell r="V897" t="str">
            <v>Đ</v>
          </cell>
          <cell r="W897" t="str">
            <v>Đ</v>
          </cell>
          <cell r="X897" t="str">
            <v>Đ</v>
          </cell>
          <cell r="Y897" t="str">
            <v>Đ</v>
          </cell>
          <cell r="Z897" t="str">
            <v>CN</v>
          </cell>
          <cell r="AA897">
            <v>8</v>
          </cell>
          <cell r="AB897">
            <v>8</v>
          </cell>
          <cell r="AC897">
            <v>8</v>
          </cell>
          <cell r="AD897">
            <v>8</v>
          </cell>
          <cell r="AE897">
            <v>8</v>
          </cell>
          <cell r="AF897">
            <v>8</v>
          </cell>
          <cell r="AG897" t="str">
            <v>CN</v>
          </cell>
          <cell r="AH897" t="str">
            <v>Đ</v>
          </cell>
          <cell r="AI897" t="str">
            <v>Đ</v>
          </cell>
          <cell r="AJ897" t="str">
            <v>Đ</v>
          </cell>
          <cell r="AN897">
            <v>96</v>
          </cell>
          <cell r="AO897">
            <v>92</v>
          </cell>
          <cell r="AP897">
            <v>4</v>
          </cell>
          <cell r="AQ897">
            <v>0</v>
          </cell>
          <cell r="AR897">
            <v>0</v>
          </cell>
          <cell r="AS897">
            <v>0</v>
          </cell>
          <cell r="AT897">
            <v>0</v>
          </cell>
          <cell r="AU897">
            <v>0</v>
          </cell>
          <cell r="AV897">
            <v>0</v>
          </cell>
          <cell r="AW897">
            <v>0</v>
          </cell>
          <cell r="AX897">
            <v>0</v>
          </cell>
          <cell r="AY897">
            <v>0</v>
          </cell>
          <cell r="AZ897">
            <v>0</v>
          </cell>
          <cell r="BA897">
            <v>4</v>
          </cell>
          <cell r="BB897">
            <v>0</v>
          </cell>
          <cell r="BC897">
            <v>0</v>
          </cell>
          <cell r="BD897">
            <v>0</v>
          </cell>
          <cell r="BE897">
            <v>0</v>
          </cell>
          <cell r="BF897">
            <v>0</v>
          </cell>
          <cell r="BG897">
            <v>192</v>
          </cell>
          <cell r="BH897">
            <v>0.5</v>
          </cell>
          <cell r="BI897">
            <v>0.5</v>
          </cell>
          <cell r="BJ897">
            <v>1</v>
          </cell>
          <cell r="BL897">
            <v>4</v>
          </cell>
          <cell r="BM897">
            <v>4</v>
          </cell>
          <cell r="BN897">
            <v>0</v>
          </cell>
          <cell r="BO897">
            <v>0</v>
          </cell>
          <cell r="BP897">
            <v>0</v>
          </cell>
          <cell r="BQ897">
            <v>3</v>
          </cell>
          <cell r="BR897">
            <v>3</v>
          </cell>
          <cell r="BS897">
            <v>0</v>
          </cell>
          <cell r="BT897">
            <v>3</v>
          </cell>
          <cell r="BU897">
            <v>3</v>
          </cell>
          <cell r="BV897">
            <v>0</v>
          </cell>
          <cell r="BW897">
            <v>0</v>
          </cell>
          <cell r="BX897">
            <v>0</v>
          </cell>
          <cell r="BY897">
            <v>0</v>
          </cell>
          <cell r="BZ897">
            <v>4</v>
          </cell>
          <cell r="CA897">
            <v>4</v>
          </cell>
          <cell r="CB897">
            <v>0</v>
          </cell>
          <cell r="CC897">
            <v>0</v>
          </cell>
          <cell r="CD897">
            <v>0</v>
          </cell>
          <cell r="CE897">
            <v>3</v>
          </cell>
          <cell r="CF897">
            <v>3</v>
          </cell>
          <cell r="CG897">
            <v>3</v>
          </cell>
          <cell r="CH897">
            <v>3</v>
          </cell>
          <cell r="CI897">
            <v>0</v>
          </cell>
          <cell r="CJ897">
            <v>8</v>
          </cell>
          <cell r="CK897">
            <v>0</v>
          </cell>
          <cell r="CL897">
            <v>0</v>
          </cell>
          <cell r="CM897">
            <v>4</v>
          </cell>
          <cell r="CR897">
            <v>0</v>
          </cell>
          <cell r="CS897">
            <v>0</v>
          </cell>
          <cell r="CT897">
            <v>44</v>
          </cell>
          <cell r="CU897">
            <v>8</v>
          </cell>
          <cell r="CV897">
            <v>0</v>
          </cell>
          <cell r="CZ897">
            <v>52</v>
          </cell>
        </row>
        <row r="898">
          <cell r="C898" t="str">
            <v>04441</v>
          </cell>
          <cell r="D898" t="str">
            <v>Mai Thanh Tính</v>
          </cell>
          <cell r="E898" t="str">
            <v>Production</v>
          </cell>
          <cell r="F898" t="str">
            <v>Lamination</v>
          </cell>
          <cell r="G898" t="str">
            <v>Worker</v>
          </cell>
          <cell r="H898">
            <v>45705</v>
          </cell>
          <cell r="I898">
            <v>8</v>
          </cell>
          <cell r="J898">
            <v>8</v>
          </cell>
          <cell r="K898" t="str">
            <v>Đ</v>
          </cell>
          <cell r="L898" t="str">
            <v>CN</v>
          </cell>
          <cell r="M898">
            <v>8</v>
          </cell>
          <cell r="N898">
            <v>8</v>
          </cell>
          <cell r="O898">
            <v>8</v>
          </cell>
          <cell r="P898">
            <v>8</v>
          </cell>
          <cell r="Q898" t="str">
            <v>Đ</v>
          </cell>
          <cell r="R898" t="str">
            <v>Đ</v>
          </cell>
          <cell r="S898" t="str">
            <v>CN</v>
          </cell>
          <cell r="T898" t="str">
            <v>AL8</v>
          </cell>
          <cell r="U898">
            <v>8</v>
          </cell>
          <cell r="V898" t="str">
            <v>AL8</v>
          </cell>
          <cell r="W898">
            <v>8</v>
          </cell>
          <cell r="X898">
            <v>8</v>
          </cell>
          <cell r="Y898" t="str">
            <v>Đ</v>
          </cell>
          <cell r="Z898" t="str">
            <v>CN</v>
          </cell>
          <cell r="AA898">
            <v>8</v>
          </cell>
          <cell r="AB898" t="str">
            <v>AL4</v>
          </cell>
          <cell r="AC898">
            <v>8</v>
          </cell>
          <cell r="AD898">
            <v>8</v>
          </cell>
          <cell r="AE898" t="str">
            <v>Đ</v>
          </cell>
          <cell r="AF898" t="str">
            <v>Đ</v>
          </cell>
          <cell r="AG898" t="str">
            <v>CN</v>
          </cell>
          <cell r="AH898">
            <v>8</v>
          </cell>
          <cell r="AI898">
            <v>8</v>
          </cell>
          <cell r="AJ898">
            <v>8</v>
          </cell>
          <cell r="AN898">
            <v>48</v>
          </cell>
          <cell r="AO898">
            <v>124</v>
          </cell>
          <cell r="AP898">
            <v>4</v>
          </cell>
          <cell r="AQ898">
            <v>0</v>
          </cell>
          <cell r="AR898">
            <v>0</v>
          </cell>
          <cell r="AS898">
            <v>0</v>
          </cell>
          <cell r="AT898">
            <v>0</v>
          </cell>
          <cell r="AU898">
            <v>0</v>
          </cell>
          <cell r="AV898">
            <v>0</v>
          </cell>
          <cell r="AW898">
            <v>0</v>
          </cell>
          <cell r="AX898">
            <v>0</v>
          </cell>
          <cell r="AY898">
            <v>0</v>
          </cell>
          <cell r="AZ898">
            <v>0</v>
          </cell>
          <cell r="BA898">
            <v>20</v>
          </cell>
          <cell r="BB898">
            <v>0</v>
          </cell>
          <cell r="BC898">
            <v>0</v>
          </cell>
          <cell r="BD898">
            <v>0</v>
          </cell>
          <cell r="BE898">
            <v>0</v>
          </cell>
          <cell r="BF898">
            <v>0</v>
          </cell>
          <cell r="BG898">
            <v>192</v>
          </cell>
          <cell r="BH898">
            <v>2.5</v>
          </cell>
          <cell r="BI898">
            <v>2.5</v>
          </cell>
          <cell r="BJ898">
            <v>-1</v>
          </cell>
          <cell r="BL898">
            <v>0</v>
          </cell>
          <cell r="BM898">
            <v>4</v>
          </cell>
          <cell r="BN898">
            <v>0</v>
          </cell>
          <cell r="BO898">
            <v>0</v>
          </cell>
          <cell r="BP898">
            <v>0</v>
          </cell>
          <cell r="BQ898">
            <v>0</v>
          </cell>
          <cell r="BR898">
            <v>0</v>
          </cell>
          <cell r="BS898">
            <v>0</v>
          </cell>
          <cell r="BT898">
            <v>4</v>
          </cell>
          <cell r="BU898">
            <v>4</v>
          </cell>
          <cell r="BV898">
            <v>0</v>
          </cell>
          <cell r="BW898">
            <v>0</v>
          </cell>
          <cell r="BX898">
            <v>0</v>
          </cell>
          <cell r="BY898">
            <v>0</v>
          </cell>
          <cell r="BZ898">
            <v>0</v>
          </cell>
          <cell r="CA898">
            <v>4</v>
          </cell>
          <cell r="CB898">
            <v>4</v>
          </cell>
          <cell r="CC898">
            <v>0</v>
          </cell>
          <cell r="CD898">
            <v>0</v>
          </cell>
          <cell r="CE898">
            <v>0</v>
          </cell>
          <cell r="CF898">
            <v>0</v>
          </cell>
          <cell r="CG898">
            <v>4</v>
          </cell>
          <cell r="CH898">
            <v>4</v>
          </cell>
          <cell r="CI898">
            <v>4</v>
          </cell>
          <cell r="CJ898">
            <v>0</v>
          </cell>
          <cell r="CK898">
            <v>0</v>
          </cell>
          <cell r="CL898">
            <v>4</v>
          </cell>
          <cell r="CM898">
            <v>0</v>
          </cell>
          <cell r="CR898">
            <v>0</v>
          </cell>
          <cell r="CS898">
            <v>0</v>
          </cell>
          <cell r="CT898">
            <v>36</v>
          </cell>
          <cell r="CU898">
            <v>0</v>
          </cell>
          <cell r="CV898">
            <v>0</v>
          </cell>
          <cell r="CZ898">
            <v>36</v>
          </cell>
        </row>
        <row r="899">
          <cell r="C899" t="str">
            <v>04443</v>
          </cell>
          <cell r="D899" t="str">
            <v>Lê Công Đặng</v>
          </cell>
          <cell r="E899" t="str">
            <v>Production</v>
          </cell>
          <cell r="F899" t="str">
            <v>Prefitting</v>
          </cell>
          <cell r="G899" t="str">
            <v>Worker</v>
          </cell>
          <cell r="H899">
            <v>45705</v>
          </cell>
          <cell r="I899">
            <v>8</v>
          </cell>
          <cell r="J899">
            <v>8</v>
          </cell>
          <cell r="K899" t="str">
            <v>CN</v>
          </cell>
          <cell r="L899" t="str">
            <v>Đ</v>
          </cell>
          <cell r="M899" t="str">
            <v>Đ</v>
          </cell>
          <cell r="N899" t="str">
            <v>Đ</v>
          </cell>
          <cell r="O899" t="str">
            <v>Đ</v>
          </cell>
          <cell r="P899" t="str">
            <v>Đ</v>
          </cell>
          <cell r="Q899" t="str">
            <v>Đ</v>
          </cell>
          <cell r="R899" t="str">
            <v>CN</v>
          </cell>
          <cell r="S899">
            <v>8</v>
          </cell>
          <cell r="T899">
            <v>8</v>
          </cell>
          <cell r="U899">
            <v>8</v>
          </cell>
          <cell r="V899">
            <v>8</v>
          </cell>
          <cell r="W899">
            <v>8</v>
          </cell>
          <cell r="X899">
            <v>8</v>
          </cell>
          <cell r="Y899" t="str">
            <v>CN</v>
          </cell>
          <cell r="Z899" t="str">
            <v>Đ</v>
          </cell>
          <cell r="AA899" t="str">
            <v>Đ</v>
          </cell>
          <cell r="AB899" t="str">
            <v>Đ</v>
          </cell>
          <cell r="AC899" t="str">
            <v>Đ</v>
          </cell>
          <cell r="AD899" t="str">
            <v>Đ</v>
          </cell>
          <cell r="AE899" t="str">
            <v>Đ</v>
          </cell>
          <cell r="AF899" t="str">
            <v>CN</v>
          </cell>
          <cell r="AG899">
            <v>8</v>
          </cell>
          <cell r="AH899">
            <v>8</v>
          </cell>
          <cell r="AI899">
            <v>8</v>
          </cell>
          <cell r="AJ899">
            <v>8</v>
          </cell>
          <cell r="AN899">
            <v>96</v>
          </cell>
          <cell r="AO899">
            <v>96</v>
          </cell>
          <cell r="AP899">
            <v>0</v>
          </cell>
          <cell r="AQ899">
            <v>0</v>
          </cell>
          <cell r="AR899">
            <v>0</v>
          </cell>
          <cell r="AS899">
            <v>0</v>
          </cell>
          <cell r="AT899">
            <v>0</v>
          </cell>
          <cell r="AU899">
            <v>0</v>
          </cell>
          <cell r="AV899">
            <v>0</v>
          </cell>
          <cell r="AW899">
            <v>0</v>
          </cell>
          <cell r="AX899">
            <v>0</v>
          </cell>
          <cell r="AY899">
            <v>0</v>
          </cell>
          <cell r="AZ899">
            <v>0</v>
          </cell>
          <cell r="BA899">
            <v>0</v>
          </cell>
          <cell r="BB899">
            <v>0</v>
          </cell>
          <cell r="BC899">
            <v>0</v>
          </cell>
          <cell r="BD899">
            <v>0</v>
          </cell>
          <cell r="BE899">
            <v>0</v>
          </cell>
          <cell r="BF899">
            <v>0</v>
          </cell>
          <cell r="BG899">
            <v>192</v>
          </cell>
          <cell r="BH899">
            <v>0</v>
          </cell>
          <cell r="BI899">
            <v>0</v>
          </cell>
          <cell r="BJ899">
            <v>1</v>
          </cell>
          <cell r="BL899">
            <v>0</v>
          </cell>
          <cell r="BM899">
            <v>4</v>
          </cell>
          <cell r="BN899">
            <v>0</v>
          </cell>
          <cell r="BO899">
            <v>4</v>
          </cell>
          <cell r="BP899">
            <v>0</v>
          </cell>
          <cell r="BQ899">
            <v>0</v>
          </cell>
          <cell r="BR899">
            <v>0</v>
          </cell>
          <cell r="BS899">
            <v>0</v>
          </cell>
          <cell r="BT899">
            <v>4</v>
          </cell>
          <cell r="BU899">
            <v>0</v>
          </cell>
          <cell r="BV899">
            <v>4</v>
          </cell>
          <cell r="BW899">
            <v>0</v>
          </cell>
          <cell r="BX899">
            <v>0</v>
          </cell>
          <cell r="BY899">
            <v>0</v>
          </cell>
          <cell r="BZ899">
            <v>0</v>
          </cell>
          <cell r="CA899">
            <v>4</v>
          </cell>
          <cell r="CB899">
            <v>0</v>
          </cell>
          <cell r="CC899">
            <v>4</v>
          </cell>
          <cell r="CD899">
            <v>0</v>
          </cell>
          <cell r="CE899">
            <v>0</v>
          </cell>
          <cell r="CF899">
            <v>0</v>
          </cell>
          <cell r="CG899">
            <v>0</v>
          </cell>
          <cell r="CH899">
            <v>4</v>
          </cell>
          <cell r="CI899">
            <v>0</v>
          </cell>
          <cell r="CJ899">
            <v>4</v>
          </cell>
          <cell r="CK899">
            <v>0</v>
          </cell>
          <cell r="CL899">
            <v>4</v>
          </cell>
          <cell r="CM899">
            <v>0</v>
          </cell>
          <cell r="CR899">
            <v>0</v>
          </cell>
          <cell r="CS899">
            <v>0</v>
          </cell>
          <cell r="CT899">
            <v>36</v>
          </cell>
          <cell r="CU899">
            <v>0</v>
          </cell>
          <cell r="CV899">
            <v>0</v>
          </cell>
          <cell r="CZ899">
            <v>36</v>
          </cell>
        </row>
        <row r="900">
          <cell r="C900" t="str">
            <v>04444</v>
          </cell>
          <cell r="D900" t="str">
            <v>Ngô Hoàng Khang</v>
          </cell>
          <cell r="E900" t="str">
            <v>Production</v>
          </cell>
          <cell r="F900" t="str">
            <v>Molding</v>
          </cell>
          <cell r="G900" t="str">
            <v>Worker</v>
          </cell>
          <cell r="H900">
            <v>45705</v>
          </cell>
          <cell r="I900" t="str">
            <v>Đ</v>
          </cell>
          <cell r="J900" t="str">
            <v>UP8</v>
          </cell>
          <cell r="K900" t="str">
            <v>UP8</v>
          </cell>
          <cell r="L900" t="str">
            <v>CN</v>
          </cell>
          <cell r="M900" t="str">
            <v>UP8</v>
          </cell>
          <cell r="N900" t="str">
            <v>UP8</v>
          </cell>
          <cell r="O900" t="str">
            <v>UP8</v>
          </cell>
          <cell r="P900" t="str">
            <v>UP8</v>
          </cell>
          <cell r="Q900" t="str">
            <v>UP8</v>
          </cell>
          <cell r="R900" t="str">
            <v>UP8</v>
          </cell>
          <cell r="S900" t="str">
            <v>CN</v>
          </cell>
          <cell r="T900" t="str">
            <v>UP8</v>
          </cell>
          <cell r="U900" t="str">
            <v>UP8</v>
          </cell>
          <cell r="V900" t="str">
            <v>UP8</v>
          </cell>
          <cell r="W900" t="str">
            <v>NP</v>
          </cell>
          <cell r="X900" t="str">
            <v>NP</v>
          </cell>
          <cell r="Y900" t="str">
            <v>NP</v>
          </cell>
          <cell r="Z900" t="str">
            <v>CN</v>
          </cell>
          <cell r="AA900" t="str">
            <v>NP</v>
          </cell>
          <cell r="AB900" t="str">
            <v>NP</v>
          </cell>
          <cell r="AC900" t="str">
            <v>TV</v>
          </cell>
          <cell r="AD900" t="str">
            <v>TV</v>
          </cell>
          <cell r="AE900" t="str">
            <v>TV</v>
          </cell>
          <cell r="AF900" t="str">
            <v>TV</v>
          </cell>
          <cell r="AG900" t="str">
            <v>TV</v>
          </cell>
          <cell r="AH900" t="str">
            <v>TV</v>
          </cell>
          <cell r="AI900" t="str">
            <v>TV</v>
          </cell>
          <cell r="AJ900" t="str">
            <v>TV</v>
          </cell>
          <cell r="AN900">
            <v>8</v>
          </cell>
          <cell r="AO900">
            <v>0</v>
          </cell>
          <cell r="AP900">
            <v>0</v>
          </cell>
          <cell r="AQ900">
            <v>0</v>
          </cell>
          <cell r="AR900">
            <v>0</v>
          </cell>
          <cell r="AS900">
            <v>88</v>
          </cell>
          <cell r="AT900">
            <v>5</v>
          </cell>
          <cell r="AU900">
            <v>0</v>
          </cell>
          <cell r="AV900">
            <v>0</v>
          </cell>
          <cell r="AW900">
            <v>0</v>
          </cell>
          <cell r="AX900">
            <v>0</v>
          </cell>
          <cell r="AY900">
            <v>0</v>
          </cell>
          <cell r="AZ900">
            <v>0</v>
          </cell>
          <cell r="BA900">
            <v>0</v>
          </cell>
          <cell r="BB900">
            <v>0</v>
          </cell>
          <cell r="BC900">
            <v>0</v>
          </cell>
          <cell r="BD900">
            <v>0</v>
          </cell>
          <cell r="BE900">
            <v>0</v>
          </cell>
          <cell r="BF900">
            <v>0</v>
          </cell>
          <cell r="BG900">
            <v>8</v>
          </cell>
          <cell r="BH900">
            <v>0</v>
          </cell>
          <cell r="BI900">
            <v>0</v>
          </cell>
          <cell r="BJ900">
            <v>1</v>
          </cell>
          <cell r="BL900">
            <v>0</v>
          </cell>
          <cell r="BM900">
            <v>0</v>
          </cell>
          <cell r="BN900">
            <v>0</v>
          </cell>
          <cell r="BO900">
            <v>0</v>
          </cell>
          <cell r="BP900">
            <v>0</v>
          </cell>
          <cell r="BQ900">
            <v>0</v>
          </cell>
          <cell r="BR900">
            <v>0</v>
          </cell>
          <cell r="BS900">
            <v>0</v>
          </cell>
          <cell r="BT900">
            <v>0</v>
          </cell>
          <cell r="BU900">
            <v>0</v>
          </cell>
          <cell r="BV900">
            <v>0</v>
          </cell>
          <cell r="BW900">
            <v>0</v>
          </cell>
          <cell r="BX900">
            <v>0</v>
          </cell>
          <cell r="BY900">
            <v>0</v>
          </cell>
          <cell r="BZ900">
            <v>0</v>
          </cell>
          <cell r="CA900">
            <v>0</v>
          </cell>
          <cell r="CB900">
            <v>0</v>
          </cell>
          <cell r="CC900">
            <v>0</v>
          </cell>
          <cell r="CD900">
            <v>0</v>
          </cell>
          <cell r="CE900">
            <v>0</v>
          </cell>
          <cell r="CF900">
            <v>0</v>
          </cell>
          <cell r="CG900">
            <v>0</v>
          </cell>
          <cell r="CH900">
            <v>0</v>
          </cell>
          <cell r="CI900">
            <v>0</v>
          </cell>
          <cell r="CJ900">
            <v>0</v>
          </cell>
          <cell r="CK900">
            <v>0</v>
          </cell>
          <cell r="CL900">
            <v>0</v>
          </cell>
          <cell r="CM900">
            <v>0</v>
          </cell>
          <cell r="CR900">
            <v>0</v>
          </cell>
          <cell r="CS900">
            <v>0</v>
          </cell>
          <cell r="CT900">
            <v>0</v>
          </cell>
          <cell r="CU900">
            <v>0</v>
          </cell>
          <cell r="CV900">
            <v>0</v>
          </cell>
          <cell r="CZ900">
            <v>0</v>
          </cell>
        </row>
        <row r="901">
          <cell r="C901" t="str">
            <v>04445</v>
          </cell>
          <cell r="D901" t="str">
            <v>Võ Vũ Luân</v>
          </cell>
          <cell r="E901" t="str">
            <v>Production</v>
          </cell>
          <cell r="F901" t="str">
            <v>Molding</v>
          </cell>
          <cell r="G901" t="str">
            <v>Worker</v>
          </cell>
          <cell r="H901">
            <v>45705</v>
          </cell>
          <cell r="I901" t="str">
            <v>Đ</v>
          </cell>
          <cell r="J901" t="str">
            <v>Đ</v>
          </cell>
          <cell r="K901" t="str">
            <v>Đ</v>
          </cell>
          <cell r="L901" t="str">
            <v>CN</v>
          </cell>
          <cell r="M901" t="str">
            <v>Đ</v>
          </cell>
          <cell r="N901" t="str">
            <v>Đ</v>
          </cell>
          <cell r="O901" t="str">
            <v>Đ</v>
          </cell>
          <cell r="P901" t="str">
            <v>Đ</v>
          </cell>
          <cell r="Q901" t="str">
            <v>Đ</v>
          </cell>
          <cell r="R901" t="str">
            <v>Đ</v>
          </cell>
          <cell r="S901" t="str">
            <v>CN</v>
          </cell>
          <cell r="T901">
            <v>8</v>
          </cell>
          <cell r="U901">
            <v>8</v>
          </cell>
          <cell r="V901">
            <v>8</v>
          </cell>
          <cell r="W901">
            <v>8</v>
          </cell>
          <cell r="X901">
            <v>8</v>
          </cell>
          <cell r="Y901">
            <v>8</v>
          </cell>
          <cell r="Z901" t="str">
            <v>CN</v>
          </cell>
          <cell r="AA901" t="str">
            <v>Đ</v>
          </cell>
          <cell r="AB901" t="str">
            <v>Đ</v>
          </cell>
          <cell r="AC901" t="str">
            <v>Đ</v>
          </cell>
          <cell r="AD901" t="str">
            <v>Đ</v>
          </cell>
          <cell r="AE901" t="str">
            <v>Đ</v>
          </cell>
          <cell r="AF901" t="str">
            <v>Đ</v>
          </cell>
          <cell r="AG901" t="str">
            <v>CN</v>
          </cell>
          <cell r="AH901">
            <v>8</v>
          </cell>
          <cell r="AI901" t="str">
            <v>SL</v>
          </cell>
          <cell r="AJ901">
            <v>8</v>
          </cell>
          <cell r="AN901">
            <v>120</v>
          </cell>
          <cell r="AO901">
            <v>64</v>
          </cell>
          <cell r="AP901">
            <v>0</v>
          </cell>
          <cell r="AQ901">
            <v>1</v>
          </cell>
          <cell r="AR901">
            <v>0</v>
          </cell>
          <cell r="AS901">
            <v>0</v>
          </cell>
          <cell r="AT901">
            <v>0</v>
          </cell>
          <cell r="AU901">
            <v>0</v>
          </cell>
          <cell r="AV901">
            <v>0</v>
          </cell>
          <cell r="AW901">
            <v>0</v>
          </cell>
          <cell r="AX901">
            <v>0</v>
          </cell>
          <cell r="AY901">
            <v>0</v>
          </cell>
          <cell r="AZ901">
            <v>0</v>
          </cell>
          <cell r="BA901">
            <v>0</v>
          </cell>
          <cell r="BB901">
            <v>0</v>
          </cell>
          <cell r="BC901">
            <v>0</v>
          </cell>
          <cell r="BD901">
            <v>0</v>
          </cell>
          <cell r="BE901">
            <v>0</v>
          </cell>
          <cell r="BF901">
            <v>0</v>
          </cell>
          <cell r="BG901">
            <v>184</v>
          </cell>
          <cell r="BH901">
            <v>0</v>
          </cell>
          <cell r="BI901">
            <v>0</v>
          </cell>
          <cell r="BJ901">
            <v>1</v>
          </cell>
          <cell r="BL901">
            <v>0</v>
          </cell>
          <cell r="BM901">
            <v>0</v>
          </cell>
          <cell r="BN901">
            <v>0</v>
          </cell>
          <cell r="BO901">
            <v>0</v>
          </cell>
          <cell r="BP901">
            <v>0</v>
          </cell>
          <cell r="BQ901">
            <v>4</v>
          </cell>
          <cell r="BR901">
            <v>0</v>
          </cell>
          <cell r="BS901">
            <v>0</v>
          </cell>
          <cell r="BT901">
            <v>0</v>
          </cell>
          <cell r="BU901">
            <v>0</v>
          </cell>
          <cell r="BV901">
            <v>0</v>
          </cell>
          <cell r="BW901">
            <v>0</v>
          </cell>
          <cell r="BX901">
            <v>0</v>
          </cell>
          <cell r="BY901">
            <v>0</v>
          </cell>
          <cell r="BZ901">
            <v>4</v>
          </cell>
          <cell r="CA901">
            <v>0</v>
          </cell>
          <cell r="CB901">
            <v>0</v>
          </cell>
          <cell r="CC901">
            <v>0</v>
          </cell>
          <cell r="CD901">
            <v>0</v>
          </cell>
          <cell r="CE901">
            <v>0</v>
          </cell>
          <cell r="CF901">
            <v>0</v>
          </cell>
          <cell r="CG901">
            <v>0</v>
          </cell>
          <cell r="CH901">
            <v>0</v>
          </cell>
          <cell r="CI901">
            <v>4</v>
          </cell>
          <cell r="CJ901">
            <v>0</v>
          </cell>
          <cell r="CK901">
            <v>0</v>
          </cell>
          <cell r="CL901">
            <v>0</v>
          </cell>
          <cell r="CM901">
            <v>0</v>
          </cell>
          <cell r="CR901">
            <v>0</v>
          </cell>
          <cell r="CS901">
            <v>0</v>
          </cell>
          <cell r="CT901">
            <v>12</v>
          </cell>
          <cell r="CU901">
            <v>0</v>
          </cell>
          <cell r="CV901">
            <v>0</v>
          </cell>
          <cell r="CZ901">
            <v>12</v>
          </cell>
        </row>
        <row r="902">
          <cell r="C902" t="str">
            <v>04446</v>
          </cell>
          <cell r="D902" t="str">
            <v>Lê Tấn Văn</v>
          </cell>
          <cell r="E902" t="str">
            <v>Production</v>
          </cell>
          <cell r="F902" t="str">
            <v>Prefitting</v>
          </cell>
          <cell r="G902" t="str">
            <v>Worker</v>
          </cell>
          <cell r="H902">
            <v>45705</v>
          </cell>
          <cell r="I902">
            <v>8</v>
          </cell>
          <cell r="J902">
            <v>8</v>
          </cell>
          <cell r="K902" t="str">
            <v>CN</v>
          </cell>
          <cell r="L902" t="str">
            <v>Đ</v>
          </cell>
          <cell r="M902" t="str">
            <v>Đ</v>
          </cell>
          <cell r="N902" t="str">
            <v>Đ</v>
          </cell>
          <cell r="O902" t="str">
            <v>Đ</v>
          </cell>
          <cell r="P902" t="str">
            <v>Đ</v>
          </cell>
          <cell r="Q902" t="str">
            <v>AL8</v>
          </cell>
          <cell r="R902" t="str">
            <v>CN</v>
          </cell>
          <cell r="S902">
            <v>8</v>
          </cell>
          <cell r="T902">
            <v>8</v>
          </cell>
          <cell r="U902">
            <v>8</v>
          </cell>
          <cell r="V902">
            <v>8</v>
          </cell>
          <cell r="W902">
            <v>8</v>
          </cell>
          <cell r="X902">
            <v>8</v>
          </cell>
          <cell r="Y902" t="str">
            <v>CN</v>
          </cell>
          <cell r="Z902" t="str">
            <v>Đ</v>
          </cell>
          <cell r="AA902" t="str">
            <v>Đ</v>
          </cell>
          <cell r="AB902" t="str">
            <v>Đ</v>
          </cell>
          <cell r="AC902" t="str">
            <v>Đ</v>
          </cell>
          <cell r="AD902" t="str">
            <v>Đ</v>
          </cell>
          <cell r="AE902" t="str">
            <v>Đ</v>
          </cell>
          <cell r="AF902" t="str">
            <v>CN</v>
          </cell>
          <cell r="AG902">
            <v>8</v>
          </cell>
          <cell r="AH902">
            <v>8</v>
          </cell>
          <cell r="AI902">
            <v>8</v>
          </cell>
          <cell r="AJ902">
            <v>8</v>
          </cell>
          <cell r="AN902">
            <v>88</v>
          </cell>
          <cell r="AO902">
            <v>96</v>
          </cell>
          <cell r="AP902">
            <v>0</v>
          </cell>
          <cell r="AQ902">
            <v>0</v>
          </cell>
          <cell r="AR902">
            <v>0</v>
          </cell>
          <cell r="AS902">
            <v>0</v>
          </cell>
          <cell r="AT902">
            <v>0</v>
          </cell>
          <cell r="AU902">
            <v>0</v>
          </cell>
          <cell r="AV902">
            <v>0</v>
          </cell>
          <cell r="AW902">
            <v>0</v>
          </cell>
          <cell r="AX902">
            <v>0</v>
          </cell>
          <cell r="AY902">
            <v>0</v>
          </cell>
          <cell r="AZ902">
            <v>0</v>
          </cell>
          <cell r="BA902">
            <v>8</v>
          </cell>
          <cell r="BB902">
            <v>0</v>
          </cell>
          <cell r="BC902">
            <v>0</v>
          </cell>
          <cell r="BD902">
            <v>0</v>
          </cell>
          <cell r="BE902">
            <v>0</v>
          </cell>
          <cell r="BF902">
            <v>0</v>
          </cell>
          <cell r="BG902">
            <v>192</v>
          </cell>
          <cell r="BH902">
            <v>1</v>
          </cell>
          <cell r="BI902">
            <v>1</v>
          </cell>
          <cell r="BJ902">
            <v>0</v>
          </cell>
          <cell r="BL902">
            <v>0</v>
          </cell>
          <cell r="BM902">
            <v>0</v>
          </cell>
          <cell r="BN902">
            <v>0</v>
          </cell>
          <cell r="BO902">
            <v>4</v>
          </cell>
          <cell r="BP902">
            <v>0</v>
          </cell>
          <cell r="BQ902">
            <v>0</v>
          </cell>
          <cell r="BR902">
            <v>0</v>
          </cell>
          <cell r="BS902">
            <v>0</v>
          </cell>
          <cell r="BT902">
            <v>0</v>
          </cell>
          <cell r="BU902">
            <v>0</v>
          </cell>
          <cell r="BV902">
            <v>4</v>
          </cell>
          <cell r="BW902">
            <v>0</v>
          </cell>
          <cell r="BX902">
            <v>0</v>
          </cell>
          <cell r="BY902">
            <v>0</v>
          </cell>
          <cell r="BZ902">
            <v>0</v>
          </cell>
          <cell r="CA902">
            <v>4</v>
          </cell>
          <cell r="CB902">
            <v>0</v>
          </cell>
          <cell r="CC902">
            <v>4</v>
          </cell>
          <cell r="CD902">
            <v>0</v>
          </cell>
          <cell r="CE902">
            <v>0</v>
          </cell>
          <cell r="CF902">
            <v>4</v>
          </cell>
          <cell r="CG902">
            <v>0</v>
          </cell>
          <cell r="CH902">
            <v>4</v>
          </cell>
          <cell r="CI902">
            <v>0</v>
          </cell>
          <cell r="CJ902">
            <v>4</v>
          </cell>
          <cell r="CK902">
            <v>0</v>
          </cell>
          <cell r="CL902">
            <v>0</v>
          </cell>
          <cell r="CM902">
            <v>0</v>
          </cell>
          <cell r="CR902">
            <v>0</v>
          </cell>
          <cell r="CS902">
            <v>0</v>
          </cell>
          <cell r="CT902">
            <v>28</v>
          </cell>
          <cell r="CU902">
            <v>0</v>
          </cell>
          <cell r="CV902">
            <v>0</v>
          </cell>
          <cell r="CZ902">
            <v>28</v>
          </cell>
        </row>
        <row r="903">
          <cell r="C903" t="str">
            <v>04447</v>
          </cell>
          <cell r="D903" t="str">
            <v>Trần Quang Huy</v>
          </cell>
          <cell r="E903" t="str">
            <v xml:space="preserve">EHS &amp; Facilities </v>
          </cell>
          <cell r="F903" t="str">
            <v>Maintenance</v>
          </cell>
          <cell r="G903" t="str">
            <v>Supervisor</v>
          </cell>
          <cell r="H903">
            <v>45707</v>
          </cell>
          <cell r="I903">
            <v>8</v>
          </cell>
          <cell r="J903">
            <v>8</v>
          </cell>
          <cell r="K903" t="str">
            <v>PO</v>
          </cell>
          <cell r="L903" t="str">
            <v>CN</v>
          </cell>
          <cell r="M903">
            <v>8</v>
          </cell>
          <cell r="N903">
            <v>8</v>
          </cell>
          <cell r="O903">
            <v>8</v>
          </cell>
          <cell r="P903">
            <v>8</v>
          </cell>
          <cell r="Q903" t="str">
            <v>PO</v>
          </cell>
          <cell r="R903" t="str">
            <v>PO</v>
          </cell>
          <cell r="S903" t="str">
            <v>CN</v>
          </cell>
          <cell r="T903">
            <v>8</v>
          </cell>
          <cell r="U903">
            <v>8</v>
          </cell>
          <cell r="V903">
            <v>8</v>
          </cell>
          <cell r="W903">
            <v>8</v>
          </cell>
          <cell r="X903">
            <v>8</v>
          </cell>
          <cell r="Y903" t="str">
            <v>PO</v>
          </cell>
          <cell r="Z903" t="str">
            <v>CN</v>
          </cell>
          <cell r="AA903">
            <v>8</v>
          </cell>
          <cell r="AB903">
            <v>8</v>
          </cell>
          <cell r="AC903">
            <v>8</v>
          </cell>
          <cell r="AD903">
            <v>8</v>
          </cell>
          <cell r="AE903">
            <v>8</v>
          </cell>
          <cell r="AF903" t="str">
            <v>PO</v>
          </cell>
          <cell r="AG903" t="str">
            <v>CN</v>
          </cell>
          <cell r="AH903">
            <v>8</v>
          </cell>
          <cell r="AI903">
            <v>8</v>
          </cell>
          <cell r="AJ903" t="str">
            <v>AL8</v>
          </cell>
          <cell r="AN903">
            <v>0</v>
          </cell>
          <cell r="AO903">
            <v>144</v>
          </cell>
          <cell r="AP903">
            <v>0</v>
          </cell>
          <cell r="AQ903">
            <v>0</v>
          </cell>
          <cell r="AR903">
            <v>0</v>
          </cell>
          <cell r="AS903">
            <v>0</v>
          </cell>
          <cell r="AT903">
            <v>0</v>
          </cell>
          <cell r="AU903">
            <v>0</v>
          </cell>
          <cell r="AV903">
            <v>40</v>
          </cell>
          <cell r="AW903">
            <v>0</v>
          </cell>
          <cell r="AX903">
            <v>0</v>
          </cell>
          <cell r="AY903">
            <v>0</v>
          </cell>
          <cell r="AZ903">
            <v>0</v>
          </cell>
          <cell r="BA903">
            <v>8</v>
          </cell>
          <cell r="BB903">
            <v>0</v>
          </cell>
          <cell r="BC903">
            <v>0</v>
          </cell>
          <cell r="BD903">
            <v>0</v>
          </cell>
          <cell r="BE903">
            <v>0</v>
          </cell>
          <cell r="BF903">
            <v>0</v>
          </cell>
          <cell r="BG903">
            <v>192</v>
          </cell>
          <cell r="BH903">
            <v>1</v>
          </cell>
          <cell r="BI903">
            <v>1</v>
          </cell>
          <cell r="BJ903">
            <v>6.5</v>
          </cell>
          <cell r="BL903">
            <v>0.5</v>
          </cell>
          <cell r="BM903">
            <v>0</v>
          </cell>
          <cell r="BN903">
            <v>0</v>
          </cell>
          <cell r="BO903">
            <v>0</v>
          </cell>
          <cell r="BP903">
            <v>0</v>
          </cell>
          <cell r="BQ903">
            <v>0</v>
          </cell>
          <cell r="BR903">
            <v>0</v>
          </cell>
          <cell r="BS903">
            <v>0</v>
          </cell>
          <cell r="BT903">
            <v>0</v>
          </cell>
          <cell r="BU903">
            <v>0</v>
          </cell>
          <cell r="BV903">
            <v>0</v>
          </cell>
          <cell r="BW903">
            <v>0</v>
          </cell>
          <cell r="BX903">
            <v>0</v>
          </cell>
          <cell r="BY903">
            <v>0</v>
          </cell>
          <cell r="BZ903">
            <v>0.5</v>
          </cell>
          <cell r="CA903">
            <v>0</v>
          </cell>
          <cell r="CB903">
            <v>0</v>
          </cell>
          <cell r="CC903">
            <v>0</v>
          </cell>
          <cell r="CD903">
            <v>1.25</v>
          </cell>
          <cell r="CE903">
            <v>0</v>
          </cell>
          <cell r="CF903">
            <v>0</v>
          </cell>
          <cell r="CG903">
            <v>0</v>
          </cell>
          <cell r="CH903">
            <v>0.5</v>
          </cell>
          <cell r="CI903">
            <v>0</v>
          </cell>
          <cell r="CJ903">
            <v>0</v>
          </cell>
          <cell r="CK903">
            <v>0</v>
          </cell>
          <cell r="CL903">
            <v>0</v>
          </cell>
          <cell r="CM903">
            <v>0</v>
          </cell>
          <cell r="CR903">
            <v>0</v>
          </cell>
          <cell r="CS903">
            <v>0</v>
          </cell>
          <cell r="CT903">
            <v>2.75</v>
          </cell>
          <cell r="CU903">
            <v>0</v>
          </cell>
          <cell r="CV903">
            <v>0</v>
          </cell>
          <cell r="CZ903">
            <v>2.75</v>
          </cell>
        </row>
        <row r="904">
          <cell r="C904" t="str">
            <v>02633</v>
          </cell>
          <cell r="D904" t="str">
            <v>Nguyễn Thị Quỳnh Hoa</v>
          </cell>
          <cell r="E904" t="str">
            <v>Production</v>
          </cell>
          <cell r="F904" t="str">
            <v>Die Cut</v>
          </cell>
          <cell r="G904" t="str">
            <v>Worker</v>
          </cell>
          <cell r="H904">
            <v>44134</v>
          </cell>
          <cell r="I904" t="str">
            <v>Đ</v>
          </cell>
          <cell r="J904" t="str">
            <v>AL8</v>
          </cell>
          <cell r="K904" t="str">
            <v>AL8</v>
          </cell>
          <cell r="L904" t="str">
            <v>CN</v>
          </cell>
          <cell r="M904">
            <v>8</v>
          </cell>
          <cell r="N904">
            <v>8</v>
          </cell>
          <cell r="O904">
            <v>8</v>
          </cell>
          <cell r="P904">
            <v>8</v>
          </cell>
          <cell r="Q904">
            <v>8</v>
          </cell>
          <cell r="R904">
            <v>8</v>
          </cell>
          <cell r="S904" t="str">
            <v>CN</v>
          </cell>
          <cell r="T904" t="str">
            <v>Đ</v>
          </cell>
          <cell r="U904" t="str">
            <v>Đ</v>
          </cell>
          <cell r="V904" t="str">
            <v>Đ</v>
          </cell>
          <cell r="W904" t="str">
            <v>Đ</v>
          </cell>
          <cell r="X904" t="str">
            <v>Đ</v>
          </cell>
          <cell r="Y904" t="str">
            <v>Đ</v>
          </cell>
          <cell r="Z904" t="str">
            <v>CN</v>
          </cell>
          <cell r="AA904">
            <v>8</v>
          </cell>
          <cell r="AB904">
            <v>8</v>
          </cell>
          <cell r="AC904">
            <v>8</v>
          </cell>
          <cell r="AD904">
            <v>8</v>
          </cell>
          <cell r="AE904">
            <v>8</v>
          </cell>
          <cell r="AF904">
            <v>8</v>
          </cell>
          <cell r="AG904" t="str">
            <v>CN</v>
          </cell>
          <cell r="AH904" t="str">
            <v>Đ</v>
          </cell>
          <cell r="AI904" t="str">
            <v>Đ</v>
          </cell>
          <cell r="AJ904" t="str">
            <v>Đ</v>
          </cell>
          <cell r="AN904">
            <v>80</v>
          </cell>
          <cell r="AO904">
            <v>96</v>
          </cell>
          <cell r="AP904">
            <v>0</v>
          </cell>
          <cell r="AQ904">
            <v>0</v>
          </cell>
          <cell r="AR904">
            <v>0</v>
          </cell>
          <cell r="AS904">
            <v>0</v>
          </cell>
          <cell r="AT904">
            <v>0</v>
          </cell>
          <cell r="AU904">
            <v>0</v>
          </cell>
          <cell r="AV904">
            <v>0</v>
          </cell>
          <cell r="AW904">
            <v>0</v>
          </cell>
          <cell r="AX904">
            <v>0</v>
          </cell>
          <cell r="AY904">
            <v>0</v>
          </cell>
          <cell r="AZ904">
            <v>0</v>
          </cell>
          <cell r="BA904">
            <v>16</v>
          </cell>
          <cell r="BB904">
            <v>0</v>
          </cell>
          <cell r="BC904">
            <v>0</v>
          </cell>
          <cell r="BD904">
            <v>0</v>
          </cell>
          <cell r="BE904">
            <v>0</v>
          </cell>
          <cell r="BF904">
            <v>0</v>
          </cell>
          <cell r="BG904">
            <v>192</v>
          </cell>
          <cell r="BH904">
            <v>2</v>
          </cell>
          <cell r="BI904">
            <v>2</v>
          </cell>
          <cell r="BJ904">
            <v>3.5</v>
          </cell>
          <cell r="BL904">
            <v>1.5</v>
          </cell>
          <cell r="BM904">
            <v>0</v>
          </cell>
          <cell r="BN904">
            <v>0</v>
          </cell>
          <cell r="BO904">
            <v>0</v>
          </cell>
          <cell r="BP904">
            <v>1.5</v>
          </cell>
          <cell r="BQ904">
            <v>0</v>
          </cell>
          <cell r="BR904">
            <v>0</v>
          </cell>
          <cell r="BS904">
            <v>3</v>
          </cell>
          <cell r="BT904">
            <v>3</v>
          </cell>
          <cell r="BU904">
            <v>3</v>
          </cell>
          <cell r="BV904">
            <v>0</v>
          </cell>
          <cell r="BW904">
            <v>4</v>
          </cell>
          <cell r="BX904">
            <v>4</v>
          </cell>
          <cell r="BY904">
            <v>4</v>
          </cell>
          <cell r="BZ904">
            <v>4</v>
          </cell>
          <cell r="CA904">
            <v>4</v>
          </cell>
          <cell r="CB904">
            <v>4</v>
          </cell>
          <cell r="CC904">
            <v>0</v>
          </cell>
          <cell r="CD904">
            <v>3</v>
          </cell>
          <cell r="CE904">
            <v>3</v>
          </cell>
          <cell r="CF904">
            <v>3</v>
          </cell>
          <cell r="CG904">
            <v>3</v>
          </cell>
          <cell r="CH904">
            <v>3</v>
          </cell>
          <cell r="CI904">
            <v>3</v>
          </cell>
          <cell r="CJ904">
            <v>8</v>
          </cell>
          <cell r="CK904">
            <v>4</v>
          </cell>
          <cell r="CL904">
            <v>4</v>
          </cell>
          <cell r="CM904">
            <v>4</v>
          </cell>
          <cell r="CR904">
            <v>0</v>
          </cell>
          <cell r="CS904">
            <v>0</v>
          </cell>
          <cell r="CT904">
            <v>66</v>
          </cell>
          <cell r="CU904">
            <v>8</v>
          </cell>
          <cell r="CV904">
            <v>0</v>
          </cell>
          <cell r="CZ904">
            <v>74</v>
          </cell>
        </row>
        <row r="905">
          <cell r="C905" t="str">
            <v>03983</v>
          </cell>
          <cell r="D905" t="str">
            <v>Thị Trang</v>
          </cell>
          <cell r="E905" t="str">
            <v>Production</v>
          </cell>
          <cell r="F905" t="str">
            <v>Packing</v>
          </cell>
          <cell r="G905" t="str">
            <v>Worker</v>
          </cell>
          <cell r="H905">
            <v>45211</v>
          </cell>
          <cell r="I905" t="str">
            <v>Đ</v>
          </cell>
          <cell r="J905" t="str">
            <v>Đ</v>
          </cell>
          <cell r="K905" t="str">
            <v>AL8</v>
          </cell>
          <cell r="L905" t="str">
            <v>CN</v>
          </cell>
          <cell r="M905">
            <v>8</v>
          </cell>
          <cell r="N905">
            <v>8</v>
          </cell>
          <cell r="O905">
            <v>8</v>
          </cell>
          <cell r="P905">
            <v>8</v>
          </cell>
          <cell r="Q905">
            <v>8</v>
          </cell>
          <cell r="R905">
            <v>8</v>
          </cell>
          <cell r="S905" t="str">
            <v>CN</v>
          </cell>
          <cell r="T905" t="str">
            <v>Đ</v>
          </cell>
          <cell r="U905" t="str">
            <v>Đ</v>
          </cell>
          <cell r="V905" t="str">
            <v>Đ</v>
          </cell>
          <cell r="W905" t="str">
            <v>Đ</v>
          </cell>
          <cell r="X905" t="str">
            <v>Đ</v>
          </cell>
          <cell r="Y905" t="str">
            <v>Đ</v>
          </cell>
          <cell r="Z905" t="str">
            <v>CN</v>
          </cell>
          <cell r="AA905">
            <v>8</v>
          </cell>
          <cell r="AB905">
            <v>8</v>
          </cell>
          <cell r="AC905">
            <v>8</v>
          </cell>
          <cell r="AD905">
            <v>8</v>
          </cell>
          <cell r="AE905">
            <v>8</v>
          </cell>
          <cell r="AF905">
            <v>8</v>
          </cell>
          <cell r="AG905" t="str">
            <v>CN</v>
          </cell>
          <cell r="AH905" t="str">
            <v>Đ</v>
          </cell>
          <cell r="AI905" t="str">
            <v>Đ</v>
          </cell>
          <cell r="AJ905" t="str">
            <v>AL8</v>
          </cell>
          <cell r="AN905">
            <v>80</v>
          </cell>
          <cell r="AO905">
            <v>96</v>
          </cell>
          <cell r="AP905">
            <v>0</v>
          </cell>
          <cell r="AQ905">
            <v>0</v>
          </cell>
          <cell r="AR905">
            <v>0</v>
          </cell>
          <cell r="AS905">
            <v>0</v>
          </cell>
          <cell r="AT905">
            <v>0</v>
          </cell>
          <cell r="AU905">
            <v>0</v>
          </cell>
          <cell r="AV905">
            <v>0</v>
          </cell>
          <cell r="AW905">
            <v>0</v>
          </cell>
          <cell r="AX905">
            <v>0</v>
          </cell>
          <cell r="AY905">
            <v>0</v>
          </cell>
          <cell r="AZ905">
            <v>0</v>
          </cell>
          <cell r="BA905">
            <v>16</v>
          </cell>
          <cell r="BB905">
            <v>0</v>
          </cell>
          <cell r="BC905">
            <v>0</v>
          </cell>
          <cell r="BD905">
            <v>0</v>
          </cell>
          <cell r="BE905">
            <v>0</v>
          </cell>
          <cell r="BF905">
            <v>0</v>
          </cell>
          <cell r="BG905">
            <v>192</v>
          </cell>
          <cell r="BH905">
            <v>2</v>
          </cell>
          <cell r="BI905">
            <v>2</v>
          </cell>
          <cell r="BJ905">
            <v>0</v>
          </cell>
          <cell r="BL905">
            <v>0</v>
          </cell>
          <cell r="BM905">
            <v>0</v>
          </cell>
          <cell r="BN905">
            <v>0</v>
          </cell>
          <cell r="BO905">
            <v>0</v>
          </cell>
          <cell r="BP905">
            <v>1.5</v>
          </cell>
          <cell r="BQ905">
            <v>3</v>
          </cell>
          <cell r="BR905">
            <v>0</v>
          </cell>
          <cell r="BS905">
            <v>3</v>
          </cell>
          <cell r="BT905">
            <v>3</v>
          </cell>
          <cell r="BU905">
            <v>0</v>
          </cell>
          <cell r="BV905">
            <v>0</v>
          </cell>
          <cell r="BW905">
            <v>0</v>
          </cell>
          <cell r="BX905">
            <v>0</v>
          </cell>
          <cell r="BY905">
            <v>0</v>
          </cell>
          <cell r="BZ905">
            <v>4</v>
          </cell>
          <cell r="CA905">
            <v>4</v>
          </cell>
          <cell r="CB905">
            <v>4</v>
          </cell>
          <cell r="CC905">
            <v>0</v>
          </cell>
          <cell r="CD905">
            <v>0</v>
          </cell>
          <cell r="CE905">
            <v>4</v>
          </cell>
          <cell r="CF905">
            <v>4</v>
          </cell>
          <cell r="CG905">
            <v>4</v>
          </cell>
          <cell r="CH905">
            <v>4</v>
          </cell>
          <cell r="CI905">
            <v>0</v>
          </cell>
          <cell r="CJ905">
            <v>8</v>
          </cell>
          <cell r="CK905">
            <v>0</v>
          </cell>
          <cell r="CL905">
            <v>0</v>
          </cell>
          <cell r="CM905">
            <v>0</v>
          </cell>
          <cell r="CR905">
            <v>0</v>
          </cell>
          <cell r="CS905">
            <v>0</v>
          </cell>
          <cell r="CT905">
            <v>38.5</v>
          </cell>
          <cell r="CU905">
            <v>8</v>
          </cell>
          <cell r="CV905">
            <v>0</v>
          </cell>
          <cell r="CZ905">
            <v>46.5</v>
          </cell>
        </row>
        <row r="906">
          <cell r="C906" t="str">
            <v>03658</v>
          </cell>
          <cell r="D906" t="str">
            <v>Phạm Thị Huyền Trang</v>
          </cell>
          <cell r="E906" t="str">
            <v>Production</v>
          </cell>
          <cell r="F906" t="str">
            <v>Die Cut</v>
          </cell>
          <cell r="G906" t="str">
            <v>Worker</v>
          </cell>
          <cell r="H906">
            <v>44816</v>
          </cell>
          <cell r="I906" t="str">
            <v>Đ</v>
          </cell>
          <cell r="J906" t="str">
            <v>Đ</v>
          </cell>
          <cell r="K906" t="str">
            <v>Đ</v>
          </cell>
          <cell r="L906" t="str">
            <v>CN</v>
          </cell>
          <cell r="M906">
            <v>8</v>
          </cell>
          <cell r="N906">
            <v>8</v>
          </cell>
          <cell r="O906">
            <v>8</v>
          </cell>
          <cell r="P906">
            <v>8</v>
          </cell>
          <cell r="Q906">
            <v>8</v>
          </cell>
          <cell r="R906">
            <v>8</v>
          </cell>
          <cell r="S906" t="str">
            <v>CN</v>
          </cell>
          <cell r="T906">
            <v>8</v>
          </cell>
          <cell r="U906">
            <v>8</v>
          </cell>
          <cell r="V906">
            <v>8</v>
          </cell>
          <cell r="W906">
            <v>8</v>
          </cell>
          <cell r="X906">
            <v>8</v>
          </cell>
          <cell r="Y906">
            <v>8</v>
          </cell>
          <cell r="Z906" t="str">
            <v>CN</v>
          </cell>
          <cell r="AA906" t="str">
            <v>Đ</v>
          </cell>
          <cell r="AB906" t="str">
            <v>Đ</v>
          </cell>
          <cell r="AC906" t="str">
            <v>Đ</v>
          </cell>
          <cell r="AD906" t="str">
            <v>Đ</v>
          </cell>
          <cell r="AE906" t="str">
            <v>Đ</v>
          </cell>
          <cell r="AF906" t="str">
            <v>AL8</v>
          </cell>
          <cell r="AG906" t="str">
            <v>CN</v>
          </cell>
          <cell r="AH906">
            <v>8</v>
          </cell>
          <cell r="AI906">
            <v>8</v>
          </cell>
          <cell r="AJ906">
            <v>8</v>
          </cell>
          <cell r="AN906">
            <v>64</v>
          </cell>
          <cell r="AO906">
            <v>120</v>
          </cell>
          <cell r="AP906">
            <v>0</v>
          </cell>
          <cell r="AQ906">
            <v>0</v>
          </cell>
          <cell r="AR906">
            <v>0</v>
          </cell>
          <cell r="AS906">
            <v>0</v>
          </cell>
          <cell r="AT906">
            <v>0</v>
          </cell>
          <cell r="AU906">
            <v>0</v>
          </cell>
          <cell r="AV906">
            <v>0</v>
          </cell>
          <cell r="AW906">
            <v>0</v>
          </cell>
          <cell r="AX906">
            <v>0</v>
          </cell>
          <cell r="AY906">
            <v>0</v>
          </cell>
          <cell r="AZ906">
            <v>0</v>
          </cell>
          <cell r="BA906">
            <v>8</v>
          </cell>
          <cell r="BB906">
            <v>0</v>
          </cell>
          <cell r="BC906">
            <v>0</v>
          </cell>
          <cell r="BD906">
            <v>0</v>
          </cell>
          <cell r="BE906">
            <v>0</v>
          </cell>
          <cell r="BF906">
            <v>0</v>
          </cell>
          <cell r="BG906">
            <v>192</v>
          </cell>
          <cell r="BH906">
            <v>1</v>
          </cell>
          <cell r="BI906">
            <v>1</v>
          </cell>
          <cell r="BJ906">
            <v>0</v>
          </cell>
          <cell r="BL906">
            <v>0</v>
          </cell>
          <cell r="BM906">
            <v>3</v>
          </cell>
          <cell r="BN906">
            <v>1.5</v>
          </cell>
          <cell r="BO906">
            <v>0</v>
          </cell>
          <cell r="BP906">
            <v>4</v>
          </cell>
          <cell r="BQ906">
            <v>0</v>
          </cell>
          <cell r="BR906">
            <v>0</v>
          </cell>
          <cell r="BS906">
            <v>0</v>
          </cell>
          <cell r="BT906">
            <v>4</v>
          </cell>
          <cell r="BU906">
            <v>0</v>
          </cell>
          <cell r="BV906">
            <v>0</v>
          </cell>
          <cell r="BW906">
            <v>3</v>
          </cell>
          <cell r="BX906">
            <v>0</v>
          </cell>
          <cell r="BY906">
            <v>3</v>
          </cell>
          <cell r="BZ906">
            <v>3</v>
          </cell>
          <cell r="CA906">
            <v>3</v>
          </cell>
          <cell r="CB906">
            <v>0</v>
          </cell>
          <cell r="CC906">
            <v>8</v>
          </cell>
          <cell r="CD906">
            <v>4</v>
          </cell>
          <cell r="CE906">
            <v>1.5</v>
          </cell>
          <cell r="CF906">
            <v>0</v>
          </cell>
          <cell r="CG906">
            <v>0</v>
          </cell>
          <cell r="CH906">
            <v>0</v>
          </cell>
          <cell r="CI906">
            <v>0</v>
          </cell>
          <cell r="CJ906">
            <v>0</v>
          </cell>
          <cell r="CK906">
            <v>0</v>
          </cell>
          <cell r="CL906">
            <v>0</v>
          </cell>
          <cell r="CM906">
            <v>4</v>
          </cell>
          <cell r="CR906">
            <v>0</v>
          </cell>
          <cell r="CS906">
            <v>0</v>
          </cell>
          <cell r="CT906">
            <v>34</v>
          </cell>
          <cell r="CU906">
            <v>8</v>
          </cell>
          <cell r="CV906">
            <v>0</v>
          </cell>
          <cell r="CZ906">
            <v>42</v>
          </cell>
        </row>
        <row r="907">
          <cell r="C907" t="str">
            <v>03536</v>
          </cell>
          <cell r="D907" t="str">
            <v>Dương Thị Thùy Trúc</v>
          </cell>
          <cell r="E907" t="str">
            <v>Production</v>
          </cell>
          <cell r="F907" t="str">
            <v>Logo</v>
          </cell>
          <cell r="G907" t="str">
            <v>Worker</v>
          </cell>
          <cell r="H907">
            <v>44707</v>
          </cell>
          <cell r="I907">
            <v>8</v>
          </cell>
          <cell r="J907">
            <v>8</v>
          </cell>
          <cell r="K907">
            <v>8</v>
          </cell>
          <cell r="L907" t="str">
            <v>CN</v>
          </cell>
          <cell r="M907" t="str">
            <v>Đ</v>
          </cell>
          <cell r="N907" t="str">
            <v>Đ</v>
          </cell>
          <cell r="O907" t="str">
            <v>Đ</v>
          </cell>
          <cell r="P907" t="str">
            <v>Đ</v>
          </cell>
          <cell r="Q907" t="str">
            <v>Đ</v>
          </cell>
          <cell r="R907" t="str">
            <v>Đ</v>
          </cell>
          <cell r="S907" t="str">
            <v>CN</v>
          </cell>
          <cell r="T907">
            <v>8</v>
          </cell>
          <cell r="U907">
            <v>8</v>
          </cell>
          <cell r="V907">
            <v>8</v>
          </cell>
          <cell r="W907">
            <v>8</v>
          </cell>
          <cell r="X907">
            <v>8</v>
          </cell>
          <cell r="Y907">
            <v>8</v>
          </cell>
          <cell r="Z907" t="str">
            <v>CN</v>
          </cell>
          <cell r="AA907" t="str">
            <v>Đ</v>
          </cell>
          <cell r="AB907" t="str">
            <v>Đ</v>
          </cell>
          <cell r="AC907" t="str">
            <v>Đ</v>
          </cell>
          <cell r="AD907" t="str">
            <v>Đ</v>
          </cell>
          <cell r="AE907" t="str">
            <v>Đ</v>
          </cell>
          <cell r="AF907" t="str">
            <v>Đ</v>
          </cell>
          <cell r="AG907" t="str">
            <v>CN</v>
          </cell>
          <cell r="AH907">
            <v>8</v>
          </cell>
          <cell r="AI907">
            <v>8</v>
          </cell>
          <cell r="AJ907">
            <v>8</v>
          </cell>
          <cell r="AN907">
            <v>96</v>
          </cell>
          <cell r="AO907">
            <v>96</v>
          </cell>
          <cell r="AP907">
            <v>0</v>
          </cell>
          <cell r="AQ907">
            <v>0</v>
          </cell>
          <cell r="AR907">
            <v>0</v>
          </cell>
          <cell r="AS907">
            <v>0</v>
          </cell>
          <cell r="AT907">
            <v>0</v>
          </cell>
          <cell r="AU907">
            <v>0</v>
          </cell>
          <cell r="AV907">
            <v>0</v>
          </cell>
          <cell r="AW907">
            <v>0</v>
          </cell>
          <cell r="AX907">
            <v>0</v>
          </cell>
          <cell r="AY907">
            <v>0</v>
          </cell>
          <cell r="AZ907">
            <v>0</v>
          </cell>
          <cell r="BA907">
            <v>0</v>
          </cell>
          <cell r="BB907">
            <v>0</v>
          </cell>
          <cell r="BC907">
            <v>0</v>
          </cell>
          <cell r="BD907">
            <v>0</v>
          </cell>
          <cell r="BE907">
            <v>0</v>
          </cell>
          <cell r="BF907">
            <v>0</v>
          </cell>
          <cell r="BG907">
            <v>192</v>
          </cell>
          <cell r="BH907">
            <v>0</v>
          </cell>
          <cell r="BI907">
            <v>0</v>
          </cell>
          <cell r="BJ907">
            <v>1</v>
          </cell>
          <cell r="BL907">
            <v>0</v>
          </cell>
          <cell r="BM907">
            <v>0</v>
          </cell>
          <cell r="BN907">
            <v>0</v>
          </cell>
          <cell r="BO907">
            <v>0</v>
          </cell>
          <cell r="BP907">
            <v>1.5</v>
          </cell>
          <cell r="BQ907">
            <v>3</v>
          </cell>
          <cell r="BR907">
            <v>0</v>
          </cell>
          <cell r="BS907">
            <v>3</v>
          </cell>
          <cell r="BT907">
            <v>3</v>
          </cell>
          <cell r="BU907">
            <v>0</v>
          </cell>
          <cell r="BV907">
            <v>0</v>
          </cell>
          <cell r="BW907">
            <v>3</v>
          </cell>
          <cell r="BX907">
            <v>3</v>
          </cell>
          <cell r="BY907">
            <v>3</v>
          </cell>
          <cell r="BZ907">
            <v>3</v>
          </cell>
          <cell r="CA907">
            <v>3</v>
          </cell>
          <cell r="CB907">
            <v>3</v>
          </cell>
          <cell r="CC907">
            <v>8</v>
          </cell>
          <cell r="CD907">
            <v>4</v>
          </cell>
          <cell r="CE907">
            <v>4</v>
          </cell>
          <cell r="CF907">
            <v>4</v>
          </cell>
          <cell r="CG907">
            <v>4</v>
          </cell>
          <cell r="CH907">
            <v>1.5</v>
          </cell>
          <cell r="CI907">
            <v>1.5</v>
          </cell>
          <cell r="CJ907">
            <v>0</v>
          </cell>
          <cell r="CK907">
            <v>1.5</v>
          </cell>
          <cell r="CL907">
            <v>1.5</v>
          </cell>
          <cell r="CM907">
            <v>1.5</v>
          </cell>
          <cell r="CR907">
            <v>0</v>
          </cell>
          <cell r="CS907">
            <v>0</v>
          </cell>
          <cell r="CT907">
            <v>52</v>
          </cell>
          <cell r="CU907">
            <v>8</v>
          </cell>
          <cell r="CV907">
            <v>0</v>
          </cell>
          <cell r="CZ907">
            <v>60</v>
          </cell>
        </row>
        <row r="908">
          <cell r="C908" t="str">
            <v>03575</v>
          </cell>
          <cell r="D908" t="str">
            <v>Phạm Thị Ngọt</v>
          </cell>
          <cell r="E908" t="str">
            <v>Foaming</v>
          </cell>
          <cell r="F908" t="str">
            <v>FOAMING Splitting</v>
          </cell>
          <cell r="G908" t="str">
            <v>Worker</v>
          </cell>
          <cell r="H908">
            <v>44728</v>
          </cell>
          <cell r="I908">
            <v>8</v>
          </cell>
          <cell r="J908">
            <v>8</v>
          </cell>
          <cell r="K908">
            <v>8</v>
          </cell>
          <cell r="L908" t="str">
            <v>CN</v>
          </cell>
          <cell r="M908">
            <v>8</v>
          </cell>
          <cell r="N908">
            <v>8</v>
          </cell>
          <cell r="O908">
            <v>8</v>
          </cell>
          <cell r="P908">
            <v>8</v>
          </cell>
          <cell r="Q908">
            <v>8</v>
          </cell>
          <cell r="R908">
            <v>8</v>
          </cell>
          <cell r="S908" t="str">
            <v>CN</v>
          </cell>
          <cell r="T908">
            <v>8</v>
          </cell>
          <cell r="U908">
            <v>8</v>
          </cell>
          <cell r="V908">
            <v>8</v>
          </cell>
          <cell r="W908">
            <v>8</v>
          </cell>
          <cell r="X908">
            <v>8</v>
          </cell>
          <cell r="Y908">
            <v>8</v>
          </cell>
          <cell r="Z908" t="str">
            <v>CN</v>
          </cell>
          <cell r="AA908">
            <v>8</v>
          </cell>
          <cell r="AB908">
            <v>8</v>
          </cell>
          <cell r="AC908">
            <v>8</v>
          </cell>
          <cell r="AD908">
            <v>8</v>
          </cell>
          <cell r="AE908">
            <v>8</v>
          </cell>
          <cell r="AF908">
            <v>8</v>
          </cell>
          <cell r="AG908" t="str">
            <v>CN</v>
          </cell>
          <cell r="AH908">
            <v>8</v>
          </cell>
          <cell r="AI908">
            <v>8</v>
          </cell>
          <cell r="AJ908">
            <v>8</v>
          </cell>
          <cell r="AN908">
            <v>0</v>
          </cell>
          <cell r="AO908">
            <v>192</v>
          </cell>
          <cell r="AP908">
            <v>0</v>
          </cell>
          <cell r="AQ908">
            <v>0</v>
          </cell>
          <cell r="AR908">
            <v>0</v>
          </cell>
          <cell r="AS908">
            <v>0</v>
          </cell>
          <cell r="AT908">
            <v>0</v>
          </cell>
          <cell r="AU908">
            <v>0</v>
          </cell>
          <cell r="AV908">
            <v>0</v>
          </cell>
          <cell r="AW908">
            <v>0</v>
          </cell>
          <cell r="AX908">
            <v>0</v>
          </cell>
          <cell r="AY908">
            <v>0</v>
          </cell>
          <cell r="AZ908">
            <v>0</v>
          </cell>
          <cell r="BA908">
            <v>0</v>
          </cell>
          <cell r="BB908">
            <v>0</v>
          </cell>
          <cell r="BC908">
            <v>0</v>
          </cell>
          <cell r="BD908">
            <v>0</v>
          </cell>
          <cell r="BE908">
            <v>0</v>
          </cell>
          <cell r="BF908">
            <v>0</v>
          </cell>
          <cell r="BG908">
            <v>192</v>
          </cell>
          <cell r="BH908">
            <v>0</v>
          </cell>
          <cell r="BI908">
            <v>0</v>
          </cell>
          <cell r="BJ908">
            <v>4</v>
          </cell>
          <cell r="BL908">
            <v>4</v>
          </cell>
          <cell r="BM908">
            <v>4</v>
          </cell>
          <cell r="BN908">
            <v>4</v>
          </cell>
          <cell r="BO908">
            <v>11</v>
          </cell>
          <cell r="BP908">
            <v>0</v>
          </cell>
          <cell r="BQ908">
            <v>4</v>
          </cell>
          <cell r="BR908">
            <v>4</v>
          </cell>
          <cell r="BS908">
            <v>4</v>
          </cell>
          <cell r="BT908">
            <v>4</v>
          </cell>
          <cell r="BU908">
            <v>4</v>
          </cell>
          <cell r="BV908">
            <v>12</v>
          </cell>
          <cell r="BW908">
            <v>4</v>
          </cell>
          <cell r="BX908">
            <v>4</v>
          </cell>
          <cell r="BY908">
            <v>4</v>
          </cell>
          <cell r="BZ908">
            <v>4</v>
          </cell>
          <cell r="CA908">
            <v>4</v>
          </cell>
          <cell r="CB908">
            <v>4</v>
          </cell>
          <cell r="CC908">
            <v>0</v>
          </cell>
          <cell r="CD908">
            <v>4</v>
          </cell>
          <cell r="CE908">
            <v>4</v>
          </cell>
          <cell r="CF908">
            <v>4</v>
          </cell>
          <cell r="CG908">
            <v>2</v>
          </cell>
          <cell r="CH908">
            <v>4</v>
          </cell>
          <cell r="CI908">
            <v>4</v>
          </cell>
          <cell r="CJ908">
            <v>12</v>
          </cell>
          <cell r="CK908">
            <v>4</v>
          </cell>
          <cell r="CL908">
            <v>0</v>
          </cell>
          <cell r="CM908">
            <v>4</v>
          </cell>
          <cell r="CR908">
            <v>0</v>
          </cell>
          <cell r="CS908">
            <v>0</v>
          </cell>
          <cell r="CT908">
            <v>86</v>
          </cell>
          <cell r="CU908">
            <v>35</v>
          </cell>
          <cell r="CV908">
            <v>0</v>
          </cell>
          <cell r="CZ908">
            <v>121</v>
          </cell>
        </row>
        <row r="909">
          <cell r="C909" t="str">
            <v>02488</v>
          </cell>
          <cell r="D909" t="str">
            <v>Phan Trần Trà My</v>
          </cell>
          <cell r="E909" t="str">
            <v>Purchasing</v>
          </cell>
          <cell r="F909" t="str">
            <v>Purchasing</v>
          </cell>
          <cell r="G909" t="str">
            <v>Staff</v>
          </cell>
          <cell r="H909">
            <v>44078</v>
          </cell>
          <cell r="I909" t="str">
            <v>WH</v>
          </cell>
          <cell r="J909">
            <v>8</v>
          </cell>
          <cell r="K909" t="str">
            <v>PO</v>
          </cell>
          <cell r="L909" t="str">
            <v>CN</v>
          </cell>
          <cell r="M909">
            <v>8</v>
          </cell>
          <cell r="N909">
            <v>8</v>
          </cell>
          <cell r="O909">
            <v>8</v>
          </cell>
          <cell r="P909" t="str">
            <v>WH</v>
          </cell>
          <cell r="Q909">
            <v>8</v>
          </cell>
          <cell r="R909" t="str">
            <v>PO</v>
          </cell>
          <cell r="S909" t="str">
            <v>CN</v>
          </cell>
          <cell r="T909">
            <v>8</v>
          </cell>
          <cell r="U909">
            <v>8</v>
          </cell>
          <cell r="V909">
            <v>8</v>
          </cell>
          <cell r="W909">
            <v>8</v>
          </cell>
          <cell r="X909">
            <v>8</v>
          </cell>
          <cell r="Y909" t="str">
            <v>PO</v>
          </cell>
          <cell r="Z909" t="str">
            <v>CN</v>
          </cell>
          <cell r="AA909">
            <v>8</v>
          </cell>
          <cell r="AB909" t="str">
            <v>AL4/WH4</v>
          </cell>
          <cell r="AC909">
            <v>8</v>
          </cell>
          <cell r="AD909">
            <v>8</v>
          </cell>
          <cell r="AE909">
            <v>8</v>
          </cell>
          <cell r="AF909" t="str">
            <v>PO</v>
          </cell>
          <cell r="AG909" t="str">
            <v>CN</v>
          </cell>
          <cell r="AH909">
            <v>8</v>
          </cell>
          <cell r="AI909">
            <v>8</v>
          </cell>
          <cell r="AJ909" t="str">
            <v>WH</v>
          </cell>
          <cell r="AN909">
            <v>0</v>
          </cell>
          <cell r="AO909">
            <v>128</v>
          </cell>
          <cell r="AP909">
            <v>0</v>
          </cell>
          <cell r="AQ909">
            <v>0</v>
          </cell>
          <cell r="AR909">
            <v>0</v>
          </cell>
          <cell r="AS909">
            <v>0</v>
          </cell>
          <cell r="AT909">
            <v>0</v>
          </cell>
          <cell r="AU909">
            <v>0</v>
          </cell>
          <cell r="AV909">
            <v>32</v>
          </cell>
          <cell r="AW909">
            <v>0</v>
          </cell>
          <cell r="AX909">
            <v>0</v>
          </cell>
          <cell r="AY909">
            <v>0</v>
          </cell>
          <cell r="AZ909">
            <v>0</v>
          </cell>
          <cell r="BA909">
            <v>4</v>
          </cell>
          <cell r="BB909">
            <v>0</v>
          </cell>
          <cell r="BC909">
            <v>0</v>
          </cell>
          <cell r="BD909">
            <v>28</v>
          </cell>
          <cell r="BE909">
            <v>0</v>
          </cell>
          <cell r="BF909">
            <v>0</v>
          </cell>
          <cell r="BG909">
            <v>192</v>
          </cell>
          <cell r="BH909">
            <v>0.5</v>
          </cell>
          <cell r="BI909">
            <v>0.5</v>
          </cell>
          <cell r="BJ909">
            <v>3.5</v>
          </cell>
          <cell r="BL909">
            <v>0</v>
          </cell>
          <cell r="BM909">
            <v>0</v>
          </cell>
          <cell r="BN909">
            <v>0</v>
          </cell>
          <cell r="BO909">
            <v>0</v>
          </cell>
          <cell r="BP909">
            <v>4</v>
          </cell>
          <cell r="BQ909">
            <v>4</v>
          </cell>
          <cell r="BR909">
            <v>0</v>
          </cell>
          <cell r="BS909">
            <v>0</v>
          </cell>
          <cell r="BT909">
            <v>0</v>
          </cell>
          <cell r="BU909">
            <v>0</v>
          </cell>
          <cell r="BV909">
            <v>0</v>
          </cell>
          <cell r="BW909">
            <v>0</v>
          </cell>
          <cell r="BX909">
            <v>4</v>
          </cell>
          <cell r="BY909">
            <v>0</v>
          </cell>
          <cell r="BZ909">
            <v>4</v>
          </cell>
          <cell r="CA909">
            <v>0</v>
          </cell>
          <cell r="CB909">
            <v>0</v>
          </cell>
          <cell r="CC909">
            <v>0</v>
          </cell>
          <cell r="CD909">
            <v>4</v>
          </cell>
          <cell r="CE909">
            <v>0</v>
          </cell>
          <cell r="CF909">
            <v>0</v>
          </cell>
          <cell r="CG909">
            <v>0</v>
          </cell>
          <cell r="CH909">
            <v>4</v>
          </cell>
          <cell r="CI909">
            <v>0</v>
          </cell>
          <cell r="CJ909">
            <v>0</v>
          </cell>
          <cell r="CK909">
            <v>0</v>
          </cell>
          <cell r="CL909">
            <v>0</v>
          </cell>
          <cell r="CM909">
            <v>0</v>
          </cell>
          <cell r="CR909">
            <v>0</v>
          </cell>
          <cell r="CS909">
            <v>0</v>
          </cell>
          <cell r="CT909">
            <v>24</v>
          </cell>
          <cell r="CU909">
            <v>0</v>
          </cell>
          <cell r="CV909">
            <v>0</v>
          </cell>
          <cell r="CZ909">
            <v>24</v>
          </cell>
        </row>
        <row r="910">
          <cell r="C910" t="str">
            <v>03101</v>
          </cell>
          <cell r="D910" t="str">
            <v>Lâm Thị Hồng Trúc Linh</v>
          </cell>
          <cell r="E910" t="str">
            <v>Production</v>
          </cell>
          <cell r="F910" t="str">
            <v>Logo</v>
          </cell>
          <cell r="G910" t="str">
            <v>Worker</v>
          </cell>
          <cell r="H910">
            <v>44222</v>
          </cell>
          <cell r="I910" t="str">
            <v>UP8</v>
          </cell>
          <cell r="J910" t="str">
            <v>UP8</v>
          </cell>
          <cell r="K910" t="str">
            <v>UP8</v>
          </cell>
          <cell r="L910" t="str">
            <v>CN</v>
          </cell>
          <cell r="M910" t="str">
            <v>Đ</v>
          </cell>
          <cell r="N910" t="str">
            <v>Đ</v>
          </cell>
          <cell r="O910" t="str">
            <v>Đ</v>
          </cell>
          <cell r="P910" t="str">
            <v>Đ</v>
          </cell>
          <cell r="Q910" t="str">
            <v>Đ</v>
          </cell>
          <cell r="R910" t="str">
            <v>Đ</v>
          </cell>
          <cell r="S910" t="str">
            <v>CN</v>
          </cell>
          <cell r="T910">
            <v>8</v>
          </cell>
          <cell r="U910">
            <v>8</v>
          </cell>
          <cell r="V910">
            <v>8</v>
          </cell>
          <cell r="W910">
            <v>8</v>
          </cell>
          <cell r="X910">
            <v>8</v>
          </cell>
          <cell r="Y910">
            <v>8</v>
          </cell>
          <cell r="Z910" t="str">
            <v>CN</v>
          </cell>
          <cell r="AA910" t="str">
            <v>Đ</v>
          </cell>
          <cell r="AB910" t="str">
            <v>Đ</v>
          </cell>
          <cell r="AC910" t="str">
            <v>Đ</v>
          </cell>
          <cell r="AD910" t="str">
            <v>Đ</v>
          </cell>
          <cell r="AE910" t="str">
            <v>Đ</v>
          </cell>
          <cell r="AF910" t="str">
            <v>UP8</v>
          </cell>
          <cell r="AG910" t="str">
            <v>CN</v>
          </cell>
          <cell r="AH910" t="str">
            <v>UP8</v>
          </cell>
          <cell r="AI910" t="str">
            <v>UP8</v>
          </cell>
          <cell r="AJ910" t="str">
            <v>UP8</v>
          </cell>
          <cell r="AN910">
            <v>88</v>
          </cell>
          <cell r="AO910">
            <v>48</v>
          </cell>
          <cell r="AP910">
            <v>0</v>
          </cell>
          <cell r="AQ910">
            <v>0</v>
          </cell>
          <cell r="AR910">
            <v>0</v>
          </cell>
          <cell r="AS910">
            <v>56</v>
          </cell>
          <cell r="AT910">
            <v>0</v>
          </cell>
          <cell r="AU910">
            <v>0</v>
          </cell>
          <cell r="AV910">
            <v>0</v>
          </cell>
          <cell r="AW910">
            <v>0</v>
          </cell>
          <cell r="AX910">
            <v>0</v>
          </cell>
          <cell r="AY910">
            <v>0</v>
          </cell>
          <cell r="AZ910">
            <v>0</v>
          </cell>
          <cell r="BA910">
            <v>0</v>
          </cell>
          <cell r="BB910">
            <v>0</v>
          </cell>
          <cell r="BC910">
            <v>0</v>
          </cell>
          <cell r="BD910">
            <v>0</v>
          </cell>
          <cell r="BE910">
            <v>0</v>
          </cell>
          <cell r="BF910">
            <v>0</v>
          </cell>
          <cell r="BG910">
            <v>136</v>
          </cell>
          <cell r="BH910">
            <v>0</v>
          </cell>
          <cell r="BI910">
            <v>0</v>
          </cell>
          <cell r="BJ910">
            <v>0</v>
          </cell>
          <cell r="BL910">
            <v>0</v>
          </cell>
          <cell r="BM910">
            <v>0</v>
          </cell>
          <cell r="BN910">
            <v>0</v>
          </cell>
          <cell r="BO910">
            <v>0</v>
          </cell>
          <cell r="BP910">
            <v>1.5</v>
          </cell>
          <cell r="BQ910">
            <v>3</v>
          </cell>
          <cell r="BR910">
            <v>0</v>
          </cell>
          <cell r="BS910">
            <v>3</v>
          </cell>
          <cell r="BT910">
            <v>3</v>
          </cell>
          <cell r="BU910">
            <v>0</v>
          </cell>
          <cell r="BV910">
            <v>0</v>
          </cell>
          <cell r="BW910">
            <v>3</v>
          </cell>
          <cell r="BX910">
            <v>3</v>
          </cell>
          <cell r="BY910">
            <v>3</v>
          </cell>
          <cell r="BZ910">
            <v>3</v>
          </cell>
          <cell r="CA910">
            <v>3</v>
          </cell>
          <cell r="CB910">
            <v>3</v>
          </cell>
          <cell r="CC910">
            <v>8</v>
          </cell>
          <cell r="CD910">
            <v>4</v>
          </cell>
          <cell r="CE910">
            <v>4</v>
          </cell>
          <cell r="CF910">
            <v>4</v>
          </cell>
          <cell r="CG910">
            <v>4</v>
          </cell>
          <cell r="CH910">
            <v>4</v>
          </cell>
          <cell r="CI910">
            <v>0</v>
          </cell>
          <cell r="CJ910">
            <v>0</v>
          </cell>
          <cell r="CK910">
            <v>0</v>
          </cell>
          <cell r="CL910">
            <v>0</v>
          </cell>
          <cell r="CM910">
            <v>0</v>
          </cell>
          <cell r="CR910">
            <v>0</v>
          </cell>
          <cell r="CS910">
            <v>0</v>
          </cell>
          <cell r="CT910">
            <v>48.5</v>
          </cell>
          <cell r="CU910">
            <v>8</v>
          </cell>
          <cell r="CV910">
            <v>0</v>
          </cell>
          <cell r="CZ910">
            <v>56.5</v>
          </cell>
        </row>
        <row r="911">
          <cell r="C911" t="str">
            <v>04448</v>
          </cell>
          <cell r="D911" t="str">
            <v>Nguyễn Văn Khánh Duy</v>
          </cell>
          <cell r="E911" t="str">
            <v>Production</v>
          </cell>
          <cell r="F911" t="str">
            <v>Packing</v>
          </cell>
          <cell r="G911" t="str">
            <v>Worker</v>
          </cell>
          <cell r="H911">
            <v>45714</v>
          </cell>
          <cell r="I911">
            <v>8</v>
          </cell>
          <cell r="J911">
            <v>8</v>
          </cell>
          <cell r="K911">
            <v>8</v>
          </cell>
          <cell r="L911" t="str">
            <v>CN</v>
          </cell>
          <cell r="M911" t="str">
            <v>Đ</v>
          </cell>
          <cell r="N911" t="str">
            <v>AL8</v>
          </cell>
          <cell r="O911" t="str">
            <v>Đ</v>
          </cell>
          <cell r="P911" t="str">
            <v>Đ</v>
          </cell>
          <cell r="Q911" t="str">
            <v>Đ</v>
          </cell>
          <cell r="R911" t="str">
            <v>Đ</v>
          </cell>
          <cell r="S911" t="str">
            <v>CN</v>
          </cell>
          <cell r="T911">
            <v>8</v>
          </cell>
          <cell r="U911">
            <v>8</v>
          </cell>
          <cell r="V911">
            <v>8</v>
          </cell>
          <cell r="W911">
            <v>8</v>
          </cell>
          <cell r="X911">
            <v>8</v>
          </cell>
          <cell r="Y911">
            <v>8</v>
          </cell>
          <cell r="Z911" t="str">
            <v>CN</v>
          </cell>
          <cell r="AA911" t="str">
            <v>Đ</v>
          </cell>
          <cell r="AB911" t="str">
            <v>Đ</v>
          </cell>
          <cell r="AC911" t="str">
            <v>AL8</v>
          </cell>
          <cell r="AD911" t="str">
            <v>Đ</v>
          </cell>
          <cell r="AE911" t="str">
            <v>Đ</v>
          </cell>
          <cell r="AF911" t="str">
            <v>Đ</v>
          </cell>
          <cell r="AG911" t="str">
            <v>CN</v>
          </cell>
          <cell r="AH911">
            <v>8</v>
          </cell>
          <cell r="AI911">
            <v>8</v>
          </cell>
          <cell r="AJ911">
            <v>8</v>
          </cell>
          <cell r="AN911">
            <v>80</v>
          </cell>
          <cell r="AO911">
            <v>96</v>
          </cell>
          <cell r="AP911">
            <v>0</v>
          </cell>
          <cell r="AQ911">
            <v>0</v>
          </cell>
          <cell r="AR911">
            <v>0</v>
          </cell>
          <cell r="AS911">
            <v>0</v>
          </cell>
          <cell r="AT911">
            <v>0</v>
          </cell>
          <cell r="AU911">
            <v>0</v>
          </cell>
          <cell r="AV911">
            <v>0</v>
          </cell>
          <cell r="AW911">
            <v>0</v>
          </cell>
          <cell r="AX911">
            <v>0</v>
          </cell>
          <cell r="AY911">
            <v>0</v>
          </cell>
          <cell r="AZ911">
            <v>0</v>
          </cell>
          <cell r="BA911">
            <v>16</v>
          </cell>
          <cell r="BB911">
            <v>0</v>
          </cell>
          <cell r="BC911">
            <v>0</v>
          </cell>
          <cell r="BD911">
            <v>0</v>
          </cell>
          <cell r="BE911">
            <v>0</v>
          </cell>
          <cell r="BF911">
            <v>0</v>
          </cell>
          <cell r="BG911">
            <v>192</v>
          </cell>
          <cell r="BH911">
            <v>2</v>
          </cell>
          <cell r="BI911">
            <v>2</v>
          </cell>
          <cell r="BJ911">
            <v>-3</v>
          </cell>
          <cell r="BL911">
            <v>0</v>
          </cell>
          <cell r="BM911">
            <v>0</v>
          </cell>
          <cell r="BN911">
            <v>0</v>
          </cell>
          <cell r="BO911">
            <v>0</v>
          </cell>
          <cell r="BP911">
            <v>1.5</v>
          </cell>
          <cell r="BQ911">
            <v>3</v>
          </cell>
          <cell r="BR911">
            <v>0</v>
          </cell>
          <cell r="BS911">
            <v>3</v>
          </cell>
          <cell r="BT911">
            <v>3</v>
          </cell>
          <cell r="BU911">
            <v>0</v>
          </cell>
          <cell r="BV911">
            <v>0</v>
          </cell>
          <cell r="BW911">
            <v>3</v>
          </cell>
          <cell r="BX911">
            <v>3</v>
          </cell>
          <cell r="BY911">
            <v>3</v>
          </cell>
          <cell r="BZ911">
            <v>3</v>
          </cell>
          <cell r="CA911">
            <v>3</v>
          </cell>
          <cell r="CB911">
            <v>3</v>
          </cell>
          <cell r="CC911">
            <v>8</v>
          </cell>
          <cell r="CD911">
            <v>4</v>
          </cell>
          <cell r="CE911">
            <v>4</v>
          </cell>
          <cell r="CF911">
            <v>4</v>
          </cell>
          <cell r="CG911">
            <v>4</v>
          </cell>
          <cell r="CH911">
            <v>1.5</v>
          </cell>
          <cell r="CI911">
            <v>1.5</v>
          </cell>
          <cell r="CJ911">
            <v>0</v>
          </cell>
          <cell r="CK911">
            <v>1.5</v>
          </cell>
          <cell r="CL911">
            <v>1.5</v>
          </cell>
          <cell r="CM911">
            <v>1.5</v>
          </cell>
          <cell r="CR911">
            <v>0</v>
          </cell>
          <cell r="CS911">
            <v>0</v>
          </cell>
          <cell r="CT911">
            <v>52</v>
          </cell>
          <cell r="CU911">
            <v>8</v>
          </cell>
          <cell r="CV911">
            <v>0</v>
          </cell>
          <cell r="CZ911">
            <v>60</v>
          </cell>
        </row>
        <row r="912">
          <cell r="C912" t="str">
            <v>04449</v>
          </cell>
          <cell r="D912" t="str">
            <v>Lê Văn Vũ</v>
          </cell>
          <cell r="E912" t="str">
            <v>Production</v>
          </cell>
          <cell r="F912" t="str">
            <v>Die Cut</v>
          </cell>
          <cell r="G912" t="str">
            <v>Worker</v>
          </cell>
          <cell r="H912">
            <v>45714</v>
          </cell>
          <cell r="I912">
            <v>8</v>
          </cell>
          <cell r="J912">
            <v>8</v>
          </cell>
          <cell r="K912">
            <v>8</v>
          </cell>
          <cell r="L912" t="str">
            <v>CN</v>
          </cell>
          <cell r="M912" t="str">
            <v>AL8</v>
          </cell>
          <cell r="N912" t="str">
            <v>Đ</v>
          </cell>
          <cell r="O912" t="str">
            <v>Đ</v>
          </cell>
          <cell r="P912" t="str">
            <v>Đ</v>
          </cell>
          <cell r="Q912" t="str">
            <v>Đ</v>
          </cell>
          <cell r="R912" t="str">
            <v>Đ</v>
          </cell>
          <cell r="S912" t="str">
            <v>CN</v>
          </cell>
          <cell r="T912">
            <v>8</v>
          </cell>
          <cell r="U912">
            <v>8</v>
          </cell>
          <cell r="V912">
            <v>8</v>
          </cell>
          <cell r="W912">
            <v>8</v>
          </cell>
          <cell r="X912">
            <v>8</v>
          </cell>
          <cell r="Y912">
            <v>8</v>
          </cell>
          <cell r="Z912" t="str">
            <v>CN</v>
          </cell>
          <cell r="AA912" t="str">
            <v>Đ</v>
          </cell>
          <cell r="AB912" t="str">
            <v>Đ</v>
          </cell>
          <cell r="AC912" t="str">
            <v>Đ</v>
          </cell>
          <cell r="AD912" t="str">
            <v>Đ</v>
          </cell>
          <cell r="AE912" t="str">
            <v>Đ</v>
          </cell>
          <cell r="AF912" t="str">
            <v>Đ</v>
          </cell>
          <cell r="AG912" t="str">
            <v>CN</v>
          </cell>
          <cell r="AH912">
            <v>8</v>
          </cell>
          <cell r="AI912">
            <v>8</v>
          </cell>
          <cell r="AJ912">
            <v>8</v>
          </cell>
          <cell r="AN912">
            <v>88</v>
          </cell>
          <cell r="AO912">
            <v>96</v>
          </cell>
          <cell r="AP912">
            <v>0</v>
          </cell>
          <cell r="AQ912">
            <v>0</v>
          </cell>
          <cell r="AR912">
            <v>0</v>
          </cell>
          <cell r="AS912">
            <v>0</v>
          </cell>
          <cell r="AT912">
            <v>0</v>
          </cell>
          <cell r="AU912">
            <v>0</v>
          </cell>
          <cell r="AV912">
            <v>0</v>
          </cell>
          <cell r="AW912">
            <v>0</v>
          </cell>
          <cell r="AX912">
            <v>0</v>
          </cell>
          <cell r="AY912">
            <v>0</v>
          </cell>
          <cell r="AZ912">
            <v>0</v>
          </cell>
          <cell r="BA912">
            <v>8</v>
          </cell>
          <cell r="BB912">
            <v>0</v>
          </cell>
          <cell r="BC912">
            <v>0</v>
          </cell>
          <cell r="BD912">
            <v>0</v>
          </cell>
          <cell r="BE912">
            <v>0</v>
          </cell>
          <cell r="BF912">
            <v>0</v>
          </cell>
          <cell r="BG912">
            <v>192</v>
          </cell>
          <cell r="BH912">
            <v>1</v>
          </cell>
          <cell r="BI912">
            <v>1</v>
          </cell>
          <cell r="BJ912">
            <v>-3</v>
          </cell>
          <cell r="BL912">
            <v>0</v>
          </cell>
          <cell r="BM912">
            <v>0</v>
          </cell>
          <cell r="BN912">
            <v>0</v>
          </cell>
          <cell r="BO912">
            <v>0</v>
          </cell>
          <cell r="BP912">
            <v>0</v>
          </cell>
          <cell r="BQ912">
            <v>3</v>
          </cell>
          <cell r="BR912">
            <v>0</v>
          </cell>
          <cell r="BS912">
            <v>3</v>
          </cell>
          <cell r="BT912">
            <v>4</v>
          </cell>
          <cell r="BU912">
            <v>0</v>
          </cell>
          <cell r="BV912">
            <v>0</v>
          </cell>
          <cell r="BW912">
            <v>3</v>
          </cell>
          <cell r="BX912">
            <v>3</v>
          </cell>
          <cell r="BY912">
            <v>3</v>
          </cell>
          <cell r="BZ912">
            <v>3</v>
          </cell>
          <cell r="CA912">
            <v>0</v>
          </cell>
          <cell r="CB912">
            <v>3</v>
          </cell>
          <cell r="CC912">
            <v>3</v>
          </cell>
          <cell r="CD912">
            <v>4</v>
          </cell>
          <cell r="CE912">
            <v>4</v>
          </cell>
          <cell r="CF912">
            <v>4</v>
          </cell>
          <cell r="CG912">
            <v>4</v>
          </cell>
          <cell r="CH912">
            <v>1.5</v>
          </cell>
          <cell r="CI912">
            <v>1.5</v>
          </cell>
          <cell r="CJ912">
            <v>0</v>
          </cell>
          <cell r="CK912">
            <v>1.5</v>
          </cell>
          <cell r="CL912">
            <v>0</v>
          </cell>
          <cell r="CM912">
            <v>1.5</v>
          </cell>
          <cell r="CR912">
            <v>0</v>
          </cell>
          <cell r="CS912">
            <v>0</v>
          </cell>
          <cell r="CT912">
            <v>47</v>
          </cell>
          <cell r="CU912">
            <v>3</v>
          </cell>
          <cell r="CV912">
            <v>0</v>
          </cell>
          <cell r="CZ912">
            <v>50</v>
          </cell>
        </row>
        <row r="913">
          <cell r="C913" t="str">
            <v>04451</v>
          </cell>
          <cell r="D913" t="str">
            <v>Lê Hùng Em</v>
          </cell>
          <cell r="E913" t="str">
            <v>Production</v>
          </cell>
          <cell r="F913" t="str">
            <v>Packing</v>
          </cell>
          <cell r="G913" t="str">
            <v>Worker</v>
          </cell>
          <cell r="H913">
            <v>45714</v>
          </cell>
          <cell r="I913" t="str">
            <v>UP4</v>
          </cell>
          <cell r="J913" t="str">
            <v>SL</v>
          </cell>
          <cell r="K913">
            <v>8</v>
          </cell>
          <cell r="L913" t="str">
            <v>CN</v>
          </cell>
          <cell r="M913" t="str">
            <v>Đ</v>
          </cell>
          <cell r="N913" t="str">
            <v>Đ</v>
          </cell>
          <cell r="O913" t="str">
            <v>Đ</v>
          </cell>
          <cell r="P913" t="str">
            <v>Đ</v>
          </cell>
          <cell r="Q913" t="str">
            <v>AL8</v>
          </cell>
          <cell r="R913" t="str">
            <v>Đ</v>
          </cell>
          <cell r="S913" t="str">
            <v>CN</v>
          </cell>
          <cell r="T913" t="str">
            <v>UP8</v>
          </cell>
          <cell r="U913">
            <v>8</v>
          </cell>
          <cell r="V913">
            <v>8</v>
          </cell>
          <cell r="W913">
            <v>8</v>
          </cell>
          <cell r="X913">
            <v>8</v>
          </cell>
          <cell r="Y913">
            <v>8</v>
          </cell>
          <cell r="Z913" t="str">
            <v>CN</v>
          </cell>
          <cell r="AA913" t="str">
            <v>Đ</v>
          </cell>
          <cell r="AB913" t="str">
            <v>Đ</v>
          </cell>
          <cell r="AC913" t="str">
            <v>Đ</v>
          </cell>
          <cell r="AD913" t="str">
            <v>Đ</v>
          </cell>
          <cell r="AE913" t="str">
            <v>Đ</v>
          </cell>
          <cell r="AF913" t="str">
            <v>Đ</v>
          </cell>
          <cell r="AG913" t="str">
            <v>CN</v>
          </cell>
          <cell r="AH913">
            <v>8</v>
          </cell>
          <cell r="AI913">
            <v>8</v>
          </cell>
          <cell r="AJ913" t="str">
            <v>UP8</v>
          </cell>
          <cell r="AN913">
            <v>88</v>
          </cell>
          <cell r="AO913">
            <v>68</v>
          </cell>
          <cell r="AP913">
            <v>0</v>
          </cell>
          <cell r="AQ913">
            <v>1</v>
          </cell>
          <cell r="AR913">
            <v>4</v>
          </cell>
          <cell r="AS913">
            <v>20</v>
          </cell>
          <cell r="AT913">
            <v>0</v>
          </cell>
          <cell r="AU913">
            <v>0</v>
          </cell>
          <cell r="AV913">
            <v>0</v>
          </cell>
          <cell r="AW913">
            <v>0</v>
          </cell>
          <cell r="AX913">
            <v>0</v>
          </cell>
          <cell r="AY913">
            <v>0</v>
          </cell>
          <cell r="AZ913">
            <v>0</v>
          </cell>
          <cell r="BA913">
            <v>8</v>
          </cell>
          <cell r="BB913">
            <v>0</v>
          </cell>
          <cell r="BC913">
            <v>0</v>
          </cell>
          <cell r="BD913">
            <v>0</v>
          </cell>
          <cell r="BE913">
            <v>0</v>
          </cell>
          <cell r="BF913">
            <v>0</v>
          </cell>
          <cell r="BG913">
            <v>164</v>
          </cell>
          <cell r="BH913">
            <v>1</v>
          </cell>
          <cell r="BI913">
            <v>1</v>
          </cell>
          <cell r="BJ913">
            <v>-1</v>
          </cell>
          <cell r="BL913">
            <v>0</v>
          </cell>
          <cell r="BM913">
            <v>0</v>
          </cell>
          <cell r="BN913">
            <v>0</v>
          </cell>
          <cell r="BO913">
            <v>0</v>
          </cell>
          <cell r="BP913">
            <v>1.5</v>
          </cell>
          <cell r="BQ913">
            <v>3</v>
          </cell>
          <cell r="BR913">
            <v>0</v>
          </cell>
          <cell r="BS913">
            <v>3</v>
          </cell>
          <cell r="BT913">
            <v>0</v>
          </cell>
          <cell r="BU913">
            <v>0</v>
          </cell>
          <cell r="BV913">
            <v>0</v>
          </cell>
          <cell r="BW913">
            <v>0</v>
          </cell>
          <cell r="BX913">
            <v>3</v>
          </cell>
          <cell r="BY913">
            <v>0</v>
          </cell>
          <cell r="BZ913">
            <v>3</v>
          </cell>
          <cell r="CA913">
            <v>3</v>
          </cell>
          <cell r="CB913">
            <v>3</v>
          </cell>
          <cell r="CC913">
            <v>8</v>
          </cell>
          <cell r="CD913">
            <v>4</v>
          </cell>
          <cell r="CE913">
            <v>4</v>
          </cell>
          <cell r="CF913">
            <v>0</v>
          </cell>
          <cell r="CG913">
            <v>4</v>
          </cell>
          <cell r="CH913">
            <v>1.5</v>
          </cell>
          <cell r="CI913">
            <v>1.5</v>
          </cell>
          <cell r="CJ913">
            <v>0</v>
          </cell>
          <cell r="CK913">
            <v>1.5</v>
          </cell>
          <cell r="CL913">
            <v>1.5</v>
          </cell>
          <cell r="CM913">
            <v>0</v>
          </cell>
          <cell r="CR913">
            <v>0</v>
          </cell>
          <cell r="CS913">
            <v>0</v>
          </cell>
          <cell r="CT913">
            <v>37.5</v>
          </cell>
          <cell r="CU913">
            <v>8</v>
          </cell>
          <cell r="CV913">
            <v>0</v>
          </cell>
          <cell r="CZ913">
            <v>45.5</v>
          </cell>
        </row>
        <row r="914">
          <cell r="C914" t="str">
            <v>04453</v>
          </cell>
          <cell r="D914" t="str">
            <v>Lê Thị Huyền Chân</v>
          </cell>
          <cell r="E914" t="str">
            <v>Production</v>
          </cell>
          <cell r="F914" t="str">
            <v>Packing</v>
          </cell>
          <cell r="G914" t="str">
            <v>Worker</v>
          </cell>
          <cell r="H914">
            <v>45714</v>
          </cell>
          <cell r="I914">
            <v>8</v>
          </cell>
          <cell r="J914">
            <v>8</v>
          </cell>
          <cell r="K914">
            <v>8</v>
          </cell>
          <cell r="L914" t="str">
            <v>CN</v>
          </cell>
          <cell r="M914" t="str">
            <v>Đ</v>
          </cell>
          <cell r="N914" t="str">
            <v>Đ</v>
          </cell>
          <cell r="O914" t="str">
            <v>Đ</v>
          </cell>
          <cell r="P914" t="str">
            <v>Đ</v>
          </cell>
          <cell r="Q914" t="str">
            <v>Đ</v>
          </cell>
          <cell r="R914" t="str">
            <v>Đ</v>
          </cell>
          <cell r="S914" t="str">
            <v>CN</v>
          </cell>
          <cell r="T914">
            <v>8</v>
          </cell>
          <cell r="U914">
            <v>8</v>
          </cell>
          <cell r="V914">
            <v>8</v>
          </cell>
          <cell r="W914">
            <v>8</v>
          </cell>
          <cell r="X914">
            <v>8</v>
          </cell>
          <cell r="Y914">
            <v>8</v>
          </cell>
          <cell r="Z914" t="str">
            <v>CN</v>
          </cell>
          <cell r="AA914" t="str">
            <v>Đ</v>
          </cell>
          <cell r="AB914" t="str">
            <v>Đ</v>
          </cell>
          <cell r="AC914" t="str">
            <v>Đ</v>
          </cell>
          <cell r="AD914" t="str">
            <v>Đ</v>
          </cell>
          <cell r="AE914" t="str">
            <v>Đ</v>
          </cell>
          <cell r="AF914" t="str">
            <v>Đ</v>
          </cell>
          <cell r="AG914" t="str">
            <v>CN</v>
          </cell>
          <cell r="AH914">
            <v>8</v>
          </cell>
          <cell r="AI914">
            <v>8</v>
          </cell>
          <cell r="AJ914">
            <v>8</v>
          </cell>
          <cell r="AN914">
            <v>96</v>
          </cell>
          <cell r="AO914">
            <v>96</v>
          </cell>
          <cell r="AP914">
            <v>0</v>
          </cell>
          <cell r="AQ914">
            <v>0</v>
          </cell>
          <cell r="AR914">
            <v>0</v>
          </cell>
          <cell r="AS914">
            <v>0</v>
          </cell>
          <cell r="AT914">
            <v>0</v>
          </cell>
          <cell r="AU914">
            <v>0</v>
          </cell>
          <cell r="AV914">
            <v>0</v>
          </cell>
          <cell r="AW914">
            <v>0</v>
          </cell>
          <cell r="AX914">
            <v>0</v>
          </cell>
          <cell r="AY914">
            <v>0</v>
          </cell>
          <cell r="AZ914">
            <v>0</v>
          </cell>
          <cell r="BA914">
            <v>0</v>
          </cell>
          <cell r="BB914">
            <v>0</v>
          </cell>
          <cell r="BC914">
            <v>0</v>
          </cell>
          <cell r="BD914">
            <v>0</v>
          </cell>
          <cell r="BE914">
            <v>0</v>
          </cell>
          <cell r="BF914">
            <v>0</v>
          </cell>
          <cell r="BG914">
            <v>192</v>
          </cell>
          <cell r="BH914">
            <v>0</v>
          </cell>
          <cell r="BI914">
            <v>0</v>
          </cell>
          <cell r="BJ914">
            <v>1.5</v>
          </cell>
          <cell r="BL914">
            <v>1.5</v>
          </cell>
          <cell r="BM914">
            <v>1.5</v>
          </cell>
          <cell r="BN914">
            <v>1.5</v>
          </cell>
          <cell r="BO914">
            <v>0</v>
          </cell>
          <cell r="BP914">
            <v>1.5</v>
          </cell>
          <cell r="BQ914">
            <v>0</v>
          </cell>
          <cell r="BR914">
            <v>0</v>
          </cell>
          <cell r="BS914">
            <v>4</v>
          </cell>
          <cell r="BT914">
            <v>4</v>
          </cell>
          <cell r="BU914">
            <v>4</v>
          </cell>
          <cell r="BV914">
            <v>0</v>
          </cell>
          <cell r="BW914">
            <v>3</v>
          </cell>
          <cell r="BX914">
            <v>3</v>
          </cell>
          <cell r="BY914">
            <v>3</v>
          </cell>
          <cell r="BZ914">
            <v>3</v>
          </cell>
          <cell r="CA914">
            <v>3</v>
          </cell>
          <cell r="CB914">
            <v>3</v>
          </cell>
          <cell r="CC914">
            <v>8</v>
          </cell>
          <cell r="CD914">
            <v>4</v>
          </cell>
          <cell r="CE914">
            <v>4</v>
          </cell>
          <cell r="CF914">
            <v>4</v>
          </cell>
          <cell r="CG914">
            <v>4</v>
          </cell>
          <cell r="CH914">
            <v>4</v>
          </cell>
          <cell r="CI914">
            <v>4</v>
          </cell>
          <cell r="CJ914">
            <v>0</v>
          </cell>
          <cell r="CK914">
            <v>3</v>
          </cell>
          <cell r="CL914">
            <v>3</v>
          </cell>
          <cell r="CM914">
            <v>3</v>
          </cell>
          <cell r="CR914">
            <v>0</v>
          </cell>
          <cell r="CS914">
            <v>0</v>
          </cell>
          <cell r="CT914">
            <v>69</v>
          </cell>
          <cell r="CU914">
            <v>8</v>
          </cell>
          <cell r="CV914">
            <v>0</v>
          </cell>
          <cell r="CZ914">
            <v>77</v>
          </cell>
        </row>
        <row r="915">
          <cell r="C915" t="str">
            <v>04454</v>
          </cell>
          <cell r="D915" t="str">
            <v xml:space="preserve">Bùi Thị Ngọc Thi </v>
          </cell>
          <cell r="E915" t="str">
            <v>Production</v>
          </cell>
          <cell r="F915" t="str">
            <v>Logo</v>
          </cell>
          <cell r="G915" t="str">
            <v>Worker</v>
          </cell>
          <cell r="H915">
            <v>45714</v>
          </cell>
          <cell r="I915" t="str">
            <v>Đ</v>
          </cell>
          <cell r="J915" t="str">
            <v>Đ</v>
          </cell>
          <cell r="K915" t="str">
            <v>Đ</v>
          </cell>
          <cell r="L915" t="str">
            <v>CN</v>
          </cell>
          <cell r="M915">
            <v>8</v>
          </cell>
          <cell r="N915" t="str">
            <v>AL8</v>
          </cell>
          <cell r="O915">
            <v>8</v>
          </cell>
          <cell r="P915">
            <v>8</v>
          </cell>
          <cell r="Q915">
            <v>8</v>
          </cell>
          <cell r="R915">
            <v>8</v>
          </cell>
          <cell r="S915" t="str">
            <v>CN</v>
          </cell>
          <cell r="T915" t="str">
            <v>Đ</v>
          </cell>
          <cell r="U915" t="str">
            <v>Đ</v>
          </cell>
          <cell r="V915" t="str">
            <v>Đ</v>
          </cell>
          <cell r="W915" t="str">
            <v>Đ</v>
          </cell>
          <cell r="X915" t="str">
            <v>Đ</v>
          </cell>
          <cell r="Y915" t="str">
            <v>Đ</v>
          </cell>
          <cell r="Z915" t="str">
            <v>CN</v>
          </cell>
          <cell r="AA915">
            <v>8</v>
          </cell>
          <cell r="AB915">
            <v>8</v>
          </cell>
          <cell r="AC915">
            <v>8</v>
          </cell>
          <cell r="AD915">
            <v>8</v>
          </cell>
          <cell r="AE915">
            <v>8</v>
          </cell>
          <cell r="AF915">
            <v>8</v>
          </cell>
          <cell r="AG915" t="str">
            <v>CN</v>
          </cell>
          <cell r="AH915" t="str">
            <v>Đ</v>
          </cell>
          <cell r="AI915" t="str">
            <v>Đ</v>
          </cell>
          <cell r="AJ915" t="str">
            <v>Đ</v>
          </cell>
          <cell r="AN915">
            <v>96</v>
          </cell>
          <cell r="AO915">
            <v>88</v>
          </cell>
          <cell r="AP915">
            <v>0</v>
          </cell>
          <cell r="AQ915">
            <v>0</v>
          </cell>
          <cell r="AR915">
            <v>0</v>
          </cell>
          <cell r="AS915">
            <v>0</v>
          </cell>
          <cell r="AT915">
            <v>0</v>
          </cell>
          <cell r="AU915">
            <v>0</v>
          </cell>
          <cell r="AV915">
            <v>0</v>
          </cell>
          <cell r="AW915">
            <v>0</v>
          </cell>
          <cell r="AX915">
            <v>0</v>
          </cell>
          <cell r="AY915">
            <v>0</v>
          </cell>
          <cell r="AZ915">
            <v>0</v>
          </cell>
          <cell r="BA915">
            <v>8</v>
          </cell>
          <cell r="BB915">
            <v>0</v>
          </cell>
          <cell r="BC915">
            <v>0</v>
          </cell>
          <cell r="BD915">
            <v>0</v>
          </cell>
          <cell r="BE915">
            <v>0</v>
          </cell>
          <cell r="BF915">
            <v>0</v>
          </cell>
          <cell r="BG915">
            <v>192</v>
          </cell>
          <cell r="BH915">
            <v>1</v>
          </cell>
          <cell r="BI915">
            <v>1</v>
          </cell>
          <cell r="BJ915">
            <v>1.5</v>
          </cell>
          <cell r="BL915">
            <v>0</v>
          </cell>
          <cell r="BM915">
            <v>0</v>
          </cell>
          <cell r="BN915">
            <v>0</v>
          </cell>
          <cell r="BO915">
            <v>0</v>
          </cell>
          <cell r="BP915">
            <v>1.5</v>
          </cell>
          <cell r="BQ915">
            <v>0</v>
          </cell>
          <cell r="BR915">
            <v>0</v>
          </cell>
          <cell r="BS915">
            <v>3</v>
          </cell>
          <cell r="BT915">
            <v>3</v>
          </cell>
          <cell r="BU915">
            <v>0</v>
          </cell>
          <cell r="BV915">
            <v>0</v>
          </cell>
          <cell r="BW915">
            <v>3</v>
          </cell>
          <cell r="BX915">
            <v>0</v>
          </cell>
          <cell r="BY915">
            <v>0</v>
          </cell>
          <cell r="BZ915">
            <v>4</v>
          </cell>
          <cell r="CA915">
            <v>4</v>
          </cell>
          <cell r="CB915">
            <v>4</v>
          </cell>
          <cell r="CC915">
            <v>0</v>
          </cell>
          <cell r="CD915">
            <v>4</v>
          </cell>
          <cell r="CE915">
            <v>4</v>
          </cell>
          <cell r="CF915">
            <v>0</v>
          </cell>
          <cell r="CG915">
            <v>4</v>
          </cell>
          <cell r="CH915">
            <v>0</v>
          </cell>
          <cell r="CI915">
            <v>4</v>
          </cell>
          <cell r="CJ915">
            <v>8</v>
          </cell>
          <cell r="CK915">
            <v>1.5</v>
          </cell>
          <cell r="CL915">
            <v>1.5</v>
          </cell>
          <cell r="CM915">
            <v>1.5</v>
          </cell>
          <cell r="CR915">
            <v>0</v>
          </cell>
          <cell r="CS915">
            <v>0</v>
          </cell>
          <cell r="CT915">
            <v>43</v>
          </cell>
          <cell r="CU915">
            <v>8</v>
          </cell>
          <cell r="CV915">
            <v>0</v>
          </cell>
          <cell r="CZ915">
            <v>51</v>
          </cell>
        </row>
        <row r="916">
          <cell r="C916" t="str">
            <v>04455</v>
          </cell>
          <cell r="D916" t="str">
            <v>Nguyễn Trần Cẩm Hằng</v>
          </cell>
          <cell r="E916" t="str">
            <v>Production</v>
          </cell>
          <cell r="F916" t="str">
            <v>Logo</v>
          </cell>
          <cell r="G916" t="str">
            <v>Worker</v>
          </cell>
          <cell r="H916">
            <v>45714</v>
          </cell>
          <cell r="I916">
            <v>8</v>
          </cell>
          <cell r="J916">
            <v>8</v>
          </cell>
          <cell r="K916">
            <v>8</v>
          </cell>
          <cell r="L916" t="str">
            <v>CN</v>
          </cell>
          <cell r="M916" t="str">
            <v>Đ</v>
          </cell>
          <cell r="N916" t="str">
            <v>Đ</v>
          </cell>
          <cell r="O916" t="str">
            <v>Đ</v>
          </cell>
          <cell r="P916" t="str">
            <v>Đ</v>
          </cell>
          <cell r="Q916" t="str">
            <v>Đ</v>
          </cell>
          <cell r="R916" t="str">
            <v>Đ</v>
          </cell>
          <cell r="S916" t="str">
            <v>CN</v>
          </cell>
          <cell r="T916" t="str">
            <v>AL8</v>
          </cell>
          <cell r="U916">
            <v>8</v>
          </cell>
          <cell r="V916">
            <v>8</v>
          </cell>
          <cell r="W916">
            <v>8</v>
          </cell>
          <cell r="X916">
            <v>8</v>
          </cell>
          <cell r="Y916">
            <v>8</v>
          </cell>
          <cell r="Z916" t="str">
            <v>CN</v>
          </cell>
          <cell r="AA916" t="str">
            <v>Đ</v>
          </cell>
          <cell r="AB916" t="str">
            <v>Đ</v>
          </cell>
          <cell r="AC916" t="str">
            <v>Đ</v>
          </cell>
          <cell r="AD916" t="str">
            <v>Đ</v>
          </cell>
          <cell r="AE916" t="str">
            <v>Đ</v>
          </cell>
          <cell r="AF916" t="str">
            <v>Đ</v>
          </cell>
          <cell r="AG916" t="str">
            <v>CN</v>
          </cell>
          <cell r="AH916">
            <v>8</v>
          </cell>
          <cell r="AI916">
            <v>8</v>
          </cell>
          <cell r="AJ916" t="str">
            <v>AL8</v>
          </cell>
          <cell r="AN916">
            <v>96</v>
          </cell>
          <cell r="AO916">
            <v>80</v>
          </cell>
          <cell r="AP916">
            <v>0</v>
          </cell>
          <cell r="AQ916">
            <v>0</v>
          </cell>
          <cell r="AR916">
            <v>0</v>
          </cell>
          <cell r="AS916">
            <v>0</v>
          </cell>
          <cell r="AT916">
            <v>0</v>
          </cell>
          <cell r="AU916">
            <v>0</v>
          </cell>
          <cell r="AV916">
            <v>0</v>
          </cell>
          <cell r="AW916">
            <v>0</v>
          </cell>
          <cell r="AX916">
            <v>0</v>
          </cell>
          <cell r="AY916">
            <v>0</v>
          </cell>
          <cell r="AZ916">
            <v>0</v>
          </cell>
          <cell r="BA916">
            <v>16</v>
          </cell>
          <cell r="BB916">
            <v>0</v>
          </cell>
          <cell r="BC916">
            <v>0</v>
          </cell>
          <cell r="BD916">
            <v>0</v>
          </cell>
          <cell r="BE916">
            <v>0</v>
          </cell>
          <cell r="BF916">
            <v>0</v>
          </cell>
          <cell r="BG916">
            <v>192</v>
          </cell>
          <cell r="BH916">
            <v>2</v>
          </cell>
          <cell r="BI916">
            <v>2</v>
          </cell>
          <cell r="BJ916">
            <v>4</v>
          </cell>
          <cell r="BL916">
            <v>0</v>
          </cell>
          <cell r="BM916">
            <v>0</v>
          </cell>
          <cell r="BN916">
            <v>0</v>
          </cell>
          <cell r="BO916">
            <v>0</v>
          </cell>
          <cell r="BP916">
            <v>1.5</v>
          </cell>
          <cell r="BQ916">
            <v>3</v>
          </cell>
          <cell r="BR916">
            <v>0</v>
          </cell>
          <cell r="BS916">
            <v>3</v>
          </cell>
          <cell r="BT916">
            <v>3</v>
          </cell>
          <cell r="BU916">
            <v>0</v>
          </cell>
          <cell r="BV916">
            <v>0</v>
          </cell>
          <cell r="BW916">
            <v>0</v>
          </cell>
          <cell r="BX916">
            <v>3</v>
          </cell>
          <cell r="BY916">
            <v>3</v>
          </cell>
          <cell r="BZ916">
            <v>3</v>
          </cell>
          <cell r="CA916">
            <v>3</v>
          </cell>
          <cell r="CB916">
            <v>3</v>
          </cell>
          <cell r="CC916">
            <v>8</v>
          </cell>
          <cell r="CD916">
            <v>4</v>
          </cell>
          <cell r="CE916">
            <v>4</v>
          </cell>
          <cell r="CF916">
            <v>4</v>
          </cell>
          <cell r="CG916">
            <v>4</v>
          </cell>
          <cell r="CH916">
            <v>1.5</v>
          </cell>
          <cell r="CI916">
            <v>1.5</v>
          </cell>
          <cell r="CJ916">
            <v>0</v>
          </cell>
          <cell r="CK916">
            <v>1.5</v>
          </cell>
          <cell r="CL916">
            <v>1.5</v>
          </cell>
          <cell r="CM916">
            <v>0</v>
          </cell>
          <cell r="CR916">
            <v>0</v>
          </cell>
          <cell r="CS916">
            <v>0</v>
          </cell>
          <cell r="CT916">
            <v>47.5</v>
          </cell>
          <cell r="CU916">
            <v>8</v>
          </cell>
          <cell r="CV916">
            <v>0</v>
          </cell>
          <cell r="CZ916">
            <v>55.5</v>
          </cell>
        </row>
        <row r="917">
          <cell r="C917" t="str">
            <v>04458</v>
          </cell>
          <cell r="D917" t="str">
            <v>Lý Thanh Trọng</v>
          </cell>
          <cell r="E917" t="str">
            <v>Production</v>
          </cell>
          <cell r="F917" t="str">
            <v>Lamination</v>
          </cell>
          <cell r="G917" t="str">
            <v>Worker</v>
          </cell>
          <cell r="H917">
            <v>45714</v>
          </cell>
          <cell r="I917" t="str">
            <v>Đ</v>
          </cell>
          <cell r="J917" t="str">
            <v>Đ</v>
          </cell>
          <cell r="K917" t="str">
            <v>Đ</v>
          </cell>
          <cell r="L917" t="str">
            <v>CN</v>
          </cell>
          <cell r="M917">
            <v>8</v>
          </cell>
          <cell r="N917">
            <v>8</v>
          </cell>
          <cell r="O917">
            <v>8</v>
          </cell>
          <cell r="P917">
            <v>8</v>
          </cell>
          <cell r="Q917">
            <v>8</v>
          </cell>
          <cell r="R917">
            <v>8</v>
          </cell>
          <cell r="S917" t="str">
            <v>CN</v>
          </cell>
          <cell r="T917">
            <v>8</v>
          </cell>
          <cell r="U917">
            <v>8</v>
          </cell>
          <cell r="V917">
            <v>8</v>
          </cell>
          <cell r="W917">
            <v>8</v>
          </cell>
          <cell r="X917">
            <v>8</v>
          </cell>
          <cell r="Y917">
            <v>8</v>
          </cell>
          <cell r="Z917" t="str">
            <v>CN</v>
          </cell>
          <cell r="AA917">
            <v>8</v>
          </cell>
          <cell r="AB917">
            <v>8</v>
          </cell>
          <cell r="AC917">
            <v>8</v>
          </cell>
          <cell r="AD917">
            <v>8</v>
          </cell>
          <cell r="AE917">
            <v>8</v>
          </cell>
          <cell r="AF917" t="str">
            <v>CN</v>
          </cell>
          <cell r="AG917">
            <v>8</v>
          </cell>
          <cell r="AH917">
            <v>8</v>
          </cell>
          <cell r="AI917">
            <v>8</v>
          </cell>
          <cell r="AJ917">
            <v>8</v>
          </cell>
          <cell r="AN917">
            <v>24</v>
          </cell>
          <cell r="AO917">
            <v>168</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0</v>
          </cell>
          <cell r="BF917">
            <v>0</v>
          </cell>
          <cell r="BG917">
            <v>192</v>
          </cell>
          <cell r="BH917">
            <v>0</v>
          </cell>
          <cell r="BI917">
            <v>0</v>
          </cell>
          <cell r="BJ917">
            <v>5</v>
          </cell>
          <cell r="BL917">
            <v>0</v>
          </cell>
          <cell r="BM917">
            <v>0</v>
          </cell>
          <cell r="BN917">
            <v>0</v>
          </cell>
          <cell r="BO917">
            <v>0</v>
          </cell>
          <cell r="BP917">
            <v>0</v>
          </cell>
          <cell r="BQ917">
            <v>4</v>
          </cell>
          <cell r="BR917">
            <v>0</v>
          </cell>
          <cell r="BS917">
            <v>0</v>
          </cell>
          <cell r="BT917">
            <v>4</v>
          </cell>
          <cell r="BU917">
            <v>0</v>
          </cell>
          <cell r="BV917">
            <v>0</v>
          </cell>
          <cell r="BW917">
            <v>0</v>
          </cell>
          <cell r="BX917">
            <v>0</v>
          </cell>
          <cell r="BY917">
            <v>4</v>
          </cell>
          <cell r="BZ917">
            <v>4</v>
          </cell>
          <cell r="CA917">
            <v>4</v>
          </cell>
          <cell r="CB917">
            <v>0</v>
          </cell>
          <cell r="CC917">
            <v>0</v>
          </cell>
          <cell r="CD917">
            <v>0</v>
          </cell>
          <cell r="CE917">
            <v>4</v>
          </cell>
          <cell r="CF917">
            <v>0</v>
          </cell>
          <cell r="CG917">
            <v>0</v>
          </cell>
          <cell r="CH917">
            <v>4</v>
          </cell>
          <cell r="CI917">
            <v>0</v>
          </cell>
          <cell r="CJ917">
            <v>4</v>
          </cell>
          <cell r="CK917">
            <v>4</v>
          </cell>
          <cell r="CL917">
            <v>0</v>
          </cell>
          <cell r="CM917">
            <v>0</v>
          </cell>
          <cell r="CR917">
            <v>0</v>
          </cell>
          <cell r="CS917">
            <v>0</v>
          </cell>
          <cell r="CT917">
            <v>36</v>
          </cell>
          <cell r="CU917">
            <v>0</v>
          </cell>
          <cell r="CV917">
            <v>0</v>
          </cell>
          <cell r="CZ917">
            <v>36</v>
          </cell>
        </row>
        <row r="918">
          <cell r="C918" t="str">
            <v>04459</v>
          </cell>
          <cell r="D918" t="str">
            <v>Nguyễn Hoài Thư</v>
          </cell>
          <cell r="E918" t="str">
            <v>Production</v>
          </cell>
          <cell r="F918" t="str">
            <v>Lamination</v>
          </cell>
          <cell r="G918" t="str">
            <v>Worker</v>
          </cell>
          <cell r="H918">
            <v>45714</v>
          </cell>
          <cell r="I918">
            <v>8</v>
          </cell>
          <cell r="J918">
            <v>8</v>
          </cell>
          <cell r="K918">
            <v>8</v>
          </cell>
          <cell r="L918" t="str">
            <v>CN</v>
          </cell>
          <cell r="M918">
            <v>8</v>
          </cell>
          <cell r="N918" t="str">
            <v>AL8</v>
          </cell>
          <cell r="O918" t="str">
            <v>AL8</v>
          </cell>
          <cell r="P918" t="str">
            <v>UP8</v>
          </cell>
          <cell r="Q918" t="str">
            <v>UP4</v>
          </cell>
          <cell r="R918">
            <v>8</v>
          </cell>
          <cell r="S918" t="str">
            <v>CN</v>
          </cell>
          <cell r="T918" t="str">
            <v>Đ</v>
          </cell>
          <cell r="U918" t="str">
            <v>Đ</v>
          </cell>
          <cell r="V918" t="str">
            <v>Đ</v>
          </cell>
          <cell r="W918" t="str">
            <v>Đ</v>
          </cell>
          <cell r="X918" t="str">
            <v>Đ</v>
          </cell>
          <cell r="Y918" t="str">
            <v>Đ</v>
          </cell>
          <cell r="Z918" t="str">
            <v>CN</v>
          </cell>
          <cell r="AA918" t="str">
            <v>Đ</v>
          </cell>
          <cell r="AB918" t="str">
            <v>Đ</v>
          </cell>
          <cell r="AC918" t="str">
            <v>Đ</v>
          </cell>
          <cell r="AD918" t="str">
            <v>Đ</v>
          </cell>
          <cell r="AE918" t="str">
            <v>CN</v>
          </cell>
          <cell r="AF918">
            <v>8</v>
          </cell>
          <cell r="AG918" t="str">
            <v>Đ</v>
          </cell>
          <cell r="AH918" t="str">
            <v>Đ</v>
          </cell>
          <cell r="AI918" t="str">
            <v>Đ</v>
          </cell>
          <cell r="AJ918" t="str">
            <v>Đ</v>
          </cell>
          <cell r="AN918">
            <v>112</v>
          </cell>
          <cell r="AO918">
            <v>52</v>
          </cell>
          <cell r="AP918">
            <v>0</v>
          </cell>
          <cell r="AQ918">
            <v>0</v>
          </cell>
          <cell r="AR918">
            <v>4</v>
          </cell>
          <cell r="AS918">
            <v>12</v>
          </cell>
          <cell r="AT918">
            <v>0</v>
          </cell>
          <cell r="AU918">
            <v>0</v>
          </cell>
          <cell r="AV918">
            <v>0</v>
          </cell>
          <cell r="AW918">
            <v>0</v>
          </cell>
          <cell r="AX918">
            <v>0</v>
          </cell>
          <cell r="AY918">
            <v>0</v>
          </cell>
          <cell r="AZ918">
            <v>0</v>
          </cell>
          <cell r="BA918">
            <v>16</v>
          </cell>
          <cell r="BB918">
            <v>0</v>
          </cell>
          <cell r="BC918">
            <v>0</v>
          </cell>
          <cell r="BD918">
            <v>0</v>
          </cell>
          <cell r="BE918">
            <v>0</v>
          </cell>
          <cell r="BF918">
            <v>0</v>
          </cell>
          <cell r="BG918">
            <v>180</v>
          </cell>
          <cell r="BH918">
            <v>2</v>
          </cell>
          <cell r="BI918">
            <v>2</v>
          </cell>
          <cell r="BJ918">
            <v>-0.5</v>
          </cell>
          <cell r="BL918">
            <v>0</v>
          </cell>
          <cell r="BM918">
            <v>0</v>
          </cell>
          <cell r="BN918">
            <v>4</v>
          </cell>
          <cell r="BO918">
            <v>0</v>
          </cell>
          <cell r="BP918">
            <v>0</v>
          </cell>
          <cell r="BQ918">
            <v>0</v>
          </cell>
          <cell r="BR918">
            <v>0</v>
          </cell>
          <cell r="BS918">
            <v>0</v>
          </cell>
          <cell r="BT918">
            <v>0</v>
          </cell>
          <cell r="BU918">
            <v>4</v>
          </cell>
          <cell r="BV918">
            <v>0</v>
          </cell>
          <cell r="BW918">
            <v>0</v>
          </cell>
          <cell r="BX918">
            <v>4</v>
          </cell>
          <cell r="BY918">
            <v>4</v>
          </cell>
          <cell r="BZ918">
            <v>0</v>
          </cell>
          <cell r="CA918">
            <v>4</v>
          </cell>
          <cell r="CB918">
            <v>0</v>
          </cell>
          <cell r="CC918">
            <v>0</v>
          </cell>
          <cell r="CD918">
            <v>0</v>
          </cell>
          <cell r="CE918">
            <v>4</v>
          </cell>
          <cell r="CF918">
            <v>0</v>
          </cell>
          <cell r="CG918">
            <v>0</v>
          </cell>
          <cell r="CH918">
            <v>0</v>
          </cell>
          <cell r="CI918">
            <v>4</v>
          </cell>
          <cell r="CJ918">
            <v>4</v>
          </cell>
          <cell r="CK918">
            <v>0</v>
          </cell>
          <cell r="CL918">
            <v>4</v>
          </cell>
          <cell r="CM918">
            <v>0</v>
          </cell>
          <cell r="CR918">
            <v>0</v>
          </cell>
          <cell r="CS918">
            <v>0</v>
          </cell>
          <cell r="CT918">
            <v>36</v>
          </cell>
          <cell r="CU918">
            <v>0</v>
          </cell>
          <cell r="CV918">
            <v>0</v>
          </cell>
          <cell r="CZ918">
            <v>36</v>
          </cell>
        </row>
        <row r="919">
          <cell r="C919" t="str">
            <v>04460</v>
          </cell>
          <cell r="D919" t="str">
            <v>Nguyễn Bình Thuận</v>
          </cell>
          <cell r="E919" t="str">
            <v>Production</v>
          </cell>
          <cell r="F919" t="str">
            <v>Lamination</v>
          </cell>
          <cell r="G919" t="str">
            <v>Worker</v>
          </cell>
          <cell r="H919">
            <v>45714</v>
          </cell>
          <cell r="I919">
            <v>8</v>
          </cell>
          <cell r="J919">
            <v>8</v>
          </cell>
          <cell r="K919">
            <v>8</v>
          </cell>
          <cell r="L919" t="str">
            <v>CN</v>
          </cell>
          <cell r="M919" t="str">
            <v>Đ</v>
          </cell>
          <cell r="N919" t="str">
            <v>Đ</v>
          </cell>
          <cell r="O919" t="str">
            <v>Đ</v>
          </cell>
          <cell r="P919" t="str">
            <v>Đ</v>
          </cell>
          <cell r="Q919" t="str">
            <v>Đ</v>
          </cell>
          <cell r="R919" t="str">
            <v>Đ</v>
          </cell>
          <cell r="S919" t="str">
            <v>CN</v>
          </cell>
          <cell r="T919">
            <v>8</v>
          </cell>
          <cell r="U919">
            <v>8</v>
          </cell>
          <cell r="V919">
            <v>8</v>
          </cell>
          <cell r="W919">
            <v>8</v>
          </cell>
          <cell r="X919">
            <v>8</v>
          </cell>
          <cell r="Y919" t="str">
            <v>AL4</v>
          </cell>
          <cell r="Z919" t="str">
            <v>CN</v>
          </cell>
          <cell r="AA919">
            <v>8</v>
          </cell>
          <cell r="AB919">
            <v>8</v>
          </cell>
          <cell r="AC919">
            <v>8</v>
          </cell>
          <cell r="AD919">
            <v>8</v>
          </cell>
          <cell r="AE919" t="str">
            <v>Đ</v>
          </cell>
          <cell r="AF919" t="str">
            <v>Đ</v>
          </cell>
          <cell r="AG919" t="str">
            <v>CN</v>
          </cell>
          <cell r="AH919">
            <v>8</v>
          </cell>
          <cell r="AI919">
            <v>8</v>
          </cell>
          <cell r="AJ919">
            <v>8</v>
          </cell>
          <cell r="AN919">
            <v>64</v>
          </cell>
          <cell r="AO919">
            <v>124</v>
          </cell>
          <cell r="AP919">
            <v>4</v>
          </cell>
          <cell r="AQ919">
            <v>0</v>
          </cell>
          <cell r="AR919">
            <v>0</v>
          </cell>
          <cell r="AS919">
            <v>0</v>
          </cell>
          <cell r="AT919">
            <v>0</v>
          </cell>
          <cell r="AU919">
            <v>0</v>
          </cell>
          <cell r="AV919">
            <v>0</v>
          </cell>
          <cell r="AW919">
            <v>0</v>
          </cell>
          <cell r="AX919">
            <v>0</v>
          </cell>
          <cell r="AY919">
            <v>0</v>
          </cell>
          <cell r="AZ919">
            <v>0</v>
          </cell>
          <cell r="BA919">
            <v>4</v>
          </cell>
          <cell r="BB919">
            <v>0</v>
          </cell>
          <cell r="BC919">
            <v>0</v>
          </cell>
          <cell r="BD919">
            <v>0</v>
          </cell>
          <cell r="BE919">
            <v>0</v>
          </cell>
          <cell r="BF919">
            <v>0</v>
          </cell>
          <cell r="BG919">
            <v>192</v>
          </cell>
          <cell r="BH919">
            <v>0.5</v>
          </cell>
          <cell r="BI919">
            <v>0.5</v>
          </cell>
          <cell r="BJ919">
            <v>2</v>
          </cell>
          <cell r="BL919">
            <v>4</v>
          </cell>
          <cell r="BM919">
            <v>4</v>
          </cell>
          <cell r="BN919">
            <v>4</v>
          </cell>
          <cell r="BO919">
            <v>0</v>
          </cell>
          <cell r="BP919">
            <v>4</v>
          </cell>
          <cell r="BQ919">
            <v>0</v>
          </cell>
          <cell r="BR919">
            <v>0</v>
          </cell>
          <cell r="BS919">
            <v>0</v>
          </cell>
          <cell r="BT919">
            <v>4</v>
          </cell>
          <cell r="BU919">
            <v>0</v>
          </cell>
          <cell r="BV919">
            <v>0</v>
          </cell>
          <cell r="BW919">
            <v>4</v>
          </cell>
          <cell r="BX919">
            <v>0</v>
          </cell>
          <cell r="BY919">
            <v>0</v>
          </cell>
          <cell r="BZ919">
            <v>4</v>
          </cell>
          <cell r="CA919">
            <v>0</v>
          </cell>
          <cell r="CB919">
            <v>0</v>
          </cell>
          <cell r="CC919">
            <v>0</v>
          </cell>
          <cell r="CD919">
            <v>0</v>
          </cell>
          <cell r="CE919">
            <v>4</v>
          </cell>
          <cell r="CF919">
            <v>0</v>
          </cell>
          <cell r="CG919">
            <v>4</v>
          </cell>
          <cell r="CH919">
            <v>4</v>
          </cell>
          <cell r="CI919">
            <v>4</v>
          </cell>
          <cell r="CJ919">
            <v>0</v>
          </cell>
          <cell r="CK919">
            <v>4</v>
          </cell>
          <cell r="CL919">
            <v>0</v>
          </cell>
          <cell r="CM919">
            <v>0</v>
          </cell>
          <cell r="CR919">
            <v>0</v>
          </cell>
          <cell r="CS919">
            <v>0</v>
          </cell>
          <cell r="CT919">
            <v>48</v>
          </cell>
          <cell r="CU919">
            <v>0</v>
          </cell>
          <cell r="CV919">
            <v>0</v>
          </cell>
          <cell r="CZ919">
            <v>48</v>
          </cell>
        </row>
        <row r="920">
          <cell r="C920" t="str">
            <v>04462</v>
          </cell>
          <cell r="D920" t="str">
            <v>Danh Tiền</v>
          </cell>
          <cell r="E920" t="str">
            <v>Foaming</v>
          </cell>
          <cell r="F920" t="str">
            <v>FOAMING Splitting</v>
          </cell>
          <cell r="G920" t="str">
            <v>Worker</v>
          </cell>
          <cell r="H920">
            <v>45714</v>
          </cell>
          <cell r="I920">
            <v>8</v>
          </cell>
          <cell r="J920">
            <v>8</v>
          </cell>
          <cell r="K920">
            <v>8</v>
          </cell>
          <cell r="L920" t="str">
            <v>CN</v>
          </cell>
          <cell r="M920">
            <v>8</v>
          </cell>
          <cell r="N920">
            <v>8</v>
          </cell>
          <cell r="O920">
            <v>8</v>
          </cell>
          <cell r="P920">
            <v>8</v>
          </cell>
          <cell r="Q920">
            <v>8</v>
          </cell>
          <cell r="R920">
            <v>8</v>
          </cell>
          <cell r="S920" t="str">
            <v>CN</v>
          </cell>
          <cell r="T920">
            <v>8</v>
          </cell>
          <cell r="U920">
            <v>8</v>
          </cell>
          <cell r="V920">
            <v>8</v>
          </cell>
          <cell r="W920">
            <v>8</v>
          </cell>
          <cell r="X920">
            <v>8</v>
          </cell>
          <cell r="Y920">
            <v>8</v>
          </cell>
          <cell r="Z920" t="str">
            <v>CN</v>
          </cell>
          <cell r="AA920">
            <v>8</v>
          </cell>
          <cell r="AB920">
            <v>8</v>
          </cell>
          <cell r="AC920">
            <v>8</v>
          </cell>
          <cell r="AD920">
            <v>8</v>
          </cell>
          <cell r="AE920">
            <v>8</v>
          </cell>
          <cell r="AF920">
            <v>8</v>
          </cell>
          <cell r="AG920" t="str">
            <v>CN</v>
          </cell>
          <cell r="AH920">
            <v>8</v>
          </cell>
          <cell r="AI920">
            <v>8</v>
          </cell>
          <cell r="AJ920">
            <v>8</v>
          </cell>
          <cell r="AN920">
            <v>0</v>
          </cell>
          <cell r="AO920">
            <v>192</v>
          </cell>
          <cell r="AP920">
            <v>0</v>
          </cell>
          <cell r="AQ920">
            <v>0</v>
          </cell>
          <cell r="AR920">
            <v>0</v>
          </cell>
          <cell r="AS920">
            <v>0</v>
          </cell>
          <cell r="AT920">
            <v>0</v>
          </cell>
          <cell r="AU920">
            <v>0</v>
          </cell>
          <cell r="AV920">
            <v>0</v>
          </cell>
          <cell r="AW920">
            <v>0</v>
          </cell>
          <cell r="AX920">
            <v>0</v>
          </cell>
          <cell r="AY920">
            <v>0</v>
          </cell>
          <cell r="AZ920">
            <v>0</v>
          </cell>
          <cell r="BA920">
            <v>0</v>
          </cell>
          <cell r="BB920">
            <v>0</v>
          </cell>
          <cell r="BC920">
            <v>0</v>
          </cell>
          <cell r="BD920">
            <v>0</v>
          </cell>
          <cell r="BE920">
            <v>0</v>
          </cell>
          <cell r="BF920">
            <v>0</v>
          </cell>
          <cell r="BG920">
            <v>192</v>
          </cell>
          <cell r="BH920">
            <v>0</v>
          </cell>
          <cell r="BI920">
            <v>0</v>
          </cell>
          <cell r="BJ920">
            <v>-1.5</v>
          </cell>
          <cell r="BL920">
            <v>2</v>
          </cell>
          <cell r="BM920">
            <v>1</v>
          </cell>
          <cell r="BN920">
            <v>0</v>
          </cell>
          <cell r="BO920">
            <v>12</v>
          </cell>
          <cell r="BP920">
            <v>2</v>
          </cell>
          <cell r="BQ920">
            <v>2</v>
          </cell>
          <cell r="BR920">
            <v>2</v>
          </cell>
          <cell r="BS920">
            <v>2</v>
          </cell>
          <cell r="BT920">
            <v>2</v>
          </cell>
          <cell r="BU920">
            <v>1</v>
          </cell>
          <cell r="BV920">
            <v>12</v>
          </cell>
          <cell r="BW920">
            <v>3</v>
          </cell>
          <cell r="BX920">
            <v>3</v>
          </cell>
          <cell r="BY920">
            <v>3</v>
          </cell>
          <cell r="BZ920">
            <v>3</v>
          </cell>
          <cell r="CA920">
            <v>3</v>
          </cell>
          <cell r="CB920">
            <v>2</v>
          </cell>
          <cell r="CC920">
            <v>0</v>
          </cell>
          <cell r="CD920">
            <v>4</v>
          </cell>
          <cell r="CE920">
            <v>4</v>
          </cell>
          <cell r="CF920">
            <v>4</v>
          </cell>
          <cell r="CG920">
            <v>4</v>
          </cell>
          <cell r="CH920">
            <v>4</v>
          </cell>
          <cell r="CI920">
            <v>4</v>
          </cell>
          <cell r="CJ920">
            <v>12</v>
          </cell>
          <cell r="CK920">
            <v>3</v>
          </cell>
          <cell r="CL920">
            <v>3</v>
          </cell>
          <cell r="CM920">
            <v>3</v>
          </cell>
          <cell r="CR920">
            <v>0</v>
          </cell>
          <cell r="CS920">
            <v>0</v>
          </cell>
          <cell r="CT920">
            <v>64</v>
          </cell>
          <cell r="CU920">
            <v>36</v>
          </cell>
          <cell r="CV920">
            <v>0</v>
          </cell>
          <cell r="CZ920">
            <v>100</v>
          </cell>
        </row>
        <row r="921">
          <cell r="C921" t="str">
            <v>04464</v>
          </cell>
          <cell r="D921" t="str">
            <v>Hà Thành Đạt</v>
          </cell>
          <cell r="E921" t="str">
            <v>Foaming</v>
          </cell>
          <cell r="F921" t="str">
            <v>FOAMING Rectangular</v>
          </cell>
          <cell r="G921" t="str">
            <v>Worker</v>
          </cell>
          <cell r="H921">
            <v>45714</v>
          </cell>
          <cell r="I921" t="str">
            <v>Đ</v>
          </cell>
          <cell r="J921" t="str">
            <v>Đ</v>
          </cell>
          <cell r="K921" t="str">
            <v>Đ</v>
          </cell>
          <cell r="L921" t="str">
            <v>CN</v>
          </cell>
          <cell r="M921" t="str">
            <v>Đ</v>
          </cell>
          <cell r="N921" t="str">
            <v>Đ</v>
          </cell>
          <cell r="O921" t="str">
            <v>Đ</v>
          </cell>
          <cell r="P921" t="str">
            <v>Đ</v>
          </cell>
          <cell r="Q921" t="str">
            <v>Đ</v>
          </cell>
          <cell r="R921" t="str">
            <v>Đ</v>
          </cell>
          <cell r="S921" t="str">
            <v>CN</v>
          </cell>
          <cell r="T921" t="str">
            <v>Đ</v>
          </cell>
          <cell r="U921" t="str">
            <v>Đ</v>
          </cell>
          <cell r="V921" t="str">
            <v>Đ</v>
          </cell>
          <cell r="W921" t="str">
            <v>Đ</v>
          </cell>
          <cell r="X921" t="str">
            <v>Đ</v>
          </cell>
          <cell r="Y921" t="str">
            <v>Đ</v>
          </cell>
          <cell r="Z921" t="str">
            <v>CN</v>
          </cell>
          <cell r="AA921" t="str">
            <v>AL8</v>
          </cell>
          <cell r="AB921">
            <v>8</v>
          </cell>
          <cell r="AC921">
            <v>8</v>
          </cell>
          <cell r="AD921">
            <v>8</v>
          </cell>
          <cell r="AE921">
            <v>8</v>
          </cell>
          <cell r="AF921">
            <v>8</v>
          </cell>
          <cell r="AG921" t="str">
            <v>CN</v>
          </cell>
          <cell r="AH921">
            <v>8</v>
          </cell>
          <cell r="AI921">
            <v>8</v>
          </cell>
          <cell r="AJ921">
            <v>8</v>
          </cell>
          <cell r="AN921">
            <v>120</v>
          </cell>
          <cell r="AO921">
            <v>64</v>
          </cell>
          <cell r="AP921">
            <v>0</v>
          </cell>
          <cell r="AQ921">
            <v>0</v>
          </cell>
          <cell r="AR921">
            <v>0</v>
          </cell>
          <cell r="AS921">
            <v>0</v>
          </cell>
          <cell r="AT921">
            <v>0</v>
          </cell>
          <cell r="AU921">
            <v>0</v>
          </cell>
          <cell r="AV921">
            <v>0</v>
          </cell>
          <cell r="AW921">
            <v>0</v>
          </cell>
          <cell r="AX921">
            <v>0</v>
          </cell>
          <cell r="AY921">
            <v>0</v>
          </cell>
          <cell r="AZ921">
            <v>0</v>
          </cell>
          <cell r="BA921">
            <v>8</v>
          </cell>
          <cell r="BB921">
            <v>0</v>
          </cell>
          <cell r="BC921">
            <v>0</v>
          </cell>
          <cell r="BD921">
            <v>0</v>
          </cell>
          <cell r="BE921">
            <v>0</v>
          </cell>
          <cell r="BF921">
            <v>0</v>
          </cell>
          <cell r="BG921">
            <v>192</v>
          </cell>
          <cell r="BH921">
            <v>1</v>
          </cell>
          <cell r="BI921">
            <v>1</v>
          </cell>
          <cell r="BJ921">
            <v>-2</v>
          </cell>
          <cell r="BL921">
            <v>4</v>
          </cell>
          <cell r="BM921">
            <v>4</v>
          </cell>
          <cell r="BN921">
            <v>4</v>
          </cell>
          <cell r="BO921" t="str">
            <v>12Đ</v>
          </cell>
          <cell r="BP921">
            <v>3</v>
          </cell>
          <cell r="BQ921">
            <v>4</v>
          </cell>
          <cell r="BR921">
            <v>4</v>
          </cell>
          <cell r="BS921">
            <v>4</v>
          </cell>
          <cell r="BT921">
            <v>4</v>
          </cell>
          <cell r="BU921">
            <v>0</v>
          </cell>
          <cell r="BV921" t="str">
            <v>12Đ</v>
          </cell>
          <cell r="BW921">
            <v>4</v>
          </cell>
          <cell r="BX921">
            <v>4</v>
          </cell>
          <cell r="BY921">
            <v>4</v>
          </cell>
          <cell r="BZ921">
            <v>4</v>
          </cell>
          <cell r="CA921">
            <v>4</v>
          </cell>
          <cell r="CB921">
            <v>4</v>
          </cell>
          <cell r="CC921">
            <v>0</v>
          </cell>
          <cell r="CD921">
            <v>0</v>
          </cell>
          <cell r="CE921">
            <v>4</v>
          </cell>
          <cell r="CF921">
            <v>4</v>
          </cell>
          <cell r="CG921">
            <v>4</v>
          </cell>
          <cell r="CH921">
            <v>4</v>
          </cell>
          <cell r="CI921">
            <v>4</v>
          </cell>
          <cell r="CJ921">
            <v>12</v>
          </cell>
          <cell r="CK921">
            <v>4</v>
          </cell>
          <cell r="CL921">
            <v>4</v>
          </cell>
          <cell r="CM921">
            <v>4</v>
          </cell>
          <cell r="CR921">
            <v>0</v>
          </cell>
          <cell r="CS921">
            <v>0</v>
          </cell>
          <cell r="CT921">
            <v>87</v>
          </cell>
          <cell r="CU921">
            <v>20</v>
          </cell>
          <cell r="CV921">
            <v>16</v>
          </cell>
          <cell r="CZ921">
            <v>123</v>
          </cell>
        </row>
        <row r="922">
          <cell r="C922" t="str">
            <v>04465</v>
          </cell>
          <cell r="D922" t="str">
            <v>Trần Văn Linh</v>
          </cell>
          <cell r="E922" t="str">
            <v>Foaming</v>
          </cell>
          <cell r="F922" t="str">
            <v>FOAMING Rectangular</v>
          </cell>
          <cell r="G922" t="str">
            <v>Worker</v>
          </cell>
          <cell r="H922">
            <v>45714</v>
          </cell>
          <cell r="I922" t="str">
            <v>Đ</v>
          </cell>
          <cell r="J922" t="str">
            <v>Đ</v>
          </cell>
          <cell r="K922" t="str">
            <v>Đ</v>
          </cell>
          <cell r="L922" t="str">
            <v>CN</v>
          </cell>
          <cell r="M922" t="str">
            <v>AL8</v>
          </cell>
          <cell r="N922" t="str">
            <v>AL8</v>
          </cell>
          <cell r="O922">
            <v>8</v>
          </cell>
          <cell r="P922">
            <v>8</v>
          </cell>
          <cell r="Q922">
            <v>8</v>
          </cell>
          <cell r="R922">
            <v>8</v>
          </cell>
          <cell r="S922" t="str">
            <v>CN</v>
          </cell>
          <cell r="T922">
            <v>8</v>
          </cell>
          <cell r="U922">
            <v>8</v>
          </cell>
          <cell r="V922">
            <v>8</v>
          </cell>
          <cell r="W922">
            <v>8</v>
          </cell>
          <cell r="X922">
            <v>8</v>
          </cell>
          <cell r="Y922">
            <v>8</v>
          </cell>
          <cell r="Z922" t="str">
            <v>CN</v>
          </cell>
          <cell r="AA922" t="str">
            <v>Đ</v>
          </cell>
          <cell r="AB922" t="str">
            <v>Đ</v>
          </cell>
          <cell r="AC922" t="str">
            <v>Đ</v>
          </cell>
          <cell r="AD922" t="str">
            <v>Đ</v>
          </cell>
          <cell r="AE922" t="str">
            <v>Đ</v>
          </cell>
          <cell r="AF922" t="str">
            <v>Đ</v>
          </cell>
          <cell r="AG922" t="str">
            <v>CN</v>
          </cell>
          <cell r="AH922" t="str">
            <v>SL</v>
          </cell>
          <cell r="AI922" t="str">
            <v>Đ</v>
          </cell>
          <cell r="AJ922" t="str">
            <v>Đ</v>
          </cell>
          <cell r="AN922">
            <v>88</v>
          </cell>
          <cell r="AO922">
            <v>80</v>
          </cell>
          <cell r="AP922">
            <v>0</v>
          </cell>
          <cell r="AQ922">
            <v>1</v>
          </cell>
          <cell r="AR922">
            <v>0</v>
          </cell>
          <cell r="AS922">
            <v>0</v>
          </cell>
          <cell r="AT922">
            <v>0</v>
          </cell>
          <cell r="AU922">
            <v>0</v>
          </cell>
          <cell r="AV922">
            <v>0</v>
          </cell>
          <cell r="AW922">
            <v>0</v>
          </cell>
          <cell r="AX922">
            <v>0</v>
          </cell>
          <cell r="AY922">
            <v>0</v>
          </cell>
          <cell r="AZ922">
            <v>0</v>
          </cell>
          <cell r="BA922">
            <v>16</v>
          </cell>
          <cell r="BB922">
            <v>0</v>
          </cell>
          <cell r="BC922">
            <v>0</v>
          </cell>
          <cell r="BD922">
            <v>0</v>
          </cell>
          <cell r="BE922">
            <v>0</v>
          </cell>
          <cell r="BF922">
            <v>0</v>
          </cell>
          <cell r="BG922">
            <v>184</v>
          </cell>
          <cell r="BH922">
            <v>2</v>
          </cell>
          <cell r="BI922">
            <v>2</v>
          </cell>
          <cell r="BJ922">
            <v>0.5</v>
          </cell>
          <cell r="BL922">
            <v>4</v>
          </cell>
          <cell r="BM922">
            <v>4</v>
          </cell>
          <cell r="BN922">
            <v>4</v>
          </cell>
          <cell r="BO922">
            <v>0</v>
          </cell>
          <cell r="BP922">
            <v>0</v>
          </cell>
          <cell r="BQ922">
            <v>0</v>
          </cell>
          <cell r="BR922">
            <v>4</v>
          </cell>
          <cell r="BS922">
            <v>4</v>
          </cell>
          <cell r="BT922">
            <v>4</v>
          </cell>
          <cell r="BU922">
            <v>4</v>
          </cell>
          <cell r="BV922">
            <v>12</v>
          </cell>
          <cell r="BW922">
            <v>4</v>
          </cell>
          <cell r="BX922">
            <v>4</v>
          </cell>
          <cell r="BY922">
            <v>4</v>
          </cell>
          <cell r="BZ922">
            <v>4</v>
          </cell>
          <cell r="CA922">
            <v>4</v>
          </cell>
          <cell r="CB922">
            <v>4</v>
          </cell>
          <cell r="CC922" t="str">
            <v>12Đ</v>
          </cell>
          <cell r="CD922">
            <v>4</v>
          </cell>
          <cell r="CE922">
            <v>4</v>
          </cell>
          <cell r="CF922">
            <v>4</v>
          </cell>
          <cell r="CG922">
            <v>4</v>
          </cell>
          <cell r="CH922">
            <v>0</v>
          </cell>
          <cell r="CI922">
            <v>4</v>
          </cell>
          <cell r="CJ922">
            <v>0</v>
          </cell>
          <cell r="CK922">
            <v>0</v>
          </cell>
          <cell r="CL922">
            <v>4</v>
          </cell>
          <cell r="CM922">
            <v>4</v>
          </cell>
          <cell r="CR922">
            <v>0</v>
          </cell>
          <cell r="CS922">
            <v>0</v>
          </cell>
          <cell r="CT922">
            <v>80</v>
          </cell>
          <cell r="CU922">
            <v>16</v>
          </cell>
          <cell r="CV922">
            <v>8</v>
          </cell>
          <cell r="CZ922">
            <v>104</v>
          </cell>
        </row>
        <row r="923">
          <cell r="C923" t="str">
            <v>04467</v>
          </cell>
          <cell r="D923" t="str">
            <v>Đoàn Phương Đông</v>
          </cell>
          <cell r="E923" t="str">
            <v>Production</v>
          </cell>
          <cell r="F923" t="str">
            <v>Die Cut</v>
          </cell>
          <cell r="G923" t="str">
            <v>Worker</v>
          </cell>
          <cell r="H923">
            <v>45714</v>
          </cell>
          <cell r="I923">
            <v>8</v>
          </cell>
          <cell r="J923">
            <v>8</v>
          </cell>
          <cell r="K923">
            <v>8</v>
          </cell>
          <cell r="L923" t="str">
            <v>CN</v>
          </cell>
          <cell r="M923" t="str">
            <v>Đ</v>
          </cell>
          <cell r="N923" t="str">
            <v>Đ</v>
          </cell>
          <cell r="O923" t="str">
            <v>Đ</v>
          </cell>
          <cell r="P923" t="str">
            <v>Đ</v>
          </cell>
          <cell r="Q923" t="str">
            <v>Đ</v>
          </cell>
          <cell r="R923" t="str">
            <v>Đ</v>
          </cell>
          <cell r="S923" t="str">
            <v>CN</v>
          </cell>
          <cell r="T923">
            <v>8</v>
          </cell>
          <cell r="U923">
            <v>8</v>
          </cell>
          <cell r="V923">
            <v>8</v>
          </cell>
          <cell r="W923">
            <v>8</v>
          </cell>
          <cell r="X923">
            <v>8</v>
          </cell>
          <cell r="Y923">
            <v>8</v>
          </cell>
          <cell r="Z923" t="str">
            <v>CN</v>
          </cell>
          <cell r="AA923" t="str">
            <v>Đ</v>
          </cell>
          <cell r="AB923" t="str">
            <v>Đ</v>
          </cell>
          <cell r="AC923" t="str">
            <v>Đ</v>
          </cell>
          <cell r="AD923" t="str">
            <v>Đ</v>
          </cell>
          <cell r="AE923" t="str">
            <v>Đ</v>
          </cell>
          <cell r="AF923" t="str">
            <v>Đ</v>
          </cell>
          <cell r="AG923" t="str">
            <v>CN</v>
          </cell>
          <cell r="AH923">
            <v>8</v>
          </cell>
          <cell r="AI923">
            <v>8</v>
          </cell>
          <cell r="AJ923">
            <v>8</v>
          </cell>
          <cell r="AN923">
            <v>96</v>
          </cell>
          <cell r="AO923">
            <v>96</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192</v>
          </cell>
          <cell r="BH923">
            <v>0</v>
          </cell>
          <cell r="BI923">
            <v>0</v>
          </cell>
          <cell r="BJ923">
            <v>4</v>
          </cell>
          <cell r="BL923">
            <v>1.5</v>
          </cell>
          <cell r="BM923">
            <v>1.5</v>
          </cell>
          <cell r="BN923">
            <v>1.5</v>
          </cell>
          <cell r="BO923">
            <v>0</v>
          </cell>
          <cell r="BP923">
            <v>1.5</v>
          </cell>
          <cell r="BQ923">
            <v>0</v>
          </cell>
          <cell r="BR923">
            <v>4</v>
          </cell>
          <cell r="BS923">
            <v>4</v>
          </cell>
          <cell r="BT923">
            <v>4</v>
          </cell>
          <cell r="BU923">
            <v>4</v>
          </cell>
          <cell r="BV923">
            <v>0</v>
          </cell>
          <cell r="BW923">
            <v>3</v>
          </cell>
          <cell r="BX923">
            <v>3</v>
          </cell>
          <cell r="BY923">
            <v>3</v>
          </cell>
          <cell r="BZ923">
            <v>3</v>
          </cell>
          <cell r="CA923">
            <v>3</v>
          </cell>
          <cell r="CB923">
            <v>0</v>
          </cell>
          <cell r="CC923">
            <v>8</v>
          </cell>
          <cell r="CD923">
            <v>4</v>
          </cell>
          <cell r="CE923">
            <v>4</v>
          </cell>
          <cell r="CF923">
            <v>4</v>
          </cell>
          <cell r="CG923">
            <v>4</v>
          </cell>
          <cell r="CH923">
            <v>4</v>
          </cell>
          <cell r="CI923">
            <v>4</v>
          </cell>
          <cell r="CJ923">
            <v>0</v>
          </cell>
          <cell r="CK923">
            <v>3</v>
          </cell>
          <cell r="CL923">
            <v>3</v>
          </cell>
          <cell r="CM923">
            <v>3</v>
          </cell>
          <cell r="CR923">
            <v>0</v>
          </cell>
          <cell r="CS923">
            <v>0</v>
          </cell>
          <cell r="CT923">
            <v>70</v>
          </cell>
          <cell r="CU923">
            <v>8</v>
          </cell>
          <cell r="CV923">
            <v>0</v>
          </cell>
          <cell r="CZ923">
            <v>78</v>
          </cell>
        </row>
        <row r="924">
          <cell r="C924" t="str">
            <v>04468</v>
          </cell>
          <cell r="D924" t="str">
            <v>Trần Thị Kim Trinh</v>
          </cell>
          <cell r="E924" t="str">
            <v>Production</v>
          </cell>
          <cell r="F924" t="str">
            <v>Lamination</v>
          </cell>
          <cell r="G924" t="str">
            <v>Worker</v>
          </cell>
          <cell r="H924">
            <v>45714</v>
          </cell>
          <cell r="I924" t="str">
            <v>Đ</v>
          </cell>
          <cell r="J924" t="str">
            <v>Đ</v>
          </cell>
          <cell r="K924" t="str">
            <v>Đ</v>
          </cell>
          <cell r="L924" t="str">
            <v>CN</v>
          </cell>
          <cell r="M924" t="str">
            <v>AL8</v>
          </cell>
          <cell r="N924" t="str">
            <v>AL8</v>
          </cell>
          <cell r="O924">
            <v>8</v>
          </cell>
          <cell r="P924">
            <v>8</v>
          </cell>
          <cell r="Q924">
            <v>8</v>
          </cell>
          <cell r="R924">
            <v>8</v>
          </cell>
          <cell r="S924" t="str">
            <v>CN</v>
          </cell>
          <cell r="T924">
            <v>8</v>
          </cell>
          <cell r="U924">
            <v>8</v>
          </cell>
          <cell r="V924">
            <v>8</v>
          </cell>
          <cell r="W924">
            <v>8</v>
          </cell>
          <cell r="X924">
            <v>8</v>
          </cell>
          <cell r="Y924">
            <v>8</v>
          </cell>
          <cell r="Z924" t="str">
            <v>CN</v>
          </cell>
          <cell r="AA924">
            <v>8</v>
          </cell>
          <cell r="AB924">
            <v>8</v>
          </cell>
          <cell r="AC924">
            <v>8</v>
          </cell>
          <cell r="AD924">
            <v>8</v>
          </cell>
          <cell r="AE924">
            <v>8</v>
          </cell>
          <cell r="AF924" t="str">
            <v>CN</v>
          </cell>
          <cell r="AG924">
            <v>8</v>
          </cell>
          <cell r="AH924">
            <v>8</v>
          </cell>
          <cell r="AI924">
            <v>8</v>
          </cell>
          <cell r="AJ924">
            <v>8</v>
          </cell>
          <cell r="AN924">
            <v>24</v>
          </cell>
          <cell r="AO924">
            <v>152</v>
          </cell>
          <cell r="AP924">
            <v>0</v>
          </cell>
          <cell r="AQ924">
            <v>0</v>
          </cell>
          <cell r="AR924">
            <v>0</v>
          </cell>
          <cell r="AS924">
            <v>0</v>
          </cell>
          <cell r="AT924">
            <v>0</v>
          </cell>
          <cell r="AU924">
            <v>0</v>
          </cell>
          <cell r="AV924">
            <v>0</v>
          </cell>
          <cell r="AW924">
            <v>0</v>
          </cell>
          <cell r="AX924">
            <v>0</v>
          </cell>
          <cell r="AY924">
            <v>0</v>
          </cell>
          <cell r="AZ924">
            <v>0</v>
          </cell>
          <cell r="BA924">
            <v>16</v>
          </cell>
          <cell r="BB924">
            <v>0</v>
          </cell>
          <cell r="BC924">
            <v>0</v>
          </cell>
          <cell r="BD924">
            <v>0</v>
          </cell>
          <cell r="BE924">
            <v>0</v>
          </cell>
          <cell r="BF924">
            <v>0</v>
          </cell>
          <cell r="BG924">
            <v>192</v>
          </cell>
          <cell r="BH924">
            <v>2</v>
          </cell>
          <cell r="BI924">
            <v>2</v>
          </cell>
          <cell r="BJ924">
            <v>4.5</v>
          </cell>
          <cell r="BL924">
            <v>0</v>
          </cell>
          <cell r="BM924">
            <v>0</v>
          </cell>
          <cell r="BN924">
            <v>0</v>
          </cell>
          <cell r="BO924">
            <v>0</v>
          </cell>
          <cell r="BP924">
            <v>0</v>
          </cell>
          <cell r="BQ924">
            <v>0</v>
          </cell>
          <cell r="BR924">
            <v>0</v>
          </cell>
          <cell r="BS924">
            <v>4</v>
          </cell>
          <cell r="BT924">
            <v>4</v>
          </cell>
          <cell r="BU924">
            <v>0</v>
          </cell>
          <cell r="BV924">
            <v>0</v>
          </cell>
          <cell r="BW924">
            <v>0</v>
          </cell>
          <cell r="BX924">
            <v>4</v>
          </cell>
          <cell r="BY924">
            <v>0</v>
          </cell>
          <cell r="BZ924">
            <v>0</v>
          </cell>
          <cell r="CA924">
            <v>0</v>
          </cell>
          <cell r="CB924">
            <v>4</v>
          </cell>
          <cell r="CC924">
            <v>0</v>
          </cell>
          <cell r="CD924">
            <v>0</v>
          </cell>
          <cell r="CE924">
            <v>0</v>
          </cell>
          <cell r="CF924">
            <v>4</v>
          </cell>
          <cell r="CG924">
            <v>0</v>
          </cell>
          <cell r="CH924">
            <v>4</v>
          </cell>
          <cell r="CI924">
            <v>0</v>
          </cell>
          <cell r="CJ924">
            <v>4</v>
          </cell>
          <cell r="CK924">
            <v>0</v>
          </cell>
          <cell r="CL924">
            <v>4</v>
          </cell>
          <cell r="CM924">
            <v>0</v>
          </cell>
          <cell r="CR924">
            <v>0</v>
          </cell>
          <cell r="CS924">
            <v>0</v>
          </cell>
          <cell r="CT924">
            <v>32</v>
          </cell>
          <cell r="CU924">
            <v>0</v>
          </cell>
          <cell r="CV924">
            <v>0</v>
          </cell>
          <cell r="CZ924">
            <v>32</v>
          </cell>
        </row>
        <row r="925">
          <cell r="C925" t="str">
            <v>04469</v>
          </cell>
          <cell r="D925" t="str">
            <v xml:space="preserve">Nguyễn Thị Yến </v>
          </cell>
          <cell r="E925" t="str">
            <v>Production</v>
          </cell>
          <cell r="F925" t="str">
            <v>Logo</v>
          </cell>
          <cell r="G925" t="str">
            <v>Worker</v>
          </cell>
          <cell r="H925">
            <v>45714</v>
          </cell>
          <cell r="I925">
            <v>8</v>
          </cell>
          <cell r="J925">
            <v>8</v>
          </cell>
          <cell r="K925">
            <v>8</v>
          </cell>
          <cell r="L925" t="str">
            <v>CN</v>
          </cell>
          <cell r="M925" t="str">
            <v>Đ</v>
          </cell>
          <cell r="N925" t="str">
            <v>Đ</v>
          </cell>
          <cell r="O925" t="str">
            <v>Đ</v>
          </cell>
          <cell r="P925" t="str">
            <v>Đ</v>
          </cell>
          <cell r="Q925" t="str">
            <v>Đ</v>
          </cell>
          <cell r="R925" t="str">
            <v>Đ</v>
          </cell>
          <cell r="S925" t="str">
            <v>CN</v>
          </cell>
          <cell r="T925">
            <v>8</v>
          </cell>
          <cell r="U925">
            <v>8</v>
          </cell>
          <cell r="V925">
            <v>8</v>
          </cell>
          <cell r="W925">
            <v>8</v>
          </cell>
          <cell r="X925">
            <v>8</v>
          </cell>
          <cell r="Y925">
            <v>8</v>
          </cell>
          <cell r="Z925" t="str">
            <v>CN</v>
          </cell>
          <cell r="AA925" t="str">
            <v>Đ</v>
          </cell>
          <cell r="AB925" t="str">
            <v>Đ</v>
          </cell>
          <cell r="AC925" t="str">
            <v>Đ</v>
          </cell>
          <cell r="AD925" t="str">
            <v>Đ</v>
          </cell>
          <cell r="AE925" t="str">
            <v>Đ</v>
          </cell>
          <cell r="AF925" t="str">
            <v>Đ</v>
          </cell>
          <cell r="AG925" t="str">
            <v>CN</v>
          </cell>
          <cell r="AH925">
            <v>8</v>
          </cell>
          <cell r="AI925">
            <v>8</v>
          </cell>
          <cell r="AJ925">
            <v>8</v>
          </cell>
          <cell r="AN925">
            <v>96</v>
          </cell>
          <cell r="AO925">
            <v>96</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192</v>
          </cell>
          <cell r="BH925">
            <v>0</v>
          </cell>
          <cell r="BI925">
            <v>0</v>
          </cell>
          <cell r="BJ925">
            <v>5</v>
          </cell>
          <cell r="BL925">
            <v>1.5</v>
          </cell>
          <cell r="BM925">
            <v>0</v>
          </cell>
          <cell r="BN925">
            <v>0</v>
          </cell>
          <cell r="BO925">
            <v>0</v>
          </cell>
          <cell r="BP925">
            <v>1.5</v>
          </cell>
          <cell r="BQ925">
            <v>0</v>
          </cell>
          <cell r="BR925">
            <v>0</v>
          </cell>
          <cell r="BS925">
            <v>4</v>
          </cell>
          <cell r="BT925">
            <v>4</v>
          </cell>
          <cell r="BU925">
            <v>3</v>
          </cell>
          <cell r="BV925">
            <v>0</v>
          </cell>
          <cell r="BW925">
            <v>3</v>
          </cell>
          <cell r="BX925">
            <v>3</v>
          </cell>
          <cell r="BY925">
            <v>3</v>
          </cell>
          <cell r="BZ925">
            <v>3</v>
          </cell>
          <cell r="CA925">
            <v>3</v>
          </cell>
          <cell r="CB925">
            <v>3</v>
          </cell>
          <cell r="CC925">
            <v>8</v>
          </cell>
          <cell r="CD925">
            <v>4</v>
          </cell>
          <cell r="CE925">
            <v>4</v>
          </cell>
          <cell r="CF925">
            <v>4</v>
          </cell>
          <cell r="CG925">
            <v>4</v>
          </cell>
          <cell r="CH925">
            <v>4</v>
          </cell>
          <cell r="CI925">
            <v>4</v>
          </cell>
          <cell r="CJ925">
            <v>0</v>
          </cell>
          <cell r="CK925">
            <v>3</v>
          </cell>
          <cell r="CL925">
            <v>0</v>
          </cell>
          <cell r="CM925">
            <v>0</v>
          </cell>
          <cell r="CR925">
            <v>0</v>
          </cell>
          <cell r="CS925">
            <v>0</v>
          </cell>
          <cell r="CT925">
            <v>59</v>
          </cell>
          <cell r="CU925">
            <v>8</v>
          </cell>
          <cell r="CV925">
            <v>0</v>
          </cell>
          <cell r="CZ925">
            <v>67</v>
          </cell>
        </row>
        <row r="926">
          <cell r="C926" t="str">
            <v>04470</v>
          </cell>
          <cell r="D926" t="str">
            <v>Phạm Thị Duyên</v>
          </cell>
          <cell r="E926" t="str">
            <v>Production</v>
          </cell>
          <cell r="F926" t="str">
            <v>Logo</v>
          </cell>
          <cell r="G926" t="str">
            <v>Worker</v>
          </cell>
          <cell r="H926">
            <v>45714</v>
          </cell>
          <cell r="I926" t="str">
            <v>Đ</v>
          </cell>
          <cell r="J926" t="str">
            <v>Đ</v>
          </cell>
          <cell r="K926" t="str">
            <v>SL</v>
          </cell>
          <cell r="L926" t="str">
            <v>CN</v>
          </cell>
          <cell r="M926">
            <v>8</v>
          </cell>
          <cell r="N926">
            <v>8</v>
          </cell>
          <cell r="O926">
            <v>8</v>
          </cell>
          <cell r="P926">
            <v>8</v>
          </cell>
          <cell r="Q926">
            <v>8</v>
          </cell>
          <cell r="R926">
            <v>8</v>
          </cell>
          <cell r="S926" t="str">
            <v>CN</v>
          </cell>
          <cell r="T926" t="str">
            <v>Đ</v>
          </cell>
          <cell r="U926" t="str">
            <v>Đ</v>
          </cell>
          <cell r="V926" t="str">
            <v>Đ</v>
          </cell>
          <cell r="W926" t="str">
            <v>Đ</v>
          </cell>
          <cell r="X926" t="str">
            <v>Đ</v>
          </cell>
          <cell r="Y926" t="str">
            <v>Đ</v>
          </cell>
          <cell r="Z926" t="str">
            <v>CN</v>
          </cell>
          <cell r="AA926">
            <v>8</v>
          </cell>
          <cell r="AB926">
            <v>8</v>
          </cell>
          <cell r="AC926">
            <v>8</v>
          </cell>
          <cell r="AD926">
            <v>8</v>
          </cell>
          <cell r="AE926">
            <v>8</v>
          </cell>
          <cell r="AF926">
            <v>8</v>
          </cell>
          <cell r="AG926" t="str">
            <v>CN</v>
          </cell>
          <cell r="AH926" t="str">
            <v>Đ</v>
          </cell>
          <cell r="AI926" t="str">
            <v>Đ</v>
          </cell>
          <cell r="AJ926" t="str">
            <v>Đ</v>
          </cell>
          <cell r="AN926">
            <v>88</v>
          </cell>
          <cell r="AO926">
            <v>96</v>
          </cell>
          <cell r="AP926">
            <v>0</v>
          </cell>
          <cell r="AQ926">
            <v>1</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184</v>
          </cell>
          <cell r="BH926">
            <v>0</v>
          </cell>
          <cell r="BI926">
            <v>0</v>
          </cell>
          <cell r="BJ926">
            <v>0</v>
          </cell>
          <cell r="BL926">
            <v>1.5</v>
          </cell>
          <cell r="BM926">
            <v>1.5</v>
          </cell>
          <cell r="BN926">
            <v>0</v>
          </cell>
          <cell r="BO926">
            <v>0</v>
          </cell>
          <cell r="BP926">
            <v>0</v>
          </cell>
          <cell r="BQ926">
            <v>0</v>
          </cell>
          <cell r="BR926">
            <v>0</v>
          </cell>
          <cell r="BS926">
            <v>3</v>
          </cell>
          <cell r="BT926">
            <v>3</v>
          </cell>
          <cell r="BU926">
            <v>3</v>
          </cell>
          <cell r="BV926">
            <v>0</v>
          </cell>
          <cell r="BW926">
            <v>4</v>
          </cell>
          <cell r="BX926">
            <v>4</v>
          </cell>
          <cell r="BY926">
            <v>4</v>
          </cell>
          <cell r="BZ926">
            <v>4</v>
          </cell>
          <cell r="CA926">
            <v>4</v>
          </cell>
          <cell r="CB926">
            <v>4</v>
          </cell>
          <cell r="CC926">
            <v>0</v>
          </cell>
          <cell r="CD926">
            <v>3</v>
          </cell>
          <cell r="CE926">
            <v>3</v>
          </cell>
          <cell r="CF926">
            <v>3</v>
          </cell>
          <cell r="CG926">
            <v>3</v>
          </cell>
          <cell r="CH926">
            <v>0</v>
          </cell>
          <cell r="CI926">
            <v>3</v>
          </cell>
          <cell r="CJ926">
            <v>8</v>
          </cell>
          <cell r="CK926">
            <v>4</v>
          </cell>
          <cell r="CL926">
            <v>4</v>
          </cell>
          <cell r="CM926">
            <v>4</v>
          </cell>
          <cell r="CR926">
            <v>0</v>
          </cell>
          <cell r="CS926">
            <v>0</v>
          </cell>
          <cell r="CT926">
            <v>63</v>
          </cell>
          <cell r="CU926">
            <v>8</v>
          </cell>
          <cell r="CV926">
            <v>0</v>
          </cell>
          <cell r="CZ926">
            <v>71</v>
          </cell>
        </row>
        <row r="927">
          <cell r="C927" t="str">
            <v>04473</v>
          </cell>
          <cell r="D927" t="str">
            <v>Nguyễn Văn Trường</v>
          </cell>
          <cell r="E927" t="str">
            <v>Production</v>
          </cell>
          <cell r="F927" t="str">
            <v>Molding</v>
          </cell>
          <cell r="G927" t="str">
            <v>Worker</v>
          </cell>
          <cell r="H927">
            <v>45714</v>
          </cell>
          <cell r="I927">
            <v>8</v>
          </cell>
          <cell r="J927">
            <v>8</v>
          </cell>
          <cell r="K927">
            <v>8</v>
          </cell>
          <cell r="L927" t="str">
            <v>CN</v>
          </cell>
          <cell r="M927">
            <v>8</v>
          </cell>
          <cell r="N927">
            <v>8</v>
          </cell>
          <cell r="O927">
            <v>8</v>
          </cell>
          <cell r="P927">
            <v>8</v>
          </cell>
          <cell r="Q927">
            <v>8</v>
          </cell>
          <cell r="R927">
            <v>8</v>
          </cell>
          <cell r="S927" t="str">
            <v>CN</v>
          </cell>
          <cell r="T927">
            <v>8</v>
          </cell>
          <cell r="U927">
            <v>8</v>
          </cell>
          <cell r="V927">
            <v>8</v>
          </cell>
          <cell r="W927">
            <v>8</v>
          </cell>
          <cell r="X927">
            <v>8</v>
          </cell>
          <cell r="Y927">
            <v>8</v>
          </cell>
          <cell r="Z927" t="str">
            <v>CN</v>
          </cell>
          <cell r="AA927">
            <v>8</v>
          </cell>
          <cell r="AB927">
            <v>8</v>
          </cell>
          <cell r="AC927">
            <v>8</v>
          </cell>
          <cell r="AD927">
            <v>8</v>
          </cell>
          <cell r="AE927">
            <v>8</v>
          </cell>
          <cell r="AF927">
            <v>8</v>
          </cell>
          <cell r="AG927" t="str">
            <v>CN</v>
          </cell>
          <cell r="AH927">
            <v>8</v>
          </cell>
          <cell r="AI927">
            <v>8</v>
          </cell>
          <cell r="AJ927">
            <v>8</v>
          </cell>
          <cell r="AN927">
            <v>0</v>
          </cell>
          <cell r="AO927">
            <v>192</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192</v>
          </cell>
          <cell r="BH927">
            <v>0</v>
          </cell>
          <cell r="BI927">
            <v>0</v>
          </cell>
          <cell r="BJ927">
            <v>1.5</v>
          </cell>
          <cell r="BL927">
            <v>4</v>
          </cell>
          <cell r="BM927">
            <v>4</v>
          </cell>
          <cell r="BN927">
            <v>0</v>
          </cell>
          <cell r="BO927">
            <v>0</v>
          </cell>
          <cell r="BP927">
            <v>0</v>
          </cell>
          <cell r="BQ927">
            <v>4</v>
          </cell>
          <cell r="BR927">
            <v>0</v>
          </cell>
          <cell r="BS927">
            <v>0</v>
          </cell>
          <cell r="BT927">
            <v>0</v>
          </cell>
          <cell r="BU927">
            <v>0</v>
          </cell>
          <cell r="BV927">
            <v>0</v>
          </cell>
          <cell r="BW927">
            <v>0</v>
          </cell>
          <cell r="BX927">
            <v>0</v>
          </cell>
          <cell r="BY927">
            <v>4</v>
          </cell>
          <cell r="BZ927">
            <v>0</v>
          </cell>
          <cell r="CA927">
            <v>0</v>
          </cell>
          <cell r="CB927">
            <v>0</v>
          </cell>
          <cell r="CC927">
            <v>0</v>
          </cell>
          <cell r="CD927">
            <v>4</v>
          </cell>
          <cell r="CE927">
            <v>0</v>
          </cell>
          <cell r="CF927">
            <v>0</v>
          </cell>
          <cell r="CG927">
            <v>0</v>
          </cell>
          <cell r="CH927">
            <v>0</v>
          </cell>
          <cell r="CI927">
            <v>0</v>
          </cell>
          <cell r="CJ927">
            <v>0</v>
          </cell>
          <cell r="CK927">
            <v>0</v>
          </cell>
          <cell r="CL927">
            <v>4</v>
          </cell>
          <cell r="CM927">
            <v>0</v>
          </cell>
          <cell r="CR927">
            <v>0</v>
          </cell>
          <cell r="CS927">
            <v>0</v>
          </cell>
          <cell r="CT927">
            <v>24</v>
          </cell>
          <cell r="CU927">
            <v>0</v>
          </cell>
          <cell r="CV927">
            <v>0</v>
          </cell>
          <cell r="CZ927">
            <v>24</v>
          </cell>
        </row>
        <row r="928">
          <cell r="C928" t="str">
            <v>04474</v>
          </cell>
          <cell r="D928" t="str">
            <v>Nguyễn Thanh Dương</v>
          </cell>
          <cell r="E928" t="str">
            <v>Production</v>
          </cell>
          <cell r="F928" t="str">
            <v>Molding</v>
          </cell>
          <cell r="G928" t="str">
            <v>Worker</v>
          </cell>
          <cell r="H928">
            <v>45714</v>
          </cell>
          <cell r="I928">
            <v>8</v>
          </cell>
          <cell r="J928">
            <v>8</v>
          </cell>
          <cell r="K928">
            <v>8</v>
          </cell>
          <cell r="L928" t="str">
            <v>CN</v>
          </cell>
          <cell r="M928">
            <v>8</v>
          </cell>
          <cell r="N928">
            <v>8</v>
          </cell>
          <cell r="O928">
            <v>8</v>
          </cell>
          <cell r="P928">
            <v>8</v>
          </cell>
          <cell r="Q928">
            <v>8</v>
          </cell>
          <cell r="R928">
            <v>8</v>
          </cell>
          <cell r="S928" t="str">
            <v>CN</v>
          </cell>
          <cell r="T928">
            <v>8</v>
          </cell>
          <cell r="U928">
            <v>8</v>
          </cell>
          <cell r="V928">
            <v>8</v>
          </cell>
          <cell r="W928">
            <v>8</v>
          </cell>
          <cell r="X928">
            <v>8</v>
          </cell>
          <cell r="Y928">
            <v>8</v>
          </cell>
          <cell r="Z928" t="str">
            <v>CN</v>
          </cell>
          <cell r="AA928">
            <v>8</v>
          </cell>
          <cell r="AB928">
            <v>8</v>
          </cell>
          <cell r="AC928">
            <v>8</v>
          </cell>
          <cell r="AD928">
            <v>8</v>
          </cell>
          <cell r="AE928" t="str">
            <v>Đ</v>
          </cell>
          <cell r="AF928" t="str">
            <v>Đ</v>
          </cell>
          <cell r="AG928" t="str">
            <v>CN</v>
          </cell>
          <cell r="AH928">
            <v>8</v>
          </cell>
          <cell r="AI928">
            <v>8</v>
          </cell>
          <cell r="AJ928">
            <v>8</v>
          </cell>
          <cell r="AN928">
            <v>16</v>
          </cell>
          <cell r="AO928">
            <v>176</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192</v>
          </cell>
          <cell r="BH928">
            <v>0</v>
          </cell>
          <cell r="BI928">
            <v>0</v>
          </cell>
          <cell r="BJ928">
            <v>2</v>
          </cell>
          <cell r="BL928">
            <v>0</v>
          </cell>
          <cell r="BM928">
            <v>0</v>
          </cell>
          <cell r="BN928">
            <v>4</v>
          </cell>
          <cell r="BO928">
            <v>0</v>
          </cell>
          <cell r="BP928">
            <v>0</v>
          </cell>
          <cell r="BQ928">
            <v>0</v>
          </cell>
          <cell r="BR928">
            <v>0</v>
          </cell>
          <cell r="BS928">
            <v>4</v>
          </cell>
          <cell r="BT928">
            <v>0</v>
          </cell>
          <cell r="BU928">
            <v>0</v>
          </cell>
          <cell r="BV928">
            <v>0</v>
          </cell>
          <cell r="BW928">
            <v>0</v>
          </cell>
          <cell r="BX928">
            <v>0</v>
          </cell>
          <cell r="BY928">
            <v>0</v>
          </cell>
          <cell r="BZ928">
            <v>0</v>
          </cell>
          <cell r="CA928">
            <v>4</v>
          </cell>
          <cell r="CB928">
            <v>4</v>
          </cell>
          <cell r="CC928">
            <v>0</v>
          </cell>
          <cell r="CD928">
            <v>0</v>
          </cell>
          <cell r="CE928">
            <v>0</v>
          </cell>
          <cell r="CF928">
            <v>4</v>
          </cell>
          <cell r="CG928">
            <v>0</v>
          </cell>
          <cell r="CH928">
            <v>4</v>
          </cell>
          <cell r="CI928">
            <v>4</v>
          </cell>
          <cell r="CJ928">
            <v>0</v>
          </cell>
          <cell r="CK928">
            <v>0</v>
          </cell>
          <cell r="CL928">
            <v>0</v>
          </cell>
          <cell r="CM928">
            <v>0</v>
          </cell>
          <cell r="CR928">
            <v>0</v>
          </cell>
          <cell r="CS928">
            <v>0</v>
          </cell>
          <cell r="CT928">
            <v>28</v>
          </cell>
          <cell r="CU928">
            <v>0</v>
          </cell>
          <cell r="CV928">
            <v>0</v>
          </cell>
          <cell r="CZ928">
            <v>28</v>
          </cell>
        </row>
        <row r="929">
          <cell r="C929" t="str">
            <v>04476</v>
          </cell>
          <cell r="D929" t="str">
            <v>Nguyễn Hoàng Cường</v>
          </cell>
          <cell r="E929" t="str">
            <v>Production</v>
          </cell>
          <cell r="F929" t="str">
            <v>Molding</v>
          </cell>
          <cell r="G929" t="str">
            <v>Worker</v>
          </cell>
          <cell r="H929">
            <v>45714</v>
          </cell>
          <cell r="I929">
            <v>8</v>
          </cell>
          <cell r="J929">
            <v>8</v>
          </cell>
          <cell r="K929">
            <v>8</v>
          </cell>
          <cell r="L929" t="str">
            <v>CN</v>
          </cell>
          <cell r="M929">
            <v>8</v>
          </cell>
          <cell r="N929">
            <v>8</v>
          </cell>
          <cell r="O929">
            <v>8</v>
          </cell>
          <cell r="P929">
            <v>8</v>
          </cell>
          <cell r="Q929" t="str">
            <v>Đ</v>
          </cell>
          <cell r="R929" t="str">
            <v>Đ</v>
          </cell>
          <cell r="S929" t="str">
            <v>CN</v>
          </cell>
          <cell r="T929">
            <v>8</v>
          </cell>
          <cell r="U929">
            <v>8</v>
          </cell>
          <cell r="V929">
            <v>8</v>
          </cell>
          <cell r="W929">
            <v>8</v>
          </cell>
          <cell r="X929">
            <v>8</v>
          </cell>
          <cell r="Y929">
            <v>8</v>
          </cell>
          <cell r="Z929" t="str">
            <v>CN</v>
          </cell>
          <cell r="AA929">
            <v>8</v>
          </cell>
          <cell r="AB929">
            <v>8</v>
          </cell>
          <cell r="AC929">
            <v>8</v>
          </cell>
          <cell r="AD929">
            <v>8</v>
          </cell>
          <cell r="AE929" t="str">
            <v>Đ</v>
          </cell>
          <cell r="AF929" t="str">
            <v>Đ</v>
          </cell>
          <cell r="AG929" t="str">
            <v>CN</v>
          </cell>
          <cell r="AH929">
            <v>8</v>
          </cell>
          <cell r="AI929">
            <v>8</v>
          </cell>
          <cell r="AJ929">
            <v>8</v>
          </cell>
          <cell r="AN929">
            <v>32</v>
          </cell>
          <cell r="AO929">
            <v>160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192</v>
          </cell>
          <cell r="BH929">
            <v>0</v>
          </cell>
          <cell r="BI929">
            <v>0</v>
          </cell>
          <cell r="BJ929">
            <v>3</v>
          </cell>
          <cell r="BL929">
            <v>4</v>
          </cell>
          <cell r="BM929">
            <v>0</v>
          </cell>
          <cell r="BN929">
            <v>0</v>
          </cell>
          <cell r="BO929">
            <v>0</v>
          </cell>
          <cell r="BP929">
            <v>0</v>
          </cell>
          <cell r="BQ929">
            <v>0</v>
          </cell>
          <cell r="BR929">
            <v>0</v>
          </cell>
          <cell r="BS929">
            <v>0</v>
          </cell>
          <cell r="BT929">
            <v>4</v>
          </cell>
          <cell r="BU929">
            <v>4</v>
          </cell>
          <cell r="BV929">
            <v>0</v>
          </cell>
          <cell r="BW929">
            <v>0</v>
          </cell>
          <cell r="BX929">
            <v>0</v>
          </cell>
          <cell r="BY929">
            <v>0</v>
          </cell>
          <cell r="BZ929">
            <v>0</v>
          </cell>
          <cell r="CA929">
            <v>4</v>
          </cell>
          <cell r="CB929">
            <v>4</v>
          </cell>
          <cell r="CC929">
            <v>0</v>
          </cell>
          <cell r="CD929">
            <v>0</v>
          </cell>
          <cell r="CE929">
            <v>0</v>
          </cell>
          <cell r="CF929">
            <v>0</v>
          </cell>
          <cell r="CG929">
            <v>0</v>
          </cell>
          <cell r="CH929">
            <v>4</v>
          </cell>
          <cell r="CI929">
            <v>4</v>
          </cell>
          <cell r="CJ929">
            <v>0</v>
          </cell>
          <cell r="CK929">
            <v>0</v>
          </cell>
          <cell r="CL929">
            <v>0</v>
          </cell>
          <cell r="CM929">
            <v>0</v>
          </cell>
          <cell r="CR929">
            <v>0</v>
          </cell>
          <cell r="CS929">
            <v>0</v>
          </cell>
          <cell r="CT929">
            <v>28</v>
          </cell>
          <cell r="CU929">
            <v>0</v>
          </cell>
          <cell r="CV929">
            <v>0</v>
          </cell>
          <cell r="CZ929">
            <v>28</v>
          </cell>
        </row>
        <row r="930">
          <cell r="C930" t="str">
            <v>04477</v>
          </cell>
          <cell r="D930" t="str">
            <v>Giang Thị Diễm Sương</v>
          </cell>
          <cell r="E930" t="str">
            <v>QC</v>
          </cell>
          <cell r="F930" t="str">
            <v>QC</v>
          </cell>
          <cell r="G930" t="str">
            <v>Worker</v>
          </cell>
          <cell r="H930">
            <v>45714</v>
          </cell>
          <cell r="I930">
            <v>8</v>
          </cell>
          <cell r="J930" t="str">
            <v>CN</v>
          </cell>
          <cell r="K930" t="str">
            <v>Đ</v>
          </cell>
          <cell r="L930" t="str">
            <v>Đ</v>
          </cell>
          <cell r="M930" t="str">
            <v>Đ</v>
          </cell>
          <cell r="N930" t="str">
            <v>Đ</v>
          </cell>
          <cell r="O930" t="str">
            <v>Đ</v>
          </cell>
          <cell r="P930" t="str">
            <v>Đ</v>
          </cell>
          <cell r="Q930" t="str">
            <v>CN</v>
          </cell>
          <cell r="R930">
            <v>8</v>
          </cell>
          <cell r="S930">
            <v>8</v>
          </cell>
          <cell r="T930">
            <v>8</v>
          </cell>
          <cell r="U930">
            <v>8</v>
          </cell>
          <cell r="V930">
            <v>8</v>
          </cell>
          <cell r="W930">
            <v>8</v>
          </cell>
          <cell r="X930" t="str">
            <v>CN</v>
          </cell>
          <cell r="Y930" t="str">
            <v>Đ</v>
          </cell>
          <cell r="Z930" t="str">
            <v>Đ</v>
          </cell>
          <cell r="AA930" t="str">
            <v>Đ</v>
          </cell>
          <cell r="AB930" t="str">
            <v>Đ</v>
          </cell>
          <cell r="AC930" t="str">
            <v>Đ</v>
          </cell>
          <cell r="AD930" t="str">
            <v>Đ</v>
          </cell>
          <cell r="AE930" t="str">
            <v>CN</v>
          </cell>
          <cell r="AF930">
            <v>8</v>
          </cell>
          <cell r="AG930">
            <v>8</v>
          </cell>
          <cell r="AH930">
            <v>8</v>
          </cell>
          <cell r="AI930">
            <v>8</v>
          </cell>
          <cell r="AJ930" t="str">
            <v>M</v>
          </cell>
          <cell r="AN930">
            <v>96</v>
          </cell>
          <cell r="AO930">
            <v>88</v>
          </cell>
          <cell r="AP930">
            <v>0</v>
          </cell>
          <cell r="AQ930">
            <v>0</v>
          </cell>
          <cell r="AR930">
            <v>0</v>
          </cell>
          <cell r="AS930">
            <v>0</v>
          </cell>
          <cell r="AT930">
            <v>0</v>
          </cell>
          <cell r="AU930">
            <v>0</v>
          </cell>
          <cell r="AV930">
            <v>0</v>
          </cell>
          <cell r="AW930">
            <v>0</v>
          </cell>
          <cell r="AX930">
            <v>8</v>
          </cell>
          <cell r="AY930">
            <v>0</v>
          </cell>
          <cell r="AZ930">
            <v>0</v>
          </cell>
          <cell r="BA930">
            <v>0</v>
          </cell>
          <cell r="BB930">
            <v>0</v>
          </cell>
          <cell r="BC930">
            <v>0</v>
          </cell>
          <cell r="BD930">
            <v>0</v>
          </cell>
          <cell r="BE930">
            <v>0</v>
          </cell>
          <cell r="BF930">
            <v>0</v>
          </cell>
          <cell r="BG930">
            <v>184</v>
          </cell>
          <cell r="BH930">
            <v>0</v>
          </cell>
          <cell r="BI930">
            <v>0</v>
          </cell>
          <cell r="BJ930">
            <v>3</v>
          </cell>
          <cell r="BL930">
            <v>0</v>
          </cell>
          <cell r="BM930">
            <v>0</v>
          </cell>
          <cell r="BN930">
            <v>4</v>
          </cell>
          <cell r="BO930">
            <v>4</v>
          </cell>
          <cell r="BP930">
            <v>0</v>
          </cell>
          <cell r="BQ930">
            <v>0</v>
          </cell>
          <cell r="BR930">
            <v>0</v>
          </cell>
          <cell r="BS930">
            <v>0</v>
          </cell>
          <cell r="BT930">
            <v>0</v>
          </cell>
          <cell r="BU930">
            <v>4</v>
          </cell>
          <cell r="BV930">
            <v>4</v>
          </cell>
          <cell r="BW930">
            <v>0</v>
          </cell>
          <cell r="BX930">
            <v>0</v>
          </cell>
          <cell r="BY930">
            <v>0</v>
          </cell>
          <cell r="BZ930">
            <v>0</v>
          </cell>
          <cell r="CA930">
            <v>0</v>
          </cell>
          <cell r="CB930">
            <v>4</v>
          </cell>
          <cell r="CC930">
            <v>4</v>
          </cell>
          <cell r="CD930">
            <v>0</v>
          </cell>
          <cell r="CE930">
            <v>0</v>
          </cell>
          <cell r="CF930">
            <v>0</v>
          </cell>
          <cell r="CG930">
            <v>0</v>
          </cell>
          <cell r="CH930">
            <v>0</v>
          </cell>
          <cell r="CI930">
            <v>4</v>
          </cell>
          <cell r="CJ930">
            <v>4</v>
          </cell>
          <cell r="CK930">
            <v>0</v>
          </cell>
          <cell r="CL930">
            <v>0</v>
          </cell>
          <cell r="CM930">
            <v>0</v>
          </cell>
          <cell r="CR930">
            <v>0</v>
          </cell>
          <cell r="CS930">
            <v>0</v>
          </cell>
          <cell r="CT930">
            <v>32</v>
          </cell>
          <cell r="CU930">
            <v>0</v>
          </cell>
          <cell r="CV930">
            <v>0</v>
          </cell>
          <cell r="CZ930">
            <v>32</v>
          </cell>
        </row>
        <row r="931">
          <cell r="C931" t="str">
            <v>04478</v>
          </cell>
          <cell r="D931" t="str">
            <v>Trần Thị Thu Hiền</v>
          </cell>
          <cell r="E931" t="str">
            <v>PPC</v>
          </cell>
          <cell r="F931" t="str">
            <v>PPC</v>
          </cell>
          <cell r="G931" t="str">
            <v>Senior Staff</v>
          </cell>
          <cell r="H931">
            <v>45714</v>
          </cell>
          <cell r="I931">
            <v>8</v>
          </cell>
          <cell r="J931">
            <v>8</v>
          </cell>
          <cell r="K931" t="str">
            <v>PO</v>
          </cell>
          <cell r="L931" t="str">
            <v>CN</v>
          </cell>
          <cell r="M931">
            <v>8</v>
          </cell>
          <cell r="N931" t="str">
            <v>AL8</v>
          </cell>
          <cell r="O931">
            <v>8</v>
          </cell>
          <cell r="P931">
            <v>8</v>
          </cell>
          <cell r="Q931">
            <v>8</v>
          </cell>
          <cell r="R931" t="str">
            <v>PO</v>
          </cell>
          <cell r="S931" t="str">
            <v>CN</v>
          </cell>
          <cell r="T931">
            <v>8</v>
          </cell>
          <cell r="U931">
            <v>8</v>
          </cell>
          <cell r="V931">
            <v>8</v>
          </cell>
          <cell r="W931">
            <v>8</v>
          </cell>
          <cell r="X931">
            <v>8</v>
          </cell>
          <cell r="Y931" t="str">
            <v>PO</v>
          </cell>
          <cell r="Z931" t="str">
            <v>CN</v>
          </cell>
          <cell r="AA931">
            <v>8</v>
          </cell>
          <cell r="AB931">
            <v>8</v>
          </cell>
          <cell r="AC931">
            <v>8</v>
          </cell>
          <cell r="AD931">
            <v>8</v>
          </cell>
          <cell r="AE931">
            <v>8</v>
          </cell>
          <cell r="AF931" t="str">
            <v>PO</v>
          </cell>
          <cell r="AG931" t="str">
            <v>CN</v>
          </cell>
          <cell r="AH931">
            <v>8</v>
          </cell>
          <cell r="AI931">
            <v>8</v>
          </cell>
          <cell r="AJ931">
            <v>8</v>
          </cell>
          <cell r="AN931">
            <v>0</v>
          </cell>
          <cell r="AO931">
            <v>152</v>
          </cell>
          <cell r="AP931">
            <v>0</v>
          </cell>
          <cell r="AQ931">
            <v>0</v>
          </cell>
          <cell r="AR931">
            <v>0</v>
          </cell>
          <cell r="AS931">
            <v>0</v>
          </cell>
          <cell r="AT931">
            <v>0</v>
          </cell>
          <cell r="AU931">
            <v>0</v>
          </cell>
          <cell r="AV931">
            <v>32</v>
          </cell>
          <cell r="AW931">
            <v>0</v>
          </cell>
          <cell r="AX931">
            <v>0</v>
          </cell>
          <cell r="AY931">
            <v>0</v>
          </cell>
          <cell r="AZ931">
            <v>0</v>
          </cell>
          <cell r="BA931">
            <v>8</v>
          </cell>
          <cell r="BB931">
            <v>0</v>
          </cell>
          <cell r="BC931">
            <v>0</v>
          </cell>
          <cell r="BD931">
            <v>0</v>
          </cell>
          <cell r="BE931">
            <v>0</v>
          </cell>
          <cell r="BF931">
            <v>0</v>
          </cell>
          <cell r="BG931">
            <v>192</v>
          </cell>
          <cell r="BH931">
            <v>1</v>
          </cell>
          <cell r="BI931">
            <v>1</v>
          </cell>
          <cell r="BJ931">
            <v>4</v>
          </cell>
          <cell r="BL931">
            <v>0</v>
          </cell>
          <cell r="BM931">
            <v>0</v>
          </cell>
          <cell r="BN931">
            <v>0</v>
          </cell>
          <cell r="BO931">
            <v>0</v>
          </cell>
          <cell r="BP931">
            <v>0</v>
          </cell>
          <cell r="BQ931">
            <v>0</v>
          </cell>
          <cell r="BR931">
            <v>0</v>
          </cell>
          <cell r="BS931">
            <v>0</v>
          </cell>
          <cell r="BT931">
            <v>0</v>
          </cell>
          <cell r="BU931">
            <v>0</v>
          </cell>
          <cell r="BV931">
            <v>0</v>
          </cell>
          <cell r="BW931">
            <v>0</v>
          </cell>
          <cell r="BX931">
            <v>0</v>
          </cell>
          <cell r="BY931">
            <v>0</v>
          </cell>
          <cell r="BZ931">
            <v>0</v>
          </cell>
          <cell r="CA931">
            <v>0</v>
          </cell>
          <cell r="CB931">
            <v>0</v>
          </cell>
          <cell r="CC931">
            <v>0</v>
          </cell>
          <cell r="CD931">
            <v>0</v>
          </cell>
          <cell r="CE931">
            <v>0</v>
          </cell>
          <cell r="CF931">
            <v>0</v>
          </cell>
          <cell r="CG931">
            <v>0</v>
          </cell>
          <cell r="CH931">
            <v>0</v>
          </cell>
          <cell r="CI931">
            <v>0</v>
          </cell>
          <cell r="CJ931">
            <v>0</v>
          </cell>
          <cell r="CK931">
            <v>0</v>
          </cell>
          <cell r="CL931">
            <v>0</v>
          </cell>
          <cell r="CM931">
            <v>0</v>
          </cell>
          <cell r="CR931">
            <v>0</v>
          </cell>
          <cell r="CS931">
            <v>0</v>
          </cell>
          <cell r="CT931">
            <v>0</v>
          </cell>
          <cell r="CU931">
            <v>0</v>
          </cell>
          <cell r="CV931">
            <v>0</v>
          </cell>
          <cell r="CZ931">
            <v>0</v>
          </cell>
        </row>
        <row r="932">
          <cell r="C932" t="str">
            <v>04482</v>
          </cell>
          <cell r="D932" t="str">
            <v>Nguyễn Nhật Trường</v>
          </cell>
          <cell r="E932" t="str">
            <v>Production</v>
          </cell>
          <cell r="F932" t="str">
            <v>Die Cut</v>
          </cell>
          <cell r="G932" t="str">
            <v>Worker</v>
          </cell>
          <cell r="H932">
            <v>45716</v>
          </cell>
          <cell r="I932">
            <v>8</v>
          </cell>
          <cell r="J932">
            <v>8</v>
          </cell>
          <cell r="K932">
            <v>8</v>
          </cell>
          <cell r="L932" t="str">
            <v>CN</v>
          </cell>
          <cell r="M932" t="str">
            <v>Đ</v>
          </cell>
          <cell r="N932" t="str">
            <v>Đ</v>
          </cell>
          <cell r="O932" t="str">
            <v>Đ</v>
          </cell>
          <cell r="P932" t="str">
            <v>Đ</v>
          </cell>
          <cell r="Q932" t="str">
            <v>Đ</v>
          </cell>
          <cell r="R932" t="str">
            <v>Đ</v>
          </cell>
          <cell r="S932" t="str">
            <v>CN</v>
          </cell>
          <cell r="T932">
            <v>8</v>
          </cell>
          <cell r="U932">
            <v>8</v>
          </cell>
          <cell r="V932">
            <v>8</v>
          </cell>
          <cell r="W932">
            <v>8</v>
          </cell>
          <cell r="X932">
            <v>8</v>
          </cell>
          <cell r="Y932">
            <v>8</v>
          </cell>
          <cell r="Z932" t="str">
            <v>CN</v>
          </cell>
          <cell r="AA932" t="str">
            <v>Đ</v>
          </cell>
          <cell r="AB932" t="str">
            <v>Đ</v>
          </cell>
          <cell r="AC932" t="str">
            <v>Đ</v>
          </cell>
          <cell r="AD932" t="str">
            <v>Đ</v>
          </cell>
          <cell r="AE932" t="str">
            <v>Đ</v>
          </cell>
          <cell r="AF932" t="str">
            <v>Đ</v>
          </cell>
          <cell r="AG932" t="str">
            <v>CN</v>
          </cell>
          <cell r="AH932">
            <v>8</v>
          </cell>
          <cell r="AI932">
            <v>8</v>
          </cell>
          <cell r="AJ932">
            <v>8</v>
          </cell>
          <cell r="AN932">
            <v>96</v>
          </cell>
          <cell r="AO932">
            <v>96</v>
          </cell>
          <cell r="AP932">
            <v>0</v>
          </cell>
          <cell r="AQ932">
            <v>0</v>
          </cell>
          <cell r="AR932">
            <v>0</v>
          </cell>
          <cell r="AS932">
            <v>0</v>
          </cell>
          <cell r="AT932">
            <v>0</v>
          </cell>
          <cell r="AU932">
            <v>0</v>
          </cell>
          <cell r="AV932">
            <v>0</v>
          </cell>
          <cell r="AW932">
            <v>0</v>
          </cell>
          <cell r="AX932">
            <v>0</v>
          </cell>
          <cell r="AY932">
            <v>0</v>
          </cell>
          <cell r="AZ932">
            <v>0</v>
          </cell>
          <cell r="BA932">
            <v>0</v>
          </cell>
          <cell r="BB932">
            <v>0</v>
          </cell>
          <cell r="BC932">
            <v>0</v>
          </cell>
          <cell r="BD932">
            <v>0</v>
          </cell>
          <cell r="BE932">
            <v>0</v>
          </cell>
          <cell r="BF932">
            <v>0</v>
          </cell>
          <cell r="BG932">
            <v>192</v>
          </cell>
          <cell r="BH932">
            <v>0</v>
          </cell>
          <cell r="BI932">
            <v>0</v>
          </cell>
          <cell r="BJ932">
            <v>1</v>
          </cell>
          <cell r="BL932">
            <v>1.5</v>
          </cell>
          <cell r="BM932">
            <v>1.5</v>
          </cell>
          <cell r="BN932">
            <v>0</v>
          </cell>
          <cell r="BO932">
            <v>0</v>
          </cell>
          <cell r="BP932">
            <v>1.5</v>
          </cell>
          <cell r="BQ932">
            <v>0</v>
          </cell>
          <cell r="BR932">
            <v>0</v>
          </cell>
          <cell r="BS932">
            <v>4</v>
          </cell>
          <cell r="BT932">
            <v>4</v>
          </cell>
          <cell r="BU932">
            <v>4</v>
          </cell>
          <cell r="BV932">
            <v>0</v>
          </cell>
          <cell r="BW932">
            <v>3</v>
          </cell>
          <cell r="BX932">
            <v>3</v>
          </cell>
          <cell r="BY932">
            <v>3</v>
          </cell>
          <cell r="BZ932">
            <v>0</v>
          </cell>
          <cell r="CA932">
            <v>3</v>
          </cell>
          <cell r="CB932">
            <v>0</v>
          </cell>
          <cell r="CC932">
            <v>8</v>
          </cell>
          <cell r="CD932">
            <v>4</v>
          </cell>
          <cell r="CE932">
            <v>4</v>
          </cell>
          <cell r="CF932">
            <v>4</v>
          </cell>
          <cell r="CG932">
            <v>4</v>
          </cell>
          <cell r="CH932">
            <v>4</v>
          </cell>
          <cell r="CI932">
            <v>4</v>
          </cell>
          <cell r="CJ932">
            <v>0</v>
          </cell>
          <cell r="CK932">
            <v>3</v>
          </cell>
          <cell r="CL932">
            <v>3</v>
          </cell>
          <cell r="CM932">
            <v>3</v>
          </cell>
          <cell r="CR932">
            <v>0</v>
          </cell>
          <cell r="CS932">
            <v>0</v>
          </cell>
          <cell r="CT932">
            <v>61.5</v>
          </cell>
          <cell r="CU932">
            <v>8</v>
          </cell>
          <cell r="CV932">
            <v>0</v>
          </cell>
          <cell r="CZ932">
            <v>69.5</v>
          </cell>
        </row>
        <row r="933">
          <cell r="C933" t="str">
            <v>04483</v>
          </cell>
          <cell r="D933" t="str">
            <v>Nguyễn Chí Cường</v>
          </cell>
          <cell r="E933" t="str">
            <v>Production</v>
          </cell>
          <cell r="F933" t="str">
            <v>Lamination</v>
          </cell>
          <cell r="G933" t="str">
            <v>Worker</v>
          </cell>
          <cell r="H933">
            <v>45716</v>
          </cell>
          <cell r="I933">
            <v>8</v>
          </cell>
          <cell r="J933">
            <v>8</v>
          </cell>
          <cell r="K933">
            <v>8</v>
          </cell>
          <cell r="L933" t="str">
            <v>CN</v>
          </cell>
          <cell r="M933" t="str">
            <v>Đ</v>
          </cell>
          <cell r="N933" t="str">
            <v>Đ</v>
          </cell>
          <cell r="O933" t="str">
            <v>Đ</v>
          </cell>
          <cell r="P933" t="str">
            <v>Đ</v>
          </cell>
          <cell r="Q933" t="str">
            <v>Đ</v>
          </cell>
          <cell r="R933" t="str">
            <v>Đ</v>
          </cell>
          <cell r="S933" t="str">
            <v>CN</v>
          </cell>
          <cell r="T933">
            <v>8</v>
          </cell>
          <cell r="U933">
            <v>8</v>
          </cell>
          <cell r="V933">
            <v>8</v>
          </cell>
          <cell r="W933">
            <v>8</v>
          </cell>
          <cell r="X933">
            <v>8</v>
          </cell>
          <cell r="Y933">
            <v>8</v>
          </cell>
          <cell r="Z933" t="str">
            <v>CN</v>
          </cell>
          <cell r="AA933">
            <v>8</v>
          </cell>
          <cell r="AB933">
            <v>8</v>
          </cell>
          <cell r="AC933">
            <v>8</v>
          </cell>
          <cell r="AD933">
            <v>8</v>
          </cell>
          <cell r="AE933" t="str">
            <v>Đ</v>
          </cell>
          <cell r="AF933" t="str">
            <v>Đ</v>
          </cell>
          <cell r="AG933" t="str">
            <v>CN</v>
          </cell>
          <cell r="AH933">
            <v>8</v>
          </cell>
          <cell r="AI933">
            <v>8</v>
          </cell>
          <cell r="AJ933">
            <v>8</v>
          </cell>
          <cell r="AN933">
            <v>64</v>
          </cell>
          <cell r="AO933">
            <v>128</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192</v>
          </cell>
          <cell r="BH933">
            <v>0</v>
          </cell>
          <cell r="BI933">
            <v>0</v>
          </cell>
          <cell r="BJ933">
            <v>5.5</v>
          </cell>
          <cell r="BL933">
            <v>0</v>
          </cell>
          <cell r="BM933">
            <v>0</v>
          </cell>
          <cell r="BN933">
            <v>0</v>
          </cell>
          <cell r="BO933">
            <v>0</v>
          </cell>
          <cell r="BP933">
            <v>0</v>
          </cell>
          <cell r="BQ933">
            <v>0</v>
          </cell>
          <cell r="BR933">
            <v>0</v>
          </cell>
          <cell r="BS933">
            <v>0</v>
          </cell>
          <cell r="BT933">
            <v>0</v>
          </cell>
          <cell r="BU933">
            <v>4</v>
          </cell>
          <cell r="BV933">
            <v>0</v>
          </cell>
          <cell r="BW933">
            <v>0</v>
          </cell>
          <cell r="BX933">
            <v>4</v>
          </cell>
          <cell r="BY933">
            <v>0</v>
          </cell>
          <cell r="BZ933">
            <v>0</v>
          </cell>
          <cell r="CA933">
            <v>0</v>
          </cell>
          <cell r="CB933">
            <v>4</v>
          </cell>
          <cell r="CC933">
            <v>0</v>
          </cell>
          <cell r="CD933">
            <v>4</v>
          </cell>
          <cell r="CE933">
            <v>0</v>
          </cell>
          <cell r="CF933">
            <v>4</v>
          </cell>
          <cell r="CG933">
            <v>0</v>
          </cell>
          <cell r="CH933">
            <v>4</v>
          </cell>
          <cell r="CI933">
            <v>4</v>
          </cell>
          <cell r="CJ933">
            <v>0</v>
          </cell>
          <cell r="CK933">
            <v>0</v>
          </cell>
          <cell r="CL933">
            <v>0</v>
          </cell>
          <cell r="CM933">
            <v>0</v>
          </cell>
          <cell r="CR933">
            <v>0</v>
          </cell>
          <cell r="CS933">
            <v>0</v>
          </cell>
          <cell r="CT933">
            <v>28</v>
          </cell>
          <cell r="CU933">
            <v>0</v>
          </cell>
          <cell r="CV933">
            <v>0</v>
          </cell>
          <cell r="CZ933">
            <v>28</v>
          </cell>
        </row>
        <row r="934">
          <cell r="C934" t="str">
            <v>04486</v>
          </cell>
          <cell r="D934" t="str">
            <v>Lưu Thị Thúy Hòa</v>
          </cell>
          <cell r="E934" t="str">
            <v>Production</v>
          </cell>
          <cell r="F934" t="str">
            <v>Packing</v>
          </cell>
          <cell r="G934" t="str">
            <v>Worker</v>
          </cell>
          <cell r="H934">
            <v>45716</v>
          </cell>
          <cell r="I934">
            <v>8</v>
          </cell>
          <cell r="J934">
            <v>8</v>
          </cell>
          <cell r="K934">
            <v>8</v>
          </cell>
          <cell r="L934" t="str">
            <v>CN</v>
          </cell>
          <cell r="M934" t="str">
            <v>Đ</v>
          </cell>
          <cell r="N934" t="str">
            <v>Đ</v>
          </cell>
          <cell r="O934" t="str">
            <v>Đ</v>
          </cell>
          <cell r="P934" t="str">
            <v>Đ</v>
          </cell>
          <cell r="Q934" t="str">
            <v>Đ</v>
          </cell>
          <cell r="R934" t="str">
            <v>Đ</v>
          </cell>
          <cell r="S934" t="str">
            <v>CN</v>
          </cell>
          <cell r="T934">
            <v>8</v>
          </cell>
          <cell r="U934">
            <v>8</v>
          </cell>
          <cell r="V934">
            <v>8</v>
          </cell>
          <cell r="W934">
            <v>8</v>
          </cell>
          <cell r="X934">
            <v>8</v>
          </cell>
          <cell r="Y934">
            <v>8</v>
          </cell>
          <cell r="Z934" t="str">
            <v>CN</v>
          </cell>
          <cell r="AA934" t="str">
            <v>Đ</v>
          </cell>
          <cell r="AB934" t="str">
            <v>Đ</v>
          </cell>
          <cell r="AC934" t="str">
            <v>Đ</v>
          </cell>
          <cell r="AD934" t="str">
            <v>Đ</v>
          </cell>
          <cell r="AE934" t="str">
            <v>Đ</v>
          </cell>
          <cell r="AF934" t="str">
            <v>Đ</v>
          </cell>
          <cell r="AG934" t="str">
            <v>CN</v>
          </cell>
          <cell r="AH934">
            <v>8</v>
          </cell>
          <cell r="AI934">
            <v>8</v>
          </cell>
          <cell r="AJ934">
            <v>8</v>
          </cell>
          <cell r="AN934">
            <v>96</v>
          </cell>
          <cell r="AO934">
            <v>96</v>
          </cell>
          <cell r="AP934">
            <v>0</v>
          </cell>
          <cell r="AQ934">
            <v>0</v>
          </cell>
          <cell r="AR934">
            <v>0</v>
          </cell>
          <cell r="AS934">
            <v>0</v>
          </cell>
          <cell r="AT934">
            <v>0</v>
          </cell>
          <cell r="AU934">
            <v>0</v>
          </cell>
          <cell r="AV934">
            <v>0</v>
          </cell>
          <cell r="AW934">
            <v>0</v>
          </cell>
          <cell r="AX934">
            <v>0</v>
          </cell>
          <cell r="AY934">
            <v>0</v>
          </cell>
          <cell r="AZ934">
            <v>0</v>
          </cell>
          <cell r="BA934">
            <v>0</v>
          </cell>
          <cell r="BB934">
            <v>0</v>
          </cell>
          <cell r="BC934">
            <v>0</v>
          </cell>
          <cell r="BD934">
            <v>0</v>
          </cell>
          <cell r="BE934">
            <v>0</v>
          </cell>
          <cell r="BF934">
            <v>0</v>
          </cell>
          <cell r="BG934">
            <v>192</v>
          </cell>
          <cell r="BH934">
            <v>0</v>
          </cell>
          <cell r="BI934">
            <v>0</v>
          </cell>
          <cell r="BJ934">
            <v>0</v>
          </cell>
          <cell r="BL934">
            <v>0</v>
          </cell>
          <cell r="BM934">
            <v>1.5</v>
          </cell>
          <cell r="BN934">
            <v>0</v>
          </cell>
          <cell r="BO934">
            <v>0</v>
          </cell>
          <cell r="BP934">
            <v>1.5</v>
          </cell>
          <cell r="BQ934">
            <v>0</v>
          </cell>
          <cell r="BR934">
            <v>0</v>
          </cell>
          <cell r="BS934">
            <v>4</v>
          </cell>
          <cell r="BT934">
            <v>4</v>
          </cell>
          <cell r="BU934">
            <v>0</v>
          </cell>
          <cell r="BV934">
            <v>0</v>
          </cell>
          <cell r="BW934">
            <v>2</v>
          </cell>
          <cell r="BX934">
            <v>3</v>
          </cell>
          <cell r="BY934">
            <v>3</v>
          </cell>
          <cell r="BZ934">
            <v>3</v>
          </cell>
          <cell r="CA934">
            <v>3</v>
          </cell>
          <cell r="CB934">
            <v>3</v>
          </cell>
          <cell r="CC934">
            <v>0</v>
          </cell>
          <cell r="CD934">
            <v>4</v>
          </cell>
          <cell r="CE934">
            <v>1.5</v>
          </cell>
          <cell r="CF934">
            <v>4</v>
          </cell>
          <cell r="CG934">
            <v>4</v>
          </cell>
          <cell r="CH934">
            <v>4</v>
          </cell>
          <cell r="CI934">
            <v>4</v>
          </cell>
          <cell r="CJ934">
            <v>0</v>
          </cell>
          <cell r="CK934">
            <v>3</v>
          </cell>
          <cell r="CL934">
            <v>3</v>
          </cell>
          <cell r="CM934">
            <v>3</v>
          </cell>
          <cell r="CR934">
            <v>0</v>
          </cell>
          <cell r="CS934">
            <v>0</v>
          </cell>
          <cell r="CT934">
            <v>58.5</v>
          </cell>
          <cell r="CU934">
            <v>0</v>
          </cell>
          <cell r="CV934">
            <v>0</v>
          </cell>
          <cell r="CZ934">
            <v>58.5</v>
          </cell>
        </row>
        <row r="935">
          <cell r="C935" t="str">
            <v>04487</v>
          </cell>
          <cell r="D935" t="str">
            <v>Đỗ Đức Luận</v>
          </cell>
          <cell r="E935" t="str">
            <v>Production</v>
          </cell>
          <cell r="F935" t="str">
            <v>Die Cut</v>
          </cell>
          <cell r="G935" t="str">
            <v>Worker</v>
          </cell>
          <cell r="H935">
            <v>45716</v>
          </cell>
          <cell r="I935" t="str">
            <v>AL8</v>
          </cell>
          <cell r="J935" t="str">
            <v>UP8</v>
          </cell>
          <cell r="K935" t="str">
            <v>UP8</v>
          </cell>
          <cell r="L935" t="str">
            <v>CN</v>
          </cell>
          <cell r="M935" t="str">
            <v>UP8</v>
          </cell>
          <cell r="N935" t="str">
            <v>UP8</v>
          </cell>
          <cell r="O935" t="str">
            <v>UP8</v>
          </cell>
          <cell r="P935" t="str">
            <v>UP8</v>
          </cell>
          <cell r="Q935" t="str">
            <v>UP8</v>
          </cell>
          <cell r="R935" t="str">
            <v>UP8</v>
          </cell>
          <cell r="S935" t="str">
            <v>CN</v>
          </cell>
          <cell r="T935" t="str">
            <v>UP8</v>
          </cell>
          <cell r="U935" t="str">
            <v>UP8</v>
          </cell>
          <cell r="V935" t="str">
            <v>UP8</v>
          </cell>
          <cell r="W935" t="str">
            <v>NP</v>
          </cell>
          <cell r="X935" t="str">
            <v>NP</v>
          </cell>
          <cell r="Y935" t="str">
            <v>NP</v>
          </cell>
          <cell r="Z935" t="str">
            <v>CN</v>
          </cell>
          <cell r="AA935" t="str">
            <v>NP</v>
          </cell>
          <cell r="AB935" t="str">
            <v>NP</v>
          </cell>
          <cell r="AC935" t="str">
            <v>TV</v>
          </cell>
          <cell r="AD935" t="str">
            <v>TV</v>
          </cell>
          <cell r="AE935" t="str">
            <v>TV</v>
          </cell>
          <cell r="AF935" t="str">
            <v>TV</v>
          </cell>
          <cell r="AG935" t="str">
            <v>TV</v>
          </cell>
          <cell r="AH935" t="str">
            <v>TV</v>
          </cell>
          <cell r="AI935" t="str">
            <v>TV</v>
          </cell>
          <cell r="AJ935" t="str">
            <v>TV</v>
          </cell>
          <cell r="AN935">
            <v>0</v>
          </cell>
          <cell r="AO935">
            <v>0</v>
          </cell>
          <cell r="AP935">
            <v>0</v>
          </cell>
          <cell r="AQ935">
            <v>0</v>
          </cell>
          <cell r="AR935">
            <v>0</v>
          </cell>
          <cell r="AS935">
            <v>88</v>
          </cell>
          <cell r="AT935">
            <v>5</v>
          </cell>
          <cell r="AU935">
            <v>0</v>
          </cell>
          <cell r="AV935">
            <v>0</v>
          </cell>
          <cell r="AW935">
            <v>0</v>
          </cell>
          <cell r="AX935">
            <v>0</v>
          </cell>
          <cell r="AY935">
            <v>0</v>
          </cell>
          <cell r="AZ935">
            <v>0</v>
          </cell>
          <cell r="BA935">
            <v>8</v>
          </cell>
          <cell r="BB935">
            <v>0</v>
          </cell>
          <cell r="BC935">
            <v>0</v>
          </cell>
          <cell r="BD935">
            <v>0</v>
          </cell>
          <cell r="BE935">
            <v>0</v>
          </cell>
          <cell r="BF935">
            <v>0</v>
          </cell>
          <cell r="BG935">
            <v>8</v>
          </cell>
          <cell r="BH935">
            <v>1</v>
          </cell>
          <cell r="BI935">
            <v>1</v>
          </cell>
          <cell r="BJ935">
            <v>1</v>
          </cell>
          <cell r="BL935">
            <v>0</v>
          </cell>
          <cell r="BM935">
            <v>0</v>
          </cell>
          <cell r="BN935">
            <v>0</v>
          </cell>
          <cell r="BO935">
            <v>0</v>
          </cell>
          <cell r="BP935">
            <v>0</v>
          </cell>
          <cell r="BQ935">
            <v>0</v>
          </cell>
          <cell r="BR935">
            <v>0</v>
          </cell>
          <cell r="BS935">
            <v>0</v>
          </cell>
          <cell r="BT935">
            <v>0</v>
          </cell>
          <cell r="BU935">
            <v>0</v>
          </cell>
          <cell r="BV935">
            <v>0</v>
          </cell>
          <cell r="BW935">
            <v>0</v>
          </cell>
          <cell r="BX935">
            <v>0</v>
          </cell>
          <cell r="BY935">
            <v>0</v>
          </cell>
          <cell r="BZ935">
            <v>0</v>
          </cell>
          <cell r="CA935">
            <v>0</v>
          </cell>
          <cell r="CB935">
            <v>0</v>
          </cell>
          <cell r="CC935">
            <v>0</v>
          </cell>
          <cell r="CD935">
            <v>0</v>
          </cell>
          <cell r="CE935">
            <v>0</v>
          </cell>
          <cell r="CF935">
            <v>0</v>
          </cell>
          <cell r="CG935">
            <v>0</v>
          </cell>
          <cell r="CH935">
            <v>0</v>
          </cell>
          <cell r="CI935">
            <v>0</v>
          </cell>
          <cell r="CJ935">
            <v>0</v>
          </cell>
          <cell r="CK935">
            <v>0</v>
          </cell>
          <cell r="CL935">
            <v>0</v>
          </cell>
          <cell r="CM935">
            <v>0</v>
          </cell>
          <cell r="CR935">
            <v>0</v>
          </cell>
          <cell r="CS935">
            <v>0</v>
          </cell>
          <cell r="CT935">
            <v>0</v>
          </cell>
          <cell r="CU935">
            <v>0</v>
          </cell>
          <cell r="CV935">
            <v>0</v>
          </cell>
          <cell r="CZ935">
            <v>0</v>
          </cell>
        </row>
        <row r="936">
          <cell r="C936" t="str">
            <v>04488</v>
          </cell>
          <cell r="D936" t="str">
            <v>Trần Thị Thảo</v>
          </cell>
          <cell r="E936" t="str">
            <v>Production</v>
          </cell>
          <cell r="F936" t="str">
            <v>Prefitting</v>
          </cell>
          <cell r="G936" t="str">
            <v>Worker</v>
          </cell>
          <cell r="H936">
            <v>45716</v>
          </cell>
          <cell r="I936" t="str">
            <v>Đ</v>
          </cell>
          <cell r="J936" t="str">
            <v>Đ</v>
          </cell>
          <cell r="K936" t="str">
            <v>Đ</v>
          </cell>
          <cell r="L936" t="str">
            <v>CN</v>
          </cell>
          <cell r="M936">
            <v>8</v>
          </cell>
          <cell r="N936">
            <v>8</v>
          </cell>
          <cell r="O936">
            <v>8</v>
          </cell>
          <cell r="P936">
            <v>8</v>
          </cell>
          <cell r="Q936">
            <v>8</v>
          </cell>
          <cell r="R936">
            <v>8</v>
          </cell>
          <cell r="S936" t="str">
            <v>CN</v>
          </cell>
          <cell r="T936" t="str">
            <v>AL8</v>
          </cell>
          <cell r="U936" t="str">
            <v>AL8</v>
          </cell>
          <cell r="V936" t="str">
            <v>AL8</v>
          </cell>
          <cell r="W936" t="str">
            <v>AL8</v>
          </cell>
          <cell r="X936">
            <v>8</v>
          </cell>
          <cell r="Y936">
            <v>8</v>
          </cell>
          <cell r="Z936" t="str">
            <v>CN</v>
          </cell>
          <cell r="AA936">
            <v>8</v>
          </cell>
          <cell r="AB936">
            <v>8</v>
          </cell>
          <cell r="AC936">
            <v>8</v>
          </cell>
          <cell r="AD936">
            <v>8</v>
          </cell>
          <cell r="AE936" t="str">
            <v>CN</v>
          </cell>
          <cell r="AF936" t="str">
            <v>Đ</v>
          </cell>
          <cell r="AG936" t="str">
            <v>Đ</v>
          </cell>
          <cell r="AH936" t="str">
            <v>Đ</v>
          </cell>
          <cell r="AI936" t="str">
            <v>Đ</v>
          </cell>
          <cell r="AJ936" t="str">
            <v>Đ</v>
          </cell>
          <cell r="AN936">
            <v>64</v>
          </cell>
          <cell r="AO936">
            <v>96</v>
          </cell>
          <cell r="AP936">
            <v>0</v>
          </cell>
          <cell r="AQ936">
            <v>0</v>
          </cell>
          <cell r="AR936">
            <v>0</v>
          </cell>
          <cell r="AS936">
            <v>0</v>
          </cell>
          <cell r="AT936">
            <v>0</v>
          </cell>
          <cell r="AU936">
            <v>0</v>
          </cell>
          <cell r="AV936">
            <v>0</v>
          </cell>
          <cell r="AW936">
            <v>0</v>
          </cell>
          <cell r="AX936">
            <v>0</v>
          </cell>
          <cell r="AY936">
            <v>0</v>
          </cell>
          <cell r="AZ936">
            <v>0</v>
          </cell>
          <cell r="BA936">
            <v>32</v>
          </cell>
          <cell r="BB936">
            <v>0</v>
          </cell>
          <cell r="BC936">
            <v>0</v>
          </cell>
          <cell r="BD936">
            <v>0</v>
          </cell>
          <cell r="BE936">
            <v>0</v>
          </cell>
          <cell r="BF936">
            <v>0</v>
          </cell>
          <cell r="BG936">
            <v>192</v>
          </cell>
          <cell r="BH936">
            <v>4</v>
          </cell>
          <cell r="BI936">
            <v>4</v>
          </cell>
          <cell r="BJ936">
            <v>-2</v>
          </cell>
          <cell r="BL936">
            <v>0</v>
          </cell>
          <cell r="BM936">
            <v>0</v>
          </cell>
          <cell r="BN936">
            <v>0</v>
          </cell>
          <cell r="BO936">
            <v>0</v>
          </cell>
          <cell r="BP936">
            <v>0</v>
          </cell>
          <cell r="BQ936">
            <v>0</v>
          </cell>
          <cell r="BR936">
            <v>0</v>
          </cell>
          <cell r="BS936">
            <v>0</v>
          </cell>
          <cell r="BT936">
            <v>0</v>
          </cell>
          <cell r="BU936">
            <v>0</v>
          </cell>
          <cell r="BV936">
            <v>0</v>
          </cell>
          <cell r="BW936">
            <v>0</v>
          </cell>
          <cell r="BX936">
            <v>0</v>
          </cell>
          <cell r="BY936">
            <v>0</v>
          </cell>
          <cell r="BZ936">
            <v>0</v>
          </cell>
          <cell r="CA936">
            <v>0</v>
          </cell>
          <cell r="CB936">
            <v>4</v>
          </cell>
          <cell r="CC936">
            <v>0</v>
          </cell>
          <cell r="CD936">
            <v>0</v>
          </cell>
          <cell r="CE936">
            <v>0</v>
          </cell>
          <cell r="CF936">
            <v>0</v>
          </cell>
          <cell r="CG936">
            <v>0</v>
          </cell>
          <cell r="CH936">
            <v>0</v>
          </cell>
          <cell r="CI936">
            <v>4</v>
          </cell>
          <cell r="CJ936">
            <v>4</v>
          </cell>
          <cell r="CK936">
            <v>0</v>
          </cell>
          <cell r="CL936">
            <v>0</v>
          </cell>
          <cell r="CM936">
            <v>4</v>
          </cell>
          <cell r="CR936">
            <v>0</v>
          </cell>
          <cell r="CS936">
            <v>0</v>
          </cell>
          <cell r="CT936">
            <v>16</v>
          </cell>
          <cell r="CU936">
            <v>0</v>
          </cell>
          <cell r="CV936">
            <v>0</v>
          </cell>
          <cell r="CZ936">
            <v>16</v>
          </cell>
        </row>
        <row r="937">
          <cell r="C937" t="str">
            <v>04490</v>
          </cell>
          <cell r="D937" t="str">
            <v>Mai Thị Tâm</v>
          </cell>
          <cell r="E937" t="str">
            <v>Production</v>
          </cell>
          <cell r="F937" t="str">
            <v>Logo</v>
          </cell>
          <cell r="G937" t="str">
            <v>Worker</v>
          </cell>
          <cell r="H937">
            <v>45716</v>
          </cell>
          <cell r="I937" t="str">
            <v>Đ</v>
          </cell>
          <cell r="J937" t="str">
            <v>Đ</v>
          </cell>
          <cell r="K937" t="str">
            <v>Đ</v>
          </cell>
          <cell r="L937" t="str">
            <v>CN</v>
          </cell>
          <cell r="M937">
            <v>8</v>
          </cell>
          <cell r="N937">
            <v>8</v>
          </cell>
          <cell r="O937">
            <v>8</v>
          </cell>
          <cell r="P937">
            <v>8</v>
          </cell>
          <cell r="Q937">
            <v>8</v>
          </cell>
          <cell r="R937">
            <v>8</v>
          </cell>
          <cell r="S937" t="str">
            <v>CN</v>
          </cell>
          <cell r="T937" t="str">
            <v>Đ</v>
          </cell>
          <cell r="U937" t="str">
            <v>Đ</v>
          </cell>
          <cell r="V937" t="str">
            <v>Đ</v>
          </cell>
          <cell r="W937" t="str">
            <v>Đ</v>
          </cell>
          <cell r="X937" t="str">
            <v>Đ</v>
          </cell>
          <cell r="Y937" t="str">
            <v>Đ</v>
          </cell>
          <cell r="Z937" t="str">
            <v>CN</v>
          </cell>
          <cell r="AA937">
            <v>8</v>
          </cell>
          <cell r="AB937">
            <v>8</v>
          </cell>
          <cell r="AC937">
            <v>8</v>
          </cell>
          <cell r="AD937">
            <v>8</v>
          </cell>
          <cell r="AE937">
            <v>8</v>
          </cell>
          <cell r="AF937">
            <v>8</v>
          </cell>
          <cell r="AG937" t="str">
            <v>CN</v>
          </cell>
          <cell r="AH937" t="str">
            <v>Đ</v>
          </cell>
          <cell r="AI937" t="str">
            <v>Đ</v>
          </cell>
          <cell r="AJ937" t="str">
            <v>Đ</v>
          </cell>
          <cell r="AN937">
            <v>96</v>
          </cell>
          <cell r="AO937">
            <v>96</v>
          </cell>
          <cell r="AP937">
            <v>0</v>
          </cell>
          <cell r="AQ937">
            <v>0</v>
          </cell>
          <cell r="AR937">
            <v>0</v>
          </cell>
          <cell r="AS937">
            <v>0</v>
          </cell>
          <cell r="AT937">
            <v>0</v>
          </cell>
          <cell r="AU937">
            <v>0</v>
          </cell>
          <cell r="AV937">
            <v>0</v>
          </cell>
          <cell r="AW937">
            <v>0</v>
          </cell>
          <cell r="AX937">
            <v>0</v>
          </cell>
          <cell r="AY937">
            <v>0</v>
          </cell>
          <cell r="AZ937">
            <v>0</v>
          </cell>
          <cell r="BA937">
            <v>0</v>
          </cell>
          <cell r="BB937">
            <v>0</v>
          </cell>
          <cell r="BC937">
            <v>0</v>
          </cell>
          <cell r="BD937">
            <v>0</v>
          </cell>
          <cell r="BE937">
            <v>0</v>
          </cell>
          <cell r="BF937">
            <v>0</v>
          </cell>
          <cell r="BG937">
            <v>192</v>
          </cell>
          <cell r="BH937">
            <v>0</v>
          </cell>
          <cell r="BI937">
            <v>0</v>
          </cell>
          <cell r="BJ937">
            <v>7</v>
          </cell>
          <cell r="BL937">
            <v>1.5</v>
          </cell>
          <cell r="BM937">
            <v>1.5</v>
          </cell>
          <cell r="BN937">
            <v>1.5</v>
          </cell>
          <cell r="BO937">
            <v>0</v>
          </cell>
          <cell r="BP937">
            <v>1.5</v>
          </cell>
          <cell r="BQ937">
            <v>0</v>
          </cell>
          <cell r="BR937">
            <v>0</v>
          </cell>
          <cell r="BS937">
            <v>3</v>
          </cell>
          <cell r="BT937">
            <v>3</v>
          </cell>
          <cell r="BU937">
            <v>3</v>
          </cell>
          <cell r="BV937">
            <v>0</v>
          </cell>
          <cell r="BW937">
            <v>4</v>
          </cell>
          <cell r="BX937">
            <v>4</v>
          </cell>
          <cell r="BY937">
            <v>4</v>
          </cell>
          <cell r="BZ937">
            <v>4</v>
          </cell>
          <cell r="CA937">
            <v>4</v>
          </cell>
          <cell r="CB937">
            <v>4</v>
          </cell>
          <cell r="CC937">
            <v>0</v>
          </cell>
          <cell r="CD937">
            <v>3</v>
          </cell>
          <cell r="CE937">
            <v>3</v>
          </cell>
          <cell r="CF937">
            <v>3</v>
          </cell>
          <cell r="CG937">
            <v>3</v>
          </cell>
          <cell r="CH937">
            <v>3</v>
          </cell>
          <cell r="CI937">
            <v>3</v>
          </cell>
          <cell r="CJ937">
            <v>8</v>
          </cell>
          <cell r="CK937">
            <v>3</v>
          </cell>
          <cell r="CL937">
            <v>4</v>
          </cell>
          <cell r="CM937">
            <v>4</v>
          </cell>
          <cell r="CR937">
            <v>0</v>
          </cell>
          <cell r="CS937">
            <v>0</v>
          </cell>
          <cell r="CT937">
            <v>68</v>
          </cell>
          <cell r="CU937">
            <v>8</v>
          </cell>
          <cell r="CV937">
            <v>0</v>
          </cell>
          <cell r="CZ937">
            <v>76</v>
          </cell>
        </row>
        <row r="938">
          <cell r="C938" t="str">
            <v>04491</v>
          </cell>
          <cell r="D938" t="str">
            <v>Trần Thanh Tuấn</v>
          </cell>
          <cell r="E938" t="str">
            <v>Production</v>
          </cell>
          <cell r="F938" t="str">
            <v>Die Cut</v>
          </cell>
          <cell r="G938" t="str">
            <v>Worker</v>
          </cell>
          <cell r="H938">
            <v>45716</v>
          </cell>
          <cell r="I938" t="str">
            <v>Đ</v>
          </cell>
          <cell r="J938" t="str">
            <v>Đ</v>
          </cell>
          <cell r="K938" t="str">
            <v>Đ</v>
          </cell>
          <cell r="L938" t="str">
            <v>CN</v>
          </cell>
          <cell r="M938">
            <v>8</v>
          </cell>
          <cell r="N938" t="str">
            <v>SL</v>
          </cell>
          <cell r="O938">
            <v>8</v>
          </cell>
          <cell r="P938">
            <v>8</v>
          </cell>
          <cell r="Q938">
            <v>8</v>
          </cell>
          <cell r="R938">
            <v>8</v>
          </cell>
          <cell r="S938" t="str">
            <v>CN</v>
          </cell>
          <cell r="T938" t="str">
            <v>AL8</v>
          </cell>
          <cell r="U938" t="str">
            <v>Đ</v>
          </cell>
          <cell r="V938" t="str">
            <v>Đ</v>
          </cell>
          <cell r="W938" t="str">
            <v>Đ</v>
          </cell>
          <cell r="X938" t="str">
            <v>Đ</v>
          </cell>
          <cell r="Y938" t="str">
            <v>Đ</v>
          </cell>
          <cell r="Z938" t="str">
            <v>CN</v>
          </cell>
          <cell r="AA938">
            <v>8</v>
          </cell>
          <cell r="AB938">
            <v>8</v>
          </cell>
          <cell r="AC938">
            <v>8</v>
          </cell>
          <cell r="AD938">
            <v>8</v>
          </cell>
          <cell r="AE938">
            <v>8</v>
          </cell>
          <cell r="AF938">
            <v>8</v>
          </cell>
          <cell r="AG938" t="str">
            <v>CN</v>
          </cell>
          <cell r="AH938" t="str">
            <v>Đ</v>
          </cell>
          <cell r="AI938" t="str">
            <v>Đ</v>
          </cell>
          <cell r="AJ938" t="str">
            <v>Đ</v>
          </cell>
          <cell r="AN938">
            <v>88</v>
          </cell>
          <cell r="AO938">
            <v>88</v>
          </cell>
          <cell r="AP938">
            <v>0</v>
          </cell>
          <cell r="AQ938">
            <v>1</v>
          </cell>
          <cell r="AR938">
            <v>0</v>
          </cell>
          <cell r="AS938">
            <v>0</v>
          </cell>
          <cell r="AT938">
            <v>0</v>
          </cell>
          <cell r="AU938">
            <v>0</v>
          </cell>
          <cell r="AV938">
            <v>0</v>
          </cell>
          <cell r="AW938">
            <v>0</v>
          </cell>
          <cell r="AX938">
            <v>0</v>
          </cell>
          <cell r="AY938">
            <v>0</v>
          </cell>
          <cell r="AZ938">
            <v>0</v>
          </cell>
          <cell r="BA938">
            <v>8</v>
          </cell>
          <cell r="BB938">
            <v>0</v>
          </cell>
          <cell r="BC938">
            <v>0</v>
          </cell>
          <cell r="BD938">
            <v>0</v>
          </cell>
          <cell r="BE938">
            <v>0</v>
          </cell>
          <cell r="BF938">
            <v>0</v>
          </cell>
          <cell r="BG938">
            <v>184</v>
          </cell>
          <cell r="BH938">
            <v>1</v>
          </cell>
          <cell r="BI938">
            <v>1</v>
          </cell>
          <cell r="BJ938">
            <v>-1</v>
          </cell>
          <cell r="BL938">
            <v>1.5</v>
          </cell>
          <cell r="BM938">
            <v>1.5</v>
          </cell>
          <cell r="BN938">
            <v>1.5</v>
          </cell>
          <cell r="BO938">
            <v>0</v>
          </cell>
          <cell r="BP938">
            <v>1.5</v>
          </cell>
          <cell r="BQ938">
            <v>0</v>
          </cell>
          <cell r="BR938">
            <v>0</v>
          </cell>
          <cell r="BS938">
            <v>3</v>
          </cell>
          <cell r="BT938">
            <v>3</v>
          </cell>
          <cell r="BU938">
            <v>3</v>
          </cell>
          <cell r="BV938">
            <v>0</v>
          </cell>
          <cell r="BW938">
            <v>0</v>
          </cell>
          <cell r="BX938">
            <v>4</v>
          </cell>
          <cell r="BY938">
            <v>4</v>
          </cell>
          <cell r="BZ938">
            <v>4</v>
          </cell>
          <cell r="CA938">
            <v>4</v>
          </cell>
          <cell r="CB938">
            <v>4</v>
          </cell>
          <cell r="CC938">
            <v>0</v>
          </cell>
          <cell r="CD938">
            <v>3</v>
          </cell>
          <cell r="CE938">
            <v>3</v>
          </cell>
          <cell r="CF938">
            <v>3</v>
          </cell>
          <cell r="CG938">
            <v>3</v>
          </cell>
          <cell r="CH938">
            <v>3</v>
          </cell>
          <cell r="CI938">
            <v>2.5</v>
          </cell>
          <cell r="CJ938">
            <v>8</v>
          </cell>
          <cell r="CK938">
            <v>4</v>
          </cell>
          <cell r="CL938">
            <v>4</v>
          </cell>
          <cell r="CM938">
            <v>4</v>
          </cell>
          <cell r="CR938">
            <v>0</v>
          </cell>
          <cell r="CS938">
            <v>0</v>
          </cell>
          <cell r="CT938">
            <v>64.5</v>
          </cell>
          <cell r="CU938">
            <v>8</v>
          </cell>
          <cell r="CV938">
            <v>0</v>
          </cell>
          <cell r="CZ938">
            <v>72.5</v>
          </cell>
        </row>
        <row r="939">
          <cell r="C939" t="str">
            <v>04492</v>
          </cell>
          <cell r="D939" t="str">
            <v>Trần Thị Dịu</v>
          </cell>
          <cell r="E939" t="str">
            <v>Production</v>
          </cell>
          <cell r="F939" t="str">
            <v>Packing</v>
          </cell>
          <cell r="G939" t="str">
            <v>Worker</v>
          </cell>
          <cell r="H939">
            <v>45716</v>
          </cell>
          <cell r="I939" t="str">
            <v>Đ</v>
          </cell>
          <cell r="J939" t="str">
            <v>Đ</v>
          </cell>
          <cell r="K939" t="str">
            <v>Đ</v>
          </cell>
          <cell r="L939" t="str">
            <v>CN</v>
          </cell>
          <cell r="M939">
            <v>8</v>
          </cell>
          <cell r="N939">
            <v>8</v>
          </cell>
          <cell r="O939">
            <v>8</v>
          </cell>
          <cell r="P939">
            <v>8</v>
          </cell>
          <cell r="Q939">
            <v>8</v>
          </cell>
          <cell r="R939">
            <v>8</v>
          </cell>
          <cell r="S939" t="str">
            <v>CN</v>
          </cell>
          <cell r="T939" t="str">
            <v>Đ</v>
          </cell>
          <cell r="U939" t="str">
            <v>Đ</v>
          </cell>
          <cell r="V939" t="str">
            <v>Đ</v>
          </cell>
          <cell r="W939" t="str">
            <v>Đ</v>
          </cell>
          <cell r="X939" t="str">
            <v>Đ</v>
          </cell>
          <cell r="Y939" t="str">
            <v>Đ</v>
          </cell>
          <cell r="Z939" t="str">
            <v>CN</v>
          </cell>
          <cell r="AA939" t="str">
            <v>AL4</v>
          </cell>
          <cell r="AB939">
            <v>8</v>
          </cell>
          <cell r="AC939">
            <v>8</v>
          </cell>
          <cell r="AD939">
            <v>8</v>
          </cell>
          <cell r="AE939">
            <v>8</v>
          </cell>
          <cell r="AF939">
            <v>8</v>
          </cell>
          <cell r="AG939" t="str">
            <v>CN</v>
          </cell>
          <cell r="AH939" t="str">
            <v>Đ</v>
          </cell>
          <cell r="AI939" t="str">
            <v>Đ</v>
          </cell>
          <cell r="AJ939" t="str">
            <v>Đ</v>
          </cell>
          <cell r="AN939">
            <v>96</v>
          </cell>
          <cell r="AO939">
            <v>92</v>
          </cell>
          <cell r="AP939">
            <v>4</v>
          </cell>
          <cell r="AQ939">
            <v>0</v>
          </cell>
          <cell r="AR939">
            <v>0</v>
          </cell>
          <cell r="AS939">
            <v>0</v>
          </cell>
          <cell r="AT939">
            <v>0</v>
          </cell>
          <cell r="AU939">
            <v>0</v>
          </cell>
          <cell r="AV939">
            <v>0</v>
          </cell>
          <cell r="AW939">
            <v>0</v>
          </cell>
          <cell r="AX939">
            <v>0</v>
          </cell>
          <cell r="AY939">
            <v>0</v>
          </cell>
          <cell r="AZ939">
            <v>0</v>
          </cell>
          <cell r="BA939">
            <v>4</v>
          </cell>
          <cell r="BB939">
            <v>0</v>
          </cell>
          <cell r="BC939">
            <v>0</v>
          </cell>
          <cell r="BD939">
            <v>0</v>
          </cell>
          <cell r="BE939">
            <v>0</v>
          </cell>
          <cell r="BF939">
            <v>0</v>
          </cell>
          <cell r="BG939">
            <v>192</v>
          </cell>
          <cell r="BH939">
            <v>0.5</v>
          </cell>
          <cell r="BI939">
            <v>0.5</v>
          </cell>
          <cell r="BJ939">
            <v>-1</v>
          </cell>
          <cell r="BL939">
            <v>1.5</v>
          </cell>
          <cell r="BM939">
            <v>1.5</v>
          </cell>
          <cell r="BN939">
            <v>1.5</v>
          </cell>
          <cell r="BO939">
            <v>0</v>
          </cell>
          <cell r="BP939">
            <v>1.5</v>
          </cell>
          <cell r="BQ939">
            <v>0</v>
          </cell>
          <cell r="BR939">
            <v>0</v>
          </cell>
          <cell r="BS939">
            <v>3</v>
          </cell>
          <cell r="BT939">
            <v>3</v>
          </cell>
          <cell r="BU939">
            <v>3</v>
          </cell>
          <cell r="BV939">
            <v>0</v>
          </cell>
          <cell r="BW939">
            <v>4</v>
          </cell>
          <cell r="BX939">
            <v>4</v>
          </cell>
          <cell r="BY939">
            <v>4</v>
          </cell>
          <cell r="BZ939">
            <v>4</v>
          </cell>
          <cell r="CA939">
            <v>4</v>
          </cell>
          <cell r="CB939">
            <v>4</v>
          </cell>
          <cell r="CC939">
            <v>0</v>
          </cell>
          <cell r="CD939">
            <v>2</v>
          </cell>
          <cell r="CE939">
            <v>3</v>
          </cell>
          <cell r="CF939">
            <v>3</v>
          </cell>
          <cell r="CG939">
            <v>3</v>
          </cell>
          <cell r="CH939">
            <v>3</v>
          </cell>
          <cell r="CI939">
            <v>3</v>
          </cell>
          <cell r="CJ939">
            <v>8</v>
          </cell>
          <cell r="CK939">
            <v>4</v>
          </cell>
          <cell r="CL939">
            <v>4</v>
          </cell>
          <cell r="CM939">
            <v>4</v>
          </cell>
          <cell r="CR939">
            <v>0</v>
          </cell>
          <cell r="CS939">
            <v>0</v>
          </cell>
          <cell r="CT939">
            <v>68</v>
          </cell>
          <cell r="CU939">
            <v>8</v>
          </cell>
          <cell r="CV939">
            <v>0</v>
          </cell>
          <cell r="CZ939">
            <v>76</v>
          </cell>
        </row>
        <row r="940">
          <cell r="C940" t="str">
            <v>04494</v>
          </cell>
          <cell r="D940" t="str">
            <v>Bùi Văn Cảm</v>
          </cell>
          <cell r="E940" t="str">
            <v>Production</v>
          </cell>
          <cell r="F940" t="str">
            <v>Lamination</v>
          </cell>
          <cell r="G940" t="str">
            <v>Worker</v>
          </cell>
          <cell r="H940">
            <v>45716</v>
          </cell>
          <cell r="I940">
            <v>8</v>
          </cell>
          <cell r="J940">
            <v>8</v>
          </cell>
          <cell r="K940">
            <v>8</v>
          </cell>
          <cell r="L940" t="str">
            <v>CN</v>
          </cell>
          <cell r="M940">
            <v>8</v>
          </cell>
          <cell r="N940">
            <v>8</v>
          </cell>
          <cell r="O940">
            <v>8</v>
          </cell>
          <cell r="P940">
            <v>8</v>
          </cell>
          <cell r="Q940">
            <v>8</v>
          </cell>
          <cell r="R940">
            <v>8</v>
          </cell>
          <cell r="S940" t="str">
            <v>CN</v>
          </cell>
          <cell r="T940" t="str">
            <v>Đ</v>
          </cell>
          <cell r="U940" t="str">
            <v>AL8</v>
          </cell>
          <cell r="V940" t="str">
            <v>Đ</v>
          </cell>
          <cell r="W940" t="str">
            <v>Đ</v>
          </cell>
          <cell r="X940" t="str">
            <v>Đ</v>
          </cell>
          <cell r="Y940" t="str">
            <v>Đ</v>
          </cell>
          <cell r="Z940" t="str">
            <v>CN</v>
          </cell>
          <cell r="AA940" t="str">
            <v>Đ</v>
          </cell>
          <cell r="AB940" t="str">
            <v>Đ</v>
          </cell>
          <cell r="AC940" t="str">
            <v>Đ</v>
          </cell>
          <cell r="AD940" t="str">
            <v>Đ</v>
          </cell>
          <cell r="AE940" t="str">
            <v>CN</v>
          </cell>
          <cell r="AF940">
            <v>8</v>
          </cell>
          <cell r="AG940" t="str">
            <v>Đ</v>
          </cell>
          <cell r="AH940" t="str">
            <v>Đ</v>
          </cell>
          <cell r="AI940" t="str">
            <v>AL8</v>
          </cell>
          <cell r="AJ940" t="str">
            <v>Đ</v>
          </cell>
          <cell r="AN940">
            <v>96</v>
          </cell>
          <cell r="AO940">
            <v>80</v>
          </cell>
          <cell r="AP940">
            <v>0</v>
          </cell>
          <cell r="AQ940">
            <v>0</v>
          </cell>
          <cell r="AR940">
            <v>0</v>
          </cell>
          <cell r="AS940">
            <v>0</v>
          </cell>
          <cell r="AT940">
            <v>0</v>
          </cell>
          <cell r="AU940">
            <v>0</v>
          </cell>
          <cell r="AV940">
            <v>0</v>
          </cell>
          <cell r="AW940">
            <v>0</v>
          </cell>
          <cell r="AX940">
            <v>0</v>
          </cell>
          <cell r="AY940">
            <v>0</v>
          </cell>
          <cell r="AZ940">
            <v>0</v>
          </cell>
          <cell r="BA940">
            <v>16</v>
          </cell>
          <cell r="BB940">
            <v>0</v>
          </cell>
          <cell r="BC940">
            <v>0</v>
          </cell>
          <cell r="BD940">
            <v>0</v>
          </cell>
          <cell r="BE940">
            <v>0</v>
          </cell>
          <cell r="BF940">
            <v>0</v>
          </cell>
          <cell r="BG940">
            <v>192</v>
          </cell>
          <cell r="BH940">
            <v>2</v>
          </cell>
          <cell r="BI940">
            <v>2</v>
          </cell>
          <cell r="BJ940">
            <v>3</v>
          </cell>
          <cell r="BL940">
            <v>0</v>
          </cell>
          <cell r="BM940">
            <v>0</v>
          </cell>
          <cell r="BN940">
            <v>0</v>
          </cell>
          <cell r="BO940">
            <v>0</v>
          </cell>
          <cell r="BP940">
            <v>0</v>
          </cell>
          <cell r="BQ940">
            <v>0</v>
          </cell>
          <cell r="BR940">
            <v>0</v>
          </cell>
          <cell r="BS940">
            <v>0</v>
          </cell>
          <cell r="BT940">
            <v>0</v>
          </cell>
          <cell r="BU940">
            <v>4</v>
          </cell>
          <cell r="BV940">
            <v>0</v>
          </cell>
          <cell r="BW940">
            <v>0</v>
          </cell>
          <cell r="BX940">
            <v>0</v>
          </cell>
          <cell r="BY940">
            <v>0</v>
          </cell>
          <cell r="BZ940">
            <v>0</v>
          </cell>
          <cell r="CA940">
            <v>4</v>
          </cell>
          <cell r="CB940">
            <v>0</v>
          </cell>
          <cell r="CC940">
            <v>0</v>
          </cell>
          <cell r="CD940">
            <v>0</v>
          </cell>
          <cell r="CE940">
            <v>0</v>
          </cell>
          <cell r="CF940">
            <v>0</v>
          </cell>
          <cell r="CG940">
            <v>0</v>
          </cell>
          <cell r="CH940">
            <v>0</v>
          </cell>
          <cell r="CI940">
            <v>4</v>
          </cell>
          <cell r="CJ940">
            <v>4</v>
          </cell>
          <cell r="CK940">
            <v>0</v>
          </cell>
          <cell r="CL940">
            <v>0</v>
          </cell>
          <cell r="CM940">
            <v>0</v>
          </cell>
          <cell r="CR940">
            <v>0</v>
          </cell>
          <cell r="CS940">
            <v>0</v>
          </cell>
          <cell r="CT940">
            <v>16</v>
          </cell>
          <cell r="CU940">
            <v>0</v>
          </cell>
          <cell r="CV940">
            <v>0</v>
          </cell>
          <cell r="CZ940">
            <v>16</v>
          </cell>
        </row>
        <row r="941">
          <cell r="C941" t="str">
            <v>04495</v>
          </cell>
          <cell r="D941" t="str">
            <v>Nguyễn Tùng Lâm</v>
          </cell>
          <cell r="E941" t="str">
            <v>Production</v>
          </cell>
          <cell r="F941" t="str">
            <v>Prefitting</v>
          </cell>
          <cell r="G941" t="str">
            <v>Worker</v>
          </cell>
          <cell r="H941">
            <v>45716</v>
          </cell>
          <cell r="I941" t="str">
            <v>Đ</v>
          </cell>
          <cell r="J941" t="str">
            <v>Đ</v>
          </cell>
          <cell r="K941" t="str">
            <v>Đ</v>
          </cell>
          <cell r="L941" t="str">
            <v>CN</v>
          </cell>
          <cell r="M941">
            <v>8</v>
          </cell>
          <cell r="N941">
            <v>8</v>
          </cell>
          <cell r="O941">
            <v>8</v>
          </cell>
          <cell r="P941">
            <v>8</v>
          </cell>
          <cell r="Q941">
            <v>8</v>
          </cell>
          <cell r="R941">
            <v>8</v>
          </cell>
          <cell r="S941" t="str">
            <v>CN</v>
          </cell>
          <cell r="T941" t="str">
            <v>Đ</v>
          </cell>
          <cell r="U941" t="str">
            <v>Đ</v>
          </cell>
          <cell r="V941" t="str">
            <v>Đ</v>
          </cell>
          <cell r="W941" t="str">
            <v>Đ</v>
          </cell>
          <cell r="X941" t="str">
            <v>CN</v>
          </cell>
          <cell r="Y941">
            <v>8</v>
          </cell>
          <cell r="Z941">
            <v>8</v>
          </cell>
          <cell r="AA941">
            <v>8</v>
          </cell>
          <cell r="AB941">
            <v>8</v>
          </cell>
          <cell r="AC941">
            <v>8</v>
          </cell>
          <cell r="AD941">
            <v>8</v>
          </cell>
          <cell r="AE941" t="str">
            <v>CN</v>
          </cell>
          <cell r="AF941" t="str">
            <v>Đ</v>
          </cell>
          <cell r="AG941" t="str">
            <v>Đ</v>
          </cell>
          <cell r="AH941" t="str">
            <v>Đ</v>
          </cell>
          <cell r="AI941" t="str">
            <v>Đ</v>
          </cell>
          <cell r="AJ941" t="str">
            <v>Đ</v>
          </cell>
          <cell r="AN941">
            <v>96</v>
          </cell>
          <cell r="AO941">
            <v>96</v>
          </cell>
          <cell r="AP941">
            <v>0</v>
          </cell>
          <cell r="AQ941">
            <v>0</v>
          </cell>
          <cell r="AR941">
            <v>0</v>
          </cell>
          <cell r="AS941">
            <v>0</v>
          </cell>
          <cell r="AT941">
            <v>0</v>
          </cell>
          <cell r="AU941">
            <v>0</v>
          </cell>
          <cell r="AV941">
            <v>0</v>
          </cell>
          <cell r="AW941">
            <v>0</v>
          </cell>
          <cell r="AX941">
            <v>0</v>
          </cell>
          <cell r="AY941">
            <v>0</v>
          </cell>
          <cell r="AZ941">
            <v>0</v>
          </cell>
          <cell r="BA941">
            <v>0</v>
          </cell>
          <cell r="BB941">
            <v>0</v>
          </cell>
          <cell r="BC941">
            <v>0</v>
          </cell>
          <cell r="BD941">
            <v>0</v>
          </cell>
          <cell r="BE941">
            <v>0</v>
          </cell>
          <cell r="BF941">
            <v>0</v>
          </cell>
          <cell r="BG941">
            <v>192</v>
          </cell>
          <cell r="BH941">
            <v>0</v>
          </cell>
          <cell r="BI941">
            <v>0</v>
          </cell>
          <cell r="BJ941">
            <v>2</v>
          </cell>
          <cell r="BL941">
            <v>0</v>
          </cell>
          <cell r="BM941">
            <v>0</v>
          </cell>
          <cell r="BN941">
            <v>0</v>
          </cell>
          <cell r="BO941">
            <v>0</v>
          </cell>
          <cell r="BP941">
            <v>0</v>
          </cell>
          <cell r="BQ941">
            <v>0</v>
          </cell>
          <cell r="BR941">
            <v>0</v>
          </cell>
          <cell r="BS941">
            <v>0</v>
          </cell>
          <cell r="BT941">
            <v>0</v>
          </cell>
          <cell r="BU941">
            <v>0</v>
          </cell>
          <cell r="BV941">
            <v>0</v>
          </cell>
          <cell r="BW941">
            <v>0</v>
          </cell>
          <cell r="BX941">
            <v>4</v>
          </cell>
          <cell r="BY941">
            <v>0</v>
          </cell>
          <cell r="BZ941">
            <v>0</v>
          </cell>
          <cell r="CA941">
            <v>0</v>
          </cell>
          <cell r="CB941">
            <v>4</v>
          </cell>
          <cell r="CC941">
            <v>4</v>
          </cell>
          <cell r="CD941">
            <v>0</v>
          </cell>
          <cell r="CE941">
            <v>0</v>
          </cell>
          <cell r="CF941">
            <v>0</v>
          </cell>
          <cell r="CG941">
            <v>4</v>
          </cell>
          <cell r="CH941">
            <v>0</v>
          </cell>
          <cell r="CI941">
            <v>4</v>
          </cell>
          <cell r="CJ941">
            <v>4</v>
          </cell>
          <cell r="CK941">
            <v>4</v>
          </cell>
          <cell r="CL941">
            <v>0</v>
          </cell>
          <cell r="CM941">
            <v>0</v>
          </cell>
          <cell r="CR941">
            <v>0</v>
          </cell>
          <cell r="CS941">
            <v>0</v>
          </cell>
          <cell r="CT941">
            <v>28</v>
          </cell>
          <cell r="CU941">
            <v>0</v>
          </cell>
          <cell r="CV941">
            <v>0</v>
          </cell>
          <cell r="CZ941">
            <v>28</v>
          </cell>
        </row>
        <row r="942">
          <cell r="C942" t="str">
            <v>04496</v>
          </cell>
          <cell r="D942" t="str">
            <v>Nông Thị Quỳnh Như</v>
          </cell>
          <cell r="E942" t="str">
            <v>Production</v>
          </cell>
          <cell r="F942" t="str">
            <v>Packing</v>
          </cell>
          <cell r="G942" t="str">
            <v>Worker</v>
          </cell>
          <cell r="H942">
            <v>45716</v>
          </cell>
          <cell r="I942">
            <v>8</v>
          </cell>
          <cell r="J942">
            <v>8</v>
          </cell>
          <cell r="K942">
            <v>8</v>
          </cell>
          <cell r="L942" t="str">
            <v>CN</v>
          </cell>
          <cell r="M942" t="str">
            <v>Đ</v>
          </cell>
          <cell r="N942" t="str">
            <v>AL8</v>
          </cell>
          <cell r="O942" t="str">
            <v>Đ</v>
          </cell>
          <cell r="P942" t="str">
            <v>Đ</v>
          </cell>
          <cell r="Q942" t="str">
            <v>Đ</v>
          </cell>
          <cell r="R942" t="str">
            <v>Đ</v>
          </cell>
          <cell r="S942" t="str">
            <v>CN</v>
          </cell>
          <cell r="T942">
            <v>8</v>
          </cell>
          <cell r="U942">
            <v>8</v>
          </cell>
          <cell r="V942">
            <v>8</v>
          </cell>
          <cell r="W942">
            <v>8</v>
          </cell>
          <cell r="X942">
            <v>8</v>
          </cell>
          <cell r="Y942">
            <v>8</v>
          </cell>
          <cell r="Z942" t="str">
            <v>CN</v>
          </cell>
          <cell r="AA942" t="str">
            <v>Đ</v>
          </cell>
          <cell r="AB942" t="str">
            <v>Đ</v>
          </cell>
          <cell r="AC942" t="str">
            <v>Đ</v>
          </cell>
          <cell r="AD942" t="str">
            <v>Đ</v>
          </cell>
          <cell r="AE942" t="str">
            <v>Đ</v>
          </cell>
          <cell r="AF942" t="str">
            <v>Đ</v>
          </cell>
          <cell r="AG942" t="str">
            <v>CN</v>
          </cell>
          <cell r="AH942">
            <v>8</v>
          </cell>
          <cell r="AI942">
            <v>8</v>
          </cell>
          <cell r="AJ942">
            <v>8</v>
          </cell>
          <cell r="AN942">
            <v>88</v>
          </cell>
          <cell r="AO942">
            <v>96</v>
          </cell>
          <cell r="AP942">
            <v>0</v>
          </cell>
          <cell r="AQ942">
            <v>0</v>
          </cell>
          <cell r="AR942">
            <v>0</v>
          </cell>
          <cell r="AS942">
            <v>0</v>
          </cell>
          <cell r="AT942">
            <v>0</v>
          </cell>
          <cell r="AU942">
            <v>0</v>
          </cell>
          <cell r="AV942">
            <v>0</v>
          </cell>
          <cell r="AW942">
            <v>0</v>
          </cell>
          <cell r="AX942">
            <v>0</v>
          </cell>
          <cell r="AY942">
            <v>0</v>
          </cell>
          <cell r="AZ942">
            <v>0</v>
          </cell>
          <cell r="BA942">
            <v>8</v>
          </cell>
          <cell r="BB942">
            <v>0</v>
          </cell>
          <cell r="BC942">
            <v>0</v>
          </cell>
          <cell r="BD942">
            <v>0</v>
          </cell>
          <cell r="BE942">
            <v>0</v>
          </cell>
          <cell r="BF942">
            <v>0</v>
          </cell>
          <cell r="BG942">
            <v>192</v>
          </cell>
          <cell r="BH942">
            <v>1</v>
          </cell>
          <cell r="BI942">
            <v>1</v>
          </cell>
          <cell r="BJ942">
            <v>5</v>
          </cell>
          <cell r="BL942">
            <v>1.5</v>
          </cell>
          <cell r="BM942">
            <v>1.5</v>
          </cell>
          <cell r="BN942">
            <v>0</v>
          </cell>
          <cell r="BO942">
            <v>0</v>
          </cell>
          <cell r="BP942">
            <v>1.5</v>
          </cell>
          <cell r="BQ942">
            <v>0</v>
          </cell>
          <cell r="BR942">
            <v>0</v>
          </cell>
          <cell r="BS942">
            <v>4</v>
          </cell>
          <cell r="BT942">
            <v>0</v>
          </cell>
          <cell r="BU942">
            <v>4</v>
          </cell>
          <cell r="BV942">
            <v>0</v>
          </cell>
          <cell r="BW942">
            <v>3</v>
          </cell>
          <cell r="BX942">
            <v>3</v>
          </cell>
          <cell r="BY942">
            <v>3</v>
          </cell>
          <cell r="BZ942">
            <v>3</v>
          </cell>
          <cell r="CA942">
            <v>3</v>
          </cell>
          <cell r="CB942">
            <v>0</v>
          </cell>
          <cell r="CC942">
            <v>0</v>
          </cell>
          <cell r="CD942">
            <v>4</v>
          </cell>
          <cell r="CE942">
            <v>4</v>
          </cell>
          <cell r="CF942">
            <v>4</v>
          </cell>
          <cell r="CG942">
            <v>4</v>
          </cell>
          <cell r="CH942">
            <v>4</v>
          </cell>
          <cell r="CI942">
            <v>4</v>
          </cell>
          <cell r="CJ942">
            <v>0</v>
          </cell>
          <cell r="CK942">
            <v>3</v>
          </cell>
          <cell r="CL942">
            <v>3</v>
          </cell>
          <cell r="CM942">
            <v>3</v>
          </cell>
          <cell r="CR942">
            <v>0</v>
          </cell>
          <cell r="CS942">
            <v>0</v>
          </cell>
          <cell r="CT942">
            <v>60.5</v>
          </cell>
          <cell r="CU942">
            <v>0</v>
          </cell>
          <cell r="CV942">
            <v>0</v>
          </cell>
          <cell r="CZ942">
            <v>60.5</v>
          </cell>
        </row>
        <row r="943">
          <cell r="C943" t="str">
            <v>04498</v>
          </cell>
          <cell r="D943" t="str">
            <v>Hồ Ngọc Trúc Phương</v>
          </cell>
          <cell r="E943" t="str">
            <v>Production</v>
          </cell>
          <cell r="F943" t="str">
            <v>Packing</v>
          </cell>
          <cell r="G943" t="str">
            <v>Worker</v>
          </cell>
          <cell r="H943">
            <v>45716</v>
          </cell>
          <cell r="I943" t="str">
            <v>Đ</v>
          </cell>
          <cell r="J943" t="str">
            <v>Đ</v>
          </cell>
          <cell r="K943" t="str">
            <v>AL8</v>
          </cell>
          <cell r="L943" t="str">
            <v>CN</v>
          </cell>
          <cell r="M943" t="str">
            <v>SL</v>
          </cell>
          <cell r="N943" t="str">
            <v>AL8</v>
          </cell>
          <cell r="O943">
            <v>8</v>
          </cell>
          <cell r="P943" t="str">
            <v>UP8</v>
          </cell>
          <cell r="Q943" t="str">
            <v>UP8</v>
          </cell>
          <cell r="R943" t="str">
            <v>UP8</v>
          </cell>
          <cell r="S943" t="str">
            <v>CN</v>
          </cell>
          <cell r="T943" t="str">
            <v>UP8</v>
          </cell>
          <cell r="U943" t="str">
            <v>UP8</v>
          </cell>
          <cell r="V943" t="str">
            <v>UP8</v>
          </cell>
          <cell r="W943" t="str">
            <v>UP8</v>
          </cell>
          <cell r="X943" t="str">
            <v>UP8</v>
          </cell>
          <cell r="Y943" t="str">
            <v>UP8</v>
          </cell>
          <cell r="Z943" t="str">
            <v>CN</v>
          </cell>
          <cell r="AA943" t="str">
            <v>UP8</v>
          </cell>
          <cell r="AB943" t="str">
            <v>UP8</v>
          </cell>
          <cell r="AC943" t="str">
            <v>TV</v>
          </cell>
          <cell r="AD943" t="str">
            <v>TV</v>
          </cell>
          <cell r="AE943" t="str">
            <v>TV</v>
          </cell>
          <cell r="AF943" t="str">
            <v>TV</v>
          </cell>
          <cell r="AG943" t="str">
            <v>TV</v>
          </cell>
          <cell r="AH943" t="str">
            <v>TV</v>
          </cell>
          <cell r="AI943" t="str">
            <v>TV</v>
          </cell>
          <cell r="AJ943" t="str">
            <v>TV</v>
          </cell>
          <cell r="AN943">
            <v>16</v>
          </cell>
          <cell r="AO943">
            <v>8</v>
          </cell>
          <cell r="AP943">
            <v>0</v>
          </cell>
          <cell r="AQ943">
            <v>1</v>
          </cell>
          <cell r="AR943">
            <v>0</v>
          </cell>
          <cell r="AS943">
            <v>88</v>
          </cell>
          <cell r="AT943">
            <v>0</v>
          </cell>
          <cell r="AU943">
            <v>0</v>
          </cell>
          <cell r="AV943">
            <v>0</v>
          </cell>
          <cell r="AW943">
            <v>0</v>
          </cell>
          <cell r="AX943">
            <v>0</v>
          </cell>
          <cell r="AY943">
            <v>0</v>
          </cell>
          <cell r="AZ943">
            <v>0</v>
          </cell>
          <cell r="BA943">
            <v>16</v>
          </cell>
          <cell r="BB943">
            <v>0</v>
          </cell>
          <cell r="BC943">
            <v>0</v>
          </cell>
          <cell r="BD943">
            <v>0</v>
          </cell>
          <cell r="BE943">
            <v>0</v>
          </cell>
          <cell r="BF943">
            <v>0</v>
          </cell>
          <cell r="BG943">
            <v>40</v>
          </cell>
          <cell r="BH943">
            <v>2</v>
          </cell>
          <cell r="BI943">
            <v>2</v>
          </cell>
          <cell r="BJ943">
            <v>-3</v>
          </cell>
          <cell r="BL943">
            <v>1.5</v>
          </cell>
          <cell r="BM943">
            <v>1.5</v>
          </cell>
          <cell r="BN943">
            <v>0</v>
          </cell>
          <cell r="BO943">
            <v>0</v>
          </cell>
          <cell r="BP943">
            <v>0</v>
          </cell>
          <cell r="BQ943">
            <v>0</v>
          </cell>
          <cell r="BR943">
            <v>0</v>
          </cell>
          <cell r="BS943">
            <v>0</v>
          </cell>
          <cell r="BT943">
            <v>0</v>
          </cell>
          <cell r="BU943">
            <v>0</v>
          </cell>
          <cell r="BV943">
            <v>0</v>
          </cell>
          <cell r="BW943">
            <v>0</v>
          </cell>
          <cell r="BX943">
            <v>0</v>
          </cell>
          <cell r="BY943">
            <v>0</v>
          </cell>
          <cell r="BZ943">
            <v>0</v>
          </cell>
          <cell r="CA943">
            <v>0</v>
          </cell>
          <cell r="CB943">
            <v>0</v>
          </cell>
          <cell r="CC943">
            <v>0</v>
          </cell>
          <cell r="CD943">
            <v>0</v>
          </cell>
          <cell r="CE943">
            <v>0</v>
          </cell>
          <cell r="CF943">
            <v>0</v>
          </cell>
          <cell r="CG943">
            <v>0</v>
          </cell>
          <cell r="CH943">
            <v>0</v>
          </cell>
          <cell r="CI943">
            <v>0</v>
          </cell>
          <cell r="CJ943">
            <v>0</v>
          </cell>
          <cell r="CK943">
            <v>0</v>
          </cell>
          <cell r="CL943">
            <v>0</v>
          </cell>
          <cell r="CM943">
            <v>0</v>
          </cell>
          <cell r="CR943">
            <v>0</v>
          </cell>
          <cell r="CS943">
            <v>0</v>
          </cell>
          <cell r="CT943">
            <v>3</v>
          </cell>
          <cell r="CU943">
            <v>0</v>
          </cell>
          <cell r="CV943">
            <v>0</v>
          </cell>
          <cell r="CZ943">
            <v>3</v>
          </cell>
        </row>
        <row r="944">
          <cell r="C944" t="str">
            <v>04499</v>
          </cell>
          <cell r="D944" t="str">
            <v>Nguyễn Thị Đoan Thục</v>
          </cell>
          <cell r="E944" t="str">
            <v>Production</v>
          </cell>
          <cell r="F944" t="str">
            <v>Logo</v>
          </cell>
          <cell r="G944" t="str">
            <v>Worker</v>
          </cell>
          <cell r="H944">
            <v>45716</v>
          </cell>
          <cell r="I944" t="str">
            <v>Đ</v>
          </cell>
          <cell r="J944" t="str">
            <v>Đ</v>
          </cell>
          <cell r="K944" t="str">
            <v>Đ</v>
          </cell>
          <cell r="L944" t="str">
            <v>CN</v>
          </cell>
          <cell r="M944">
            <v>8</v>
          </cell>
          <cell r="N944">
            <v>8</v>
          </cell>
          <cell r="O944">
            <v>8</v>
          </cell>
          <cell r="P944">
            <v>8</v>
          </cell>
          <cell r="Q944">
            <v>8</v>
          </cell>
          <cell r="R944">
            <v>8</v>
          </cell>
          <cell r="S944" t="str">
            <v>CN</v>
          </cell>
          <cell r="T944" t="str">
            <v>Đ</v>
          </cell>
          <cell r="U944" t="str">
            <v>Đ</v>
          </cell>
          <cell r="V944" t="str">
            <v>Đ</v>
          </cell>
          <cell r="W944" t="str">
            <v>Đ</v>
          </cell>
          <cell r="X944" t="str">
            <v>Đ</v>
          </cell>
          <cell r="Y944" t="str">
            <v>Đ</v>
          </cell>
          <cell r="Z944" t="str">
            <v>CN</v>
          </cell>
          <cell r="AA944">
            <v>8</v>
          </cell>
          <cell r="AB944">
            <v>8</v>
          </cell>
          <cell r="AC944">
            <v>8</v>
          </cell>
          <cell r="AD944">
            <v>8</v>
          </cell>
          <cell r="AE944">
            <v>8</v>
          </cell>
          <cell r="AF944">
            <v>8</v>
          </cell>
          <cell r="AG944" t="str">
            <v>CN</v>
          </cell>
          <cell r="AH944" t="str">
            <v>Đ</v>
          </cell>
          <cell r="AI944" t="str">
            <v>Đ</v>
          </cell>
          <cell r="AJ944" t="str">
            <v>Đ</v>
          </cell>
          <cell r="AN944">
            <v>96</v>
          </cell>
          <cell r="AO944">
            <v>96</v>
          </cell>
          <cell r="AP944">
            <v>0</v>
          </cell>
          <cell r="AQ944">
            <v>0</v>
          </cell>
          <cell r="AR944">
            <v>0</v>
          </cell>
          <cell r="AS944">
            <v>0</v>
          </cell>
          <cell r="AT944">
            <v>0</v>
          </cell>
          <cell r="AU944">
            <v>0</v>
          </cell>
          <cell r="AV944">
            <v>0</v>
          </cell>
          <cell r="AW944">
            <v>0</v>
          </cell>
          <cell r="AX944">
            <v>0</v>
          </cell>
          <cell r="AY944">
            <v>0</v>
          </cell>
          <cell r="AZ944">
            <v>0</v>
          </cell>
          <cell r="BA944">
            <v>0</v>
          </cell>
          <cell r="BB944">
            <v>0</v>
          </cell>
          <cell r="BC944">
            <v>0</v>
          </cell>
          <cell r="BD944">
            <v>0</v>
          </cell>
          <cell r="BE944">
            <v>0</v>
          </cell>
          <cell r="BF944">
            <v>0</v>
          </cell>
          <cell r="BG944">
            <v>192</v>
          </cell>
          <cell r="BH944">
            <v>0</v>
          </cell>
          <cell r="BI944">
            <v>0</v>
          </cell>
          <cell r="BJ944">
            <v>1.5</v>
          </cell>
          <cell r="BL944">
            <v>1.5</v>
          </cell>
          <cell r="BM944">
            <v>1.5</v>
          </cell>
          <cell r="BN944">
            <v>1.5</v>
          </cell>
          <cell r="BO944">
            <v>0</v>
          </cell>
          <cell r="BP944">
            <v>1.5</v>
          </cell>
          <cell r="BQ944">
            <v>0</v>
          </cell>
          <cell r="BR944">
            <v>0</v>
          </cell>
          <cell r="BS944">
            <v>3</v>
          </cell>
          <cell r="BT944">
            <v>3</v>
          </cell>
          <cell r="BU944">
            <v>3</v>
          </cell>
          <cell r="BV944">
            <v>0</v>
          </cell>
          <cell r="BW944">
            <v>4</v>
          </cell>
          <cell r="BX944">
            <v>4</v>
          </cell>
          <cell r="BY944">
            <v>4</v>
          </cell>
          <cell r="BZ944">
            <v>4</v>
          </cell>
          <cell r="CA944">
            <v>4</v>
          </cell>
          <cell r="CB944">
            <v>4</v>
          </cell>
          <cell r="CC944">
            <v>0</v>
          </cell>
          <cell r="CD944">
            <v>3</v>
          </cell>
          <cell r="CE944">
            <v>3</v>
          </cell>
          <cell r="CF944">
            <v>3</v>
          </cell>
          <cell r="CG944">
            <v>3</v>
          </cell>
          <cell r="CH944">
            <v>3</v>
          </cell>
          <cell r="CI944">
            <v>3</v>
          </cell>
          <cell r="CJ944">
            <v>8</v>
          </cell>
          <cell r="CK944">
            <v>4</v>
          </cell>
          <cell r="CL944">
            <v>4</v>
          </cell>
          <cell r="CM944">
            <v>4</v>
          </cell>
          <cell r="CR944">
            <v>0</v>
          </cell>
          <cell r="CS944">
            <v>0</v>
          </cell>
          <cell r="CT944">
            <v>69</v>
          </cell>
          <cell r="CU944">
            <v>8</v>
          </cell>
          <cell r="CV944">
            <v>0</v>
          </cell>
          <cell r="CZ944">
            <v>77</v>
          </cell>
        </row>
        <row r="945">
          <cell r="C945" t="str">
            <v>04500</v>
          </cell>
          <cell r="D945" t="str">
            <v>Phạm Thị Quỳnh Chi</v>
          </cell>
          <cell r="E945" t="str">
            <v>Production</v>
          </cell>
          <cell r="F945" t="str">
            <v>Packing</v>
          </cell>
          <cell r="G945" t="str">
            <v>Worker</v>
          </cell>
          <cell r="H945">
            <v>45716</v>
          </cell>
          <cell r="I945">
            <v>8</v>
          </cell>
          <cell r="J945">
            <v>8</v>
          </cell>
          <cell r="K945">
            <v>8</v>
          </cell>
          <cell r="L945" t="str">
            <v>CN</v>
          </cell>
          <cell r="M945" t="str">
            <v>Đ</v>
          </cell>
          <cell r="N945" t="str">
            <v>Đ</v>
          </cell>
          <cell r="O945" t="str">
            <v>Đ</v>
          </cell>
          <cell r="P945" t="str">
            <v>Đ</v>
          </cell>
          <cell r="Q945" t="str">
            <v>Đ</v>
          </cell>
          <cell r="R945" t="str">
            <v>Đ</v>
          </cell>
          <cell r="S945" t="str">
            <v>CN</v>
          </cell>
          <cell r="T945">
            <v>8</v>
          </cell>
          <cell r="U945">
            <v>8</v>
          </cell>
          <cell r="V945">
            <v>8</v>
          </cell>
          <cell r="W945">
            <v>8</v>
          </cell>
          <cell r="X945">
            <v>8</v>
          </cell>
          <cell r="Y945">
            <v>8</v>
          </cell>
          <cell r="Z945" t="str">
            <v>CN</v>
          </cell>
          <cell r="AA945" t="str">
            <v>Đ</v>
          </cell>
          <cell r="AB945" t="str">
            <v>AL8</v>
          </cell>
          <cell r="AC945" t="str">
            <v>Đ</v>
          </cell>
          <cell r="AD945" t="str">
            <v>Đ</v>
          </cell>
          <cell r="AE945" t="str">
            <v>Đ</v>
          </cell>
          <cell r="AF945" t="str">
            <v>Đ</v>
          </cell>
          <cell r="AG945" t="str">
            <v>CN</v>
          </cell>
          <cell r="AH945">
            <v>8</v>
          </cell>
          <cell r="AI945">
            <v>8</v>
          </cell>
          <cell r="AJ945">
            <v>8</v>
          </cell>
          <cell r="AN945">
            <v>88</v>
          </cell>
          <cell r="AO945">
            <v>96</v>
          </cell>
          <cell r="AP945">
            <v>0</v>
          </cell>
          <cell r="AQ945">
            <v>0</v>
          </cell>
          <cell r="AR945">
            <v>0</v>
          </cell>
          <cell r="AS945">
            <v>0</v>
          </cell>
          <cell r="AT945">
            <v>0</v>
          </cell>
          <cell r="AU945">
            <v>0</v>
          </cell>
          <cell r="AV945">
            <v>0</v>
          </cell>
          <cell r="AW945">
            <v>0</v>
          </cell>
          <cell r="AX945">
            <v>0</v>
          </cell>
          <cell r="AY945">
            <v>0</v>
          </cell>
          <cell r="AZ945">
            <v>0</v>
          </cell>
          <cell r="BA945">
            <v>8</v>
          </cell>
          <cell r="BB945">
            <v>0</v>
          </cell>
          <cell r="BC945">
            <v>0</v>
          </cell>
          <cell r="BD945">
            <v>0</v>
          </cell>
          <cell r="BE945">
            <v>0</v>
          </cell>
          <cell r="BF945">
            <v>0</v>
          </cell>
          <cell r="BG945">
            <v>192</v>
          </cell>
          <cell r="BH945">
            <v>1</v>
          </cell>
          <cell r="BI945">
            <v>1</v>
          </cell>
          <cell r="BJ945">
            <v>2</v>
          </cell>
          <cell r="BL945">
            <v>1.5</v>
          </cell>
          <cell r="BM945">
            <v>1.5</v>
          </cell>
          <cell r="BN945">
            <v>1.5</v>
          </cell>
          <cell r="BO945">
            <v>0</v>
          </cell>
          <cell r="BP945">
            <v>1.5</v>
          </cell>
          <cell r="BQ945">
            <v>0</v>
          </cell>
          <cell r="BR945">
            <v>0</v>
          </cell>
          <cell r="BS945">
            <v>4</v>
          </cell>
          <cell r="BT945">
            <v>4</v>
          </cell>
          <cell r="BU945">
            <v>4</v>
          </cell>
          <cell r="BV945">
            <v>0</v>
          </cell>
          <cell r="BW945">
            <v>3</v>
          </cell>
          <cell r="BX945">
            <v>3</v>
          </cell>
          <cell r="BY945">
            <v>3</v>
          </cell>
          <cell r="BZ945">
            <v>3</v>
          </cell>
          <cell r="CA945">
            <v>3</v>
          </cell>
          <cell r="CB945">
            <v>3</v>
          </cell>
          <cell r="CC945">
            <v>8</v>
          </cell>
          <cell r="CD945">
            <v>4</v>
          </cell>
          <cell r="CE945">
            <v>0</v>
          </cell>
          <cell r="CF945">
            <v>4</v>
          </cell>
          <cell r="CG945">
            <v>4</v>
          </cell>
          <cell r="CH945">
            <v>4</v>
          </cell>
          <cell r="CI945">
            <v>4</v>
          </cell>
          <cell r="CJ945">
            <v>0</v>
          </cell>
          <cell r="CK945">
            <v>3</v>
          </cell>
          <cell r="CL945">
            <v>3</v>
          </cell>
          <cell r="CM945">
            <v>3</v>
          </cell>
          <cell r="CR945">
            <v>0</v>
          </cell>
          <cell r="CS945">
            <v>0</v>
          </cell>
          <cell r="CT945">
            <v>65</v>
          </cell>
          <cell r="CU945">
            <v>8</v>
          </cell>
          <cell r="CV945">
            <v>0</v>
          </cell>
          <cell r="CZ945">
            <v>73</v>
          </cell>
        </row>
        <row r="946">
          <cell r="C946" t="str">
            <v>04501</v>
          </cell>
          <cell r="D946" t="str">
            <v>Võ Thị Bích Ngọc</v>
          </cell>
          <cell r="E946" t="str">
            <v>Production</v>
          </cell>
          <cell r="F946" t="str">
            <v>Logo</v>
          </cell>
          <cell r="G946" t="str">
            <v>Worker</v>
          </cell>
          <cell r="H946">
            <v>45716</v>
          </cell>
          <cell r="I946">
            <v>8</v>
          </cell>
          <cell r="J946">
            <v>8</v>
          </cell>
          <cell r="K946">
            <v>8</v>
          </cell>
          <cell r="L946" t="str">
            <v>CN</v>
          </cell>
          <cell r="M946" t="str">
            <v>Đ</v>
          </cell>
          <cell r="N946" t="str">
            <v>Đ</v>
          </cell>
          <cell r="O946" t="str">
            <v>Đ</v>
          </cell>
          <cell r="P946" t="str">
            <v>Đ</v>
          </cell>
          <cell r="Q946" t="str">
            <v>Đ</v>
          </cell>
          <cell r="R946" t="str">
            <v>AL8</v>
          </cell>
          <cell r="S946" t="str">
            <v>CN</v>
          </cell>
          <cell r="T946">
            <v>8</v>
          </cell>
          <cell r="U946">
            <v>8</v>
          </cell>
          <cell r="V946">
            <v>8</v>
          </cell>
          <cell r="W946">
            <v>8</v>
          </cell>
          <cell r="X946">
            <v>8</v>
          </cell>
          <cell r="Y946">
            <v>8</v>
          </cell>
          <cell r="Z946" t="str">
            <v>CN</v>
          </cell>
          <cell r="AA946" t="str">
            <v>Đ</v>
          </cell>
          <cell r="AB946" t="str">
            <v>Đ</v>
          </cell>
          <cell r="AC946" t="str">
            <v>Đ</v>
          </cell>
          <cell r="AD946" t="str">
            <v>Đ</v>
          </cell>
          <cell r="AE946" t="str">
            <v>Đ</v>
          </cell>
          <cell r="AF946" t="str">
            <v>SL</v>
          </cell>
          <cell r="AG946" t="str">
            <v>CN</v>
          </cell>
          <cell r="AH946">
            <v>8</v>
          </cell>
          <cell r="AI946">
            <v>8</v>
          </cell>
          <cell r="AJ946">
            <v>8</v>
          </cell>
          <cell r="AN946">
            <v>80</v>
          </cell>
          <cell r="AO946">
            <v>96</v>
          </cell>
          <cell r="AP946">
            <v>0</v>
          </cell>
          <cell r="AQ946">
            <v>1</v>
          </cell>
          <cell r="AR946">
            <v>0</v>
          </cell>
          <cell r="AS946">
            <v>0</v>
          </cell>
          <cell r="AT946">
            <v>0</v>
          </cell>
          <cell r="AU946">
            <v>0</v>
          </cell>
          <cell r="AV946">
            <v>0</v>
          </cell>
          <cell r="AW946">
            <v>0</v>
          </cell>
          <cell r="AX946">
            <v>0</v>
          </cell>
          <cell r="AY946">
            <v>0</v>
          </cell>
          <cell r="AZ946">
            <v>0</v>
          </cell>
          <cell r="BA946">
            <v>8</v>
          </cell>
          <cell r="BB946">
            <v>0</v>
          </cell>
          <cell r="BC946">
            <v>0</v>
          </cell>
          <cell r="BD946">
            <v>0</v>
          </cell>
          <cell r="BE946">
            <v>0</v>
          </cell>
          <cell r="BF946">
            <v>0</v>
          </cell>
          <cell r="BG946">
            <v>184</v>
          </cell>
          <cell r="BH946">
            <v>1</v>
          </cell>
          <cell r="BI946">
            <v>1</v>
          </cell>
          <cell r="BJ946">
            <v>0</v>
          </cell>
          <cell r="BL946">
            <v>1.5</v>
          </cell>
          <cell r="BM946">
            <v>1.5</v>
          </cell>
          <cell r="BN946">
            <v>0</v>
          </cell>
          <cell r="BO946">
            <v>0</v>
          </cell>
          <cell r="BP946">
            <v>1.5</v>
          </cell>
          <cell r="BQ946">
            <v>0</v>
          </cell>
          <cell r="BR946">
            <v>0</v>
          </cell>
          <cell r="BS946">
            <v>0</v>
          </cell>
          <cell r="BT946">
            <v>0</v>
          </cell>
          <cell r="BU946">
            <v>0</v>
          </cell>
          <cell r="BV946">
            <v>0</v>
          </cell>
          <cell r="BW946">
            <v>3</v>
          </cell>
          <cell r="BX946">
            <v>3</v>
          </cell>
          <cell r="BY946">
            <v>3</v>
          </cell>
          <cell r="BZ946">
            <v>3</v>
          </cell>
          <cell r="CA946">
            <v>3</v>
          </cell>
          <cell r="CB946">
            <v>2</v>
          </cell>
          <cell r="CC946">
            <v>8</v>
          </cell>
          <cell r="CD946">
            <v>0</v>
          </cell>
          <cell r="CE946">
            <v>4</v>
          </cell>
          <cell r="CF946">
            <v>4</v>
          </cell>
          <cell r="CG946">
            <v>4</v>
          </cell>
          <cell r="CH946">
            <v>0</v>
          </cell>
          <cell r="CI946">
            <v>0</v>
          </cell>
          <cell r="CJ946">
            <v>0</v>
          </cell>
          <cell r="CK946">
            <v>3</v>
          </cell>
          <cell r="CL946">
            <v>3</v>
          </cell>
          <cell r="CM946">
            <v>3</v>
          </cell>
          <cell r="CR946">
            <v>0</v>
          </cell>
          <cell r="CS946">
            <v>0</v>
          </cell>
          <cell r="CT946">
            <v>42.5</v>
          </cell>
          <cell r="CU946">
            <v>8</v>
          </cell>
          <cell r="CV946">
            <v>0</v>
          </cell>
          <cell r="CZ946">
            <v>50.5</v>
          </cell>
        </row>
        <row r="947">
          <cell r="C947" t="str">
            <v>04502</v>
          </cell>
          <cell r="D947" t="str">
            <v>Nguyễn Chí Thuần</v>
          </cell>
          <cell r="E947" t="str">
            <v>Production</v>
          </cell>
          <cell r="F947" t="str">
            <v>Lamination</v>
          </cell>
          <cell r="G947" t="str">
            <v>Worker</v>
          </cell>
          <cell r="H947">
            <v>45716</v>
          </cell>
          <cell r="I947" t="str">
            <v>Đ</v>
          </cell>
          <cell r="J947" t="str">
            <v>Đ</v>
          </cell>
          <cell r="K947" t="str">
            <v>Đ</v>
          </cell>
          <cell r="L947" t="str">
            <v>CN</v>
          </cell>
          <cell r="M947">
            <v>8</v>
          </cell>
          <cell r="N947">
            <v>8</v>
          </cell>
          <cell r="O947">
            <v>8</v>
          </cell>
          <cell r="P947">
            <v>8</v>
          </cell>
          <cell r="Q947">
            <v>8</v>
          </cell>
          <cell r="R947" t="str">
            <v>AL8</v>
          </cell>
          <cell r="S947" t="str">
            <v>CN</v>
          </cell>
          <cell r="T947">
            <v>8</v>
          </cell>
          <cell r="U947">
            <v>8</v>
          </cell>
          <cell r="V947">
            <v>8</v>
          </cell>
          <cell r="W947">
            <v>8</v>
          </cell>
          <cell r="X947">
            <v>8</v>
          </cell>
          <cell r="Y947">
            <v>8</v>
          </cell>
          <cell r="Z947" t="str">
            <v>CN</v>
          </cell>
          <cell r="AA947">
            <v>8</v>
          </cell>
          <cell r="AB947">
            <v>8</v>
          </cell>
          <cell r="AC947">
            <v>8</v>
          </cell>
          <cell r="AD947">
            <v>8</v>
          </cell>
          <cell r="AE947">
            <v>8</v>
          </cell>
          <cell r="AF947" t="str">
            <v>CN</v>
          </cell>
          <cell r="AG947">
            <v>8</v>
          </cell>
          <cell r="AH947">
            <v>8</v>
          </cell>
          <cell r="AI947">
            <v>8</v>
          </cell>
          <cell r="AJ947">
            <v>8</v>
          </cell>
          <cell r="AN947">
            <v>24</v>
          </cell>
          <cell r="AO947">
            <v>160</v>
          </cell>
          <cell r="AP947">
            <v>0</v>
          </cell>
          <cell r="AQ947">
            <v>0</v>
          </cell>
          <cell r="AR947">
            <v>0</v>
          </cell>
          <cell r="AS947">
            <v>0</v>
          </cell>
          <cell r="AT947">
            <v>0</v>
          </cell>
          <cell r="AU947">
            <v>0</v>
          </cell>
          <cell r="AV947">
            <v>0</v>
          </cell>
          <cell r="AW947">
            <v>0</v>
          </cell>
          <cell r="AX947">
            <v>0</v>
          </cell>
          <cell r="AY947">
            <v>0</v>
          </cell>
          <cell r="AZ947">
            <v>0</v>
          </cell>
          <cell r="BA947">
            <v>8</v>
          </cell>
          <cell r="BB947">
            <v>0</v>
          </cell>
          <cell r="BC947">
            <v>0</v>
          </cell>
          <cell r="BD947">
            <v>0</v>
          </cell>
          <cell r="BE947">
            <v>0</v>
          </cell>
          <cell r="BF947">
            <v>0</v>
          </cell>
          <cell r="BG947">
            <v>192</v>
          </cell>
          <cell r="BH947">
            <v>1</v>
          </cell>
          <cell r="BI947">
            <v>1</v>
          </cell>
          <cell r="BJ947">
            <v>0</v>
          </cell>
          <cell r="BL947">
            <v>0</v>
          </cell>
          <cell r="BM947">
            <v>0</v>
          </cell>
          <cell r="BN947">
            <v>0</v>
          </cell>
          <cell r="BO947">
            <v>0</v>
          </cell>
          <cell r="BP947">
            <v>0</v>
          </cell>
          <cell r="BQ947">
            <v>0</v>
          </cell>
          <cell r="BR947">
            <v>4</v>
          </cell>
          <cell r="BS947">
            <v>4</v>
          </cell>
          <cell r="BT947">
            <v>0</v>
          </cell>
          <cell r="BU947">
            <v>0</v>
          </cell>
          <cell r="BV947">
            <v>0</v>
          </cell>
          <cell r="BW947">
            <v>0</v>
          </cell>
          <cell r="BX947">
            <v>4</v>
          </cell>
          <cell r="BY947">
            <v>0</v>
          </cell>
          <cell r="BZ947">
            <v>0</v>
          </cell>
          <cell r="CA947">
            <v>0</v>
          </cell>
          <cell r="CB947">
            <v>4</v>
          </cell>
          <cell r="CC947">
            <v>0</v>
          </cell>
          <cell r="CD947">
            <v>0</v>
          </cell>
          <cell r="CE947">
            <v>0</v>
          </cell>
          <cell r="CF947">
            <v>4</v>
          </cell>
          <cell r="CG947">
            <v>0</v>
          </cell>
          <cell r="CH947">
            <v>4</v>
          </cell>
          <cell r="CI947">
            <v>0</v>
          </cell>
          <cell r="CJ947">
            <v>4</v>
          </cell>
          <cell r="CK947">
            <v>0</v>
          </cell>
          <cell r="CL947">
            <v>0</v>
          </cell>
          <cell r="CM947">
            <v>4</v>
          </cell>
          <cell r="CR947">
            <v>0</v>
          </cell>
          <cell r="CS947">
            <v>0</v>
          </cell>
          <cell r="CT947">
            <v>32</v>
          </cell>
          <cell r="CU947">
            <v>0</v>
          </cell>
          <cell r="CV947">
            <v>0</v>
          </cell>
          <cell r="CZ947">
            <v>32</v>
          </cell>
        </row>
        <row r="948">
          <cell r="C948" t="str">
            <v>04503</v>
          </cell>
          <cell r="D948" t="str">
            <v>Nguyễn Quốc Thanh</v>
          </cell>
          <cell r="E948" t="str">
            <v>Production</v>
          </cell>
          <cell r="F948" t="str">
            <v>Packing</v>
          </cell>
          <cell r="G948" t="str">
            <v>Worker</v>
          </cell>
          <cell r="H948">
            <v>45716</v>
          </cell>
          <cell r="I948">
            <v>8</v>
          </cell>
          <cell r="J948">
            <v>8</v>
          </cell>
          <cell r="K948">
            <v>8</v>
          </cell>
          <cell r="L948" t="str">
            <v>CN</v>
          </cell>
          <cell r="M948" t="str">
            <v>Đ</v>
          </cell>
          <cell r="N948" t="str">
            <v>Đ</v>
          </cell>
          <cell r="O948" t="str">
            <v>Đ</v>
          </cell>
          <cell r="P948" t="str">
            <v>Đ</v>
          </cell>
          <cell r="Q948" t="str">
            <v>Đ</v>
          </cell>
          <cell r="R948" t="str">
            <v>Đ</v>
          </cell>
          <cell r="S948" t="str">
            <v>CN</v>
          </cell>
          <cell r="T948">
            <v>8</v>
          </cell>
          <cell r="U948">
            <v>8</v>
          </cell>
          <cell r="V948">
            <v>8</v>
          </cell>
          <cell r="W948">
            <v>8</v>
          </cell>
          <cell r="X948">
            <v>8</v>
          </cell>
          <cell r="Y948">
            <v>8</v>
          </cell>
          <cell r="Z948" t="str">
            <v>CN</v>
          </cell>
          <cell r="AA948" t="str">
            <v>Đ</v>
          </cell>
          <cell r="AB948" t="str">
            <v>Đ</v>
          </cell>
          <cell r="AC948" t="str">
            <v>Đ</v>
          </cell>
          <cell r="AD948" t="str">
            <v>Đ</v>
          </cell>
          <cell r="AE948" t="str">
            <v>Đ</v>
          </cell>
          <cell r="AF948" t="str">
            <v>Đ</v>
          </cell>
          <cell r="AG948" t="str">
            <v>CN</v>
          </cell>
          <cell r="AH948">
            <v>8</v>
          </cell>
          <cell r="AI948">
            <v>8</v>
          </cell>
          <cell r="AJ948">
            <v>8</v>
          </cell>
          <cell r="AN948">
            <v>96</v>
          </cell>
          <cell r="AO948">
            <v>96</v>
          </cell>
          <cell r="AP948">
            <v>0</v>
          </cell>
          <cell r="AQ948">
            <v>0</v>
          </cell>
          <cell r="AR948">
            <v>0</v>
          </cell>
          <cell r="AS948">
            <v>0</v>
          </cell>
          <cell r="AT948">
            <v>0</v>
          </cell>
          <cell r="AU948">
            <v>0</v>
          </cell>
          <cell r="AV948">
            <v>0</v>
          </cell>
          <cell r="AW948">
            <v>0</v>
          </cell>
          <cell r="AX948">
            <v>0</v>
          </cell>
          <cell r="AY948">
            <v>0</v>
          </cell>
          <cell r="AZ948">
            <v>0</v>
          </cell>
          <cell r="BA948">
            <v>0</v>
          </cell>
          <cell r="BB948">
            <v>0</v>
          </cell>
          <cell r="BC948">
            <v>0</v>
          </cell>
          <cell r="BD948">
            <v>0</v>
          </cell>
          <cell r="BE948">
            <v>0</v>
          </cell>
          <cell r="BF948">
            <v>0</v>
          </cell>
          <cell r="BG948">
            <v>192</v>
          </cell>
          <cell r="BH948">
            <v>0</v>
          </cell>
          <cell r="BI948">
            <v>0</v>
          </cell>
          <cell r="BJ948">
            <v>4</v>
          </cell>
          <cell r="BL948">
            <v>1.5</v>
          </cell>
          <cell r="BM948">
            <v>3</v>
          </cell>
          <cell r="BN948">
            <v>3</v>
          </cell>
          <cell r="BO948">
            <v>0</v>
          </cell>
          <cell r="BP948">
            <v>1.5</v>
          </cell>
          <cell r="BQ948">
            <v>0</v>
          </cell>
          <cell r="BR948">
            <v>0</v>
          </cell>
          <cell r="BS948">
            <v>4</v>
          </cell>
          <cell r="BT948">
            <v>4</v>
          </cell>
          <cell r="BU948">
            <v>4</v>
          </cell>
          <cell r="BV948">
            <v>0</v>
          </cell>
          <cell r="BW948">
            <v>3</v>
          </cell>
          <cell r="BX948">
            <v>3</v>
          </cell>
          <cell r="BY948">
            <v>3</v>
          </cell>
          <cell r="BZ948">
            <v>3</v>
          </cell>
          <cell r="CA948">
            <v>3</v>
          </cell>
          <cell r="CB948">
            <v>3</v>
          </cell>
          <cell r="CC948">
            <v>8</v>
          </cell>
          <cell r="CD948">
            <v>4</v>
          </cell>
          <cell r="CE948">
            <v>4</v>
          </cell>
          <cell r="CF948">
            <v>4</v>
          </cell>
          <cell r="CG948">
            <v>4</v>
          </cell>
          <cell r="CH948">
            <v>4</v>
          </cell>
          <cell r="CI948">
            <v>3</v>
          </cell>
          <cell r="CJ948">
            <v>0</v>
          </cell>
          <cell r="CK948">
            <v>3</v>
          </cell>
          <cell r="CL948">
            <v>3</v>
          </cell>
          <cell r="CM948">
            <v>3</v>
          </cell>
          <cell r="CR948">
            <v>0</v>
          </cell>
          <cell r="CS948">
            <v>0</v>
          </cell>
          <cell r="CT948">
            <v>71</v>
          </cell>
          <cell r="CU948">
            <v>8</v>
          </cell>
          <cell r="CV948">
            <v>0</v>
          </cell>
          <cell r="CZ948">
            <v>79</v>
          </cell>
        </row>
        <row r="949">
          <cell r="C949" t="str">
            <v>04504</v>
          </cell>
          <cell r="D949" t="str">
            <v>Nguyễn Văn Giàu</v>
          </cell>
          <cell r="E949" t="str">
            <v>Production</v>
          </cell>
          <cell r="F949" t="str">
            <v>Die Cut</v>
          </cell>
          <cell r="G949" t="str">
            <v>Worker</v>
          </cell>
          <cell r="H949">
            <v>45716</v>
          </cell>
          <cell r="I949">
            <v>8</v>
          </cell>
          <cell r="J949">
            <v>8</v>
          </cell>
          <cell r="K949">
            <v>8</v>
          </cell>
          <cell r="L949" t="str">
            <v>CN</v>
          </cell>
          <cell r="M949" t="str">
            <v>Đ</v>
          </cell>
          <cell r="N949" t="str">
            <v>Đ</v>
          </cell>
          <cell r="O949" t="str">
            <v>AL8</v>
          </cell>
          <cell r="P949" t="str">
            <v>Đ</v>
          </cell>
          <cell r="Q949" t="str">
            <v>Đ</v>
          </cell>
          <cell r="R949" t="str">
            <v>Đ</v>
          </cell>
          <cell r="S949" t="str">
            <v>CN</v>
          </cell>
          <cell r="T949">
            <v>8</v>
          </cell>
          <cell r="U949">
            <v>8</v>
          </cell>
          <cell r="V949">
            <v>8</v>
          </cell>
          <cell r="W949">
            <v>8</v>
          </cell>
          <cell r="X949">
            <v>8</v>
          </cell>
          <cell r="Y949">
            <v>8</v>
          </cell>
          <cell r="Z949" t="str">
            <v>CN</v>
          </cell>
          <cell r="AA949" t="str">
            <v>Đ</v>
          </cell>
          <cell r="AB949" t="str">
            <v>Đ</v>
          </cell>
          <cell r="AC949" t="str">
            <v>Đ</v>
          </cell>
          <cell r="AD949" t="str">
            <v>Đ</v>
          </cell>
          <cell r="AE949" t="str">
            <v>Đ</v>
          </cell>
          <cell r="AF949" t="str">
            <v>Đ</v>
          </cell>
          <cell r="AG949" t="str">
            <v>CN</v>
          </cell>
          <cell r="AH949">
            <v>8</v>
          </cell>
          <cell r="AI949">
            <v>8</v>
          </cell>
          <cell r="AJ949">
            <v>8</v>
          </cell>
          <cell r="AN949">
            <v>88</v>
          </cell>
          <cell r="AO949">
            <v>96</v>
          </cell>
          <cell r="AP949">
            <v>0</v>
          </cell>
          <cell r="AQ949">
            <v>0</v>
          </cell>
          <cell r="AR949">
            <v>0</v>
          </cell>
          <cell r="AS949">
            <v>0</v>
          </cell>
          <cell r="AT949">
            <v>0</v>
          </cell>
          <cell r="AU949">
            <v>0</v>
          </cell>
          <cell r="AV949">
            <v>0</v>
          </cell>
          <cell r="AW949">
            <v>0</v>
          </cell>
          <cell r="AX949">
            <v>0</v>
          </cell>
          <cell r="AY949">
            <v>0</v>
          </cell>
          <cell r="AZ949">
            <v>0</v>
          </cell>
          <cell r="BA949">
            <v>8</v>
          </cell>
          <cell r="BB949">
            <v>0</v>
          </cell>
          <cell r="BC949">
            <v>0</v>
          </cell>
          <cell r="BD949">
            <v>0</v>
          </cell>
          <cell r="BE949">
            <v>0</v>
          </cell>
          <cell r="BF949">
            <v>0</v>
          </cell>
          <cell r="BG949">
            <v>192</v>
          </cell>
          <cell r="BH949">
            <v>1</v>
          </cell>
          <cell r="BI949">
            <v>1</v>
          </cell>
          <cell r="BJ949">
            <v>0</v>
          </cell>
          <cell r="BL949">
            <v>1.5</v>
          </cell>
          <cell r="BM949">
            <v>1.5</v>
          </cell>
          <cell r="BN949">
            <v>0</v>
          </cell>
          <cell r="BO949">
            <v>0</v>
          </cell>
          <cell r="BP949">
            <v>1.5</v>
          </cell>
          <cell r="BQ949">
            <v>0</v>
          </cell>
          <cell r="BR949">
            <v>0</v>
          </cell>
          <cell r="BS949">
            <v>4</v>
          </cell>
          <cell r="BT949">
            <v>3</v>
          </cell>
          <cell r="BU949">
            <v>3</v>
          </cell>
          <cell r="BV949">
            <v>0</v>
          </cell>
          <cell r="BW949">
            <v>3</v>
          </cell>
          <cell r="BX949">
            <v>0</v>
          </cell>
          <cell r="BY949">
            <v>3</v>
          </cell>
          <cell r="BZ949">
            <v>3</v>
          </cell>
          <cell r="CA949">
            <v>3</v>
          </cell>
          <cell r="CB949">
            <v>3</v>
          </cell>
          <cell r="CC949">
            <v>8</v>
          </cell>
          <cell r="CD949">
            <v>4</v>
          </cell>
          <cell r="CE949">
            <v>4</v>
          </cell>
          <cell r="CF949">
            <v>4</v>
          </cell>
          <cell r="CG949">
            <v>4</v>
          </cell>
          <cell r="CH949">
            <v>4</v>
          </cell>
          <cell r="CI949">
            <v>4</v>
          </cell>
          <cell r="CJ949">
            <v>0</v>
          </cell>
          <cell r="CK949">
            <v>0</v>
          </cell>
          <cell r="CL949">
            <v>3</v>
          </cell>
          <cell r="CM949">
            <v>3</v>
          </cell>
          <cell r="CR949">
            <v>0</v>
          </cell>
          <cell r="CS949">
            <v>0</v>
          </cell>
          <cell r="CT949">
            <v>59.5</v>
          </cell>
          <cell r="CU949">
            <v>8</v>
          </cell>
          <cell r="CV949">
            <v>0</v>
          </cell>
          <cell r="CZ949">
            <v>67.5</v>
          </cell>
        </row>
        <row r="950">
          <cell r="C950" t="str">
            <v>04505</v>
          </cell>
          <cell r="D950" t="str">
            <v>Trần Minh Tân</v>
          </cell>
          <cell r="E950" t="str">
            <v>Production</v>
          </cell>
          <cell r="F950" t="str">
            <v>Die Cut</v>
          </cell>
          <cell r="G950" t="str">
            <v>Worker</v>
          </cell>
          <cell r="H950">
            <v>45716</v>
          </cell>
          <cell r="I950">
            <v>8</v>
          </cell>
          <cell r="J950">
            <v>8</v>
          </cell>
          <cell r="K950">
            <v>8</v>
          </cell>
          <cell r="L950" t="str">
            <v>CN</v>
          </cell>
          <cell r="M950" t="str">
            <v>Đ</v>
          </cell>
          <cell r="N950" t="str">
            <v>Đ</v>
          </cell>
          <cell r="O950" t="str">
            <v>Đ</v>
          </cell>
          <cell r="P950" t="str">
            <v>Đ</v>
          </cell>
          <cell r="Q950" t="str">
            <v>Đ</v>
          </cell>
          <cell r="R950" t="str">
            <v>Đ</v>
          </cell>
          <cell r="S950" t="str">
            <v>CN</v>
          </cell>
          <cell r="T950">
            <v>8</v>
          </cell>
          <cell r="U950">
            <v>8</v>
          </cell>
          <cell r="V950">
            <v>8</v>
          </cell>
          <cell r="W950">
            <v>8</v>
          </cell>
          <cell r="X950">
            <v>8</v>
          </cell>
          <cell r="Y950">
            <v>8</v>
          </cell>
          <cell r="Z950" t="str">
            <v>CN</v>
          </cell>
          <cell r="AA950" t="str">
            <v>Đ</v>
          </cell>
          <cell r="AB950" t="str">
            <v>Đ</v>
          </cell>
          <cell r="AC950" t="str">
            <v>Đ</v>
          </cell>
          <cell r="AD950" t="str">
            <v>Đ</v>
          </cell>
          <cell r="AE950" t="str">
            <v>Đ</v>
          </cell>
          <cell r="AF950" t="str">
            <v>AL8</v>
          </cell>
          <cell r="AG950" t="str">
            <v>CN</v>
          </cell>
          <cell r="AH950">
            <v>8</v>
          </cell>
          <cell r="AI950">
            <v>8</v>
          </cell>
          <cell r="AJ950">
            <v>8</v>
          </cell>
          <cell r="AN950">
            <v>88</v>
          </cell>
          <cell r="AO950">
            <v>96</v>
          </cell>
          <cell r="AP950">
            <v>0</v>
          </cell>
          <cell r="AQ950">
            <v>0</v>
          </cell>
          <cell r="AR950">
            <v>0</v>
          </cell>
          <cell r="AS950">
            <v>0</v>
          </cell>
          <cell r="AT950">
            <v>0</v>
          </cell>
          <cell r="AU950">
            <v>0</v>
          </cell>
          <cell r="AV950">
            <v>0</v>
          </cell>
          <cell r="AW950">
            <v>0</v>
          </cell>
          <cell r="AX950">
            <v>0</v>
          </cell>
          <cell r="AY950">
            <v>0</v>
          </cell>
          <cell r="AZ950">
            <v>0</v>
          </cell>
          <cell r="BA950">
            <v>8</v>
          </cell>
          <cell r="BB950">
            <v>0</v>
          </cell>
          <cell r="BC950">
            <v>0</v>
          </cell>
          <cell r="BD950">
            <v>0</v>
          </cell>
          <cell r="BE950">
            <v>0</v>
          </cell>
          <cell r="BF950">
            <v>0</v>
          </cell>
          <cell r="BG950">
            <v>192</v>
          </cell>
          <cell r="BH950">
            <v>1</v>
          </cell>
          <cell r="BI950">
            <v>1</v>
          </cell>
          <cell r="BJ950">
            <v>-1</v>
          </cell>
          <cell r="BL950">
            <v>0</v>
          </cell>
          <cell r="BM950">
            <v>0</v>
          </cell>
          <cell r="BN950">
            <v>0</v>
          </cell>
          <cell r="BO950">
            <v>0</v>
          </cell>
          <cell r="BP950">
            <v>1.5</v>
          </cell>
          <cell r="BQ950">
            <v>0</v>
          </cell>
          <cell r="BR950">
            <v>0</v>
          </cell>
          <cell r="BS950">
            <v>0</v>
          </cell>
          <cell r="BT950">
            <v>4</v>
          </cell>
          <cell r="BU950">
            <v>4</v>
          </cell>
          <cell r="BV950">
            <v>0</v>
          </cell>
          <cell r="BW950">
            <v>3</v>
          </cell>
          <cell r="BX950">
            <v>3</v>
          </cell>
          <cell r="BY950">
            <v>2</v>
          </cell>
          <cell r="BZ950">
            <v>3</v>
          </cell>
          <cell r="CA950">
            <v>3</v>
          </cell>
          <cell r="CB950">
            <v>0</v>
          </cell>
          <cell r="CC950">
            <v>8</v>
          </cell>
          <cell r="CD950">
            <v>4</v>
          </cell>
          <cell r="CE950">
            <v>4</v>
          </cell>
          <cell r="CF950">
            <v>4</v>
          </cell>
          <cell r="CG950">
            <v>4</v>
          </cell>
          <cell r="CH950">
            <v>4</v>
          </cell>
          <cell r="CI950">
            <v>0</v>
          </cell>
          <cell r="CJ950">
            <v>0</v>
          </cell>
          <cell r="CK950">
            <v>3</v>
          </cell>
          <cell r="CL950">
            <v>3</v>
          </cell>
          <cell r="CM950">
            <v>3</v>
          </cell>
          <cell r="CR950">
            <v>0</v>
          </cell>
          <cell r="CS950">
            <v>0</v>
          </cell>
          <cell r="CT950">
            <v>52.5</v>
          </cell>
          <cell r="CU950">
            <v>8</v>
          </cell>
          <cell r="CV950">
            <v>0</v>
          </cell>
          <cell r="CZ950">
            <v>60.5</v>
          </cell>
        </row>
        <row r="951">
          <cell r="C951" t="str">
            <v>04506</v>
          </cell>
          <cell r="D951" t="str">
            <v>Thị Lưu Luyến</v>
          </cell>
          <cell r="E951" t="str">
            <v>Production</v>
          </cell>
          <cell r="F951" t="str">
            <v>Logo</v>
          </cell>
          <cell r="G951" t="str">
            <v>Worker</v>
          </cell>
          <cell r="H951">
            <v>45716</v>
          </cell>
          <cell r="I951">
            <v>8</v>
          </cell>
          <cell r="J951">
            <v>8</v>
          </cell>
          <cell r="K951">
            <v>8</v>
          </cell>
          <cell r="L951" t="str">
            <v>CN</v>
          </cell>
          <cell r="M951" t="str">
            <v>Đ</v>
          </cell>
          <cell r="N951" t="str">
            <v>Đ</v>
          </cell>
          <cell r="O951" t="str">
            <v>Đ</v>
          </cell>
          <cell r="P951" t="str">
            <v>Đ</v>
          </cell>
          <cell r="Q951" t="str">
            <v>Đ</v>
          </cell>
          <cell r="R951" t="str">
            <v>Đ</v>
          </cell>
          <cell r="S951" t="str">
            <v>CN</v>
          </cell>
          <cell r="T951">
            <v>8</v>
          </cell>
          <cell r="U951">
            <v>8</v>
          </cell>
          <cell r="V951">
            <v>8</v>
          </cell>
          <cell r="W951">
            <v>8</v>
          </cell>
          <cell r="X951">
            <v>8</v>
          </cell>
          <cell r="Y951">
            <v>8</v>
          </cell>
          <cell r="Z951" t="str">
            <v>CN</v>
          </cell>
          <cell r="AA951" t="str">
            <v>Đ</v>
          </cell>
          <cell r="AB951" t="str">
            <v>Đ</v>
          </cell>
          <cell r="AC951" t="str">
            <v>Đ</v>
          </cell>
          <cell r="AD951" t="str">
            <v>Đ</v>
          </cell>
          <cell r="AE951" t="str">
            <v>Đ</v>
          </cell>
          <cell r="AF951" t="str">
            <v>Đ</v>
          </cell>
          <cell r="AG951" t="str">
            <v>CN</v>
          </cell>
          <cell r="AH951">
            <v>8</v>
          </cell>
          <cell r="AI951">
            <v>8</v>
          </cell>
          <cell r="AJ951">
            <v>8</v>
          </cell>
          <cell r="AN951">
            <v>96</v>
          </cell>
          <cell r="AO951">
            <v>96</v>
          </cell>
          <cell r="AP951">
            <v>0</v>
          </cell>
          <cell r="AQ951">
            <v>0</v>
          </cell>
          <cell r="AR951">
            <v>0</v>
          </cell>
          <cell r="AS951">
            <v>0</v>
          </cell>
          <cell r="AT951">
            <v>0</v>
          </cell>
          <cell r="AU951">
            <v>0</v>
          </cell>
          <cell r="AV951">
            <v>0</v>
          </cell>
          <cell r="AW951">
            <v>0</v>
          </cell>
          <cell r="AX951">
            <v>0</v>
          </cell>
          <cell r="AY951">
            <v>0</v>
          </cell>
          <cell r="AZ951">
            <v>0</v>
          </cell>
          <cell r="BA951">
            <v>0</v>
          </cell>
          <cell r="BB951">
            <v>0</v>
          </cell>
          <cell r="BC951">
            <v>0</v>
          </cell>
          <cell r="BD951">
            <v>0</v>
          </cell>
          <cell r="BE951">
            <v>0</v>
          </cell>
          <cell r="BF951">
            <v>0</v>
          </cell>
          <cell r="BG951">
            <v>192</v>
          </cell>
          <cell r="BH951">
            <v>0</v>
          </cell>
          <cell r="BI951">
            <v>0</v>
          </cell>
          <cell r="BJ951">
            <v>1.5</v>
          </cell>
          <cell r="BL951">
            <v>1.5</v>
          </cell>
          <cell r="BM951">
            <v>1.5</v>
          </cell>
          <cell r="BN951">
            <v>1.5</v>
          </cell>
          <cell r="BO951">
            <v>0</v>
          </cell>
          <cell r="BP951">
            <v>1.5</v>
          </cell>
          <cell r="BQ951">
            <v>0</v>
          </cell>
          <cell r="BR951">
            <v>0</v>
          </cell>
          <cell r="BS951">
            <v>4</v>
          </cell>
          <cell r="BT951">
            <v>0</v>
          </cell>
          <cell r="BU951">
            <v>4</v>
          </cell>
          <cell r="BV951">
            <v>0</v>
          </cell>
          <cell r="BW951">
            <v>3</v>
          </cell>
          <cell r="BX951">
            <v>3</v>
          </cell>
          <cell r="BY951">
            <v>3</v>
          </cell>
          <cell r="BZ951">
            <v>3</v>
          </cell>
          <cell r="CA951">
            <v>3</v>
          </cell>
          <cell r="CB951">
            <v>3</v>
          </cell>
          <cell r="CC951">
            <v>8</v>
          </cell>
          <cell r="CD951">
            <v>4</v>
          </cell>
          <cell r="CE951">
            <v>4</v>
          </cell>
          <cell r="CF951">
            <v>4</v>
          </cell>
          <cell r="CG951">
            <v>4</v>
          </cell>
          <cell r="CH951">
            <v>4</v>
          </cell>
          <cell r="CI951">
            <v>4</v>
          </cell>
          <cell r="CJ951">
            <v>0</v>
          </cell>
          <cell r="CK951">
            <v>3</v>
          </cell>
          <cell r="CL951">
            <v>3</v>
          </cell>
          <cell r="CM951">
            <v>3</v>
          </cell>
          <cell r="CR951">
            <v>0</v>
          </cell>
          <cell r="CS951">
            <v>0</v>
          </cell>
          <cell r="CT951">
            <v>65</v>
          </cell>
          <cell r="CU951">
            <v>8</v>
          </cell>
          <cell r="CV951">
            <v>0</v>
          </cell>
          <cell r="CZ951">
            <v>73</v>
          </cell>
        </row>
        <row r="952">
          <cell r="C952" t="str">
            <v>04508</v>
          </cell>
          <cell r="D952" t="str">
            <v>Nguyễn Thị Trúc Ly</v>
          </cell>
          <cell r="E952" t="str">
            <v>Production</v>
          </cell>
          <cell r="F952" t="str">
            <v>Die Cut</v>
          </cell>
          <cell r="G952" t="str">
            <v>Worker</v>
          </cell>
          <cell r="H952">
            <v>45716</v>
          </cell>
          <cell r="I952" t="str">
            <v>S</v>
          </cell>
          <cell r="J952">
            <v>8</v>
          </cell>
          <cell r="K952">
            <v>8</v>
          </cell>
          <cell r="L952" t="str">
            <v>CN</v>
          </cell>
          <cell r="M952">
            <v>8</v>
          </cell>
          <cell r="N952">
            <v>8</v>
          </cell>
          <cell r="O952">
            <v>8</v>
          </cell>
          <cell r="P952">
            <v>8</v>
          </cell>
          <cell r="Q952">
            <v>8</v>
          </cell>
          <cell r="R952">
            <v>8</v>
          </cell>
          <cell r="S952" t="str">
            <v>CN</v>
          </cell>
          <cell r="T952" t="str">
            <v>M</v>
          </cell>
          <cell r="U952">
            <v>8</v>
          </cell>
          <cell r="V952">
            <v>8</v>
          </cell>
          <cell r="W952">
            <v>8</v>
          </cell>
          <cell r="X952">
            <v>8</v>
          </cell>
          <cell r="Y952" t="str">
            <v>AL4</v>
          </cell>
          <cell r="Z952" t="str">
            <v>CN</v>
          </cell>
          <cell r="AA952">
            <v>8</v>
          </cell>
          <cell r="AB952">
            <v>8</v>
          </cell>
          <cell r="AC952">
            <v>8</v>
          </cell>
          <cell r="AD952">
            <v>8</v>
          </cell>
          <cell r="AE952">
            <v>8</v>
          </cell>
          <cell r="AF952">
            <v>8</v>
          </cell>
          <cell r="AG952" t="str">
            <v>CN</v>
          </cell>
          <cell r="AH952">
            <v>8</v>
          </cell>
          <cell r="AI952">
            <v>8</v>
          </cell>
          <cell r="AJ952">
            <v>8</v>
          </cell>
          <cell r="AN952">
            <v>0</v>
          </cell>
          <cell r="AO952">
            <v>172</v>
          </cell>
          <cell r="AP952">
            <v>4</v>
          </cell>
          <cell r="AQ952">
            <v>0</v>
          </cell>
          <cell r="AR952">
            <v>0</v>
          </cell>
          <cell r="AS952">
            <v>0</v>
          </cell>
          <cell r="AT952">
            <v>0</v>
          </cell>
          <cell r="AU952">
            <v>0</v>
          </cell>
          <cell r="AV952">
            <v>0</v>
          </cell>
          <cell r="AW952">
            <v>8</v>
          </cell>
          <cell r="AX952">
            <v>8</v>
          </cell>
          <cell r="AY952">
            <v>0</v>
          </cell>
          <cell r="AZ952">
            <v>0</v>
          </cell>
          <cell r="BA952">
            <v>4</v>
          </cell>
          <cell r="BB952">
            <v>0</v>
          </cell>
          <cell r="BC952">
            <v>0</v>
          </cell>
          <cell r="BD952">
            <v>0</v>
          </cell>
          <cell r="BE952">
            <v>0</v>
          </cell>
          <cell r="BF952">
            <v>0</v>
          </cell>
          <cell r="BG952">
            <v>184</v>
          </cell>
          <cell r="BH952">
            <v>0.5</v>
          </cell>
          <cell r="BI952">
            <v>0.5</v>
          </cell>
          <cell r="BJ952">
            <v>-1.5</v>
          </cell>
          <cell r="BL952">
            <v>0</v>
          </cell>
          <cell r="BM952">
            <v>0</v>
          </cell>
          <cell r="BN952">
            <v>0</v>
          </cell>
          <cell r="BO952">
            <v>0</v>
          </cell>
          <cell r="BP952">
            <v>0</v>
          </cell>
          <cell r="BQ952">
            <v>0</v>
          </cell>
          <cell r="BR952">
            <v>0</v>
          </cell>
          <cell r="BS952">
            <v>0</v>
          </cell>
          <cell r="BT952">
            <v>0</v>
          </cell>
          <cell r="BU952">
            <v>0</v>
          </cell>
          <cell r="BV952">
            <v>0</v>
          </cell>
          <cell r="BW952">
            <v>0</v>
          </cell>
          <cell r="BX952">
            <v>0</v>
          </cell>
          <cell r="BY952">
            <v>0</v>
          </cell>
          <cell r="BZ952">
            <v>0</v>
          </cell>
          <cell r="CA952">
            <v>0</v>
          </cell>
          <cell r="CB952">
            <v>0</v>
          </cell>
          <cell r="CC952">
            <v>0</v>
          </cell>
          <cell r="CD952">
            <v>0</v>
          </cell>
          <cell r="CE952">
            <v>0</v>
          </cell>
          <cell r="CF952">
            <v>0</v>
          </cell>
          <cell r="CG952">
            <v>0</v>
          </cell>
          <cell r="CH952">
            <v>0</v>
          </cell>
          <cell r="CI952">
            <v>0</v>
          </cell>
          <cell r="CJ952">
            <v>0</v>
          </cell>
          <cell r="CK952">
            <v>0</v>
          </cell>
          <cell r="CL952">
            <v>0</v>
          </cell>
          <cell r="CM952">
            <v>0</v>
          </cell>
          <cell r="CR952">
            <v>0</v>
          </cell>
          <cell r="CS952">
            <v>0</v>
          </cell>
          <cell r="CT952">
            <v>0</v>
          </cell>
          <cell r="CU952">
            <v>0</v>
          </cell>
          <cell r="CV952">
            <v>0</v>
          </cell>
          <cell r="CZ952">
            <v>0</v>
          </cell>
        </row>
        <row r="953">
          <cell r="C953" t="str">
            <v>04509</v>
          </cell>
          <cell r="D953" t="str">
            <v>Nguyễn Thị Nị</v>
          </cell>
          <cell r="E953" t="str">
            <v>Production</v>
          </cell>
          <cell r="F953" t="str">
            <v>Packing</v>
          </cell>
          <cell r="G953" t="str">
            <v>Worker</v>
          </cell>
          <cell r="H953">
            <v>45716</v>
          </cell>
          <cell r="I953" t="str">
            <v>Đ</v>
          </cell>
          <cell r="J953" t="str">
            <v>Đ</v>
          </cell>
          <cell r="K953" t="str">
            <v>Đ</v>
          </cell>
          <cell r="L953" t="str">
            <v>CN</v>
          </cell>
          <cell r="M953" t="str">
            <v>AL8</v>
          </cell>
          <cell r="N953" t="str">
            <v>SL</v>
          </cell>
          <cell r="O953">
            <v>8</v>
          </cell>
          <cell r="P953">
            <v>8</v>
          </cell>
          <cell r="Q953">
            <v>8</v>
          </cell>
          <cell r="R953">
            <v>8</v>
          </cell>
          <cell r="S953" t="str">
            <v>CN</v>
          </cell>
          <cell r="T953" t="str">
            <v>Đ</v>
          </cell>
          <cell r="U953" t="str">
            <v>Đ</v>
          </cell>
          <cell r="V953" t="str">
            <v>Đ</v>
          </cell>
          <cell r="W953" t="str">
            <v>Đ</v>
          </cell>
          <cell r="X953" t="str">
            <v>Đ</v>
          </cell>
          <cell r="Y953" t="str">
            <v>Đ</v>
          </cell>
          <cell r="Z953" t="str">
            <v>CN</v>
          </cell>
          <cell r="AA953">
            <v>8</v>
          </cell>
          <cell r="AB953">
            <v>8</v>
          </cell>
          <cell r="AC953">
            <v>8</v>
          </cell>
          <cell r="AD953">
            <v>8</v>
          </cell>
          <cell r="AE953">
            <v>8</v>
          </cell>
          <cell r="AF953">
            <v>8</v>
          </cell>
          <cell r="AG953" t="str">
            <v>CN</v>
          </cell>
          <cell r="AH953" t="str">
            <v>UP8</v>
          </cell>
          <cell r="AI953" t="str">
            <v>Đ</v>
          </cell>
          <cell r="AJ953" t="str">
            <v>SWD</v>
          </cell>
          <cell r="AN953">
            <v>80</v>
          </cell>
          <cell r="AO953">
            <v>80</v>
          </cell>
          <cell r="AP953">
            <v>0</v>
          </cell>
          <cell r="AQ953">
            <v>1</v>
          </cell>
          <cell r="AR953">
            <v>0</v>
          </cell>
          <cell r="AS953">
            <v>16</v>
          </cell>
          <cell r="AT953">
            <v>0</v>
          </cell>
          <cell r="AU953">
            <v>0</v>
          </cell>
          <cell r="AV953">
            <v>0</v>
          </cell>
          <cell r="AW953">
            <v>0</v>
          </cell>
          <cell r="AX953">
            <v>0</v>
          </cell>
          <cell r="AY953">
            <v>0</v>
          </cell>
          <cell r="AZ953">
            <v>0</v>
          </cell>
          <cell r="BA953">
            <v>8</v>
          </cell>
          <cell r="BB953">
            <v>0</v>
          </cell>
          <cell r="BC953">
            <v>0</v>
          </cell>
          <cell r="BD953">
            <v>0</v>
          </cell>
          <cell r="BE953">
            <v>0</v>
          </cell>
          <cell r="BF953">
            <v>0</v>
          </cell>
          <cell r="BG953">
            <v>168</v>
          </cell>
          <cell r="BH953">
            <v>1</v>
          </cell>
          <cell r="BI953">
            <v>1</v>
          </cell>
          <cell r="BJ953">
            <v>-4</v>
          </cell>
          <cell r="BL953">
            <v>1.5</v>
          </cell>
          <cell r="BM953">
            <v>1.5</v>
          </cell>
          <cell r="BN953">
            <v>1.5</v>
          </cell>
          <cell r="BO953">
            <v>0</v>
          </cell>
          <cell r="BP953">
            <v>1.5</v>
          </cell>
          <cell r="BQ953">
            <v>0</v>
          </cell>
          <cell r="BR953">
            <v>0</v>
          </cell>
          <cell r="BS953">
            <v>3</v>
          </cell>
          <cell r="BT953">
            <v>3</v>
          </cell>
          <cell r="BU953">
            <v>3</v>
          </cell>
          <cell r="BV953">
            <v>0</v>
          </cell>
          <cell r="BW953">
            <v>4</v>
          </cell>
          <cell r="BX953">
            <v>4</v>
          </cell>
          <cell r="BY953">
            <v>4</v>
          </cell>
          <cell r="BZ953">
            <v>4</v>
          </cell>
          <cell r="CA953">
            <v>4</v>
          </cell>
          <cell r="CB953">
            <v>4</v>
          </cell>
          <cell r="CC953">
            <v>0</v>
          </cell>
          <cell r="CD953">
            <v>3</v>
          </cell>
          <cell r="CE953">
            <v>3</v>
          </cell>
          <cell r="CF953">
            <v>3</v>
          </cell>
          <cell r="CG953">
            <v>3</v>
          </cell>
          <cell r="CH953">
            <v>0</v>
          </cell>
          <cell r="CI953">
            <v>3</v>
          </cell>
          <cell r="CJ953">
            <v>8</v>
          </cell>
          <cell r="CK953">
            <v>0</v>
          </cell>
          <cell r="CL953">
            <v>4</v>
          </cell>
          <cell r="CM953">
            <v>0</v>
          </cell>
          <cell r="CR953">
            <v>0</v>
          </cell>
          <cell r="CS953">
            <v>0</v>
          </cell>
          <cell r="CT953">
            <v>58</v>
          </cell>
          <cell r="CU953">
            <v>8</v>
          </cell>
          <cell r="CV953">
            <v>0</v>
          </cell>
          <cell r="CZ953">
            <v>66</v>
          </cell>
        </row>
        <row r="954">
          <cell r="C954" t="str">
            <v>04511</v>
          </cell>
          <cell r="D954" t="str">
            <v>Lê Thị Tuyết Hạnh</v>
          </cell>
          <cell r="E954" t="str">
            <v>Production</v>
          </cell>
          <cell r="F954" t="str">
            <v>Logo</v>
          </cell>
          <cell r="G954" t="str">
            <v>Worker</v>
          </cell>
          <cell r="H954">
            <v>45716</v>
          </cell>
          <cell r="I954" t="str">
            <v>TV</v>
          </cell>
          <cell r="J954" t="str">
            <v>TV</v>
          </cell>
          <cell r="K954" t="str">
            <v>TV</v>
          </cell>
          <cell r="L954" t="str">
            <v>TV</v>
          </cell>
          <cell r="M954" t="str">
            <v>TV</v>
          </cell>
          <cell r="N954" t="str">
            <v>TV</v>
          </cell>
          <cell r="O954" t="str">
            <v>TV</v>
          </cell>
          <cell r="P954" t="str">
            <v>TV</v>
          </cell>
          <cell r="Q954" t="str">
            <v>TV</v>
          </cell>
          <cell r="R954" t="str">
            <v>TV</v>
          </cell>
          <cell r="S954" t="str">
            <v>TV</v>
          </cell>
          <cell r="T954" t="str">
            <v>TV</v>
          </cell>
          <cell r="U954" t="str">
            <v>TV</v>
          </cell>
          <cell r="V954" t="str">
            <v>TV</v>
          </cell>
          <cell r="W954" t="str">
            <v>TV</v>
          </cell>
          <cell r="X954" t="str">
            <v>TV</v>
          </cell>
          <cell r="Y954" t="str">
            <v>TV</v>
          </cell>
          <cell r="Z954" t="str">
            <v>TV</v>
          </cell>
          <cell r="AA954" t="str">
            <v>TV</v>
          </cell>
          <cell r="AB954" t="str">
            <v>TV</v>
          </cell>
          <cell r="AC954" t="str">
            <v>TV</v>
          </cell>
          <cell r="AD954" t="str">
            <v>TV</v>
          </cell>
          <cell r="AE954" t="str">
            <v>TV</v>
          </cell>
          <cell r="AF954" t="str">
            <v>TV</v>
          </cell>
          <cell r="AG954" t="str">
            <v>TV</v>
          </cell>
          <cell r="AH954" t="str">
            <v>TV</v>
          </cell>
          <cell r="AI954" t="str">
            <v>TV</v>
          </cell>
          <cell r="AJ954" t="str">
            <v>TV</v>
          </cell>
          <cell r="AN954">
            <v>0</v>
          </cell>
          <cell r="AO954">
            <v>0</v>
          </cell>
          <cell r="AP954">
            <v>0</v>
          </cell>
          <cell r="AQ954">
            <v>0</v>
          </cell>
          <cell r="AR954">
            <v>0</v>
          </cell>
          <cell r="AS954">
            <v>0</v>
          </cell>
          <cell r="AT954">
            <v>0</v>
          </cell>
          <cell r="AU954">
            <v>0</v>
          </cell>
          <cell r="AV954">
            <v>0</v>
          </cell>
          <cell r="AW954">
            <v>0</v>
          </cell>
          <cell r="AX954">
            <v>0</v>
          </cell>
          <cell r="AY954">
            <v>0</v>
          </cell>
          <cell r="AZ954">
            <v>0</v>
          </cell>
          <cell r="BA954">
            <v>0</v>
          </cell>
          <cell r="BB954">
            <v>0</v>
          </cell>
          <cell r="BC954">
            <v>0</v>
          </cell>
          <cell r="BD954">
            <v>0</v>
          </cell>
          <cell r="BE954">
            <v>0</v>
          </cell>
          <cell r="BF954">
            <v>0</v>
          </cell>
          <cell r="BG954">
            <v>0</v>
          </cell>
          <cell r="BH954">
            <v>0</v>
          </cell>
          <cell r="BI954">
            <v>0</v>
          </cell>
          <cell r="BJ954">
            <v>1</v>
          </cell>
          <cell r="BL954">
            <v>0</v>
          </cell>
          <cell r="BM954">
            <v>0</v>
          </cell>
          <cell r="BN954">
            <v>0</v>
          </cell>
          <cell r="BO954">
            <v>0</v>
          </cell>
          <cell r="BP954">
            <v>0</v>
          </cell>
          <cell r="BQ954">
            <v>0</v>
          </cell>
          <cell r="BR954">
            <v>0</v>
          </cell>
          <cell r="BS954">
            <v>0</v>
          </cell>
          <cell r="BT954">
            <v>0</v>
          </cell>
          <cell r="BU954">
            <v>0</v>
          </cell>
          <cell r="BV954">
            <v>0</v>
          </cell>
          <cell r="BW954">
            <v>0</v>
          </cell>
          <cell r="BX954">
            <v>0</v>
          </cell>
          <cell r="BY954">
            <v>0</v>
          </cell>
          <cell r="BZ954">
            <v>0</v>
          </cell>
          <cell r="CA954">
            <v>0</v>
          </cell>
          <cell r="CB954">
            <v>0</v>
          </cell>
          <cell r="CC954">
            <v>0</v>
          </cell>
          <cell r="CD954">
            <v>0</v>
          </cell>
          <cell r="CE954">
            <v>0</v>
          </cell>
          <cell r="CF954">
            <v>0</v>
          </cell>
          <cell r="CG954">
            <v>0</v>
          </cell>
          <cell r="CH954">
            <v>0</v>
          </cell>
          <cell r="CI954">
            <v>0</v>
          </cell>
          <cell r="CJ954">
            <v>0</v>
          </cell>
          <cell r="CK954">
            <v>0</v>
          </cell>
          <cell r="CL954">
            <v>0</v>
          </cell>
          <cell r="CM954">
            <v>0</v>
          </cell>
          <cell r="CR954">
            <v>0</v>
          </cell>
          <cell r="CS954">
            <v>0</v>
          </cell>
          <cell r="CT954">
            <v>0</v>
          </cell>
          <cell r="CU954">
            <v>0</v>
          </cell>
          <cell r="CV954">
            <v>0</v>
          </cell>
          <cell r="CZ954">
            <v>0</v>
          </cell>
        </row>
        <row r="955">
          <cell r="C955" t="str">
            <v>04512</v>
          </cell>
          <cell r="D955" t="str">
            <v>Thạch Bé Ngoan</v>
          </cell>
          <cell r="E955" t="str">
            <v>Production</v>
          </cell>
          <cell r="F955" t="str">
            <v>Lamination</v>
          </cell>
          <cell r="G955" t="str">
            <v>Worker</v>
          </cell>
          <cell r="H955">
            <v>45716</v>
          </cell>
          <cell r="I955">
            <v>8</v>
          </cell>
          <cell r="J955">
            <v>8</v>
          </cell>
          <cell r="K955">
            <v>8</v>
          </cell>
          <cell r="L955" t="str">
            <v>CN</v>
          </cell>
          <cell r="M955" t="str">
            <v>Đ</v>
          </cell>
          <cell r="N955" t="str">
            <v>Đ</v>
          </cell>
          <cell r="O955" t="str">
            <v>Đ</v>
          </cell>
          <cell r="P955" t="str">
            <v>Đ</v>
          </cell>
          <cell r="Q955" t="str">
            <v>Đ</v>
          </cell>
          <cell r="R955" t="str">
            <v>Đ</v>
          </cell>
          <cell r="S955" t="str">
            <v>CN</v>
          </cell>
          <cell r="T955">
            <v>8</v>
          </cell>
          <cell r="U955">
            <v>8</v>
          </cell>
          <cell r="V955">
            <v>8</v>
          </cell>
          <cell r="W955">
            <v>8</v>
          </cell>
          <cell r="X955">
            <v>8</v>
          </cell>
          <cell r="Y955">
            <v>8</v>
          </cell>
          <cell r="Z955" t="str">
            <v>CN</v>
          </cell>
          <cell r="AA955">
            <v>8</v>
          </cell>
          <cell r="AB955">
            <v>8</v>
          </cell>
          <cell r="AC955">
            <v>8</v>
          </cell>
          <cell r="AD955">
            <v>8</v>
          </cell>
          <cell r="AE955" t="str">
            <v>AL8</v>
          </cell>
          <cell r="AF955" t="str">
            <v>AL8</v>
          </cell>
          <cell r="AG955" t="str">
            <v>CN</v>
          </cell>
          <cell r="AH955" t="str">
            <v>UP8</v>
          </cell>
          <cell r="AI955" t="str">
            <v>UP8</v>
          </cell>
          <cell r="AJ955" t="str">
            <v>UP8</v>
          </cell>
          <cell r="AN955">
            <v>48</v>
          </cell>
          <cell r="AO955">
            <v>104</v>
          </cell>
          <cell r="AP955">
            <v>0</v>
          </cell>
          <cell r="AQ955">
            <v>0</v>
          </cell>
          <cell r="AR955">
            <v>0</v>
          </cell>
          <cell r="AS955">
            <v>24</v>
          </cell>
          <cell r="AT955">
            <v>0</v>
          </cell>
          <cell r="AU955">
            <v>0</v>
          </cell>
          <cell r="AV955">
            <v>0</v>
          </cell>
          <cell r="AW955">
            <v>0</v>
          </cell>
          <cell r="AX955">
            <v>0</v>
          </cell>
          <cell r="AY955">
            <v>0</v>
          </cell>
          <cell r="AZ955">
            <v>0</v>
          </cell>
          <cell r="BA955">
            <v>16</v>
          </cell>
          <cell r="BB955">
            <v>0</v>
          </cell>
          <cell r="BC955">
            <v>0</v>
          </cell>
          <cell r="BD955">
            <v>0</v>
          </cell>
          <cell r="BE955">
            <v>0</v>
          </cell>
          <cell r="BF955">
            <v>0</v>
          </cell>
          <cell r="BG955">
            <v>168</v>
          </cell>
          <cell r="BH955">
            <v>2</v>
          </cell>
          <cell r="BI955">
            <v>2</v>
          </cell>
          <cell r="BJ955">
            <v>0.5</v>
          </cell>
          <cell r="BL955">
            <v>0</v>
          </cell>
          <cell r="BM955">
            <v>0</v>
          </cell>
          <cell r="BN955">
            <v>0</v>
          </cell>
          <cell r="BO955">
            <v>0</v>
          </cell>
          <cell r="BP955">
            <v>0</v>
          </cell>
          <cell r="BQ955">
            <v>0</v>
          </cell>
          <cell r="BR955">
            <v>0</v>
          </cell>
          <cell r="BS955">
            <v>0</v>
          </cell>
          <cell r="BT955">
            <v>0</v>
          </cell>
          <cell r="BU955">
            <v>0</v>
          </cell>
          <cell r="BV955">
            <v>0</v>
          </cell>
          <cell r="BW955">
            <v>0</v>
          </cell>
          <cell r="BX955">
            <v>0</v>
          </cell>
          <cell r="BY955">
            <v>0</v>
          </cell>
          <cell r="BZ955">
            <v>0</v>
          </cell>
          <cell r="CA955">
            <v>0</v>
          </cell>
          <cell r="CB955">
            <v>0</v>
          </cell>
          <cell r="CC955">
            <v>0</v>
          </cell>
          <cell r="CD955">
            <v>0</v>
          </cell>
          <cell r="CE955">
            <v>0</v>
          </cell>
          <cell r="CF955">
            <v>0</v>
          </cell>
          <cell r="CG955">
            <v>0</v>
          </cell>
          <cell r="CH955">
            <v>0</v>
          </cell>
          <cell r="CI955">
            <v>0</v>
          </cell>
          <cell r="CJ955">
            <v>0</v>
          </cell>
          <cell r="CK955">
            <v>0</v>
          </cell>
          <cell r="CL955">
            <v>0</v>
          </cell>
          <cell r="CM955">
            <v>0</v>
          </cell>
          <cell r="CR955">
            <v>0</v>
          </cell>
          <cell r="CS955">
            <v>0</v>
          </cell>
          <cell r="CT955">
            <v>0</v>
          </cell>
          <cell r="CU955">
            <v>0</v>
          </cell>
          <cell r="CV955">
            <v>0</v>
          </cell>
          <cell r="CZ955">
            <v>0</v>
          </cell>
        </row>
        <row r="956">
          <cell r="C956" t="str">
            <v>04513</v>
          </cell>
          <cell r="D956" t="str">
            <v>Lê Hoàng Phúc</v>
          </cell>
          <cell r="E956" t="str">
            <v>PD</v>
          </cell>
          <cell r="F956" t="str">
            <v>PD office</v>
          </cell>
          <cell r="G956" t="str">
            <v>Staff</v>
          </cell>
          <cell r="H956">
            <v>45719</v>
          </cell>
          <cell r="I956">
            <v>8</v>
          </cell>
          <cell r="J956">
            <v>8</v>
          </cell>
          <cell r="K956" t="str">
            <v>PO</v>
          </cell>
          <cell r="L956" t="str">
            <v>CN</v>
          </cell>
          <cell r="M956">
            <v>8</v>
          </cell>
          <cell r="N956">
            <v>8</v>
          </cell>
          <cell r="O956">
            <v>8</v>
          </cell>
          <cell r="P956">
            <v>8</v>
          </cell>
          <cell r="Q956">
            <v>8</v>
          </cell>
          <cell r="R956" t="str">
            <v>PO</v>
          </cell>
          <cell r="S956" t="str">
            <v>CN</v>
          </cell>
          <cell r="T956">
            <v>8</v>
          </cell>
          <cell r="U956">
            <v>8</v>
          </cell>
          <cell r="V956">
            <v>8</v>
          </cell>
          <cell r="W956">
            <v>8</v>
          </cell>
          <cell r="X956">
            <v>8</v>
          </cell>
          <cell r="Y956" t="str">
            <v>PO</v>
          </cell>
          <cell r="Z956" t="str">
            <v>CN</v>
          </cell>
          <cell r="AA956">
            <v>8</v>
          </cell>
          <cell r="AB956">
            <v>8</v>
          </cell>
          <cell r="AC956">
            <v>8</v>
          </cell>
          <cell r="AD956">
            <v>8</v>
          </cell>
          <cell r="AE956">
            <v>8</v>
          </cell>
          <cell r="AF956" t="str">
            <v>PO</v>
          </cell>
          <cell r="AG956" t="str">
            <v>CN</v>
          </cell>
          <cell r="AH956">
            <v>8</v>
          </cell>
          <cell r="AI956" t="str">
            <v>AL8</v>
          </cell>
          <cell r="AJ956">
            <v>8</v>
          </cell>
          <cell r="AN956">
            <v>0</v>
          </cell>
          <cell r="AO956">
            <v>152</v>
          </cell>
          <cell r="AP956">
            <v>0</v>
          </cell>
          <cell r="AQ956">
            <v>0</v>
          </cell>
          <cell r="AR956">
            <v>0</v>
          </cell>
          <cell r="AS956">
            <v>0</v>
          </cell>
          <cell r="AT956">
            <v>0</v>
          </cell>
          <cell r="AU956">
            <v>0</v>
          </cell>
          <cell r="AV956">
            <v>32</v>
          </cell>
          <cell r="AW956">
            <v>0</v>
          </cell>
          <cell r="AX956">
            <v>0</v>
          </cell>
          <cell r="AY956">
            <v>0</v>
          </cell>
          <cell r="AZ956">
            <v>0</v>
          </cell>
          <cell r="BA956">
            <v>8</v>
          </cell>
          <cell r="BB956">
            <v>0</v>
          </cell>
          <cell r="BC956">
            <v>0</v>
          </cell>
          <cell r="BD956">
            <v>0</v>
          </cell>
          <cell r="BE956">
            <v>0</v>
          </cell>
          <cell r="BF956">
            <v>0</v>
          </cell>
          <cell r="BG956">
            <v>192</v>
          </cell>
          <cell r="BH956">
            <v>1</v>
          </cell>
          <cell r="BI956">
            <v>1</v>
          </cell>
          <cell r="BJ956">
            <v>3</v>
          </cell>
          <cell r="BL956">
            <v>0</v>
          </cell>
          <cell r="BM956">
            <v>0</v>
          </cell>
          <cell r="BN956">
            <v>0</v>
          </cell>
          <cell r="BO956">
            <v>0</v>
          </cell>
          <cell r="BP956">
            <v>0</v>
          </cell>
          <cell r="BQ956">
            <v>0</v>
          </cell>
          <cell r="BR956">
            <v>0</v>
          </cell>
          <cell r="BS956">
            <v>0</v>
          </cell>
          <cell r="BT956">
            <v>0</v>
          </cell>
          <cell r="BU956">
            <v>0</v>
          </cell>
          <cell r="BV956">
            <v>0</v>
          </cell>
          <cell r="BW956">
            <v>0</v>
          </cell>
          <cell r="BX956">
            <v>0</v>
          </cell>
          <cell r="BY956">
            <v>0</v>
          </cell>
          <cell r="BZ956">
            <v>0</v>
          </cell>
          <cell r="CA956">
            <v>0</v>
          </cell>
          <cell r="CB956">
            <v>0</v>
          </cell>
          <cell r="CC956">
            <v>0</v>
          </cell>
          <cell r="CD956">
            <v>0</v>
          </cell>
          <cell r="CE956">
            <v>0</v>
          </cell>
          <cell r="CF956">
            <v>0</v>
          </cell>
          <cell r="CG956">
            <v>0</v>
          </cell>
          <cell r="CH956">
            <v>0</v>
          </cell>
          <cell r="CI956">
            <v>0</v>
          </cell>
          <cell r="CJ956">
            <v>0</v>
          </cell>
          <cell r="CK956">
            <v>0</v>
          </cell>
          <cell r="CL956">
            <v>0</v>
          </cell>
          <cell r="CM956">
            <v>0</v>
          </cell>
          <cell r="CR956">
            <v>0</v>
          </cell>
          <cell r="CS956">
            <v>0</v>
          </cell>
          <cell r="CT956">
            <v>0</v>
          </cell>
          <cell r="CU956">
            <v>0</v>
          </cell>
          <cell r="CV956">
            <v>0</v>
          </cell>
          <cell r="CZ956">
            <v>0</v>
          </cell>
        </row>
        <row r="957">
          <cell r="C957" t="str">
            <v>04514</v>
          </cell>
          <cell r="D957" t="str">
            <v>Nguyễn Thị Huyền</v>
          </cell>
          <cell r="E957" t="str">
            <v>CS</v>
          </cell>
          <cell r="F957" t="str">
            <v>CS</v>
          </cell>
          <cell r="G957" t="str">
            <v>Staff</v>
          </cell>
          <cell r="H957">
            <v>45721</v>
          </cell>
          <cell r="I957">
            <v>8</v>
          </cell>
          <cell r="J957">
            <v>8</v>
          </cell>
          <cell r="K957" t="str">
            <v>PO</v>
          </cell>
          <cell r="L957" t="str">
            <v>CN</v>
          </cell>
          <cell r="M957" t="str">
            <v>WH</v>
          </cell>
          <cell r="N957">
            <v>8</v>
          </cell>
          <cell r="O957" t="str">
            <v>AL8</v>
          </cell>
          <cell r="P957">
            <v>8</v>
          </cell>
          <cell r="Q957">
            <v>8</v>
          </cell>
          <cell r="R957" t="str">
            <v>PO</v>
          </cell>
          <cell r="S957" t="str">
            <v>CN</v>
          </cell>
          <cell r="T957" t="str">
            <v>AL4</v>
          </cell>
          <cell r="U957">
            <v>8</v>
          </cell>
          <cell r="V957">
            <v>8</v>
          </cell>
          <cell r="W957" t="str">
            <v>AL8</v>
          </cell>
          <cell r="X957">
            <v>8</v>
          </cell>
          <cell r="Y957" t="str">
            <v>PO</v>
          </cell>
          <cell r="Z957" t="str">
            <v>CN</v>
          </cell>
          <cell r="AA957">
            <v>8</v>
          </cell>
          <cell r="AB957">
            <v>8</v>
          </cell>
          <cell r="AC957">
            <v>8</v>
          </cell>
          <cell r="AD957">
            <v>8</v>
          </cell>
          <cell r="AE957">
            <v>8</v>
          </cell>
          <cell r="AF957" t="str">
            <v>PO</v>
          </cell>
          <cell r="AG957" t="str">
            <v>CN</v>
          </cell>
          <cell r="AH957">
            <v>8</v>
          </cell>
          <cell r="AI957">
            <v>8</v>
          </cell>
          <cell r="AJ957">
            <v>8</v>
          </cell>
          <cell r="AN957">
            <v>0</v>
          </cell>
          <cell r="AO957">
            <v>132</v>
          </cell>
          <cell r="AP957">
            <v>4</v>
          </cell>
          <cell r="AQ957">
            <v>0</v>
          </cell>
          <cell r="AR957">
            <v>0</v>
          </cell>
          <cell r="AS957">
            <v>0</v>
          </cell>
          <cell r="AT957">
            <v>0</v>
          </cell>
          <cell r="AU957">
            <v>0</v>
          </cell>
          <cell r="AV957">
            <v>32</v>
          </cell>
          <cell r="AW957">
            <v>0</v>
          </cell>
          <cell r="AX957">
            <v>0</v>
          </cell>
          <cell r="AY957">
            <v>0</v>
          </cell>
          <cell r="AZ957">
            <v>0</v>
          </cell>
          <cell r="BA957">
            <v>20</v>
          </cell>
          <cell r="BB957">
            <v>0</v>
          </cell>
          <cell r="BC957">
            <v>0</v>
          </cell>
          <cell r="BD957">
            <v>8</v>
          </cell>
          <cell r="BE957">
            <v>0</v>
          </cell>
          <cell r="BF957">
            <v>0</v>
          </cell>
          <cell r="BG957">
            <v>192</v>
          </cell>
          <cell r="BH957">
            <v>2.5</v>
          </cell>
          <cell r="BI957">
            <v>2.5</v>
          </cell>
          <cell r="BJ957">
            <v>3.5</v>
          </cell>
          <cell r="BL957">
            <v>0</v>
          </cell>
          <cell r="BM957">
            <v>0</v>
          </cell>
          <cell r="BN957">
            <v>0</v>
          </cell>
          <cell r="BO957">
            <v>0</v>
          </cell>
          <cell r="BP957">
            <v>0</v>
          </cell>
          <cell r="BQ957">
            <v>0</v>
          </cell>
          <cell r="BR957">
            <v>0</v>
          </cell>
          <cell r="BS957">
            <v>2.5</v>
          </cell>
          <cell r="BT957">
            <v>2</v>
          </cell>
          <cell r="BU957">
            <v>0</v>
          </cell>
          <cell r="BV957">
            <v>0</v>
          </cell>
          <cell r="BW957">
            <v>0</v>
          </cell>
          <cell r="BX957">
            <v>2</v>
          </cell>
          <cell r="BY957">
            <v>2.5</v>
          </cell>
          <cell r="BZ957">
            <v>0</v>
          </cell>
          <cell r="CA957">
            <v>0</v>
          </cell>
          <cell r="CB957">
            <v>0</v>
          </cell>
          <cell r="CC957">
            <v>0</v>
          </cell>
          <cell r="CD957">
            <v>0</v>
          </cell>
          <cell r="CE957">
            <v>2.5</v>
          </cell>
          <cell r="CF957">
            <v>0</v>
          </cell>
          <cell r="CG957">
            <v>0</v>
          </cell>
          <cell r="CH957">
            <v>2.5</v>
          </cell>
          <cell r="CI957">
            <v>0</v>
          </cell>
          <cell r="CJ957">
            <v>0</v>
          </cell>
          <cell r="CK957">
            <v>0</v>
          </cell>
          <cell r="CL957">
            <v>1.75</v>
          </cell>
          <cell r="CM957">
            <v>0</v>
          </cell>
          <cell r="CR957">
            <v>0</v>
          </cell>
          <cell r="CS957">
            <v>0</v>
          </cell>
          <cell r="CT957">
            <v>15.75</v>
          </cell>
          <cell r="CU957">
            <v>0</v>
          </cell>
          <cell r="CV957">
            <v>0</v>
          </cell>
          <cell r="CZ957">
            <v>15.75</v>
          </cell>
        </row>
        <row r="958">
          <cell r="C958" t="str">
            <v>04515</v>
          </cell>
          <cell r="D958" t="str">
            <v>Nguyễn Minh Thịnh</v>
          </cell>
          <cell r="E958" t="str">
            <v>CS</v>
          </cell>
          <cell r="F958" t="str">
            <v>KIO</v>
          </cell>
          <cell r="G958" t="str">
            <v>Staff</v>
          </cell>
          <cell r="H958">
            <v>45721</v>
          </cell>
          <cell r="I958" t="str">
            <v>WH</v>
          </cell>
          <cell r="J958">
            <v>8</v>
          </cell>
          <cell r="K958" t="str">
            <v>PO</v>
          </cell>
          <cell r="L958" t="str">
            <v>CN</v>
          </cell>
          <cell r="M958">
            <v>8</v>
          </cell>
          <cell r="N958">
            <v>8</v>
          </cell>
          <cell r="O958">
            <v>8</v>
          </cell>
          <cell r="P958" t="str">
            <v>WH</v>
          </cell>
          <cell r="Q958">
            <v>8</v>
          </cell>
          <cell r="R958" t="str">
            <v>PO</v>
          </cell>
          <cell r="S958" t="str">
            <v>CN</v>
          </cell>
          <cell r="T958" t="str">
            <v>WH</v>
          </cell>
          <cell r="U958" t="str">
            <v>WH</v>
          </cell>
          <cell r="V958" t="str">
            <v>WH</v>
          </cell>
          <cell r="W958" t="str">
            <v>WH</v>
          </cell>
          <cell r="X958">
            <v>8</v>
          </cell>
          <cell r="Y958" t="str">
            <v>PO</v>
          </cell>
          <cell r="Z958" t="str">
            <v>CN</v>
          </cell>
          <cell r="AA958">
            <v>8</v>
          </cell>
          <cell r="AB958">
            <v>8</v>
          </cell>
          <cell r="AC958">
            <v>8</v>
          </cell>
          <cell r="AD958">
            <v>8</v>
          </cell>
          <cell r="AE958">
            <v>8</v>
          </cell>
          <cell r="AF958" t="str">
            <v>PO</v>
          </cell>
          <cell r="AG958" t="str">
            <v>CN</v>
          </cell>
          <cell r="AH958">
            <v>8</v>
          </cell>
          <cell r="AI958">
            <v>8</v>
          </cell>
          <cell r="AJ958">
            <v>8</v>
          </cell>
          <cell r="AN958">
            <v>0</v>
          </cell>
          <cell r="AO958">
            <v>112</v>
          </cell>
          <cell r="AP958">
            <v>0</v>
          </cell>
          <cell r="AQ958">
            <v>0</v>
          </cell>
          <cell r="AR958">
            <v>0</v>
          </cell>
          <cell r="AS958">
            <v>0</v>
          </cell>
          <cell r="AT958">
            <v>0</v>
          </cell>
          <cell r="AU958">
            <v>0</v>
          </cell>
          <cell r="AV958">
            <v>32</v>
          </cell>
          <cell r="AW958">
            <v>0</v>
          </cell>
          <cell r="AX958">
            <v>0</v>
          </cell>
          <cell r="AY958">
            <v>0</v>
          </cell>
          <cell r="AZ958">
            <v>0</v>
          </cell>
          <cell r="BA958">
            <v>0</v>
          </cell>
          <cell r="BB958">
            <v>0</v>
          </cell>
          <cell r="BC958">
            <v>0</v>
          </cell>
          <cell r="BD958">
            <v>48</v>
          </cell>
          <cell r="BE958">
            <v>0</v>
          </cell>
          <cell r="BF958">
            <v>0</v>
          </cell>
          <cell r="BG958">
            <v>192</v>
          </cell>
          <cell r="BH958">
            <v>0</v>
          </cell>
          <cell r="BI958">
            <v>0</v>
          </cell>
          <cell r="BJ958">
            <v>4.5</v>
          </cell>
          <cell r="BL958">
            <v>0</v>
          </cell>
          <cell r="BM958">
            <v>1</v>
          </cell>
          <cell r="BN958">
            <v>0</v>
          </cell>
          <cell r="BO958">
            <v>0</v>
          </cell>
          <cell r="BP958">
            <v>3.5</v>
          </cell>
          <cell r="BQ958">
            <v>0</v>
          </cell>
          <cell r="BR958">
            <v>1.5</v>
          </cell>
          <cell r="BS958">
            <v>0</v>
          </cell>
          <cell r="BT958">
            <v>0</v>
          </cell>
          <cell r="BU958">
            <v>0</v>
          </cell>
          <cell r="BV958">
            <v>0</v>
          </cell>
          <cell r="BW958">
            <v>0</v>
          </cell>
          <cell r="BX958">
            <v>0</v>
          </cell>
          <cell r="BY958">
            <v>0</v>
          </cell>
          <cell r="BZ958">
            <v>0</v>
          </cell>
          <cell r="CA958">
            <v>1</v>
          </cell>
          <cell r="CB958">
            <v>0</v>
          </cell>
          <cell r="CC958">
            <v>0</v>
          </cell>
          <cell r="CD958">
            <v>1.5</v>
          </cell>
          <cell r="CE958">
            <v>0</v>
          </cell>
          <cell r="CF958">
            <v>0</v>
          </cell>
          <cell r="CG958">
            <v>0</v>
          </cell>
          <cell r="CH958">
            <v>0</v>
          </cell>
          <cell r="CI958">
            <v>0</v>
          </cell>
          <cell r="CJ958">
            <v>0</v>
          </cell>
          <cell r="CK958">
            <v>0</v>
          </cell>
          <cell r="CL958">
            <v>0</v>
          </cell>
          <cell r="CM958">
            <v>0</v>
          </cell>
          <cell r="CR958">
            <v>0</v>
          </cell>
          <cell r="CS958">
            <v>0</v>
          </cell>
          <cell r="CT958">
            <v>8.5</v>
          </cell>
          <cell r="CU958">
            <v>0</v>
          </cell>
          <cell r="CV958">
            <v>0</v>
          </cell>
          <cell r="CZ958">
            <v>8.5</v>
          </cell>
        </row>
        <row r="959">
          <cell r="C959" t="str">
            <v>04517</v>
          </cell>
          <cell r="D959" t="str">
            <v>Hoàng Văn Anh</v>
          </cell>
          <cell r="E959" t="str">
            <v>Foaming</v>
          </cell>
          <cell r="F959" t="str">
            <v>FOAMING Rectangular</v>
          </cell>
          <cell r="G959" t="str">
            <v>Worker</v>
          </cell>
          <cell r="H959">
            <v>45721</v>
          </cell>
          <cell r="I959">
            <v>8</v>
          </cell>
          <cell r="J959">
            <v>8</v>
          </cell>
          <cell r="K959">
            <v>8</v>
          </cell>
          <cell r="L959" t="str">
            <v>CN</v>
          </cell>
          <cell r="M959">
            <v>8</v>
          </cell>
          <cell r="N959">
            <v>8</v>
          </cell>
          <cell r="O959">
            <v>8</v>
          </cell>
          <cell r="P959">
            <v>8</v>
          </cell>
          <cell r="Q959">
            <v>8</v>
          </cell>
          <cell r="R959">
            <v>8</v>
          </cell>
          <cell r="S959" t="str">
            <v>CN</v>
          </cell>
          <cell r="T959">
            <v>8</v>
          </cell>
          <cell r="U959">
            <v>8</v>
          </cell>
          <cell r="V959">
            <v>8</v>
          </cell>
          <cell r="W959">
            <v>8</v>
          </cell>
          <cell r="X959" t="str">
            <v>AL8</v>
          </cell>
          <cell r="Y959" t="str">
            <v>AL8</v>
          </cell>
          <cell r="Z959" t="str">
            <v>CN</v>
          </cell>
          <cell r="AA959" t="str">
            <v>Đ</v>
          </cell>
          <cell r="AB959" t="str">
            <v>Đ</v>
          </cell>
          <cell r="AC959" t="str">
            <v>Đ</v>
          </cell>
          <cell r="AD959" t="str">
            <v>Đ</v>
          </cell>
          <cell r="AE959" t="str">
            <v>Đ</v>
          </cell>
          <cell r="AF959" t="str">
            <v>Đ</v>
          </cell>
          <cell r="AG959" t="str">
            <v>CN</v>
          </cell>
          <cell r="AH959" t="str">
            <v>Đ</v>
          </cell>
          <cell r="AI959" t="str">
            <v>Đ</v>
          </cell>
          <cell r="AJ959" t="str">
            <v>Đ</v>
          </cell>
          <cell r="AN959">
            <v>72</v>
          </cell>
          <cell r="AO959">
            <v>104</v>
          </cell>
          <cell r="AP959">
            <v>0</v>
          </cell>
          <cell r="AQ959">
            <v>0</v>
          </cell>
          <cell r="AR959">
            <v>0</v>
          </cell>
          <cell r="AS959">
            <v>0</v>
          </cell>
          <cell r="AT959">
            <v>0</v>
          </cell>
          <cell r="AU959">
            <v>0</v>
          </cell>
          <cell r="AV959">
            <v>0</v>
          </cell>
          <cell r="AW959">
            <v>0</v>
          </cell>
          <cell r="AX959">
            <v>0</v>
          </cell>
          <cell r="AY959">
            <v>0</v>
          </cell>
          <cell r="AZ959">
            <v>0</v>
          </cell>
          <cell r="BA959">
            <v>16</v>
          </cell>
          <cell r="BB959">
            <v>0</v>
          </cell>
          <cell r="BC959">
            <v>0</v>
          </cell>
          <cell r="BD959">
            <v>0</v>
          </cell>
          <cell r="BE959">
            <v>0</v>
          </cell>
          <cell r="BF959">
            <v>0</v>
          </cell>
          <cell r="BG959">
            <v>192</v>
          </cell>
          <cell r="BH959">
            <v>2</v>
          </cell>
          <cell r="BI959">
            <v>2</v>
          </cell>
          <cell r="BJ959">
            <v>2.5</v>
          </cell>
          <cell r="BL959">
            <v>4</v>
          </cell>
          <cell r="BM959">
            <v>4</v>
          </cell>
          <cell r="BN959">
            <v>4</v>
          </cell>
          <cell r="BO959">
            <v>12</v>
          </cell>
          <cell r="BP959">
            <v>0</v>
          </cell>
          <cell r="BQ959">
            <v>4</v>
          </cell>
          <cell r="BR959">
            <v>4</v>
          </cell>
          <cell r="BS959">
            <v>4</v>
          </cell>
          <cell r="BT959">
            <v>4</v>
          </cell>
          <cell r="BU959">
            <v>4</v>
          </cell>
          <cell r="BV959">
            <v>12</v>
          </cell>
          <cell r="BW959">
            <v>4</v>
          </cell>
          <cell r="BX959">
            <v>4</v>
          </cell>
          <cell r="BY959">
            <v>4</v>
          </cell>
          <cell r="BZ959">
            <v>4</v>
          </cell>
          <cell r="CA959">
            <v>0</v>
          </cell>
          <cell r="CB959">
            <v>0</v>
          </cell>
          <cell r="CC959" t="str">
            <v>12Đ</v>
          </cell>
          <cell r="CD959">
            <v>4</v>
          </cell>
          <cell r="CE959">
            <v>4</v>
          </cell>
          <cell r="CF959">
            <v>4</v>
          </cell>
          <cell r="CG959">
            <v>4</v>
          </cell>
          <cell r="CH959">
            <v>4</v>
          </cell>
          <cell r="CI959">
            <v>4</v>
          </cell>
          <cell r="CJ959" t="str">
            <v>12Đ</v>
          </cell>
          <cell r="CK959">
            <v>4</v>
          </cell>
          <cell r="CL959">
            <v>4</v>
          </cell>
          <cell r="CM959">
            <v>4</v>
          </cell>
          <cell r="CR959">
            <v>0</v>
          </cell>
          <cell r="CS959">
            <v>0</v>
          </cell>
          <cell r="CT959">
            <v>84</v>
          </cell>
          <cell r="CU959">
            <v>32</v>
          </cell>
          <cell r="CV959">
            <v>16</v>
          </cell>
          <cell r="CZ959">
            <v>132</v>
          </cell>
        </row>
        <row r="960">
          <cell r="C960" t="str">
            <v>04522</v>
          </cell>
          <cell r="D960" t="str">
            <v>Nguyễn Thị Y Bình</v>
          </cell>
          <cell r="E960" t="str">
            <v>Production</v>
          </cell>
          <cell r="F960" t="str">
            <v>Logo</v>
          </cell>
          <cell r="G960" t="str">
            <v>Worker</v>
          </cell>
          <cell r="H960">
            <v>45721</v>
          </cell>
          <cell r="I960">
            <v>8</v>
          </cell>
          <cell r="J960">
            <v>8</v>
          </cell>
          <cell r="K960">
            <v>8</v>
          </cell>
          <cell r="L960" t="str">
            <v>CN</v>
          </cell>
          <cell r="M960">
            <v>8</v>
          </cell>
          <cell r="N960">
            <v>8</v>
          </cell>
          <cell r="O960">
            <v>8</v>
          </cell>
          <cell r="P960">
            <v>8</v>
          </cell>
          <cell r="Q960">
            <v>8</v>
          </cell>
          <cell r="R960" t="str">
            <v>AL8</v>
          </cell>
          <cell r="S960" t="str">
            <v>CN</v>
          </cell>
          <cell r="T960">
            <v>8</v>
          </cell>
          <cell r="U960">
            <v>8</v>
          </cell>
          <cell r="V960">
            <v>8</v>
          </cell>
          <cell r="W960">
            <v>8</v>
          </cell>
          <cell r="X960">
            <v>8</v>
          </cell>
          <cell r="Y960">
            <v>8</v>
          </cell>
          <cell r="Z960" t="str">
            <v>CN</v>
          </cell>
          <cell r="AA960">
            <v>8</v>
          </cell>
          <cell r="AB960">
            <v>8</v>
          </cell>
          <cell r="AC960" t="str">
            <v>SWD</v>
          </cell>
          <cell r="AD960">
            <v>8</v>
          </cell>
          <cell r="AE960">
            <v>8</v>
          </cell>
          <cell r="AF960">
            <v>8</v>
          </cell>
          <cell r="AG960" t="str">
            <v>CN</v>
          </cell>
          <cell r="AH960">
            <v>8</v>
          </cell>
          <cell r="AI960">
            <v>8</v>
          </cell>
          <cell r="AJ960">
            <v>8</v>
          </cell>
          <cell r="AN960">
            <v>0</v>
          </cell>
          <cell r="AO960">
            <v>176</v>
          </cell>
          <cell r="AP960">
            <v>0</v>
          </cell>
          <cell r="AQ960">
            <v>0</v>
          </cell>
          <cell r="AR960">
            <v>0</v>
          </cell>
          <cell r="AS960">
            <v>8</v>
          </cell>
          <cell r="AT960">
            <v>0</v>
          </cell>
          <cell r="AU960">
            <v>0</v>
          </cell>
          <cell r="AV960">
            <v>0</v>
          </cell>
          <cell r="AW960">
            <v>0</v>
          </cell>
          <cell r="AX960">
            <v>0</v>
          </cell>
          <cell r="AY960">
            <v>0</v>
          </cell>
          <cell r="AZ960">
            <v>0</v>
          </cell>
          <cell r="BA960">
            <v>8</v>
          </cell>
          <cell r="BB960">
            <v>0</v>
          </cell>
          <cell r="BC960">
            <v>0</v>
          </cell>
          <cell r="BD960">
            <v>0</v>
          </cell>
          <cell r="BE960">
            <v>0</v>
          </cell>
          <cell r="BF960">
            <v>0</v>
          </cell>
          <cell r="BG960">
            <v>184</v>
          </cell>
          <cell r="BH960">
            <v>1</v>
          </cell>
          <cell r="BI960">
            <v>1</v>
          </cell>
          <cell r="BJ960">
            <v>-2</v>
          </cell>
          <cell r="BL960">
            <v>0</v>
          </cell>
          <cell r="BM960">
            <v>1.5</v>
          </cell>
          <cell r="BN960">
            <v>0</v>
          </cell>
          <cell r="BO960">
            <v>0</v>
          </cell>
          <cell r="BP960">
            <v>0</v>
          </cell>
          <cell r="BQ960">
            <v>0</v>
          </cell>
          <cell r="BR960">
            <v>0</v>
          </cell>
          <cell r="BS960">
            <v>0</v>
          </cell>
          <cell r="BT960">
            <v>0</v>
          </cell>
          <cell r="BU960">
            <v>0</v>
          </cell>
          <cell r="BV960">
            <v>0</v>
          </cell>
          <cell r="BW960">
            <v>0</v>
          </cell>
          <cell r="BX960">
            <v>0</v>
          </cell>
          <cell r="BY960">
            <v>3</v>
          </cell>
          <cell r="BZ960">
            <v>3</v>
          </cell>
          <cell r="CA960">
            <v>3</v>
          </cell>
          <cell r="CB960">
            <v>0</v>
          </cell>
          <cell r="CC960">
            <v>8</v>
          </cell>
          <cell r="CD960">
            <v>0</v>
          </cell>
          <cell r="CE960">
            <v>0</v>
          </cell>
          <cell r="CF960">
            <v>0</v>
          </cell>
          <cell r="CG960">
            <v>0</v>
          </cell>
          <cell r="CH960">
            <v>0</v>
          </cell>
          <cell r="CI960">
            <v>0</v>
          </cell>
          <cell r="CJ960">
            <v>8</v>
          </cell>
          <cell r="CK960">
            <v>0</v>
          </cell>
          <cell r="CL960">
            <v>3</v>
          </cell>
          <cell r="CM960">
            <v>3</v>
          </cell>
          <cell r="CR960">
            <v>0</v>
          </cell>
          <cell r="CS960">
            <v>0</v>
          </cell>
          <cell r="CT960">
            <v>16.5</v>
          </cell>
          <cell r="CU960">
            <v>16</v>
          </cell>
          <cell r="CV960">
            <v>0</v>
          </cell>
          <cell r="CZ960">
            <v>32.5</v>
          </cell>
        </row>
        <row r="961">
          <cell r="C961" t="str">
            <v>04523</v>
          </cell>
          <cell r="D961" t="str">
            <v>Phan Hửu Đức</v>
          </cell>
          <cell r="E961" t="str">
            <v>Production</v>
          </cell>
          <cell r="F961" t="str">
            <v>Lamination</v>
          </cell>
          <cell r="G961" t="str">
            <v>Worker</v>
          </cell>
          <cell r="H961">
            <v>45721</v>
          </cell>
          <cell r="I961" t="str">
            <v>Đ</v>
          </cell>
          <cell r="J961" t="str">
            <v>Đ</v>
          </cell>
          <cell r="K961" t="str">
            <v>Đ</v>
          </cell>
          <cell r="L961" t="str">
            <v>CN</v>
          </cell>
          <cell r="M961" t="str">
            <v>AL8</v>
          </cell>
          <cell r="N961">
            <v>8</v>
          </cell>
          <cell r="O961">
            <v>8</v>
          </cell>
          <cell r="P961">
            <v>8</v>
          </cell>
          <cell r="Q961">
            <v>8</v>
          </cell>
          <cell r="R961">
            <v>8</v>
          </cell>
          <cell r="S961" t="str">
            <v>CN</v>
          </cell>
          <cell r="T961" t="str">
            <v>UP8</v>
          </cell>
          <cell r="U961" t="str">
            <v>UP8</v>
          </cell>
          <cell r="V961" t="str">
            <v>UP8</v>
          </cell>
          <cell r="W961" t="str">
            <v>Đ</v>
          </cell>
          <cell r="X961" t="str">
            <v>Đ</v>
          </cell>
          <cell r="Y961" t="str">
            <v>CN</v>
          </cell>
          <cell r="Z961">
            <v>8</v>
          </cell>
          <cell r="AA961" t="str">
            <v>UP4</v>
          </cell>
          <cell r="AB961">
            <v>8</v>
          </cell>
          <cell r="AC961" t="str">
            <v>UP4</v>
          </cell>
          <cell r="AD961">
            <v>8</v>
          </cell>
          <cell r="AE961">
            <v>8</v>
          </cell>
          <cell r="AF961" t="str">
            <v>CN</v>
          </cell>
          <cell r="AG961" t="str">
            <v>UP8</v>
          </cell>
          <cell r="AH961" t="str">
            <v>UP8</v>
          </cell>
          <cell r="AI961">
            <v>8</v>
          </cell>
          <cell r="AJ961">
            <v>8</v>
          </cell>
          <cell r="AN961">
            <v>40</v>
          </cell>
          <cell r="AO961">
            <v>96</v>
          </cell>
          <cell r="AP961">
            <v>0</v>
          </cell>
          <cell r="AQ961">
            <v>0</v>
          </cell>
          <cell r="AR961">
            <v>8</v>
          </cell>
          <cell r="AS961">
            <v>48</v>
          </cell>
          <cell r="AT961">
            <v>0</v>
          </cell>
          <cell r="AU961">
            <v>0</v>
          </cell>
          <cell r="AV961">
            <v>0</v>
          </cell>
          <cell r="AW961">
            <v>0</v>
          </cell>
          <cell r="AX961">
            <v>0</v>
          </cell>
          <cell r="AY961">
            <v>0</v>
          </cell>
          <cell r="AZ961">
            <v>0</v>
          </cell>
          <cell r="BA961">
            <v>8</v>
          </cell>
          <cell r="BB961">
            <v>0</v>
          </cell>
          <cell r="BC961">
            <v>0</v>
          </cell>
          <cell r="BD961">
            <v>0</v>
          </cell>
          <cell r="BE961">
            <v>0</v>
          </cell>
          <cell r="BF961">
            <v>0</v>
          </cell>
          <cell r="BG961">
            <v>144</v>
          </cell>
          <cell r="BH961">
            <v>1</v>
          </cell>
          <cell r="BI961">
            <v>1</v>
          </cell>
          <cell r="BJ961">
            <v>0</v>
          </cell>
          <cell r="BL961">
            <v>0</v>
          </cell>
          <cell r="BM961">
            <v>0</v>
          </cell>
          <cell r="BN961">
            <v>0</v>
          </cell>
          <cell r="BO961">
            <v>0</v>
          </cell>
          <cell r="BP961">
            <v>0</v>
          </cell>
          <cell r="BQ961">
            <v>0</v>
          </cell>
          <cell r="BR961">
            <v>0</v>
          </cell>
          <cell r="BS961">
            <v>0</v>
          </cell>
          <cell r="BT961">
            <v>0</v>
          </cell>
          <cell r="BU961">
            <v>0</v>
          </cell>
          <cell r="BV961">
            <v>0</v>
          </cell>
          <cell r="BW961">
            <v>0</v>
          </cell>
          <cell r="BX961">
            <v>0</v>
          </cell>
          <cell r="BY961">
            <v>0</v>
          </cell>
          <cell r="BZ961">
            <v>0</v>
          </cell>
          <cell r="CA961">
            <v>0</v>
          </cell>
          <cell r="CB961">
            <v>0</v>
          </cell>
          <cell r="CC961">
            <v>4</v>
          </cell>
          <cell r="CD961">
            <v>0</v>
          </cell>
          <cell r="CE961">
            <v>0</v>
          </cell>
          <cell r="CF961">
            <v>0</v>
          </cell>
          <cell r="CG961">
            <v>0</v>
          </cell>
          <cell r="CH961">
            <v>4</v>
          </cell>
          <cell r="CI961">
            <v>0</v>
          </cell>
          <cell r="CJ961">
            <v>0</v>
          </cell>
          <cell r="CK961">
            <v>0</v>
          </cell>
          <cell r="CL961">
            <v>0</v>
          </cell>
          <cell r="CM961">
            <v>0</v>
          </cell>
          <cell r="CR961">
            <v>0</v>
          </cell>
          <cell r="CS961">
            <v>0</v>
          </cell>
          <cell r="CT961">
            <v>8</v>
          </cell>
          <cell r="CU961">
            <v>0</v>
          </cell>
          <cell r="CV961">
            <v>0</v>
          </cell>
          <cell r="CZ961">
            <v>8</v>
          </cell>
        </row>
        <row r="962">
          <cell r="C962" t="str">
            <v>04526</v>
          </cell>
          <cell r="D962" t="str">
            <v>Lưu Thị Vần</v>
          </cell>
          <cell r="E962" t="str">
            <v>CS</v>
          </cell>
          <cell r="F962" t="str">
            <v>CS</v>
          </cell>
          <cell r="G962" t="str">
            <v>Senior Staff</v>
          </cell>
          <cell r="H962">
            <v>45726</v>
          </cell>
          <cell r="I962">
            <v>8</v>
          </cell>
          <cell r="J962">
            <v>8</v>
          </cell>
          <cell r="K962" t="str">
            <v>PO</v>
          </cell>
          <cell r="L962" t="str">
            <v>CN</v>
          </cell>
          <cell r="M962">
            <v>8</v>
          </cell>
          <cell r="N962">
            <v>8</v>
          </cell>
          <cell r="O962">
            <v>8</v>
          </cell>
          <cell r="P962">
            <v>8</v>
          </cell>
          <cell r="Q962">
            <v>8</v>
          </cell>
          <cell r="R962" t="str">
            <v>PO</v>
          </cell>
          <cell r="S962" t="str">
            <v>CN</v>
          </cell>
          <cell r="T962">
            <v>8</v>
          </cell>
          <cell r="U962">
            <v>8</v>
          </cell>
          <cell r="V962">
            <v>8</v>
          </cell>
          <cell r="W962">
            <v>8</v>
          </cell>
          <cell r="X962">
            <v>8</v>
          </cell>
          <cell r="Y962" t="str">
            <v>PO</v>
          </cell>
          <cell r="Z962" t="str">
            <v>CN</v>
          </cell>
          <cell r="AA962">
            <v>8</v>
          </cell>
          <cell r="AB962">
            <v>8</v>
          </cell>
          <cell r="AC962">
            <v>8</v>
          </cell>
          <cell r="AD962" t="str">
            <v>AL4</v>
          </cell>
          <cell r="AE962">
            <v>8</v>
          </cell>
          <cell r="AF962" t="str">
            <v>PO</v>
          </cell>
          <cell r="AG962" t="str">
            <v>CN</v>
          </cell>
          <cell r="AH962">
            <v>8</v>
          </cell>
          <cell r="AI962">
            <v>8</v>
          </cell>
          <cell r="AJ962">
            <v>8</v>
          </cell>
          <cell r="AN962">
            <v>0</v>
          </cell>
          <cell r="AO962">
            <v>156</v>
          </cell>
          <cell r="AP962">
            <v>4</v>
          </cell>
          <cell r="AQ962">
            <v>0</v>
          </cell>
          <cell r="AR962">
            <v>0</v>
          </cell>
          <cell r="AS962">
            <v>0</v>
          </cell>
          <cell r="AT962">
            <v>0</v>
          </cell>
          <cell r="AU962">
            <v>0</v>
          </cell>
          <cell r="AV962">
            <v>32</v>
          </cell>
          <cell r="AW962">
            <v>0</v>
          </cell>
          <cell r="AX962">
            <v>0</v>
          </cell>
          <cell r="AY962">
            <v>0</v>
          </cell>
          <cell r="AZ962">
            <v>0</v>
          </cell>
          <cell r="BA962">
            <v>4</v>
          </cell>
          <cell r="BB962">
            <v>0</v>
          </cell>
          <cell r="BC962">
            <v>0</v>
          </cell>
          <cell r="BD962">
            <v>0</v>
          </cell>
          <cell r="BE962">
            <v>0</v>
          </cell>
          <cell r="BF962">
            <v>0</v>
          </cell>
          <cell r="BG962">
            <v>192</v>
          </cell>
          <cell r="BH962">
            <v>0.5</v>
          </cell>
          <cell r="BI962">
            <v>0.5</v>
          </cell>
          <cell r="BJ962">
            <v>5.5</v>
          </cell>
          <cell r="BL962">
            <v>0</v>
          </cell>
          <cell r="BM962">
            <v>3.5</v>
          </cell>
          <cell r="BN962">
            <v>0</v>
          </cell>
          <cell r="BO962">
            <v>0</v>
          </cell>
          <cell r="BP962">
            <v>1</v>
          </cell>
          <cell r="BQ962">
            <v>0.75</v>
          </cell>
          <cell r="BR962">
            <v>2</v>
          </cell>
          <cell r="BS962">
            <v>2.75</v>
          </cell>
          <cell r="BT962">
            <v>2.25</v>
          </cell>
          <cell r="BU962">
            <v>0</v>
          </cell>
          <cell r="BV962">
            <v>0</v>
          </cell>
          <cell r="BW962">
            <v>1.5</v>
          </cell>
          <cell r="BX962">
            <v>2.5</v>
          </cell>
          <cell r="BY962">
            <v>3.75</v>
          </cell>
          <cell r="BZ962">
            <v>2</v>
          </cell>
          <cell r="CA962">
            <v>2.25</v>
          </cell>
          <cell r="CB962">
            <v>0</v>
          </cell>
          <cell r="CC962">
            <v>0</v>
          </cell>
          <cell r="CD962">
            <v>1.5</v>
          </cell>
          <cell r="CE962">
            <v>1.5</v>
          </cell>
          <cell r="CF962">
            <v>1.25</v>
          </cell>
          <cell r="CG962">
            <v>2</v>
          </cell>
          <cell r="CH962">
            <v>1</v>
          </cell>
          <cell r="CI962">
            <v>0</v>
          </cell>
          <cell r="CJ962">
            <v>0</v>
          </cell>
          <cell r="CK962">
            <v>1.5</v>
          </cell>
          <cell r="CL962">
            <v>2</v>
          </cell>
          <cell r="CM962">
            <v>3</v>
          </cell>
          <cell r="CR962">
            <v>0</v>
          </cell>
          <cell r="CS962">
            <v>0</v>
          </cell>
          <cell r="CT962">
            <v>38</v>
          </cell>
          <cell r="CU962">
            <v>0</v>
          </cell>
          <cell r="CV962">
            <v>0</v>
          </cell>
          <cell r="CZ962">
            <v>38</v>
          </cell>
        </row>
        <row r="963">
          <cell r="C963" t="str">
            <v>04527</v>
          </cell>
          <cell r="D963" t="str">
            <v>Nguyễn Thị Tín</v>
          </cell>
          <cell r="E963" t="str">
            <v>PD</v>
          </cell>
          <cell r="F963" t="str">
            <v>PD office</v>
          </cell>
          <cell r="G963" t="str">
            <v>Specialist</v>
          </cell>
          <cell r="H963">
            <v>45726</v>
          </cell>
          <cell r="I963" t="str">
            <v>BS</v>
          </cell>
          <cell r="J963" t="str">
            <v>BS</v>
          </cell>
          <cell r="K963" t="str">
            <v>PO</v>
          </cell>
          <cell r="L963" t="str">
            <v>CN</v>
          </cell>
          <cell r="M963">
            <v>8</v>
          </cell>
          <cell r="N963" t="str">
            <v>BS</v>
          </cell>
          <cell r="O963">
            <v>8</v>
          </cell>
          <cell r="P963">
            <v>8</v>
          </cell>
          <cell r="Q963">
            <v>8</v>
          </cell>
          <cell r="R963" t="str">
            <v>PO</v>
          </cell>
          <cell r="S963" t="str">
            <v>CN</v>
          </cell>
          <cell r="T963">
            <v>8</v>
          </cell>
          <cell r="U963">
            <v>8</v>
          </cell>
          <cell r="V963" t="str">
            <v>BS</v>
          </cell>
          <cell r="W963">
            <v>8</v>
          </cell>
          <cell r="X963">
            <v>8</v>
          </cell>
          <cell r="Y963" t="str">
            <v>PO</v>
          </cell>
          <cell r="Z963" t="str">
            <v>CN</v>
          </cell>
          <cell r="AA963">
            <v>8</v>
          </cell>
          <cell r="AB963">
            <v>8</v>
          </cell>
          <cell r="AC963">
            <v>8</v>
          </cell>
          <cell r="AD963" t="str">
            <v>BS</v>
          </cell>
          <cell r="AE963">
            <v>8</v>
          </cell>
          <cell r="AF963" t="str">
            <v>PO</v>
          </cell>
          <cell r="AG963" t="str">
            <v>CN</v>
          </cell>
          <cell r="AH963" t="str">
            <v>BS</v>
          </cell>
          <cell r="AI963">
            <v>8</v>
          </cell>
          <cell r="AJ963" t="str">
            <v>BS</v>
          </cell>
          <cell r="AN963">
            <v>0</v>
          </cell>
          <cell r="AO963">
            <v>104</v>
          </cell>
          <cell r="AP963">
            <v>0</v>
          </cell>
          <cell r="AQ963">
            <v>0</v>
          </cell>
          <cell r="AR963">
            <v>0</v>
          </cell>
          <cell r="AS963">
            <v>0</v>
          </cell>
          <cell r="AT963">
            <v>0</v>
          </cell>
          <cell r="AU963">
            <v>56</v>
          </cell>
          <cell r="AV963">
            <v>32</v>
          </cell>
          <cell r="AW963">
            <v>0</v>
          </cell>
          <cell r="AX963">
            <v>0</v>
          </cell>
          <cell r="AY963">
            <v>0</v>
          </cell>
          <cell r="AZ963">
            <v>0</v>
          </cell>
          <cell r="BA963">
            <v>0</v>
          </cell>
          <cell r="BB963">
            <v>0</v>
          </cell>
          <cell r="BC963">
            <v>0</v>
          </cell>
          <cell r="BD963">
            <v>0</v>
          </cell>
          <cell r="BE963">
            <v>0</v>
          </cell>
          <cell r="BF963">
            <v>0</v>
          </cell>
          <cell r="BG963">
            <v>192</v>
          </cell>
          <cell r="BH963">
            <v>0</v>
          </cell>
          <cell r="BI963">
            <v>0</v>
          </cell>
          <cell r="BJ963">
            <v>2.5</v>
          </cell>
          <cell r="BL963">
            <v>0</v>
          </cell>
          <cell r="BM963">
            <v>0</v>
          </cell>
          <cell r="BN963">
            <v>0</v>
          </cell>
          <cell r="BO963">
            <v>0</v>
          </cell>
          <cell r="BP963">
            <v>0.5</v>
          </cell>
          <cell r="BQ963">
            <v>0</v>
          </cell>
          <cell r="BR963">
            <v>0</v>
          </cell>
          <cell r="BS963">
            <v>0</v>
          </cell>
          <cell r="BT963">
            <v>0</v>
          </cell>
          <cell r="BU963">
            <v>0</v>
          </cell>
          <cell r="BV963">
            <v>0</v>
          </cell>
          <cell r="BW963">
            <v>0</v>
          </cell>
          <cell r="BX963">
            <v>1.5</v>
          </cell>
          <cell r="BY963">
            <v>0</v>
          </cell>
          <cell r="BZ963">
            <v>0</v>
          </cell>
          <cell r="CA963">
            <v>0</v>
          </cell>
          <cell r="CB963">
            <v>0</v>
          </cell>
          <cell r="CC963">
            <v>0</v>
          </cell>
          <cell r="CD963">
            <v>0</v>
          </cell>
          <cell r="CE963">
            <v>0</v>
          </cell>
          <cell r="CF963">
            <v>0</v>
          </cell>
          <cell r="CG963">
            <v>0</v>
          </cell>
          <cell r="CH963">
            <v>0</v>
          </cell>
          <cell r="CI963">
            <v>0</v>
          </cell>
          <cell r="CJ963">
            <v>0</v>
          </cell>
          <cell r="CK963">
            <v>0</v>
          </cell>
          <cell r="CL963">
            <v>0</v>
          </cell>
          <cell r="CM963">
            <v>0</v>
          </cell>
          <cell r="CR963">
            <v>0</v>
          </cell>
          <cell r="CS963">
            <v>0</v>
          </cell>
          <cell r="CT963">
            <v>2</v>
          </cell>
          <cell r="CU963">
            <v>0</v>
          </cell>
          <cell r="CV963">
            <v>0</v>
          </cell>
          <cell r="CZ963">
            <v>2</v>
          </cell>
        </row>
        <row r="964">
          <cell r="C964" t="str">
            <v>04528</v>
          </cell>
          <cell r="D964" t="str">
            <v>Võ Thị Bé Phường</v>
          </cell>
          <cell r="E964" t="str">
            <v>Production</v>
          </cell>
          <cell r="F964" t="str">
            <v>Lamination</v>
          </cell>
          <cell r="G964" t="str">
            <v>Team Leader</v>
          </cell>
          <cell r="H964">
            <v>45726</v>
          </cell>
          <cell r="I964">
            <v>8</v>
          </cell>
          <cell r="J964">
            <v>8</v>
          </cell>
          <cell r="K964" t="str">
            <v>AL8</v>
          </cell>
          <cell r="L964" t="str">
            <v>CN</v>
          </cell>
          <cell r="M964">
            <v>8</v>
          </cell>
          <cell r="N964">
            <v>8</v>
          </cell>
          <cell r="O964">
            <v>8</v>
          </cell>
          <cell r="P964">
            <v>8</v>
          </cell>
          <cell r="Q964">
            <v>8</v>
          </cell>
          <cell r="R964">
            <v>8</v>
          </cell>
          <cell r="S964" t="str">
            <v>CN</v>
          </cell>
          <cell r="T964" t="str">
            <v>Đ</v>
          </cell>
          <cell r="U964" t="str">
            <v>Đ</v>
          </cell>
          <cell r="V964" t="str">
            <v>Đ</v>
          </cell>
          <cell r="W964" t="str">
            <v>Đ</v>
          </cell>
          <cell r="X964" t="str">
            <v>Đ</v>
          </cell>
          <cell r="Y964" t="str">
            <v>Đ</v>
          </cell>
          <cell r="Z964" t="str">
            <v>CN</v>
          </cell>
          <cell r="AA964" t="str">
            <v>Đ</v>
          </cell>
          <cell r="AB964" t="str">
            <v>Đ</v>
          </cell>
          <cell r="AC964" t="str">
            <v>Đ</v>
          </cell>
          <cell r="AD964" t="str">
            <v>Đ</v>
          </cell>
          <cell r="AE964" t="str">
            <v>CN</v>
          </cell>
          <cell r="AF964">
            <v>8</v>
          </cell>
          <cell r="AG964" t="str">
            <v>Đ</v>
          </cell>
          <cell r="AH964" t="str">
            <v>Đ</v>
          </cell>
          <cell r="AI964" t="str">
            <v>Đ</v>
          </cell>
          <cell r="AJ964" t="str">
            <v>Đ</v>
          </cell>
          <cell r="AN964">
            <v>112</v>
          </cell>
          <cell r="AO964">
            <v>72</v>
          </cell>
          <cell r="AP964">
            <v>0</v>
          </cell>
          <cell r="AQ964">
            <v>0</v>
          </cell>
          <cell r="AR964">
            <v>0</v>
          </cell>
          <cell r="AS964">
            <v>0</v>
          </cell>
          <cell r="AT964">
            <v>0</v>
          </cell>
          <cell r="AU964">
            <v>0</v>
          </cell>
          <cell r="AV964">
            <v>0</v>
          </cell>
          <cell r="AW964">
            <v>0</v>
          </cell>
          <cell r="AX964">
            <v>0</v>
          </cell>
          <cell r="AY964">
            <v>0</v>
          </cell>
          <cell r="AZ964">
            <v>0</v>
          </cell>
          <cell r="BA964">
            <v>8</v>
          </cell>
          <cell r="BB964">
            <v>0</v>
          </cell>
          <cell r="BC964">
            <v>0</v>
          </cell>
          <cell r="BD964">
            <v>0</v>
          </cell>
          <cell r="BE964">
            <v>0</v>
          </cell>
          <cell r="BF964">
            <v>0</v>
          </cell>
          <cell r="BG964">
            <v>192</v>
          </cell>
          <cell r="BH964">
            <v>1</v>
          </cell>
          <cell r="BI964">
            <v>1</v>
          </cell>
          <cell r="BJ964">
            <v>1.5</v>
          </cell>
          <cell r="BL964">
            <v>0</v>
          </cell>
          <cell r="BM964">
            <v>0</v>
          </cell>
          <cell r="BN964">
            <v>0</v>
          </cell>
          <cell r="BO964">
            <v>0</v>
          </cell>
          <cell r="BP964">
            <v>0</v>
          </cell>
          <cell r="BQ964">
            <v>2</v>
          </cell>
          <cell r="BR964">
            <v>2.5</v>
          </cell>
          <cell r="BS964">
            <v>0</v>
          </cell>
          <cell r="BT964">
            <v>4</v>
          </cell>
          <cell r="BU964">
            <v>0</v>
          </cell>
          <cell r="BV964">
            <v>0</v>
          </cell>
          <cell r="BW964">
            <v>0.5</v>
          </cell>
          <cell r="BX964">
            <v>4</v>
          </cell>
          <cell r="BY964">
            <v>0</v>
          </cell>
          <cell r="BZ964">
            <v>2.25</v>
          </cell>
          <cell r="CA964">
            <v>0</v>
          </cell>
          <cell r="CB964">
            <v>4</v>
          </cell>
          <cell r="CC964">
            <v>0</v>
          </cell>
          <cell r="CD964">
            <v>0</v>
          </cell>
          <cell r="CE964">
            <v>2</v>
          </cell>
          <cell r="CF964">
            <v>4</v>
          </cell>
          <cell r="CG964">
            <v>4</v>
          </cell>
          <cell r="CH964">
            <v>0</v>
          </cell>
          <cell r="CI964">
            <v>4</v>
          </cell>
          <cell r="CJ964">
            <v>0</v>
          </cell>
          <cell r="CK964">
            <v>1</v>
          </cell>
          <cell r="CL964">
            <v>0</v>
          </cell>
          <cell r="CM964">
            <v>0</v>
          </cell>
          <cell r="CR964">
            <v>0</v>
          </cell>
          <cell r="CS964">
            <v>0</v>
          </cell>
          <cell r="CT964">
            <v>34.25</v>
          </cell>
          <cell r="CU964">
            <v>0</v>
          </cell>
          <cell r="CV964">
            <v>0</v>
          </cell>
          <cell r="CZ964">
            <v>34.25</v>
          </cell>
        </row>
        <row r="965">
          <cell r="C965" t="str">
            <v>04530</v>
          </cell>
          <cell r="D965" t="str">
            <v>Bàn Thị Nga</v>
          </cell>
          <cell r="E965" t="str">
            <v>Production</v>
          </cell>
          <cell r="F965" t="str">
            <v>Logo</v>
          </cell>
          <cell r="G965" t="str">
            <v>Worker</v>
          </cell>
          <cell r="H965">
            <v>45730</v>
          </cell>
          <cell r="I965" t="str">
            <v>Đ</v>
          </cell>
          <cell r="J965" t="str">
            <v>Đ</v>
          </cell>
          <cell r="K965" t="str">
            <v>Đ</v>
          </cell>
          <cell r="L965" t="str">
            <v>CN</v>
          </cell>
          <cell r="M965">
            <v>8</v>
          </cell>
          <cell r="N965">
            <v>8</v>
          </cell>
          <cell r="O965">
            <v>8</v>
          </cell>
          <cell r="P965">
            <v>8</v>
          </cell>
          <cell r="Q965">
            <v>8</v>
          </cell>
          <cell r="R965">
            <v>8</v>
          </cell>
          <cell r="S965" t="str">
            <v>CN</v>
          </cell>
          <cell r="T965" t="str">
            <v>Đ</v>
          </cell>
          <cell r="U965" t="str">
            <v>Đ</v>
          </cell>
          <cell r="V965" t="str">
            <v>Đ</v>
          </cell>
          <cell r="W965" t="str">
            <v>Đ</v>
          </cell>
          <cell r="X965" t="str">
            <v>Đ</v>
          </cell>
          <cell r="Y965" t="str">
            <v>Đ</v>
          </cell>
          <cell r="Z965" t="str">
            <v>CN</v>
          </cell>
          <cell r="AA965">
            <v>8</v>
          </cell>
          <cell r="AB965">
            <v>8</v>
          </cell>
          <cell r="AC965">
            <v>8</v>
          </cell>
          <cell r="AD965" t="str">
            <v>AL8</v>
          </cell>
          <cell r="AE965" t="str">
            <v>AL8</v>
          </cell>
          <cell r="AF965" t="str">
            <v>AL8</v>
          </cell>
          <cell r="AG965" t="str">
            <v>CN</v>
          </cell>
          <cell r="AH965" t="str">
            <v>Đ</v>
          </cell>
          <cell r="AI965" t="str">
            <v>UP8</v>
          </cell>
          <cell r="AJ965" t="str">
            <v>Đ</v>
          </cell>
          <cell r="AN965">
            <v>88</v>
          </cell>
          <cell r="AO965">
            <v>72</v>
          </cell>
          <cell r="AP965">
            <v>0</v>
          </cell>
          <cell r="AQ965">
            <v>0</v>
          </cell>
          <cell r="AR965">
            <v>0</v>
          </cell>
          <cell r="AS965">
            <v>8</v>
          </cell>
          <cell r="AT965">
            <v>0</v>
          </cell>
          <cell r="AU965">
            <v>0</v>
          </cell>
          <cell r="AV965">
            <v>0</v>
          </cell>
          <cell r="AW965">
            <v>0</v>
          </cell>
          <cell r="AX965">
            <v>0</v>
          </cell>
          <cell r="AY965">
            <v>0</v>
          </cell>
          <cell r="AZ965">
            <v>0</v>
          </cell>
          <cell r="BA965">
            <v>24</v>
          </cell>
          <cell r="BB965">
            <v>0</v>
          </cell>
          <cell r="BC965">
            <v>0</v>
          </cell>
          <cell r="BD965">
            <v>0</v>
          </cell>
          <cell r="BE965">
            <v>0</v>
          </cell>
          <cell r="BF965">
            <v>0</v>
          </cell>
          <cell r="BG965">
            <v>184</v>
          </cell>
          <cell r="BH965">
            <v>3</v>
          </cell>
          <cell r="BI965">
            <v>3</v>
          </cell>
          <cell r="BJ965">
            <v>-2</v>
          </cell>
          <cell r="BL965">
            <v>1.5</v>
          </cell>
          <cell r="BM965">
            <v>1.5</v>
          </cell>
          <cell r="BN965">
            <v>1.5</v>
          </cell>
          <cell r="BO965">
            <v>0</v>
          </cell>
          <cell r="BP965">
            <v>1.5</v>
          </cell>
          <cell r="BQ965">
            <v>0</v>
          </cell>
          <cell r="BR965">
            <v>0</v>
          </cell>
          <cell r="BS965">
            <v>0</v>
          </cell>
          <cell r="BT965">
            <v>3</v>
          </cell>
          <cell r="BU965">
            <v>3</v>
          </cell>
          <cell r="BV965">
            <v>0</v>
          </cell>
          <cell r="BW965">
            <v>4</v>
          </cell>
          <cell r="BX965">
            <v>4</v>
          </cell>
          <cell r="BY965">
            <v>4</v>
          </cell>
          <cell r="BZ965">
            <v>4</v>
          </cell>
          <cell r="CA965">
            <v>4</v>
          </cell>
          <cell r="CB965">
            <v>4</v>
          </cell>
          <cell r="CC965">
            <v>0</v>
          </cell>
          <cell r="CD965">
            <v>3</v>
          </cell>
          <cell r="CE965">
            <v>3</v>
          </cell>
          <cell r="CF965">
            <v>3</v>
          </cell>
          <cell r="CG965">
            <v>0</v>
          </cell>
          <cell r="CH965">
            <v>0</v>
          </cell>
          <cell r="CI965">
            <v>0</v>
          </cell>
          <cell r="CJ965">
            <v>0</v>
          </cell>
          <cell r="CK965">
            <v>4</v>
          </cell>
          <cell r="CL965">
            <v>0</v>
          </cell>
          <cell r="CM965">
            <v>4</v>
          </cell>
          <cell r="CR965">
            <v>0</v>
          </cell>
          <cell r="CS965">
            <v>0</v>
          </cell>
          <cell r="CT965">
            <v>53</v>
          </cell>
          <cell r="CU965">
            <v>0</v>
          </cell>
          <cell r="CV965">
            <v>0</v>
          </cell>
          <cell r="CZ965">
            <v>53</v>
          </cell>
        </row>
        <row r="966">
          <cell r="C966" t="str">
            <v>04531</v>
          </cell>
          <cell r="D966" t="str">
            <v xml:space="preserve">Phạm Thị Kiều Trang </v>
          </cell>
          <cell r="E966" t="str">
            <v>Production</v>
          </cell>
          <cell r="F966" t="str">
            <v>Packing</v>
          </cell>
          <cell r="G966" t="str">
            <v>Worker</v>
          </cell>
          <cell r="H966">
            <v>45730</v>
          </cell>
          <cell r="I966" t="str">
            <v>Đ</v>
          </cell>
          <cell r="J966" t="str">
            <v>Đ</v>
          </cell>
          <cell r="K966" t="str">
            <v>Đ</v>
          </cell>
          <cell r="L966" t="str">
            <v>CN</v>
          </cell>
          <cell r="M966">
            <v>8</v>
          </cell>
          <cell r="N966">
            <v>8</v>
          </cell>
          <cell r="O966">
            <v>8</v>
          </cell>
          <cell r="P966">
            <v>8</v>
          </cell>
          <cell r="Q966">
            <v>8</v>
          </cell>
          <cell r="R966">
            <v>8</v>
          </cell>
          <cell r="S966" t="str">
            <v>CN</v>
          </cell>
          <cell r="T966" t="str">
            <v>Đ</v>
          </cell>
          <cell r="U966" t="str">
            <v>Đ</v>
          </cell>
          <cell r="V966" t="str">
            <v>Đ</v>
          </cell>
          <cell r="W966" t="str">
            <v>Đ</v>
          </cell>
          <cell r="X966" t="str">
            <v>AL8</v>
          </cell>
          <cell r="Y966" t="str">
            <v>Đ</v>
          </cell>
          <cell r="Z966" t="str">
            <v>CN</v>
          </cell>
          <cell r="AA966">
            <v>8</v>
          </cell>
          <cell r="AB966">
            <v>8</v>
          </cell>
          <cell r="AC966">
            <v>8</v>
          </cell>
          <cell r="AD966">
            <v>8</v>
          </cell>
          <cell r="AE966">
            <v>8</v>
          </cell>
          <cell r="AF966">
            <v>8</v>
          </cell>
          <cell r="AG966" t="str">
            <v>CN</v>
          </cell>
          <cell r="AH966" t="str">
            <v>Đ</v>
          </cell>
          <cell r="AI966" t="str">
            <v>Đ</v>
          </cell>
          <cell r="AJ966" t="str">
            <v>Đ</v>
          </cell>
          <cell r="AN966">
            <v>88</v>
          </cell>
          <cell r="AO966">
            <v>96</v>
          </cell>
          <cell r="AP966">
            <v>0</v>
          </cell>
          <cell r="AQ966">
            <v>0</v>
          </cell>
          <cell r="AR966">
            <v>0</v>
          </cell>
          <cell r="AS966">
            <v>0</v>
          </cell>
          <cell r="AT966">
            <v>0</v>
          </cell>
          <cell r="AU966">
            <v>0</v>
          </cell>
          <cell r="AV966">
            <v>0</v>
          </cell>
          <cell r="AW966">
            <v>0</v>
          </cell>
          <cell r="AX966">
            <v>0</v>
          </cell>
          <cell r="AY966">
            <v>0</v>
          </cell>
          <cell r="AZ966">
            <v>0</v>
          </cell>
          <cell r="BA966">
            <v>8</v>
          </cell>
          <cell r="BB966">
            <v>0</v>
          </cell>
          <cell r="BC966">
            <v>0</v>
          </cell>
          <cell r="BD966">
            <v>0</v>
          </cell>
          <cell r="BE966">
            <v>0</v>
          </cell>
          <cell r="BF966">
            <v>0</v>
          </cell>
          <cell r="BG966">
            <v>192</v>
          </cell>
          <cell r="BH966">
            <v>1</v>
          </cell>
          <cell r="BI966">
            <v>1</v>
          </cell>
          <cell r="BJ966">
            <v>2</v>
          </cell>
          <cell r="BL966">
            <v>1.5</v>
          </cell>
          <cell r="BM966">
            <v>1.5</v>
          </cell>
          <cell r="BN966">
            <v>1.5</v>
          </cell>
          <cell r="BO966">
            <v>0</v>
          </cell>
          <cell r="BP966">
            <v>1.5</v>
          </cell>
          <cell r="BQ966">
            <v>0</v>
          </cell>
          <cell r="BR966">
            <v>0</v>
          </cell>
          <cell r="BS966">
            <v>1</v>
          </cell>
          <cell r="BT966">
            <v>3</v>
          </cell>
          <cell r="BU966">
            <v>3</v>
          </cell>
          <cell r="BV966">
            <v>0</v>
          </cell>
          <cell r="BW966">
            <v>4</v>
          </cell>
          <cell r="BX966">
            <v>4</v>
          </cell>
          <cell r="BY966">
            <v>4</v>
          </cell>
          <cell r="BZ966">
            <v>4</v>
          </cell>
          <cell r="CA966">
            <v>0</v>
          </cell>
          <cell r="CB966">
            <v>4</v>
          </cell>
          <cell r="CC966">
            <v>0</v>
          </cell>
          <cell r="CD966">
            <v>3</v>
          </cell>
          <cell r="CE966">
            <v>3</v>
          </cell>
          <cell r="CF966">
            <v>3</v>
          </cell>
          <cell r="CG966">
            <v>3</v>
          </cell>
          <cell r="CH966">
            <v>3</v>
          </cell>
          <cell r="CI966">
            <v>3</v>
          </cell>
          <cell r="CJ966">
            <v>8</v>
          </cell>
          <cell r="CK966">
            <v>4</v>
          </cell>
          <cell r="CL966">
            <v>4</v>
          </cell>
          <cell r="CM966">
            <v>4</v>
          </cell>
          <cell r="CR966">
            <v>0</v>
          </cell>
          <cell r="CS966">
            <v>0</v>
          </cell>
          <cell r="CT966">
            <v>63</v>
          </cell>
          <cell r="CU966">
            <v>8</v>
          </cell>
          <cell r="CV966">
            <v>0</v>
          </cell>
          <cell r="CZ966">
            <v>71</v>
          </cell>
        </row>
        <row r="967">
          <cell r="C967" t="str">
            <v>04532</v>
          </cell>
          <cell r="D967" t="str">
            <v>Phạm Văn Mol</v>
          </cell>
          <cell r="E967" t="str">
            <v>Production</v>
          </cell>
          <cell r="F967" t="str">
            <v>Die Cut</v>
          </cell>
          <cell r="G967" t="str">
            <v>Worker</v>
          </cell>
          <cell r="H967">
            <v>45730</v>
          </cell>
          <cell r="I967" t="str">
            <v>Đ</v>
          </cell>
          <cell r="J967" t="str">
            <v>Đ</v>
          </cell>
          <cell r="K967" t="str">
            <v>Đ</v>
          </cell>
          <cell r="L967" t="str">
            <v>CN</v>
          </cell>
          <cell r="M967">
            <v>8</v>
          </cell>
          <cell r="N967">
            <v>8</v>
          </cell>
          <cell r="O967">
            <v>8</v>
          </cell>
          <cell r="P967">
            <v>8</v>
          </cell>
          <cell r="Q967">
            <v>8</v>
          </cell>
          <cell r="R967">
            <v>8</v>
          </cell>
          <cell r="S967" t="str">
            <v>CN</v>
          </cell>
          <cell r="T967" t="str">
            <v>Đ</v>
          </cell>
          <cell r="U967" t="str">
            <v>Đ</v>
          </cell>
          <cell r="V967" t="str">
            <v>Đ</v>
          </cell>
          <cell r="W967" t="str">
            <v>Đ</v>
          </cell>
          <cell r="X967" t="str">
            <v>Đ</v>
          </cell>
          <cell r="Y967" t="str">
            <v>AL8</v>
          </cell>
          <cell r="Z967" t="str">
            <v>CN</v>
          </cell>
          <cell r="AA967">
            <v>8</v>
          </cell>
          <cell r="AB967">
            <v>8</v>
          </cell>
          <cell r="AC967">
            <v>8</v>
          </cell>
          <cell r="AD967">
            <v>8</v>
          </cell>
          <cell r="AE967">
            <v>8</v>
          </cell>
          <cell r="AF967">
            <v>8</v>
          </cell>
          <cell r="AG967" t="str">
            <v>CN</v>
          </cell>
          <cell r="AH967" t="str">
            <v>Đ</v>
          </cell>
          <cell r="AI967" t="str">
            <v>Đ</v>
          </cell>
          <cell r="AJ967" t="str">
            <v>Đ</v>
          </cell>
          <cell r="AN967">
            <v>88</v>
          </cell>
          <cell r="AO967">
            <v>96</v>
          </cell>
          <cell r="AP967">
            <v>0</v>
          </cell>
          <cell r="AQ967">
            <v>0</v>
          </cell>
          <cell r="AR967">
            <v>0</v>
          </cell>
          <cell r="AS967">
            <v>0</v>
          </cell>
          <cell r="AT967">
            <v>0</v>
          </cell>
          <cell r="AU967">
            <v>0</v>
          </cell>
          <cell r="AV967">
            <v>0</v>
          </cell>
          <cell r="AW967">
            <v>0</v>
          </cell>
          <cell r="AX967">
            <v>0</v>
          </cell>
          <cell r="AY967">
            <v>0</v>
          </cell>
          <cell r="AZ967">
            <v>0</v>
          </cell>
          <cell r="BA967">
            <v>8</v>
          </cell>
          <cell r="BB967">
            <v>0</v>
          </cell>
          <cell r="BC967">
            <v>0</v>
          </cell>
          <cell r="BD967">
            <v>0</v>
          </cell>
          <cell r="BE967">
            <v>0</v>
          </cell>
          <cell r="BF967">
            <v>0</v>
          </cell>
          <cell r="BG967">
            <v>192</v>
          </cell>
          <cell r="BH967">
            <v>1</v>
          </cell>
          <cell r="BI967">
            <v>1</v>
          </cell>
          <cell r="BJ967">
            <v>1</v>
          </cell>
          <cell r="BL967">
            <v>1.5</v>
          </cell>
          <cell r="BM967">
            <v>1.5</v>
          </cell>
          <cell r="BN967">
            <v>1.5</v>
          </cell>
          <cell r="BO967">
            <v>0</v>
          </cell>
          <cell r="BP967">
            <v>1.5</v>
          </cell>
          <cell r="BQ967">
            <v>0</v>
          </cell>
          <cell r="BR967">
            <v>0</v>
          </cell>
          <cell r="BS967">
            <v>2.5</v>
          </cell>
          <cell r="BT967">
            <v>2.5</v>
          </cell>
          <cell r="BU967">
            <v>2.5</v>
          </cell>
          <cell r="BV967">
            <v>0</v>
          </cell>
          <cell r="BW967">
            <v>4</v>
          </cell>
          <cell r="BX967">
            <v>4</v>
          </cell>
          <cell r="BY967">
            <v>4</v>
          </cell>
          <cell r="BZ967">
            <v>4</v>
          </cell>
          <cell r="CA967">
            <v>3</v>
          </cell>
          <cell r="CB967">
            <v>0</v>
          </cell>
          <cell r="CC967">
            <v>0</v>
          </cell>
          <cell r="CD967">
            <v>3</v>
          </cell>
          <cell r="CE967">
            <v>2.5</v>
          </cell>
          <cell r="CF967">
            <v>2.5</v>
          </cell>
          <cell r="CG967">
            <v>2.5</v>
          </cell>
          <cell r="CH967">
            <v>2.5</v>
          </cell>
          <cell r="CI967">
            <v>2.5</v>
          </cell>
          <cell r="CJ967">
            <v>10.5</v>
          </cell>
          <cell r="CK967">
            <v>4</v>
          </cell>
          <cell r="CL967">
            <v>4</v>
          </cell>
          <cell r="CM967">
            <v>4</v>
          </cell>
          <cell r="CR967">
            <v>0</v>
          </cell>
          <cell r="CS967">
            <v>0</v>
          </cell>
          <cell r="CT967">
            <v>60</v>
          </cell>
          <cell r="CU967">
            <v>10.5</v>
          </cell>
          <cell r="CV967">
            <v>0</v>
          </cell>
          <cell r="CZ967">
            <v>70.5</v>
          </cell>
        </row>
        <row r="968">
          <cell r="C968" t="str">
            <v>04536</v>
          </cell>
          <cell r="D968" t="str">
            <v>Thái Quốc Tuấn</v>
          </cell>
          <cell r="E968" t="str">
            <v>Production</v>
          </cell>
          <cell r="F968" t="str">
            <v>Lamination</v>
          </cell>
          <cell r="G968" t="str">
            <v>Worker</v>
          </cell>
          <cell r="H968">
            <v>45730</v>
          </cell>
          <cell r="I968" t="str">
            <v>AL4</v>
          </cell>
          <cell r="J968">
            <v>8</v>
          </cell>
          <cell r="K968">
            <v>8</v>
          </cell>
          <cell r="L968" t="str">
            <v>CN</v>
          </cell>
          <cell r="M968" t="str">
            <v>Đ</v>
          </cell>
          <cell r="N968" t="str">
            <v>Đ</v>
          </cell>
          <cell r="O968" t="str">
            <v>Đ</v>
          </cell>
          <cell r="P968" t="str">
            <v>Đ</v>
          </cell>
          <cell r="Q968" t="str">
            <v>Đ</v>
          </cell>
          <cell r="R968" t="str">
            <v>Đ</v>
          </cell>
          <cell r="S968" t="str">
            <v>CN</v>
          </cell>
          <cell r="T968">
            <v>8</v>
          </cell>
          <cell r="U968">
            <v>8</v>
          </cell>
          <cell r="V968">
            <v>8</v>
          </cell>
          <cell r="W968">
            <v>8</v>
          </cell>
          <cell r="X968">
            <v>8</v>
          </cell>
          <cell r="Y968">
            <v>8</v>
          </cell>
          <cell r="Z968" t="str">
            <v>CN</v>
          </cell>
          <cell r="AA968">
            <v>8</v>
          </cell>
          <cell r="AB968">
            <v>8</v>
          </cell>
          <cell r="AC968">
            <v>8</v>
          </cell>
          <cell r="AD968">
            <v>8</v>
          </cell>
          <cell r="AE968" t="str">
            <v>Đ</v>
          </cell>
          <cell r="AF968" t="str">
            <v>Đ</v>
          </cell>
          <cell r="AG968" t="str">
            <v>CN</v>
          </cell>
          <cell r="AH968">
            <v>8</v>
          </cell>
          <cell r="AI968">
            <v>8</v>
          </cell>
          <cell r="AJ968">
            <v>8</v>
          </cell>
          <cell r="AN968">
            <v>64</v>
          </cell>
          <cell r="AO968">
            <v>124</v>
          </cell>
          <cell r="AP968">
            <v>4</v>
          </cell>
          <cell r="AQ968">
            <v>0</v>
          </cell>
          <cell r="AR968">
            <v>0</v>
          </cell>
          <cell r="AS968">
            <v>0</v>
          </cell>
          <cell r="AT968">
            <v>0</v>
          </cell>
          <cell r="AU968">
            <v>0</v>
          </cell>
          <cell r="AV968">
            <v>0</v>
          </cell>
          <cell r="AW968">
            <v>0</v>
          </cell>
          <cell r="AX968">
            <v>0</v>
          </cell>
          <cell r="AY968">
            <v>0</v>
          </cell>
          <cell r="AZ968">
            <v>0</v>
          </cell>
          <cell r="BA968">
            <v>4</v>
          </cell>
          <cell r="BB968">
            <v>0</v>
          </cell>
          <cell r="BC968">
            <v>0</v>
          </cell>
          <cell r="BD968">
            <v>0</v>
          </cell>
          <cell r="BE968">
            <v>0</v>
          </cell>
          <cell r="BF968">
            <v>0</v>
          </cell>
          <cell r="BG968">
            <v>192</v>
          </cell>
          <cell r="BH968">
            <v>0.5</v>
          </cell>
          <cell r="BI968">
            <v>0.5</v>
          </cell>
          <cell r="BJ968">
            <v>1</v>
          </cell>
          <cell r="BL968">
            <v>0</v>
          </cell>
          <cell r="BM968">
            <v>0</v>
          </cell>
          <cell r="BN968">
            <v>0</v>
          </cell>
          <cell r="BO968">
            <v>0</v>
          </cell>
          <cell r="BP968">
            <v>0</v>
          </cell>
          <cell r="BQ968">
            <v>0</v>
          </cell>
          <cell r="BR968">
            <v>0</v>
          </cell>
          <cell r="BS968">
            <v>0</v>
          </cell>
          <cell r="BT968">
            <v>0</v>
          </cell>
          <cell r="BU968">
            <v>0</v>
          </cell>
          <cell r="BV968">
            <v>0</v>
          </cell>
          <cell r="BW968">
            <v>0</v>
          </cell>
          <cell r="BX968">
            <v>0</v>
          </cell>
          <cell r="BY968">
            <v>0</v>
          </cell>
          <cell r="BZ968">
            <v>4</v>
          </cell>
          <cell r="CA968">
            <v>0</v>
          </cell>
          <cell r="CB968">
            <v>4</v>
          </cell>
          <cell r="CC968">
            <v>0</v>
          </cell>
          <cell r="CD968">
            <v>0</v>
          </cell>
          <cell r="CE968">
            <v>0</v>
          </cell>
          <cell r="CF968">
            <v>4</v>
          </cell>
          <cell r="CG968">
            <v>0</v>
          </cell>
          <cell r="CH968">
            <v>4</v>
          </cell>
          <cell r="CI968">
            <v>4</v>
          </cell>
          <cell r="CJ968">
            <v>0</v>
          </cell>
          <cell r="CK968">
            <v>4</v>
          </cell>
          <cell r="CL968">
            <v>0</v>
          </cell>
          <cell r="CM968">
            <v>0</v>
          </cell>
          <cell r="CR968">
            <v>0</v>
          </cell>
          <cell r="CS968">
            <v>0</v>
          </cell>
          <cell r="CT968">
            <v>24</v>
          </cell>
          <cell r="CU968">
            <v>0</v>
          </cell>
          <cell r="CV968">
            <v>0</v>
          </cell>
          <cell r="CZ968">
            <v>24</v>
          </cell>
        </row>
        <row r="969">
          <cell r="C969" t="str">
            <v>04537</v>
          </cell>
          <cell r="D969" t="str">
            <v>Lăng Tuấn Anh</v>
          </cell>
          <cell r="E969" t="str">
            <v>Production</v>
          </cell>
          <cell r="F969" t="str">
            <v>Lamination</v>
          </cell>
          <cell r="G969" t="str">
            <v>Worker</v>
          </cell>
          <cell r="H969">
            <v>45730</v>
          </cell>
          <cell r="I969" t="str">
            <v>Đ</v>
          </cell>
          <cell r="J969" t="str">
            <v>Đ</v>
          </cell>
          <cell r="K969" t="str">
            <v>Đ</v>
          </cell>
          <cell r="L969" t="str">
            <v>CN</v>
          </cell>
          <cell r="M969">
            <v>8</v>
          </cell>
          <cell r="N969">
            <v>8</v>
          </cell>
          <cell r="O969">
            <v>8</v>
          </cell>
          <cell r="P969">
            <v>8</v>
          </cell>
          <cell r="Q969" t="str">
            <v>UP8</v>
          </cell>
          <cell r="R969" t="str">
            <v>UP8</v>
          </cell>
          <cell r="S969" t="str">
            <v>CN</v>
          </cell>
          <cell r="T969" t="str">
            <v>UP8</v>
          </cell>
          <cell r="U969" t="str">
            <v>UP8</v>
          </cell>
          <cell r="V969" t="str">
            <v>UP8</v>
          </cell>
          <cell r="W969" t="str">
            <v>NP</v>
          </cell>
          <cell r="X969" t="str">
            <v>NP</v>
          </cell>
          <cell r="Y969" t="str">
            <v>NP</v>
          </cell>
          <cell r="Z969" t="str">
            <v>CN</v>
          </cell>
          <cell r="AA969" t="str">
            <v>NP</v>
          </cell>
          <cell r="AB969" t="str">
            <v>NP</v>
          </cell>
          <cell r="AC969" t="str">
            <v>TV</v>
          </cell>
          <cell r="AD969" t="str">
            <v>TV</v>
          </cell>
          <cell r="AE969" t="str">
            <v>TV</v>
          </cell>
          <cell r="AF969" t="str">
            <v>TV</v>
          </cell>
          <cell r="AG969" t="str">
            <v>TV</v>
          </cell>
          <cell r="AH969" t="str">
            <v>TV</v>
          </cell>
          <cell r="AI969" t="str">
            <v>TV</v>
          </cell>
          <cell r="AJ969" t="str">
            <v>TV</v>
          </cell>
          <cell r="AN969">
            <v>24</v>
          </cell>
          <cell r="AO969">
            <v>32</v>
          </cell>
          <cell r="AP969">
            <v>0</v>
          </cell>
          <cell r="AQ969">
            <v>0</v>
          </cell>
          <cell r="AR969">
            <v>0</v>
          </cell>
          <cell r="AS969">
            <v>40</v>
          </cell>
          <cell r="AT969">
            <v>5</v>
          </cell>
          <cell r="AU969">
            <v>0</v>
          </cell>
          <cell r="AV969">
            <v>0</v>
          </cell>
          <cell r="AW969">
            <v>0</v>
          </cell>
          <cell r="AX969">
            <v>0</v>
          </cell>
          <cell r="AY969">
            <v>0</v>
          </cell>
          <cell r="AZ969">
            <v>0</v>
          </cell>
          <cell r="BA969">
            <v>0</v>
          </cell>
          <cell r="BB969">
            <v>0</v>
          </cell>
          <cell r="BC969">
            <v>0</v>
          </cell>
          <cell r="BD969">
            <v>0</v>
          </cell>
          <cell r="BE969">
            <v>0</v>
          </cell>
          <cell r="BF969">
            <v>0</v>
          </cell>
          <cell r="BG969">
            <v>56</v>
          </cell>
          <cell r="BH969">
            <v>0</v>
          </cell>
          <cell r="BI969">
            <v>0</v>
          </cell>
          <cell r="BJ969">
            <v>2</v>
          </cell>
          <cell r="BL969">
            <v>0</v>
          </cell>
          <cell r="BM969">
            <v>0</v>
          </cell>
          <cell r="BN969">
            <v>0</v>
          </cell>
          <cell r="BO969">
            <v>0</v>
          </cell>
          <cell r="BP969">
            <v>0</v>
          </cell>
          <cell r="BQ969">
            <v>0</v>
          </cell>
          <cell r="BR969">
            <v>0</v>
          </cell>
          <cell r="BS969">
            <v>0</v>
          </cell>
          <cell r="BT969">
            <v>0</v>
          </cell>
          <cell r="BU969">
            <v>0</v>
          </cell>
          <cell r="BV969">
            <v>0</v>
          </cell>
          <cell r="BW969">
            <v>0</v>
          </cell>
          <cell r="BX969">
            <v>0</v>
          </cell>
          <cell r="BY969">
            <v>0</v>
          </cell>
          <cell r="BZ969">
            <v>0</v>
          </cell>
          <cell r="CA969">
            <v>0</v>
          </cell>
          <cell r="CB969">
            <v>0</v>
          </cell>
          <cell r="CC969">
            <v>0</v>
          </cell>
          <cell r="CD969">
            <v>0</v>
          </cell>
          <cell r="CE969">
            <v>0</v>
          </cell>
          <cell r="CF969">
            <v>0</v>
          </cell>
          <cell r="CG969">
            <v>0</v>
          </cell>
          <cell r="CH969">
            <v>0</v>
          </cell>
          <cell r="CI969">
            <v>0</v>
          </cell>
          <cell r="CJ969">
            <v>0</v>
          </cell>
          <cell r="CK969">
            <v>0</v>
          </cell>
          <cell r="CL969">
            <v>0</v>
          </cell>
          <cell r="CM969">
            <v>0</v>
          </cell>
          <cell r="CR969">
            <v>0</v>
          </cell>
          <cell r="CS969">
            <v>0</v>
          </cell>
          <cell r="CT969">
            <v>0</v>
          </cell>
          <cell r="CU969">
            <v>0</v>
          </cell>
          <cell r="CV969">
            <v>0</v>
          </cell>
          <cell r="CZ969">
            <v>0</v>
          </cell>
        </row>
        <row r="970">
          <cell r="C970" t="str">
            <v>04541</v>
          </cell>
          <cell r="D970" t="str">
            <v>Nguyễn Văn Dự</v>
          </cell>
          <cell r="E970" t="str">
            <v>Production</v>
          </cell>
          <cell r="F970" t="str">
            <v>Molding</v>
          </cell>
          <cell r="G970" t="str">
            <v>Worker</v>
          </cell>
          <cell r="H970">
            <v>45730</v>
          </cell>
          <cell r="I970">
            <v>8</v>
          </cell>
          <cell r="J970">
            <v>8</v>
          </cell>
          <cell r="K970">
            <v>8</v>
          </cell>
          <cell r="L970" t="str">
            <v>CN</v>
          </cell>
          <cell r="M970" t="str">
            <v>Đ</v>
          </cell>
          <cell r="N970" t="str">
            <v>AL4Đ</v>
          </cell>
          <cell r="O970" t="str">
            <v>Đ</v>
          </cell>
          <cell r="P970" t="str">
            <v>Đ</v>
          </cell>
          <cell r="Q970" t="str">
            <v>Đ</v>
          </cell>
          <cell r="R970" t="str">
            <v>Đ</v>
          </cell>
          <cell r="S970" t="str">
            <v>CN</v>
          </cell>
          <cell r="T970">
            <v>8</v>
          </cell>
          <cell r="U970">
            <v>8</v>
          </cell>
          <cell r="V970">
            <v>8</v>
          </cell>
          <cell r="W970">
            <v>8</v>
          </cell>
          <cell r="X970">
            <v>8</v>
          </cell>
          <cell r="Y970">
            <v>8</v>
          </cell>
          <cell r="Z970" t="str">
            <v>CN</v>
          </cell>
          <cell r="AA970" t="str">
            <v>Đ</v>
          </cell>
          <cell r="AB970" t="str">
            <v>Đ</v>
          </cell>
          <cell r="AC970" t="str">
            <v>Đ</v>
          </cell>
          <cell r="AD970" t="str">
            <v>Đ</v>
          </cell>
          <cell r="AE970" t="str">
            <v>Đ</v>
          </cell>
          <cell r="AF970" t="str">
            <v>AL8</v>
          </cell>
          <cell r="AG970" t="str">
            <v>CN</v>
          </cell>
          <cell r="AH970">
            <v>8</v>
          </cell>
          <cell r="AI970">
            <v>8</v>
          </cell>
          <cell r="AJ970">
            <v>8</v>
          </cell>
          <cell r="AN970">
            <v>84</v>
          </cell>
          <cell r="AO970">
            <v>96</v>
          </cell>
          <cell r="AP970">
            <v>0</v>
          </cell>
          <cell r="AQ970">
            <v>0</v>
          </cell>
          <cell r="AR970">
            <v>0</v>
          </cell>
          <cell r="AS970">
            <v>0</v>
          </cell>
          <cell r="AT970">
            <v>0</v>
          </cell>
          <cell r="AU970">
            <v>0</v>
          </cell>
          <cell r="AV970">
            <v>0</v>
          </cell>
          <cell r="AW970">
            <v>0</v>
          </cell>
          <cell r="AX970">
            <v>0</v>
          </cell>
          <cell r="AY970">
            <v>0</v>
          </cell>
          <cell r="AZ970">
            <v>0</v>
          </cell>
          <cell r="BA970">
            <v>12</v>
          </cell>
          <cell r="BB970">
            <v>0</v>
          </cell>
          <cell r="BC970">
            <v>0</v>
          </cell>
          <cell r="BD970">
            <v>0</v>
          </cell>
          <cell r="BE970">
            <v>0</v>
          </cell>
          <cell r="BF970">
            <v>0</v>
          </cell>
          <cell r="BG970">
            <v>192</v>
          </cell>
          <cell r="BH970">
            <v>1.5</v>
          </cell>
          <cell r="BI970">
            <v>1.5</v>
          </cell>
          <cell r="BJ970">
            <v>2</v>
          </cell>
          <cell r="BL970">
            <v>4</v>
          </cell>
          <cell r="BM970">
            <v>0</v>
          </cell>
          <cell r="BN970">
            <v>0</v>
          </cell>
          <cell r="BO970">
            <v>0</v>
          </cell>
          <cell r="BP970">
            <v>4</v>
          </cell>
          <cell r="BQ970">
            <v>4</v>
          </cell>
          <cell r="BR970">
            <v>0</v>
          </cell>
          <cell r="BS970">
            <v>4</v>
          </cell>
          <cell r="BT970">
            <v>0</v>
          </cell>
          <cell r="BU970">
            <v>0</v>
          </cell>
          <cell r="BV970">
            <v>0</v>
          </cell>
          <cell r="BW970">
            <v>0</v>
          </cell>
          <cell r="BX970">
            <v>0</v>
          </cell>
          <cell r="BY970">
            <v>4</v>
          </cell>
          <cell r="BZ970">
            <v>0</v>
          </cell>
          <cell r="CA970">
            <v>0</v>
          </cell>
          <cell r="CB970">
            <v>0</v>
          </cell>
          <cell r="CC970">
            <v>0</v>
          </cell>
          <cell r="CD970">
            <v>0</v>
          </cell>
          <cell r="CE970">
            <v>4</v>
          </cell>
          <cell r="CF970">
            <v>0</v>
          </cell>
          <cell r="CG970">
            <v>4</v>
          </cell>
          <cell r="CH970">
            <v>0</v>
          </cell>
          <cell r="CI970">
            <v>0</v>
          </cell>
          <cell r="CJ970">
            <v>0</v>
          </cell>
          <cell r="CK970">
            <v>0</v>
          </cell>
          <cell r="CL970">
            <v>4</v>
          </cell>
          <cell r="CM970">
            <v>4</v>
          </cell>
          <cell r="CR970">
            <v>0</v>
          </cell>
          <cell r="CS970">
            <v>0</v>
          </cell>
          <cell r="CT970">
            <v>36</v>
          </cell>
          <cell r="CU970">
            <v>0</v>
          </cell>
          <cell r="CV970">
            <v>0</v>
          </cell>
          <cell r="CZ970">
            <v>36</v>
          </cell>
        </row>
        <row r="971">
          <cell r="C971" t="str">
            <v>04542</v>
          </cell>
          <cell r="D971" t="str">
            <v>Hồ Mạnh Khang</v>
          </cell>
          <cell r="E971" t="str">
            <v>Production</v>
          </cell>
          <cell r="F971" t="str">
            <v>Molding</v>
          </cell>
          <cell r="G971" t="str">
            <v>Worker</v>
          </cell>
          <cell r="H971">
            <v>45730</v>
          </cell>
          <cell r="I971">
            <v>8</v>
          </cell>
          <cell r="J971">
            <v>8</v>
          </cell>
          <cell r="K971">
            <v>8</v>
          </cell>
          <cell r="L971" t="str">
            <v>CN</v>
          </cell>
          <cell r="M971" t="str">
            <v>Đ</v>
          </cell>
          <cell r="N971" t="str">
            <v>Đ</v>
          </cell>
          <cell r="O971" t="str">
            <v>Đ</v>
          </cell>
          <cell r="P971" t="str">
            <v>Đ</v>
          </cell>
          <cell r="Q971" t="str">
            <v>Đ</v>
          </cell>
          <cell r="R971" t="str">
            <v>Đ</v>
          </cell>
          <cell r="S971" t="str">
            <v>CN</v>
          </cell>
          <cell r="T971" t="str">
            <v>Đ</v>
          </cell>
          <cell r="U971" t="str">
            <v>Đ</v>
          </cell>
          <cell r="V971" t="str">
            <v>Đ</v>
          </cell>
          <cell r="W971" t="str">
            <v>Đ</v>
          </cell>
          <cell r="X971" t="str">
            <v>Đ</v>
          </cell>
          <cell r="Y971" t="str">
            <v>Đ</v>
          </cell>
          <cell r="Z971" t="str">
            <v>CN</v>
          </cell>
          <cell r="AA971" t="str">
            <v>Đ</v>
          </cell>
          <cell r="AB971" t="str">
            <v>Đ</v>
          </cell>
          <cell r="AC971" t="str">
            <v>Đ</v>
          </cell>
          <cell r="AD971" t="str">
            <v>Đ</v>
          </cell>
          <cell r="AE971" t="str">
            <v>Đ</v>
          </cell>
          <cell r="AF971" t="str">
            <v>AL8</v>
          </cell>
          <cell r="AG971" t="str">
            <v>CN</v>
          </cell>
          <cell r="AH971">
            <v>8</v>
          </cell>
          <cell r="AI971">
            <v>8</v>
          </cell>
          <cell r="AJ971">
            <v>8</v>
          </cell>
          <cell r="AN971">
            <v>136</v>
          </cell>
          <cell r="AO971">
            <v>48</v>
          </cell>
          <cell r="AP971">
            <v>0</v>
          </cell>
          <cell r="AQ971">
            <v>0</v>
          </cell>
          <cell r="AR971">
            <v>0</v>
          </cell>
          <cell r="AS971">
            <v>0</v>
          </cell>
          <cell r="AT971">
            <v>0</v>
          </cell>
          <cell r="AU971">
            <v>0</v>
          </cell>
          <cell r="AV971">
            <v>0</v>
          </cell>
          <cell r="AW971">
            <v>0</v>
          </cell>
          <cell r="AX971">
            <v>0</v>
          </cell>
          <cell r="AY971">
            <v>0</v>
          </cell>
          <cell r="AZ971">
            <v>0</v>
          </cell>
          <cell r="BA971">
            <v>8</v>
          </cell>
          <cell r="BB971">
            <v>0</v>
          </cell>
          <cell r="BC971">
            <v>0</v>
          </cell>
          <cell r="BD971">
            <v>0</v>
          </cell>
          <cell r="BE971">
            <v>0</v>
          </cell>
          <cell r="BF971">
            <v>0</v>
          </cell>
          <cell r="BG971">
            <v>192</v>
          </cell>
          <cell r="BH971">
            <v>1</v>
          </cell>
          <cell r="BI971">
            <v>1</v>
          </cell>
          <cell r="BJ971">
            <v>1</v>
          </cell>
          <cell r="BL971">
            <v>0</v>
          </cell>
          <cell r="BM971">
            <v>0</v>
          </cell>
          <cell r="BN971">
            <v>0</v>
          </cell>
          <cell r="BO971">
            <v>0</v>
          </cell>
          <cell r="BP971">
            <v>4</v>
          </cell>
          <cell r="BQ971">
            <v>0</v>
          </cell>
          <cell r="BR971">
            <v>4</v>
          </cell>
          <cell r="BS971">
            <v>0</v>
          </cell>
          <cell r="BT971">
            <v>0</v>
          </cell>
          <cell r="BU971">
            <v>0</v>
          </cell>
          <cell r="BV971">
            <v>0</v>
          </cell>
          <cell r="BW971">
            <v>0</v>
          </cell>
          <cell r="BX971">
            <v>0</v>
          </cell>
          <cell r="BY971">
            <v>4</v>
          </cell>
          <cell r="BZ971">
            <v>4</v>
          </cell>
          <cell r="CA971">
            <v>0</v>
          </cell>
          <cell r="CB971">
            <v>0</v>
          </cell>
          <cell r="CC971">
            <v>0</v>
          </cell>
          <cell r="CD971">
            <v>0</v>
          </cell>
          <cell r="CE971">
            <v>0</v>
          </cell>
          <cell r="CF971">
            <v>0</v>
          </cell>
          <cell r="CG971">
            <v>0</v>
          </cell>
          <cell r="CH971">
            <v>0</v>
          </cell>
          <cell r="CI971">
            <v>0</v>
          </cell>
          <cell r="CJ971">
            <v>0</v>
          </cell>
          <cell r="CK971">
            <v>0</v>
          </cell>
          <cell r="CL971">
            <v>0</v>
          </cell>
          <cell r="CM971">
            <v>0</v>
          </cell>
          <cell r="CR971">
            <v>0</v>
          </cell>
          <cell r="CS971">
            <v>0</v>
          </cell>
          <cell r="CT971">
            <v>16</v>
          </cell>
          <cell r="CU971">
            <v>0</v>
          </cell>
          <cell r="CV971">
            <v>0</v>
          </cell>
          <cell r="CZ971">
            <v>16</v>
          </cell>
        </row>
        <row r="972">
          <cell r="C972" t="str">
            <v>04543</v>
          </cell>
          <cell r="D972" t="str">
            <v>Sơn Ngọc Tuấn</v>
          </cell>
          <cell r="E972" t="str">
            <v>Production</v>
          </cell>
          <cell r="F972" t="str">
            <v>Molding</v>
          </cell>
          <cell r="G972" t="str">
            <v>Worker</v>
          </cell>
          <cell r="H972">
            <v>45730</v>
          </cell>
          <cell r="I972">
            <v>8</v>
          </cell>
          <cell r="J972">
            <v>8</v>
          </cell>
          <cell r="K972">
            <v>8</v>
          </cell>
          <cell r="L972" t="str">
            <v>CN</v>
          </cell>
          <cell r="M972" t="str">
            <v>Đ</v>
          </cell>
          <cell r="N972" t="str">
            <v>Đ</v>
          </cell>
          <cell r="O972" t="str">
            <v>Đ</v>
          </cell>
          <cell r="P972" t="str">
            <v>Đ</v>
          </cell>
          <cell r="Q972" t="str">
            <v>Đ</v>
          </cell>
          <cell r="R972" t="str">
            <v>Đ</v>
          </cell>
          <cell r="S972" t="str">
            <v>CN</v>
          </cell>
          <cell r="T972" t="str">
            <v>Đ</v>
          </cell>
          <cell r="U972" t="str">
            <v>Đ</v>
          </cell>
          <cell r="V972" t="str">
            <v>Đ</v>
          </cell>
          <cell r="W972" t="str">
            <v>Đ</v>
          </cell>
          <cell r="X972" t="str">
            <v>Đ</v>
          </cell>
          <cell r="Y972" t="str">
            <v>Đ</v>
          </cell>
          <cell r="Z972" t="str">
            <v>CN</v>
          </cell>
          <cell r="AA972" t="str">
            <v>Đ</v>
          </cell>
          <cell r="AB972" t="str">
            <v>Đ</v>
          </cell>
          <cell r="AC972" t="str">
            <v>Đ</v>
          </cell>
          <cell r="AD972" t="str">
            <v>Đ</v>
          </cell>
          <cell r="AE972" t="str">
            <v>Đ</v>
          </cell>
          <cell r="AF972" t="str">
            <v>Đ</v>
          </cell>
          <cell r="AG972" t="str">
            <v>CN</v>
          </cell>
          <cell r="AH972">
            <v>8</v>
          </cell>
          <cell r="AI972">
            <v>8</v>
          </cell>
          <cell r="AJ972">
            <v>8</v>
          </cell>
          <cell r="AN972">
            <v>144</v>
          </cell>
          <cell r="AO972">
            <v>48</v>
          </cell>
          <cell r="AP972">
            <v>0</v>
          </cell>
          <cell r="AQ972">
            <v>0</v>
          </cell>
          <cell r="AR972">
            <v>0</v>
          </cell>
          <cell r="AS972">
            <v>0</v>
          </cell>
          <cell r="AT972">
            <v>0</v>
          </cell>
          <cell r="AU972">
            <v>0</v>
          </cell>
          <cell r="AV972">
            <v>0</v>
          </cell>
          <cell r="AW972">
            <v>0</v>
          </cell>
          <cell r="AX972">
            <v>0</v>
          </cell>
          <cell r="AY972">
            <v>0</v>
          </cell>
          <cell r="AZ972">
            <v>0</v>
          </cell>
          <cell r="BA972">
            <v>0</v>
          </cell>
          <cell r="BB972">
            <v>0</v>
          </cell>
          <cell r="BC972">
            <v>0</v>
          </cell>
          <cell r="BD972">
            <v>0</v>
          </cell>
          <cell r="BE972">
            <v>0</v>
          </cell>
          <cell r="BF972">
            <v>0</v>
          </cell>
          <cell r="BG972">
            <v>192</v>
          </cell>
          <cell r="BH972">
            <v>0</v>
          </cell>
          <cell r="BI972">
            <v>0</v>
          </cell>
          <cell r="BJ972">
            <v>1.5</v>
          </cell>
          <cell r="BL972">
            <v>0</v>
          </cell>
          <cell r="BM972">
            <v>0</v>
          </cell>
          <cell r="BN972">
            <v>0</v>
          </cell>
          <cell r="BO972">
            <v>0</v>
          </cell>
          <cell r="BP972">
            <v>4</v>
          </cell>
          <cell r="BQ972">
            <v>0</v>
          </cell>
          <cell r="BR972">
            <v>4</v>
          </cell>
          <cell r="BS972">
            <v>0</v>
          </cell>
          <cell r="BT972">
            <v>0</v>
          </cell>
          <cell r="BU972">
            <v>0</v>
          </cell>
          <cell r="BV972">
            <v>0</v>
          </cell>
          <cell r="BW972">
            <v>0</v>
          </cell>
          <cell r="BX972">
            <v>0</v>
          </cell>
          <cell r="BY972">
            <v>4</v>
          </cell>
          <cell r="BZ972">
            <v>4</v>
          </cell>
          <cell r="CA972">
            <v>0</v>
          </cell>
          <cell r="CB972">
            <v>0</v>
          </cell>
          <cell r="CC972">
            <v>0</v>
          </cell>
          <cell r="CD972">
            <v>0</v>
          </cell>
          <cell r="CE972">
            <v>0</v>
          </cell>
          <cell r="CF972">
            <v>0</v>
          </cell>
          <cell r="CG972">
            <v>0</v>
          </cell>
          <cell r="CH972">
            <v>0</v>
          </cell>
          <cell r="CI972">
            <v>0</v>
          </cell>
          <cell r="CJ972">
            <v>0</v>
          </cell>
          <cell r="CK972">
            <v>0</v>
          </cell>
          <cell r="CL972">
            <v>0</v>
          </cell>
          <cell r="CM972">
            <v>0</v>
          </cell>
          <cell r="CR972">
            <v>0</v>
          </cell>
          <cell r="CS972">
            <v>0</v>
          </cell>
          <cell r="CT972">
            <v>16</v>
          </cell>
          <cell r="CU972">
            <v>0</v>
          </cell>
          <cell r="CV972">
            <v>0</v>
          </cell>
          <cell r="CZ972">
            <v>16</v>
          </cell>
        </row>
        <row r="973">
          <cell r="C973" t="str">
            <v>04546</v>
          </cell>
          <cell r="D973" t="str">
            <v>Nguyễn Thái Hoàng</v>
          </cell>
          <cell r="E973" t="str">
            <v>Foaming</v>
          </cell>
          <cell r="F973" t="str">
            <v>FOAMING Rectangular</v>
          </cell>
          <cell r="G973" t="str">
            <v>Worker</v>
          </cell>
          <cell r="H973">
            <v>45730</v>
          </cell>
          <cell r="I973">
            <v>8</v>
          </cell>
          <cell r="J973">
            <v>8</v>
          </cell>
          <cell r="K973">
            <v>8</v>
          </cell>
          <cell r="L973" t="str">
            <v>CN</v>
          </cell>
          <cell r="M973" t="str">
            <v>AL8</v>
          </cell>
          <cell r="N973">
            <v>8</v>
          </cell>
          <cell r="O973">
            <v>8</v>
          </cell>
          <cell r="P973">
            <v>8</v>
          </cell>
          <cell r="Q973">
            <v>8</v>
          </cell>
          <cell r="R973">
            <v>8</v>
          </cell>
          <cell r="S973" t="str">
            <v>CN</v>
          </cell>
          <cell r="T973">
            <v>8</v>
          </cell>
          <cell r="U973">
            <v>8</v>
          </cell>
          <cell r="V973">
            <v>8</v>
          </cell>
          <cell r="W973">
            <v>8</v>
          </cell>
          <cell r="X973">
            <v>8</v>
          </cell>
          <cell r="Y973">
            <v>8</v>
          </cell>
          <cell r="Z973" t="str">
            <v>CN</v>
          </cell>
          <cell r="AA973" t="str">
            <v>Đ</v>
          </cell>
          <cell r="AB973" t="str">
            <v>Đ</v>
          </cell>
          <cell r="AC973" t="str">
            <v>Đ</v>
          </cell>
          <cell r="AD973" t="str">
            <v>Đ</v>
          </cell>
          <cell r="AE973" t="str">
            <v>Đ</v>
          </cell>
          <cell r="AF973" t="str">
            <v>Đ</v>
          </cell>
          <cell r="AG973" t="str">
            <v>CN</v>
          </cell>
          <cell r="AH973" t="str">
            <v>Đ</v>
          </cell>
          <cell r="AI973" t="str">
            <v>Đ</v>
          </cell>
          <cell r="AJ973" t="str">
            <v>Đ</v>
          </cell>
          <cell r="AN973">
            <v>72</v>
          </cell>
          <cell r="AO973">
            <v>112</v>
          </cell>
          <cell r="AP973">
            <v>0</v>
          </cell>
          <cell r="AQ973">
            <v>0</v>
          </cell>
          <cell r="AR973">
            <v>0</v>
          </cell>
          <cell r="AS973">
            <v>0</v>
          </cell>
          <cell r="AT973">
            <v>0</v>
          </cell>
          <cell r="AU973">
            <v>0</v>
          </cell>
          <cell r="AV973">
            <v>0</v>
          </cell>
          <cell r="AW973">
            <v>0</v>
          </cell>
          <cell r="AX973">
            <v>0</v>
          </cell>
          <cell r="AY973">
            <v>0</v>
          </cell>
          <cell r="AZ973">
            <v>0</v>
          </cell>
          <cell r="BA973">
            <v>8</v>
          </cell>
          <cell r="BB973">
            <v>0</v>
          </cell>
          <cell r="BC973">
            <v>0</v>
          </cell>
          <cell r="BD973">
            <v>0</v>
          </cell>
          <cell r="BE973">
            <v>0</v>
          </cell>
          <cell r="BF973">
            <v>0</v>
          </cell>
          <cell r="BG973">
            <v>192</v>
          </cell>
          <cell r="BH973">
            <v>1</v>
          </cell>
          <cell r="BI973">
            <v>1</v>
          </cell>
          <cell r="BJ973">
            <v>4.5</v>
          </cell>
          <cell r="BL973">
            <v>4</v>
          </cell>
          <cell r="BM973">
            <v>4</v>
          </cell>
          <cell r="BN973">
            <v>4</v>
          </cell>
          <cell r="BO973">
            <v>12</v>
          </cell>
          <cell r="BP973">
            <v>0</v>
          </cell>
          <cell r="BQ973">
            <v>4</v>
          </cell>
          <cell r="BR973">
            <v>4</v>
          </cell>
          <cell r="BS973">
            <v>4</v>
          </cell>
          <cell r="BT973">
            <v>4</v>
          </cell>
          <cell r="BU973">
            <v>4</v>
          </cell>
          <cell r="BV973">
            <v>12</v>
          </cell>
          <cell r="BW973">
            <v>4</v>
          </cell>
          <cell r="BX973">
            <v>4</v>
          </cell>
          <cell r="BY973">
            <v>4</v>
          </cell>
          <cell r="BZ973">
            <v>4</v>
          </cell>
          <cell r="CA973">
            <v>4</v>
          </cell>
          <cell r="CB973">
            <v>4</v>
          </cell>
          <cell r="CC973" t="str">
            <v>12Đ</v>
          </cell>
          <cell r="CD973">
            <v>4</v>
          </cell>
          <cell r="CE973">
            <v>4</v>
          </cell>
          <cell r="CF973">
            <v>4</v>
          </cell>
          <cell r="CG973">
            <v>4</v>
          </cell>
          <cell r="CH973">
            <v>0</v>
          </cell>
          <cell r="CI973">
            <v>4</v>
          </cell>
          <cell r="CJ973" t="str">
            <v>12Đ</v>
          </cell>
          <cell r="CK973">
            <v>4</v>
          </cell>
          <cell r="CL973">
            <v>4</v>
          </cell>
          <cell r="CM973">
            <v>4</v>
          </cell>
          <cell r="CR973">
            <v>0</v>
          </cell>
          <cell r="CS973">
            <v>0</v>
          </cell>
          <cell r="CT973">
            <v>88</v>
          </cell>
          <cell r="CU973">
            <v>32</v>
          </cell>
          <cell r="CV973">
            <v>16</v>
          </cell>
          <cell r="CZ973">
            <v>136</v>
          </cell>
        </row>
        <row r="974">
          <cell r="C974" t="str">
            <v>04547</v>
          </cell>
          <cell r="D974" t="str">
            <v>Lê Minh Đấu</v>
          </cell>
          <cell r="E974" t="str">
            <v>Warehouse</v>
          </cell>
          <cell r="F974" t="str">
            <v>FGS Warehouse</v>
          </cell>
          <cell r="G974" t="str">
            <v>Worker</v>
          </cell>
          <cell r="H974">
            <v>45730</v>
          </cell>
          <cell r="I974">
            <v>8</v>
          </cell>
          <cell r="J974">
            <v>8</v>
          </cell>
          <cell r="K974">
            <v>8</v>
          </cell>
          <cell r="L974" t="str">
            <v>CN</v>
          </cell>
          <cell r="M974">
            <v>8</v>
          </cell>
          <cell r="N974" t="str">
            <v>AL8</v>
          </cell>
          <cell r="O974">
            <v>8</v>
          </cell>
          <cell r="P974">
            <v>8</v>
          </cell>
          <cell r="Q974">
            <v>8</v>
          </cell>
          <cell r="R974">
            <v>8</v>
          </cell>
          <cell r="S974" t="str">
            <v>CN</v>
          </cell>
          <cell r="T974">
            <v>8</v>
          </cell>
          <cell r="U974">
            <v>8</v>
          </cell>
          <cell r="V974">
            <v>8</v>
          </cell>
          <cell r="W974">
            <v>8</v>
          </cell>
          <cell r="X974">
            <v>8</v>
          </cell>
          <cell r="Y974">
            <v>8</v>
          </cell>
          <cell r="Z974" t="str">
            <v>CN</v>
          </cell>
          <cell r="AA974">
            <v>8</v>
          </cell>
          <cell r="AB974">
            <v>8</v>
          </cell>
          <cell r="AC974">
            <v>8</v>
          </cell>
          <cell r="AD974">
            <v>8</v>
          </cell>
          <cell r="AE974">
            <v>8</v>
          </cell>
          <cell r="AF974">
            <v>8</v>
          </cell>
          <cell r="AG974" t="str">
            <v>CN</v>
          </cell>
          <cell r="AH974">
            <v>8</v>
          </cell>
          <cell r="AI974">
            <v>8</v>
          </cell>
          <cell r="AJ974">
            <v>8</v>
          </cell>
          <cell r="AN974">
            <v>0</v>
          </cell>
          <cell r="AO974">
            <v>184</v>
          </cell>
          <cell r="AP974">
            <v>0</v>
          </cell>
          <cell r="AQ974">
            <v>0</v>
          </cell>
          <cell r="AR974">
            <v>0</v>
          </cell>
          <cell r="AS974">
            <v>0</v>
          </cell>
          <cell r="AT974">
            <v>0</v>
          </cell>
          <cell r="AU974">
            <v>0</v>
          </cell>
          <cell r="AV974">
            <v>0</v>
          </cell>
          <cell r="AW974">
            <v>0</v>
          </cell>
          <cell r="AX974">
            <v>0</v>
          </cell>
          <cell r="AY974">
            <v>0</v>
          </cell>
          <cell r="AZ974">
            <v>0</v>
          </cell>
          <cell r="BA974">
            <v>8</v>
          </cell>
          <cell r="BB974">
            <v>0</v>
          </cell>
          <cell r="BC974">
            <v>0</v>
          </cell>
          <cell r="BD974">
            <v>0</v>
          </cell>
          <cell r="BE974">
            <v>0</v>
          </cell>
          <cell r="BF974">
            <v>0</v>
          </cell>
          <cell r="BG974">
            <v>192</v>
          </cell>
          <cell r="BH974">
            <v>1</v>
          </cell>
          <cell r="BI974">
            <v>1</v>
          </cell>
          <cell r="BJ974">
            <v>0</v>
          </cell>
          <cell r="BL974">
            <v>0</v>
          </cell>
          <cell r="BM974">
            <v>3</v>
          </cell>
          <cell r="BN974">
            <v>0</v>
          </cell>
          <cell r="BO974">
            <v>0</v>
          </cell>
          <cell r="BP974">
            <v>3</v>
          </cell>
          <cell r="BQ974">
            <v>0</v>
          </cell>
          <cell r="BR974">
            <v>2</v>
          </cell>
          <cell r="BS974">
            <v>0</v>
          </cell>
          <cell r="BT974">
            <v>0</v>
          </cell>
          <cell r="BU974">
            <v>0</v>
          </cell>
          <cell r="BV974">
            <v>0</v>
          </cell>
          <cell r="BW974">
            <v>0</v>
          </cell>
          <cell r="BX974">
            <v>3</v>
          </cell>
          <cell r="BY974">
            <v>0</v>
          </cell>
          <cell r="BZ974">
            <v>3</v>
          </cell>
          <cell r="CA974">
            <v>0</v>
          </cell>
          <cell r="CB974">
            <v>0</v>
          </cell>
          <cell r="CC974">
            <v>0</v>
          </cell>
          <cell r="CD974">
            <v>3</v>
          </cell>
          <cell r="CE974">
            <v>3</v>
          </cell>
          <cell r="CF974">
            <v>0</v>
          </cell>
          <cell r="CG974">
            <v>0</v>
          </cell>
          <cell r="CH974">
            <v>3</v>
          </cell>
          <cell r="CI974">
            <v>0</v>
          </cell>
          <cell r="CJ974">
            <v>0</v>
          </cell>
          <cell r="CK974">
            <v>3</v>
          </cell>
          <cell r="CL974">
            <v>3</v>
          </cell>
          <cell r="CM974">
            <v>0</v>
          </cell>
          <cell r="CR974">
            <v>0</v>
          </cell>
          <cell r="CS974">
            <v>0</v>
          </cell>
          <cell r="CT974">
            <v>29</v>
          </cell>
          <cell r="CU974">
            <v>0</v>
          </cell>
          <cell r="CV974">
            <v>0</v>
          </cell>
          <cell r="CZ974">
            <v>29</v>
          </cell>
        </row>
        <row r="975">
          <cell r="C975" t="str">
            <v>02509</v>
          </cell>
          <cell r="D975" t="str">
            <v>Phạm Thị Kim Chi</v>
          </cell>
          <cell r="E975" t="str">
            <v>Production</v>
          </cell>
          <cell r="F975" t="str">
            <v>Packing</v>
          </cell>
          <cell r="G975" t="str">
            <v>Worker</v>
          </cell>
          <cell r="H975">
            <v>44085</v>
          </cell>
          <cell r="I975">
            <v>8</v>
          </cell>
          <cell r="J975">
            <v>8</v>
          </cell>
          <cell r="K975" t="str">
            <v>AL8</v>
          </cell>
          <cell r="L975" t="str">
            <v>CN</v>
          </cell>
          <cell r="M975" t="str">
            <v>AL8</v>
          </cell>
          <cell r="N975" t="str">
            <v>Đ</v>
          </cell>
          <cell r="O975" t="str">
            <v>Đ</v>
          </cell>
          <cell r="P975" t="str">
            <v>AL8</v>
          </cell>
          <cell r="Q975" t="str">
            <v>Đ</v>
          </cell>
          <cell r="R975" t="str">
            <v>UP8</v>
          </cell>
          <cell r="S975" t="str">
            <v>CN</v>
          </cell>
          <cell r="T975">
            <v>8</v>
          </cell>
          <cell r="U975">
            <v>8</v>
          </cell>
          <cell r="V975">
            <v>8</v>
          </cell>
          <cell r="W975">
            <v>8</v>
          </cell>
          <cell r="X975">
            <v>8</v>
          </cell>
          <cell r="Y975">
            <v>8</v>
          </cell>
          <cell r="Z975" t="str">
            <v>CN</v>
          </cell>
          <cell r="AA975">
            <v>8</v>
          </cell>
          <cell r="AB975">
            <v>8</v>
          </cell>
          <cell r="AC975">
            <v>8</v>
          </cell>
          <cell r="AD975">
            <v>8</v>
          </cell>
          <cell r="AE975">
            <v>8</v>
          </cell>
          <cell r="AF975">
            <v>8</v>
          </cell>
          <cell r="AG975" t="str">
            <v>CN</v>
          </cell>
          <cell r="AH975" t="str">
            <v>Đ</v>
          </cell>
          <cell r="AI975" t="str">
            <v>Đ</v>
          </cell>
          <cell r="AJ975" t="str">
            <v>Đ</v>
          </cell>
          <cell r="AN975">
            <v>48</v>
          </cell>
          <cell r="AO975">
            <v>112</v>
          </cell>
          <cell r="AP975">
            <v>0</v>
          </cell>
          <cell r="AQ975">
            <v>0</v>
          </cell>
          <cell r="AR975">
            <v>0</v>
          </cell>
          <cell r="AS975">
            <v>8</v>
          </cell>
          <cell r="AT975">
            <v>0</v>
          </cell>
          <cell r="AU975">
            <v>0</v>
          </cell>
          <cell r="AV975">
            <v>0</v>
          </cell>
          <cell r="AW975">
            <v>0</v>
          </cell>
          <cell r="AX975">
            <v>0</v>
          </cell>
          <cell r="AY975">
            <v>0</v>
          </cell>
          <cell r="AZ975">
            <v>0</v>
          </cell>
          <cell r="BA975">
            <v>24</v>
          </cell>
          <cell r="BB975">
            <v>0</v>
          </cell>
          <cell r="BC975">
            <v>0</v>
          </cell>
          <cell r="BD975">
            <v>0</v>
          </cell>
          <cell r="BE975">
            <v>0</v>
          </cell>
          <cell r="BF975">
            <v>0</v>
          </cell>
          <cell r="BG975">
            <v>184</v>
          </cell>
          <cell r="BH975">
            <v>3</v>
          </cell>
          <cell r="BI975">
            <v>3</v>
          </cell>
          <cell r="BJ975">
            <v>-3</v>
          </cell>
          <cell r="BL975">
            <v>0</v>
          </cell>
          <cell r="BM975">
            <v>0</v>
          </cell>
          <cell r="BN975">
            <v>0</v>
          </cell>
          <cell r="BO975">
            <v>0</v>
          </cell>
          <cell r="BP975">
            <v>0</v>
          </cell>
          <cell r="BQ975">
            <v>3</v>
          </cell>
          <cell r="BR975">
            <v>0</v>
          </cell>
          <cell r="BS975">
            <v>0</v>
          </cell>
          <cell r="BT975">
            <v>0</v>
          </cell>
          <cell r="BU975">
            <v>0</v>
          </cell>
          <cell r="BV975">
            <v>0</v>
          </cell>
          <cell r="BW975">
            <v>4</v>
          </cell>
          <cell r="BX975">
            <v>3</v>
          </cell>
          <cell r="BY975">
            <v>0</v>
          </cell>
          <cell r="BZ975">
            <v>4</v>
          </cell>
          <cell r="CA975">
            <v>4</v>
          </cell>
          <cell r="CB975">
            <v>0</v>
          </cell>
          <cell r="CC975">
            <v>0</v>
          </cell>
          <cell r="CD975">
            <v>4</v>
          </cell>
          <cell r="CE975">
            <v>4</v>
          </cell>
          <cell r="CF975">
            <v>0</v>
          </cell>
          <cell r="CG975">
            <v>4</v>
          </cell>
          <cell r="CH975">
            <v>4</v>
          </cell>
          <cell r="CI975">
            <v>4</v>
          </cell>
          <cell r="CJ975">
            <v>0</v>
          </cell>
          <cell r="CK975">
            <v>1.5</v>
          </cell>
          <cell r="CL975">
            <v>1.5</v>
          </cell>
          <cell r="CM975">
            <v>1.5</v>
          </cell>
          <cell r="CR975">
            <v>0</v>
          </cell>
          <cell r="CS975">
            <v>0</v>
          </cell>
          <cell r="CT975">
            <v>42.5</v>
          </cell>
          <cell r="CU975">
            <v>0</v>
          </cell>
          <cell r="CV975">
            <v>0</v>
          </cell>
          <cell r="CZ975">
            <v>42.5</v>
          </cell>
        </row>
        <row r="976">
          <cell r="C976" t="str">
            <v>00629</v>
          </cell>
          <cell r="D976" t="str">
            <v xml:space="preserve">Thái Thị Tuyết </v>
          </cell>
          <cell r="E976" t="str">
            <v>PD</v>
          </cell>
          <cell r="F976" t="str">
            <v>PD office</v>
          </cell>
          <cell r="G976" t="str">
            <v>Supervisor</v>
          </cell>
          <cell r="H976">
            <v>42241</v>
          </cell>
          <cell r="I976">
            <v>8</v>
          </cell>
          <cell r="J976">
            <v>8</v>
          </cell>
          <cell r="K976" t="str">
            <v>PO</v>
          </cell>
          <cell r="L976" t="str">
            <v>CN</v>
          </cell>
          <cell r="M976">
            <v>8</v>
          </cell>
          <cell r="N976">
            <v>8</v>
          </cell>
          <cell r="O976">
            <v>8</v>
          </cell>
          <cell r="P976">
            <v>8</v>
          </cell>
          <cell r="Q976" t="str">
            <v>PO</v>
          </cell>
          <cell r="R976" t="str">
            <v>PO</v>
          </cell>
          <cell r="S976" t="str">
            <v>CN</v>
          </cell>
          <cell r="T976">
            <v>8</v>
          </cell>
          <cell r="U976" t="str">
            <v>AL8</v>
          </cell>
          <cell r="V976">
            <v>8</v>
          </cell>
          <cell r="W976" t="str">
            <v>WH</v>
          </cell>
          <cell r="X976">
            <v>8</v>
          </cell>
          <cell r="Y976" t="str">
            <v>PO</v>
          </cell>
          <cell r="Z976" t="str">
            <v>CN</v>
          </cell>
          <cell r="AA976">
            <v>8</v>
          </cell>
          <cell r="AB976">
            <v>8</v>
          </cell>
          <cell r="AC976">
            <v>8</v>
          </cell>
          <cell r="AD976">
            <v>8</v>
          </cell>
          <cell r="AE976">
            <v>8</v>
          </cell>
          <cell r="AF976" t="str">
            <v>PO</v>
          </cell>
          <cell r="AG976" t="str">
            <v>CN</v>
          </cell>
          <cell r="AH976">
            <v>8</v>
          </cell>
          <cell r="AI976">
            <v>8</v>
          </cell>
          <cell r="AJ976">
            <v>8</v>
          </cell>
          <cell r="AN976">
            <v>0</v>
          </cell>
          <cell r="AO976">
            <v>136</v>
          </cell>
          <cell r="AP976">
            <v>0</v>
          </cell>
          <cell r="AQ976">
            <v>0</v>
          </cell>
          <cell r="AR976">
            <v>0</v>
          </cell>
          <cell r="AS976">
            <v>0</v>
          </cell>
          <cell r="AT976">
            <v>0</v>
          </cell>
          <cell r="AU976">
            <v>0</v>
          </cell>
          <cell r="AV976">
            <v>40</v>
          </cell>
          <cell r="AW976">
            <v>0</v>
          </cell>
          <cell r="AX976">
            <v>0</v>
          </cell>
          <cell r="AY976">
            <v>0</v>
          </cell>
          <cell r="AZ976">
            <v>0</v>
          </cell>
          <cell r="BA976">
            <v>8</v>
          </cell>
          <cell r="BB976">
            <v>0</v>
          </cell>
          <cell r="BC976">
            <v>0</v>
          </cell>
          <cell r="BD976">
            <v>8</v>
          </cell>
          <cell r="BE976">
            <v>0</v>
          </cell>
          <cell r="BF976">
            <v>0</v>
          </cell>
          <cell r="BG976">
            <v>192</v>
          </cell>
          <cell r="BH976">
            <v>1</v>
          </cell>
          <cell r="BI976">
            <v>1</v>
          </cell>
          <cell r="BJ976">
            <v>2.5</v>
          </cell>
          <cell r="BL976">
            <v>0</v>
          </cell>
          <cell r="BM976">
            <v>0</v>
          </cell>
          <cell r="BN976">
            <v>0</v>
          </cell>
          <cell r="BO976">
            <v>0</v>
          </cell>
          <cell r="BP976">
            <v>0</v>
          </cell>
          <cell r="BQ976">
            <v>0</v>
          </cell>
          <cell r="BR976">
            <v>0</v>
          </cell>
          <cell r="BS976">
            <v>0</v>
          </cell>
          <cell r="BT976">
            <v>0</v>
          </cell>
          <cell r="BU976">
            <v>0</v>
          </cell>
          <cell r="BV976">
            <v>0</v>
          </cell>
          <cell r="BW976">
            <v>0</v>
          </cell>
          <cell r="BX976">
            <v>0</v>
          </cell>
          <cell r="BY976">
            <v>0</v>
          </cell>
          <cell r="BZ976">
            <v>0</v>
          </cell>
          <cell r="CA976">
            <v>0</v>
          </cell>
          <cell r="CB976">
            <v>0</v>
          </cell>
          <cell r="CC976">
            <v>0</v>
          </cell>
          <cell r="CD976">
            <v>0</v>
          </cell>
          <cell r="CE976">
            <v>0</v>
          </cell>
          <cell r="CF976">
            <v>0</v>
          </cell>
          <cell r="CG976">
            <v>0</v>
          </cell>
          <cell r="CH976">
            <v>0</v>
          </cell>
          <cell r="CI976">
            <v>0</v>
          </cell>
          <cell r="CJ976">
            <v>0</v>
          </cell>
          <cell r="CK976">
            <v>0</v>
          </cell>
          <cell r="CL976">
            <v>0</v>
          </cell>
          <cell r="CM976">
            <v>0</v>
          </cell>
          <cell r="CR976">
            <v>0</v>
          </cell>
          <cell r="CS976">
            <v>0</v>
          </cell>
          <cell r="CT976">
            <v>0</v>
          </cell>
          <cell r="CU976">
            <v>0</v>
          </cell>
          <cell r="CV976">
            <v>0</v>
          </cell>
          <cell r="CZ976">
            <v>0</v>
          </cell>
        </row>
        <row r="977">
          <cell r="C977" t="str">
            <v>03562</v>
          </cell>
          <cell r="D977" t="str">
            <v>Nguyễn Thị Mỹ Tiên</v>
          </cell>
          <cell r="E977" t="str">
            <v>PD</v>
          </cell>
          <cell r="F977" t="str">
            <v>PD office</v>
          </cell>
          <cell r="G977" t="str">
            <v>Staff</v>
          </cell>
          <cell r="H977">
            <v>44715</v>
          </cell>
          <cell r="I977">
            <v>8</v>
          </cell>
          <cell r="J977">
            <v>8</v>
          </cell>
          <cell r="K977" t="str">
            <v>PO</v>
          </cell>
          <cell r="L977" t="str">
            <v>CN</v>
          </cell>
          <cell r="M977">
            <v>8</v>
          </cell>
          <cell r="N977">
            <v>8</v>
          </cell>
          <cell r="O977">
            <v>8</v>
          </cell>
          <cell r="P977">
            <v>8</v>
          </cell>
          <cell r="Q977">
            <v>8</v>
          </cell>
          <cell r="R977" t="str">
            <v>PO</v>
          </cell>
          <cell r="S977" t="str">
            <v>CN</v>
          </cell>
          <cell r="T977">
            <v>8</v>
          </cell>
          <cell r="U977">
            <v>8</v>
          </cell>
          <cell r="V977">
            <v>8</v>
          </cell>
          <cell r="W977">
            <v>8</v>
          </cell>
          <cell r="X977">
            <v>8</v>
          </cell>
          <cell r="Y977" t="str">
            <v>PO</v>
          </cell>
          <cell r="Z977" t="str">
            <v>CN</v>
          </cell>
          <cell r="AA977">
            <v>8</v>
          </cell>
          <cell r="AB977">
            <v>8</v>
          </cell>
          <cell r="AC977">
            <v>8</v>
          </cell>
          <cell r="AD977">
            <v>8</v>
          </cell>
          <cell r="AE977">
            <v>8</v>
          </cell>
          <cell r="AF977" t="str">
            <v>PO</v>
          </cell>
          <cell r="AG977" t="str">
            <v>CN</v>
          </cell>
          <cell r="AH977">
            <v>8</v>
          </cell>
          <cell r="AI977">
            <v>8</v>
          </cell>
          <cell r="AJ977">
            <v>8</v>
          </cell>
          <cell r="AN977">
            <v>0</v>
          </cell>
          <cell r="AO977">
            <v>160</v>
          </cell>
          <cell r="AP977">
            <v>0</v>
          </cell>
          <cell r="AQ977">
            <v>0</v>
          </cell>
          <cell r="AR977">
            <v>0</v>
          </cell>
          <cell r="AS977">
            <v>0</v>
          </cell>
          <cell r="AT977">
            <v>0</v>
          </cell>
          <cell r="AU977">
            <v>0</v>
          </cell>
          <cell r="AV977">
            <v>32</v>
          </cell>
          <cell r="AW977">
            <v>0</v>
          </cell>
          <cell r="AX977">
            <v>0</v>
          </cell>
          <cell r="AY977">
            <v>0</v>
          </cell>
          <cell r="AZ977">
            <v>0</v>
          </cell>
          <cell r="BA977">
            <v>0</v>
          </cell>
          <cell r="BB977">
            <v>0</v>
          </cell>
          <cell r="BC977">
            <v>0</v>
          </cell>
          <cell r="BD977">
            <v>0</v>
          </cell>
          <cell r="BE977">
            <v>0</v>
          </cell>
          <cell r="BF977">
            <v>0</v>
          </cell>
          <cell r="BG977">
            <v>192</v>
          </cell>
          <cell r="BH977">
            <v>0</v>
          </cell>
          <cell r="BI977">
            <v>0</v>
          </cell>
          <cell r="BJ977">
            <v>4.5</v>
          </cell>
          <cell r="BL977">
            <v>0</v>
          </cell>
          <cell r="BM977">
            <v>0</v>
          </cell>
          <cell r="BN977">
            <v>0</v>
          </cell>
          <cell r="BO977">
            <v>0</v>
          </cell>
          <cell r="BP977">
            <v>1</v>
          </cell>
          <cell r="BQ977">
            <v>1.5</v>
          </cell>
          <cell r="BR977">
            <v>0</v>
          </cell>
          <cell r="BS977">
            <v>0</v>
          </cell>
          <cell r="BT977">
            <v>0</v>
          </cell>
          <cell r="BU977">
            <v>0</v>
          </cell>
          <cell r="BV977">
            <v>0</v>
          </cell>
          <cell r="BW977">
            <v>0</v>
          </cell>
          <cell r="BX977">
            <v>0</v>
          </cell>
          <cell r="BY977">
            <v>0</v>
          </cell>
          <cell r="BZ977">
            <v>0</v>
          </cell>
          <cell r="CA977">
            <v>0</v>
          </cell>
          <cell r="CB977">
            <v>0</v>
          </cell>
          <cell r="CC977">
            <v>0</v>
          </cell>
          <cell r="CD977">
            <v>0</v>
          </cell>
          <cell r="CE977">
            <v>0</v>
          </cell>
          <cell r="CF977">
            <v>0</v>
          </cell>
          <cell r="CG977">
            <v>0</v>
          </cell>
          <cell r="CH977">
            <v>0</v>
          </cell>
          <cell r="CI977">
            <v>0</v>
          </cell>
          <cell r="CJ977">
            <v>0</v>
          </cell>
          <cell r="CK977">
            <v>1</v>
          </cell>
          <cell r="CL977">
            <v>0</v>
          </cell>
          <cell r="CM977">
            <v>0</v>
          </cell>
          <cell r="CR977">
            <v>0</v>
          </cell>
          <cell r="CS977">
            <v>0</v>
          </cell>
          <cell r="CT977">
            <v>3.5</v>
          </cell>
          <cell r="CU977">
            <v>0</v>
          </cell>
          <cell r="CV977">
            <v>0</v>
          </cell>
          <cell r="CZ977">
            <v>3.5</v>
          </cell>
        </row>
        <row r="978">
          <cell r="C978" t="str">
            <v>02612</v>
          </cell>
          <cell r="D978" t="str">
            <v>Võ Tường Vi</v>
          </cell>
          <cell r="E978" t="str">
            <v>PPC</v>
          </cell>
          <cell r="F978" t="str">
            <v>PPC</v>
          </cell>
          <cell r="G978" t="str">
            <v>Senior Staff</v>
          </cell>
          <cell r="H978">
            <v>44118</v>
          </cell>
          <cell r="I978">
            <v>8</v>
          </cell>
          <cell r="J978" t="str">
            <v>WH</v>
          </cell>
          <cell r="K978" t="str">
            <v>PO</v>
          </cell>
          <cell r="L978" t="str">
            <v>CN</v>
          </cell>
          <cell r="M978">
            <v>8</v>
          </cell>
          <cell r="N978">
            <v>8</v>
          </cell>
          <cell r="O978">
            <v>8</v>
          </cell>
          <cell r="P978">
            <v>8</v>
          </cell>
          <cell r="Q978">
            <v>8</v>
          </cell>
          <cell r="R978" t="str">
            <v>PO</v>
          </cell>
          <cell r="S978" t="str">
            <v>CN</v>
          </cell>
          <cell r="T978" t="str">
            <v>WH</v>
          </cell>
          <cell r="U978">
            <v>8</v>
          </cell>
          <cell r="V978">
            <v>8</v>
          </cell>
          <cell r="W978">
            <v>8</v>
          </cell>
          <cell r="X978">
            <v>8</v>
          </cell>
          <cell r="Y978" t="str">
            <v>PO</v>
          </cell>
          <cell r="Z978" t="str">
            <v>CN</v>
          </cell>
          <cell r="AA978" t="str">
            <v>AL8</v>
          </cell>
          <cell r="AB978">
            <v>8</v>
          </cell>
          <cell r="AC978">
            <v>8</v>
          </cell>
          <cell r="AD978">
            <v>8</v>
          </cell>
          <cell r="AE978">
            <v>8</v>
          </cell>
          <cell r="AF978" t="str">
            <v>PO</v>
          </cell>
          <cell r="AG978" t="str">
            <v>CN</v>
          </cell>
          <cell r="AH978">
            <v>8</v>
          </cell>
          <cell r="AI978">
            <v>8</v>
          </cell>
          <cell r="AJ978">
            <v>8</v>
          </cell>
          <cell r="AN978">
            <v>0</v>
          </cell>
          <cell r="AO978">
            <v>136</v>
          </cell>
          <cell r="AP978">
            <v>0</v>
          </cell>
          <cell r="AQ978">
            <v>0</v>
          </cell>
          <cell r="AR978">
            <v>0</v>
          </cell>
          <cell r="AS978">
            <v>0</v>
          </cell>
          <cell r="AT978">
            <v>0</v>
          </cell>
          <cell r="AU978">
            <v>0</v>
          </cell>
          <cell r="AV978">
            <v>32</v>
          </cell>
          <cell r="AW978">
            <v>0</v>
          </cell>
          <cell r="AX978">
            <v>0</v>
          </cell>
          <cell r="AY978">
            <v>0</v>
          </cell>
          <cell r="AZ978">
            <v>0</v>
          </cell>
          <cell r="BA978">
            <v>8</v>
          </cell>
          <cell r="BB978">
            <v>0</v>
          </cell>
          <cell r="BC978">
            <v>0</v>
          </cell>
          <cell r="BD978">
            <v>16</v>
          </cell>
          <cell r="BE978">
            <v>0</v>
          </cell>
          <cell r="BF978">
            <v>0</v>
          </cell>
          <cell r="BG978">
            <v>192</v>
          </cell>
          <cell r="BH978">
            <v>1</v>
          </cell>
          <cell r="BI978">
            <v>1</v>
          </cell>
          <cell r="BJ978">
            <v>5.5</v>
          </cell>
          <cell r="BL978">
            <v>0</v>
          </cell>
          <cell r="BM978">
            <v>0</v>
          </cell>
          <cell r="BN978">
            <v>0</v>
          </cell>
          <cell r="BO978">
            <v>0</v>
          </cell>
          <cell r="BP978">
            <v>0</v>
          </cell>
          <cell r="BQ978">
            <v>0</v>
          </cell>
          <cell r="BR978">
            <v>0</v>
          </cell>
          <cell r="BS978">
            <v>0</v>
          </cell>
          <cell r="BT978">
            <v>0</v>
          </cell>
          <cell r="BU978">
            <v>0</v>
          </cell>
          <cell r="BV978">
            <v>0</v>
          </cell>
          <cell r="BW978">
            <v>0</v>
          </cell>
          <cell r="BX978">
            <v>0</v>
          </cell>
          <cell r="BY978">
            <v>0</v>
          </cell>
          <cell r="BZ978">
            <v>0</v>
          </cell>
          <cell r="CA978">
            <v>0</v>
          </cell>
          <cell r="CB978">
            <v>0</v>
          </cell>
          <cell r="CC978">
            <v>0</v>
          </cell>
          <cell r="CD978">
            <v>0</v>
          </cell>
          <cell r="CE978">
            <v>0</v>
          </cell>
          <cell r="CF978">
            <v>0</v>
          </cell>
          <cell r="CG978">
            <v>0</v>
          </cell>
          <cell r="CH978">
            <v>0</v>
          </cell>
          <cell r="CI978">
            <v>0</v>
          </cell>
          <cell r="CJ978">
            <v>0</v>
          </cell>
          <cell r="CK978">
            <v>0</v>
          </cell>
          <cell r="CL978">
            <v>0</v>
          </cell>
          <cell r="CM978">
            <v>0</v>
          </cell>
          <cell r="CR978">
            <v>0</v>
          </cell>
          <cell r="CS978">
            <v>0</v>
          </cell>
          <cell r="CT978">
            <v>0</v>
          </cell>
          <cell r="CU978">
            <v>0</v>
          </cell>
          <cell r="CV978">
            <v>0</v>
          </cell>
          <cell r="CZ978">
            <v>0</v>
          </cell>
        </row>
        <row r="979">
          <cell r="C979" t="str">
            <v>04551</v>
          </cell>
          <cell r="D979" t="str">
            <v>Nguyễn Minh Thuận</v>
          </cell>
          <cell r="E979" t="str">
            <v>Production</v>
          </cell>
          <cell r="F979" t="str">
            <v>Die Cut</v>
          </cell>
          <cell r="G979" t="str">
            <v>Worker</v>
          </cell>
          <cell r="H979">
            <v>45744</v>
          </cell>
          <cell r="I979" t="str">
            <v>Đ</v>
          </cell>
          <cell r="J979" t="str">
            <v>Đ</v>
          </cell>
          <cell r="K979" t="str">
            <v>Đ</v>
          </cell>
          <cell r="L979" t="str">
            <v>CN</v>
          </cell>
          <cell r="M979" t="str">
            <v>UP8</v>
          </cell>
          <cell r="N979">
            <v>8</v>
          </cell>
          <cell r="O979">
            <v>8</v>
          </cell>
          <cell r="P979">
            <v>8</v>
          </cell>
          <cell r="Q979">
            <v>8</v>
          </cell>
          <cell r="R979">
            <v>8</v>
          </cell>
          <cell r="S979" t="str">
            <v>CN</v>
          </cell>
          <cell r="T979" t="str">
            <v>AL8</v>
          </cell>
          <cell r="U979" t="str">
            <v>Đ</v>
          </cell>
          <cell r="V979" t="str">
            <v>Đ</v>
          </cell>
          <cell r="W979" t="str">
            <v>Đ</v>
          </cell>
          <cell r="X979" t="str">
            <v>Đ</v>
          </cell>
          <cell r="Y979" t="str">
            <v>Đ</v>
          </cell>
          <cell r="Z979" t="str">
            <v>CN</v>
          </cell>
          <cell r="AA979">
            <v>8</v>
          </cell>
          <cell r="AB979">
            <v>8</v>
          </cell>
          <cell r="AC979">
            <v>8</v>
          </cell>
          <cell r="AD979">
            <v>8</v>
          </cell>
          <cell r="AE979">
            <v>8</v>
          </cell>
          <cell r="AF979">
            <v>8</v>
          </cell>
          <cell r="AG979" t="str">
            <v>CN</v>
          </cell>
          <cell r="AH979" t="str">
            <v>Đ</v>
          </cell>
          <cell r="AI979" t="str">
            <v>Đ</v>
          </cell>
          <cell r="AJ979" t="str">
            <v>Đ</v>
          </cell>
          <cell r="AN979">
            <v>88</v>
          </cell>
          <cell r="AO979">
            <v>88</v>
          </cell>
          <cell r="AP979">
            <v>0</v>
          </cell>
          <cell r="AQ979">
            <v>0</v>
          </cell>
          <cell r="AR979">
            <v>0</v>
          </cell>
          <cell r="AS979">
            <v>8</v>
          </cell>
          <cell r="AT979">
            <v>0</v>
          </cell>
          <cell r="AU979">
            <v>0</v>
          </cell>
          <cell r="AV979">
            <v>0</v>
          </cell>
          <cell r="AW979">
            <v>0</v>
          </cell>
          <cell r="AX979">
            <v>0</v>
          </cell>
          <cell r="AY979">
            <v>0</v>
          </cell>
          <cell r="AZ979">
            <v>0</v>
          </cell>
          <cell r="BA979">
            <v>8</v>
          </cell>
          <cell r="BB979">
            <v>0</v>
          </cell>
          <cell r="BC979">
            <v>0</v>
          </cell>
          <cell r="BD979">
            <v>0</v>
          </cell>
          <cell r="BE979">
            <v>0</v>
          </cell>
          <cell r="BF979">
            <v>0</v>
          </cell>
          <cell r="BG979">
            <v>184</v>
          </cell>
          <cell r="BH979">
            <v>1</v>
          </cell>
          <cell r="BI979">
            <v>1</v>
          </cell>
          <cell r="BJ979">
            <v>-2</v>
          </cell>
          <cell r="BL979">
            <v>0</v>
          </cell>
          <cell r="BM979">
            <v>0</v>
          </cell>
          <cell r="BN979">
            <v>0</v>
          </cell>
          <cell r="BO979">
            <v>0</v>
          </cell>
          <cell r="BP979">
            <v>0</v>
          </cell>
          <cell r="BQ979">
            <v>0</v>
          </cell>
          <cell r="BR979">
            <v>0</v>
          </cell>
          <cell r="BS979">
            <v>3</v>
          </cell>
          <cell r="BT979">
            <v>3</v>
          </cell>
          <cell r="BU979">
            <v>3</v>
          </cell>
          <cell r="BV979">
            <v>0</v>
          </cell>
          <cell r="BW979">
            <v>0</v>
          </cell>
          <cell r="BX979">
            <v>4</v>
          </cell>
          <cell r="BY979">
            <v>4</v>
          </cell>
          <cell r="BZ979">
            <v>4</v>
          </cell>
          <cell r="CA979">
            <v>4</v>
          </cell>
          <cell r="CB979">
            <v>4</v>
          </cell>
          <cell r="CC979">
            <v>0</v>
          </cell>
          <cell r="CD979">
            <v>3</v>
          </cell>
          <cell r="CE979">
            <v>0</v>
          </cell>
          <cell r="CF979">
            <v>3</v>
          </cell>
          <cell r="CG979">
            <v>3</v>
          </cell>
          <cell r="CH979">
            <v>3</v>
          </cell>
          <cell r="CI979">
            <v>2</v>
          </cell>
          <cell r="CJ979">
            <v>8</v>
          </cell>
          <cell r="CK979">
            <v>4</v>
          </cell>
          <cell r="CL979">
            <v>4</v>
          </cell>
          <cell r="CM979">
            <v>4</v>
          </cell>
          <cell r="CR979">
            <v>0</v>
          </cell>
          <cell r="CS979">
            <v>0</v>
          </cell>
          <cell r="CT979">
            <v>55</v>
          </cell>
          <cell r="CU979">
            <v>8</v>
          </cell>
          <cell r="CV979">
            <v>0</v>
          </cell>
          <cell r="CZ979">
            <v>63</v>
          </cell>
        </row>
        <row r="980">
          <cell r="C980" t="str">
            <v>04553</v>
          </cell>
          <cell r="D980" t="str">
            <v>Đỗ Văn Thành</v>
          </cell>
          <cell r="E980" t="str">
            <v>Production</v>
          </cell>
          <cell r="F980" t="str">
            <v>Die Cut</v>
          </cell>
          <cell r="G980" t="str">
            <v>Worker</v>
          </cell>
          <cell r="H980">
            <v>45744</v>
          </cell>
          <cell r="I980">
            <v>8</v>
          </cell>
          <cell r="J980">
            <v>8</v>
          </cell>
          <cell r="K980">
            <v>8</v>
          </cell>
          <cell r="L980" t="str">
            <v>CN</v>
          </cell>
          <cell r="M980" t="str">
            <v>Đ</v>
          </cell>
          <cell r="N980" t="str">
            <v>Đ</v>
          </cell>
          <cell r="O980" t="str">
            <v>Đ</v>
          </cell>
          <cell r="P980" t="str">
            <v>Đ</v>
          </cell>
          <cell r="Q980" t="str">
            <v>Đ</v>
          </cell>
          <cell r="R980" t="str">
            <v>Đ</v>
          </cell>
          <cell r="S980" t="str">
            <v>CN</v>
          </cell>
          <cell r="T980">
            <v>8</v>
          </cell>
          <cell r="U980">
            <v>8</v>
          </cell>
          <cell r="V980" t="str">
            <v>AL8</v>
          </cell>
          <cell r="W980">
            <v>8</v>
          </cell>
          <cell r="X980">
            <v>8</v>
          </cell>
          <cell r="Y980">
            <v>8</v>
          </cell>
          <cell r="Z980" t="str">
            <v>CN</v>
          </cell>
          <cell r="AA980" t="str">
            <v>Đ</v>
          </cell>
          <cell r="AB980" t="str">
            <v>Đ</v>
          </cell>
          <cell r="AC980" t="str">
            <v>Đ</v>
          </cell>
          <cell r="AD980" t="str">
            <v>Đ</v>
          </cell>
          <cell r="AE980" t="str">
            <v>Đ</v>
          </cell>
          <cell r="AF980" t="str">
            <v>Đ</v>
          </cell>
          <cell r="AG980" t="str">
            <v>CN</v>
          </cell>
          <cell r="AH980">
            <v>8</v>
          </cell>
          <cell r="AI980">
            <v>8</v>
          </cell>
          <cell r="AJ980">
            <v>8</v>
          </cell>
          <cell r="AN980">
            <v>96</v>
          </cell>
          <cell r="AO980">
            <v>88</v>
          </cell>
          <cell r="AP980">
            <v>0</v>
          </cell>
          <cell r="AQ980">
            <v>0</v>
          </cell>
          <cell r="AR980">
            <v>0</v>
          </cell>
          <cell r="AS980">
            <v>0</v>
          </cell>
          <cell r="AT980">
            <v>0</v>
          </cell>
          <cell r="AU980">
            <v>0</v>
          </cell>
          <cell r="AV980">
            <v>0</v>
          </cell>
          <cell r="AW980">
            <v>0</v>
          </cell>
          <cell r="AX980">
            <v>0</v>
          </cell>
          <cell r="AY980">
            <v>0</v>
          </cell>
          <cell r="AZ980">
            <v>0</v>
          </cell>
          <cell r="BA980">
            <v>8</v>
          </cell>
          <cell r="BB980">
            <v>0</v>
          </cell>
          <cell r="BC980">
            <v>0</v>
          </cell>
          <cell r="BD980">
            <v>0</v>
          </cell>
          <cell r="BE980">
            <v>0</v>
          </cell>
          <cell r="BF980">
            <v>0</v>
          </cell>
          <cell r="BG980">
            <v>192</v>
          </cell>
          <cell r="BH980">
            <v>1</v>
          </cell>
          <cell r="BI980">
            <v>1</v>
          </cell>
          <cell r="BJ980">
            <v>0.5</v>
          </cell>
          <cell r="BL980">
            <v>0</v>
          </cell>
          <cell r="BM980">
            <v>1.5</v>
          </cell>
          <cell r="BN980">
            <v>1.5</v>
          </cell>
          <cell r="BO980">
            <v>0</v>
          </cell>
          <cell r="BP980">
            <v>1.5</v>
          </cell>
          <cell r="BQ980">
            <v>0</v>
          </cell>
          <cell r="BR980">
            <v>0</v>
          </cell>
          <cell r="BS980">
            <v>4</v>
          </cell>
          <cell r="BT980">
            <v>4</v>
          </cell>
          <cell r="BU980">
            <v>3</v>
          </cell>
          <cell r="BV980">
            <v>0</v>
          </cell>
          <cell r="BW980">
            <v>3</v>
          </cell>
          <cell r="BX980">
            <v>3</v>
          </cell>
          <cell r="BY980">
            <v>0</v>
          </cell>
          <cell r="BZ980">
            <v>3</v>
          </cell>
          <cell r="CA980">
            <v>3</v>
          </cell>
          <cell r="CB980">
            <v>3</v>
          </cell>
          <cell r="CC980">
            <v>8</v>
          </cell>
          <cell r="CD980">
            <v>4</v>
          </cell>
          <cell r="CE980">
            <v>4</v>
          </cell>
          <cell r="CF980">
            <v>4</v>
          </cell>
          <cell r="CG980">
            <v>0</v>
          </cell>
          <cell r="CH980">
            <v>4</v>
          </cell>
          <cell r="CI980">
            <v>4</v>
          </cell>
          <cell r="CJ980">
            <v>0</v>
          </cell>
          <cell r="CK980">
            <v>3</v>
          </cell>
          <cell r="CL980">
            <v>3</v>
          </cell>
          <cell r="CM980">
            <v>3</v>
          </cell>
          <cell r="CR980">
            <v>0</v>
          </cell>
          <cell r="CS980">
            <v>0</v>
          </cell>
          <cell r="CT980">
            <v>59.5</v>
          </cell>
          <cell r="CU980">
            <v>8</v>
          </cell>
          <cell r="CV980">
            <v>0</v>
          </cell>
          <cell r="CZ980">
            <v>67.5</v>
          </cell>
        </row>
        <row r="981">
          <cell r="C981" t="str">
            <v>04557</v>
          </cell>
          <cell r="D981" t="str">
            <v>Võ Văn Bé</v>
          </cell>
          <cell r="E981" t="str">
            <v>Production</v>
          </cell>
          <cell r="F981" t="str">
            <v>Molding</v>
          </cell>
          <cell r="G981" t="str">
            <v>Worker</v>
          </cell>
          <cell r="H981">
            <v>45744</v>
          </cell>
          <cell r="I981">
            <v>8</v>
          </cell>
          <cell r="J981">
            <v>8</v>
          </cell>
          <cell r="K981">
            <v>8</v>
          </cell>
          <cell r="L981" t="str">
            <v>CN</v>
          </cell>
          <cell r="M981">
            <v>8</v>
          </cell>
          <cell r="N981">
            <v>8</v>
          </cell>
          <cell r="O981">
            <v>8</v>
          </cell>
          <cell r="P981">
            <v>8</v>
          </cell>
          <cell r="Q981" t="str">
            <v>Đ</v>
          </cell>
          <cell r="R981" t="str">
            <v>Đ</v>
          </cell>
          <cell r="S981" t="str">
            <v>CN</v>
          </cell>
          <cell r="T981">
            <v>8</v>
          </cell>
          <cell r="U981">
            <v>8</v>
          </cell>
          <cell r="V981">
            <v>8</v>
          </cell>
          <cell r="W981">
            <v>8</v>
          </cell>
          <cell r="X981">
            <v>8</v>
          </cell>
          <cell r="Y981">
            <v>8</v>
          </cell>
          <cell r="Z981" t="str">
            <v>CN</v>
          </cell>
          <cell r="AA981">
            <v>8</v>
          </cell>
          <cell r="AB981">
            <v>8</v>
          </cell>
          <cell r="AC981">
            <v>8</v>
          </cell>
          <cell r="AD981">
            <v>8</v>
          </cell>
          <cell r="AE981" t="str">
            <v>Đ</v>
          </cell>
          <cell r="AF981" t="str">
            <v>Đ</v>
          </cell>
          <cell r="AG981" t="str">
            <v>CN</v>
          </cell>
          <cell r="AH981">
            <v>8</v>
          </cell>
          <cell r="AI981">
            <v>8</v>
          </cell>
          <cell r="AJ981">
            <v>8</v>
          </cell>
          <cell r="AN981">
            <v>32</v>
          </cell>
          <cell r="AO981">
            <v>160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192</v>
          </cell>
          <cell r="BH981">
            <v>0</v>
          </cell>
          <cell r="BI981">
            <v>0</v>
          </cell>
          <cell r="BJ981">
            <v>2</v>
          </cell>
          <cell r="BL981">
            <v>0</v>
          </cell>
          <cell r="BM981">
            <v>4</v>
          </cell>
          <cell r="BN981">
            <v>4</v>
          </cell>
          <cell r="BO981">
            <v>0</v>
          </cell>
          <cell r="BP981">
            <v>0</v>
          </cell>
          <cell r="BQ981">
            <v>0</v>
          </cell>
          <cell r="BR981">
            <v>0</v>
          </cell>
          <cell r="BS981">
            <v>0</v>
          </cell>
          <cell r="BT981">
            <v>4</v>
          </cell>
          <cell r="BU981">
            <v>4</v>
          </cell>
          <cell r="BV981">
            <v>0</v>
          </cell>
          <cell r="BW981">
            <v>0</v>
          </cell>
          <cell r="BX981">
            <v>0</v>
          </cell>
          <cell r="BY981">
            <v>0</v>
          </cell>
          <cell r="BZ981">
            <v>0</v>
          </cell>
          <cell r="CA981">
            <v>4</v>
          </cell>
          <cell r="CB981">
            <v>4</v>
          </cell>
          <cell r="CC981">
            <v>0</v>
          </cell>
          <cell r="CD981">
            <v>0</v>
          </cell>
          <cell r="CE981">
            <v>0</v>
          </cell>
          <cell r="CF981">
            <v>0</v>
          </cell>
          <cell r="CG981">
            <v>0</v>
          </cell>
          <cell r="CH981">
            <v>4</v>
          </cell>
          <cell r="CI981">
            <v>4</v>
          </cell>
          <cell r="CJ981">
            <v>0</v>
          </cell>
          <cell r="CK981">
            <v>0</v>
          </cell>
          <cell r="CL981">
            <v>0</v>
          </cell>
          <cell r="CM981">
            <v>0</v>
          </cell>
          <cell r="CR981">
            <v>0</v>
          </cell>
          <cell r="CS981">
            <v>0</v>
          </cell>
          <cell r="CT981">
            <v>32</v>
          </cell>
          <cell r="CU981">
            <v>0</v>
          </cell>
          <cell r="CV981">
            <v>0</v>
          </cell>
          <cell r="CZ981">
            <v>32</v>
          </cell>
        </row>
        <row r="982">
          <cell r="C982" t="str">
            <v>04559</v>
          </cell>
          <cell r="D982" t="str">
            <v>Phạm Thị Thảo</v>
          </cell>
          <cell r="E982" t="str">
            <v>Production</v>
          </cell>
          <cell r="F982" t="str">
            <v>Packing</v>
          </cell>
          <cell r="G982" t="str">
            <v>Worker</v>
          </cell>
          <cell r="H982">
            <v>45744</v>
          </cell>
          <cell r="I982" t="str">
            <v>Đ</v>
          </cell>
          <cell r="J982" t="str">
            <v>Đ</v>
          </cell>
          <cell r="K982" t="str">
            <v>Đ</v>
          </cell>
          <cell r="L982" t="str">
            <v>CN</v>
          </cell>
          <cell r="M982">
            <v>8</v>
          </cell>
          <cell r="N982">
            <v>8</v>
          </cell>
          <cell r="O982">
            <v>8</v>
          </cell>
          <cell r="P982">
            <v>8</v>
          </cell>
          <cell r="Q982">
            <v>8</v>
          </cell>
          <cell r="R982">
            <v>8</v>
          </cell>
          <cell r="S982" t="str">
            <v>CN</v>
          </cell>
          <cell r="T982" t="str">
            <v>Đ</v>
          </cell>
          <cell r="U982" t="str">
            <v>Đ</v>
          </cell>
          <cell r="V982" t="str">
            <v>Đ</v>
          </cell>
          <cell r="W982" t="str">
            <v>Đ</v>
          </cell>
          <cell r="X982" t="str">
            <v>Đ</v>
          </cell>
          <cell r="Y982" t="str">
            <v>Đ</v>
          </cell>
          <cell r="Z982" t="str">
            <v>CN</v>
          </cell>
          <cell r="AA982">
            <v>8</v>
          </cell>
          <cell r="AB982">
            <v>8</v>
          </cell>
          <cell r="AC982">
            <v>8</v>
          </cell>
          <cell r="AD982">
            <v>8</v>
          </cell>
          <cell r="AE982">
            <v>8</v>
          </cell>
          <cell r="AF982">
            <v>8</v>
          </cell>
          <cell r="AG982" t="str">
            <v>CN</v>
          </cell>
          <cell r="AH982" t="str">
            <v>Đ</v>
          </cell>
          <cell r="AI982" t="str">
            <v>Đ</v>
          </cell>
          <cell r="AJ982" t="str">
            <v>Đ</v>
          </cell>
          <cell r="AN982">
            <v>96</v>
          </cell>
          <cell r="AO982">
            <v>96</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192</v>
          </cell>
          <cell r="BH982">
            <v>0</v>
          </cell>
          <cell r="BI982">
            <v>0</v>
          </cell>
          <cell r="BJ982">
            <v>2</v>
          </cell>
          <cell r="BL982">
            <v>1.5</v>
          </cell>
          <cell r="BM982">
            <v>1.5</v>
          </cell>
          <cell r="BN982">
            <v>1.5</v>
          </cell>
          <cell r="BO982">
            <v>0</v>
          </cell>
          <cell r="BP982">
            <v>1.5</v>
          </cell>
          <cell r="BQ982">
            <v>0</v>
          </cell>
          <cell r="BR982">
            <v>0</v>
          </cell>
          <cell r="BS982">
            <v>3</v>
          </cell>
          <cell r="BT982">
            <v>3</v>
          </cell>
          <cell r="BU982">
            <v>3</v>
          </cell>
          <cell r="BV982">
            <v>0</v>
          </cell>
          <cell r="BW982">
            <v>4</v>
          </cell>
          <cell r="BX982">
            <v>4</v>
          </cell>
          <cell r="BY982">
            <v>4</v>
          </cell>
          <cell r="BZ982">
            <v>4</v>
          </cell>
          <cell r="CA982">
            <v>4</v>
          </cell>
          <cell r="CB982">
            <v>4</v>
          </cell>
          <cell r="CC982">
            <v>0</v>
          </cell>
          <cell r="CD982">
            <v>3</v>
          </cell>
          <cell r="CE982">
            <v>3</v>
          </cell>
          <cell r="CF982">
            <v>3</v>
          </cell>
          <cell r="CG982">
            <v>3</v>
          </cell>
          <cell r="CH982">
            <v>3</v>
          </cell>
          <cell r="CI982">
            <v>3</v>
          </cell>
          <cell r="CJ982">
            <v>8</v>
          </cell>
          <cell r="CK982">
            <v>4</v>
          </cell>
          <cell r="CL982">
            <v>4</v>
          </cell>
          <cell r="CM982">
            <v>4</v>
          </cell>
          <cell r="CR982">
            <v>0</v>
          </cell>
          <cell r="CS982">
            <v>0</v>
          </cell>
          <cell r="CT982">
            <v>69</v>
          </cell>
          <cell r="CU982">
            <v>8</v>
          </cell>
          <cell r="CV982">
            <v>0</v>
          </cell>
          <cell r="CZ982">
            <v>77</v>
          </cell>
        </row>
        <row r="983">
          <cell r="C983" t="str">
            <v>04561</v>
          </cell>
          <cell r="D983" t="str">
            <v>Dương Thị Cẩm Tiên</v>
          </cell>
          <cell r="E983" t="str">
            <v>Production</v>
          </cell>
          <cell r="F983" t="str">
            <v>Packing</v>
          </cell>
          <cell r="G983" t="str">
            <v>Worker</v>
          </cell>
          <cell r="H983">
            <v>45744</v>
          </cell>
          <cell r="I983">
            <v>8</v>
          </cell>
          <cell r="J983" t="str">
            <v>UP4</v>
          </cell>
          <cell r="K983" t="str">
            <v>SL</v>
          </cell>
          <cell r="L983" t="str">
            <v>CN</v>
          </cell>
          <cell r="M983" t="str">
            <v>AL8</v>
          </cell>
          <cell r="N983" t="str">
            <v>Đ</v>
          </cell>
          <cell r="O983" t="str">
            <v>Đ</v>
          </cell>
          <cell r="P983" t="str">
            <v>Đ</v>
          </cell>
          <cell r="Q983" t="str">
            <v>Đ</v>
          </cell>
          <cell r="R983" t="str">
            <v>UP4Đ</v>
          </cell>
          <cell r="S983" t="str">
            <v>CN</v>
          </cell>
          <cell r="T983" t="str">
            <v>SL</v>
          </cell>
          <cell r="U983">
            <v>8</v>
          </cell>
          <cell r="V983">
            <v>8</v>
          </cell>
          <cell r="W983">
            <v>8</v>
          </cell>
          <cell r="X983">
            <v>8</v>
          </cell>
          <cell r="Y983">
            <v>8</v>
          </cell>
          <cell r="Z983" t="str">
            <v>CN</v>
          </cell>
          <cell r="AA983" t="str">
            <v>Đ</v>
          </cell>
          <cell r="AB983" t="str">
            <v>Đ</v>
          </cell>
          <cell r="AC983" t="str">
            <v>Đ</v>
          </cell>
          <cell r="AD983" t="str">
            <v>Đ</v>
          </cell>
          <cell r="AE983" t="str">
            <v>Đ</v>
          </cell>
          <cell r="AF983" t="str">
            <v>Đ</v>
          </cell>
          <cell r="AG983" t="str">
            <v>CN</v>
          </cell>
          <cell r="AH983" t="str">
            <v>UP4</v>
          </cell>
          <cell r="AI983" t="str">
            <v>SL</v>
          </cell>
          <cell r="AJ983">
            <v>8</v>
          </cell>
          <cell r="AN983">
            <v>84</v>
          </cell>
          <cell r="AO983">
            <v>64</v>
          </cell>
          <cell r="AP983">
            <v>0</v>
          </cell>
          <cell r="AQ983">
            <v>3</v>
          </cell>
          <cell r="AR983">
            <v>8</v>
          </cell>
          <cell r="AS983">
            <v>8</v>
          </cell>
          <cell r="AT983">
            <v>0</v>
          </cell>
          <cell r="AU983">
            <v>0</v>
          </cell>
          <cell r="AV983">
            <v>0</v>
          </cell>
          <cell r="AW983">
            <v>0</v>
          </cell>
          <cell r="AX983">
            <v>0</v>
          </cell>
          <cell r="AY983">
            <v>0</v>
          </cell>
          <cell r="AZ983">
            <v>0</v>
          </cell>
          <cell r="BA983">
            <v>8</v>
          </cell>
          <cell r="BB983">
            <v>0</v>
          </cell>
          <cell r="BC983">
            <v>0</v>
          </cell>
          <cell r="BD983">
            <v>0</v>
          </cell>
          <cell r="BE983">
            <v>0</v>
          </cell>
          <cell r="BF983">
            <v>0</v>
          </cell>
          <cell r="BG983">
            <v>156</v>
          </cell>
          <cell r="BH983">
            <v>1</v>
          </cell>
          <cell r="BI983">
            <v>1</v>
          </cell>
          <cell r="BJ983">
            <v>-3</v>
          </cell>
          <cell r="BL983">
            <v>1.5</v>
          </cell>
          <cell r="BM983">
            <v>0</v>
          </cell>
          <cell r="BN983">
            <v>0</v>
          </cell>
          <cell r="BO983">
            <v>0</v>
          </cell>
          <cell r="BP983">
            <v>0</v>
          </cell>
          <cell r="BQ983">
            <v>0</v>
          </cell>
          <cell r="BR983">
            <v>0</v>
          </cell>
          <cell r="BS983">
            <v>0</v>
          </cell>
          <cell r="BT983">
            <v>0</v>
          </cell>
          <cell r="BU983">
            <v>0</v>
          </cell>
          <cell r="BV983">
            <v>0</v>
          </cell>
          <cell r="BW983">
            <v>0</v>
          </cell>
          <cell r="BX983">
            <v>3</v>
          </cell>
          <cell r="BY983">
            <v>0</v>
          </cell>
          <cell r="BZ983">
            <v>3</v>
          </cell>
          <cell r="CA983">
            <v>3</v>
          </cell>
          <cell r="CB983">
            <v>0</v>
          </cell>
          <cell r="CC983">
            <v>0</v>
          </cell>
          <cell r="CD983">
            <v>0</v>
          </cell>
          <cell r="CE983">
            <v>4</v>
          </cell>
          <cell r="CF983">
            <v>1.5</v>
          </cell>
          <cell r="CG983">
            <v>4</v>
          </cell>
          <cell r="CH983">
            <v>4</v>
          </cell>
          <cell r="CI983">
            <v>0</v>
          </cell>
          <cell r="CJ983">
            <v>0</v>
          </cell>
          <cell r="CK983">
            <v>2</v>
          </cell>
          <cell r="CL983">
            <v>0</v>
          </cell>
          <cell r="CM983">
            <v>3</v>
          </cell>
          <cell r="CR983">
            <v>0</v>
          </cell>
          <cell r="CS983">
            <v>0</v>
          </cell>
          <cell r="CT983">
            <v>29</v>
          </cell>
          <cell r="CU983">
            <v>0</v>
          </cell>
          <cell r="CV983">
            <v>0</v>
          </cell>
          <cell r="CZ983">
            <v>29</v>
          </cell>
        </row>
        <row r="984">
          <cell r="C984" t="str">
            <v>04562</v>
          </cell>
          <cell r="D984" t="str">
            <v>Phạm Thị Trúc Linh</v>
          </cell>
          <cell r="E984" t="str">
            <v>Production</v>
          </cell>
          <cell r="F984" t="str">
            <v>Packing</v>
          </cell>
          <cell r="G984" t="str">
            <v>Worker</v>
          </cell>
          <cell r="H984">
            <v>45744</v>
          </cell>
          <cell r="I984">
            <v>8</v>
          </cell>
          <cell r="J984">
            <v>8</v>
          </cell>
          <cell r="K984">
            <v>8</v>
          </cell>
          <cell r="L984" t="str">
            <v>CN</v>
          </cell>
          <cell r="M984" t="str">
            <v>Đ</v>
          </cell>
          <cell r="N984" t="str">
            <v>Đ</v>
          </cell>
          <cell r="O984" t="str">
            <v>Đ</v>
          </cell>
          <cell r="P984" t="str">
            <v>Đ</v>
          </cell>
          <cell r="Q984" t="str">
            <v>Đ</v>
          </cell>
          <cell r="R984" t="str">
            <v>Đ</v>
          </cell>
          <cell r="S984" t="str">
            <v>CN</v>
          </cell>
          <cell r="T984">
            <v>8</v>
          </cell>
          <cell r="U984">
            <v>8</v>
          </cell>
          <cell r="V984">
            <v>8</v>
          </cell>
          <cell r="W984">
            <v>8</v>
          </cell>
          <cell r="X984">
            <v>8</v>
          </cell>
          <cell r="Y984">
            <v>8</v>
          </cell>
          <cell r="Z984" t="str">
            <v>CN</v>
          </cell>
          <cell r="AA984" t="str">
            <v>Đ</v>
          </cell>
          <cell r="AB984" t="str">
            <v>Đ</v>
          </cell>
          <cell r="AC984" t="str">
            <v>Đ</v>
          </cell>
          <cell r="AD984" t="str">
            <v>Đ</v>
          </cell>
          <cell r="AE984" t="str">
            <v>Đ</v>
          </cell>
          <cell r="AF984" t="str">
            <v>Đ</v>
          </cell>
          <cell r="AG984" t="str">
            <v>CN</v>
          </cell>
          <cell r="AH984">
            <v>8</v>
          </cell>
          <cell r="AI984">
            <v>8</v>
          </cell>
          <cell r="AJ984">
            <v>8</v>
          </cell>
          <cell r="AN984">
            <v>96</v>
          </cell>
          <cell r="AO984">
            <v>96</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192</v>
          </cell>
          <cell r="BH984">
            <v>0</v>
          </cell>
          <cell r="BI984">
            <v>0</v>
          </cell>
          <cell r="BJ984">
            <v>-0.5</v>
          </cell>
          <cell r="BL984">
            <v>0</v>
          </cell>
          <cell r="BM984">
            <v>0</v>
          </cell>
          <cell r="BN984">
            <v>0</v>
          </cell>
          <cell r="BO984">
            <v>0</v>
          </cell>
          <cell r="BP984">
            <v>1.5</v>
          </cell>
          <cell r="BQ984">
            <v>3</v>
          </cell>
          <cell r="BR984">
            <v>0</v>
          </cell>
          <cell r="BS984">
            <v>3</v>
          </cell>
          <cell r="BT984">
            <v>3</v>
          </cell>
          <cell r="BU984">
            <v>0</v>
          </cell>
          <cell r="BV984">
            <v>0</v>
          </cell>
          <cell r="BW984">
            <v>3</v>
          </cell>
          <cell r="BX984">
            <v>3</v>
          </cell>
          <cell r="BY984">
            <v>0</v>
          </cell>
          <cell r="BZ984">
            <v>2.5</v>
          </cell>
          <cell r="CA984">
            <v>2.5</v>
          </cell>
          <cell r="CB984">
            <v>3</v>
          </cell>
          <cell r="CC984">
            <v>8</v>
          </cell>
          <cell r="CD984">
            <v>1.5</v>
          </cell>
          <cell r="CE984">
            <v>4</v>
          </cell>
          <cell r="CF984">
            <v>4</v>
          </cell>
          <cell r="CG984">
            <v>4</v>
          </cell>
          <cell r="CH984">
            <v>1.5</v>
          </cell>
          <cell r="CI984">
            <v>1.5</v>
          </cell>
          <cell r="CJ984">
            <v>0</v>
          </cell>
          <cell r="CK984">
            <v>1.5</v>
          </cell>
          <cell r="CL984">
            <v>3</v>
          </cell>
          <cell r="CM984">
            <v>1.5</v>
          </cell>
          <cell r="CR984">
            <v>0</v>
          </cell>
          <cell r="CS984">
            <v>0</v>
          </cell>
          <cell r="CT984">
            <v>47</v>
          </cell>
          <cell r="CU984">
            <v>8</v>
          </cell>
          <cell r="CV984">
            <v>0</v>
          </cell>
          <cell r="CZ984">
            <v>55</v>
          </cell>
        </row>
        <row r="985">
          <cell r="C985" t="str">
            <v>04564</v>
          </cell>
          <cell r="D985" t="str">
            <v>Tô Mi Đol</v>
          </cell>
          <cell r="E985" t="str">
            <v>Production</v>
          </cell>
          <cell r="F985" t="str">
            <v>Prefitting</v>
          </cell>
          <cell r="G985" t="str">
            <v>Worker</v>
          </cell>
          <cell r="H985">
            <v>45744</v>
          </cell>
          <cell r="I985">
            <v>8</v>
          </cell>
          <cell r="J985">
            <v>8</v>
          </cell>
          <cell r="K985" t="str">
            <v>AL4</v>
          </cell>
          <cell r="L985" t="str">
            <v>CN</v>
          </cell>
          <cell r="M985">
            <v>8</v>
          </cell>
          <cell r="N985">
            <v>8</v>
          </cell>
          <cell r="O985">
            <v>8</v>
          </cell>
          <cell r="P985" t="str">
            <v>AL4</v>
          </cell>
          <cell r="Q985">
            <v>8</v>
          </cell>
          <cell r="R985">
            <v>8</v>
          </cell>
          <cell r="S985" t="str">
            <v>CN</v>
          </cell>
          <cell r="T985" t="str">
            <v>Đ</v>
          </cell>
          <cell r="U985" t="str">
            <v>Đ</v>
          </cell>
          <cell r="V985" t="str">
            <v>Đ</v>
          </cell>
          <cell r="W985" t="str">
            <v>Đ</v>
          </cell>
          <cell r="X985" t="str">
            <v>Đ</v>
          </cell>
          <cell r="Y985" t="str">
            <v>Đ</v>
          </cell>
          <cell r="Z985" t="str">
            <v>CN</v>
          </cell>
          <cell r="AA985" t="str">
            <v>Đ</v>
          </cell>
          <cell r="AB985" t="str">
            <v>Đ</v>
          </cell>
          <cell r="AC985" t="str">
            <v>Đ</v>
          </cell>
          <cell r="AD985" t="str">
            <v>Đ</v>
          </cell>
          <cell r="AE985" t="str">
            <v>Đ</v>
          </cell>
          <cell r="AF985" t="str">
            <v>CN</v>
          </cell>
          <cell r="AG985">
            <v>8</v>
          </cell>
          <cell r="AH985">
            <v>8</v>
          </cell>
          <cell r="AI985">
            <v>8</v>
          </cell>
          <cell r="AJ985">
            <v>8</v>
          </cell>
          <cell r="AN985">
            <v>88</v>
          </cell>
          <cell r="AO985">
            <v>96</v>
          </cell>
          <cell r="AP985">
            <v>8</v>
          </cell>
          <cell r="AQ985">
            <v>0</v>
          </cell>
          <cell r="AR985">
            <v>0</v>
          </cell>
          <cell r="AS985">
            <v>0</v>
          </cell>
          <cell r="AT985">
            <v>0</v>
          </cell>
          <cell r="AU985">
            <v>0</v>
          </cell>
          <cell r="AV985">
            <v>0</v>
          </cell>
          <cell r="AW985">
            <v>0</v>
          </cell>
          <cell r="AX985">
            <v>0</v>
          </cell>
          <cell r="AY985">
            <v>0</v>
          </cell>
          <cell r="AZ985">
            <v>0</v>
          </cell>
          <cell r="BA985">
            <v>8</v>
          </cell>
          <cell r="BB985">
            <v>0</v>
          </cell>
          <cell r="BC985">
            <v>0</v>
          </cell>
          <cell r="BD985">
            <v>0</v>
          </cell>
          <cell r="BE985">
            <v>0</v>
          </cell>
          <cell r="BF985">
            <v>0</v>
          </cell>
          <cell r="BG985">
            <v>192</v>
          </cell>
          <cell r="BH985">
            <v>1</v>
          </cell>
          <cell r="BI985">
            <v>1</v>
          </cell>
          <cell r="BJ985">
            <v>-2.5</v>
          </cell>
          <cell r="BL985">
            <v>0</v>
          </cell>
          <cell r="BM985">
            <v>0</v>
          </cell>
          <cell r="BN985">
            <v>0</v>
          </cell>
          <cell r="BO985">
            <v>0</v>
          </cell>
          <cell r="BP985">
            <v>0</v>
          </cell>
          <cell r="BQ985">
            <v>0</v>
          </cell>
          <cell r="BR985">
            <v>0</v>
          </cell>
          <cell r="BS985">
            <v>0</v>
          </cell>
          <cell r="BT985">
            <v>0</v>
          </cell>
          <cell r="BU985">
            <v>0</v>
          </cell>
          <cell r="BV985">
            <v>0</v>
          </cell>
          <cell r="BW985">
            <v>0</v>
          </cell>
          <cell r="BX985">
            <v>0</v>
          </cell>
          <cell r="BY985">
            <v>0</v>
          </cell>
          <cell r="BZ985">
            <v>0</v>
          </cell>
          <cell r="CA985">
            <v>4</v>
          </cell>
          <cell r="CB985">
            <v>4</v>
          </cell>
          <cell r="CC985">
            <v>0</v>
          </cell>
          <cell r="CD985">
            <v>0</v>
          </cell>
          <cell r="CE985">
            <v>0</v>
          </cell>
          <cell r="CF985">
            <v>0</v>
          </cell>
          <cell r="CG985">
            <v>0</v>
          </cell>
          <cell r="CH985">
            <v>4</v>
          </cell>
          <cell r="CI985">
            <v>0</v>
          </cell>
          <cell r="CJ985">
            <v>0</v>
          </cell>
          <cell r="CK985">
            <v>0</v>
          </cell>
          <cell r="CL985">
            <v>0</v>
          </cell>
          <cell r="CM985">
            <v>0</v>
          </cell>
          <cell r="CR985">
            <v>0</v>
          </cell>
          <cell r="CS985">
            <v>0</v>
          </cell>
          <cell r="CT985">
            <v>12</v>
          </cell>
          <cell r="CU985">
            <v>0</v>
          </cell>
          <cell r="CV985">
            <v>0</v>
          </cell>
          <cell r="CZ985">
            <v>12</v>
          </cell>
        </row>
        <row r="986">
          <cell r="C986" t="str">
            <v>04566</v>
          </cell>
          <cell r="D986" t="str">
            <v>Nguyễn Dương Thanh</v>
          </cell>
          <cell r="E986" t="str">
            <v>Production</v>
          </cell>
          <cell r="F986" t="str">
            <v>Prefitting</v>
          </cell>
          <cell r="G986" t="str">
            <v>Worker</v>
          </cell>
          <cell r="H986">
            <v>45744</v>
          </cell>
          <cell r="I986" t="str">
            <v>Đ</v>
          </cell>
          <cell r="J986" t="str">
            <v>CN</v>
          </cell>
          <cell r="K986">
            <v>8</v>
          </cell>
          <cell r="L986">
            <v>8</v>
          </cell>
          <cell r="M986">
            <v>8</v>
          </cell>
          <cell r="N986">
            <v>8</v>
          </cell>
          <cell r="O986">
            <v>8</v>
          </cell>
          <cell r="P986">
            <v>8</v>
          </cell>
          <cell r="Q986" t="str">
            <v>CN</v>
          </cell>
          <cell r="R986" t="str">
            <v>Đ</v>
          </cell>
          <cell r="S986" t="str">
            <v>Đ</v>
          </cell>
          <cell r="T986" t="str">
            <v>Đ</v>
          </cell>
          <cell r="U986" t="str">
            <v>Đ</v>
          </cell>
          <cell r="V986" t="str">
            <v>Đ</v>
          </cell>
          <cell r="W986" t="str">
            <v>Đ</v>
          </cell>
          <cell r="X986" t="str">
            <v>CN</v>
          </cell>
          <cell r="Y986">
            <v>8</v>
          </cell>
          <cell r="Z986">
            <v>8</v>
          </cell>
          <cell r="AA986">
            <v>8</v>
          </cell>
          <cell r="AB986">
            <v>8</v>
          </cell>
          <cell r="AC986">
            <v>8</v>
          </cell>
          <cell r="AD986">
            <v>8</v>
          </cell>
          <cell r="AE986" t="str">
            <v>CN</v>
          </cell>
          <cell r="AF986" t="str">
            <v>Đ</v>
          </cell>
          <cell r="AG986" t="str">
            <v>Đ</v>
          </cell>
          <cell r="AH986" t="str">
            <v>Đ</v>
          </cell>
          <cell r="AI986" t="str">
            <v>Đ</v>
          </cell>
          <cell r="AJ986" t="str">
            <v>Đ</v>
          </cell>
          <cell r="AN986">
            <v>96</v>
          </cell>
          <cell r="AO986">
            <v>96</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192</v>
          </cell>
          <cell r="BH986">
            <v>0</v>
          </cell>
          <cell r="BI986">
            <v>0</v>
          </cell>
          <cell r="BJ986">
            <v>6</v>
          </cell>
          <cell r="BL986">
            <v>0</v>
          </cell>
          <cell r="BM986">
            <v>0</v>
          </cell>
          <cell r="BN986">
            <v>4</v>
          </cell>
          <cell r="BO986">
            <v>4</v>
          </cell>
          <cell r="BP986">
            <v>0</v>
          </cell>
          <cell r="BQ986">
            <v>0</v>
          </cell>
          <cell r="BR986">
            <v>0</v>
          </cell>
          <cell r="BS986">
            <v>0</v>
          </cell>
          <cell r="BT986">
            <v>0</v>
          </cell>
          <cell r="BU986">
            <v>4</v>
          </cell>
          <cell r="BV986">
            <v>4</v>
          </cell>
          <cell r="BW986">
            <v>0</v>
          </cell>
          <cell r="BX986">
            <v>0</v>
          </cell>
          <cell r="BY986">
            <v>0</v>
          </cell>
          <cell r="BZ986">
            <v>0</v>
          </cell>
          <cell r="CA986">
            <v>0</v>
          </cell>
          <cell r="CB986">
            <v>4</v>
          </cell>
          <cell r="CC986">
            <v>4</v>
          </cell>
          <cell r="CD986">
            <v>0</v>
          </cell>
          <cell r="CE986">
            <v>0</v>
          </cell>
          <cell r="CF986">
            <v>0</v>
          </cell>
          <cell r="CG986">
            <v>0</v>
          </cell>
          <cell r="CH986">
            <v>0</v>
          </cell>
          <cell r="CI986">
            <v>4</v>
          </cell>
          <cell r="CJ986">
            <v>4</v>
          </cell>
          <cell r="CK986">
            <v>0</v>
          </cell>
          <cell r="CL986">
            <v>4</v>
          </cell>
          <cell r="CM986">
            <v>0</v>
          </cell>
          <cell r="CR986">
            <v>0</v>
          </cell>
          <cell r="CS986">
            <v>0</v>
          </cell>
          <cell r="CT986">
            <v>36</v>
          </cell>
          <cell r="CU986">
            <v>0</v>
          </cell>
          <cell r="CV986">
            <v>0</v>
          </cell>
          <cell r="CZ986">
            <v>36</v>
          </cell>
        </row>
        <row r="987">
          <cell r="C987" t="str">
            <v>04567</v>
          </cell>
          <cell r="D987" t="str">
            <v>Nguyễn Liêu Hẩu</v>
          </cell>
          <cell r="E987" t="str">
            <v>Production</v>
          </cell>
          <cell r="F987" t="str">
            <v>Prefitting</v>
          </cell>
          <cell r="G987" t="str">
            <v>Worker</v>
          </cell>
          <cell r="H987">
            <v>45744</v>
          </cell>
          <cell r="I987" t="str">
            <v>Đ</v>
          </cell>
          <cell r="J987" t="str">
            <v>Đ</v>
          </cell>
          <cell r="K987" t="str">
            <v>Đ</v>
          </cell>
          <cell r="L987" t="str">
            <v>CN</v>
          </cell>
          <cell r="M987">
            <v>8</v>
          </cell>
          <cell r="N987">
            <v>8</v>
          </cell>
          <cell r="O987">
            <v>8</v>
          </cell>
          <cell r="P987">
            <v>8</v>
          </cell>
          <cell r="Q987">
            <v>8</v>
          </cell>
          <cell r="R987">
            <v>8</v>
          </cell>
          <cell r="S987" t="str">
            <v>CN</v>
          </cell>
          <cell r="T987">
            <v>8</v>
          </cell>
          <cell r="U987">
            <v>8</v>
          </cell>
          <cell r="V987">
            <v>8</v>
          </cell>
          <cell r="W987">
            <v>8</v>
          </cell>
          <cell r="X987">
            <v>8</v>
          </cell>
          <cell r="Y987">
            <v>8</v>
          </cell>
          <cell r="Z987" t="str">
            <v>CN</v>
          </cell>
          <cell r="AA987">
            <v>8</v>
          </cell>
          <cell r="AB987">
            <v>8</v>
          </cell>
          <cell r="AC987">
            <v>8</v>
          </cell>
          <cell r="AD987">
            <v>8</v>
          </cell>
          <cell r="AE987" t="str">
            <v>CN</v>
          </cell>
          <cell r="AF987" t="str">
            <v>Đ</v>
          </cell>
          <cell r="AG987" t="str">
            <v>Đ</v>
          </cell>
          <cell r="AH987" t="str">
            <v>Đ</v>
          </cell>
          <cell r="AI987" t="str">
            <v>Đ</v>
          </cell>
          <cell r="AJ987" t="str">
            <v>Đ</v>
          </cell>
          <cell r="AN987">
            <v>64</v>
          </cell>
          <cell r="AO987">
            <v>128</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192</v>
          </cell>
          <cell r="BH987">
            <v>0</v>
          </cell>
          <cell r="BI987">
            <v>0</v>
          </cell>
          <cell r="BJ987">
            <v>1.5</v>
          </cell>
          <cell r="BL987">
            <v>0</v>
          </cell>
          <cell r="BM987">
            <v>0</v>
          </cell>
          <cell r="BN987">
            <v>0</v>
          </cell>
          <cell r="BO987">
            <v>0</v>
          </cell>
          <cell r="BP987">
            <v>0</v>
          </cell>
          <cell r="BQ987">
            <v>0</v>
          </cell>
          <cell r="BR987">
            <v>0</v>
          </cell>
          <cell r="BS987">
            <v>0</v>
          </cell>
          <cell r="BT987">
            <v>0</v>
          </cell>
          <cell r="BU987">
            <v>0</v>
          </cell>
          <cell r="BV987">
            <v>0</v>
          </cell>
          <cell r="BW987">
            <v>0</v>
          </cell>
          <cell r="BX987">
            <v>0</v>
          </cell>
          <cell r="BY987">
            <v>0</v>
          </cell>
          <cell r="BZ987">
            <v>0</v>
          </cell>
          <cell r="CA987">
            <v>0</v>
          </cell>
          <cell r="CB987">
            <v>4</v>
          </cell>
          <cell r="CC987">
            <v>0</v>
          </cell>
          <cell r="CD987">
            <v>0</v>
          </cell>
          <cell r="CE987">
            <v>0</v>
          </cell>
          <cell r="CF987">
            <v>0</v>
          </cell>
          <cell r="CG987">
            <v>0</v>
          </cell>
          <cell r="CH987">
            <v>0</v>
          </cell>
          <cell r="CI987">
            <v>4</v>
          </cell>
          <cell r="CJ987">
            <v>4</v>
          </cell>
          <cell r="CK987">
            <v>0</v>
          </cell>
          <cell r="CL987">
            <v>0</v>
          </cell>
          <cell r="CM987">
            <v>4</v>
          </cell>
          <cell r="CR987">
            <v>0</v>
          </cell>
          <cell r="CS987">
            <v>0</v>
          </cell>
          <cell r="CT987">
            <v>16</v>
          </cell>
          <cell r="CU987">
            <v>0</v>
          </cell>
          <cell r="CV987">
            <v>0</v>
          </cell>
          <cell r="CZ987">
            <v>16</v>
          </cell>
        </row>
        <row r="988">
          <cell r="C988" t="str">
            <v>04569</v>
          </cell>
          <cell r="D988" t="str">
            <v>Trần Thị Kiều</v>
          </cell>
          <cell r="E988" t="str">
            <v>Production</v>
          </cell>
          <cell r="F988" t="str">
            <v>Skiving</v>
          </cell>
          <cell r="G988" t="str">
            <v>Worker</v>
          </cell>
          <cell r="H988">
            <v>45744</v>
          </cell>
          <cell r="I988" t="str">
            <v>Đ</v>
          </cell>
          <cell r="J988" t="str">
            <v>Đ</v>
          </cell>
          <cell r="K988" t="str">
            <v>Đ</v>
          </cell>
          <cell r="L988" t="str">
            <v>CN</v>
          </cell>
          <cell r="M988">
            <v>8</v>
          </cell>
          <cell r="N988">
            <v>8</v>
          </cell>
          <cell r="O988">
            <v>8</v>
          </cell>
          <cell r="P988">
            <v>8</v>
          </cell>
          <cell r="Q988">
            <v>8</v>
          </cell>
          <cell r="R988">
            <v>8</v>
          </cell>
          <cell r="S988" t="str">
            <v>CN</v>
          </cell>
          <cell r="T988" t="str">
            <v>Đ</v>
          </cell>
          <cell r="U988" t="str">
            <v>Đ</v>
          </cell>
          <cell r="V988" t="str">
            <v>Đ</v>
          </cell>
          <cell r="W988" t="str">
            <v>Đ</v>
          </cell>
          <cell r="X988" t="str">
            <v>Đ</v>
          </cell>
          <cell r="Y988" t="str">
            <v>Đ</v>
          </cell>
          <cell r="Z988" t="str">
            <v>CN</v>
          </cell>
          <cell r="AA988">
            <v>8</v>
          </cell>
          <cell r="AB988">
            <v>8</v>
          </cell>
          <cell r="AC988">
            <v>8</v>
          </cell>
          <cell r="AD988">
            <v>8</v>
          </cell>
          <cell r="AE988">
            <v>8</v>
          </cell>
          <cell r="AF988">
            <v>8</v>
          </cell>
          <cell r="AG988" t="str">
            <v>CN</v>
          </cell>
          <cell r="AH988" t="str">
            <v>Đ</v>
          </cell>
          <cell r="AI988" t="str">
            <v>Đ</v>
          </cell>
          <cell r="AJ988" t="str">
            <v>Đ</v>
          </cell>
          <cell r="AN988">
            <v>96</v>
          </cell>
          <cell r="AO988">
            <v>96</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192</v>
          </cell>
          <cell r="BH988">
            <v>0</v>
          </cell>
          <cell r="BI988">
            <v>0</v>
          </cell>
          <cell r="BJ988">
            <v>4</v>
          </cell>
          <cell r="BL988">
            <v>0</v>
          </cell>
          <cell r="BM988">
            <v>0</v>
          </cell>
          <cell r="BN988">
            <v>0</v>
          </cell>
          <cell r="BO988">
            <v>0</v>
          </cell>
          <cell r="BP988">
            <v>1.5</v>
          </cell>
          <cell r="BQ988">
            <v>3</v>
          </cell>
          <cell r="BR988">
            <v>0</v>
          </cell>
          <cell r="BS988">
            <v>3</v>
          </cell>
          <cell r="BT988">
            <v>3</v>
          </cell>
          <cell r="BU988">
            <v>0</v>
          </cell>
          <cell r="BV988">
            <v>0</v>
          </cell>
          <cell r="BW988">
            <v>3</v>
          </cell>
          <cell r="BX988">
            <v>4</v>
          </cell>
          <cell r="BY988">
            <v>4</v>
          </cell>
          <cell r="BZ988">
            <v>4</v>
          </cell>
          <cell r="CA988">
            <v>4</v>
          </cell>
          <cell r="CB988">
            <v>4</v>
          </cell>
          <cell r="CC988">
            <v>0</v>
          </cell>
          <cell r="CD988">
            <v>3</v>
          </cell>
          <cell r="CE988">
            <v>3</v>
          </cell>
          <cell r="CF988">
            <v>3</v>
          </cell>
          <cell r="CG988">
            <v>3</v>
          </cell>
          <cell r="CH988">
            <v>1.5</v>
          </cell>
          <cell r="CI988">
            <v>1.5</v>
          </cell>
          <cell r="CJ988">
            <v>8</v>
          </cell>
          <cell r="CK988">
            <v>1.5</v>
          </cell>
          <cell r="CL988">
            <v>1.5</v>
          </cell>
          <cell r="CM988">
            <v>1.5</v>
          </cell>
          <cell r="CR988">
            <v>0</v>
          </cell>
          <cell r="CS988">
            <v>0</v>
          </cell>
          <cell r="CT988">
            <v>53</v>
          </cell>
          <cell r="CU988">
            <v>8</v>
          </cell>
          <cell r="CV988">
            <v>0</v>
          </cell>
          <cell r="CZ988">
            <v>61</v>
          </cell>
        </row>
        <row r="989">
          <cell r="C989" t="str">
            <v>04571</v>
          </cell>
          <cell r="D989" t="str">
            <v>Nguyễn Văn Uy</v>
          </cell>
          <cell r="E989" t="str">
            <v>Foaming</v>
          </cell>
          <cell r="F989" t="str">
            <v>FOAMING Rectangular</v>
          </cell>
          <cell r="G989" t="str">
            <v>Worker</v>
          </cell>
          <cell r="H989">
            <v>45744</v>
          </cell>
          <cell r="I989" t="str">
            <v>Đ</v>
          </cell>
          <cell r="J989" t="str">
            <v>Đ</v>
          </cell>
          <cell r="K989" t="str">
            <v>Đ</v>
          </cell>
          <cell r="L989" t="str">
            <v>CN</v>
          </cell>
          <cell r="M989">
            <v>8</v>
          </cell>
          <cell r="N989">
            <v>8</v>
          </cell>
          <cell r="O989">
            <v>8</v>
          </cell>
          <cell r="P989">
            <v>8</v>
          </cell>
          <cell r="Q989">
            <v>8</v>
          </cell>
          <cell r="R989" t="str">
            <v>AL8</v>
          </cell>
          <cell r="S989" t="str">
            <v>CN</v>
          </cell>
          <cell r="T989">
            <v>8</v>
          </cell>
          <cell r="U989">
            <v>8</v>
          </cell>
          <cell r="V989">
            <v>8</v>
          </cell>
          <cell r="W989">
            <v>8</v>
          </cell>
          <cell r="X989">
            <v>8</v>
          </cell>
          <cell r="Y989">
            <v>8</v>
          </cell>
          <cell r="Z989" t="str">
            <v>CN</v>
          </cell>
          <cell r="AA989" t="str">
            <v>Đ</v>
          </cell>
          <cell r="AB989" t="str">
            <v>Đ</v>
          </cell>
          <cell r="AC989" t="str">
            <v>Đ</v>
          </cell>
          <cell r="AD989" t="str">
            <v>Đ</v>
          </cell>
          <cell r="AE989" t="str">
            <v>Đ</v>
          </cell>
          <cell r="AF989" t="str">
            <v>Đ</v>
          </cell>
          <cell r="AG989" t="str">
            <v>CN</v>
          </cell>
          <cell r="AH989" t="str">
            <v>Đ</v>
          </cell>
          <cell r="AI989" t="str">
            <v>Đ</v>
          </cell>
          <cell r="AJ989" t="str">
            <v>Đ</v>
          </cell>
          <cell r="AN989">
            <v>96</v>
          </cell>
          <cell r="AO989">
            <v>88</v>
          </cell>
          <cell r="AP989">
            <v>0</v>
          </cell>
          <cell r="AQ989">
            <v>0</v>
          </cell>
          <cell r="AR989">
            <v>0</v>
          </cell>
          <cell r="AS989">
            <v>0</v>
          </cell>
          <cell r="AT989">
            <v>0</v>
          </cell>
          <cell r="AU989">
            <v>0</v>
          </cell>
          <cell r="AV989">
            <v>0</v>
          </cell>
          <cell r="AW989">
            <v>0</v>
          </cell>
          <cell r="AX989">
            <v>0</v>
          </cell>
          <cell r="AY989">
            <v>0</v>
          </cell>
          <cell r="AZ989">
            <v>0</v>
          </cell>
          <cell r="BA989">
            <v>8</v>
          </cell>
          <cell r="BB989">
            <v>0</v>
          </cell>
          <cell r="BC989">
            <v>0</v>
          </cell>
          <cell r="BD989">
            <v>0</v>
          </cell>
          <cell r="BE989">
            <v>0</v>
          </cell>
          <cell r="BF989">
            <v>0</v>
          </cell>
          <cell r="BG989">
            <v>192</v>
          </cell>
          <cell r="BH989">
            <v>1</v>
          </cell>
          <cell r="BI989">
            <v>1</v>
          </cell>
          <cell r="BJ989">
            <v>-4.5</v>
          </cell>
          <cell r="BL989">
            <v>0</v>
          </cell>
          <cell r="BM989">
            <v>0</v>
          </cell>
          <cell r="BN989">
            <v>4</v>
          </cell>
          <cell r="BO989">
            <v>0</v>
          </cell>
          <cell r="BP989">
            <v>0</v>
          </cell>
          <cell r="BQ989">
            <v>0</v>
          </cell>
          <cell r="BR989">
            <v>4</v>
          </cell>
          <cell r="BS989">
            <v>4</v>
          </cell>
          <cell r="BT989">
            <v>4</v>
          </cell>
          <cell r="BU989">
            <v>0</v>
          </cell>
          <cell r="BV989">
            <v>12</v>
          </cell>
          <cell r="BW989">
            <v>4</v>
          </cell>
          <cell r="BX989">
            <v>4</v>
          </cell>
          <cell r="BY989">
            <v>4</v>
          </cell>
          <cell r="BZ989">
            <v>4</v>
          </cell>
          <cell r="CA989">
            <v>4</v>
          </cell>
          <cell r="CB989">
            <v>0</v>
          </cell>
          <cell r="CC989" t="str">
            <v>12Đ</v>
          </cell>
          <cell r="CD989">
            <v>4</v>
          </cell>
          <cell r="CE989">
            <v>4</v>
          </cell>
          <cell r="CF989">
            <v>4</v>
          </cell>
          <cell r="CG989">
            <v>4</v>
          </cell>
          <cell r="CH989">
            <v>4</v>
          </cell>
          <cell r="CI989">
            <v>4</v>
          </cell>
          <cell r="CJ989" t="str">
            <v>12Đ</v>
          </cell>
          <cell r="CK989">
            <v>4</v>
          </cell>
          <cell r="CL989">
            <v>4</v>
          </cell>
          <cell r="CM989">
            <v>0</v>
          </cell>
          <cell r="CR989">
            <v>0</v>
          </cell>
          <cell r="CS989">
            <v>0</v>
          </cell>
          <cell r="CT989">
            <v>68</v>
          </cell>
          <cell r="CU989">
            <v>20</v>
          </cell>
          <cell r="CV989">
            <v>16</v>
          </cell>
          <cell r="CZ989">
            <v>104</v>
          </cell>
        </row>
        <row r="990">
          <cell r="C990" t="str">
            <v>04573</v>
          </cell>
          <cell r="D990" t="str">
            <v>Trần Anh Duy</v>
          </cell>
          <cell r="E990" t="str">
            <v>CS</v>
          </cell>
          <cell r="F990" t="str">
            <v>CS</v>
          </cell>
          <cell r="G990" t="str">
            <v>Staff</v>
          </cell>
          <cell r="H990">
            <v>45751</v>
          </cell>
          <cell r="I990">
            <v>8</v>
          </cell>
          <cell r="J990">
            <v>8</v>
          </cell>
          <cell r="K990" t="str">
            <v>PO</v>
          </cell>
          <cell r="L990" t="str">
            <v>CN</v>
          </cell>
          <cell r="M990" t="str">
            <v>BS</v>
          </cell>
          <cell r="N990">
            <v>8</v>
          </cell>
          <cell r="O990" t="str">
            <v>WH4</v>
          </cell>
          <cell r="P990">
            <v>8</v>
          </cell>
          <cell r="Q990">
            <v>8</v>
          </cell>
          <cell r="R990" t="str">
            <v>PO</v>
          </cell>
          <cell r="S990" t="str">
            <v>CN</v>
          </cell>
          <cell r="T990">
            <v>8</v>
          </cell>
          <cell r="U990">
            <v>8</v>
          </cell>
          <cell r="V990">
            <v>8</v>
          </cell>
          <cell r="W990">
            <v>8</v>
          </cell>
          <cell r="X990">
            <v>8</v>
          </cell>
          <cell r="Y990" t="str">
            <v>PO</v>
          </cell>
          <cell r="Z990" t="str">
            <v>CN</v>
          </cell>
          <cell r="AA990">
            <v>8</v>
          </cell>
          <cell r="AB990">
            <v>8</v>
          </cell>
          <cell r="AC990">
            <v>8</v>
          </cell>
          <cell r="AD990">
            <v>8</v>
          </cell>
          <cell r="AE990">
            <v>8</v>
          </cell>
          <cell r="AF990" t="str">
            <v>PO</v>
          </cell>
          <cell r="AG990" t="str">
            <v>CN</v>
          </cell>
          <cell r="AH990">
            <v>8</v>
          </cell>
          <cell r="AI990">
            <v>8</v>
          </cell>
          <cell r="AJ990">
            <v>8</v>
          </cell>
          <cell r="AN990">
            <v>0</v>
          </cell>
          <cell r="AO990">
            <v>148</v>
          </cell>
          <cell r="AP990">
            <v>0</v>
          </cell>
          <cell r="AQ990">
            <v>0</v>
          </cell>
          <cell r="AR990">
            <v>0</v>
          </cell>
          <cell r="AS990">
            <v>0</v>
          </cell>
          <cell r="AT990">
            <v>0</v>
          </cell>
          <cell r="AU990">
            <v>8</v>
          </cell>
          <cell r="AV990">
            <v>32</v>
          </cell>
          <cell r="AW990">
            <v>0</v>
          </cell>
          <cell r="AX990">
            <v>0</v>
          </cell>
          <cell r="AY990">
            <v>0</v>
          </cell>
          <cell r="AZ990">
            <v>0</v>
          </cell>
          <cell r="BA990">
            <v>0</v>
          </cell>
          <cell r="BB990">
            <v>0</v>
          </cell>
          <cell r="BC990">
            <v>0</v>
          </cell>
          <cell r="BD990">
            <v>4</v>
          </cell>
          <cell r="BE990">
            <v>0</v>
          </cell>
          <cell r="BF990">
            <v>0</v>
          </cell>
          <cell r="BG990">
            <v>192</v>
          </cell>
          <cell r="BH990">
            <v>0</v>
          </cell>
          <cell r="BI990">
            <v>0</v>
          </cell>
          <cell r="BJ990">
            <v>5.5</v>
          </cell>
          <cell r="BL990">
            <v>0</v>
          </cell>
          <cell r="BM990">
            <v>4</v>
          </cell>
          <cell r="BN990">
            <v>0</v>
          </cell>
          <cell r="BO990">
            <v>0</v>
          </cell>
          <cell r="BP990">
            <v>0</v>
          </cell>
          <cell r="BQ990">
            <v>0</v>
          </cell>
          <cell r="BR990">
            <v>2.5</v>
          </cell>
          <cell r="BS990">
            <v>0</v>
          </cell>
          <cell r="BT990">
            <v>1.5</v>
          </cell>
          <cell r="BU990">
            <v>0</v>
          </cell>
          <cell r="BV990">
            <v>0</v>
          </cell>
          <cell r="BW990">
            <v>1.5</v>
          </cell>
          <cell r="BX990">
            <v>0</v>
          </cell>
          <cell r="BY990">
            <v>0</v>
          </cell>
          <cell r="BZ990">
            <v>0</v>
          </cell>
          <cell r="CA990">
            <v>2.5</v>
          </cell>
          <cell r="CB990">
            <v>0</v>
          </cell>
          <cell r="CC990">
            <v>0</v>
          </cell>
          <cell r="CD990">
            <v>0</v>
          </cell>
          <cell r="CE990">
            <v>0</v>
          </cell>
          <cell r="CF990">
            <v>0</v>
          </cell>
          <cell r="CG990">
            <v>0</v>
          </cell>
          <cell r="CH990">
            <v>0</v>
          </cell>
          <cell r="CI990">
            <v>0</v>
          </cell>
          <cell r="CJ990">
            <v>0</v>
          </cell>
          <cell r="CK990">
            <v>0</v>
          </cell>
          <cell r="CL990">
            <v>0</v>
          </cell>
          <cell r="CM990">
            <v>0</v>
          </cell>
          <cell r="CR990">
            <v>0</v>
          </cell>
          <cell r="CS990">
            <v>0</v>
          </cell>
          <cell r="CT990">
            <v>12</v>
          </cell>
          <cell r="CU990">
            <v>0</v>
          </cell>
          <cell r="CV990">
            <v>0</v>
          </cell>
          <cell r="CZ990">
            <v>12</v>
          </cell>
        </row>
        <row r="991">
          <cell r="C991" t="str">
            <v>04576</v>
          </cell>
          <cell r="D991" t="str">
            <v>Cao Tiến Đạt</v>
          </cell>
          <cell r="E991" t="str">
            <v>Production</v>
          </cell>
          <cell r="F991" t="str">
            <v>Lamination</v>
          </cell>
          <cell r="G991" t="str">
            <v>Worker</v>
          </cell>
          <cell r="H991">
            <v>45757</v>
          </cell>
          <cell r="I991" t="str">
            <v>Đ</v>
          </cell>
          <cell r="J991" t="str">
            <v>Đ</v>
          </cell>
          <cell r="K991" t="str">
            <v>Đ</v>
          </cell>
          <cell r="L991" t="str">
            <v>CN</v>
          </cell>
          <cell r="M991">
            <v>8</v>
          </cell>
          <cell r="N991">
            <v>8</v>
          </cell>
          <cell r="O991">
            <v>8</v>
          </cell>
          <cell r="P991">
            <v>8</v>
          </cell>
          <cell r="Q991">
            <v>8</v>
          </cell>
          <cell r="R991">
            <v>8</v>
          </cell>
          <cell r="S991" t="str">
            <v>CN</v>
          </cell>
          <cell r="T991">
            <v>8</v>
          </cell>
          <cell r="U991">
            <v>8</v>
          </cell>
          <cell r="V991">
            <v>8</v>
          </cell>
          <cell r="W991">
            <v>8</v>
          </cell>
          <cell r="X991">
            <v>8</v>
          </cell>
          <cell r="Y991">
            <v>8</v>
          </cell>
          <cell r="Z991" t="str">
            <v>CN</v>
          </cell>
          <cell r="AA991">
            <v>8</v>
          </cell>
          <cell r="AB991">
            <v>8</v>
          </cell>
          <cell r="AC991">
            <v>8</v>
          </cell>
          <cell r="AD991">
            <v>8</v>
          </cell>
          <cell r="AE991">
            <v>8</v>
          </cell>
          <cell r="AF991" t="str">
            <v>CN</v>
          </cell>
          <cell r="AG991">
            <v>8</v>
          </cell>
          <cell r="AH991">
            <v>8</v>
          </cell>
          <cell r="AI991">
            <v>8</v>
          </cell>
          <cell r="AJ991">
            <v>8</v>
          </cell>
          <cell r="AN991">
            <v>24</v>
          </cell>
          <cell r="AO991">
            <v>168</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192</v>
          </cell>
          <cell r="BH991">
            <v>0</v>
          </cell>
          <cell r="BI991">
            <v>0</v>
          </cell>
          <cell r="BJ991">
            <v>1.5</v>
          </cell>
          <cell r="BL991">
            <v>0</v>
          </cell>
          <cell r="BM991">
            <v>0</v>
          </cell>
          <cell r="BN991">
            <v>0</v>
          </cell>
          <cell r="BO991">
            <v>0</v>
          </cell>
          <cell r="BP991">
            <v>0</v>
          </cell>
          <cell r="BQ991">
            <v>0</v>
          </cell>
          <cell r="BR991">
            <v>0</v>
          </cell>
          <cell r="BS991">
            <v>0</v>
          </cell>
          <cell r="BT991">
            <v>0</v>
          </cell>
          <cell r="BU991">
            <v>0</v>
          </cell>
          <cell r="BV991">
            <v>0</v>
          </cell>
          <cell r="BW991">
            <v>0</v>
          </cell>
          <cell r="BX991">
            <v>0</v>
          </cell>
          <cell r="BY991">
            <v>4</v>
          </cell>
          <cell r="BZ991">
            <v>0</v>
          </cell>
          <cell r="CA991">
            <v>4</v>
          </cell>
          <cell r="CB991">
            <v>4</v>
          </cell>
          <cell r="CC991">
            <v>0</v>
          </cell>
          <cell r="CD991">
            <v>0</v>
          </cell>
          <cell r="CE991">
            <v>0</v>
          </cell>
          <cell r="CF991">
            <v>0</v>
          </cell>
          <cell r="CG991">
            <v>0</v>
          </cell>
          <cell r="CH991">
            <v>4</v>
          </cell>
          <cell r="CI991">
            <v>0</v>
          </cell>
          <cell r="CJ991">
            <v>4</v>
          </cell>
          <cell r="CK991">
            <v>0</v>
          </cell>
          <cell r="CL991">
            <v>0</v>
          </cell>
          <cell r="CM991">
            <v>0</v>
          </cell>
          <cell r="CR991">
            <v>0</v>
          </cell>
          <cell r="CS991">
            <v>0</v>
          </cell>
          <cell r="CT991">
            <v>20</v>
          </cell>
          <cell r="CU991">
            <v>0</v>
          </cell>
          <cell r="CV991">
            <v>0</v>
          </cell>
          <cell r="CZ991">
            <v>20</v>
          </cell>
        </row>
        <row r="992">
          <cell r="C992" t="str">
            <v>04577</v>
          </cell>
          <cell r="D992" t="str">
            <v>Đàm Thị Hồng</v>
          </cell>
          <cell r="E992" t="str">
            <v>Production</v>
          </cell>
          <cell r="F992" t="str">
            <v>Molding</v>
          </cell>
          <cell r="G992" t="str">
            <v>Worker</v>
          </cell>
          <cell r="H992">
            <v>45757</v>
          </cell>
          <cell r="I992">
            <v>8</v>
          </cell>
          <cell r="J992">
            <v>8</v>
          </cell>
          <cell r="K992">
            <v>8</v>
          </cell>
          <cell r="L992" t="str">
            <v>CN</v>
          </cell>
          <cell r="M992">
            <v>8</v>
          </cell>
          <cell r="N992">
            <v>8</v>
          </cell>
          <cell r="O992">
            <v>8</v>
          </cell>
          <cell r="P992">
            <v>8</v>
          </cell>
          <cell r="Q992">
            <v>8</v>
          </cell>
          <cell r="R992">
            <v>8</v>
          </cell>
          <cell r="S992" t="str">
            <v>CN</v>
          </cell>
          <cell r="T992">
            <v>8</v>
          </cell>
          <cell r="U992">
            <v>8</v>
          </cell>
          <cell r="V992">
            <v>8</v>
          </cell>
          <cell r="W992">
            <v>8</v>
          </cell>
          <cell r="X992">
            <v>8</v>
          </cell>
          <cell r="Y992">
            <v>8</v>
          </cell>
          <cell r="Z992" t="str">
            <v>CN</v>
          </cell>
          <cell r="AA992">
            <v>8</v>
          </cell>
          <cell r="AB992">
            <v>8</v>
          </cell>
          <cell r="AC992">
            <v>8</v>
          </cell>
          <cell r="AD992">
            <v>8</v>
          </cell>
          <cell r="AE992">
            <v>8</v>
          </cell>
          <cell r="AF992">
            <v>8</v>
          </cell>
          <cell r="AG992" t="str">
            <v>CN</v>
          </cell>
          <cell r="AH992" t="str">
            <v>AL8</v>
          </cell>
          <cell r="AI992" t="str">
            <v>AL8</v>
          </cell>
          <cell r="AJ992" t="str">
            <v>AL8</v>
          </cell>
          <cell r="AN992">
            <v>0</v>
          </cell>
          <cell r="AO992">
            <v>168</v>
          </cell>
          <cell r="AP992">
            <v>0</v>
          </cell>
          <cell r="AQ992">
            <v>0</v>
          </cell>
          <cell r="AR992">
            <v>0</v>
          </cell>
          <cell r="AS992">
            <v>0</v>
          </cell>
          <cell r="AT992">
            <v>0</v>
          </cell>
          <cell r="AU992">
            <v>0</v>
          </cell>
          <cell r="AV992">
            <v>0</v>
          </cell>
          <cell r="AW992">
            <v>0</v>
          </cell>
          <cell r="AX992">
            <v>0</v>
          </cell>
          <cell r="AY992">
            <v>0</v>
          </cell>
          <cell r="AZ992">
            <v>0</v>
          </cell>
          <cell r="BA992">
            <v>24</v>
          </cell>
          <cell r="BB992">
            <v>0</v>
          </cell>
          <cell r="BC992">
            <v>0</v>
          </cell>
          <cell r="BD992">
            <v>0</v>
          </cell>
          <cell r="BE992">
            <v>0</v>
          </cell>
          <cell r="BF992">
            <v>0</v>
          </cell>
          <cell r="BG992">
            <v>192</v>
          </cell>
          <cell r="BH992">
            <v>3</v>
          </cell>
          <cell r="BI992">
            <v>3</v>
          </cell>
          <cell r="BJ992">
            <v>1</v>
          </cell>
          <cell r="BL992">
            <v>4</v>
          </cell>
          <cell r="BM992">
            <v>0</v>
          </cell>
          <cell r="BN992">
            <v>0</v>
          </cell>
          <cell r="BO992">
            <v>0</v>
          </cell>
          <cell r="BP992">
            <v>0</v>
          </cell>
          <cell r="BQ992">
            <v>0</v>
          </cell>
          <cell r="BR992">
            <v>0</v>
          </cell>
          <cell r="BS992">
            <v>0</v>
          </cell>
          <cell r="BT992">
            <v>0</v>
          </cell>
          <cell r="BU992">
            <v>0</v>
          </cell>
          <cell r="BV992">
            <v>0</v>
          </cell>
          <cell r="BW992">
            <v>0</v>
          </cell>
          <cell r="BX992">
            <v>4</v>
          </cell>
          <cell r="BY992">
            <v>0</v>
          </cell>
          <cell r="BZ992">
            <v>4</v>
          </cell>
          <cell r="CA992">
            <v>4</v>
          </cell>
          <cell r="CB992">
            <v>0</v>
          </cell>
          <cell r="CC992">
            <v>0</v>
          </cell>
          <cell r="CD992">
            <v>0</v>
          </cell>
          <cell r="CE992">
            <v>4</v>
          </cell>
          <cell r="CF992">
            <v>0</v>
          </cell>
          <cell r="CG992">
            <v>0</v>
          </cell>
          <cell r="CH992">
            <v>0</v>
          </cell>
          <cell r="CI992">
            <v>0</v>
          </cell>
          <cell r="CJ992">
            <v>0</v>
          </cell>
          <cell r="CK992">
            <v>0</v>
          </cell>
          <cell r="CL992">
            <v>0</v>
          </cell>
          <cell r="CM992">
            <v>0</v>
          </cell>
          <cell r="CR992">
            <v>0</v>
          </cell>
          <cell r="CS992">
            <v>0</v>
          </cell>
          <cell r="CT992">
            <v>20</v>
          </cell>
          <cell r="CU992">
            <v>0</v>
          </cell>
          <cell r="CV992">
            <v>0</v>
          </cell>
          <cell r="CZ992">
            <v>20</v>
          </cell>
        </row>
        <row r="993">
          <cell r="C993" t="str">
            <v>04579</v>
          </cell>
          <cell r="D993" t="str">
            <v>Đỗ Thiên</v>
          </cell>
          <cell r="E993" t="str">
            <v>Production</v>
          </cell>
          <cell r="F993" t="str">
            <v>Prefitting</v>
          </cell>
          <cell r="G993" t="str">
            <v>Worker</v>
          </cell>
          <cell r="H993">
            <v>45757</v>
          </cell>
          <cell r="I993" t="str">
            <v>Đ</v>
          </cell>
          <cell r="J993" t="str">
            <v>Đ</v>
          </cell>
          <cell r="K993" t="str">
            <v>Đ</v>
          </cell>
          <cell r="L993" t="str">
            <v>CN</v>
          </cell>
          <cell r="M993">
            <v>8</v>
          </cell>
          <cell r="N993">
            <v>8</v>
          </cell>
          <cell r="O993">
            <v>8</v>
          </cell>
          <cell r="P993">
            <v>8</v>
          </cell>
          <cell r="Q993">
            <v>8</v>
          </cell>
          <cell r="R993">
            <v>8</v>
          </cell>
          <cell r="S993" t="str">
            <v>CN</v>
          </cell>
          <cell r="T993" t="str">
            <v>Đ</v>
          </cell>
          <cell r="U993" t="str">
            <v>Đ</v>
          </cell>
          <cell r="V993" t="str">
            <v>Đ</v>
          </cell>
          <cell r="W993" t="str">
            <v>Đ</v>
          </cell>
          <cell r="X993" t="str">
            <v>Đ</v>
          </cell>
          <cell r="Y993" t="str">
            <v>Đ</v>
          </cell>
          <cell r="Z993" t="str">
            <v>CN</v>
          </cell>
          <cell r="AA993">
            <v>8</v>
          </cell>
          <cell r="AB993">
            <v>8</v>
          </cell>
          <cell r="AC993" t="str">
            <v>CN</v>
          </cell>
          <cell r="AD993" t="str">
            <v>Đ</v>
          </cell>
          <cell r="AE993" t="str">
            <v>Đ</v>
          </cell>
          <cell r="AF993" t="str">
            <v>Đ</v>
          </cell>
          <cell r="AG993" t="str">
            <v>Đ</v>
          </cell>
          <cell r="AH993" t="str">
            <v>Đ</v>
          </cell>
          <cell r="AI993" t="str">
            <v>Đ</v>
          </cell>
          <cell r="AJ993" t="str">
            <v>CN</v>
          </cell>
          <cell r="AN993">
            <v>120</v>
          </cell>
          <cell r="AO993">
            <v>64</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184</v>
          </cell>
          <cell r="BH993">
            <v>0</v>
          </cell>
          <cell r="BI993">
            <v>0</v>
          </cell>
          <cell r="BJ993">
            <v>1</v>
          </cell>
          <cell r="BL993">
            <v>0</v>
          </cell>
          <cell r="BM993">
            <v>4</v>
          </cell>
          <cell r="BN993">
            <v>0</v>
          </cell>
          <cell r="BO993">
            <v>0</v>
          </cell>
          <cell r="BP993">
            <v>4</v>
          </cell>
          <cell r="BQ993">
            <v>0</v>
          </cell>
          <cell r="BR993">
            <v>0</v>
          </cell>
          <cell r="BS993">
            <v>0</v>
          </cell>
          <cell r="BT993">
            <v>4</v>
          </cell>
          <cell r="BU993">
            <v>0</v>
          </cell>
          <cell r="BV993">
            <v>0</v>
          </cell>
          <cell r="BW993">
            <v>0</v>
          </cell>
          <cell r="BX993">
            <v>0</v>
          </cell>
          <cell r="BY993">
            <v>4</v>
          </cell>
          <cell r="BZ993">
            <v>0</v>
          </cell>
          <cell r="CA993">
            <v>4</v>
          </cell>
          <cell r="CB993">
            <v>4</v>
          </cell>
          <cell r="CC993">
            <v>0</v>
          </cell>
          <cell r="CD993">
            <v>0</v>
          </cell>
          <cell r="CE993">
            <v>0</v>
          </cell>
          <cell r="CF993">
            <v>0</v>
          </cell>
          <cell r="CG993">
            <v>4</v>
          </cell>
          <cell r="CH993">
            <v>4</v>
          </cell>
          <cell r="CI993">
            <v>4</v>
          </cell>
          <cell r="CJ993">
            <v>4</v>
          </cell>
          <cell r="CK993">
            <v>0</v>
          </cell>
          <cell r="CL993">
            <v>4</v>
          </cell>
          <cell r="CM993">
            <v>0</v>
          </cell>
          <cell r="CR993">
            <v>0</v>
          </cell>
          <cell r="CS993">
            <v>0</v>
          </cell>
          <cell r="CT993">
            <v>44</v>
          </cell>
          <cell r="CU993">
            <v>0</v>
          </cell>
          <cell r="CV993">
            <v>0</v>
          </cell>
          <cell r="CZ993">
            <v>44</v>
          </cell>
        </row>
        <row r="994">
          <cell r="C994" t="str">
            <v>04580</v>
          </cell>
          <cell r="D994" t="str">
            <v>Huỳnh Minh Thi</v>
          </cell>
          <cell r="E994" t="str">
            <v>Production</v>
          </cell>
          <cell r="F994" t="str">
            <v>Prefitting</v>
          </cell>
          <cell r="G994" t="str">
            <v>Worker</v>
          </cell>
          <cell r="H994">
            <v>45757</v>
          </cell>
          <cell r="I994" t="str">
            <v>Đ</v>
          </cell>
          <cell r="J994" t="str">
            <v>Đ</v>
          </cell>
          <cell r="K994" t="str">
            <v>Đ</v>
          </cell>
          <cell r="L994" t="str">
            <v>CN</v>
          </cell>
          <cell r="M994">
            <v>8</v>
          </cell>
          <cell r="N994">
            <v>8</v>
          </cell>
          <cell r="O994">
            <v>8</v>
          </cell>
          <cell r="P994">
            <v>8</v>
          </cell>
          <cell r="Q994">
            <v>8</v>
          </cell>
          <cell r="R994">
            <v>8</v>
          </cell>
          <cell r="S994" t="str">
            <v>CN</v>
          </cell>
          <cell r="T994" t="str">
            <v>Đ</v>
          </cell>
          <cell r="U994" t="str">
            <v>Đ</v>
          </cell>
          <cell r="V994" t="str">
            <v>Đ</v>
          </cell>
          <cell r="W994" t="str">
            <v>Đ</v>
          </cell>
          <cell r="X994" t="str">
            <v>Đ</v>
          </cell>
          <cell r="Y994" t="str">
            <v>Đ</v>
          </cell>
          <cell r="Z994" t="str">
            <v>CN</v>
          </cell>
          <cell r="AA994" t="str">
            <v>Đ</v>
          </cell>
          <cell r="AB994" t="str">
            <v>Đ</v>
          </cell>
          <cell r="AC994" t="str">
            <v>Đ</v>
          </cell>
          <cell r="AD994" t="str">
            <v>Đ</v>
          </cell>
          <cell r="AE994" t="str">
            <v>Đ</v>
          </cell>
          <cell r="AF994" t="str">
            <v>CN</v>
          </cell>
          <cell r="AG994">
            <v>8</v>
          </cell>
          <cell r="AH994">
            <v>8</v>
          </cell>
          <cell r="AI994">
            <v>8</v>
          </cell>
          <cell r="AJ994">
            <v>8</v>
          </cell>
          <cell r="AN994">
            <v>112</v>
          </cell>
          <cell r="AO994">
            <v>80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192</v>
          </cell>
          <cell r="BH994">
            <v>0</v>
          </cell>
          <cell r="BI994">
            <v>0</v>
          </cell>
          <cell r="BJ994">
            <v>1</v>
          </cell>
          <cell r="BL994">
            <v>0</v>
          </cell>
          <cell r="BM994">
            <v>0</v>
          </cell>
          <cell r="BN994">
            <v>0</v>
          </cell>
          <cell r="BO994">
            <v>0</v>
          </cell>
          <cell r="BP994">
            <v>4</v>
          </cell>
          <cell r="BQ994">
            <v>0</v>
          </cell>
          <cell r="BR994">
            <v>0</v>
          </cell>
          <cell r="BS994">
            <v>0</v>
          </cell>
          <cell r="BT994">
            <v>4</v>
          </cell>
          <cell r="BU994">
            <v>0</v>
          </cell>
          <cell r="BV994">
            <v>0</v>
          </cell>
          <cell r="BW994">
            <v>0</v>
          </cell>
          <cell r="BX994">
            <v>0</v>
          </cell>
          <cell r="BY994">
            <v>0</v>
          </cell>
          <cell r="BZ994">
            <v>0</v>
          </cell>
          <cell r="CA994">
            <v>4</v>
          </cell>
          <cell r="CB994">
            <v>4</v>
          </cell>
          <cell r="CC994">
            <v>0</v>
          </cell>
          <cell r="CD994">
            <v>0</v>
          </cell>
          <cell r="CE994">
            <v>0</v>
          </cell>
          <cell r="CF994">
            <v>0</v>
          </cell>
          <cell r="CG994">
            <v>0</v>
          </cell>
          <cell r="CH994">
            <v>4</v>
          </cell>
          <cell r="CI994">
            <v>0</v>
          </cell>
          <cell r="CJ994">
            <v>4</v>
          </cell>
          <cell r="CK994">
            <v>0</v>
          </cell>
          <cell r="CL994">
            <v>0</v>
          </cell>
          <cell r="CM994">
            <v>0</v>
          </cell>
          <cell r="CR994">
            <v>0</v>
          </cell>
          <cell r="CS994">
            <v>0</v>
          </cell>
          <cell r="CT994">
            <v>24</v>
          </cell>
          <cell r="CU994">
            <v>0</v>
          </cell>
          <cell r="CV994">
            <v>0</v>
          </cell>
          <cell r="CZ994">
            <v>24</v>
          </cell>
        </row>
        <row r="995">
          <cell r="C995" t="str">
            <v>04581</v>
          </cell>
          <cell r="D995" t="str">
            <v>Nguyễn Thị Hài</v>
          </cell>
          <cell r="E995" t="str">
            <v>Production</v>
          </cell>
          <cell r="F995" t="str">
            <v>Molding</v>
          </cell>
          <cell r="G995" t="str">
            <v>Worker</v>
          </cell>
          <cell r="H995">
            <v>45757</v>
          </cell>
          <cell r="I995">
            <v>8</v>
          </cell>
          <cell r="J995">
            <v>8</v>
          </cell>
          <cell r="K995">
            <v>8</v>
          </cell>
          <cell r="L995" t="str">
            <v>CN</v>
          </cell>
          <cell r="M995">
            <v>8</v>
          </cell>
          <cell r="N995">
            <v>8</v>
          </cell>
          <cell r="O995">
            <v>8</v>
          </cell>
          <cell r="P995">
            <v>8</v>
          </cell>
          <cell r="Q995" t="str">
            <v>Đ</v>
          </cell>
          <cell r="R995" t="str">
            <v>Đ</v>
          </cell>
          <cell r="S995" t="str">
            <v>CN</v>
          </cell>
          <cell r="T995">
            <v>8</v>
          </cell>
          <cell r="U995">
            <v>8</v>
          </cell>
          <cell r="V995">
            <v>8</v>
          </cell>
          <cell r="W995">
            <v>8</v>
          </cell>
          <cell r="X995">
            <v>8</v>
          </cell>
          <cell r="Y995">
            <v>8</v>
          </cell>
          <cell r="Z995" t="str">
            <v>CN</v>
          </cell>
          <cell r="AA995">
            <v>8</v>
          </cell>
          <cell r="AB995">
            <v>8</v>
          </cell>
          <cell r="AC995">
            <v>8</v>
          </cell>
          <cell r="AD995">
            <v>8</v>
          </cell>
          <cell r="AE995" t="str">
            <v>Đ</v>
          </cell>
          <cell r="AF995" t="str">
            <v>Đ</v>
          </cell>
          <cell r="AG995" t="str">
            <v>CN</v>
          </cell>
          <cell r="AH995">
            <v>8</v>
          </cell>
          <cell r="AI995">
            <v>8</v>
          </cell>
          <cell r="AJ995">
            <v>8</v>
          </cell>
          <cell r="AN995">
            <v>32</v>
          </cell>
          <cell r="AO995">
            <v>160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192</v>
          </cell>
          <cell r="BH995">
            <v>0</v>
          </cell>
          <cell r="BI995">
            <v>0</v>
          </cell>
          <cell r="BJ995">
            <v>4</v>
          </cell>
          <cell r="BL995">
            <v>0</v>
          </cell>
          <cell r="BM995">
            <v>0</v>
          </cell>
          <cell r="BN995">
            <v>0</v>
          </cell>
          <cell r="BO995">
            <v>0</v>
          </cell>
          <cell r="BP995">
            <v>0</v>
          </cell>
          <cell r="BQ995">
            <v>0</v>
          </cell>
          <cell r="BR995">
            <v>0</v>
          </cell>
          <cell r="BS995">
            <v>4</v>
          </cell>
          <cell r="BT995">
            <v>4</v>
          </cell>
          <cell r="BU995">
            <v>4</v>
          </cell>
          <cell r="BV995">
            <v>0</v>
          </cell>
          <cell r="BW995">
            <v>4</v>
          </cell>
          <cell r="BX995">
            <v>0</v>
          </cell>
          <cell r="BY995">
            <v>0</v>
          </cell>
          <cell r="BZ995">
            <v>0</v>
          </cell>
          <cell r="CA995">
            <v>4</v>
          </cell>
          <cell r="CB995">
            <v>4</v>
          </cell>
          <cell r="CC995">
            <v>0</v>
          </cell>
          <cell r="CD995">
            <v>0</v>
          </cell>
          <cell r="CE995">
            <v>0</v>
          </cell>
          <cell r="CF995">
            <v>0</v>
          </cell>
          <cell r="CG995">
            <v>0</v>
          </cell>
          <cell r="CH995">
            <v>4</v>
          </cell>
          <cell r="CI995">
            <v>4</v>
          </cell>
          <cell r="CJ995">
            <v>0</v>
          </cell>
          <cell r="CK995">
            <v>0</v>
          </cell>
          <cell r="CL995">
            <v>0</v>
          </cell>
          <cell r="CM995">
            <v>0</v>
          </cell>
          <cell r="CR995">
            <v>0</v>
          </cell>
          <cell r="CS995">
            <v>0</v>
          </cell>
          <cell r="CT995">
            <v>32</v>
          </cell>
          <cell r="CU995">
            <v>0</v>
          </cell>
          <cell r="CV995">
            <v>0</v>
          </cell>
          <cell r="CZ995">
            <v>32</v>
          </cell>
        </row>
        <row r="996">
          <cell r="C996" t="str">
            <v>04582</v>
          </cell>
          <cell r="D996" t="str">
            <v>Nguyễn Thị Lộc</v>
          </cell>
          <cell r="E996" t="str">
            <v>Production</v>
          </cell>
          <cell r="F996" t="str">
            <v>Molding</v>
          </cell>
          <cell r="G996" t="str">
            <v>Worker</v>
          </cell>
          <cell r="H996">
            <v>45757</v>
          </cell>
          <cell r="I996">
            <v>8</v>
          </cell>
          <cell r="J996">
            <v>8</v>
          </cell>
          <cell r="K996">
            <v>8</v>
          </cell>
          <cell r="L996" t="str">
            <v>CN</v>
          </cell>
          <cell r="M996">
            <v>8</v>
          </cell>
          <cell r="N996">
            <v>8</v>
          </cell>
          <cell r="O996">
            <v>8</v>
          </cell>
          <cell r="P996">
            <v>8</v>
          </cell>
          <cell r="Q996" t="str">
            <v>Đ</v>
          </cell>
          <cell r="R996" t="str">
            <v>Đ</v>
          </cell>
          <cell r="S996" t="str">
            <v>CN</v>
          </cell>
          <cell r="T996">
            <v>8</v>
          </cell>
          <cell r="U996">
            <v>8</v>
          </cell>
          <cell r="V996">
            <v>8</v>
          </cell>
          <cell r="W996">
            <v>8</v>
          </cell>
          <cell r="X996">
            <v>8</v>
          </cell>
          <cell r="Y996">
            <v>8</v>
          </cell>
          <cell r="Z996" t="str">
            <v>CN</v>
          </cell>
          <cell r="AA996">
            <v>8</v>
          </cell>
          <cell r="AB996">
            <v>8</v>
          </cell>
          <cell r="AC996">
            <v>8</v>
          </cell>
          <cell r="AD996">
            <v>8</v>
          </cell>
          <cell r="AE996" t="str">
            <v>Đ</v>
          </cell>
          <cell r="AF996" t="str">
            <v>Đ</v>
          </cell>
          <cell r="AG996" t="str">
            <v>CN</v>
          </cell>
          <cell r="AH996">
            <v>8</v>
          </cell>
          <cell r="AI996">
            <v>8</v>
          </cell>
          <cell r="AJ996">
            <v>8</v>
          </cell>
          <cell r="AN996">
            <v>32</v>
          </cell>
          <cell r="AO996">
            <v>160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192</v>
          </cell>
          <cell r="BH996">
            <v>0</v>
          </cell>
          <cell r="BI996">
            <v>0</v>
          </cell>
          <cell r="BJ996">
            <v>5</v>
          </cell>
          <cell r="BL996">
            <v>0</v>
          </cell>
          <cell r="BM996">
            <v>0</v>
          </cell>
          <cell r="BN996">
            <v>4</v>
          </cell>
          <cell r="BO996">
            <v>0</v>
          </cell>
          <cell r="BP996">
            <v>0</v>
          </cell>
          <cell r="BQ996">
            <v>0</v>
          </cell>
          <cell r="BR996">
            <v>0</v>
          </cell>
          <cell r="BS996">
            <v>4</v>
          </cell>
          <cell r="BT996">
            <v>4</v>
          </cell>
          <cell r="BU996">
            <v>4</v>
          </cell>
          <cell r="BV996">
            <v>0</v>
          </cell>
          <cell r="BW996">
            <v>4</v>
          </cell>
          <cell r="BX996">
            <v>0</v>
          </cell>
          <cell r="BY996">
            <v>0</v>
          </cell>
          <cell r="BZ996">
            <v>0</v>
          </cell>
          <cell r="CA996">
            <v>4</v>
          </cell>
          <cell r="CB996">
            <v>4</v>
          </cell>
          <cell r="CC996">
            <v>0</v>
          </cell>
          <cell r="CD996">
            <v>0</v>
          </cell>
          <cell r="CE996">
            <v>0</v>
          </cell>
          <cell r="CF996">
            <v>0</v>
          </cell>
          <cell r="CG996">
            <v>0</v>
          </cell>
          <cell r="CH996">
            <v>4</v>
          </cell>
          <cell r="CI996">
            <v>4</v>
          </cell>
          <cell r="CJ996">
            <v>0</v>
          </cell>
          <cell r="CK996">
            <v>0</v>
          </cell>
          <cell r="CL996">
            <v>0</v>
          </cell>
          <cell r="CM996">
            <v>0</v>
          </cell>
          <cell r="CR996">
            <v>0</v>
          </cell>
          <cell r="CS996">
            <v>0</v>
          </cell>
          <cell r="CT996">
            <v>36</v>
          </cell>
          <cell r="CU996">
            <v>0</v>
          </cell>
          <cell r="CV996">
            <v>0</v>
          </cell>
          <cell r="CZ996">
            <v>36</v>
          </cell>
        </row>
        <row r="997">
          <cell r="C997" t="str">
            <v>04583</v>
          </cell>
          <cell r="D997" t="str">
            <v>Phan Thị Hiền</v>
          </cell>
          <cell r="E997" t="str">
            <v>Production</v>
          </cell>
          <cell r="F997" t="str">
            <v>Molding</v>
          </cell>
          <cell r="G997" t="str">
            <v>Worker</v>
          </cell>
          <cell r="H997">
            <v>45757</v>
          </cell>
          <cell r="I997">
            <v>8</v>
          </cell>
          <cell r="J997" t="str">
            <v>CN</v>
          </cell>
          <cell r="K997" t="str">
            <v>Đ</v>
          </cell>
          <cell r="L997" t="str">
            <v>Đ</v>
          </cell>
          <cell r="M997" t="str">
            <v>Đ</v>
          </cell>
          <cell r="N997" t="str">
            <v>Đ</v>
          </cell>
          <cell r="O997" t="str">
            <v>Đ</v>
          </cell>
          <cell r="P997" t="str">
            <v>Đ</v>
          </cell>
          <cell r="Q997" t="str">
            <v>CN</v>
          </cell>
          <cell r="R997">
            <v>8</v>
          </cell>
          <cell r="S997">
            <v>8</v>
          </cell>
          <cell r="T997">
            <v>8</v>
          </cell>
          <cell r="U997">
            <v>8</v>
          </cell>
          <cell r="V997">
            <v>8</v>
          </cell>
          <cell r="W997">
            <v>8</v>
          </cell>
          <cell r="X997" t="str">
            <v>CN</v>
          </cell>
          <cell r="Y997" t="str">
            <v>Đ</v>
          </cell>
          <cell r="Z997" t="str">
            <v>Đ</v>
          </cell>
          <cell r="AA997" t="str">
            <v>Đ</v>
          </cell>
          <cell r="AB997" t="str">
            <v>Đ</v>
          </cell>
          <cell r="AC997" t="str">
            <v>Đ</v>
          </cell>
          <cell r="AD997" t="str">
            <v>Đ</v>
          </cell>
          <cell r="AE997" t="str">
            <v>CN</v>
          </cell>
          <cell r="AF997">
            <v>8</v>
          </cell>
          <cell r="AG997">
            <v>8</v>
          </cell>
          <cell r="AH997">
            <v>8</v>
          </cell>
          <cell r="AI997">
            <v>8</v>
          </cell>
          <cell r="AJ997">
            <v>8</v>
          </cell>
          <cell r="AN997">
            <v>96</v>
          </cell>
          <cell r="AO997">
            <v>96</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192</v>
          </cell>
          <cell r="BH997">
            <v>0</v>
          </cell>
          <cell r="BI997">
            <v>0</v>
          </cell>
          <cell r="BJ997">
            <v>1.5</v>
          </cell>
          <cell r="BL997">
            <v>0</v>
          </cell>
          <cell r="BM997">
            <v>0</v>
          </cell>
          <cell r="BN997">
            <v>0</v>
          </cell>
          <cell r="BO997">
            <v>4</v>
          </cell>
          <cell r="BP997">
            <v>0</v>
          </cell>
          <cell r="BQ997">
            <v>0</v>
          </cell>
          <cell r="BR997">
            <v>0</v>
          </cell>
          <cell r="BS997">
            <v>0</v>
          </cell>
          <cell r="BT997">
            <v>0</v>
          </cell>
          <cell r="BU997">
            <v>4</v>
          </cell>
          <cell r="BV997">
            <v>4</v>
          </cell>
          <cell r="BW997">
            <v>0</v>
          </cell>
          <cell r="BX997">
            <v>0</v>
          </cell>
          <cell r="BY997">
            <v>0</v>
          </cell>
          <cell r="BZ997">
            <v>0</v>
          </cell>
          <cell r="CA997">
            <v>0</v>
          </cell>
          <cell r="CB997">
            <v>4</v>
          </cell>
          <cell r="CC997">
            <v>4</v>
          </cell>
          <cell r="CD997">
            <v>0</v>
          </cell>
          <cell r="CE997">
            <v>0</v>
          </cell>
          <cell r="CF997">
            <v>0</v>
          </cell>
          <cell r="CG997">
            <v>0</v>
          </cell>
          <cell r="CH997">
            <v>0</v>
          </cell>
          <cell r="CI997">
            <v>4</v>
          </cell>
          <cell r="CJ997">
            <v>4</v>
          </cell>
          <cell r="CK997">
            <v>0</v>
          </cell>
          <cell r="CL997">
            <v>0</v>
          </cell>
          <cell r="CM997">
            <v>0</v>
          </cell>
          <cell r="CR997">
            <v>0</v>
          </cell>
          <cell r="CS997">
            <v>0</v>
          </cell>
          <cell r="CT997">
            <v>28</v>
          </cell>
          <cell r="CU997">
            <v>0</v>
          </cell>
          <cell r="CV997">
            <v>0</v>
          </cell>
          <cell r="CZ997">
            <v>28</v>
          </cell>
        </row>
        <row r="998">
          <cell r="C998" t="str">
            <v>04584</v>
          </cell>
          <cell r="D998" t="str">
            <v>Thái Hồng Hảo</v>
          </cell>
          <cell r="E998" t="str">
            <v>Production</v>
          </cell>
          <cell r="F998" t="str">
            <v>Molding</v>
          </cell>
          <cell r="G998" t="str">
            <v>Worker</v>
          </cell>
          <cell r="H998">
            <v>45757</v>
          </cell>
          <cell r="I998">
            <v>8</v>
          </cell>
          <cell r="J998" t="str">
            <v>CN</v>
          </cell>
          <cell r="K998" t="str">
            <v>Đ</v>
          </cell>
          <cell r="L998" t="str">
            <v>Đ</v>
          </cell>
          <cell r="M998" t="str">
            <v>Đ</v>
          </cell>
          <cell r="N998" t="str">
            <v>Đ</v>
          </cell>
          <cell r="O998" t="str">
            <v>Đ</v>
          </cell>
          <cell r="P998" t="str">
            <v>Đ</v>
          </cell>
          <cell r="Q998" t="str">
            <v>CN</v>
          </cell>
          <cell r="R998">
            <v>8</v>
          </cell>
          <cell r="S998">
            <v>8</v>
          </cell>
          <cell r="T998">
            <v>8</v>
          </cell>
          <cell r="U998">
            <v>8</v>
          </cell>
          <cell r="V998">
            <v>8</v>
          </cell>
          <cell r="W998">
            <v>8</v>
          </cell>
          <cell r="X998" t="str">
            <v>CN</v>
          </cell>
          <cell r="Y998" t="str">
            <v>Đ</v>
          </cell>
          <cell r="Z998" t="str">
            <v>Đ</v>
          </cell>
          <cell r="AA998" t="str">
            <v>Đ</v>
          </cell>
          <cell r="AB998" t="str">
            <v>Đ</v>
          </cell>
          <cell r="AC998" t="str">
            <v>Đ</v>
          </cell>
          <cell r="AD998" t="str">
            <v>Đ</v>
          </cell>
          <cell r="AE998" t="str">
            <v>CN</v>
          </cell>
          <cell r="AF998">
            <v>8</v>
          </cell>
          <cell r="AG998">
            <v>8</v>
          </cell>
          <cell r="AH998" t="str">
            <v>AL8</v>
          </cell>
          <cell r="AI998" t="str">
            <v>AL8</v>
          </cell>
          <cell r="AJ998" t="str">
            <v>UP8</v>
          </cell>
          <cell r="AN998">
            <v>96</v>
          </cell>
          <cell r="AO998">
            <v>72</v>
          </cell>
          <cell r="AP998">
            <v>0</v>
          </cell>
          <cell r="AQ998">
            <v>0</v>
          </cell>
          <cell r="AR998">
            <v>0</v>
          </cell>
          <cell r="AS998">
            <v>8</v>
          </cell>
          <cell r="AT998">
            <v>0</v>
          </cell>
          <cell r="AU998">
            <v>0</v>
          </cell>
          <cell r="AV998">
            <v>0</v>
          </cell>
          <cell r="AW998">
            <v>0</v>
          </cell>
          <cell r="AX998">
            <v>0</v>
          </cell>
          <cell r="AY998">
            <v>0</v>
          </cell>
          <cell r="AZ998">
            <v>0</v>
          </cell>
          <cell r="BA998">
            <v>16</v>
          </cell>
          <cell r="BB998">
            <v>0</v>
          </cell>
          <cell r="BC998">
            <v>0</v>
          </cell>
          <cell r="BD998">
            <v>0</v>
          </cell>
          <cell r="BE998">
            <v>0</v>
          </cell>
          <cell r="BF998">
            <v>0</v>
          </cell>
          <cell r="BG998">
            <v>184</v>
          </cell>
          <cell r="BH998">
            <v>2</v>
          </cell>
          <cell r="BI998">
            <v>2</v>
          </cell>
          <cell r="BJ998">
            <v>0</v>
          </cell>
          <cell r="BL998">
            <v>0</v>
          </cell>
          <cell r="BM998">
            <v>0</v>
          </cell>
          <cell r="BN998">
            <v>4</v>
          </cell>
          <cell r="BO998">
            <v>4</v>
          </cell>
          <cell r="BP998">
            <v>0</v>
          </cell>
          <cell r="BQ998">
            <v>0</v>
          </cell>
          <cell r="BR998">
            <v>0</v>
          </cell>
          <cell r="BS998">
            <v>0</v>
          </cell>
          <cell r="BT998">
            <v>0</v>
          </cell>
          <cell r="BU998">
            <v>4</v>
          </cell>
          <cell r="BV998">
            <v>4</v>
          </cell>
          <cell r="BW998">
            <v>0</v>
          </cell>
          <cell r="BX998">
            <v>0</v>
          </cell>
          <cell r="BY998">
            <v>0</v>
          </cell>
          <cell r="BZ998">
            <v>0</v>
          </cell>
          <cell r="CA998">
            <v>0</v>
          </cell>
          <cell r="CB998">
            <v>4</v>
          </cell>
          <cell r="CC998">
            <v>4</v>
          </cell>
          <cell r="CD998">
            <v>4</v>
          </cell>
          <cell r="CE998">
            <v>0</v>
          </cell>
          <cell r="CF998">
            <v>0</v>
          </cell>
          <cell r="CG998">
            <v>0</v>
          </cell>
          <cell r="CH998">
            <v>0</v>
          </cell>
          <cell r="CI998">
            <v>4</v>
          </cell>
          <cell r="CJ998">
            <v>4</v>
          </cell>
          <cell r="CK998">
            <v>0</v>
          </cell>
          <cell r="CL998">
            <v>0</v>
          </cell>
          <cell r="CM998">
            <v>0</v>
          </cell>
          <cell r="CR998">
            <v>0</v>
          </cell>
          <cell r="CS998">
            <v>0</v>
          </cell>
          <cell r="CT998">
            <v>36</v>
          </cell>
          <cell r="CU998">
            <v>0</v>
          </cell>
          <cell r="CV998">
            <v>0</v>
          </cell>
          <cell r="CZ998">
            <v>36</v>
          </cell>
        </row>
        <row r="999">
          <cell r="C999" t="str">
            <v>04585</v>
          </cell>
          <cell r="D999" t="str">
            <v>Trương Quốc Vinh</v>
          </cell>
          <cell r="E999" t="str">
            <v>Production</v>
          </cell>
          <cell r="F999" t="str">
            <v>Molding</v>
          </cell>
          <cell r="G999" t="str">
            <v>Worker</v>
          </cell>
          <cell r="H999">
            <v>45757</v>
          </cell>
          <cell r="I999">
            <v>8</v>
          </cell>
          <cell r="J999">
            <v>8</v>
          </cell>
          <cell r="K999">
            <v>8</v>
          </cell>
          <cell r="L999" t="str">
            <v>CN</v>
          </cell>
          <cell r="M999">
            <v>8</v>
          </cell>
          <cell r="N999">
            <v>8</v>
          </cell>
          <cell r="O999">
            <v>8</v>
          </cell>
          <cell r="P999">
            <v>8</v>
          </cell>
          <cell r="Q999">
            <v>8</v>
          </cell>
          <cell r="R999">
            <v>8</v>
          </cell>
          <cell r="S999" t="str">
            <v>CN</v>
          </cell>
          <cell r="T999">
            <v>8</v>
          </cell>
          <cell r="U999">
            <v>8</v>
          </cell>
          <cell r="V999">
            <v>8</v>
          </cell>
          <cell r="W999">
            <v>8</v>
          </cell>
          <cell r="X999">
            <v>8</v>
          </cell>
          <cell r="Y999" t="str">
            <v>AL8</v>
          </cell>
          <cell r="Z999" t="str">
            <v>CN</v>
          </cell>
          <cell r="AA999">
            <v>8</v>
          </cell>
          <cell r="AB999">
            <v>8</v>
          </cell>
          <cell r="AC999">
            <v>8</v>
          </cell>
          <cell r="AD999">
            <v>8</v>
          </cell>
          <cell r="AE999">
            <v>8</v>
          </cell>
          <cell r="AF999">
            <v>8</v>
          </cell>
          <cell r="AG999" t="str">
            <v>CN</v>
          </cell>
          <cell r="AH999">
            <v>8</v>
          </cell>
          <cell r="AI999">
            <v>8</v>
          </cell>
          <cell r="AJ999">
            <v>8</v>
          </cell>
          <cell r="AN999">
            <v>0</v>
          </cell>
          <cell r="AO999">
            <v>184</v>
          </cell>
          <cell r="AP999">
            <v>0</v>
          </cell>
          <cell r="AQ999">
            <v>0</v>
          </cell>
          <cell r="AR999">
            <v>0</v>
          </cell>
          <cell r="AS999">
            <v>0</v>
          </cell>
          <cell r="AT999">
            <v>0</v>
          </cell>
          <cell r="AU999">
            <v>0</v>
          </cell>
          <cell r="AV999">
            <v>0</v>
          </cell>
          <cell r="AW999">
            <v>0</v>
          </cell>
          <cell r="AX999">
            <v>0</v>
          </cell>
          <cell r="AY999">
            <v>0</v>
          </cell>
          <cell r="AZ999">
            <v>0</v>
          </cell>
          <cell r="BA999">
            <v>8</v>
          </cell>
          <cell r="BB999">
            <v>0</v>
          </cell>
          <cell r="BC999">
            <v>0</v>
          </cell>
          <cell r="BD999">
            <v>0</v>
          </cell>
          <cell r="BE999">
            <v>0</v>
          </cell>
          <cell r="BF999">
            <v>0</v>
          </cell>
          <cell r="BG999">
            <v>192</v>
          </cell>
          <cell r="BH999">
            <v>1</v>
          </cell>
          <cell r="BI999">
            <v>1</v>
          </cell>
          <cell r="BJ999">
            <v>1</v>
          </cell>
          <cell r="BL999">
            <v>0</v>
          </cell>
          <cell r="BM999">
            <v>0</v>
          </cell>
          <cell r="BN999">
            <v>0</v>
          </cell>
          <cell r="BO999">
            <v>0</v>
          </cell>
          <cell r="BP999">
            <v>0</v>
          </cell>
          <cell r="BQ999">
            <v>0</v>
          </cell>
          <cell r="BR999">
            <v>0</v>
          </cell>
          <cell r="BS999">
            <v>0</v>
          </cell>
          <cell r="BT999">
            <v>0</v>
          </cell>
          <cell r="BU999">
            <v>0</v>
          </cell>
          <cell r="BV999">
            <v>0</v>
          </cell>
          <cell r="BW999">
            <v>0</v>
          </cell>
          <cell r="BX999">
            <v>0</v>
          </cell>
          <cell r="BY999">
            <v>0</v>
          </cell>
          <cell r="BZ999">
            <v>4</v>
          </cell>
          <cell r="CA999">
            <v>0</v>
          </cell>
          <cell r="CB999">
            <v>0</v>
          </cell>
          <cell r="CC999">
            <v>0</v>
          </cell>
          <cell r="CD999">
            <v>0</v>
          </cell>
          <cell r="CE999">
            <v>0</v>
          </cell>
          <cell r="CF999">
            <v>0</v>
          </cell>
          <cell r="CG999">
            <v>0</v>
          </cell>
          <cell r="CH999">
            <v>0</v>
          </cell>
          <cell r="CI999">
            <v>0</v>
          </cell>
          <cell r="CJ999">
            <v>0</v>
          </cell>
          <cell r="CK999">
            <v>0</v>
          </cell>
          <cell r="CL999">
            <v>4</v>
          </cell>
          <cell r="CM999">
            <v>0</v>
          </cell>
          <cell r="CR999">
            <v>0</v>
          </cell>
          <cell r="CS999">
            <v>0</v>
          </cell>
          <cell r="CT999">
            <v>8</v>
          </cell>
          <cell r="CU999">
            <v>0</v>
          </cell>
          <cell r="CV999">
            <v>0</v>
          </cell>
          <cell r="CZ999">
            <v>8</v>
          </cell>
        </row>
        <row r="1000">
          <cell r="C1000" t="str">
            <v>04587</v>
          </cell>
          <cell r="D1000" t="str">
            <v>Trương Thúy Ngọc</v>
          </cell>
          <cell r="E1000" t="str">
            <v>Production</v>
          </cell>
          <cell r="F1000" t="str">
            <v>Molding</v>
          </cell>
          <cell r="G1000" t="str">
            <v>Worker</v>
          </cell>
          <cell r="H1000">
            <v>45757</v>
          </cell>
          <cell r="I1000">
            <v>8</v>
          </cell>
          <cell r="J1000">
            <v>8</v>
          </cell>
          <cell r="K1000">
            <v>8</v>
          </cell>
          <cell r="L1000" t="str">
            <v>CN</v>
          </cell>
          <cell r="M1000">
            <v>8</v>
          </cell>
          <cell r="N1000">
            <v>8</v>
          </cell>
          <cell r="O1000">
            <v>8</v>
          </cell>
          <cell r="P1000">
            <v>8</v>
          </cell>
          <cell r="Q1000">
            <v>8</v>
          </cell>
          <cell r="R1000">
            <v>8</v>
          </cell>
          <cell r="S1000" t="str">
            <v>CN</v>
          </cell>
          <cell r="T1000">
            <v>8</v>
          </cell>
          <cell r="U1000">
            <v>8</v>
          </cell>
          <cell r="V1000">
            <v>8</v>
          </cell>
          <cell r="W1000">
            <v>8</v>
          </cell>
          <cell r="X1000">
            <v>8</v>
          </cell>
          <cell r="Y1000">
            <v>8</v>
          </cell>
          <cell r="Z1000" t="str">
            <v>CN</v>
          </cell>
          <cell r="AA1000">
            <v>8</v>
          </cell>
          <cell r="AB1000">
            <v>8</v>
          </cell>
          <cell r="AC1000">
            <v>8</v>
          </cell>
          <cell r="AD1000">
            <v>8</v>
          </cell>
          <cell r="AE1000">
            <v>8</v>
          </cell>
          <cell r="AF1000">
            <v>8</v>
          </cell>
          <cell r="AG1000" t="str">
            <v>CN</v>
          </cell>
          <cell r="AH1000">
            <v>8</v>
          </cell>
          <cell r="AI1000">
            <v>8</v>
          </cell>
          <cell r="AJ1000">
            <v>8</v>
          </cell>
          <cell r="AN1000">
            <v>0</v>
          </cell>
          <cell r="AO1000">
            <v>192</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192</v>
          </cell>
          <cell r="BH1000">
            <v>0</v>
          </cell>
          <cell r="BI1000">
            <v>0</v>
          </cell>
          <cell r="BJ1000">
            <v>6</v>
          </cell>
          <cell r="BL1000">
            <v>0</v>
          </cell>
          <cell r="BM1000">
            <v>0</v>
          </cell>
          <cell r="BN1000">
            <v>0</v>
          </cell>
          <cell r="BO1000">
            <v>0</v>
          </cell>
          <cell r="BP1000">
            <v>0</v>
          </cell>
          <cell r="BQ1000">
            <v>0</v>
          </cell>
          <cell r="BR1000">
            <v>0</v>
          </cell>
          <cell r="BS1000">
            <v>0</v>
          </cell>
          <cell r="BT1000">
            <v>0</v>
          </cell>
          <cell r="BU1000">
            <v>0</v>
          </cell>
          <cell r="BV1000">
            <v>0</v>
          </cell>
          <cell r="BW1000">
            <v>4</v>
          </cell>
          <cell r="BX1000">
            <v>4</v>
          </cell>
          <cell r="BY1000">
            <v>0</v>
          </cell>
          <cell r="BZ1000">
            <v>4</v>
          </cell>
          <cell r="CA1000">
            <v>0</v>
          </cell>
          <cell r="CB1000">
            <v>0</v>
          </cell>
          <cell r="CC1000">
            <v>0</v>
          </cell>
          <cell r="CD1000">
            <v>0</v>
          </cell>
          <cell r="CE1000">
            <v>4</v>
          </cell>
          <cell r="CF1000">
            <v>0</v>
          </cell>
          <cell r="CG1000">
            <v>0</v>
          </cell>
          <cell r="CH1000">
            <v>0</v>
          </cell>
          <cell r="CI1000">
            <v>0</v>
          </cell>
          <cell r="CJ1000">
            <v>0</v>
          </cell>
          <cell r="CK1000">
            <v>4</v>
          </cell>
          <cell r="CL1000">
            <v>4</v>
          </cell>
          <cell r="CM1000">
            <v>0</v>
          </cell>
          <cell r="CR1000">
            <v>0</v>
          </cell>
          <cell r="CS1000">
            <v>0</v>
          </cell>
          <cell r="CT1000">
            <v>24</v>
          </cell>
          <cell r="CU1000">
            <v>0</v>
          </cell>
          <cell r="CV1000">
            <v>0</v>
          </cell>
          <cell r="CZ1000">
            <v>24</v>
          </cell>
        </row>
        <row r="1001">
          <cell r="C1001" t="str">
            <v>04589</v>
          </cell>
          <cell r="D1001" t="str">
            <v>Nguyễn Trọng Nguyễn</v>
          </cell>
          <cell r="E1001" t="str">
            <v>Production</v>
          </cell>
          <cell r="F1001" t="str">
            <v>Prefitting</v>
          </cell>
          <cell r="G1001" t="str">
            <v>Worker</v>
          </cell>
          <cell r="H1001">
            <v>45757</v>
          </cell>
          <cell r="I1001">
            <v>8</v>
          </cell>
          <cell r="J1001" t="str">
            <v>Đ</v>
          </cell>
          <cell r="K1001" t="str">
            <v>Đ</v>
          </cell>
          <cell r="L1001" t="str">
            <v>CN</v>
          </cell>
          <cell r="M1001">
            <v>8</v>
          </cell>
          <cell r="N1001" t="str">
            <v>SL</v>
          </cell>
          <cell r="O1001" t="str">
            <v>SL</v>
          </cell>
          <cell r="P1001" t="str">
            <v>SL</v>
          </cell>
          <cell r="Q1001" t="str">
            <v>AL8</v>
          </cell>
          <cell r="R1001">
            <v>8</v>
          </cell>
          <cell r="S1001" t="str">
            <v>CN</v>
          </cell>
          <cell r="T1001" t="str">
            <v>UP8</v>
          </cell>
          <cell r="U1001" t="str">
            <v>UP8</v>
          </cell>
          <cell r="V1001" t="str">
            <v>UP8</v>
          </cell>
          <cell r="W1001" t="str">
            <v>UP8</v>
          </cell>
          <cell r="X1001" t="str">
            <v>Đ</v>
          </cell>
          <cell r="Y1001" t="str">
            <v>Đ</v>
          </cell>
          <cell r="Z1001" t="str">
            <v>CN</v>
          </cell>
          <cell r="AA1001">
            <v>8</v>
          </cell>
          <cell r="AB1001">
            <v>8</v>
          </cell>
          <cell r="AC1001">
            <v>8</v>
          </cell>
          <cell r="AD1001">
            <v>8</v>
          </cell>
          <cell r="AE1001">
            <v>8</v>
          </cell>
          <cell r="AF1001" t="str">
            <v>UP8</v>
          </cell>
          <cell r="AG1001" t="str">
            <v>CN</v>
          </cell>
          <cell r="AH1001" t="str">
            <v>UP8</v>
          </cell>
          <cell r="AI1001">
            <v>8</v>
          </cell>
          <cell r="AJ1001">
            <v>8</v>
          </cell>
          <cell r="AN1001">
            <v>32</v>
          </cell>
          <cell r="AO1001">
            <v>80</v>
          </cell>
          <cell r="AP1001">
            <v>0</v>
          </cell>
          <cell r="AQ1001">
            <v>3</v>
          </cell>
          <cell r="AR1001">
            <v>0</v>
          </cell>
          <cell r="AS1001">
            <v>48</v>
          </cell>
          <cell r="AT1001">
            <v>0</v>
          </cell>
          <cell r="AU1001">
            <v>0</v>
          </cell>
          <cell r="AV1001">
            <v>0</v>
          </cell>
          <cell r="AW1001">
            <v>0</v>
          </cell>
          <cell r="AX1001">
            <v>0</v>
          </cell>
          <cell r="AY1001">
            <v>0</v>
          </cell>
          <cell r="AZ1001">
            <v>0</v>
          </cell>
          <cell r="BA1001">
            <v>8</v>
          </cell>
          <cell r="BB1001">
            <v>0</v>
          </cell>
          <cell r="BC1001">
            <v>0</v>
          </cell>
          <cell r="BD1001">
            <v>0</v>
          </cell>
          <cell r="BE1001">
            <v>0</v>
          </cell>
          <cell r="BF1001">
            <v>0</v>
          </cell>
          <cell r="BG1001">
            <v>120</v>
          </cell>
          <cell r="BH1001">
            <v>1</v>
          </cell>
          <cell r="BI1001">
            <v>1</v>
          </cell>
          <cell r="BJ1001">
            <v>-2</v>
          </cell>
          <cell r="BL1001">
            <v>0</v>
          </cell>
          <cell r="BM1001">
            <v>0</v>
          </cell>
          <cell r="BN1001">
            <v>0</v>
          </cell>
          <cell r="BO1001">
            <v>0</v>
          </cell>
          <cell r="BP1001">
            <v>0</v>
          </cell>
          <cell r="BQ1001">
            <v>0</v>
          </cell>
          <cell r="BR1001">
            <v>0</v>
          </cell>
          <cell r="BS1001">
            <v>0</v>
          </cell>
          <cell r="BT1001">
            <v>0</v>
          </cell>
          <cell r="BU1001">
            <v>0</v>
          </cell>
          <cell r="BV1001">
            <v>0</v>
          </cell>
          <cell r="BW1001">
            <v>0</v>
          </cell>
          <cell r="BX1001">
            <v>0</v>
          </cell>
          <cell r="BY1001">
            <v>0</v>
          </cell>
          <cell r="BZ1001">
            <v>0</v>
          </cell>
          <cell r="CA1001">
            <v>4</v>
          </cell>
          <cell r="CB1001">
            <v>4</v>
          </cell>
          <cell r="CC1001">
            <v>0</v>
          </cell>
          <cell r="CD1001">
            <v>0</v>
          </cell>
          <cell r="CE1001">
            <v>0</v>
          </cell>
          <cell r="CF1001">
            <v>0</v>
          </cell>
          <cell r="CG1001">
            <v>0</v>
          </cell>
          <cell r="CH1001">
            <v>0</v>
          </cell>
          <cell r="CI1001">
            <v>0</v>
          </cell>
          <cell r="CJ1001">
            <v>0</v>
          </cell>
          <cell r="CK1001">
            <v>0</v>
          </cell>
          <cell r="CL1001">
            <v>0</v>
          </cell>
          <cell r="CM1001">
            <v>0</v>
          </cell>
          <cell r="CR1001">
            <v>0</v>
          </cell>
          <cell r="CS1001">
            <v>0</v>
          </cell>
          <cell r="CT1001">
            <v>8</v>
          </cell>
          <cell r="CU1001">
            <v>0</v>
          </cell>
          <cell r="CV1001">
            <v>0</v>
          </cell>
          <cell r="CZ1001">
            <v>8</v>
          </cell>
        </row>
        <row r="1002">
          <cell r="C1002" t="str">
            <v>04590</v>
          </cell>
          <cell r="D1002" t="str">
            <v>Vũ Quang Huy</v>
          </cell>
          <cell r="E1002" t="str">
            <v xml:space="preserve">EHS &amp; Facilities </v>
          </cell>
          <cell r="F1002" t="str">
            <v>Maintenance</v>
          </cell>
          <cell r="G1002" t="str">
            <v>Technician</v>
          </cell>
          <cell r="H1002">
            <v>45761</v>
          </cell>
          <cell r="I1002">
            <v>8</v>
          </cell>
          <cell r="J1002">
            <v>8</v>
          </cell>
          <cell r="K1002">
            <v>8</v>
          </cell>
          <cell r="L1002" t="str">
            <v>CN</v>
          </cell>
          <cell r="M1002" t="str">
            <v>Đ</v>
          </cell>
          <cell r="N1002" t="str">
            <v>Đ</v>
          </cell>
          <cell r="O1002" t="str">
            <v>Đ</v>
          </cell>
          <cell r="P1002" t="str">
            <v>Đ</v>
          </cell>
          <cell r="Q1002" t="str">
            <v>Đ</v>
          </cell>
          <cell r="R1002" t="str">
            <v>AL8</v>
          </cell>
          <cell r="S1002" t="str">
            <v>CN</v>
          </cell>
          <cell r="T1002">
            <v>8</v>
          </cell>
          <cell r="U1002">
            <v>8</v>
          </cell>
          <cell r="V1002">
            <v>8</v>
          </cell>
          <cell r="W1002">
            <v>8</v>
          </cell>
          <cell r="X1002">
            <v>8</v>
          </cell>
          <cell r="Y1002">
            <v>8</v>
          </cell>
          <cell r="Z1002" t="str">
            <v>CN</v>
          </cell>
          <cell r="AA1002">
            <v>8</v>
          </cell>
          <cell r="AB1002" t="str">
            <v>AL8</v>
          </cell>
          <cell r="AC1002">
            <v>8</v>
          </cell>
          <cell r="AD1002">
            <v>8</v>
          </cell>
          <cell r="AE1002">
            <v>8</v>
          </cell>
          <cell r="AF1002">
            <v>8</v>
          </cell>
          <cell r="AG1002" t="str">
            <v>CN</v>
          </cell>
          <cell r="AH1002" t="str">
            <v>Đ</v>
          </cell>
          <cell r="AI1002" t="str">
            <v>Đ</v>
          </cell>
          <cell r="AJ1002" t="str">
            <v>Đ</v>
          </cell>
          <cell r="AN1002">
            <v>64</v>
          </cell>
          <cell r="AO1002">
            <v>112</v>
          </cell>
          <cell r="AP1002">
            <v>0</v>
          </cell>
          <cell r="AQ1002">
            <v>0</v>
          </cell>
          <cell r="AR1002">
            <v>0</v>
          </cell>
          <cell r="AS1002">
            <v>0</v>
          </cell>
          <cell r="AT1002">
            <v>0</v>
          </cell>
          <cell r="AU1002">
            <v>0</v>
          </cell>
          <cell r="AV1002">
            <v>0</v>
          </cell>
          <cell r="AW1002">
            <v>0</v>
          </cell>
          <cell r="AX1002">
            <v>0</v>
          </cell>
          <cell r="AY1002">
            <v>0</v>
          </cell>
          <cell r="AZ1002">
            <v>0</v>
          </cell>
          <cell r="BA1002">
            <v>16</v>
          </cell>
          <cell r="BB1002">
            <v>0</v>
          </cell>
          <cell r="BC1002">
            <v>0</v>
          </cell>
          <cell r="BD1002">
            <v>0</v>
          </cell>
          <cell r="BE1002">
            <v>0</v>
          </cell>
          <cell r="BF1002">
            <v>0</v>
          </cell>
          <cell r="BG1002">
            <v>192</v>
          </cell>
          <cell r="BH1002">
            <v>2</v>
          </cell>
          <cell r="BI1002">
            <v>2</v>
          </cell>
          <cell r="BJ1002">
            <v>1.5</v>
          </cell>
          <cell r="BL1002">
            <v>4</v>
          </cell>
          <cell r="BM1002">
            <v>0</v>
          </cell>
          <cell r="BN1002">
            <v>0</v>
          </cell>
          <cell r="BO1002">
            <v>0</v>
          </cell>
          <cell r="BP1002">
            <v>0</v>
          </cell>
          <cell r="BQ1002">
            <v>0</v>
          </cell>
          <cell r="BR1002">
            <v>0</v>
          </cell>
          <cell r="BS1002">
            <v>4</v>
          </cell>
          <cell r="BT1002">
            <v>2</v>
          </cell>
          <cell r="BU1002">
            <v>0</v>
          </cell>
          <cell r="BV1002">
            <v>0</v>
          </cell>
          <cell r="BW1002">
            <v>0</v>
          </cell>
          <cell r="BX1002">
            <v>0</v>
          </cell>
          <cell r="BY1002">
            <v>0</v>
          </cell>
          <cell r="BZ1002">
            <v>0</v>
          </cell>
          <cell r="CA1002">
            <v>4</v>
          </cell>
          <cell r="CB1002">
            <v>0</v>
          </cell>
          <cell r="CC1002">
            <v>0</v>
          </cell>
          <cell r="CD1002">
            <v>0</v>
          </cell>
          <cell r="CE1002">
            <v>0</v>
          </cell>
          <cell r="CF1002">
            <v>0</v>
          </cell>
          <cell r="CG1002">
            <v>4</v>
          </cell>
          <cell r="CH1002">
            <v>3</v>
          </cell>
          <cell r="CI1002">
            <v>0</v>
          </cell>
          <cell r="CJ1002">
            <v>0</v>
          </cell>
          <cell r="CK1002">
            <v>0</v>
          </cell>
          <cell r="CL1002">
            <v>0</v>
          </cell>
          <cell r="CM1002">
            <v>0</v>
          </cell>
          <cell r="CR1002">
            <v>0</v>
          </cell>
          <cell r="CS1002">
            <v>0</v>
          </cell>
          <cell r="CT1002">
            <v>21</v>
          </cell>
          <cell r="CU1002">
            <v>0</v>
          </cell>
          <cell r="CV1002">
            <v>0</v>
          </cell>
          <cell r="CZ1002">
            <v>21</v>
          </cell>
        </row>
        <row r="1003">
          <cell r="C1003" t="str">
            <v>04591</v>
          </cell>
          <cell r="D1003" t="str">
            <v>Bùi Kim Ngân</v>
          </cell>
          <cell r="E1003" t="str">
            <v>Lab</v>
          </cell>
          <cell r="F1003" t="str">
            <v>Lab</v>
          </cell>
          <cell r="G1003" t="str">
            <v>Technician</v>
          </cell>
          <cell r="H1003">
            <v>45768</v>
          </cell>
          <cell r="I1003">
            <v>8</v>
          </cell>
          <cell r="J1003">
            <v>8</v>
          </cell>
          <cell r="K1003" t="str">
            <v>PO</v>
          </cell>
          <cell r="L1003" t="str">
            <v>CN</v>
          </cell>
          <cell r="M1003">
            <v>8</v>
          </cell>
          <cell r="N1003">
            <v>8</v>
          </cell>
          <cell r="O1003">
            <v>8</v>
          </cell>
          <cell r="P1003">
            <v>8</v>
          </cell>
          <cell r="Q1003">
            <v>8</v>
          </cell>
          <cell r="R1003" t="str">
            <v>PO</v>
          </cell>
          <cell r="S1003" t="str">
            <v>CN</v>
          </cell>
          <cell r="T1003">
            <v>8</v>
          </cell>
          <cell r="U1003">
            <v>8</v>
          </cell>
          <cell r="V1003">
            <v>8</v>
          </cell>
          <cell r="W1003">
            <v>8</v>
          </cell>
          <cell r="X1003">
            <v>8</v>
          </cell>
          <cell r="Y1003" t="str">
            <v>PO</v>
          </cell>
          <cell r="Z1003" t="str">
            <v>CN</v>
          </cell>
          <cell r="AA1003">
            <v>8</v>
          </cell>
          <cell r="AB1003">
            <v>8</v>
          </cell>
          <cell r="AC1003">
            <v>8</v>
          </cell>
          <cell r="AD1003">
            <v>8</v>
          </cell>
          <cell r="AE1003">
            <v>8</v>
          </cell>
          <cell r="AF1003" t="str">
            <v>PO</v>
          </cell>
          <cell r="AG1003" t="str">
            <v>CN</v>
          </cell>
          <cell r="AH1003" t="str">
            <v>AL8</v>
          </cell>
          <cell r="AI1003">
            <v>8</v>
          </cell>
          <cell r="AJ1003">
            <v>8</v>
          </cell>
          <cell r="AN1003">
            <v>0</v>
          </cell>
          <cell r="AO1003">
            <v>152</v>
          </cell>
          <cell r="AP1003">
            <v>0</v>
          </cell>
          <cell r="AQ1003">
            <v>0</v>
          </cell>
          <cell r="AR1003">
            <v>0</v>
          </cell>
          <cell r="AS1003">
            <v>0</v>
          </cell>
          <cell r="AT1003">
            <v>0</v>
          </cell>
          <cell r="AU1003">
            <v>0</v>
          </cell>
          <cell r="AV1003">
            <v>32</v>
          </cell>
          <cell r="AW1003">
            <v>0</v>
          </cell>
          <cell r="AX1003">
            <v>0</v>
          </cell>
          <cell r="AY1003">
            <v>0</v>
          </cell>
          <cell r="AZ1003">
            <v>0</v>
          </cell>
          <cell r="BA1003">
            <v>8</v>
          </cell>
          <cell r="BB1003">
            <v>0</v>
          </cell>
          <cell r="BC1003">
            <v>0</v>
          </cell>
          <cell r="BD1003">
            <v>0</v>
          </cell>
          <cell r="BE1003">
            <v>0</v>
          </cell>
          <cell r="BF1003">
            <v>0</v>
          </cell>
          <cell r="BG1003">
            <v>192</v>
          </cell>
          <cell r="BH1003">
            <v>1</v>
          </cell>
          <cell r="BI1003">
            <v>1</v>
          </cell>
          <cell r="BJ1003">
            <v>5</v>
          </cell>
          <cell r="BL1003">
            <v>0</v>
          </cell>
          <cell r="BM1003">
            <v>0</v>
          </cell>
          <cell r="BN1003">
            <v>0</v>
          </cell>
          <cell r="BO1003">
            <v>0</v>
          </cell>
          <cell r="BP1003">
            <v>0</v>
          </cell>
          <cell r="BQ1003">
            <v>0</v>
          </cell>
          <cell r="BR1003">
            <v>1</v>
          </cell>
          <cell r="BS1003">
            <v>1</v>
          </cell>
          <cell r="BT1003">
            <v>0</v>
          </cell>
          <cell r="BU1003">
            <v>0</v>
          </cell>
          <cell r="BV1003">
            <v>0</v>
          </cell>
          <cell r="BW1003">
            <v>0</v>
          </cell>
          <cell r="BX1003">
            <v>0</v>
          </cell>
          <cell r="BY1003">
            <v>0</v>
          </cell>
          <cell r="BZ1003">
            <v>0</v>
          </cell>
          <cell r="CA1003">
            <v>2.5</v>
          </cell>
          <cell r="CB1003">
            <v>0</v>
          </cell>
          <cell r="CC1003">
            <v>0</v>
          </cell>
          <cell r="CD1003">
            <v>0</v>
          </cell>
          <cell r="CE1003">
            <v>0</v>
          </cell>
          <cell r="CF1003">
            <v>1</v>
          </cell>
          <cell r="CG1003">
            <v>2</v>
          </cell>
          <cell r="CH1003">
            <v>0</v>
          </cell>
          <cell r="CI1003">
            <v>0</v>
          </cell>
          <cell r="CJ1003">
            <v>0</v>
          </cell>
          <cell r="CK1003">
            <v>0</v>
          </cell>
          <cell r="CL1003">
            <v>0</v>
          </cell>
          <cell r="CM1003">
            <v>0</v>
          </cell>
          <cell r="CR1003">
            <v>0</v>
          </cell>
          <cell r="CS1003">
            <v>0</v>
          </cell>
          <cell r="CT1003">
            <v>7.5</v>
          </cell>
          <cell r="CU1003">
            <v>0</v>
          </cell>
          <cell r="CV1003">
            <v>0</v>
          </cell>
          <cell r="CZ1003">
            <v>7.5</v>
          </cell>
        </row>
        <row r="1004">
          <cell r="C1004" t="str">
            <v>02276</v>
          </cell>
          <cell r="D1004" t="str">
            <v>Bùi Lệ Minh</v>
          </cell>
          <cell r="E1004" t="str">
            <v>CS</v>
          </cell>
          <cell r="F1004" t="str">
            <v>CS</v>
          </cell>
          <cell r="G1004" t="str">
            <v>Staff</v>
          </cell>
          <cell r="H1004">
            <v>44018</v>
          </cell>
          <cell r="I1004">
            <v>8</v>
          </cell>
          <cell r="J1004">
            <v>8</v>
          </cell>
          <cell r="K1004" t="str">
            <v>PO</v>
          </cell>
          <cell r="L1004" t="str">
            <v>CN</v>
          </cell>
          <cell r="M1004">
            <v>8</v>
          </cell>
          <cell r="N1004">
            <v>8</v>
          </cell>
          <cell r="O1004">
            <v>8</v>
          </cell>
          <cell r="P1004">
            <v>8</v>
          </cell>
          <cell r="Q1004">
            <v>8</v>
          </cell>
          <cell r="R1004" t="str">
            <v>PO</v>
          </cell>
          <cell r="S1004" t="str">
            <v>CN</v>
          </cell>
          <cell r="T1004">
            <v>8</v>
          </cell>
          <cell r="U1004">
            <v>8</v>
          </cell>
          <cell r="V1004">
            <v>8</v>
          </cell>
          <cell r="W1004">
            <v>8</v>
          </cell>
          <cell r="X1004">
            <v>8</v>
          </cell>
          <cell r="Y1004" t="str">
            <v>PO</v>
          </cell>
          <cell r="Z1004" t="str">
            <v>CN</v>
          </cell>
          <cell r="AA1004">
            <v>8</v>
          </cell>
          <cell r="AB1004">
            <v>8</v>
          </cell>
          <cell r="AC1004">
            <v>8</v>
          </cell>
          <cell r="AD1004">
            <v>8</v>
          </cell>
          <cell r="AE1004">
            <v>8</v>
          </cell>
          <cell r="AF1004" t="str">
            <v>PO</v>
          </cell>
          <cell r="AG1004" t="str">
            <v>CN</v>
          </cell>
          <cell r="AH1004">
            <v>8</v>
          </cell>
          <cell r="AI1004">
            <v>8</v>
          </cell>
          <cell r="AJ1004">
            <v>8</v>
          </cell>
          <cell r="AN1004">
            <v>0</v>
          </cell>
          <cell r="AO1004">
            <v>160</v>
          </cell>
          <cell r="AP1004">
            <v>0</v>
          </cell>
          <cell r="AQ1004">
            <v>0</v>
          </cell>
          <cell r="AR1004">
            <v>0</v>
          </cell>
          <cell r="AS1004">
            <v>0</v>
          </cell>
          <cell r="AT1004">
            <v>0</v>
          </cell>
          <cell r="AU1004">
            <v>0</v>
          </cell>
          <cell r="AV1004">
            <v>32</v>
          </cell>
          <cell r="AW1004">
            <v>0</v>
          </cell>
          <cell r="AX1004">
            <v>0</v>
          </cell>
          <cell r="AY1004">
            <v>0</v>
          </cell>
          <cell r="AZ1004">
            <v>0</v>
          </cell>
          <cell r="BA1004">
            <v>0</v>
          </cell>
          <cell r="BB1004">
            <v>0</v>
          </cell>
          <cell r="BC1004">
            <v>0</v>
          </cell>
          <cell r="BD1004">
            <v>0</v>
          </cell>
          <cell r="BE1004">
            <v>0</v>
          </cell>
          <cell r="BF1004">
            <v>0</v>
          </cell>
          <cell r="BG1004">
            <v>192</v>
          </cell>
          <cell r="BH1004">
            <v>0</v>
          </cell>
          <cell r="BI1004">
            <v>0</v>
          </cell>
          <cell r="BJ1004">
            <v>12</v>
          </cell>
          <cell r="BL1004">
            <v>0</v>
          </cell>
          <cell r="BM1004">
            <v>0</v>
          </cell>
          <cell r="BN1004">
            <v>0</v>
          </cell>
          <cell r="BO1004">
            <v>0</v>
          </cell>
          <cell r="BP1004">
            <v>0</v>
          </cell>
          <cell r="BQ1004">
            <v>0</v>
          </cell>
          <cell r="BR1004">
            <v>0</v>
          </cell>
          <cell r="BS1004">
            <v>0</v>
          </cell>
          <cell r="BT1004">
            <v>0</v>
          </cell>
          <cell r="BU1004">
            <v>0</v>
          </cell>
          <cell r="BV1004">
            <v>0</v>
          </cell>
          <cell r="BW1004">
            <v>0</v>
          </cell>
          <cell r="BX1004">
            <v>0</v>
          </cell>
          <cell r="BY1004">
            <v>0</v>
          </cell>
          <cell r="BZ1004">
            <v>0</v>
          </cell>
          <cell r="CA1004">
            <v>0</v>
          </cell>
          <cell r="CB1004">
            <v>0</v>
          </cell>
          <cell r="CC1004">
            <v>0</v>
          </cell>
          <cell r="CD1004">
            <v>0</v>
          </cell>
          <cell r="CE1004">
            <v>0</v>
          </cell>
          <cell r="CF1004">
            <v>0</v>
          </cell>
          <cell r="CG1004">
            <v>0</v>
          </cell>
          <cell r="CH1004">
            <v>0</v>
          </cell>
          <cell r="CI1004">
            <v>0</v>
          </cell>
          <cell r="CJ1004">
            <v>0</v>
          </cell>
          <cell r="CK1004">
            <v>0</v>
          </cell>
          <cell r="CL1004">
            <v>0</v>
          </cell>
          <cell r="CM1004">
            <v>0</v>
          </cell>
          <cell r="CR1004">
            <v>0</v>
          </cell>
          <cell r="CS1004">
            <v>0</v>
          </cell>
          <cell r="CT1004">
            <v>0</v>
          </cell>
          <cell r="CU1004">
            <v>0</v>
          </cell>
          <cell r="CV1004">
            <v>0</v>
          </cell>
          <cell r="CZ1004">
            <v>0</v>
          </cell>
        </row>
        <row r="1005">
          <cell r="C1005" t="str">
            <v>03380</v>
          </cell>
          <cell r="D1005" t="str">
            <v>Đoàn Thị Kỳ Duyên</v>
          </cell>
          <cell r="E1005" t="str">
            <v>Production office</v>
          </cell>
          <cell r="F1005" t="str">
            <v>Production office</v>
          </cell>
          <cell r="G1005" t="str">
            <v>Staff</v>
          </cell>
          <cell r="H1005">
            <v>44634</v>
          </cell>
          <cell r="I1005">
            <v>8</v>
          </cell>
          <cell r="J1005">
            <v>8</v>
          </cell>
          <cell r="K1005" t="str">
            <v>PO</v>
          </cell>
          <cell r="L1005" t="str">
            <v>CN</v>
          </cell>
          <cell r="M1005">
            <v>8</v>
          </cell>
          <cell r="N1005">
            <v>8</v>
          </cell>
          <cell r="O1005">
            <v>8</v>
          </cell>
          <cell r="P1005">
            <v>8</v>
          </cell>
          <cell r="Q1005">
            <v>8</v>
          </cell>
          <cell r="R1005" t="str">
            <v>PO</v>
          </cell>
          <cell r="S1005" t="str">
            <v>CN</v>
          </cell>
          <cell r="T1005">
            <v>8</v>
          </cell>
          <cell r="U1005">
            <v>8</v>
          </cell>
          <cell r="V1005">
            <v>8</v>
          </cell>
          <cell r="W1005">
            <v>8</v>
          </cell>
          <cell r="X1005">
            <v>8</v>
          </cell>
          <cell r="Y1005" t="str">
            <v>PO</v>
          </cell>
          <cell r="Z1005" t="str">
            <v>CN</v>
          </cell>
          <cell r="AA1005" t="str">
            <v>AL4</v>
          </cell>
          <cell r="AB1005">
            <v>8</v>
          </cell>
          <cell r="AC1005">
            <v>8</v>
          </cell>
          <cell r="AD1005">
            <v>8</v>
          </cell>
          <cell r="AE1005">
            <v>8</v>
          </cell>
          <cell r="AF1005" t="str">
            <v>PO</v>
          </cell>
          <cell r="AG1005" t="str">
            <v>CN</v>
          </cell>
          <cell r="AH1005">
            <v>8</v>
          </cell>
          <cell r="AI1005">
            <v>8</v>
          </cell>
          <cell r="AJ1005">
            <v>8</v>
          </cell>
          <cell r="AN1005">
            <v>0</v>
          </cell>
          <cell r="AO1005">
            <v>156</v>
          </cell>
          <cell r="AP1005">
            <v>4</v>
          </cell>
          <cell r="AQ1005">
            <v>0</v>
          </cell>
          <cell r="AR1005">
            <v>0</v>
          </cell>
          <cell r="AS1005">
            <v>0</v>
          </cell>
          <cell r="AT1005">
            <v>0</v>
          </cell>
          <cell r="AU1005">
            <v>0</v>
          </cell>
          <cell r="AV1005">
            <v>32</v>
          </cell>
          <cell r="AW1005">
            <v>0</v>
          </cell>
          <cell r="AX1005">
            <v>0</v>
          </cell>
          <cell r="AY1005">
            <v>0</v>
          </cell>
          <cell r="AZ1005">
            <v>0</v>
          </cell>
          <cell r="BA1005">
            <v>4</v>
          </cell>
          <cell r="BB1005">
            <v>0</v>
          </cell>
          <cell r="BC1005">
            <v>0</v>
          </cell>
          <cell r="BD1005">
            <v>0</v>
          </cell>
          <cell r="BE1005">
            <v>0</v>
          </cell>
          <cell r="BF1005">
            <v>0</v>
          </cell>
          <cell r="BG1005">
            <v>192</v>
          </cell>
          <cell r="BH1005">
            <v>0.5</v>
          </cell>
          <cell r="BI1005">
            <v>0.5</v>
          </cell>
          <cell r="BJ1005">
            <v>5.5</v>
          </cell>
          <cell r="BL1005">
            <v>0</v>
          </cell>
          <cell r="BM1005">
            <v>0</v>
          </cell>
          <cell r="BN1005">
            <v>0</v>
          </cell>
          <cell r="BO1005">
            <v>0</v>
          </cell>
          <cell r="BP1005">
            <v>0</v>
          </cell>
          <cell r="BQ1005">
            <v>0</v>
          </cell>
          <cell r="BR1005">
            <v>0</v>
          </cell>
          <cell r="BS1005">
            <v>0</v>
          </cell>
          <cell r="BT1005">
            <v>0</v>
          </cell>
          <cell r="BU1005">
            <v>0</v>
          </cell>
          <cell r="BV1005">
            <v>0</v>
          </cell>
          <cell r="BW1005">
            <v>0</v>
          </cell>
          <cell r="BX1005">
            <v>0</v>
          </cell>
          <cell r="BY1005">
            <v>0</v>
          </cell>
          <cell r="BZ1005">
            <v>0</v>
          </cell>
          <cell r="CA1005">
            <v>0</v>
          </cell>
          <cell r="CB1005">
            <v>0</v>
          </cell>
          <cell r="CC1005">
            <v>0</v>
          </cell>
          <cell r="CD1005">
            <v>0</v>
          </cell>
          <cell r="CE1005">
            <v>0</v>
          </cell>
          <cell r="CF1005">
            <v>0</v>
          </cell>
          <cell r="CG1005">
            <v>0</v>
          </cell>
          <cell r="CH1005">
            <v>1</v>
          </cell>
          <cell r="CI1005">
            <v>0</v>
          </cell>
          <cell r="CJ1005">
            <v>0</v>
          </cell>
          <cell r="CK1005">
            <v>0</v>
          </cell>
          <cell r="CL1005">
            <v>0</v>
          </cell>
          <cell r="CM1005">
            <v>0</v>
          </cell>
          <cell r="CR1005">
            <v>0</v>
          </cell>
          <cell r="CS1005">
            <v>0</v>
          </cell>
          <cell r="CT1005">
            <v>1</v>
          </cell>
          <cell r="CU1005">
            <v>0</v>
          </cell>
          <cell r="CV1005">
            <v>0</v>
          </cell>
          <cell r="CZ1005">
            <v>1</v>
          </cell>
        </row>
        <row r="1006">
          <cell r="C1006" t="str">
            <v>04059</v>
          </cell>
          <cell r="D1006" t="str">
            <v>Nguyễn Kim Quyên</v>
          </cell>
          <cell r="E1006" t="str">
            <v>Production</v>
          </cell>
          <cell r="F1006" t="str">
            <v>Packing</v>
          </cell>
          <cell r="G1006" t="str">
            <v>Worker</v>
          </cell>
          <cell r="H1006">
            <v>45369</v>
          </cell>
          <cell r="I1006" t="str">
            <v>UP8</v>
          </cell>
          <cell r="J1006" t="str">
            <v>UP8</v>
          </cell>
          <cell r="K1006" t="str">
            <v>UP8</v>
          </cell>
          <cell r="L1006" t="str">
            <v>CN</v>
          </cell>
          <cell r="M1006" t="str">
            <v>UP8</v>
          </cell>
          <cell r="N1006" t="str">
            <v>UP8</v>
          </cell>
          <cell r="O1006" t="str">
            <v>UP8</v>
          </cell>
          <cell r="P1006" t="str">
            <v>UP8</v>
          </cell>
          <cell r="Q1006" t="str">
            <v>UP8</v>
          </cell>
          <cell r="R1006" t="str">
            <v>UP8</v>
          </cell>
          <cell r="S1006" t="str">
            <v>CN</v>
          </cell>
          <cell r="T1006" t="str">
            <v>UP8</v>
          </cell>
          <cell r="U1006" t="str">
            <v>UP8</v>
          </cell>
          <cell r="V1006" t="str">
            <v>UP8</v>
          </cell>
          <cell r="W1006" t="str">
            <v>UP8</v>
          </cell>
          <cell r="X1006" t="str">
            <v>UP8</v>
          </cell>
          <cell r="Y1006" t="str">
            <v>UP8</v>
          </cell>
          <cell r="Z1006" t="str">
            <v>CN</v>
          </cell>
          <cell r="AA1006" t="str">
            <v>UP8</v>
          </cell>
          <cell r="AB1006" t="str">
            <v>UP8</v>
          </cell>
          <cell r="AC1006" t="str">
            <v>TV</v>
          </cell>
          <cell r="AD1006" t="str">
            <v>TV</v>
          </cell>
          <cell r="AE1006" t="str">
            <v>TV</v>
          </cell>
          <cell r="AF1006" t="str">
            <v>TV</v>
          </cell>
          <cell r="AG1006" t="str">
            <v>TV</v>
          </cell>
          <cell r="AH1006" t="str">
            <v>TV</v>
          </cell>
          <cell r="AI1006" t="str">
            <v>TV</v>
          </cell>
          <cell r="AJ1006" t="str">
            <v>TV</v>
          </cell>
          <cell r="AN1006">
            <v>0</v>
          </cell>
          <cell r="AO1006">
            <v>0</v>
          </cell>
          <cell r="AP1006">
            <v>0</v>
          </cell>
          <cell r="AQ1006">
            <v>0</v>
          </cell>
          <cell r="AR1006">
            <v>0</v>
          </cell>
          <cell r="AS1006">
            <v>136</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L1006">
            <v>0</v>
          </cell>
          <cell r="BM1006">
            <v>0</v>
          </cell>
          <cell r="BN1006">
            <v>0</v>
          </cell>
          <cell r="BO1006">
            <v>0</v>
          </cell>
          <cell r="BP1006">
            <v>0</v>
          </cell>
          <cell r="BQ1006">
            <v>0</v>
          </cell>
          <cell r="BR1006">
            <v>0</v>
          </cell>
          <cell r="BS1006">
            <v>0</v>
          </cell>
          <cell r="BT1006">
            <v>0</v>
          </cell>
          <cell r="BU1006">
            <v>0</v>
          </cell>
          <cell r="BV1006">
            <v>0</v>
          </cell>
          <cell r="BW1006">
            <v>0</v>
          </cell>
          <cell r="BX1006">
            <v>0</v>
          </cell>
          <cell r="BY1006">
            <v>0</v>
          </cell>
          <cell r="BZ1006">
            <v>0</v>
          </cell>
          <cell r="CA1006">
            <v>0</v>
          </cell>
          <cell r="CB1006">
            <v>0</v>
          </cell>
          <cell r="CC1006">
            <v>0</v>
          </cell>
          <cell r="CD1006">
            <v>0</v>
          </cell>
          <cell r="CE1006">
            <v>0</v>
          </cell>
          <cell r="CF1006">
            <v>0</v>
          </cell>
          <cell r="CG1006">
            <v>0</v>
          </cell>
          <cell r="CH1006">
            <v>0</v>
          </cell>
          <cell r="CI1006">
            <v>0</v>
          </cell>
          <cell r="CJ1006">
            <v>0</v>
          </cell>
          <cell r="CK1006">
            <v>0</v>
          </cell>
          <cell r="CL1006">
            <v>0</v>
          </cell>
          <cell r="CM1006">
            <v>0</v>
          </cell>
          <cell r="CR1006">
            <v>0</v>
          </cell>
          <cell r="CS1006">
            <v>0</v>
          </cell>
          <cell r="CT1006">
            <v>0</v>
          </cell>
          <cell r="CU1006">
            <v>0</v>
          </cell>
          <cell r="CV1006">
            <v>0</v>
          </cell>
          <cell r="CZ1006">
            <v>0</v>
          </cell>
        </row>
        <row r="1007">
          <cell r="C1007" t="str">
            <v>04032</v>
          </cell>
          <cell r="D1007" t="str">
            <v>Lê Cẩm Linh</v>
          </cell>
          <cell r="E1007" t="str">
            <v>Production</v>
          </cell>
          <cell r="F1007" t="str">
            <v>Logo</v>
          </cell>
          <cell r="G1007" t="str">
            <v>Worker</v>
          </cell>
          <cell r="H1007">
            <v>45245</v>
          </cell>
          <cell r="I1007" t="str">
            <v>Đ</v>
          </cell>
          <cell r="J1007" t="str">
            <v>Đ</v>
          </cell>
          <cell r="K1007" t="str">
            <v>Đ</v>
          </cell>
          <cell r="L1007" t="str">
            <v>CN</v>
          </cell>
          <cell r="M1007">
            <v>8</v>
          </cell>
          <cell r="N1007">
            <v>8</v>
          </cell>
          <cell r="O1007">
            <v>8</v>
          </cell>
          <cell r="P1007">
            <v>8</v>
          </cell>
          <cell r="Q1007">
            <v>8</v>
          </cell>
          <cell r="R1007">
            <v>8</v>
          </cell>
          <cell r="S1007" t="str">
            <v>CN</v>
          </cell>
          <cell r="T1007" t="str">
            <v>Đ</v>
          </cell>
          <cell r="U1007" t="str">
            <v>Đ</v>
          </cell>
          <cell r="V1007" t="str">
            <v>Đ</v>
          </cell>
          <cell r="W1007" t="str">
            <v>Đ</v>
          </cell>
          <cell r="X1007" t="str">
            <v>Đ</v>
          </cell>
          <cell r="Y1007" t="str">
            <v>Đ</v>
          </cell>
          <cell r="Z1007" t="str">
            <v>CN</v>
          </cell>
          <cell r="AA1007">
            <v>8</v>
          </cell>
          <cell r="AB1007">
            <v>8</v>
          </cell>
          <cell r="AC1007">
            <v>8</v>
          </cell>
          <cell r="AD1007">
            <v>8</v>
          </cell>
          <cell r="AE1007">
            <v>8</v>
          </cell>
          <cell r="AF1007">
            <v>8</v>
          </cell>
          <cell r="AG1007" t="str">
            <v>CN</v>
          </cell>
          <cell r="AH1007" t="str">
            <v>Đ</v>
          </cell>
          <cell r="AI1007" t="str">
            <v>Đ</v>
          </cell>
          <cell r="AJ1007" t="str">
            <v>Đ</v>
          </cell>
          <cell r="AN1007">
            <v>96</v>
          </cell>
          <cell r="AO1007">
            <v>96</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192</v>
          </cell>
          <cell r="BH1007">
            <v>0</v>
          </cell>
          <cell r="BI1007">
            <v>0</v>
          </cell>
          <cell r="BJ1007">
            <v>0.5</v>
          </cell>
          <cell r="BL1007">
            <v>0</v>
          </cell>
          <cell r="BM1007">
            <v>0</v>
          </cell>
          <cell r="BN1007">
            <v>0</v>
          </cell>
          <cell r="BO1007">
            <v>0</v>
          </cell>
          <cell r="BP1007">
            <v>1.5</v>
          </cell>
          <cell r="BQ1007">
            <v>3</v>
          </cell>
          <cell r="BR1007">
            <v>0</v>
          </cell>
          <cell r="BS1007">
            <v>3</v>
          </cell>
          <cell r="BT1007">
            <v>3</v>
          </cell>
          <cell r="BU1007">
            <v>0</v>
          </cell>
          <cell r="BV1007">
            <v>0</v>
          </cell>
          <cell r="BW1007">
            <v>3</v>
          </cell>
          <cell r="BX1007">
            <v>0</v>
          </cell>
          <cell r="BY1007">
            <v>0</v>
          </cell>
          <cell r="BZ1007">
            <v>4</v>
          </cell>
          <cell r="CA1007">
            <v>4</v>
          </cell>
          <cell r="CB1007">
            <v>4</v>
          </cell>
          <cell r="CC1007">
            <v>0</v>
          </cell>
          <cell r="CD1007">
            <v>4</v>
          </cell>
          <cell r="CE1007">
            <v>0</v>
          </cell>
          <cell r="CF1007">
            <v>4</v>
          </cell>
          <cell r="CG1007">
            <v>4</v>
          </cell>
          <cell r="CH1007">
            <v>0</v>
          </cell>
          <cell r="CI1007">
            <v>4</v>
          </cell>
          <cell r="CJ1007">
            <v>8</v>
          </cell>
          <cell r="CK1007">
            <v>1.5</v>
          </cell>
          <cell r="CL1007">
            <v>1.5</v>
          </cell>
          <cell r="CM1007">
            <v>1.5</v>
          </cell>
          <cell r="CR1007">
            <v>0</v>
          </cell>
          <cell r="CS1007">
            <v>0</v>
          </cell>
          <cell r="CT1007">
            <v>46</v>
          </cell>
          <cell r="CU1007">
            <v>8</v>
          </cell>
          <cell r="CV1007">
            <v>0</v>
          </cell>
          <cell r="CZ1007">
            <v>54</v>
          </cell>
        </row>
        <row r="1008">
          <cell r="C1008" t="str">
            <v>04592</v>
          </cell>
          <cell r="D1008" t="str">
            <v>Nguyễn Văn Trọng</v>
          </cell>
          <cell r="E1008" t="str">
            <v xml:space="preserve">EHS &amp; Facilities </v>
          </cell>
          <cell r="F1008" t="str">
            <v>Maintenance</v>
          </cell>
          <cell r="G1008" t="str">
            <v>Automation Engineer</v>
          </cell>
          <cell r="H1008">
            <v>45775</v>
          </cell>
          <cell r="I1008">
            <v>8</v>
          </cell>
          <cell r="J1008">
            <v>8</v>
          </cell>
          <cell r="K1008" t="str">
            <v>PO</v>
          </cell>
          <cell r="L1008" t="str">
            <v>CN</v>
          </cell>
          <cell r="M1008">
            <v>8</v>
          </cell>
          <cell r="N1008">
            <v>8</v>
          </cell>
          <cell r="O1008">
            <v>8</v>
          </cell>
          <cell r="P1008">
            <v>8</v>
          </cell>
          <cell r="Q1008" t="str">
            <v>PO</v>
          </cell>
          <cell r="R1008" t="str">
            <v>PO</v>
          </cell>
          <cell r="S1008" t="str">
            <v>CN</v>
          </cell>
          <cell r="T1008">
            <v>8</v>
          </cell>
          <cell r="U1008">
            <v>8</v>
          </cell>
          <cell r="V1008">
            <v>8</v>
          </cell>
          <cell r="W1008" t="str">
            <v>BS</v>
          </cell>
          <cell r="X1008">
            <v>8</v>
          </cell>
          <cell r="Y1008" t="str">
            <v>PO</v>
          </cell>
          <cell r="Z1008" t="str">
            <v>CN</v>
          </cell>
          <cell r="AA1008">
            <v>8</v>
          </cell>
          <cell r="AB1008">
            <v>8</v>
          </cell>
          <cell r="AC1008">
            <v>8</v>
          </cell>
          <cell r="AD1008">
            <v>8</v>
          </cell>
          <cell r="AE1008">
            <v>8</v>
          </cell>
          <cell r="AF1008" t="str">
            <v>PO</v>
          </cell>
          <cell r="AG1008" t="str">
            <v>CN</v>
          </cell>
          <cell r="AH1008">
            <v>8</v>
          </cell>
          <cell r="AI1008">
            <v>8</v>
          </cell>
          <cell r="AJ1008">
            <v>8</v>
          </cell>
          <cell r="AN1008">
            <v>0</v>
          </cell>
          <cell r="AO1008">
            <v>144</v>
          </cell>
          <cell r="AP1008">
            <v>0</v>
          </cell>
          <cell r="AQ1008">
            <v>0</v>
          </cell>
          <cell r="AR1008">
            <v>0</v>
          </cell>
          <cell r="AS1008">
            <v>0</v>
          </cell>
          <cell r="AT1008">
            <v>0</v>
          </cell>
          <cell r="AU1008">
            <v>8</v>
          </cell>
          <cell r="AV1008">
            <v>40</v>
          </cell>
          <cell r="AW1008">
            <v>0</v>
          </cell>
          <cell r="AX1008">
            <v>0</v>
          </cell>
          <cell r="AY1008">
            <v>0</v>
          </cell>
          <cell r="AZ1008">
            <v>0</v>
          </cell>
          <cell r="BA1008">
            <v>0</v>
          </cell>
          <cell r="BB1008">
            <v>0</v>
          </cell>
          <cell r="BC1008">
            <v>0</v>
          </cell>
          <cell r="BD1008">
            <v>0</v>
          </cell>
          <cell r="BE1008">
            <v>0</v>
          </cell>
          <cell r="BF1008">
            <v>0</v>
          </cell>
          <cell r="BG1008">
            <v>192</v>
          </cell>
          <cell r="BH1008">
            <v>0</v>
          </cell>
          <cell r="BI1008">
            <v>0</v>
          </cell>
          <cell r="BJ1008">
            <v>8</v>
          </cell>
          <cell r="BL1008">
            <v>1</v>
          </cell>
          <cell r="BM1008">
            <v>0</v>
          </cell>
          <cell r="BN1008">
            <v>0</v>
          </cell>
          <cell r="BO1008">
            <v>0</v>
          </cell>
          <cell r="BP1008">
            <v>0</v>
          </cell>
          <cell r="BQ1008">
            <v>0</v>
          </cell>
          <cell r="BR1008">
            <v>0</v>
          </cell>
          <cell r="BS1008">
            <v>0</v>
          </cell>
          <cell r="BT1008">
            <v>0</v>
          </cell>
          <cell r="BU1008">
            <v>0</v>
          </cell>
          <cell r="BV1008">
            <v>0</v>
          </cell>
          <cell r="BW1008">
            <v>0</v>
          </cell>
          <cell r="BX1008">
            <v>0</v>
          </cell>
          <cell r="BY1008">
            <v>0</v>
          </cell>
          <cell r="BZ1008">
            <v>0</v>
          </cell>
          <cell r="CA1008">
            <v>0.5</v>
          </cell>
          <cell r="CB1008">
            <v>0</v>
          </cell>
          <cell r="CC1008">
            <v>0</v>
          </cell>
          <cell r="CD1008">
            <v>0.5</v>
          </cell>
          <cell r="CE1008">
            <v>0</v>
          </cell>
          <cell r="CF1008">
            <v>0.5</v>
          </cell>
          <cell r="CG1008">
            <v>0.5</v>
          </cell>
          <cell r="CH1008">
            <v>0</v>
          </cell>
          <cell r="CI1008">
            <v>0</v>
          </cell>
          <cell r="CJ1008">
            <v>0</v>
          </cell>
          <cell r="CK1008">
            <v>0</v>
          </cell>
          <cell r="CL1008">
            <v>0</v>
          </cell>
          <cell r="CM1008">
            <v>0</v>
          </cell>
          <cell r="CR1008">
            <v>0</v>
          </cell>
          <cell r="CS1008">
            <v>0</v>
          </cell>
          <cell r="CT1008">
            <v>3</v>
          </cell>
          <cell r="CU1008">
            <v>0</v>
          </cell>
          <cell r="CV1008">
            <v>0</v>
          </cell>
          <cell r="CZ1008">
            <v>3</v>
          </cell>
        </row>
        <row r="1009">
          <cell r="C1009" t="str">
            <v>04593</v>
          </cell>
          <cell r="D1009" t="str">
            <v>Thiều Thị Tú Anh</v>
          </cell>
          <cell r="E1009" t="str">
            <v>HR &amp; Admin</v>
          </cell>
          <cell r="F1009" t="str">
            <v>HR</v>
          </cell>
          <cell r="G1009" t="str">
            <v>Associate Specialist</v>
          </cell>
          <cell r="H1009">
            <v>45775</v>
          </cell>
          <cell r="I1009">
            <v>8</v>
          </cell>
          <cell r="J1009">
            <v>8</v>
          </cell>
          <cell r="K1009" t="str">
            <v>PO</v>
          </cell>
          <cell r="L1009" t="str">
            <v>CN</v>
          </cell>
          <cell r="M1009">
            <v>8</v>
          </cell>
          <cell r="N1009">
            <v>8</v>
          </cell>
          <cell r="O1009">
            <v>8</v>
          </cell>
          <cell r="P1009">
            <v>8</v>
          </cell>
          <cell r="Q1009">
            <v>8</v>
          </cell>
          <cell r="R1009" t="str">
            <v>PO</v>
          </cell>
          <cell r="S1009" t="str">
            <v>CN</v>
          </cell>
          <cell r="T1009">
            <v>8</v>
          </cell>
          <cell r="U1009">
            <v>8</v>
          </cell>
          <cell r="V1009">
            <v>8</v>
          </cell>
          <cell r="W1009">
            <v>8</v>
          </cell>
          <cell r="X1009">
            <v>8</v>
          </cell>
          <cell r="Y1009" t="str">
            <v>PO</v>
          </cell>
          <cell r="Z1009" t="str">
            <v>CN</v>
          </cell>
          <cell r="AA1009">
            <v>8</v>
          </cell>
          <cell r="AB1009">
            <v>8</v>
          </cell>
          <cell r="AC1009">
            <v>8</v>
          </cell>
          <cell r="AD1009">
            <v>8</v>
          </cell>
          <cell r="AE1009">
            <v>8</v>
          </cell>
          <cell r="AF1009" t="str">
            <v>PO</v>
          </cell>
          <cell r="AG1009" t="str">
            <v>CN</v>
          </cell>
          <cell r="AH1009">
            <v>8</v>
          </cell>
          <cell r="AI1009">
            <v>8</v>
          </cell>
          <cell r="AJ1009">
            <v>8</v>
          </cell>
          <cell r="AN1009">
            <v>0</v>
          </cell>
          <cell r="AO1009">
            <v>160</v>
          </cell>
          <cell r="AP1009">
            <v>0</v>
          </cell>
          <cell r="AQ1009">
            <v>0</v>
          </cell>
          <cell r="AR1009">
            <v>0</v>
          </cell>
          <cell r="AS1009">
            <v>0</v>
          </cell>
          <cell r="AT1009">
            <v>0</v>
          </cell>
          <cell r="AU1009">
            <v>0</v>
          </cell>
          <cell r="AV1009">
            <v>32</v>
          </cell>
          <cell r="AW1009">
            <v>0</v>
          </cell>
          <cell r="AX1009">
            <v>0</v>
          </cell>
          <cell r="AY1009">
            <v>0</v>
          </cell>
          <cell r="AZ1009">
            <v>0</v>
          </cell>
          <cell r="BA1009">
            <v>0</v>
          </cell>
          <cell r="BB1009">
            <v>0</v>
          </cell>
          <cell r="BC1009">
            <v>0</v>
          </cell>
          <cell r="BD1009">
            <v>0</v>
          </cell>
          <cell r="BE1009">
            <v>0</v>
          </cell>
          <cell r="BF1009">
            <v>0</v>
          </cell>
          <cell r="BG1009">
            <v>192</v>
          </cell>
          <cell r="BH1009">
            <v>0</v>
          </cell>
          <cell r="BI1009">
            <v>0</v>
          </cell>
          <cell r="BJ1009">
            <v>1.5</v>
          </cell>
          <cell r="BL1009">
            <v>2.25</v>
          </cell>
          <cell r="BM1009">
            <v>0</v>
          </cell>
          <cell r="BN1009">
            <v>0</v>
          </cell>
          <cell r="BO1009">
            <v>0</v>
          </cell>
          <cell r="BP1009">
            <v>3</v>
          </cell>
          <cell r="BQ1009">
            <v>3</v>
          </cell>
          <cell r="BR1009">
            <v>0</v>
          </cell>
          <cell r="BS1009">
            <v>0</v>
          </cell>
          <cell r="BT1009">
            <v>0</v>
          </cell>
          <cell r="BU1009">
            <v>0</v>
          </cell>
          <cell r="BV1009">
            <v>0</v>
          </cell>
          <cell r="BW1009">
            <v>0</v>
          </cell>
          <cell r="BX1009">
            <v>0</v>
          </cell>
          <cell r="BY1009">
            <v>0</v>
          </cell>
          <cell r="BZ1009">
            <v>0</v>
          </cell>
          <cell r="CA1009">
            <v>0</v>
          </cell>
          <cell r="CB1009">
            <v>0</v>
          </cell>
          <cell r="CC1009">
            <v>0</v>
          </cell>
          <cell r="CD1009">
            <v>0</v>
          </cell>
          <cell r="CE1009">
            <v>0</v>
          </cell>
          <cell r="CF1009">
            <v>0</v>
          </cell>
          <cell r="CG1009">
            <v>0</v>
          </cell>
          <cell r="CH1009">
            <v>0</v>
          </cell>
          <cell r="CI1009">
            <v>0</v>
          </cell>
          <cell r="CJ1009">
            <v>0</v>
          </cell>
          <cell r="CK1009">
            <v>0</v>
          </cell>
          <cell r="CL1009">
            <v>0</v>
          </cell>
          <cell r="CM1009">
            <v>0</v>
          </cell>
          <cell r="CR1009">
            <v>0</v>
          </cell>
          <cell r="CS1009">
            <v>0</v>
          </cell>
          <cell r="CT1009">
            <v>8.25</v>
          </cell>
          <cell r="CU1009">
            <v>0</v>
          </cell>
          <cell r="CV1009">
            <v>0</v>
          </cell>
          <cell r="CZ1009">
            <v>8.25</v>
          </cell>
        </row>
        <row r="1010">
          <cell r="C1010" t="str">
            <v>04595</v>
          </cell>
          <cell r="D1010" t="str">
            <v>Hoàng Văn Lợi</v>
          </cell>
          <cell r="E1010" t="str">
            <v>Production</v>
          </cell>
          <cell r="F1010" t="str">
            <v>Prefitting</v>
          </cell>
          <cell r="G1010" t="str">
            <v>Worker</v>
          </cell>
          <cell r="H1010">
            <v>45782</v>
          </cell>
          <cell r="I1010">
            <v>8</v>
          </cell>
          <cell r="J1010">
            <v>8</v>
          </cell>
          <cell r="K1010">
            <v>8</v>
          </cell>
          <cell r="L1010" t="str">
            <v>CN</v>
          </cell>
          <cell r="M1010" t="str">
            <v>Đ</v>
          </cell>
          <cell r="N1010" t="str">
            <v>AL8</v>
          </cell>
          <cell r="O1010" t="str">
            <v>Đ</v>
          </cell>
          <cell r="P1010" t="str">
            <v>Đ</v>
          </cell>
          <cell r="Q1010" t="str">
            <v>Đ</v>
          </cell>
          <cell r="R1010" t="str">
            <v>SL</v>
          </cell>
          <cell r="S1010" t="str">
            <v>CN</v>
          </cell>
          <cell r="T1010">
            <v>8</v>
          </cell>
          <cell r="U1010">
            <v>8</v>
          </cell>
          <cell r="V1010">
            <v>8</v>
          </cell>
          <cell r="W1010">
            <v>8</v>
          </cell>
          <cell r="X1010">
            <v>8</v>
          </cell>
          <cell r="Y1010">
            <v>8</v>
          </cell>
          <cell r="Z1010" t="str">
            <v>CN</v>
          </cell>
          <cell r="AA1010" t="str">
            <v>Đ</v>
          </cell>
          <cell r="AB1010" t="str">
            <v>Đ</v>
          </cell>
          <cell r="AC1010" t="str">
            <v>Đ</v>
          </cell>
          <cell r="AD1010" t="str">
            <v>CN</v>
          </cell>
          <cell r="AE1010">
            <v>8</v>
          </cell>
          <cell r="AF1010">
            <v>8</v>
          </cell>
          <cell r="AG1010">
            <v>8</v>
          </cell>
          <cell r="AH1010">
            <v>8</v>
          </cell>
          <cell r="AI1010" t="str">
            <v>UP4</v>
          </cell>
          <cell r="AJ1010">
            <v>8</v>
          </cell>
          <cell r="AN1010">
            <v>56</v>
          </cell>
          <cell r="AO1010">
            <v>116</v>
          </cell>
          <cell r="AP1010">
            <v>0</v>
          </cell>
          <cell r="AQ1010">
            <v>1</v>
          </cell>
          <cell r="AR1010">
            <v>4</v>
          </cell>
          <cell r="AS1010">
            <v>4</v>
          </cell>
          <cell r="AT1010">
            <v>0</v>
          </cell>
          <cell r="AU1010">
            <v>0</v>
          </cell>
          <cell r="AV1010">
            <v>0</v>
          </cell>
          <cell r="AW1010">
            <v>0</v>
          </cell>
          <cell r="AX1010">
            <v>0</v>
          </cell>
          <cell r="AY1010">
            <v>0</v>
          </cell>
          <cell r="AZ1010">
            <v>0</v>
          </cell>
          <cell r="BA1010">
            <v>8</v>
          </cell>
          <cell r="BB1010">
            <v>0</v>
          </cell>
          <cell r="BC1010">
            <v>0</v>
          </cell>
          <cell r="BD1010">
            <v>0</v>
          </cell>
          <cell r="BE1010">
            <v>0</v>
          </cell>
          <cell r="BF1010">
            <v>0</v>
          </cell>
          <cell r="BG1010">
            <v>180</v>
          </cell>
          <cell r="BH1010">
            <v>1</v>
          </cell>
          <cell r="BI1010">
            <v>1</v>
          </cell>
          <cell r="BJ1010">
            <v>-2</v>
          </cell>
          <cell r="BL1010">
            <v>0</v>
          </cell>
          <cell r="BM1010">
            <v>0</v>
          </cell>
          <cell r="BN1010">
            <v>0</v>
          </cell>
          <cell r="BO1010">
            <v>0</v>
          </cell>
          <cell r="BP1010">
            <v>0</v>
          </cell>
          <cell r="BQ1010">
            <v>0</v>
          </cell>
          <cell r="BR1010">
            <v>0</v>
          </cell>
          <cell r="BS1010">
            <v>0</v>
          </cell>
          <cell r="BT1010">
            <v>4</v>
          </cell>
          <cell r="BU1010">
            <v>0</v>
          </cell>
          <cell r="BV1010">
            <v>0</v>
          </cell>
          <cell r="BW1010">
            <v>0</v>
          </cell>
          <cell r="BX1010">
            <v>0</v>
          </cell>
          <cell r="BY1010">
            <v>0</v>
          </cell>
          <cell r="BZ1010">
            <v>0</v>
          </cell>
          <cell r="CA1010">
            <v>0</v>
          </cell>
          <cell r="CB1010">
            <v>0</v>
          </cell>
          <cell r="CC1010">
            <v>0</v>
          </cell>
          <cell r="CD1010">
            <v>4</v>
          </cell>
          <cell r="CE1010">
            <v>4</v>
          </cell>
          <cell r="CF1010">
            <v>0</v>
          </cell>
          <cell r="CG1010">
            <v>0</v>
          </cell>
          <cell r="CH1010">
            <v>4</v>
          </cell>
          <cell r="CI1010">
            <v>4</v>
          </cell>
          <cell r="CJ1010">
            <v>4</v>
          </cell>
          <cell r="CK1010">
            <v>0</v>
          </cell>
          <cell r="CL1010">
            <v>0</v>
          </cell>
          <cell r="CM1010">
            <v>0</v>
          </cell>
          <cell r="CR1010">
            <v>0</v>
          </cell>
          <cell r="CS1010">
            <v>0</v>
          </cell>
          <cell r="CT1010">
            <v>24</v>
          </cell>
          <cell r="CU1010">
            <v>0</v>
          </cell>
          <cell r="CV1010">
            <v>0</v>
          </cell>
          <cell r="CZ1010">
            <v>24</v>
          </cell>
        </row>
        <row r="1011">
          <cell r="C1011" t="str">
            <v>04596</v>
          </cell>
          <cell r="D1011" t="str">
            <v>Nguyễn Minh Thái</v>
          </cell>
          <cell r="E1011" t="str">
            <v>Production</v>
          </cell>
          <cell r="F1011" t="str">
            <v>Prefitting</v>
          </cell>
          <cell r="G1011" t="str">
            <v>Worker</v>
          </cell>
          <cell r="H1011">
            <v>45782</v>
          </cell>
          <cell r="I1011">
            <v>8</v>
          </cell>
          <cell r="J1011">
            <v>8</v>
          </cell>
          <cell r="K1011" t="str">
            <v>CN</v>
          </cell>
          <cell r="L1011" t="str">
            <v>Đ</v>
          </cell>
          <cell r="M1011" t="str">
            <v>Đ</v>
          </cell>
          <cell r="N1011" t="str">
            <v>Đ</v>
          </cell>
          <cell r="O1011" t="str">
            <v>Đ</v>
          </cell>
          <cell r="P1011" t="str">
            <v>Đ</v>
          </cell>
          <cell r="Q1011" t="str">
            <v>Đ</v>
          </cell>
          <cell r="R1011" t="str">
            <v>CN</v>
          </cell>
          <cell r="S1011">
            <v>8</v>
          </cell>
          <cell r="T1011">
            <v>8</v>
          </cell>
          <cell r="U1011">
            <v>8</v>
          </cell>
          <cell r="V1011">
            <v>8</v>
          </cell>
          <cell r="W1011">
            <v>8</v>
          </cell>
          <cell r="X1011">
            <v>8</v>
          </cell>
          <cell r="Y1011" t="str">
            <v>CN</v>
          </cell>
          <cell r="Z1011" t="str">
            <v>Đ</v>
          </cell>
          <cell r="AA1011" t="str">
            <v>Đ</v>
          </cell>
          <cell r="AB1011" t="str">
            <v>Đ</v>
          </cell>
          <cell r="AC1011" t="str">
            <v>Đ</v>
          </cell>
          <cell r="AD1011" t="str">
            <v>Đ</v>
          </cell>
          <cell r="AE1011" t="str">
            <v>Đ</v>
          </cell>
          <cell r="AF1011" t="str">
            <v>CN</v>
          </cell>
          <cell r="AG1011">
            <v>8</v>
          </cell>
          <cell r="AH1011">
            <v>8</v>
          </cell>
          <cell r="AI1011">
            <v>8</v>
          </cell>
          <cell r="AJ1011">
            <v>8</v>
          </cell>
          <cell r="AN1011">
            <v>96</v>
          </cell>
          <cell r="AO1011">
            <v>96</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192</v>
          </cell>
          <cell r="BH1011">
            <v>0</v>
          </cell>
          <cell r="BI1011">
            <v>0</v>
          </cell>
          <cell r="BJ1011">
            <v>0</v>
          </cell>
          <cell r="BL1011">
            <v>0</v>
          </cell>
          <cell r="BM1011">
            <v>0</v>
          </cell>
          <cell r="BN1011">
            <v>0</v>
          </cell>
          <cell r="BO1011">
            <v>4</v>
          </cell>
          <cell r="BP1011">
            <v>0</v>
          </cell>
          <cell r="BQ1011">
            <v>0</v>
          </cell>
          <cell r="BR1011">
            <v>0</v>
          </cell>
          <cell r="BS1011">
            <v>0</v>
          </cell>
          <cell r="BT1011">
            <v>4</v>
          </cell>
          <cell r="BU1011">
            <v>0</v>
          </cell>
          <cell r="BV1011">
            <v>0</v>
          </cell>
          <cell r="BW1011">
            <v>0</v>
          </cell>
          <cell r="BX1011">
            <v>0</v>
          </cell>
          <cell r="BY1011">
            <v>0</v>
          </cell>
          <cell r="BZ1011">
            <v>0</v>
          </cell>
          <cell r="CA1011">
            <v>4</v>
          </cell>
          <cell r="CB1011">
            <v>0</v>
          </cell>
          <cell r="CC1011">
            <v>4</v>
          </cell>
          <cell r="CD1011">
            <v>0</v>
          </cell>
          <cell r="CE1011">
            <v>0</v>
          </cell>
          <cell r="CF1011">
            <v>4</v>
          </cell>
          <cell r="CG1011">
            <v>4</v>
          </cell>
          <cell r="CH1011">
            <v>4</v>
          </cell>
          <cell r="CI1011">
            <v>0</v>
          </cell>
          <cell r="CJ1011">
            <v>4</v>
          </cell>
          <cell r="CK1011">
            <v>0</v>
          </cell>
          <cell r="CL1011">
            <v>0</v>
          </cell>
          <cell r="CM1011">
            <v>0</v>
          </cell>
          <cell r="CR1011">
            <v>0</v>
          </cell>
          <cell r="CS1011">
            <v>0</v>
          </cell>
          <cell r="CT1011">
            <v>32</v>
          </cell>
          <cell r="CU1011">
            <v>0</v>
          </cell>
          <cell r="CV1011">
            <v>0</v>
          </cell>
          <cell r="CZ1011">
            <v>32</v>
          </cell>
        </row>
        <row r="1012">
          <cell r="C1012" t="str">
            <v>04599</v>
          </cell>
          <cell r="D1012" t="str">
            <v>Nguyễn Văn Quyền</v>
          </cell>
          <cell r="E1012" t="str">
            <v>Production</v>
          </cell>
          <cell r="F1012" t="str">
            <v>Prefitting</v>
          </cell>
          <cell r="G1012" t="str">
            <v>Worker</v>
          </cell>
          <cell r="H1012">
            <v>45782</v>
          </cell>
          <cell r="I1012">
            <v>8</v>
          </cell>
          <cell r="J1012" t="str">
            <v>Đ</v>
          </cell>
          <cell r="K1012" t="str">
            <v>Đ</v>
          </cell>
          <cell r="L1012" t="str">
            <v>CN</v>
          </cell>
          <cell r="M1012">
            <v>8</v>
          </cell>
          <cell r="N1012">
            <v>8</v>
          </cell>
          <cell r="O1012">
            <v>8</v>
          </cell>
          <cell r="P1012">
            <v>8</v>
          </cell>
          <cell r="Q1012">
            <v>8</v>
          </cell>
          <cell r="R1012">
            <v>8</v>
          </cell>
          <cell r="S1012" t="str">
            <v>CN</v>
          </cell>
          <cell r="T1012">
            <v>8</v>
          </cell>
          <cell r="U1012">
            <v>8</v>
          </cell>
          <cell r="V1012">
            <v>8</v>
          </cell>
          <cell r="W1012" t="str">
            <v>AL8</v>
          </cell>
          <cell r="X1012" t="str">
            <v>AL8</v>
          </cell>
          <cell r="Y1012" t="str">
            <v>UP8</v>
          </cell>
          <cell r="Z1012" t="str">
            <v>CN</v>
          </cell>
          <cell r="AA1012">
            <v>8</v>
          </cell>
          <cell r="AB1012">
            <v>8</v>
          </cell>
          <cell r="AC1012">
            <v>8</v>
          </cell>
          <cell r="AD1012">
            <v>8</v>
          </cell>
          <cell r="AE1012">
            <v>8</v>
          </cell>
          <cell r="AF1012">
            <v>8</v>
          </cell>
          <cell r="AG1012" t="str">
            <v>CN</v>
          </cell>
          <cell r="AH1012">
            <v>8</v>
          </cell>
          <cell r="AI1012">
            <v>8</v>
          </cell>
          <cell r="AJ1012">
            <v>8</v>
          </cell>
          <cell r="AN1012">
            <v>16</v>
          </cell>
          <cell r="AO1012">
            <v>152</v>
          </cell>
          <cell r="AP1012">
            <v>0</v>
          </cell>
          <cell r="AQ1012">
            <v>0</v>
          </cell>
          <cell r="AR1012">
            <v>0</v>
          </cell>
          <cell r="AS1012">
            <v>8</v>
          </cell>
          <cell r="AT1012">
            <v>0</v>
          </cell>
          <cell r="AU1012">
            <v>0</v>
          </cell>
          <cell r="AV1012">
            <v>0</v>
          </cell>
          <cell r="AW1012">
            <v>0</v>
          </cell>
          <cell r="AX1012">
            <v>0</v>
          </cell>
          <cell r="AY1012">
            <v>0</v>
          </cell>
          <cell r="AZ1012">
            <v>0</v>
          </cell>
          <cell r="BA1012">
            <v>16</v>
          </cell>
          <cell r="BB1012">
            <v>0</v>
          </cell>
          <cell r="BC1012">
            <v>0</v>
          </cell>
          <cell r="BD1012">
            <v>0</v>
          </cell>
          <cell r="BE1012">
            <v>0</v>
          </cell>
          <cell r="BF1012">
            <v>0</v>
          </cell>
          <cell r="BG1012">
            <v>184</v>
          </cell>
          <cell r="BH1012">
            <v>2</v>
          </cell>
          <cell r="BI1012">
            <v>2</v>
          </cell>
          <cell r="BJ1012">
            <v>-1</v>
          </cell>
          <cell r="BL1012">
            <v>0</v>
          </cell>
          <cell r="BM1012">
            <v>0</v>
          </cell>
          <cell r="BN1012">
            <v>4</v>
          </cell>
          <cell r="BO1012">
            <v>0</v>
          </cell>
          <cell r="BP1012">
            <v>0</v>
          </cell>
          <cell r="BQ1012">
            <v>0</v>
          </cell>
          <cell r="BR1012">
            <v>0</v>
          </cell>
          <cell r="BS1012">
            <v>0</v>
          </cell>
          <cell r="BT1012">
            <v>4</v>
          </cell>
          <cell r="BU1012">
            <v>0</v>
          </cell>
          <cell r="BV1012">
            <v>0</v>
          </cell>
          <cell r="BW1012">
            <v>0</v>
          </cell>
          <cell r="BX1012">
            <v>0</v>
          </cell>
          <cell r="BY1012">
            <v>0</v>
          </cell>
          <cell r="BZ1012">
            <v>0</v>
          </cell>
          <cell r="CA1012">
            <v>0</v>
          </cell>
          <cell r="CB1012">
            <v>0</v>
          </cell>
          <cell r="CC1012">
            <v>0</v>
          </cell>
          <cell r="CD1012">
            <v>0</v>
          </cell>
          <cell r="CE1012">
            <v>0</v>
          </cell>
          <cell r="CF1012">
            <v>0</v>
          </cell>
          <cell r="CG1012">
            <v>0</v>
          </cell>
          <cell r="CH1012">
            <v>4</v>
          </cell>
          <cell r="CI1012">
            <v>4</v>
          </cell>
          <cell r="CJ1012">
            <v>0</v>
          </cell>
          <cell r="CK1012">
            <v>0</v>
          </cell>
          <cell r="CL1012">
            <v>0</v>
          </cell>
          <cell r="CM1012">
            <v>0</v>
          </cell>
          <cell r="CR1012">
            <v>0</v>
          </cell>
          <cell r="CS1012">
            <v>0</v>
          </cell>
          <cell r="CT1012">
            <v>16</v>
          </cell>
          <cell r="CU1012">
            <v>0</v>
          </cell>
          <cell r="CV1012">
            <v>0</v>
          </cell>
          <cell r="CZ1012">
            <v>16</v>
          </cell>
        </row>
        <row r="1013">
          <cell r="C1013" t="str">
            <v>04601</v>
          </cell>
          <cell r="D1013" t="str">
            <v>Trần Văn Sơn</v>
          </cell>
          <cell r="E1013" t="str">
            <v>Warehouse</v>
          </cell>
          <cell r="F1013" t="str">
            <v>Warehouse</v>
          </cell>
          <cell r="G1013" t="str">
            <v>Worker</v>
          </cell>
          <cell r="H1013">
            <v>45782</v>
          </cell>
          <cell r="I1013" t="str">
            <v>UP8</v>
          </cell>
          <cell r="J1013">
            <v>8</v>
          </cell>
          <cell r="K1013">
            <v>8</v>
          </cell>
          <cell r="L1013" t="str">
            <v>CN</v>
          </cell>
          <cell r="M1013">
            <v>8</v>
          </cell>
          <cell r="N1013">
            <v>8</v>
          </cell>
          <cell r="O1013">
            <v>8</v>
          </cell>
          <cell r="P1013">
            <v>8</v>
          </cell>
          <cell r="Q1013">
            <v>8</v>
          </cell>
          <cell r="R1013">
            <v>8</v>
          </cell>
          <cell r="S1013" t="str">
            <v>CN</v>
          </cell>
          <cell r="T1013" t="str">
            <v>UP8</v>
          </cell>
          <cell r="U1013" t="str">
            <v>UP8</v>
          </cell>
          <cell r="V1013" t="str">
            <v>UP8</v>
          </cell>
          <cell r="W1013" t="str">
            <v>UP8</v>
          </cell>
          <cell r="X1013">
            <v>8</v>
          </cell>
          <cell r="Y1013">
            <v>8</v>
          </cell>
          <cell r="Z1013" t="str">
            <v>CN</v>
          </cell>
          <cell r="AA1013">
            <v>8</v>
          </cell>
          <cell r="AB1013">
            <v>8</v>
          </cell>
          <cell r="AC1013">
            <v>8</v>
          </cell>
          <cell r="AD1013" t="str">
            <v>UP8</v>
          </cell>
          <cell r="AE1013" t="str">
            <v>UP8</v>
          </cell>
          <cell r="AF1013" t="str">
            <v>UP8</v>
          </cell>
          <cell r="AG1013" t="str">
            <v>CN</v>
          </cell>
          <cell r="AH1013" t="str">
            <v>TV</v>
          </cell>
          <cell r="AI1013" t="str">
            <v>TV</v>
          </cell>
          <cell r="AJ1013" t="str">
            <v>TV</v>
          </cell>
          <cell r="AN1013">
            <v>0</v>
          </cell>
          <cell r="AO1013">
            <v>104</v>
          </cell>
          <cell r="AP1013">
            <v>0</v>
          </cell>
          <cell r="AQ1013">
            <v>0</v>
          </cell>
          <cell r="AR1013">
            <v>0</v>
          </cell>
          <cell r="AS1013">
            <v>64</v>
          </cell>
          <cell r="AT1013">
            <v>0</v>
          </cell>
          <cell r="AU1013">
            <v>0</v>
          </cell>
          <cell r="AV1013">
            <v>0</v>
          </cell>
          <cell r="AW1013">
            <v>0</v>
          </cell>
          <cell r="AX1013">
            <v>0</v>
          </cell>
          <cell r="AY1013">
            <v>0</v>
          </cell>
          <cell r="AZ1013">
            <v>0</v>
          </cell>
          <cell r="BA1013">
            <v>0</v>
          </cell>
          <cell r="BB1013">
            <v>0</v>
          </cell>
          <cell r="BC1013">
            <v>0</v>
          </cell>
          <cell r="BD1013">
            <v>0</v>
          </cell>
          <cell r="BE1013">
            <v>0</v>
          </cell>
          <cell r="BF1013">
            <v>0</v>
          </cell>
          <cell r="BG1013">
            <v>104</v>
          </cell>
          <cell r="BH1013">
            <v>0</v>
          </cell>
          <cell r="BI1013">
            <v>0</v>
          </cell>
          <cell r="BJ1013">
            <v>2</v>
          </cell>
          <cell r="BL1013">
            <v>0</v>
          </cell>
          <cell r="BM1013">
            <v>0</v>
          </cell>
          <cell r="BN1013">
            <v>0</v>
          </cell>
          <cell r="BO1013">
            <v>0</v>
          </cell>
          <cell r="BP1013">
            <v>0</v>
          </cell>
          <cell r="BQ1013">
            <v>3</v>
          </cell>
          <cell r="BR1013">
            <v>0</v>
          </cell>
          <cell r="BS1013">
            <v>0</v>
          </cell>
          <cell r="BT1013">
            <v>0</v>
          </cell>
          <cell r="BU1013">
            <v>0</v>
          </cell>
          <cell r="BV1013">
            <v>0</v>
          </cell>
          <cell r="BW1013">
            <v>0</v>
          </cell>
          <cell r="BX1013">
            <v>0</v>
          </cell>
          <cell r="BY1013">
            <v>0</v>
          </cell>
          <cell r="BZ1013">
            <v>0</v>
          </cell>
          <cell r="CA1013">
            <v>0</v>
          </cell>
          <cell r="CB1013">
            <v>0</v>
          </cell>
          <cell r="CC1013">
            <v>0</v>
          </cell>
          <cell r="CD1013">
            <v>3</v>
          </cell>
          <cell r="CE1013">
            <v>3</v>
          </cell>
          <cell r="CF1013">
            <v>0</v>
          </cell>
          <cell r="CG1013">
            <v>0</v>
          </cell>
          <cell r="CH1013">
            <v>0</v>
          </cell>
          <cell r="CI1013">
            <v>0</v>
          </cell>
          <cell r="CJ1013">
            <v>0</v>
          </cell>
          <cell r="CK1013">
            <v>0</v>
          </cell>
          <cell r="CL1013">
            <v>0</v>
          </cell>
          <cell r="CM1013">
            <v>0</v>
          </cell>
          <cell r="CR1013">
            <v>0</v>
          </cell>
          <cell r="CS1013">
            <v>0</v>
          </cell>
          <cell r="CT1013">
            <v>9</v>
          </cell>
          <cell r="CU1013">
            <v>0</v>
          </cell>
          <cell r="CV1013">
            <v>0</v>
          </cell>
          <cell r="CZ1013">
            <v>9</v>
          </cell>
        </row>
        <row r="1014">
          <cell r="C1014" t="str">
            <v>04602</v>
          </cell>
          <cell r="D1014" t="str">
            <v>Nguyễn Thái Tình</v>
          </cell>
          <cell r="E1014" t="str">
            <v>Warehouse</v>
          </cell>
          <cell r="F1014" t="str">
            <v>Warehouse</v>
          </cell>
          <cell r="G1014" t="str">
            <v>Worker</v>
          </cell>
          <cell r="H1014">
            <v>45782</v>
          </cell>
          <cell r="I1014">
            <v>8</v>
          </cell>
          <cell r="J1014">
            <v>8</v>
          </cell>
          <cell r="K1014">
            <v>8</v>
          </cell>
          <cell r="L1014" t="str">
            <v>CN</v>
          </cell>
          <cell r="M1014">
            <v>8</v>
          </cell>
          <cell r="N1014">
            <v>8</v>
          </cell>
          <cell r="O1014">
            <v>8</v>
          </cell>
          <cell r="P1014">
            <v>8</v>
          </cell>
          <cell r="Q1014">
            <v>8</v>
          </cell>
          <cell r="R1014">
            <v>8</v>
          </cell>
          <cell r="S1014" t="str">
            <v>CN</v>
          </cell>
          <cell r="T1014">
            <v>8</v>
          </cell>
          <cell r="U1014">
            <v>8</v>
          </cell>
          <cell r="V1014">
            <v>8</v>
          </cell>
          <cell r="W1014">
            <v>8</v>
          </cell>
          <cell r="X1014">
            <v>8</v>
          </cell>
          <cell r="Y1014">
            <v>8</v>
          </cell>
          <cell r="Z1014" t="str">
            <v>CN</v>
          </cell>
          <cell r="AA1014">
            <v>8</v>
          </cell>
          <cell r="AB1014">
            <v>8</v>
          </cell>
          <cell r="AC1014">
            <v>8</v>
          </cell>
          <cell r="AD1014">
            <v>8</v>
          </cell>
          <cell r="AE1014">
            <v>8</v>
          </cell>
          <cell r="AF1014" t="str">
            <v>AL8</v>
          </cell>
          <cell r="AG1014" t="str">
            <v>CN</v>
          </cell>
          <cell r="AH1014">
            <v>8</v>
          </cell>
          <cell r="AI1014">
            <v>8</v>
          </cell>
          <cell r="AJ1014">
            <v>8</v>
          </cell>
          <cell r="AN1014">
            <v>0</v>
          </cell>
          <cell r="AO1014">
            <v>184</v>
          </cell>
          <cell r="AP1014">
            <v>0</v>
          </cell>
          <cell r="AQ1014">
            <v>0</v>
          </cell>
          <cell r="AR1014">
            <v>0</v>
          </cell>
          <cell r="AS1014">
            <v>0</v>
          </cell>
          <cell r="AT1014">
            <v>0</v>
          </cell>
          <cell r="AU1014">
            <v>0</v>
          </cell>
          <cell r="AV1014">
            <v>0</v>
          </cell>
          <cell r="AW1014">
            <v>0</v>
          </cell>
          <cell r="AX1014">
            <v>0</v>
          </cell>
          <cell r="AY1014">
            <v>0</v>
          </cell>
          <cell r="AZ1014">
            <v>0</v>
          </cell>
          <cell r="BA1014">
            <v>8</v>
          </cell>
          <cell r="BB1014">
            <v>0</v>
          </cell>
          <cell r="BC1014">
            <v>0</v>
          </cell>
          <cell r="BD1014">
            <v>0</v>
          </cell>
          <cell r="BE1014">
            <v>0</v>
          </cell>
          <cell r="BF1014">
            <v>0</v>
          </cell>
          <cell r="BG1014">
            <v>192</v>
          </cell>
          <cell r="BH1014">
            <v>1</v>
          </cell>
          <cell r="BI1014">
            <v>1</v>
          </cell>
          <cell r="BJ1014">
            <v>7</v>
          </cell>
          <cell r="BL1014">
            <v>0</v>
          </cell>
          <cell r="BM1014">
            <v>0</v>
          </cell>
          <cell r="BN1014">
            <v>0</v>
          </cell>
          <cell r="BO1014">
            <v>0</v>
          </cell>
          <cell r="BP1014">
            <v>0</v>
          </cell>
          <cell r="BQ1014">
            <v>0</v>
          </cell>
          <cell r="BR1014">
            <v>0</v>
          </cell>
          <cell r="BS1014">
            <v>0</v>
          </cell>
          <cell r="BT1014">
            <v>0</v>
          </cell>
          <cell r="BU1014">
            <v>0</v>
          </cell>
          <cell r="BV1014">
            <v>0</v>
          </cell>
          <cell r="BW1014">
            <v>0</v>
          </cell>
          <cell r="BX1014">
            <v>3</v>
          </cell>
          <cell r="BY1014">
            <v>0</v>
          </cell>
          <cell r="BZ1014">
            <v>0</v>
          </cell>
          <cell r="CA1014">
            <v>3</v>
          </cell>
          <cell r="CB1014">
            <v>0</v>
          </cell>
          <cell r="CC1014">
            <v>0</v>
          </cell>
          <cell r="CD1014">
            <v>0</v>
          </cell>
          <cell r="CE1014">
            <v>0</v>
          </cell>
          <cell r="CF1014">
            <v>0</v>
          </cell>
          <cell r="CG1014">
            <v>0</v>
          </cell>
          <cell r="CH1014">
            <v>0</v>
          </cell>
          <cell r="CI1014">
            <v>0</v>
          </cell>
          <cell r="CJ1014">
            <v>0</v>
          </cell>
          <cell r="CK1014">
            <v>0</v>
          </cell>
          <cell r="CL1014">
            <v>0</v>
          </cell>
          <cell r="CM1014">
            <v>0</v>
          </cell>
          <cell r="CR1014">
            <v>0</v>
          </cell>
          <cell r="CS1014">
            <v>0</v>
          </cell>
          <cell r="CT1014">
            <v>6</v>
          </cell>
          <cell r="CU1014">
            <v>0</v>
          </cell>
          <cell r="CV1014">
            <v>0</v>
          </cell>
          <cell r="CZ1014">
            <v>6</v>
          </cell>
        </row>
        <row r="1015">
          <cell r="C1015" t="str">
            <v>04603</v>
          </cell>
          <cell r="D1015" t="str">
            <v>Đỗ Thị Minh Thảo</v>
          </cell>
          <cell r="E1015" t="str">
            <v>Warehouse</v>
          </cell>
          <cell r="F1015" t="str">
            <v>Warehouse</v>
          </cell>
          <cell r="G1015" t="str">
            <v>Staff</v>
          </cell>
          <cell r="H1015">
            <v>45782</v>
          </cell>
          <cell r="I1015">
            <v>8</v>
          </cell>
          <cell r="J1015">
            <v>8</v>
          </cell>
          <cell r="K1015" t="str">
            <v>PO</v>
          </cell>
          <cell r="L1015" t="str">
            <v>CN</v>
          </cell>
          <cell r="M1015" t="str">
            <v>WH</v>
          </cell>
          <cell r="N1015" t="str">
            <v>WH</v>
          </cell>
          <cell r="O1015">
            <v>8</v>
          </cell>
          <cell r="P1015" t="str">
            <v>AL8</v>
          </cell>
          <cell r="Q1015" t="str">
            <v>AL8</v>
          </cell>
          <cell r="R1015" t="str">
            <v>PO</v>
          </cell>
          <cell r="S1015" t="str">
            <v>CN</v>
          </cell>
          <cell r="T1015">
            <v>8</v>
          </cell>
          <cell r="U1015">
            <v>8</v>
          </cell>
          <cell r="V1015">
            <v>8</v>
          </cell>
          <cell r="W1015">
            <v>8</v>
          </cell>
          <cell r="X1015">
            <v>8</v>
          </cell>
          <cell r="Y1015" t="str">
            <v>PO</v>
          </cell>
          <cell r="Z1015" t="str">
            <v>CN</v>
          </cell>
          <cell r="AA1015">
            <v>8</v>
          </cell>
          <cell r="AB1015">
            <v>8</v>
          </cell>
          <cell r="AC1015">
            <v>8</v>
          </cell>
          <cell r="AD1015">
            <v>8</v>
          </cell>
          <cell r="AE1015">
            <v>8</v>
          </cell>
          <cell r="AF1015" t="str">
            <v>PO</v>
          </cell>
          <cell r="AG1015" t="str">
            <v>CN</v>
          </cell>
          <cell r="AH1015">
            <v>8</v>
          </cell>
          <cell r="AI1015">
            <v>8</v>
          </cell>
          <cell r="AJ1015">
            <v>8</v>
          </cell>
          <cell r="AN1015">
            <v>0</v>
          </cell>
          <cell r="AO1015">
            <v>128</v>
          </cell>
          <cell r="AP1015">
            <v>0</v>
          </cell>
          <cell r="AQ1015">
            <v>0</v>
          </cell>
          <cell r="AR1015">
            <v>0</v>
          </cell>
          <cell r="AS1015">
            <v>0</v>
          </cell>
          <cell r="AT1015">
            <v>0</v>
          </cell>
          <cell r="AU1015">
            <v>0</v>
          </cell>
          <cell r="AV1015">
            <v>32</v>
          </cell>
          <cell r="AW1015">
            <v>0</v>
          </cell>
          <cell r="AX1015">
            <v>0</v>
          </cell>
          <cell r="AY1015">
            <v>0</v>
          </cell>
          <cell r="AZ1015">
            <v>0</v>
          </cell>
          <cell r="BA1015">
            <v>16</v>
          </cell>
          <cell r="BB1015">
            <v>0</v>
          </cell>
          <cell r="BC1015">
            <v>0</v>
          </cell>
          <cell r="BD1015">
            <v>16</v>
          </cell>
          <cell r="BE1015">
            <v>0</v>
          </cell>
          <cell r="BF1015">
            <v>0</v>
          </cell>
          <cell r="BG1015">
            <v>192</v>
          </cell>
          <cell r="BH1015">
            <v>2</v>
          </cell>
          <cell r="BI1015">
            <v>2</v>
          </cell>
          <cell r="BJ1015">
            <v>4</v>
          </cell>
          <cell r="BL1015">
            <v>0</v>
          </cell>
          <cell r="BM1015">
            <v>0</v>
          </cell>
          <cell r="BN1015">
            <v>0</v>
          </cell>
          <cell r="BO1015">
            <v>0</v>
          </cell>
          <cell r="BP1015">
            <v>0</v>
          </cell>
          <cell r="BQ1015">
            <v>0</v>
          </cell>
          <cell r="BR1015">
            <v>0</v>
          </cell>
          <cell r="BS1015">
            <v>0</v>
          </cell>
          <cell r="BT1015">
            <v>0</v>
          </cell>
          <cell r="BU1015">
            <v>0</v>
          </cell>
          <cell r="BV1015">
            <v>0</v>
          </cell>
          <cell r="BW1015">
            <v>1</v>
          </cell>
          <cell r="BX1015">
            <v>0</v>
          </cell>
          <cell r="BY1015">
            <v>1</v>
          </cell>
          <cell r="BZ1015">
            <v>0.5</v>
          </cell>
          <cell r="CA1015">
            <v>1</v>
          </cell>
          <cell r="CB1015">
            <v>0</v>
          </cell>
          <cell r="CC1015">
            <v>0</v>
          </cell>
          <cell r="CD1015">
            <v>1</v>
          </cell>
          <cell r="CE1015">
            <v>0.5</v>
          </cell>
          <cell r="CF1015">
            <v>1</v>
          </cell>
          <cell r="CG1015">
            <v>1</v>
          </cell>
          <cell r="CH1015">
            <v>1</v>
          </cell>
          <cell r="CI1015">
            <v>0</v>
          </cell>
          <cell r="CJ1015">
            <v>0</v>
          </cell>
          <cell r="CK1015">
            <v>1.5</v>
          </cell>
          <cell r="CL1015">
            <v>1</v>
          </cell>
          <cell r="CM1015">
            <v>0</v>
          </cell>
          <cell r="CR1015">
            <v>0</v>
          </cell>
          <cell r="CS1015">
            <v>0</v>
          </cell>
          <cell r="CT1015">
            <v>10.5</v>
          </cell>
          <cell r="CU1015">
            <v>0</v>
          </cell>
          <cell r="CV1015">
            <v>0</v>
          </cell>
          <cell r="CZ1015">
            <v>10.5</v>
          </cell>
        </row>
        <row r="1016">
          <cell r="C1016" t="str">
            <v>04604</v>
          </cell>
          <cell r="D1016" t="str">
            <v>Bùi Lê Thanh Nguyệt</v>
          </cell>
          <cell r="E1016" t="str">
            <v>CS</v>
          </cell>
          <cell r="F1016" t="str">
            <v>CS</v>
          </cell>
          <cell r="G1016" t="str">
            <v>Supervisor</v>
          </cell>
          <cell r="H1016">
            <v>45782</v>
          </cell>
          <cell r="I1016" t="str">
            <v>WH</v>
          </cell>
          <cell r="J1016">
            <v>8</v>
          </cell>
          <cell r="K1016" t="str">
            <v>PO</v>
          </cell>
          <cell r="L1016" t="str">
            <v>CN</v>
          </cell>
          <cell r="M1016">
            <v>8</v>
          </cell>
          <cell r="N1016">
            <v>8</v>
          </cell>
          <cell r="O1016">
            <v>8</v>
          </cell>
          <cell r="P1016">
            <v>8</v>
          </cell>
          <cell r="Q1016" t="str">
            <v>PO</v>
          </cell>
          <cell r="R1016" t="str">
            <v>PO</v>
          </cell>
          <cell r="S1016" t="str">
            <v>CN</v>
          </cell>
          <cell r="T1016">
            <v>8</v>
          </cell>
          <cell r="U1016">
            <v>8</v>
          </cell>
          <cell r="V1016">
            <v>8</v>
          </cell>
          <cell r="W1016">
            <v>8</v>
          </cell>
          <cell r="X1016">
            <v>8</v>
          </cell>
          <cell r="Y1016" t="str">
            <v>PO</v>
          </cell>
          <cell r="Z1016" t="str">
            <v>CN</v>
          </cell>
          <cell r="AA1016">
            <v>8</v>
          </cell>
          <cell r="AB1016">
            <v>8</v>
          </cell>
          <cell r="AC1016">
            <v>8</v>
          </cell>
          <cell r="AD1016">
            <v>8</v>
          </cell>
          <cell r="AE1016">
            <v>8</v>
          </cell>
          <cell r="AF1016" t="str">
            <v>PO</v>
          </cell>
          <cell r="AG1016" t="str">
            <v>CN</v>
          </cell>
          <cell r="AH1016">
            <v>8</v>
          </cell>
          <cell r="AI1016">
            <v>8</v>
          </cell>
          <cell r="AJ1016" t="str">
            <v>AL8</v>
          </cell>
          <cell r="AN1016">
            <v>0</v>
          </cell>
          <cell r="AO1016">
            <v>136</v>
          </cell>
          <cell r="AP1016">
            <v>0</v>
          </cell>
          <cell r="AQ1016">
            <v>0</v>
          </cell>
          <cell r="AR1016">
            <v>0</v>
          </cell>
          <cell r="AS1016">
            <v>0</v>
          </cell>
          <cell r="AT1016">
            <v>0</v>
          </cell>
          <cell r="AU1016">
            <v>0</v>
          </cell>
          <cell r="AV1016">
            <v>40</v>
          </cell>
          <cell r="AW1016">
            <v>0</v>
          </cell>
          <cell r="AX1016">
            <v>0</v>
          </cell>
          <cell r="AY1016">
            <v>0</v>
          </cell>
          <cell r="AZ1016">
            <v>0</v>
          </cell>
          <cell r="BA1016">
            <v>8</v>
          </cell>
          <cell r="BB1016">
            <v>0</v>
          </cell>
          <cell r="BC1016">
            <v>0</v>
          </cell>
          <cell r="BD1016">
            <v>8</v>
          </cell>
          <cell r="BE1016">
            <v>0</v>
          </cell>
          <cell r="BF1016">
            <v>0</v>
          </cell>
          <cell r="BG1016">
            <v>192</v>
          </cell>
          <cell r="BH1016">
            <v>1</v>
          </cell>
          <cell r="BI1016">
            <v>1</v>
          </cell>
          <cell r="BJ1016">
            <v>5</v>
          </cell>
          <cell r="BL1016">
            <v>0</v>
          </cell>
          <cell r="BM1016">
            <v>0</v>
          </cell>
          <cell r="BN1016">
            <v>0</v>
          </cell>
          <cell r="BO1016">
            <v>0</v>
          </cell>
          <cell r="BP1016">
            <v>0</v>
          </cell>
          <cell r="BQ1016">
            <v>0</v>
          </cell>
          <cell r="BR1016">
            <v>0</v>
          </cell>
          <cell r="BS1016">
            <v>0</v>
          </cell>
          <cell r="BT1016">
            <v>0</v>
          </cell>
          <cell r="BU1016">
            <v>0</v>
          </cell>
          <cell r="BV1016">
            <v>0</v>
          </cell>
          <cell r="BW1016">
            <v>0</v>
          </cell>
          <cell r="BX1016">
            <v>0</v>
          </cell>
          <cell r="BY1016">
            <v>0</v>
          </cell>
          <cell r="BZ1016">
            <v>0</v>
          </cell>
          <cell r="CA1016">
            <v>0</v>
          </cell>
          <cell r="CB1016">
            <v>0</v>
          </cell>
          <cell r="CC1016">
            <v>0</v>
          </cell>
          <cell r="CD1016">
            <v>0</v>
          </cell>
          <cell r="CE1016">
            <v>0</v>
          </cell>
          <cell r="CF1016">
            <v>0</v>
          </cell>
          <cell r="CG1016">
            <v>0</v>
          </cell>
          <cell r="CH1016">
            <v>0</v>
          </cell>
          <cell r="CI1016">
            <v>0</v>
          </cell>
          <cell r="CJ1016">
            <v>0</v>
          </cell>
          <cell r="CK1016">
            <v>0</v>
          </cell>
          <cell r="CL1016">
            <v>0</v>
          </cell>
          <cell r="CM1016">
            <v>0</v>
          </cell>
          <cell r="CR1016">
            <v>0</v>
          </cell>
          <cell r="CS1016">
            <v>0</v>
          </cell>
          <cell r="CT1016">
            <v>0</v>
          </cell>
          <cell r="CU1016">
            <v>0</v>
          </cell>
          <cell r="CV1016">
            <v>0</v>
          </cell>
          <cell r="CZ1016">
            <v>0</v>
          </cell>
        </row>
        <row r="1017">
          <cell r="C1017" t="str">
            <v>04605</v>
          </cell>
          <cell r="D1017" t="str">
            <v>Võ Thành Kiệt</v>
          </cell>
          <cell r="E1017" t="str">
            <v>Technical Development</v>
          </cell>
          <cell r="F1017" t="str">
            <v>PD Sample</v>
          </cell>
          <cell r="G1017" t="str">
            <v>Worker</v>
          </cell>
          <cell r="H1017">
            <v>45782</v>
          </cell>
          <cell r="I1017">
            <v>8</v>
          </cell>
          <cell r="J1017">
            <v>8</v>
          </cell>
          <cell r="K1017">
            <v>8</v>
          </cell>
          <cell r="L1017" t="str">
            <v>CN</v>
          </cell>
          <cell r="M1017">
            <v>8</v>
          </cell>
          <cell r="N1017">
            <v>8</v>
          </cell>
          <cell r="O1017">
            <v>8</v>
          </cell>
          <cell r="P1017">
            <v>8</v>
          </cell>
          <cell r="Q1017">
            <v>8</v>
          </cell>
          <cell r="R1017">
            <v>8</v>
          </cell>
          <cell r="S1017" t="str">
            <v>CN</v>
          </cell>
          <cell r="T1017">
            <v>8</v>
          </cell>
          <cell r="U1017">
            <v>8</v>
          </cell>
          <cell r="V1017">
            <v>8</v>
          </cell>
          <cell r="W1017">
            <v>8</v>
          </cell>
          <cell r="X1017">
            <v>8</v>
          </cell>
          <cell r="Y1017">
            <v>8</v>
          </cell>
          <cell r="Z1017" t="str">
            <v>CN</v>
          </cell>
          <cell r="AA1017">
            <v>8</v>
          </cell>
          <cell r="AB1017">
            <v>8</v>
          </cell>
          <cell r="AC1017">
            <v>8</v>
          </cell>
          <cell r="AD1017">
            <v>8</v>
          </cell>
          <cell r="AE1017">
            <v>8</v>
          </cell>
          <cell r="AF1017">
            <v>8</v>
          </cell>
          <cell r="AG1017" t="str">
            <v>CN</v>
          </cell>
          <cell r="AH1017">
            <v>8</v>
          </cell>
          <cell r="AI1017">
            <v>8</v>
          </cell>
          <cell r="AJ1017">
            <v>8</v>
          </cell>
          <cell r="AN1017">
            <v>0</v>
          </cell>
          <cell r="AO1017">
            <v>192</v>
          </cell>
          <cell r="AP1017">
            <v>0</v>
          </cell>
          <cell r="AQ1017">
            <v>0</v>
          </cell>
          <cell r="AR1017">
            <v>0</v>
          </cell>
          <cell r="AS1017">
            <v>0</v>
          </cell>
          <cell r="AT1017">
            <v>0</v>
          </cell>
          <cell r="AU1017">
            <v>0</v>
          </cell>
          <cell r="AV1017">
            <v>0</v>
          </cell>
          <cell r="AW1017">
            <v>0</v>
          </cell>
          <cell r="AX1017">
            <v>0</v>
          </cell>
          <cell r="AY1017">
            <v>0</v>
          </cell>
          <cell r="AZ1017">
            <v>0</v>
          </cell>
          <cell r="BA1017">
            <v>0</v>
          </cell>
          <cell r="BB1017">
            <v>0</v>
          </cell>
          <cell r="BC1017">
            <v>0</v>
          </cell>
          <cell r="BD1017">
            <v>0</v>
          </cell>
          <cell r="BE1017">
            <v>0</v>
          </cell>
          <cell r="BF1017">
            <v>0</v>
          </cell>
          <cell r="BG1017">
            <v>192</v>
          </cell>
          <cell r="BH1017">
            <v>0</v>
          </cell>
          <cell r="BI1017">
            <v>0</v>
          </cell>
          <cell r="BJ1017">
            <v>2.5</v>
          </cell>
          <cell r="BL1017">
            <v>1</v>
          </cell>
          <cell r="BM1017">
            <v>3</v>
          </cell>
          <cell r="BN1017">
            <v>0</v>
          </cell>
          <cell r="BO1017">
            <v>0</v>
          </cell>
          <cell r="BP1017">
            <v>3</v>
          </cell>
          <cell r="BQ1017">
            <v>3</v>
          </cell>
          <cell r="BR1017">
            <v>3</v>
          </cell>
          <cell r="BS1017">
            <v>3</v>
          </cell>
          <cell r="BT1017">
            <v>0</v>
          </cell>
          <cell r="BU1017">
            <v>0</v>
          </cell>
          <cell r="BV1017">
            <v>0</v>
          </cell>
          <cell r="BW1017">
            <v>3</v>
          </cell>
          <cell r="BX1017">
            <v>3</v>
          </cell>
          <cell r="BY1017">
            <v>3</v>
          </cell>
          <cell r="BZ1017">
            <v>3</v>
          </cell>
          <cell r="CA1017">
            <v>0</v>
          </cell>
          <cell r="CB1017">
            <v>0</v>
          </cell>
          <cell r="CC1017">
            <v>0</v>
          </cell>
          <cell r="CD1017">
            <v>1</v>
          </cell>
          <cell r="CE1017">
            <v>3</v>
          </cell>
          <cell r="CF1017">
            <v>0</v>
          </cell>
          <cell r="CG1017">
            <v>3</v>
          </cell>
          <cell r="CH1017">
            <v>3</v>
          </cell>
          <cell r="CI1017">
            <v>0</v>
          </cell>
          <cell r="CJ1017">
            <v>0</v>
          </cell>
          <cell r="CK1017">
            <v>0</v>
          </cell>
          <cell r="CL1017">
            <v>0</v>
          </cell>
          <cell r="CM1017">
            <v>0</v>
          </cell>
          <cell r="CR1017">
            <v>0</v>
          </cell>
          <cell r="CS1017">
            <v>0</v>
          </cell>
          <cell r="CT1017">
            <v>38</v>
          </cell>
          <cell r="CU1017">
            <v>0</v>
          </cell>
          <cell r="CV1017">
            <v>0</v>
          </cell>
          <cell r="CZ1017">
            <v>38</v>
          </cell>
        </row>
        <row r="1018">
          <cell r="C1018" t="str">
            <v>04609</v>
          </cell>
          <cell r="D1018" t="str">
            <v>Nguyễn Công Thịnh</v>
          </cell>
          <cell r="E1018" t="str">
            <v>Production</v>
          </cell>
          <cell r="F1018" t="str">
            <v>Molding</v>
          </cell>
          <cell r="G1018" t="str">
            <v>Worker</v>
          </cell>
          <cell r="H1018">
            <v>45790</v>
          </cell>
          <cell r="I1018">
            <v>8</v>
          </cell>
          <cell r="J1018">
            <v>8</v>
          </cell>
          <cell r="K1018">
            <v>8</v>
          </cell>
          <cell r="L1018" t="str">
            <v>CN</v>
          </cell>
          <cell r="M1018">
            <v>8</v>
          </cell>
          <cell r="N1018">
            <v>8</v>
          </cell>
          <cell r="O1018">
            <v>8</v>
          </cell>
          <cell r="P1018">
            <v>8</v>
          </cell>
          <cell r="Q1018" t="str">
            <v>Đ</v>
          </cell>
          <cell r="R1018" t="str">
            <v>Đ</v>
          </cell>
          <cell r="S1018" t="str">
            <v>CN</v>
          </cell>
          <cell r="T1018">
            <v>8</v>
          </cell>
          <cell r="U1018">
            <v>8</v>
          </cell>
          <cell r="V1018">
            <v>8</v>
          </cell>
          <cell r="W1018">
            <v>8</v>
          </cell>
          <cell r="X1018">
            <v>8</v>
          </cell>
          <cell r="Y1018">
            <v>8</v>
          </cell>
          <cell r="Z1018" t="str">
            <v>CN</v>
          </cell>
          <cell r="AA1018">
            <v>8</v>
          </cell>
          <cell r="AB1018">
            <v>8</v>
          </cell>
          <cell r="AC1018">
            <v>8</v>
          </cell>
          <cell r="AD1018">
            <v>8</v>
          </cell>
          <cell r="AE1018" t="str">
            <v>Đ</v>
          </cell>
          <cell r="AF1018" t="str">
            <v>Đ</v>
          </cell>
          <cell r="AG1018" t="str">
            <v>CN</v>
          </cell>
          <cell r="AH1018">
            <v>8</v>
          </cell>
          <cell r="AI1018">
            <v>8</v>
          </cell>
          <cell r="AJ1018">
            <v>8</v>
          </cell>
          <cell r="AN1018">
            <v>32</v>
          </cell>
          <cell r="AO1018">
            <v>160</v>
          </cell>
          <cell r="AP1018">
            <v>0</v>
          </cell>
          <cell r="AQ1018">
            <v>0</v>
          </cell>
          <cell r="AR1018">
            <v>0</v>
          </cell>
          <cell r="AS1018">
            <v>0</v>
          </cell>
          <cell r="AT1018">
            <v>0</v>
          </cell>
          <cell r="AU1018">
            <v>0</v>
          </cell>
          <cell r="AV1018">
            <v>0</v>
          </cell>
          <cell r="AW1018">
            <v>0</v>
          </cell>
          <cell r="AX1018">
            <v>0</v>
          </cell>
          <cell r="AY1018">
            <v>0</v>
          </cell>
          <cell r="AZ1018">
            <v>0</v>
          </cell>
          <cell r="BA1018">
            <v>0</v>
          </cell>
          <cell r="BB1018">
            <v>0</v>
          </cell>
          <cell r="BC1018">
            <v>0</v>
          </cell>
          <cell r="BD1018">
            <v>0</v>
          </cell>
          <cell r="BE1018">
            <v>0</v>
          </cell>
          <cell r="BF1018">
            <v>0</v>
          </cell>
          <cell r="BG1018">
            <v>192</v>
          </cell>
          <cell r="BH1018">
            <v>0</v>
          </cell>
          <cell r="BI1018">
            <v>0</v>
          </cell>
          <cell r="BJ1018">
            <v>0.5</v>
          </cell>
          <cell r="BL1018">
            <v>0</v>
          </cell>
          <cell r="BM1018">
            <v>4</v>
          </cell>
          <cell r="BN1018">
            <v>4</v>
          </cell>
          <cell r="BO1018">
            <v>0</v>
          </cell>
          <cell r="BP1018">
            <v>0</v>
          </cell>
          <cell r="BQ1018">
            <v>0</v>
          </cell>
          <cell r="BR1018">
            <v>0</v>
          </cell>
          <cell r="BS1018">
            <v>0</v>
          </cell>
          <cell r="BT1018">
            <v>4</v>
          </cell>
          <cell r="BU1018">
            <v>4</v>
          </cell>
          <cell r="BV1018">
            <v>0</v>
          </cell>
          <cell r="BW1018">
            <v>0</v>
          </cell>
          <cell r="BX1018">
            <v>0</v>
          </cell>
          <cell r="BY1018">
            <v>0</v>
          </cell>
          <cell r="BZ1018">
            <v>0</v>
          </cell>
          <cell r="CA1018">
            <v>4</v>
          </cell>
          <cell r="CB1018">
            <v>4</v>
          </cell>
          <cell r="CC1018">
            <v>0</v>
          </cell>
          <cell r="CD1018">
            <v>0</v>
          </cell>
          <cell r="CE1018">
            <v>0</v>
          </cell>
          <cell r="CF1018">
            <v>0</v>
          </cell>
          <cell r="CG1018">
            <v>0</v>
          </cell>
          <cell r="CH1018">
            <v>4</v>
          </cell>
          <cell r="CI1018">
            <v>4</v>
          </cell>
          <cell r="CJ1018">
            <v>0</v>
          </cell>
          <cell r="CK1018">
            <v>0</v>
          </cell>
          <cell r="CL1018">
            <v>0</v>
          </cell>
          <cell r="CM1018">
            <v>0</v>
          </cell>
          <cell r="CR1018">
            <v>0</v>
          </cell>
          <cell r="CS1018">
            <v>0</v>
          </cell>
          <cell r="CT1018">
            <v>32</v>
          </cell>
          <cell r="CU1018">
            <v>0</v>
          </cell>
          <cell r="CV1018">
            <v>0</v>
          </cell>
          <cell r="CZ1018">
            <v>32</v>
          </cell>
        </row>
        <row r="1019">
          <cell r="C1019" t="str">
            <v>04612</v>
          </cell>
          <cell r="D1019" t="str">
            <v>Diệp Thị Ý Nhi</v>
          </cell>
          <cell r="E1019" t="str">
            <v>Production</v>
          </cell>
          <cell r="F1019" t="str">
            <v>Packing</v>
          </cell>
          <cell r="G1019" t="str">
            <v>Worker</v>
          </cell>
          <cell r="H1019">
            <v>45790</v>
          </cell>
          <cell r="I1019">
            <v>8</v>
          </cell>
          <cell r="J1019">
            <v>8</v>
          </cell>
          <cell r="K1019">
            <v>8</v>
          </cell>
          <cell r="L1019" t="str">
            <v>CN</v>
          </cell>
          <cell r="M1019" t="str">
            <v>Đ</v>
          </cell>
          <cell r="N1019" t="str">
            <v>Đ</v>
          </cell>
          <cell r="O1019" t="str">
            <v>Đ</v>
          </cell>
          <cell r="P1019" t="str">
            <v>Đ</v>
          </cell>
          <cell r="Q1019" t="str">
            <v>Đ</v>
          </cell>
          <cell r="R1019" t="str">
            <v>Đ</v>
          </cell>
          <cell r="S1019" t="str">
            <v>CN</v>
          </cell>
          <cell r="T1019">
            <v>8</v>
          </cell>
          <cell r="U1019">
            <v>8</v>
          </cell>
          <cell r="V1019">
            <v>8</v>
          </cell>
          <cell r="W1019">
            <v>8</v>
          </cell>
          <cell r="X1019">
            <v>8</v>
          </cell>
          <cell r="Y1019">
            <v>8</v>
          </cell>
          <cell r="Z1019" t="str">
            <v>CN</v>
          </cell>
          <cell r="AA1019" t="str">
            <v>Đ</v>
          </cell>
          <cell r="AB1019" t="str">
            <v>Đ</v>
          </cell>
          <cell r="AC1019" t="str">
            <v>Đ</v>
          </cell>
          <cell r="AD1019" t="str">
            <v>Đ</v>
          </cell>
          <cell r="AE1019" t="str">
            <v>Đ</v>
          </cell>
          <cell r="AF1019" t="str">
            <v>Đ</v>
          </cell>
          <cell r="AG1019" t="str">
            <v>CN</v>
          </cell>
          <cell r="AH1019">
            <v>8</v>
          </cell>
          <cell r="AI1019">
            <v>8</v>
          </cell>
          <cell r="AJ1019" t="str">
            <v>AL8</v>
          </cell>
          <cell r="AN1019">
            <v>96</v>
          </cell>
          <cell r="AO1019">
            <v>88</v>
          </cell>
          <cell r="AP1019">
            <v>0</v>
          </cell>
          <cell r="AQ1019">
            <v>0</v>
          </cell>
          <cell r="AR1019">
            <v>0</v>
          </cell>
          <cell r="AS1019">
            <v>0</v>
          </cell>
          <cell r="AT1019">
            <v>0</v>
          </cell>
          <cell r="AU1019">
            <v>0</v>
          </cell>
          <cell r="AV1019">
            <v>0</v>
          </cell>
          <cell r="AW1019">
            <v>0</v>
          </cell>
          <cell r="AX1019">
            <v>0</v>
          </cell>
          <cell r="AY1019">
            <v>0</v>
          </cell>
          <cell r="AZ1019">
            <v>0</v>
          </cell>
          <cell r="BA1019">
            <v>8</v>
          </cell>
          <cell r="BB1019">
            <v>0</v>
          </cell>
          <cell r="BC1019">
            <v>0</v>
          </cell>
          <cell r="BD1019">
            <v>0</v>
          </cell>
          <cell r="BE1019">
            <v>0</v>
          </cell>
          <cell r="BF1019">
            <v>0</v>
          </cell>
          <cell r="BG1019">
            <v>192</v>
          </cell>
          <cell r="BH1019">
            <v>1</v>
          </cell>
          <cell r="BI1019">
            <v>1</v>
          </cell>
          <cell r="BJ1019">
            <v>1</v>
          </cell>
          <cell r="BL1019">
            <v>1.5</v>
          </cell>
          <cell r="BM1019">
            <v>0</v>
          </cell>
          <cell r="BN1019">
            <v>0</v>
          </cell>
          <cell r="BO1019">
            <v>0</v>
          </cell>
          <cell r="BP1019">
            <v>1.5</v>
          </cell>
          <cell r="BQ1019">
            <v>0</v>
          </cell>
          <cell r="BR1019">
            <v>0</v>
          </cell>
          <cell r="BS1019">
            <v>4</v>
          </cell>
          <cell r="BT1019">
            <v>4</v>
          </cell>
          <cell r="BU1019">
            <v>3</v>
          </cell>
          <cell r="BV1019">
            <v>0</v>
          </cell>
          <cell r="BW1019">
            <v>3</v>
          </cell>
          <cell r="BX1019">
            <v>3</v>
          </cell>
          <cell r="BY1019">
            <v>3</v>
          </cell>
          <cell r="BZ1019">
            <v>3</v>
          </cell>
          <cell r="CA1019">
            <v>3</v>
          </cell>
          <cell r="CB1019">
            <v>3</v>
          </cell>
          <cell r="CC1019">
            <v>8</v>
          </cell>
          <cell r="CD1019">
            <v>4</v>
          </cell>
          <cell r="CE1019">
            <v>4</v>
          </cell>
          <cell r="CF1019">
            <v>4</v>
          </cell>
          <cell r="CG1019">
            <v>0</v>
          </cell>
          <cell r="CH1019">
            <v>4</v>
          </cell>
          <cell r="CI1019">
            <v>4</v>
          </cell>
          <cell r="CJ1019">
            <v>0</v>
          </cell>
          <cell r="CK1019">
            <v>3</v>
          </cell>
          <cell r="CL1019">
            <v>3</v>
          </cell>
          <cell r="CM1019">
            <v>0</v>
          </cell>
          <cell r="CR1019">
            <v>0</v>
          </cell>
          <cell r="CS1019">
            <v>0</v>
          </cell>
          <cell r="CT1019">
            <v>58</v>
          </cell>
          <cell r="CU1019">
            <v>8</v>
          </cell>
          <cell r="CV1019">
            <v>0</v>
          </cell>
          <cell r="CZ1019">
            <v>66</v>
          </cell>
        </row>
        <row r="1020">
          <cell r="C1020" t="str">
            <v>04613</v>
          </cell>
          <cell r="D1020" t="str">
            <v>Phan Thị Cẩm Linh</v>
          </cell>
          <cell r="E1020" t="str">
            <v>Production</v>
          </cell>
          <cell r="F1020" t="str">
            <v>Packing</v>
          </cell>
          <cell r="G1020" t="str">
            <v>Worker</v>
          </cell>
          <cell r="H1020">
            <v>45790</v>
          </cell>
          <cell r="I1020">
            <v>8</v>
          </cell>
          <cell r="J1020">
            <v>8</v>
          </cell>
          <cell r="K1020">
            <v>8</v>
          </cell>
          <cell r="L1020" t="str">
            <v>CN</v>
          </cell>
          <cell r="M1020">
            <v>8</v>
          </cell>
          <cell r="N1020">
            <v>8</v>
          </cell>
          <cell r="O1020">
            <v>8</v>
          </cell>
          <cell r="P1020">
            <v>8</v>
          </cell>
          <cell r="Q1020">
            <v>8</v>
          </cell>
          <cell r="R1020">
            <v>8</v>
          </cell>
          <cell r="S1020" t="str">
            <v>CN</v>
          </cell>
          <cell r="T1020">
            <v>8</v>
          </cell>
          <cell r="U1020">
            <v>8</v>
          </cell>
          <cell r="V1020">
            <v>8</v>
          </cell>
          <cell r="W1020">
            <v>8</v>
          </cell>
          <cell r="X1020">
            <v>8</v>
          </cell>
          <cell r="Y1020">
            <v>8</v>
          </cell>
          <cell r="Z1020" t="str">
            <v>CN</v>
          </cell>
          <cell r="AA1020">
            <v>8</v>
          </cell>
          <cell r="AB1020">
            <v>8</v>
          </cell>
          <cell r="AC1020">
            <v>8</v>
          </cell>
          <cell r="AD1020">
            <v>8</v>
          </cell>
          <cell r="AE1020">
            <v>8</v>
          </cell>
          <cell r="AF1020">
            <v>8</v>
          </cell>
          <cell r="AG1020" t="str">
            <v>CN</v>
          </cell>
          <cell r="AH1020">
            <v>8</v>
          </cell>
          <cell r="AI1020">
            <v>8</v>
          </cell>
          <cell r="AJ1020">
            <v>8</v>
          </cell>
          <cell r="AN1020">
            <v>0</v>
          </cell>
          <cell r="AO1020">
            <v>192</v>
          </cell>
          <cell r="AP1020">
            <v>0</v>
          </cell>
          <cell r="AQ1020">
            <v>0</v>
          </cell>
          <cell r="AR1020">
            <v>0</v>
          </cell>
          <cell r="AS1020">
            <v>0</v>
          </cell>
          <cell r="AT1020">
            <v>0</v>
          </cell>
          <cell r="AU1020">
            <v>0</v>
          </cell>
          <cell r="AV1020">
            <v>0</v>
          </cell>
          <cell r="AW1020">
            <v>0</v>
          </cell>
          <cell r="AX1020">
            <v>0</v>
          </cell>
          <cell r="AY1020">
            <v>0</v>
          </cell>
          <cell r="AZ1020">
            <v>0</v>
          </cell>
          <cell r="BA1020">
            <v>0</v>
          </cell>
          <cell r="BB1020">
            <v>0</v>
          </cell>
          <cell r="BC1020">
            <v>0</v>
          </cell>
          <cell r="BD1020">
            <v>0</v>
          </cell>
          <cell r="BE1020">
            <v>0</v>
          </cell>
          <cell r="BF1020">
            <v>0</v>
          </cell>
          <cell r="BG1020">
            <v>192</v>
          </cell>
          <cell r="BH1020">
            <v>0</v>
          </cell>
          <cell r="BI1020">
            <v>0</v>
          </cell>
          <cell r="BJ1020">
            <v>3</v>
          </cell>
          <cell r="BL1020">
            <v>0</v>
          </cell>
          <cell r="BM1020">
            <v>1.5</v>
          </cell>
          <cell r="BN1020">
            <v>1.5</v>
          </cell>
          <cell r="BO1020">
            <v>0</v>
          </cell>
          <cell r="BP1020">
            <v>1.5</v>
          </cell>
          <cell r="BQ1020">
            <v>3</v>
          </cell>
          <cell r="BR1020">
            <v>0</v>
          </cell>
          <cell r="BS1020">
            <v>3</v>
          </cell>
          <cell r="BT1020">
            <v>3</v>
          </cell>
          <cell r="BU1020">
            <v>0</v>
          </cell>
          <cell r="BV1020">
            <v>0</v>
          </cell>
          <cell r="BW1020">
            <v>3</v>
          </cell>
          <cell r="BX1020">
            <v>3</v>
          </cell>
          <cell r="BY1020">
            <v>3</v>
          </cell>
          <cell r="BZ1020">
            <v>3</v>
          </cell>
          <cell r="CA1020">
            <v>3</v>
          </cell>
          <cell r="CB1020">
            <v>3</v>
          </cell>
          <cell r="CC1020">
            <v>8</v>
          </cell>
          <cell r="CD1020">
            <v>3</v>
          </cell>
          <cell r="CE1020">
            <v>3</v>
          </cell>
          <cell r="CF1020">
            <v>3</v>
          </cell>
          <cell r="CG1020">
            <v>3</v>
          </cell>
          <cell r="CH1020">
            <v>3</v>
          </cell>
          <cell r="CI1020">
            <v>3</v>
          </cell>
          <cell r="CJ1020">
            <v>8</v>
          </cell>
          <cell r="CK1020">
            <v>3</v>
          </cell>
          <cell r="CL1020">
            <v>3</v>
          </cell>
          <cell r="CM1020">
            <v>3</v>
          </cell>
          <cell r="CR1020">
            <v>0</v>
          </cell>
          <cell r="CS1020">
            <v>0</v>
          </cell>
          <cell r="CT1020">
            <v>58.5</v>
          </cell>
          <cell r="CU1020">
            <v>16</v>
          </cell>
          <cell r="CV1020">
            <v>0</v>
          </cell>
          <cell r="CZ1020">
            <v>74.5</v>
          </cell>
        </row>
        <row r="1021">
          <cell r="C1021" t="str">
            <v>04614</v>
          </cell>
          <cell r="D1021" t="str">
            <v>Lê Ngọc Phượng</v>
          </cell>
          <cell r="E1021" t="str">
            <v>Production</v>
          </cell>
          <cell r="F1021" t="str">
            <v>Packing</v>
          </cell>
          <cell r="G1021" t="str">
            <v>Worker</v>
          </cell>
          <cell r="H1021">
            <v>45790</v>
          </cell>
          <cell r="I1021">
            <v>8</v>
          </cell>
          <cell r="J1021">
            <v>8</v>
          </cell>
          <cell r="K1021">
            <v>8</v>
          </cell>
          <cell r="L1021" t="str">
            <v>CN</v>
          </cell>
          <cell r="M1021" t="str">
            <v>AL8</v>
          </cell>
          <cell r="N1021" t="str">
            <v>AL8</v>
          </cell>
          <cell r="O1021" t="str">
            <v>Đ</v>
          </cell>
          <cell r="P1021" t="str">
            <v>Đ</v>
          </cell>
          <cell r="Q1021" t="str">
            <v>Đ</v>
          </cell>
          <cell r="R1021" t="str">
            <v>Đ</v>
          </cell>
          <cell r="S1021" t="str">
            <v>CN</v>
          </cell>
          <cell r="T1021">
            <v>8</v>
          </cell>
          <cell r="U1021">
            <v>8</v>
          </cell>
          <cell r="V1021">
            <v>8</v>
          </cell>
          <cell r="W1021">
            <v>8</v>
          </cell>
          <cell r="X1021">
            <v>8</v>
          </cell>
          <cell r="Y1021">
            <v>8</v>
          </cell>
          <cell r="Z1021" t="str">
            <v>CN</v>
          </cell>
          <cell r="AA1021" t="str">
            <v>Đ</v>
          </cell>
          <cell r="AB1021" t="str">
            <v>Đ</v>
          </cell>
          <cell r="AC1021" t="str">
            <v>Đ</v>
          </cell>
          <cell r="AD1021" t="str">
            <v>Đ</v>
          </cell>
          <cell r="AE1021" t="str">
            <v>Đ</v>
          </cell>
          <cell r="AF1021" t="str">
            <v>Đ</v>
          </cell>
          <cell r="AG1021" t="str">
            <v>CN</v>
          </cell>
          <cell r="AH1021">
            <v>8</v>
          </cell>
          <cell r="AI1021">
            <v>8</v>
          </cell>
          <cell r="AJ1021">
            <v>8</v>
          </cell>
          <cell r="AN1021">
            <v>80</v>
          </cell>
          <cell r="AO1021">
            <v>96</v>
          </cell>
          <cell r="AP1021">
            <v>0</v>
          </cell>
          <cell r="AQ1021">
            <v>0</v>
          </cell>
          <cell r="AR1021">
            <v>0</v>
          </cell>
          <cell r="AS1021">
            <v>0</v>
          </cell>
          <cell r="AT1021">
            <v>0</v>
          </cell>
          <cell r="AU1021">
            <v>0</v>
          </cell>
          <cell r="AV1021">
            <v>0</v>
          </cell>
          <cell r="AW1021">
            <v>0</v>
          </cell>
          <cell r="AX1021">
            <v>0</v>
          </cell>
          <cell r="AY1021">
            <v>0</v>
          </cell>
          <cell r="AZ1021">
            <v>0</v>
          </cell>
          <cell r="BA1021">
            <v>16</v>
          </cell>
          <cell r="BB1021">
            <v>0</v>
          </cell>
          <cell r="BC1021">
            <v>0</v>
          </cell>
          <cell r="BD1021">
            <v>0</v>
          </cell>
          <cell r="BE1021">
            <v>0</v>
          </cell>
          <cell r="BF1021">
            <v>0</v>
          </cell>
          <cell r="BG1021">
            <v>192</v>
          </cell>
          <cell r="BH1021">
            <v>2</v>
          </cell>
          <cell r="BI1021">
            <v>2</v>
          </cell>
          <cell r="BJ1021">
            <v>-2</v>
          </cell>
          <cell r="BL1021">
            <v>1.5</v>
          </cell>
          <cell r="BM1021">
            <v>1.5</v>
          </cell>
          <cell r="BN1021">
            <v>0</v>
          </cell>
          <cell r="BO1021">
            <v>0</v>
          </cell>
          <cell r="BP1021">
            <v>0</v>
          </cell>
          <cell r="BQ1021">
            <v>0</v>
          </cell>
          <cell r="BR1021">
            <v>0</v>
          </cell>
          <cell r="BS1021">
            <v>4</v>
          </cell>
          <cell r="BT1021">
            <v>0</v>
          </cell>
          <cell r="BU1021">
            <v>0</v>
          </cell>
          <cell r="BV1021">
            <v>0</v>
          </cell>
          <cell r="BW1021">
            <v>3</v>
          </cell>
          <cell r="BX1021">
            <v>3</v>
          </cell>
          <cell r="BY1021">
            <v>3</v>
          </cell>
          <cell r="BZ1021">
            <v>3</v>
          </cell>
          <cell r="CA1021">
            <v>3</v>
          </cell>
          <cell r="CB1021">
            <v>3</v>
          </cell>
          <cell r="CC1021">
            <v>8</v>
          </cell>
          <cell r="CD1021">
            <v>4</v>
          </cell>
          <cell r="CE1021">
            <v>4</v>
          </cell>
          <cell r="CF1021">
            <v>0</v>
          </cell>
          <cell r="CG1021">
            <v>1.5</v>
          </cell>
          <cell r="CH1021">
            <v>4</v>
          </cell>
          <cell r="CI1021">
            <v>0</v>
          </cell>
          <cell r="CJ1021">
            <v>0</v>
          </cell>
          <cell r="CK1021">
            <v>3</v>
          </cell>
          <cell r="CL1021">
            <v>3</v>
          </cell>
          <cell r="CM1021">
            <v>3</v>
          </cell>
          <cell r="CR1021">
            <v>0</v>
          </cell>
          <cell r="CS1021">
            <v>0</v>
          </cell>
          <cell r="CT1021">
            <v>47.5</v>
          </cell>
          <cell r="CU1021">
            <v>8</v>
          </cell>
          <cell r="CV1021">
            <v>0</v>
          </cell>
          <cell r="CZ1021">
            <v>55.5</v>
          </cell>
        </row>
        <row r="1022">
          <cell r="C1022" t="str">
            <v>04617</v>
          </cell>
          <cell r="D1022" t="str">
            <v>Hồng Thành Ép</v>
          </cell>
          <cell r="E1022" t="str">
            <v>Production</v>
          </cell>
          <cell r="F1022" t="str">
            <v>Die Cut</v>
          </cell>
          <cell r="G1022" t="str">
            <v>Worker</v>
          </cell>
          <cell r="H1022">
            <v>45790</v>
          </cell>
          <cell r="I1022" t="str">
            <v>Đ</v>
          </cell>
          <cell r="J1022" t="str">
            <v>Đ</v>
          </cell>
          <cell r="K1022" t="str">
            <v>Đ</v>
          </cell>
          <cell r="L1022" t="str">
            <v>CN</v>
          </cell>
          <cell r="M1022">
            <v>8</v>
          </cell>
          <cell r="N1022">
            <v>8</v>
          </cell>
          <cell r="O1022">
            <v>8</v>
          </cell>
          <cell r="P1022">
            <v>8</v>
          </cell>
          <cell r="Q1022">
            <v>8</v>
          </cell>
          <cell r="R1022">
            <v>8</v>
          </cell>
          <cell r="S1022" t="str">
            <v>CN</v>
          </cell>
          <cell r="T1022">
            <v>8</v>
          </cell>
          <cell r="U1022">
            <v>8</v>
          </cell>
          <cell r="V1022">
            <v>8</v>
          </cell>
          <cell r="W1022">
            <v>8</v>
          </cell>
          <cell r="X1022">
            <v>8</v>
          </cell>
          <cell r="Y1022">
            <v>8</v>
          </cell>
          <cell r="Z1022" t="str">
            <v>CN</v>
          </cell>
          <cell r="AA1022">
            <v>8</v>
          </cell>
          <cell r="AB1022">
            <v>8</v>
          </cell>
          <cell r="AC1022">
            <v>8</v>
          </cell>
          <cell r="AD1022">
            <v>8</v>
          </cell>
          <cell r="AE1022">
            <v>8</v>
          </cell>
          <cell r="AF1022">
            <v>8</v>
          </cell>
          <cell r="AG1022" t="str">
            <v>CN</v>
          </cell>
          <cell r="AH1022" t="str">
            <v>Đ</v>
          </cell>
          <cell r="AI1022" t="str">
            <v>Đ</v>
          </cell>
          <cell r="AJ1022" t="str">
            <v>Đ</v>
          </cell>
          <cell r="AN1022">
            <v>48</v>
          </cell>
          <cell r="AO1022">
            <v>144</v>
          </cell>
          <cell r="AP1022">
            <v>0</v>
          </cell>
          <cell r="AQ1022">
            <v>0</v>
          </cell>
          <cell r="AR1022">
            <v>0</v>
          </cell>
          <cell r="AS1022">
            <v>0</v>
          </cell>
          <cell r="AT1022">
            <v>0</v>
          </cell>
          <cell r="AU1022">
            <v>0</v>
          </cell>
          <cell r="AV1022">
            <v>0</v>
          </cell>
          <cell r="AW1022">
            <v>0</v>
          </cell>
          <cell r="AX1022">
            <v>0</v>
          </cell>
          <cell r="AY1022">
            <v>0</v>
          </cell>
          <cell r="AZ1022">
            <v>0</v>
          </cell>
          <cell r="BA1022">
            <v>0</v>
          </cell>
          <cell r="BB1022">
            <v>0</v>
          </cell>
          <cell r="BC1022">
            <v>0</v>
          </cell>
          <cell r="BD1022">
            <v>0</v>
          </cell>
          <cell r="BE1022">
            <v>0</v>
          </cell>
          <cell r="BF1022">
            <v>0</v>
          </cell>
          <cell r="BG1022">
            <v>192</v>
          </cell>
          <cell r="BH1022">
            <v>0</v>
          </cell>
          <cell r="BI1022">
            <v>0</v>
          </cell>
          <cell r="BJ1022">
            <v>3</v>
          </cell>
          <cell r="BL1022">
            <v>0</v>
          </cell>
          <cell r="BM1022">
            <v>0</v>
          </cell>
          <cell r="BN1022">
            <v>0</v>
          </cell>
          <cell r="BO1022">
            <v>0</v>
          </cell>
          <cell r="BP1022">
            <v>1.5</v>
          </cell>
          <cell r="BQ1022">
            <v>3</v>
          </cell>
          <cell r="BR1022">
            <v>0</v>
          </cell>
          <cell r="BS1022">
            <v>3</v>
          </cell>
          <cell r="BT1022">
            <v>3</v>
          </cell>
          <cell r="BU1022">
            <v>0</v>
          </cell>
          <cell r="BV1022">
            <v>0</v>
          </cell>
          <cell r="BW1022">
            <v>0</v>
          </cell>
          <cell r="BX1022">
            <v>0</v>
          </cell>
          <cell r="BY1022">
            <v>4</v>
          </cell>
          <cell r="BZ1022">
            <v>0</v>
          </cell>
          <cell r="CA1022">
            <v>4</v>
          </cell>
          <cell r="CB1022">
            <v>4</v>
          </cell>
          <cell r="CC1022">
            <v>0</v>
          </cell>
          <cell r="CD1022">
            <v>4</v>
          </cell>
          <cell r="CE1022">
            <v>4</v>
          </cell>
          <cell r="CF1022">
            <v>4</v>
          </cell>
          <cell r="CG1022">
            <v>4</v>
          </cell>
          <cell r="CH1022">
            <v>0</v>
          </cell>
          <cell r="CI1022">
            <v>4</v>
          </cell>
          <cell r="CJ1022">
            <v>0</v>
          </cell>
          <cell r="CK1022">
            <v>1.5</v>
          </cell>
          <cell r="CL1022">
            <v>1.5</v>
          </cell>
          <cell r="CM1022">
            <v>1.5</v>
          </cell>
          <cell r="CR1022">
            <v>0</v>
          </cell>
          <cell r="CS1022">
            <v>0</v>
          </cell>
          <cell r="CT1022">
            <v>47</v>
          </cell>
          <cell r="CU1022">
            <v>0</v>
          </cell>
          <cell r="CV1022">
            <v>0</v>
          </cell>
          <cell r="CZ1022">
            <v>47</v>
          </cell>
        </row>
        <row r="1023">
          <cell r="C1023" t="str">
            <v>04621</v>
          </cell>
          <cell r="D1023" t="str">
            <v>Phạm Quang Lưu</v>
          </cell>
          <cell r="E1023" t="str">
            <v xml:space="preserve">EHS &amp; Facilities </v>
          </cell>
          <cell r="F1023" t="str">
            <v>Maintenance</v>
          </cell>
          <cell r="G1023" t="str">
            <v>Technician</v>
          </cell>
          <cell r="H1023">
            <v>45790</v>
          </cell>
          <cell r="I1023" t="str">
            <v>Đ</v>
          </cell>
          <cell r="J1023" t="str">
            <v>Đ</v>
          </cell>
          <cell r="K1023" t="str">
            <v>Đ</v>
          </cell>
          <cell r="L1023" t="str">
            <v>CN</v>
          </cell>
          <cell r="M1023">
            <v>8</v>
          </cell>
          <cell r="N1023">
            <v>8</v>
          </cell>
          <cell r="O1023">
            <v>8</v>
          </cell>
          <cell r="P1023" t="str">
            <v>Đ</v>
          </cell>
          <cell r="Q1023" t="str">
            <v>Đ</v>
          </cell>
          <cell r="R1023" t="str">
            <v>Đ</v>
          </cell>
          <cell r="S1023" t="str">
            <v>CN</v>
          </cell>
          <cell r="T1023">
            <v>8</v>
          </cell>
          <cell r="U1023">
            <v>8</v>
          </cell>
          <cell r="V1023">
            <v>8</v>
          </cell>
          <cell r="W1023">
            <v>8</v>
          </cell>
          <cell r="X1023">
            <v>8</v>
          </cell>
          <cell r="Y1023">
            <v>8</v>
          </cell>
          <cell r="Z1023" t="str">
            <v>CN</v>
          </cell>
          <cell r="AA1023" t="str">
            <v>Đ</v>
          </cell>
          <cell r="AB1023" t="str">
            <v>Đ</v>
          </cell>
          <cell r="AC1023" t="str">
            <v>Đ</v>
          </cell>
          <cell r="AD1023" t="str">
            <v>Đ</v>
          </cell>
          <cell r="AE1023" t="str">
            <v>Đ</v>
          </cell>
          <cell r="AF1023" t="str">
            <v>AL4Đ</v>
          </cell>
          <cell r="AG1023" t="str">
            <v>CN</v>
          </cell>
          <cell r="AH1023">
            <v>8</v>
          </cell>
          <cell r="AI1023">
            <v>8</v>
          </cell>
          <cell r="AJ1023">
            <v>8</v>
          </cell>
          <cell r="AN1023">
            <v>92</v>
          </cell>
          <cell r="AO1023">
            <v>96</v>
          </cell>
          <cell r="AP1023">
            <v>0</v>
          </cell>
          <cell r="AQ1023">
            <v>0</v>
          </cell>
          <cell r="AR1023">
            <v>0</v>
          </cell>
          <cell r="AS1023">
            <v>0</v>
          </cell>
          <cell r="AT1023">
            <v>0</v>
          </cell>
          <cell r="AU1023">
            <v>0</v>
          </cell>
          <cell r="AV1023">
            <v>0</v>
          </cell>
          <cell r="AW1023">
            <v>0</v>
          </cell>
          <cell r="AX1023">
            <v>0</v>
          </cell>
          <cell r="AY1023">
            <v>0</v>
          </cell>
          <cell r="AZ1023">
            <v>0</v>
          </cell>
          <cell r="BA1023">
            <v>4</v>
          </cell>
          <cell r="BB1023">
            <v>0</v>
          </cell>
          <cell r="BC1023">
            <v>0</v>
          </cell>
          <cell r="BD1023">
            <v>0</v>
          </cell>
          <cell r="BE1023">
            <v>0</v>
          </cell>
          <cell r="BF1023">
            <v>0</v>
          </cell>
          <cell r="BG1023">
            <v>192</v>
          </cell>
          <cell r="BH1023">
            <v>0.5</v>
          </cell>
          <cell r="BI1023">
            <v>0.5</v>
          </cell>
          <cell r="BJ1023">
            <v>-0.5</v>
          </cell>
          <cell r="BL1023">
            <v>2</v>
          </cell>
          <cell r="BM1023">
            <v>0</v>
          </cell>
          <cell r="BN1023">
            <v>0</v>
          </cell>
          <cell r="BO1023">
            <v>0</v>
          </cell>
          <cell r="BP1023">
            <v>4</v>
          </cell>
          <cell r="BQ1023">
            <v>0</v>
          </cell>
          <cell r="BR1023">
            <v>0</v>
          </cell>
          <cell r="BS1023">
            <v>4</v>
          </cell>
          <cell r="BT1023">
            <v>0</v>
          </cell>
          <cell r="BU1023">
            <v>4</v>
          </cell>
          <cell r="BV1023">
            <v>0</v>
          </cell>
          <cell r="BW1023">
            <v>0</v>
          </cell>
          <cell r="BX1023">
            <v>2</v>
          </cell>
          <cell r="BY1023">
            <v>2</v>
          </cell>
          <cell r="BZ1023">
            <v>2</v>
          </cell>
          <cell r="CA1023">
            <v>0</v>
          </cell>
          <cell r="CB1023">
            <v>0</v>
          </cell>
          <cell r="CC1023">
            <v>0</v>
          </cell>
          <cell r="CD1023">
            <v>4</v>
          </cell>
          <cell r="CE1023">
            <v>0</v>
          </cell>
          <cell r="CF1023">
            <v>0</v>
          </cell>
          <cell r="CG1023">
            <v>4</v>
          </cell>
          <cell r="CH1023">
            <v>0</v>
          </cell>
          <cell r="CI1023">
            <v>0</v>
          </cell>
          <cell r="CJ1023">
            <v>0</v>
          </cell>
          <cell r="CK1023">
            <v>3.5</v>
          </cell>
          <cell r="CL1023">
            <v>0</v>
          </cell>
          <cell r="CM1023">
            <v>0</v>
          </cell>
          <cell r="CR1023">
            <v>0</v>
          </cell>
          <cell r="CS1023">
            <v>0</v>
          </cell>
          <cell r="CT1023">
            <v>31.5</v>
          </cell>
          <cell r="CU1023">
            <v>0</v>
          </cell>
          <cell r="CV1023">
            <v>0</v>
          </cell>
          <cell r="CZ1023">
            <v>31.5</v>
          </cell>
        </row>
        <row r="1024">
          <cell r="C1024" t="str">
            <v>04622</v>
          </cell>
          <cell r="D1024" t="str">
            <v>Đặng Thế Anh</v>
          </cell>
          <cell r="E1024" t="str">
            <v>CS</v>
          </cell>
          <cell r="F1024" t="str">
            <v>CS</v>
          </cell>
          <cell r="G1024" t="str">
            <v>Staff</v>
          </cell>
          <cell r="H1024">
            <v>45791</v>
          </cell>
          <cell r="I1024" t="str">
            <v>AL8</v>
          </cell>
          <cell r="J1024" t="str">
            <v>AL8</v>
          </cell>
          <cell r="K1024" t="str">
            <v>PO</v>
          </cell>
          <cell r="L1024" t="str">
            <v>CN</v>
          </cell>
          <cell r="M1024">
            <v>8</v>
          </cell>
          <cell r="N1024">
            <v>8</v>
          </cell>
          <cell r="O1024">
            <v>8</v>
          </cell>
          <cell r="P1024">
            <v>8</v>
          </cell>
          <cell r="Q1024">
            <v>8</v>
          </cell>
          <cell r="R1024" t="str">
            <v>PO</v>
          </cell>
          <cell r="S1024" t="str">
            <v>CN</v>
          </cell>
          <cell r="T1024">
            <v>8</v>
          </cell>
          <cell r="U1024">
            <v>8</v>
          </cell>
          <cell r="V1024">
            <v>8</v>
          </cell>
          <cell r="W1024">
            <v>8</v>
          </cell>
          <cell r="X1024">
            <v>8</v>
          </cell>
          <cell r="Y1024" t="str">
            <v>PO</v>
          </cell>
          <cell r="Z1024" t="str">
            <v>CN</v>
          </cell>
          <cell r="AA1024">
            <v>8</v>
          </cell>
          <cell r="AB1024">
            <v>8</v>
          </cell>
          <cell r="AC1024">
            <v>8</v>
          </cell>
          <cell r="AD1024">
            <v>8</v>
          </cell>
          <cell r="AE1024" t="str">
            <v>AL4</v>
          </cell>
          <cell r="AF1024" t="str">
            <v>PO</v>
          </cell>
          <cell r="AG1024" t="str">
            <v>CN</v>
          </cell>
          <cell r="AH1024">
            <v>8</v>
          </cell>
          <cell r="AI1024">
            <v>8</v>
          </cell>
          <cell r="AJ1024">
            <v>8</v>
          </cell>
          <cell r="AN1024">
            <v>0</v>
          </cell>
          <cell r="AO1024">
            <v>140</v>
          </cell>
          <cell r="AP1024">
            <v>4</v>
          </cell>
          <cell r="AQ1024">
            <v>0</v>
          </cell>
          <cell r="AR1024">
            <v>0</v>
          </cell>
          <cell r="AS1024">
            <v>0</v>
          </cell>
          <cell r="AT1024">
            <v>0</v>
          </cell>
          <cell r="AU1024">
            <v>0</v>
          </cell>
          <cell r="AV1024">
            <v>32</v>
          </cell>
          <cell r="AW1024">
            <v>0</v>
          </cell>
          <cell r="AX1024">
            <v>0</v>
          </cell>
          <cell r="AY1024">
            <v>0</v>
          </cell>
          <cell r="AZ1024">
            <v>0</v>
          </cell>
          <cell r="BA1024">
            <v>20</v>
          </cell>
          <cell r="BB1024">
            <v>0</v>
          </cell>
          <cell r="BC1024">
            <v>0</v>
          </cell>
          <cell r="BD1024">
            <v>0</v>
          </cell>
          <cell r="BE1024">
            <v>0</v>
          </cell>
          <cell r="BF1024">
            <v>0</v>
          </cell>
          <cell r="BG1024">
            <v>192</v>
          </cell>
          <cell r="BH1024">
            <v>2.5</v>
          </cell>
          <cell r="BI1024">
            <v>2.5</v>
          </cell>
          <cell r="BJ1024">
            <v>7.5</v>
          </cell>
          <cell r="BL1024">
            <v>0</v>
          </cell>
          <cell r="BM1024">
            <v>0</v>
          </cell>
          <cell r="BN1024">
            <v>0</v>
          </cell>
          <cell r="BO1024">
            <v>0</v>
          </cell>
          <cell r="BP1024">
            <v>2.5</v>
          </cell>
          <cell r="BQ1024">
            <v>2</v>
          </cell>
          <cell r="BR1024">
            <v>2</v>
          </cell>
          <cell r="BS1024">
            <v>0.5</v>
          </cell>
          <cell r="BT1024">
            <v>0.5</v>
          </cell>
          <cell r="BU1024">
            <v>0</v>
          </cell>
          <cell r="BV1024">
            <v>0</v>
          </cell>
          <cell r="BW1024">
            <v>2.25</v>
          </cell>
          <cell r="BX1024">
            <v>2.25</v>
          </cell>
          <cell r="BY1024">
            <v>0.75</v>
          </cell>
          <cell r="BZ1024">
            <v>0.75</v>
          </cell>
          <cell r="CA1024">
            <v>2.75</v>
          </cell>
          <cell r="CB1024">
            <v>0</v>
          </cell>
          <cell r="CC1024">
            <v>0</v>
          </cell>
          <cell r="CD1024">
            <v>1.5</v>
          </cell>
          <cell r="CE1024">
            <v>1.5</v>
          </cell>
          <cell r="CF1024">
            <v>1.25</v>
          </cell>
          <cell r="CG1024">
            <v>1.25</v>
          </cell>
          <cell r="CH1024">
            <v>2.25</v>
          </cell>
          <cell r="CI1024">
            <v>0</v>
          </cell>
          <cell r="CJ1024">
            <v>0</v>
          </cell>
          <cell r="CK1024">
            <v>1.75</v>
          </cell>
          <cell r="CL1024">
            <v>1.5</v>
          </cell>
          <cell r="CM1024">
            <v>0</v>
          </cell>
          <cell r="CR1024">
            <v>0</v>
          </cell>
          <cell r="CS1024">
            <v>0</v>
          </cell>
          <cell r="CT1024">
            <v>27.25</v>
          </cell>
          <cell r="CU1024">
            <v>0</v>
          </cell>
          <cell r="CV1024">
            <v>0</v>
          </cell>
          <cell r="CZ1024">
            <v>27.25</v>
          </cell>
        </row>
        <row r="1025">
          <cell r="C1025" t="str">
            <v>04623</v>
          </cell>
          <cell r="D1025" t="str">
            <v>Trần Nguyễn Trường Vy</v>
          </cell>
          <cell r="E1025" t="str">
            <v>CS</v>
          </cell>
          <cell r="F1025" t="str">
            <v>CS</v>
          </cell>
          <cell r="G1025" t="str">
            <v>Staff</v>
          </cell>
          <cell r="H1025">
            <v>45791</v>
          </cell>
          <cell r="I1025">
            <v>8</v>
          </cell>
          <cell r="J1025">
            <v>8</v>
          </cell>
          <cell r="K1025" t="str">
            <v>PO</v>
          </cell>
          <cell r="L1025" t="str">
            <v>CN</v>
          </cell>
          <cell r="M1025">
            <v>8</v>
          </cell>
          <cell r="N1025">
            <v>8</v>
          </cell>
          <cell r="O1025">
            <v>8</v>
          </cell>
          <cell r="P1025">
            <v>8</v>
          </cell>
          <cell r="Q1025">
            <v>8</v>
          </cell>
          <cell r="R1025" t="str">
            <v>PO</v>
          </cell>
          <cell r="S1025" t="str">
            <v>CN</v>
          </cell>
          <cell r="T1025">
            <v>8</v>
          </cell>
          <cell r="U1025">
            <v>8</v>
          </cell>
          <cell r="V1025" t="str">
            <v>AL8</v>
          </cell>
          <cell r="W1025">
            <v>8</v>
          </cell>
          <cell r="X1025">
            <v>8</v>
          </cell>
          <cell r="Y1025" t="str">
            <v>PO</v>
          </cell>
          <cell r="Z1025" t="str">
            <v>CN</v>
          </cell>
          <cell r="AA1025">
            <v>8</v>
          </cell>
          <cell r="AB1025">
            <v>8</v>
          </cell>
          <cell r="AC1025">
            <v>8</v>
          </cell>
          <cell r="AD1025">
            <v>8</v>
          </cell>
          <cell r="AE1025" t="str">
            <v>AL4</v>
          </cell>
          <cell r="AF1025" t="str">
            <v>PO</v>
          </cell>
          <cell r="AG1025" t="str">
            <v>CN</v>
          </cell>
          <cell r="AH1025">
            <v>8</v>
          </cell>
          <cell r="AI1025">
            <v>8</v>
          </cell>
          <cell r="AJ1025">
            <v>8</v>
          </cell>
          <cell r="AN1025">
            <v>0</v>
          </cell>
          <cell r="AO1025">
            <v>148</v>
          </cell>
          <cell r="AP1025">
            <v>4</v>
          </cell>
          <cell r="AQ1025">
            <v>0</v>
          </cell>
          <cell r="AR1025">
            <v>0</v>
          </cell>
          <cell r="AS1025">
            <v>0</v>
          </cell>
          <cell r="AT1025">
            <v>0</v>
          </cell>
          <cell r="AU1025">
            <v>0</v>
          </cell>
          <cell r="AV1025">
            <v>32</v>
          </cell>
          <cell r="AW1025">
            <v>0</v>
          </cell>
          <cell r="AX1025">
            <v>0</v>
          </cell>
          <cell r="AY1025">
            <v>0</v>
          </cell>
          <cell r="AZ1025">
            <v>0</v>
          </cell>
          <cell r="BA1025">
            <v>12</v>
          </cell>
          <cell r="BB1025">
            <v>0</v>
          </cell>
          <cell r="BC1025">
            <v>0</v>
          </cell>
          <cell r="BD1025">
            <v>0</v>
          </cell>
          <cell r="BE1025">
            <v>0</v>
          </cell>
          <cell r="BF1025">
            <v>0</v>
          </cell>
          <cell r="BG1025">
            <v>192</v>
          </cell>
          <cell r="BH1025">
            <v>1.5</v>
          </cell>
          <cell r="BI1025">
            <v>1.5</v>
          </cell>
          <cell r="BJ1025">
            <v>5</v>
          </cell>
          <cell r="BL1025">
            <v>1.5</v>
          </cell>
          <cell r="BM1025">
            <v>0.5</v>
          </cell>
          <cell r="BN1025">
            <v>0</v>
          </cell>
          <cell r="BO1025">
            <v>0</v>
          </cell>
          <cell r="BP1025">
            <v>0</v>
          </cell>
          <cell r="BQ1025">
            <v>1.5</v>
          </cell>
          <cell r="BR1025">
            <v>0</v>
          </cell>
          <cell r="BS1025">
            <v>1</v>
          </cell>
          <cell r="BT1025">
            <v>0</v>
          </cell>
          <cell r="BU1025">
            <v>0</v>
          </cell>
          <cell r="BV1025">
            <v>0</v>
          </cell>
          <cell r="BW1025">
            <v>0</v>
          </cell>
          <cell r="BX1025">
            <v>1.5</v>
          </cell>
          <cell r="BY1025">
            <v>0</v>
          </cell>
          <cell r="BZ1025">
            <v>0.5</v>
          </cell>
          <cell r="CA1025">
            <v>2</v>
          </cell>
          <cell r="CB1025">
            <v>0</v>
          </cell>
          <cell r="CC1025">
            <v>0</v>
          </cell>
          <cell r="CD1025">
            <v>0</v>
          </cell>
          <cell r="CE1025">
            <v>1.75</v>
          </cell>
          <cell r="CF1025">
            <v>1</v>
          </cell>
          <cell r="CG1025">
            <v>1.25</v>
          </cell>
          <cell r="CH1025">
            <v>0</v>
          </cell>
          <cell r="CI1025">
            <v>0</v>
          </cell>
          <cell r="CJ1025">
            <v>0</v>
          </cell>
          <cell r="CK1025">
            <v>0</v>
          </cell>
          <cell r="CL1025">
            <v>1</v>
          </cell>
          <cell r="CM1025">
            <v>2.5</v>
          </cell>
          <cell r="CR1025">
            <v>0</v>
          </cell>
          <cell r="CS1025">
            <v>0</v>
          </cell>
          <cell r="CT1025">
            <v>16</v>
          </cell>
          <cell r="CU1025">
            <v>0</v>
          </cell>
          <cell r="CV1025">
            <v>0</v>
          </cell>
          <cell r="CZ1025">
            <v>16</v>
          </cell>
        </row>
        <row r="1026">
          <cell r="C1026" t="str">
            <v>03280</v>
          </cell>
          <cell r="D1026" t="str">
            <v>Nguyễn Thị Ngọc Đáng</v>
          </cell>
          <cell r="E1026" t="str">
            <v>Production</v>
          </cell>
          <cell r="F1026" t="str">
            <v>Lamination</v>
          </cell>
          <cell r="G1026" t="str">
            <v>Worker</v>
          </cell>
          <cell r="H1026">
            <v>44610</v>
          </cell>
          <cell r="I1026">
            <v>8</v>
          </cell>
          <cell r="J1026">
            <v>8</v>
          </cell>
          <cell r="K1026">
            <v>8</v>
          </cell>
          <cell r="L1026" t="str">
            <v>CN</v>
          </cell>
          <cell r="M1026">
            <v>8</v>
          </cell>
          <cell r="N1026">
            <v>8</v>
          </cell>
          <cell r="O1026">
            <v>8</v>
          </cell>
          <cell r="P1026" t="str">
            <v>AL4</v>
          </cell>
          <cell r="Q1026">
            <v>8</v>
          </cell>
          <cell r="R1026">
            <v>8</v>
          </cell>
          <cell r="S1026" t="str">
            <v>CN</v>
          </cell>
          <cell r="T1026" t="str">
            <v>Đ</v>
          </cell>
          <cell r="U1026" t="str">
            <v>Đ</v>
          </cell>
          <cell r="V1026" t="str">
            <v>Đ</v>
          </cell>
          <cell r="W1026" t="str">
            <v>Đ</v>
          </cell>
          <cell r="X1026" t="str">
            <v>Đ</v>
          </cell>
          <cell r="Y1026" t="str">
            <v>Đ</v>
          </cell>
          <cell r="Z1026" t="str">
            <v>CN</v>
          </cell>
          <cell r="AA1026" t="str">
            <v>Đ</v>
          </cell>
          <cell r="AB1026" t="str">
            <v>Đ</v>
          </cell>
          <cell r="AC1026" t="str">
            <v>Đ</v>
          </cell>
          <cell r="AD1026" t="str">
            <v>Đ</v>
          </cell>
          <cell r="AE1026" t="str">
            <v>CN</v>
          </cell>
          <cell r="AF1026">
            <v>8</v>
          </cell>
          <cell r="AG1026" t="str">
            <v>Đ</v>
          </cell>
          <cell r="AH1026" t="str">
            <v>Đ</v>
          </cell>
          <cell r="AI1026" t="str">
            <v>Đ</v>
          </cell>
          <cell r="AJ1026" t="str">
            <v>Đ</v>
          </cell>
          <cell r="AN1026">
            <v>112</v>
          </cell>
          <cell r="AO1026">
            <v>76</v>
          </cell>
          <cell r="AP1026">
            <v>4</v>
          </cell>
          <cell r="AQ1026">
            <v>0</v>
          </cell>
          <cell r="AR1026">
            <v>0</v>
          </cell>
          <cell r="AS1026">
            <v>0</v>
          </cell>
          <cell r="AT1026">
            <v>0</v>
          </cell>
          <cell r="AU1026">
            <v>0</v>
          </cell>
          <cell r="AV1026">
            <v>0</v>
          </cell>
          <cell r="AW1026">
            <v>0</v>
          </cell>
          <cell r="AX1026">
            <v>0</v>
          </cell>
          <cell r="AY1026">
            <v>0</v>
          </cell>
          <cell r="AZ1026">
            <v>0</v>
          </cell>
          <cell r="BA1026">
            <v>4</v>
          </cell>
          <cell r="BB1026">
            <v>0</v>
          </cell>
          <cell r="BC1026">
            <v>0</v>
          </cell>
          <cell r="BD1026">
            <v>0</v>
          </cell>
          <cell r="BE1026">
            <v>0</v>
          </cell>
          <cell r="BF1026">
            <v>0</v>
          </cell>
          <cell r="BG1026">
            <v>192</v>
          </cell>
          <cell r="BH1026">
            <v>0.5</v>
          </cell>
          <cell r="BI1026">
            <v>0.5</v>
          </cell>
          <cell r="BJ1026">
            <v>0.5</v>
          </cell>
          <cell r="BL1026">
            <v>0</v>
          </cell>
          <cell r="BM1026">
            <v>0</v>
          </cell>
          <cell r="BN1026">
            <v>0</v>
          </cell>
          <cell r="BO1026">
            <v>0</v>
          </cell>
          <cell r="BP1026">
            <v>4</v>
          </cell>
          <cell r="BQ1026">
            <v>4</v>
          </cell>
          <cell r="BR1026">
            <v>0</v>
          </cell>
          <cell r="BS1026">
            <v>0</v>
          </cell>
          <cell r="BT1026">
            <v>4</v>
          </cell>
          <cell r="BU1026">
            <v>0</v>
          </cell>
          <cell r="BV1026">
            <v>0</v>
          </cell>
          <cell r="BW1026">
            <v>0</v>
          </cell>
          <cell r="BX1026">
            <v>4</v>
          </cell>
          <cell r="BY1026">
            <v>0</v>
          </cell>
          <cell r="BZ1026">
            <v>0</v>
          </cell>
          <cell r="CA1026">
            <v>0</v>
          </cell>
          <cell r="CB1026">
            <v>0</v>
          </cell>
          <cell r="CC1026">
            <v>0</v>
          </cell>
          <cell r="CD1026">
            <v>0</v>
          </cell>
          <cell r="CE1026">
            <v>0</v>
          </cell>
          <cell r="CF1026">
            <v>0</v>
          </cell>
          <cell r="CG1026">
            <v>0</v>
          </cell>
          <cell r="CH1026">
            <v>0</v>
          </cell>
          <cell r="CI1026">
            <v>4</v>
          </cell>
          <cell r="CJ1026">
            <v>4</v>
          </cell>
          <cell r="CK1026">
            <v>4</v>
          </cell>
          <cell r="CL1026">
            <v>0</v>
          </cell>
          <cell r="CM1026">
            <v>0</v>
          </cell>
          <cell r="CR1026">
            <v>0</v>
          </cell>
          <cell r="CS1026">
            <v>0</v>
          </cell>
          <cell r="CT1026">
            <v>28</v>
          </cell>
          <cell r="CU1026">
            <v>0</v>
          </cell>
          <cell r="CV1026">
            <v>0</v>
          </cell>
          <cell r="CZ1026">
            <v>28</v>
          </cell>
        </row>
        <row r="1027">
          <cell r="C1027" t="str">
            <v>03534</v>
          </cell>
          <cell r="D1027" t="str">
            <v>Phan Thị Bé Thu</v>
          </cell>
          <cell r="E1027" t="str">
            <v>Production</v>
          </cell>
          <cell r="F1027" t="str">
            <v>Molding</v>
          </cell>
          <cell r="G1027" t="str">
            <v>Worker</v>
          </cell>
          <cell r="H1027">
            <v>44707</v>
          </cell>
          <cell r="I1027" t="str">
            <v>AL8</v>
          </cell>
          <cell r="J1027" t="str">
            <v>Đ</v>
          </cell>
          <cell r="K1027" t="str">
            <v>CN</v>
          </cell>
          <cell r="L1027" t="str">
            <v>UP8</v>
          </cell>
          <cell r="M1027" t="str">
            <v>SL</v>
          </cell>
          <cell r="N1027" t="str">
            <v>SL</v>
          </cell>
          <cell r="O1027" t="str">
            <v>SL</v>
          </cell>
          <cell r="P1027" t="str">
            <v>SL</v>
          </cell>
          <cell r="Q1027" t="str">
            <v>SL</v>
          </cell>
          <cell r="R1027" t="str">
            <v>CN</v>
          </cell>
          <cell r="S1027" t="str">
            <v>SL</v>
          </cell>
          <cell r="T1027" t="str">
            <v>SL</v>
          </cell>
          <cell r="U1027" t="str">
            <v>SL</v>
          </cell>
          <cell r="V1027" t="str">
            <v>SL</v>
          </cell>
          <cell r="W1027" t="str">
            <v>SL</v>
          </cell>
          <cell r="X1027" t="str">
            <v>SL</v>
          </cell>
          <cell r="Y1027" t="str">
            <v>CN</v>
          </cell>
          <cell r="Z1027" t="str">
            <v>SL</v>
          </cell>
          <cell r="AA1027" t="str">
            <v>SL</v>
          </cell>
          <cell r="AB1027" t="str">
            <v>SL</v>
          </cell>
          <cell r="AC1027" t="str">
            <v>SL</v>
          </cell>
          <cell r="AD1027" t="str">
            <v>SL</v>
          </cell>
          <cell r="AE1027" t="str">
            <v>SL</v>
          </cell>
          <cell r="AF1027" t="str">
            <v>CN</v>
          </cell>
          <cell r="AG1027" t="str">
            <v>SL</v>
          </cell>
          <cell r="AH1027" t="str">
            <v>SL</v>
          </cell>
          <cell r="AI1027" t="str">
            <v>SL</v>
          </cell>
          <cell r="AJ1027" t="str">
            <v>SL</v>
          </cell>
          <cell r="AN1027">
            <v>8</v>
          </cell>
          <cell r="AO1027">
            <v>0</v>
          </cell>
          <cell r="AP1027">
            <v>0</v>
          </cell>
          <cell r="AQ1027">
            <v>21</v>
          </cell>
          <cell r="AR1027">
            <v>0</v>
          </cell>
          <cell r="AS1027">
            <v>8</v>
          </cell>
          <cell r="AT1027">
            <v>0</v>
          </cell>
          <cell r="AU1027">
            <v>0</v>
          </cell>
          <cell r="AV1027">
            <v>0</v>
          </cell>
          <cell r="AW1027">
            <v>0</v>
          </cell>
          <cell r="AX1027">
            <v>0</v>
          </cell>
          <cell r="AY1027">
            <v>0</v>
          </cell>
          <cell r="AZ1027">
            <v>0</v>
          </cell>
          <cell r="BA1027">
            <v>8</v>
          </cell>
          <cell r="BB1027">
            <v>0</v>
          </cell>
          <cell r="BC1027">
            <v>0</v>
          </cell>
          <cell r="BD1027">
            <v>0</v>
          </cell>
          <cell r="BE1027">
            <v>0</v>
          </cell>
          <cell r="BF1027">
            <v>0</v>
          </cell>
          <cell r="BG1027">
            <v>16</v>
          </cell>
          <cell r="BH1027">
            <v>1</v>
          </cell>
          <cell r="BI1027">
            <v>1</v>
          </cell>
          <cell r="BJ1027">
            <v>-4</v>
          </cell>
          <cell r="BL1027">
            <v>0</v>
          </cell>
          <cell r="BM1027">
            <v>0</v>
          </cell>
          <cell r="BN1027">
            <v>0</v>
          </cell>
          <cell r="BO1027">
            <v>0</v>
          </cell>
          <cell r="BP1027">
            <v>0</v>
          </cell>
          <cell r="BQ1027">
            <v>0</v>
          </cell>
          <cell r="BR1027">
            <v>0</v>
          </cell>
          <cell r="BS1027">
            <v>0</v>
          </cell>
          <cell r="BT1027">
            <v>0</v>
          </cell>
          <cell r="BU1027">
            <v>0</v>
          </cell>
          <cell r="BV1027">
            <v>0</v>
          </cell>
          <cell r="BW1027">
            <v>0</v>
          </cell>
          <cell r="BX1027">
            <v>0</v>
          </cell>
          <cell r="BY1027">
            <v>0</v>
          </cell>
          <cell r="BZ1027">
            <v>0</v>
          </cell>
          <cell r="CA1027">
            <v>0</v>
          </cell>
          <cell r="CB1027">
            <v>0</v>
          </cell>
          <cell r="CC1027">
            <v>0</v>
          </cell>
          <cell r="CD1027">
            <v>0</v>
          </cell>
          <cell r="CE1027">
            <v>0</v>
          </cell>
          <cell r="CF1027">
            <v>0</v>
          </cell>
          <cell r="CG1027">
            <v>0</v>
          </cell>
          <cell r="CH1027">
            <v>0</v>
          </cell>
          <cell r="CI1027">
            <v>0</v>
          </cell>
          <cell r="CJ1027">
            <v>0</v>
          </cell>
          <cell r="CK1027">
            <v>0</v>
          </cell>
          <cell r="CL1027">
            <v>0</v>
          </cell>
          <cell r="CM1027">
            <v>0</v>
          </cell>
          <cell r="CR1027">
            <v>0</v>
          </cell>
          <cell r="CS1027">
            <v>0</v>
          </cell>
          <cell r="CT1027">
            <v>0</v>
          </cell>
          <cell r="CU1027">
            <v>0</v>
          </cell>
          <cell r="CV1027">
            <v>0</v>
          </cell>
          <cell r="CZ1027">
            <v>0</v>
          </cell>
        </row>
        <row r="1028">
          <cell r="C1028" t="str">
            <v>02409</v>
          </cell>
          <cell r="D1028" t="str">
            <v>Đinh Thị Ngọc Điệp</v>
          </cell>
          <cell r="E1028" t="str">
            <v>Production office</v>
          </cell>
          <cell r="F1028" t="str">
            <v>Production office</v>
          </cell>
          <cell r="G1028" t="str">
            <v>Senior Staff</v>
          </cell>
          <cell r="H1028">
            <v>44053</v>
          </cell>
          <cell r="I1028">
            <v>8</v>
          </cell>
          <cell r="J1028">
            <v>8</v>
          </cell>
          <cell r="K1028" t="str">
            <v>PO</v>
          </cell>
          <cell r="L1028" t="str">
            <v>CN</v>
          </cell>
          <cell r="M1028">
            <v>8</v>
          </cell>
          <cell r="N1028" t="str">
            <v>AL4</v>
          </cell>
          <cell r="O1028">
            <v>8</v>
          </cell>
          <cell r="P1028">
            <v>8</v>
          </cell>
          <cell r="Q1028" t="str">
            <v>PO</v>
          </cell>
          <cell r="R1028" t="str">
            <v>PO</v>
          </cell>
          <cell r="S1028" t="str">
            <v>CN</v>
          </cell>
          <cell r="T1028">
            <v>8</v>
          </cell>
          <cell r="U1028" t="str">
            <v>AL4</v>
          </cell>
          <cell r="V1028">
            <v>8</v>
          </cell>
          <cell r="W1028">
            <v>8</v>
          </cell>
          <cell r="X1028">
            <v>8</v>
          </cell>
          <cell r="Y1028" t="str">
            <v>PO</v>
          </cell>
          <cell r="Z1028" t="str">
            <v>CN</v>
          </cell>
          <cell r="AA1028">
            <v>8</v>
          </cell>
          <cell r="AB1028" t="str">
            <v>WH</v>
          </cell>
          <cell r="AC1028">
            <v>8</v>
          </cell>
          <cell r="AD1028">
            <v>8</v>
          </cell>
          <cell r="AE1028" t="str">
            <v>AL8</v>
          </cell>
          <cell r="AF1028" t="str">
            <v>PO</v>
          </cell>
          <cell r="AG1028" t="str">
            <v>CN</v>
          </cell>
          <cell r="AH1028">
            <v>8</v>
          </cell>
          <cell r="AI1028">
            <v>8</v>
          </cell>
          <cell r="AJ1028">
            <v>8</v>
          </cell>
          <cell r="AN1028">
            <v>0</v>
          </cell>
          <cell r="AO1028">
            <v>128</v>
          </cell>
          <cell r="AP1028">
            <v>8</v>
          </cell>
          <cell r="AQ1028">
            <v>0</v>
          </cell>
          <cell r="AR1028">
            <v>0</v>
          </cell>
          <cell r="AS1028">
            <v>0</v>
          </cell>
          <cell r="AT1028">
            <v>0</v>
          </cell>
          <cell r="AU1028">
            <v>0</v>
          </cell>
          <cell r="AV1028">
            <v>40</v>
          </cell>
          <cell r="AW1028">
            <v>0</v>
          </cell>
          <cell r="AX1028">
            <v>0</v>
          </cell>
          <cell r="AY1028">
            <v>0</v>
          </cell>
          <cell r="AZ1028">
            <v>0</v>
          </cell>
          <cell r="BA1028">
            <v>16</v>
          </cell>
          <cell r="BB1028">
            <v>0</v>
          </cell>
          <cell r="BC1028">
            <v>0</v>
          </cell>
          <cell r="BD1028">
            <v>8</v>
          </cell>
          <cell r="BE1028">
            <v>0</v>
          </cell>
          <cell r="BF1028">
            <v>0</v>
          </cell>
          <cell r="BG1028">
            <v>192</v>
          </cell>
          <cell r="BH1028">
            <v>2</v>
          </cell>
          <cell r="BI1028">
            <v>2</v>
          </cell>
          <cell r="BJ1028">
            <v>6</v>
          </cell>
          <cell r="BL1028">
            <v>0</v>
          </cell>
          <cell r="BM1028">
            <v>0</v>
          </cell>
          <cell r="BN1028">
            <v>0</v>
          </cell>
          <cell r="BO1028">
            <v>0</v>
          </cell>
          <cell r="BP1028">
            <v>0</v>
          </cell>
          <cell r="BQ1028">
            <v>0</v>
          </cell>
          <cell r="BR1028">
            <v>0</v>
          </cell>
          <cell r="BS1028">
            <v>0</v>
          </cell>
          <cell r="BT1028">
            <v>0</v>
          </cell>
          <cell r="BU1028">
            <v>0</v>
          </cell>
          <cell r="BV1028">
            <v>0</v>
          </cell>
          <cell r="BW1028">
            <v>0</v>
          </cell>
          <cell r="BX1028">
            <v>0</v>
          </cell>
          <cell r="BY1028">
            <v>0</v>
          </cell>
          <cell r="BZ1028">
            <v>0</v>
          </cell>
          <cell r="CA1028">
            <v>0</v>
          </cell>
          <cell r="CB1028">
            <v>0</v>
          </cell>
          <cell r="CC1028">
            <v>0</v>
          </cell>
          <cell r="CD1028">
            <v>0</v>
          </cell>
          <cell r="CE1028">
            <v>0</v>
          </cell>
          <cell r="CF1028">
            <v>0</v>
          </cell>
          <cell r="CG1028">
            <v>0</v>
          </cell>
          <cell r="CH1028">
            <v>0</v>
          </cell>
          <cell r="CI1028">
            <v>0</v>
          </cell>
          <cell r="CJ1028">
            <v>0</v>
          </cell>
          <cell r="CK1028">
            <v>0</v>
          </cell>
          <cell r="CL1028">
            <v>0</v>
          </cell>
          <cell r="CM1028">
            <v>0</v>
          </cell>
          <cell r="CR1028">
            <v>0</v>
          </cell>
          <cell r="CS1028">
            <v>0</v>
          </cell>
          <cell r="CT1028">
            <v>0</v>
          </cell>
          <cell r="CU1028">
            <v>0</v>
          </cell>
          <cell r="CV1028">
            <v>0</v>
          </cell>
          <cell r="CZ1028">
            <v>0</v>
          </cell>
        </row>
        <row r="1029">
          <cell r="C1029" t="str">
            <v>04625</v>
          </cell>
          <cell r="D1029" t="str">
            <v>Dương Hoàng Ngọc</v>
          </cell>
          <cell r="E1029" t="str">
            <v>Production</v>
          </cell>
          <cell r="F1029" t="str">
            <v>Lamination</v>
          </cell>
          <cell r="G1029" t="str">
            <v>Worker</v>
          </cell>
          <cell r="H1029">
            <v>45803</v>
          </cell>
          <cell r="I1029">
            <v>8</v>
          </cell>
          <cell r="J1029">
            <v>8</v>
          </cell>
          <cell r="K1029">
            <v>8</v>
          </cell>
          <cell r="L1029" t="str">
            <v>CN</v>
          </cell>
          <cell r="M1029">
            <v>8</v>
          </cell>
          <cell r="N1029" t="str">
            <v>AL4</v>
          </cell>
          <cell r="O1029">
            <v>8</v>
          </cell>
          <cell r="P1029">
            <v>8</v>
          </cell>
          <cell r="Q1029">
            <v>8</v>
          </cell>
          <cell r="R1029">
            <v>8</v>
          </cell>
          <cell r="S1029" t="str">
            <v>CN</v>
          </cell>
          <cell r="T1029" t="str">
            <v>Đ</v>
          </cell>
          <cell r="U1029" t="str">
            <v>Đ</v>
          </cell>
          <cell r="V1029" t="str">
            <v>Đ</v>
          </cell>
          <cell r="W1029" t="str">
            <v>Đ</v>
          </cell>
          <cell r="X1029" t="str">
            <v>Đ</v>
          </cell>
          <cell r="Y1029" t="str">
            <v>Đ</v>
          </cell>
          <cell r="Z1029" t="str">
            <v>CN</v>
          </cell>
          <cell r="AA1029" t="str">
            <v>Đ</v>
          </cell>
          <cell r="AB1029" t="str">
            <v>Đ</v>
          </cell>
          <cell r="AC1029" t="str">
            <v>Đ</v>
          </cell>
          <cell r="AD1029" t="str">
            <v>Đ</v>
          </cell>
          <cell r="AE1029" t="str">
            <v>CN</v>
          </cell>
          <cell r="AF1029">
            <v>8</v>
          </cell>
          <cell r="AG1029" t="str">
            <v>Đ</v>
          </cell>
          <cell r="AH1029" t="str">
            <v>Đ</v>
          </cell>
          <cell r="AI1029" t="str">
            <v>Đ</v>
          </cell>
          <cell r="AJ1029" t="str">
            <v>Đ</v>
          </cell>
          <cell r="AN1029">
            <v>112</v>
          </cell>
          <cell r="AO1029">
            <v>76</v>
          </cell>
          <cell r="AP1029">
            <v>4</v>
          </cell>
          <cell r="AQ1029">
            <v>0</v>
          </cell>
          <cell r="AR1029">
            <v>0</v>
          </cell>
          <cell r="AS1029">
            <v>0</v>
          </cell>
          <cell r="AT1029">
            <v>0</v>
          </cell>
          <cell r="AU1029">
            <v>0</v>
          </cell>
          <cell r="AV1029">
            <v>0</v>
          </cell>
          <cell r="AW1029">
            <v>0</v>
          </cell>
          <cell r="AX1029">
            <v>0</v>
          </cell>
          <cell r="AY1029">
            <v>0</v>
          </cell>
          <cell r="AZ1029">
            <v>0</v>
          </cell>
          <cell r="BA1029">
            <v>4</v>
          </cell>
          <cell r="BB1029">
            <v>0</v>
          </cell>
          <cell r="BC1029">
            <v>0</v>
          </cell>
          <cell r="BD1029">
            <v>0</v>
          </cell>
          <cell r="BE1029">
            <v>0</v>
          </cell>
          <cell r="BF1029">
            <v>0</v>
          </cell>
          <cell r="BG1029">
            <v>192</v>
          </cell>
          <cell r="BH1029">
            <v>0.5</v>
          </cell>
          <cell r="BI1029">
            <v>0.5</v>
          </cell>
          <cell r="BJ1029">
            <v>1.5</v>
          </cell>
          <cell r="BL1029">
            <v>0</v>
          </cell>
          <cell r="BM1029">
            <v>0</v>
          </cell>
          <cell r="BN1029">
            <v>0</v>
          </cell>
          <cell r="BO1029">
            <v>0</v>
          </cell>
          <cell r="BP1029">
            <v>0</v>
          </cell>
          <cell r="BQ1029">
            <v>0</v>
          </cell>
          <cell r="BR1029">
            <v>4</v>
          </cell>
          <cell r="BS1029">
            <v>0</v>
          </cell>
          <cell r="BT1029">
            <v>4</v>
          </cell>
          <cell r="BU1029">
            <v>4</v>
          </cell>
          <cell r="BV1029">
            <v>0</v>
          </cell>
          <cell r="BW1029">
            <v>0</v>
          </cell>
          <cell r="BX1029">
            <v>0</v>
          </cell>
          <cell r="BY1029">
            <v>0</v>
          </cell>
          <cell r="BZ1029">
            <v>4</v>
          </cell>
          <cell r="CA1029">
            <v>0</v>
          </cell>
          <cell r="CB1029">
            <v>4</v>
          </cell>
          <cell r="CC1029">
            <v>0</v>
          </cell>
          <cell r="CD1029">
            <v>0</v>
          </cell>
          <cell r="CE1029">
            <v>0</v>
          </cell>
          <cell r="CF1029">
            <v>4</v>
          </cell>
          <cell r="CG1029">
            <v>0</v>
          </cell>
          <cell r="CH1029">
            <v>0</v>
          </cell>
          <cell r="CI1029">
            <v>4</v>
          </cell>
          <cell r="CJ1029">
            <v>4</v>
          </cell>
          <cell r="CK1029">
            <v>0</v>
          </cell>
          <cell r="CL1029">
            <v>0</v>
          </cell>
          <cell r="CM1029">
            <v>4</v>
          </cell>
          <cell r="CR1029">
            <v>0</v>
          </cell>
          <cell r="CS1029">
            <v>0</v>
          </cell>
          <cell r="CT1029">
            <v>36</v>
          </cell>
          <cell r="CU1029">
            <v>0</v>
          </cell>
          <cell r="CV1029">
            <v>0</v>
          </cell>
          <cell r="CZ1029">
            <v>36</v>
          </cell>
        </row>
        <row r="1030">
          <cell r="C1030" t="str">
            <v>04626</v>
          </cell>
          <cell r="D1030" t="str">
            <v>Đỗ Nhật Tường</v>
          </cell>
          <cell r="E1030" t="str">
            <v>Production</v>
          </cell>
          <cell r="F1030" t="str">
            <v>Lamination</v>
          </cell>
          <cell r="G1030" t="str">
            <v>Worker</v>
          </cell>
          <cell r="H1030">
            <v>45803</v>
          </cell>
          <cell r="I1030">
            <v>8</v>
          </cell>
          <cell r="J1030">
            <v>8</v>
          </cell>
          <cell r="K1030">
            <v>8</v>
          </cell>
          <cell r="L1030" t="str">
            <v>CN</v>
          </cell>
          <cell r="M1030">
            <v>8</v>
          </cell>
          <cell r="N1030">
            <v>8</v>
          </cell>
          <cell r="O1030">
            <v>8</v>
          </cell>
          <cell r="P1030">
            <v>8</v>
          </cell>
          <cell r="Q1030">
            <v>8</v>
          </cell>
          <cell r="R1030">
            <v>8</v>
          </cell>
          <cell r="S1030" t="str">
            <v>CN</v>
          </cell>
          <cell r="T1030" t="str">
            <v>AL4</v>
          </cell>
          <cell r="U1030">
            <v>8</v>
          </cell>
          <cell r="V1030">
            <v>8</v>
          </cell>
          <cell r="W1030">
            <v>8</v>
          </cell>
          <cell r="X1030" t="str">
            <v>CN</v>
          </cell>
          <cell r="Y1030">
            <v>8</v>
          </cell>
          <cell r="Z1030" t="str">
            <v>Đ</v>
          </cell>
          <cell r="AA1030" t="str">
            <v>Đ</v>
          </cell>
          <cell r="AB1030" t="str">
            <v>Đ</v>
          </cell>
          <cell r="AC1030" t="str">
            <v>Đ</v>
          </cell>
          <cell r="AD1030" t="str">
            <v>Đ</v>
          </cell>
          <cell r="AE1030" t="str">
            <v>CN</v>
          </cell>
          <cell r="AF1030">
            <v>8</v>
          </cell>
          <cell r="AG1030" t="str">
            <v>Đ</v>
          </cell>
          <cell r="AH1030" t="str">
            <v>Đ</v>
          </cell>
          <cell r="AI1030" t="str">
            <v>Đ</v>
          </cell>
          <cell r="AJ1030" t="str">
            <v>Đ</v>
          </cell>
          <cell r="AN1030">
            <v>72</v>
          </cell>
          <cell r="AO1030">
            <v>116</v>
          </cell>
          <cell r="AP1030">
            <v>4</v>
          </cell>
          <cell r="AQ1030">
            <v>0</v>
          </cell>
          <cell r="AR1030">
            <v>0</v>
          </cell>
          <cell r="AS1030">
            <v>0</v>
          </cell>
          <cell r="AT1030">
            <v>0</v>
          </cell>
          <cell r="AU1030">
            <v>0</v>
          </cell>
          <cell r="AV1030">
            <v>0</v>
          </cell>
          <cell r="AW1030">
            <v>0</v>
          </cell>
          <cell r="AX1030">
            <v>0</v>
          </cell>
          <cell r="AY1030">
            <v>0</v>
          </cell>
          <cell r="AZ1030">
            <v>0</v>
          </cell>
          <cell r="BA1030">
            <v>4</v>
          </cell>
          <cell r="BB1030">
            <v>0</v>
          </cell>
          <cell r="BC1030">
            <v>0</v>
          </cell>
          <cell r="BD1030">
            <v>0</v>
          </cell>
          <cell r="BE1030">
            <v>0</v>
          </cell>
          <cell r="BF1030">
            <v>0</v>
          </cell>
          <cell r="BG1030">
            <v>192</v>
          </cell>
          <cell r="BH1030">
            <v>0.5</v>
          </cell>
          <cell r="BI1030">
            <v>0.5</v>
          </cell>
          <cell r="BJ1030">
            <v>0</v>
          </cell>
          <cell r="BL1030">
            <v>0</v>
          </cell>
          <cell r="BM1030">
            <v>0</v>
          </cell>
          <cell r="BN1030">
            <v>4</v>
          </cell>
          <cell r="BO1030">
            <v>0</v>
          </cell>
          <cell r="BP1030">
            <v>0</v>
          </cell>
          <cell r="BQ1030">
            <v>4</v>
          </cell>
          <cell r="BR1030">
            <v>0</v>
          </cell>
          <cell r="BS1030">
            <v>4</v>
          </cell>
          <cell r="BT1030">
            <v>0</v>
          </cell>
          <cell r="BU1030">
            <v>4</v>
          </cell>
          <cell r="BV1030">
            <v>0</v>
          </cell>
          <cell r="BW1030">
            <v>0</v>
          </cell>
          <cell r="BX1030">
            <v>0</v>
          </cell>
          <cell r="BY1030">
            <v>0</v>
          </cell>
          <cell r="BZ1030">
            <v>0</v>
          </cell>
          <cell r="CA1030">
            <v>0</v>
          </cell>
          <cell r="CB1030">
            <v>4</v>
          </cell>
          <cell r="CC1030">
            <v>4</v>
          </cell>
          <cell r="CD1030">
            <v>0</v>
          </cell>
          <cell r="CE1030">
            <v>0</v>
          </cell>
          <cell r="CF1030">
            <v>0</v>
          </cell>
          <cell r="CG1030">
            <v>4</v>
          </cell>
          <cell r="CH1030">
            <v>0</v>
          </cell>
          <cell r="CI1030">
            <v>4</v>
          </cell>
          <cell r="CJ1030">
            <v>4</v>
          </cell>
          <cell r="CK1030">
            <v>4</v>
          </cell>
          <cell r="CL1030">
            <v>0</v>
          </cell>
          <cell r="CM1030">
            <v>0</v>
          </cell>
          <cell r="CR1030">
            <v>0</v>
          </cell>
          <cell r="CS1030">
            <v>0</v>
          </cell>
          <cell r="CT1030">
            <v>40</v>
          </cell>
          <cell r="CU1030">
            <v>0</v>
          </cell>
          <cell r="CV1030">
            <v>0</v>
          </cell>
          <cell r="CZ1030">
            <v>40</v>
          </cell>
        </row>
        <row r="1031">
          <cell r="C1031" t="str">
            <v>04627</v>
          </cell>
          <cell r="D1031" t="str">
            <v>Hồng Thấm</v>
          </cell>
          <cell r="E1031" t="str">
            <v>Production</v>
          </cell>
          <cell r="F1031" t="str">
            <v>Lamination</v>
          </cell>
          <cell r="G1031" t="str">
            <v>Worker</v>
          </cell>
          <cell r="H1031">
            <v>45803</v>
          </cell>
          <cell r="I1031" t="str">
            <v>Đ</v>
          </cell>
          <cell r="J1031" t="str">
            <v>Đ</v>
          </cell>
          <cell r="K1031" t="str">
            <v>Đ</v>
          </cell>
          <cell r="L1031" t="str">
            <v>CN</v>
          </cell>
          <cell r="M1031">
            <v>8</v>
          </cell>
          <cell r="N1031">
            <v>8</v>
          </cell>
          <cell r="O1031">
            <v>8</v>
          </cell>
          <cell r="P1031">
            <v>8</v>
          </cell>
          <cell r="Q1031">
            <v>8</v>
          </cell>
          <cell r="R1031">
            <v>8</v>
          </cell>
          <cell r="S1031" t="str">
            <v>CN</v>
          </cell>
          <cell r="T1031">
            <v>8</v>
          </cell>
          <cell r="U1031">
            <v>8</v>
          </cell>
          <cell r="V1031">
            <v>8</v>
          </cell>
          <cell r="W1031" t="str">
            <v>AL8</v>
          </cell>
          <cell r="X1031">
            <v>8</v>
          </cell>
          <cell r="Y1031">
            <v>8</v>
          </cell>
          <cell r="Z1031" t="str">
            <v>CN</v>
          </cell>
          <cell r="AA1031">
            <v>8</v>
          </cell>
          <cell r="AB1031">
            <v>8</v>
          </cell>
          <cell r="AC1031">
            <v>8</v>
          </cell>
          <cell r="AD1031">
            <v>8</v>
          </cell>
          <cell r="AE1031">
            <v>8</v>
          </cell>
          <cell r="AF1031" t="str">
            <v>CN</v>
          </cell>
          <cell r="AG1031">
            <v>8</v>
          </cell>
          <cell r="AH1031">
            <v>8</v>
          </cell>
          <cell r="AI1031">
            <v>8</v>
          </cell>
          <cell r="AJ1031">
            <v>8</v>
          </cell>
          <cell r="AN1031">
            <v>24</v>
          </cell>
          <cell r="AO1031">
            <v>160</v>
          </cell>
          <cell r="AP1031">
            <v>0</v>
          </cell>
          <cell r="AQ1031">
            <v>0</v>
          </cell>
          <cell r="AR1031">
            <v>0</v>
          </cell>
          <cell r="AS1031">
            <v>0</v>
          </cell>
          <cell r="AT1031">
            <v>0</v>
          </cell>
          <cell r="AU1031">
            <v>0</v>
          </cell>
          <cell r="AV1031">
            <v>0</v>
          </cell>
          <cell r="AW1031">
            <v>0</v>
          </cell>
          <cell r="AX1031">
            <v>0</v>
          </cell>
          <cell r="AY1031">
            <v>0</v>
          </cell>
          <cell r="AZ1031">
            <v>0</v>
          </cell>
          <cell r="BA1031">
            <v>8</v>
          </cell>
          <cell r="BB1031">
            <v>0</v>
          </cell>
          <cell r="BC1031">
            <v>0</v>
          </cell>
          <cell r="BD1031">
            <v>0</v>
          </cell>
          <cell r="BE1031">
            <v>0</v>
          </cell>
          <cell r="BF1031">
            <v>0</v>
          </cell>
          <cell r="BG1031">
            <v>192</v>
          </cell>
          <cell r="BH1031">
            <v>1</v>
          </cell>
          <cell r="BI1031">
            <v>1</v>
          </cell>
          <cell r="BJ1031">
            <v>5.5</v>
          </cell>
          <cell r="BL1031">
            <v>0</v>
          </cell>
          <cell r="BM1031">
            <v>0</v>
          </cell>
          <cell r="BN1031">
            <v>0</v>
          </cell>
          <cell r="BO1031">
            <v>0</v>
          </cell>
          <cell r="BP1031">
            <v>0</v>
          </cell>
          <cell r="BQ1031">
            <v>0</v>
          </cell>
          <cell r="BR1031">
            <v>0</v>
          </cell>
          <cell r="BS1031">
            <v>0</v>
          </cell>
          <cell r="BT1031">
            <v>0</v>
          </cell>
          <cell r="BU1031">
            <v>4</v>
          </cell>
          <cell r="BV1031">
            <v>0</v>
          </cell>
          <cell r="BW1031">
            <v>4</v>
          </cell>
          <cell r="BX1031">
            <v>0</v>
          </cell>
          <cell r="BY1031">
            <v>0</v>
          </cell>
          <cell r="BZ1031">
            <v>0</v>
          </cell>
          <cell r="CA1031">
            <v>4</v>
          </cell>
          <cell r="CB1031">
            <v>4</v>
          </cell>
          <cell r="CC1031">
            <v>0</v>
          </cell>
          <cell r="CD1031">
            <v>0</v>
          </cell>
          <cell r="CE1031">
            <v>0</v>
          </cell>
          <cell r="CF1031">
            <v>4</v>
          </cell>
          <cell r="CG1031">
            <v>0</v>
          </cell>
          <cell r="CH1031">
            <v>4</v>
          </cell>
          <cell r="CI1031">
            <v>0</v>
          </cell>
          <cell r="CJ1031">
            <v>4</v>
          </cell>
          <cell r="CK1031">
            <v>0</v>
          </cell>
          <cell r="CL1031">
            <v>4</v>
          </cell>
          <cell r="CM1031">
            <v>0</v>
          </cell>
          <cell r="CR1031">
            <v>0</v>
          </cell>
          <cell r="CS1031">
            <v>0</v>
          </cell>
          <cell r="CT1031">
            <v>32</v>
          </cell>
          <cell r="CU1031">
            <v>0</v>
          </cell>
          <cell r="CV1031">
            <v>0</v>
          </cell>
          <cell r="CZ1031">
            <v>32</v>
          </cell>
        </row>
        <row r="1032">
          <cell r="C1032" t="str">
            <v>04628</v>
          </cell>
          <cell r="D1032" t="str">
            <v>Lương Thị Ánh Tuyết</v>
          </cell>
          <cell r="E1032" t="str">
            <v>Production</v>
          </cell>
          <cell r="F1032" t="str">
            <v>Logo</v>
          </cell>
          <cell r="G1032" t="str">
            <v>Worker</v>
          </cell>
          <cell r="H1032">
            <v>45803</v>
          </cell>
          <cell r="I1032">
            <v>8</v>
          </cell>
          <cell r="J1032">
            <v>8</v>
          </cell>
          <cell r="K1032">
            <v>8</v>
          </cell>
          <cell r="L1032" t="str">
            <v>CN</v>
          </cell>
          <cell r="M1032" t="str">
            <v>Đ</v>
          </cell>
          <cell r="N1032" t="str">
            <v>Đ</v>
          </cell>
          <cell r="O1032" t="str">
            <v>AL8</v>
          </cell>
          <cell r="P1032" t="str">
            <v>Đ</v>
          </cell>
          <cell r="Q1032" t="str">
            <v>Đ</v>
          </cell>
          <cell r="R1032" t="str">
            <v>AL8</v>
          </cell>
          <cell r="S1032" t="str">
            <v>CN</v>
          </cell>
          <cell r="T1032">
            <v>8</v>
          </cell>
          <cell r="U1032">
            <v>8</v>
          </cell>
          <cell r="V1032" t="str">
            <v>AL8</v>
          </cell>
          <cell r="W1032">
            <v>8</v>
          </cell>
          <cell r="X1032">
            <v>8</v>
          </cell>
          <cell r="Y1032">
            <v>8</v>
          </cell>
          <cell r="Z1032" t="str">
            <v>CN</v>
          </cell>
          <cell r="AA1032">
            <v>8</v>
          </cell>
          <cell r="AB1032" t="str">
            <v>UP8</v>
          </cell>
          <cell r="AC1032" t="str">
            <v>UP4</v>
          </cell>
          <cell r="AD1032" t="str">
            <v>UP8</v>
          </cell>
          <cell r="AE1032">
            <v>8</v>
          </cell>
          <cell r="AF1032">
            <v>8</v>
          </cell>
          <cell r="AG1032" t="str">
            <v>CN</v>
          </cell>
          <cell r="AH1032">
            <v>8</v>
          </cell>
          <cell r="AI1032" t="str">
            <v>UP8</v>
          </cell>
          <cell r="AJ1032">
            <v>8</v>
          </cell>
          <cell r="AN1032">
            <v>32</v>
          </cell>
          <cell r="AO1032">
            <v>108</v>
          </cell>
          <cell r="AP1032">
            <v>0</v>
          </cell>
          <cell r="AQ1032">
            <v>0</v>
          </cell>
          <cell r="AR1032">
            <v>4</v>
          </cell>
          <cell r="AS1032">
            <v>28</v>
          </cell>
          <cell r="AT1032">
            <v>0</v>
          </cell>
          <cell r="AU1032">
            <v>0</v>
          </cell>
          <cell r="AV1032">
            <v>0</v>
          </cell>
          <cell r="AW1032">
            <v>0</v>
          </cell>
          <cell r="AX1032">
            <v>0</v>
          </cell>
          <cell r="AY1032">
            <v>0</v>
          </cell>
          <cell r="AZ1032">
            <v>0</v>
          </cell>
          <cell r="BA1032">
            <v>24</v>
          </cell>
          <cell r="BB1032">
            <v>0</v>
          </cell>
          <cell r="BC1032">
            <v>0</v>
          </cell>
          <cell r="BD1032">
            <v>0</v>
          </cell>
          <cell r="BE1032">
            <v>0</v>
          </cell>
          <cell r="BF1032">
            <v>0</v>
          </cell>
          <cell r="BG1032">
            <v>164</v>
          </cell>
          <cell r="BH1032">
            <v>3</v>
          </cell>
          <cell r="BI1032">
            <v>3</v>
          </cell>
          <cell r="BJ1032">
            <v>-2</v>
          </cell>
          <cell r="BL1032">
            <v>0</v>
          </cell>
          <cell r="BM1032">
            <v>0</v>
          </cell>
          <cell r="BN1032">
            <v>0</v>
          </cell>
          <cell r="BO1032">
            <v>0</v>
          </cell>
          <cell r="BP1032">
            <v>1.5</v>
          </cell>
          <cell r="BQ1032">
            <v>0</v>
          </cell>
          <cell r="BR1032">
            <v>0</v>
          </cell>
          <cell r="BS1032">
            <v>4</v>
          </cell>
          <cell r="BT1032">
            <v>0</v>
          </cell>
          <cell r="BU1032">
            <v>0</v>
          </cell>
          <cell r="BV1032">
            <v>0</v>
          </cell>
          <cell r="BW1032">
            <v>3</v>
          </cell>
          <cell r="BX1032">
            <v>3</v>
          </cell>
          <cell r="BY1032">
            <v>0</v>
          </cell>
          <cell r="BZ1032">
            <v>3</v>
          </cell>
          <cell r="CA1032">
            <v>0</v>
          </cell>
          <cell r="CB1032">
            <v>0</v>
          </cell>
          <cell r="CC1032">
            <v>8</v>
          </cell>
          <cell r="CD1032">
            <v>0</v>
          </cell>
          <cell r="CE1032">
            <v>0</v>
          </cell>
          <cell r="CF1032">
            <v>0</v>
          </cell>
          <cell r="CG1032">
            <v>0</v>
          </cell>
          <cell r="CH1032">
            <v>0</v>
          </cell>
          <cell r="CI1032">
            <v>0</v>
          </cell>
          <cell r="CJ1032">
            <v>0</v>
          </cell>
          <cell r="CK1032">
            <v>0</v>
          </cell>
          <cell r="CL1032">
            <v>0</v>
          </cell>
          <cell r="CM1032">
            <v>0</v>
          </cell>
          <cell r="CR1032">
            <v>0</v>
          </cell>
          <cell r="CS1032">
            <v>0</v>
          </cell>
          <cell r="CT1032">
            <v>14.5</v>
          </cell>
          <cell r="CU1032">
            <v>8</v>
          </cell>
          <cell r="CV1032">
            <v>0</v>
          </cell>
          <cell r="CZ1032">
            <v>22.5</v>
          </cell>
        </row>
        <row r="1033">
          <cell r="C1033" t="str">
            <v>04629</v>
          </cell>
          <cell r="D1033" t="str">
            <v>Đỗ Hoài Nam</v>
          </cell>
          <cell r="E1033" t="str">
            <v>Production</v>
          </cell>
          <cell r="F1033" t="str">
            <v>Die Cut</v>
          </cell>
          <cell r="G1033" t="str">
            <v>Worker</v>
          </cell>
          <cell r="H1033">
            <v>45803</v>
          </cell>
          <cell r="I1033" t="str">
            <v>AL4</v>
          </cell>
          <cell r="J1033">
            <v>8</v>
          </cell>
          <cell r="K1033">
            <v>8</v>
          </cell>
          <cell r="L1033" t="str">
            <v>CN</v>
          </cell>
          <cell r="M1033" t="str">
            <v>Đ</v>
          </cell>
          <cell r="N1033" t="str">
            <v>Đ</v>
          </cell>
          <cell r="O1033" t="str">
            <v>Đ</v>
          </cell>
          <cell r="P1033" t="str">
            <v>Đ</v>
          </cell>
          <cell r="Q1033" t="str">
            <v>Đ</v>
          </cell>
          <cell r="R1033" t="str">
            <v>Đ</v>
          </cell>
          <cell r="S1033" t="str">
            <v>CN</v>
          </cell>
          <cell r="T1033">
            <v>8</v>
          </cell>
          <cell r="U1033">
            <v>8</v>
          </cell>
          <cell r="V1033">
            <v>8</v>
          </cell>
          <cell r="W1033">
            <v>8</v>
          </cell>
          <cell r="X1033" t="str">
            <v>SL</v>
          </cell>
          <cell r="Y1033" t="str">
            <v>SL</v>
          </cell>
          <cell r="Z1033" t="str">
            <v>CN</v>
          </cell>
          <cell r="AA1033" t="str">
            <v>Đ</v>
          </cell>
          <cell r="AB1033" t="str">
            <v>Đ</v>
          </cell>
          <cell r="AC1033" t="str">
            <v>Đ</v>
          </cell>
          <cell r="AD1033" t="str">
            <v>Đ</v>
          </cell>
          <cell r="AE1033" t="str">
            <v>Đ</v>
          </cell>
          <cell r="AF1033" t="str">
            <v>Đ</v>
          </cell>
          <cell r="AG1033" t="str">
            <v>CN</v>
          </cell>
          <cell r="AH1033">
            <v>8</v>
          </cell>
          <cell r="AI1033">
            <v>8</v>
          </cell>
          <cell r="AJ1033">
            <v>8</v>
          </cell>
          <cell r="AN1033">
            <v>96</v>
          </cell>
          <cell r="AO1033">
            <v>76</v>
          </cell>
          <cell r="AP1033">
            <v>4</v>
          </cell>
          <cell r="AQ1033">
            <v>2</v>
          </cell>
          <cell r="AR1033">
            <v>0</v>
          </cell>
          <cell r="AS1033">
            <v>0</v>
          </cell>
          <cell r="AT1033">
            <v>0</v>
          </cell>
          <cell r="AU1033">
            <v>0</v>
          </cell>
          <cell r="AV1033">
            <v>0</v>
          </cell>
          <cell r="AW1033">
            <v>0</v>
          </cell>
          <cell r="AX1033">
            <v>0</v>
          </cell>
          <cell r="AY1033">
            <v>0</v>
          </cell>
          <cell r="AZ1033">
            <v>0</v>
          </cell>
          <cell r="BA1033">
            <v>4</v>
          </cell>
          <cell r="BB1033">
            <v>0</v>
          </cell>
          <cell r="BC1033">
            <v>0</v>
          </cell>
          <cell r="BD1033">
            <v>0</v>
          </cell>
          <cell r="BE1033">
            <v>0</v>
          </cell>
          <cell r="BF1033">
            <v>0</v>
          </cell>
          <cell r="BG1033">
            <v>176</v>
          </cell>
          <cell r="BH1033">
            <v>0.5</v>
          </cell>
          <cell r="BI1033">
            <v>0.5</v>
          </cell>
          <cell r="BJ1033">
            <v>0</v>
          </cell>
          <cell r="BL1033">
            <v>1.5</v>
          </cell>
          <cell r="BM1033">
            <v>1.5</v>
          </cell>
          <cell r="BN1033">
            <v>1.5</v>
          </cell>
          <cell r="BO1033">
            <v>0</v>
          </cell>
          <cell r="BP1033">
            <v>1.5</v>
          </cell>
          <cell r="BQ1033">
            <v>0</v>
          </cell>
          <cell r="BR1033">
            <v>3</v>
          </cell>
          <cell r="BS1033">
            <v>4</v>
          </cell>
          <cell r="BT1033">
            <v>4</v>
          </cell>
          <cell r="BU1033">
            <v>0</v>
          </cell>
          <cell r="BV1033">
            <v>0</v>
          </cell>
          <cell r="BW1033">
            <v>3</v>
          </cell>
          <cell r="BX1033">
            <v>3</v>
          </cell>
          <cell r="BY1033">
            <v>1</v>
          </cell>
          <cell r="BZ1033">
            <v>3</v>
          </cell>
          <cell r="CA1033">
            <v>0</v>
          </cell>
          <cell r="CB1033">
            <v>0</v>
          </cell>
          <cell r="CC1033">
            <v>8</v>
          </cell>
          <cell r="CD1033">
            <v>4</v>
          </cell>
          <cell r="CE1033">
            <v>4</v>
          </cell>
          <cell r="CF1033">
            <v>4</v>
          </cell>
          <cell r="CG1033">
            <v>4</v>
          </cell>
          <cell r="CH1033">
            <v>3</v>
          </cell>
          <cell r="CI1033">
            <v>4</v>
          </cell>
          <cell r="CJ1033">
            <v>0</v>
          </cell>
          <cell r="CK1033">
            <v>3</v>
          </cell>
          <cell r="CL1033">
            <v>3</v>
          </cell>
          <cell r="CM1033">
            <v>3</v>
          </cell>
          <cell r="CR1033">
            <v>0</v>
          </cell>
          <cell r="CS1033">
            <v>0</v>
          </cell>
          <cell r="CT1033">
            <v>59</v>
          </cell>
          <cell r="CU1033">
            <v>8</v>
          </cell>
          <cell r="CV1033">
            <v>0</v>
          </cell>
          <cell r="CZ1033">
            <v>67</v>
          </cell>
        </row>
        <row r="1034">
          <cell r="C1034" t="str">
            <v>04633</v>
          </cell>
          <cell r="D1034" t="str">
            <v>Nguyễn Tú Quỳnh</v>
          </cell>
          <cell r="E1034" t="str">
            <v>Production</v>
          </cell>
          <cell r="F1034" t="str">
            <v>Prefitting</v>
          </cell>
          <cell r="G1034" t="str">
            <v>Worker</v>
          </cell>
          <cell r="H1034">
            <v>45803</v>
          </cell>
          <cell r="I1034" t="str">
            <v>Đ</v>
          </cell>
          <cell r="J1034" t="str">
            <v>CN</v>
          </cell>
          <cell r="K1034">
            <v>8</v>
          </cell>
          <cell r="L1034">
            <v>8</v>
          </cell>
          <cell r="M1034">
            <v>8</v>
          </cell>
          <cell r="N1034">
            <v>8</v>
          </cell>
          <cell r="O1034">
            <v>8</v>
          </cell>
          <cell r="P1034">
            <v>8</v>
          </cell>
          <cell r="Q1034" t="str">
            <v>CN</v>
          </cell>
          <cell r="R1034" t="str">
            <v>Đ</v>
          </cell>
          <cell r="S1034" t="str">
            <v>Đ</v>
          </cell>
          <cell r="T1034" t="str">
            <v>Đ</v>
          </cell>
          <cell r="U1034" t="str">
            <v>Đ</v>
          </cell>
          <cell r="V1034" t="str">
            <v>Đ</v>
          </cell>
          <cell r="W1034" t="str">
            <v>Đ</v>
          </cell>
          <cell r="X1034" t="str">
            <v>CN</v>
          </cell>
          <cell r="Y1034">
            <v>8</v>
          </cell>
          <cell r="Z1034">
            <v>8</v>
          </cell>
          <cell r="AA1034">
            <v>8</v>
          </cell>
          <cell r="AB1034">
            <v>8</v>
          </cell>
          <cell r="AC1034">
            <v>8</v>
          </cell>
          <cell r="AD1034">
            <v>8</v>
          </cell>
          <cell r="AE1034" t="str">
            <v>CN</v>
          </cell>
          <cell r="AF1034" t="str">
            <v>Đ</v>
          </cell>
          <cell r="AG1034" t="str">
            <v>Đ</v>
          </cell>
          <cell r="AH1034" t="str">
            <v>AL8</v>
          </cell>
          <cell r="AI1034" t="str">
            <v>Đ</v>
          </cell>
          <cell r="AJ1034" t="str">
            <v>Đ</v>
          </cell>
          <cell r="AN1034">
            <v>88</v>
          </cell>
          <cell r="AO1034">
            <v>96</v>
          </cell>
          <cell r="AP1034">
            <v>0</v>
          </cell>
          <cell r="AQ1034">
            <v>0</v>
          </cell>
          <cell r="AR1034">
            <v>0</v>
          </cell>
          <cell r="AS1034">
            <v>0</v>
          </cell>
          <cell r="AT1034">
            <v>0</v>
          </cell>
          <cell r="AU1034">
            <v>0</v>
          </cell>
          <cell r="AV1034">
            <v>0</v>
          </cell>
          <cell r="AW1034">
            <v>0</v>
          </cell>
          <cell r="AX1034">
            <v>0</v>
          </cell>
          <cell r="AY1034">
            <v>0</v>
          </cell>
          <cell r="AZ1034">
            <v>0</v>
          </cell>
          <cell r="BA1034">
            <v>8</v>
          </cell>
          <cell r="BB1034">
            <v>0</v>
          </cell>
          <cell r="BC1034">
            <v>0</v>
          </cell>
          <cell r="BD1034">
            <v>0</v>
          </cell>
          <cell r="BE1034">
            <v>0</v>
          </cell>
          <cell r="BF1034">
            <v>0</v>
          </cell>
          <cell r="BG1034">
            <v>192</v>
          </cell>
          <cell r="BH1034">
            <v>1</v>
          </cell>
          <cell r="BI1034">
            <v>1</v>
          </cell>
          <cell r="BJ1034">
            <v>1</v>
          </cell>
          <cell r="BL1034">
            <v>0</v>
          </cell>
          <cell r="BM1034">
            <v>0</v>
          </cell>
          <cell r="BN1034">
            <v>4</v>
          </cell>
          <cell r="BO1034">
            <v>4</v>
          </cell>
          <cell r="BP1034">
            <v>0</v>
          </cell>
          <cell r="BQ1034">
            <v>0</v>
          </cell>
          <cell r="BR1034">
            <v>0</v>
          </cell>
          <cell r="BS1034">
            <v>0</v>
          </cell>
          <cell r="BT1034">
            <v>0</v>
          </cell>
          <cell r="BU1034">
            <v>4</v>
          </cell>
          <cell r="BV1034">
            <v>4</v>
          </cell>
          <cell r="BW1034">
            <v>0</v>
          </cell>
          <cell r="BX1034">
            <v>0</v>
          </cell>
          <cell r="BY1034">
            <v>0</v>
          </cell>
          <cell r="BZ1034">
            <v>0</v>
          </cell>
          <cell r="CA1034">
            <v>0</v>
          </cell>
          <cell r="CB1034">
            <v>0</v>
          </cell>
          <cell r="CC1034">
            <v>4</v>
          </cell>
          <cell r="CD1034">
            <v>0</v>
          </cell>
          <cell r="CE1034">
            <v>0</v>
          </cell>
          <cell r="CF1034">
            <v>0</v>
          </cell>
          <cell r="CG1034">
            <v>0</v>
          </cell>
          <cell r="CH1034">
            <v>0</v>
          </cell>
          <cell r="CI1034">
            <v>4</v>
          </cell>
          <cell r="CJ1034">
            <v>4</v>
          </cell>
          <cell r="CK1034">
            <v>0</v>
          </cell>
          <cell r="CL1034">
            <v>4</v>
          </cell>
          <cell r="CM1034">
            <v>0</v>
          </cell>
          <cell r="CR1034">
            <v>0</v>
          </cell>
          <cell r="CS1034">
            <v>0</v>
          </cell>
          <cell r="CT1034">
            <v>32</v>
          </cell>
          <cell r="CU1034">
            <v>0</v>
          </cell>
          <cell r="CV1034">
            <v>0</v>
          </cell>
          <cell r="CZ1034">
            <v>32</v>
          </cell>
        </row>
        <row r="1035">
          <cell r="C1035" t="str">
            <v>04635</v>
          </cell>
          <cell r="D1035" t="str">
            <v>Trần Chí Tâm</v>
          </cell>
          <cell r="E1035" t="str">
            <v>QC</v>
          </cell>
          <cell r="F1035" t="str">
            <v>QC</v>
          </cell>
          <cell r="G1035" t="str">
            <v>Worker</v>
          </cell>
          <cell r="H1035">
            <v>45803</v>
          </cell>
          <cell r="I1035">
            <v>8</v>
          </cell>
          <cell r="J1035">
            <v>8</v>
          </cell>
          <cell r="K1035">
            <v>8</v>
          </cell>
          <cell r="L1035" t="str">
            <v>CN</v>
          </cell>
          <cell r="M1035">
            <v>8</v>
          </cell>
          <cell r="N1035">
            <v>8</v>
          </cell>
          <cell r="O1035">
            <v>8</v>
          </cell>
          <cell r="P1035">
            <v>8</v>
          </cell>
          <cell r="Q1035">
            <v>8</v>
          </cell>
          <cell r="R1035">
            <v>8</v>
          </cell>
          <cell r="S1035" t="str">
            <v>CN</v>
          </cell>
          <cell r="T1035">
            <v>8</v>
          </cell>
          <cell r="U1035">
            <v>8</v>
          </cell>
          <cell r="V1035">
            <v>8</v>
          </cell>
          <cell r="W1035">
            <v>8</v>
          </cell>
          <cell r="X1035">
            <v>8</v>
          </cell>
          <cell r="Y1035">
            <v>8</v>
          </cell>
          <cell r="Z1035" t="str">
            <v>CN</v>
          </cell>
          <cell r="AA1035" t="str">
            <v>UP8</v>
          </cell>
          <cell r="AB1035" t="str">
            <v>UP8</v>
          </cell>
          <cell r="AC1035" t="str">
            <v>UP8</v>
          </cell>
          <cell r="AD1035" t="str">
            <v>UP8</v>
          </cell>
          <cell r="AE1035" t="str">
            <v>UP8</v>
          </cell>
          <cell r="AF1035" t="str">
            <v>UP8</v>
          </cell>
          <cell r="AG1035" t="str">
            <v>CN</v>
          </cell>
          <cell r="AH1035">
            <v>8</v>
          </cell>
          <cell r="AI1035">
            <v>8</v>
          </cell>
          <cell r="AJ1035">
            <v>8</v>
          </cell>
          <cell r="AN1035">
            <v>0</v>
          </cell>
          <cell r="AO1035">
            <v>144</v>
          </cell>
          <cell r="AP1035">
            <v>0</v>
          </cell>
          <cell r="AQ1035">
            <v>0</v>
          </cell>
          <cell r="AR1035">
            <v>0</v>
          </cell>
          <cell r="AS1035">
            <v>48</v>
          </cell>
          <cell r="AT1035">
            <v>0</v>
          </cell>
          <cell r="AU1035">
            <v>0</v>
          </cell>
          <cell r="AV1035">
            <v>0</v>
          </cell>
          <cell r="AW1035">
            <v>0</v>
          </cell>
          <cell r="AX1035">
            <v>0</v>
          </cell>
          <cell r="AY1035">
            <v>0</v>
          </cell>
          <cell r="AZ1035">
            <v>0</v>
          </cell>
          <cell r="BA1035">
            <v>0</v>
          </cell>
          <cell r="BB1035">
            <v>0</v>
          </cell>
          <cell r="BC1035">
            <v>0</v>
          </cell>
          <cell r="BD1035">
            <v>0</v>
          </cell>
          <cell r="BE1035">
            <v>0</v>
          </cell>
          <cell r="BF1035">
            <v>0</v>
          </cell>
          <cell r="BG1035">
            <v>144</v>
          </cell>
          <cell r="BH1035">
            <v>0</v>
          </cell>
          <cell r="BI1035">
            <v>0</v>
          </cell>
          <cell r="BJ1035">
            <v>0</v>
          </cell>
          <cell r="BL1035">
            <v>0</v>
          </cell>
          <cell r="BM1035">
            <v>2</v>
          </cell>
          <cell r="BN1035">
            <v>2</v>
          </cell>
          <cell r="BO1035">
            <v>0</v>
          </cell>
          <cell r="BP1035">
            <v>3</v>
          </cell>
          <cell r="BQ1035">
            <v>2</v>
          </cell>
          <cell r="BR1035">
            <v>2</v>
          </cell>
          <cell r="BS1035">
            <v>2</v>
          </cell>
          <cell r="BT1035">
            <v>2</v>
          </cell>
          <cell r="BU1035">
            <v>1</v>
          </cell>
          <cell r="BV1035">
            <v>8</v>
          </cell>
          <cell r="BW1035">
            <v>1</v>
          </cell>
          <cell r="BX1035">
            <v>1</v>
          </cell>
          <cell r="BY1035">
            <v>2</v>
          </cell>
          <cell r="BZ1035">
            <v>1</v>
          </cell>
          <cell r="CA1035">
            <v>1</v>
          </cell>
          <cell r="CB1035">
            <v>1</v>
          </cell>
          <cell r="CC1035">
            <v>0</v>
          </cell>
          <cell r="CD1035">
            <v>0</v>
          </cell>
          <cell r="CE1035">
            <v>0</v>
          </cell>
          <cell r="CF1035">
            <v>0</v>
          </cell>
          <cell r="CG1035">
            <v>0</v>
          </cell>
          <cell r="CH1035">
            <v>0</v>
          </cell>
          <cell r="CI1035">
            <v>0</v>
          </cell>
          <cell r="CJ1035">
            <v>0</v>
          </cell>
          <cell r="CK1035">
            <v>3</v>
          </cell>
          <cell r="CL1035">
            <v>2</v>
          </cell>
          <cell r="CM1035">
            <v>2</v>
          </cell>
          <cell r="CR1035">
            <v>0</v>
          </cell>
          <cell r="CS1035">
            <v>0</v>
          </cell>
          <cell r="CT1035">
            <v>30</v>
          </cell>
          <cell r="CU1035">
            <v>8</v>
          </cell>
          <cell r="CV1035">
            <v>0</v>
          </cell>
          <cell r="CZ1035">
            <v>38</v>
          </cell>
        </row>
        <row r="1036">
          <cell r="C1036" t="str">
            <v>04636</v>
          </cell>
          <cell r="D1036" t="str">
            <v>Lê Thị Xuân Hoà</v>
          </cell>
          <cell r="E1036" t="str">
            <v>CS</v>
          </cell>
          <cell r="F1036" t="str">
            <v>CS</v>
          </cell>
          <cell r="G1036" t="str">
            <v>Staff</v>
          </cell>
          <cell r="H1036">
            <v>45803</v>
          </cell>
          <cell r="I1036">
            <v>8</v>
          </cell>
          <cell r="J1036">
            <v>8</v>
          </cell>
          <cell r="K1036" t="str">
            <v>PO</v>
          </cell>
          <cell r="L1036" t="str">
            <v>CN</v>
          </cell>
          <cell r="M1036">
            <v>8</v>
          </cell>
          <cell r="N1036">
            <v>8</v>
          </cell>
          <cell r="O1036">
            <v>8</v>
          </cell>
          <cell r="P1036">
            <v>8</v>
          </cell>
          <cell r="Q1036" t="str">
            <v>WH</v>
          </cell>
          <cell r="R1036" t="str">
            <v>PO</v>
          </cell>
          <cell r="S1036" t="str">
            <v>CN</v>
          </cell>
          <cell r="T1036">
            <v>8</v>
          </cell>
          <cell r="U1036">
            <v>8</v>
          </cell>
          <cell r="V1036">
            <v>8</v>
          </cell>
          <cell r="W1036">
            <v>8</v>
          </cell>
          <cell r="X1036">
            <v>8</v>
          </cell>
          <cell r="Y1036" t="str">
            <v>PO</v>
          </cell>
          <cell r="Z1036" t="str">
            <v>CN</v>
          </cell>
          <cell r="AA1036">
            <v>8</v>
          </cell>
          <cell r="AB1036">
            <v>8</v>
          </cell>
          <cell r="AC1036" t="str">
            <v>WH</v>
          </cell>
          <cell r="AD1036">
            <v>8</v>
          </cell>
          <cell r="AE1036">
            <v>8</v>
          </cell>
          <cell r="AF1036" t="str">
            <v>PO</v>
          </cell>
          <cell r="AG1036" t="str">
            <v>CN</v>
          </cell>
          <cell r="AH1036">
            <v>8</v>
          </cell>
          <cell r="AI1036">
            <v>8</v>
          </cell>
          <cell r="AJ1036">
            <v>8</v>
          </cell>
          <cell r="AN1036">
            <v>0</v>
          </cell>
          <cell r="AO1036">
            <v>144</v>
          </cell>
          <cell r="AP1036">
            <v>0</v>
          </cell>
          <cell r="AQ1036">
            <v>0</v>
          </cell>
          <cell r="AR1036">
            <v>0</v>
          </cell>
          <cell r="AS1036">
            <v>0</v>
          </cell>
          <cell r="AT1036">
            <v>0</v>
          </cell>
          <cell r="AU1036">
            <v>0</v>
          </cell>
          <cell r="AV1036">
            <v>32</v>
          </cell>
          <cell r="AW1036">
            <v>0</v>
          </cell>
          <cell r="AX1036">
            <v>0</v>
          </cell>
          <cell r="AY1036">
            <v>0</v>
          </cell>
          <cell r="AZ1036">
            <v>0</v>
          </cell>
          <cell r="BA1036">
            <v>0</v>
          </cell>
          <cell r="BB1036">
            <v>0</v>
          </cell>
          <cell r="BC1036">
            <v>0</v>
          </cell>
          <cell r="BD1036">
            <v>16</v>
          </cell>
          <cell r="BE1036">
            <v>0</v>
          </cell>
          <cell r="BF1036">
            <v>0</v>
          </cell>
          <cell r="BG1036">
            <v>192</v>
          </cell>
          <cell r="BH1036">
            <v>0</v>
          </cell>
          <cell r="BI1036">
            <v>0</v>
          </cell>
          <cell r="BJ1036">
            <v>4</v>
          </cell>
          <cell r="BL1036">
            <v>0.75</v>
          </cell>
          <cell r="BM1036">
            <v>0</v>
          </cell>
          <cell r="BN1036">
            <v>0</v>
          </cell>
          <cell r="BO1036">
            <v>0</v>
          </cell>
          <cell r="BP1036">
            <v>0</v>
          </cell>
          <cell r="BQ1036">
            <v>0</v>
          </cell>
          <cell r="BR1036">
            <v>0</v>
          </cell>
          <cell r="BS1036">
            <v>0</v>
          </cell>
          <cell r="BT1036">
            <v>0</v>
          </cell>
          <cell r="BU1036">
            <v>0</v>
          </cell>
          <cell r="BV1036">
            <v>0</v>
          </cell>
          <cell r="BW1036">
            <v>0</v>
          </cell>
          <cell r="BX1036">
            <v>0</v>
          </cell>
          <cell r="BY1036">
            <v>0</v>
          </cell>
          <cell r="BZ1036">
            <v>0</v>
          </cell>
          <cell r="CA1036">
            <v>0</v>
          </cell>
          <cell r="CB1036">
            <v>0</v>
          </cell>
          <cell r="CC1036">
            <v>0</v>
          </cell>
          <cell r="CD1036">
            <v>0</v>
          </cell>
          <cell r="CE1036">
            <v>0</v>
          </cell>
          <cell r="CF1036">
            <v>0</v>
          </cell>
          <cell r="CG1036">
            <v>0</v>
          </cell>
          <cell r="CH1036">
            <v>0</v>
          </cell>
          <cell r="CI1036">
            <v>0</v>
          </cell>
          <cell r="CJ1036">
            <v>0</v>
          </cell>
          <cell r="CK1036">
            <v>0</v>
          </cell>
          <cell r="CL1036">
            <v>0</v>
          </cell>
          <cell r="CM1036">
            <v>0</v>
          </cell>
          <cell r="CR1036">
            <v>0</v>
          </cell>
          <cell r="CS1036">
            <v>0</v>
          </cell>
          <cell r="CT1036">
            <v>0.75</v>
          </cell>
          <cell r="CU1036">
            <v>0</v>
          </cell>
          <cell r="CV1036">
            <v>0</v>
          </cell>
          <cell r="CZ1036">
            <v>0.75</v>
          </cell>
        </row>
        <row r="1037">
          <cell r="C1037" t="str">
            <v>04637</v>
          </cell>
          <cell r="D1037" t="str">
            <v>Nguyễn Đình Phi Hùng</v>
          </cell>
          <cell r="E1037" t="str">
            <v>Production</v>
          </cell>
          <cell r="F1037" t="str">
            <v>Logo Making</v>
          </cell>
          <cell r="G1037" t="str">
            <v>Operator</v>
          </cell>
          <cell r="H1037">
            <v>45805</v>
          </cell>
          <cell r="I1037" t="str">
            <v>Đ</v>
          </cell>
          <cell r="J1037" t="str">
            <v>CN</v>
          </cell>
          <cell r="K1037">
            <v>8</v>
          </cell>
          <cell r="L1037">
            <v>8</v>
          </cell>
          <cell r="M1037">
            <v>8</v>
          </cell>
          <cell r="N1037">
            <v>8</v>
          </cell>
          <cell r="O1037">
            <v>8</v>
          </cell>
          <cell r="P1037" t="str">
            <v>AL8</v>
          </cell>
          <cell r="Q1037" t="str">
            <v>CN</v>
          </cell>
          <cell r="R1037" t="str">
            <v>Đ</v>
          </cell>
          <cell r="S1037" t="str">
            <v>Đ</v>
          </cell>
          <cell r="T1037" t="str">
            <v>Đ</v>
          </cell>
          <cell r="U1037" t="str">
            <v>Đ</v>
          </cell>
          <cell r="V1037" t="str">
            <v>Đ</v>
          </cell>
          <cell r="W1037" t="str">
            <v>Đ</v>
          </cell>
          <cell r="X1037" t="str">
            <v>CN</v>
          </cell>
          <cell r="Y1037">
            <v>8</v>
          </cell>
          <cell r="Z1037">
            <v>8</v>
          </cell>
          <cell r="AA1037">
            <v>8</v>
          </cell>
          <cell r="AB1037">
            <v>8</v>
          </cell>
          <cell r="AC1037">
            <v>8</v>
          </cell>
          <cell r="AD1037">
            <v>8</v>
          </cell>
          <cell r="AE1037" t="str">
            <v>CN</v>
          </cell>
          <cell r="AF1037" t="str">
            <v>Đ</v>
          </cell>
          <cell r="AG1037" t="str">
            <v>Đ</v>
          </cell>
          <cell r="AH1037" t="str">
            <v>Đ</v>
          </cell>
          <cell r="AI1037" t="str">
            <v>Đ</v>
          </cell>
          <cell r="AJ1037" t="str">
            <v>Đ</v>
          </cell>
          <cell r="AN1037">
            <v>96</v>
          </cell>
          <cell r="AO1037">
            <v>88</v>
          </cell>
          <cell r="AP1037">
            <v>0</v>
          </cell>
          <cell r="AQ1037">
            <v>0</v>
          </cell>
          <cell r="AR1037">
            <v>0</v>
          </cell>
          <cell r="AS1037">
            <v>0</v>
          </cell>
          <cell r="AT1037">
            <v>0</v>
          </cell>
          <cell r="AU1037">
            <v>0</v>
          </cell>
          <cell r="AV1037">
            <v>0</v>
          </cell>
          <cell r="AW1037">
            <v>0</v>
          </cell>
          <cell r="AX1037">
            <v>0</v>
          </cell>
          <cell r="AY1037">
            <v>0</v>
          </cell>
          <cell r="AZ1037">
            <v>0</v>
          </cell>
          <cell r="BA1037">
            <v>8</v>
          </cell>
          <cell r="BB1037">
            <v>0</v>
          </cell>
          <cell r="BC1037">
            <v>0</v>
          </cell>
          <cell r="BD1037">
            <v>0</v>
          </cell>
          <cell r="BE1037">
            <v>0</v>
          </cell>
          <cell r="BF1037">
            <v>0</v>
          </cell>
          <cell r="BG1037">
            <v>192</v>
          </cell>
          <cell r="BH1037">
            <v>1</v>
          </cell>
          <cell r="BI1037">
            <v>1</v>
          </cell>
          <cell r="BJ1037">
            <v>-1</v>
          </cell>
          <cell r="BL1037">
            <v>0</v>
          </cell>
          <cell r="BM1037">
            <v>0</v>
          </cell>
          <cell r="BN1037">
            <v>4</v>
          </cell>
          <cell r="BO1037">
            <v>4</v>
          </cell>
          <cell r="BP1037">
            <v>0</v>
          </cell>
          <cell r="BQ1037">
            <v>0</v>
          </cell>
          <cell r="BR1037">
            <v>0</v>
          </cell>
          <cell r="BS1037">
            <v>0</v>
          </cell>
          <cell r="BT1037">
            <v>0</v>
          </cell>
          <cell r="BU1037">
            <v>4</v>
          </cell>
          <cell r="BV1037">
            <v>4</v>
          </cell>
          <cell r="BW1037">
            <v>0</v>
          </cell>
          <cell r="BX1037">
            <v>0</v>
          </cell>
          <cell r="BY1037">
            <v>0</v>
          </cell>
          <cell r="BZ1037">
            <v>0</v>
          </cell>
          <cell r="CA1037">
            <v>0</v>
          </cell>
          <cell r="CB1037">
            <v>0</v>
          </cell>
          <cell r="CC1037">
            <v>2</v>
          </cell>
          <cell r="CD1037">
            <v>0</v>
          </cell>
          <cell r="CE1037">
            <v>0</v>
          </cell>
          <cell r="CF1037">
            <v>0</v>
          </cell>
          <cell r="CG1037">
            <v>0</v>
          </cell>
          <cell r="CH1037">
            <v>0</v>
          </cell>
          <cell r="CI1037">
            <v>4</v>
          </cell>
          <cell r="CJ1037">
            <v>4</v>
          </cell>
          <cell r="CK1037">
            <v>0</v>
          </cell>
          <cell r="CL1037">
            <v>0</v>
          </cell>
          <cell r="CM1037">
            <v>4</v>
          </cell>
          <cell r="CR1037">
            <v>0</v>
          </cell>
          <cell r="CS1037">
            <v>0</v>
          </cell>
          <cell r="CT1037">
            <v>30</v>
          </cell>
          <cell r="CU1037">
            <v>0</v>
          </cell>
          <cell r="CV1037">
            <v>0</v>
          </cell>
          <cell r="CZ1037">
            <v>30</v>
          </cell>
        </row>
        <row r="1038">
          <cell r="C1038" t="str">
            <v>04638</v>
          </cell>
          <cell r="D1038" t="str">
            <v>Huỳnh Văn Sử</v>
          </cell>
          <cell r="E1038" t="str">
            <v>Production</v>
          </cell>
          <cell r="F1038" t="str">
            <v>Packing</v>
          </cell>
          <cell r="G1038" t="str">
            <v>Worker</v>
          </cell>
          <cell r="H1038">
            <v>45817</v>
          </cell>
          <cell r="I1038">
            <v>8</v>
          </cell>
          <cell r="J1038">
            <v>8</v>
          </cell>
          <cell r="K1038">
            <v>8</v>
          </cell>
          <cell r="L1038" t="str">
            <v>CN</v>
          </cell>
          <cell r="M1038" t="str">
            <v>Đ</v>
          </cell>
          <cell r="N1038" t="str">
            <v>Đ</v>
          </cell>
          <cell r="O1038" t="str">
            <v>Đ</v>
          </cell>
          <cell r="P1038" t="str">
            <v>Đ</v>
          </cell>
          <cell r="Q1038" t="str">
            <v>AL8</v>
          </cell>
          <cell r="R1038" t="str">
            <v>Đ</v>
          </cell>
          <cell r="S1038" t="str">
            <v>CN</v>
          </cell>
          <cell r="T1038">
            <v>8</v>
          </cell>
          <cell r="U1038">
            <v>8</v>
          </cell>
          <cell r="V1038">
            <v>8</v>
          </cell>
          <cell r="W1038">
            <v>8</v>
          </cell>
          <cell r="X1038">
            <v>8</v>
          </cell>
          <cell r="Y1038">
            <v>8</v>
          </cell>
          <cell r="Z1038" t="str">
            <v>CN</v>
          </cell>
          <cell r="AA1038" t="str">
            <v>Đ</v>
          </cell>
          <cell r="AB1038" t="str">
            <v>Đ</v>
          </cell>
          <cell r="AC1038" t="str">
            <v>Đ</v>
          </cell>
          <cell r="AD1038" t="str">
            <v>Đ</v>
          </cell>
          <cell r="AE1038" t="str">
            <v>Đ</v>
          </cell>
          <cell r="AF1038" t="str">
            <v>Đ</v>
          </cell>
          <cell r="AG1038" t="str">
            <v>CN</v>
          </cell>
          <cell r="AH1038" t="str">
            <v>UP8</v>
          </cell>
          <cell r="AI1038">
            <v>8</v>
          </cell>
          <cell r="AJ1038">
            <v>8</v>
          </cell>
          <cell r="AN1038">
            <v>88</v>
          </cell>
          <cell r="AO1038">
            <v>88</v>
          </cell>
          <cell r="AP1038">
            <v>0</v>
          </cell>
          <cell r="AQ1038">
            <v>0</v>
          </cell>
          <cell r="AR1038">
            <v>0</v>
          </cell>
          <cell r="AS1038">
            <v>8</v>
          </cell>
          <cell r="AT1038">
            <v>0</v>
          </cell>
          <cell r="AU1038">
            <v>0</v>
          </cell>
          <cell r="AV1038">
            <v>0</v>
          </cell>
          <cell r="AW1038">
            <v>0</v>
          </cell>
          <cell r="AX1038">
            <v>0</v>
          </cell>
          <cell r="AY1038">
            <v>0</v>
          </cell>
          <cell r="AZ1038">
            <v>0</v>
          </cell>
          <cell r="BA1038">
            <v>8</v>
          </cell>
          <cell r="BB1038">
            <v>0</v>
          </cell>
          <cell r="BC1038">
            <v>0</v>
          </cell>
          <cell r="BD1038">
            <v>0</v>
          </cell>
          <cell r="BE1038">
            <v>0</v>
          </cell>
          <cell r="BF1038">
            <v>0</v>
          </cell>
          <cell r="BG1038">
            <v>184</v>
          </cell>
          <cell r="BH1038">
            <v>1</v>
          </cell>
          <cell r="BI1038">
            <v>1</v>
          </cell>
          <cell r="BJ1038">
            <v>-3</v>
          </cell>
          <cell r="BL1038">
            <v>0</v>
          </cell>
          <cell r="BM1038">
            <v>0</v>
          </cell>
          <cell r="BN1038">
            <v>0</v>
          </cell>
          <cell r="BO1038">
            <v>0</v>
          </cell>
          <cell r="BP1038">
            <v>1.5</v>
          </cell>
          <cell r="BQ1038">
            <v>3</v>
          </cell>
          <cell r="BR1038">
            <v>0</v>
          </cell>
          <cell r="BS1038">
            <v>3</v>
          </cell>
          <cell r="BT1038">
            <v>0</v>
          </cell>
          <cell r="BU1038">
            <v>0</v>
          </cell>
          <cell r="BV1038">
            <v>0</v>
          </cell>
          <cell r="BW1038">
            <v>3</v>
          </cell>
          <cell r="BX1038">
            <v>4</v>
          </cell>
          <cell r="BY1038">
            <v>4</v>
          </cell>
          <cell r="BZ1038">
            <v>4</v>
          </cell>
          <cell r="CA1038">
            <v>0</v>
          </cell>
          <cell r="CB1038">
            <v>4</v>
          </cell>
          <cell r="CC1038">
            <v>8</v>
          </cell>
          <cell r="CD1038">
            <v>4</v>
          </cell>
          <cell r="CE1038">
            <v>4</v>
          </cell>
          <cell r="CF1038">
            <v>4</v>
          </cell>
          <cell r="CG1038">
            <v>4</v>
          </cell>
          <cell r="CH1038">
            <v>1.5</v>
          </cell>
          <cell r="CI1038">
            <v>1.5</v>
          </cell>
          <cell r="CJ1038">
            <v>0</v>
          </cell>
          <cell r="CK1038">
            <v>0</v>
          </cell>
          <cell r="CL1038">
            <v>1.5</v>
          </cell>
          <cell r="CM1038">
            <v>1.5</v>
          </cell>
          <cell r="CR1038">
            <v>0</v>
          </cell>
          <cell r="CS1038">
            <v>0</v>
          </cell>
          <cell r="CT1038">
            <v>48.5</v>
          </cell>
          <cell r="CU1038">
            <v>8</v>
          </cell>
          <cell r="CV1038">
            <v>0</v>
          </cell>
          <cell r="CZ1038">
            <v>56.5</v>
          </cell>
        </row>
        <row r="1039">
          <cell r="C1039" t="str">
            <v>04642</v>
          </cell>
          <cell r="D1039" t="str">
            <v>Võ Hoàng Sơn</v>
          </cell>
          <cell r="E1039" t="str">
            <v>IT</v>
          </cell>
          <cell r="F1039" t="str">
            <v>IT</v>
          </cell>
          <cell r="G1039" t="str">
            <v>Technician</v>
          </cell>
          <cell r="H1039">
            <v>45817</v>
          </cell>
          <cell r="I1039">
            <v>8</v>
          </cell>
          <cell r="J1039">
            <v>8</v>
          </cell>
          <cell r="K1039" t="str">
            <v>PO</v>
          </cell>
          <cell r="L1039" t="str">
            <v>CN</v>
          </cell>
          <cell r="M1039">
            <v>8</v>
          </cell>
          <cell r="N1039">
            <v>8</v>
          </cell>
          <cell r="O1039">
            <v>8</v>
          </cell>
          <cell r="P1039">
            <v>8</v>
          </cell>
          <cell r="Q1039">
            <v>8</v>
          </cell>
          <cell r="R1039" t="str">
            <v>PO</v>
          </cell>
          <cell r="S1039" t="str">
            <v>CN</v>
          </cell>
          <cell r="T1039">
            <v>8</v>
          </cell>
          <cell r="U1039">
            <v>8</v>
          </cell>
          <cell r="V1039">
            <v>8</v>
          </cell>
          <cell r="W1039" t="str">
            <v>WH</v>
          </cell>
          <cell r="X1039">
            <v>8</v>
          </cell>
          <cell r="Y1039" t="str">
            <v>PO</v>
          </cell>
          <cell r="Z1039" t="str">
            <v>CN</v>
          </cell>
          <cell r="AA1039" t="str">
            <v>AL8</v>
          </cell>
          <cell r="AB1039">
            <v>8</v>
          </cell>
          <cell r="AC1039">
            <v>8</v>
          </cell>
          <cell r="AD1039">
            <v>8</v>
          </cell>
          <cell r="AE1039">
            <v>8</v>
          </cell>
          <cell r="AF1039" t="str">
            <v>PO</v>
          </cell>
          <cell r="AG1039" t="str">
            <v>CN</v>
          </cell>
          <cell r="AH1039">
            <v>8</v>
          </cell>
          <cell r="AI1039">
            <v>8</v>
          </cell>
          <cell r="AJ1039">
            <v>8</v>
          </cell>
          <cell r="AN1039">
            <v>0</v>
          </cell>
          <cell r="AO1039">
            <v>144</v>
          </cell>
          <cell r="AP1039">
            <v>0</v>
          </cell>
          <cell r="AQ1039">
            <v>0</v>
          </cell>
          <cell r="AR1039">
            <v>0</v>
          </cell>
          <cell r="AS1039">
            <v>0</v>
          </cell>
          <cell r="AT1039">
            <v>0</v>
          </cell>
          <cell r="AU1039">
            <v>0</v>
          </cell>
          <cell r="AV1039">
            <v>32</v>
          </cell>
          <cell r="AW1039">
            <v>0</v>
          </cell>
          <cell r="AX1039">
            <v>0</v>
          </cell>
          <cell r="AY1039">
            <v>0</v>
          </cell>
          <cell r="AZ1039">
            <v>0</v>
          </cell>
          <cell r="BA1039">
            <v>8</v>
          </cell>
          <cell r="BB1039">
            <v>0</v>
          </cell>
          <cell r="BC1039">
            <v>0</v>
          </cell>
          <cell r="BD1039">
            <v>8</v>
          </cell>
          <cell r="BE1039">
            <v>0</v>
          </cell>
          <cell r="BF1039">
            <v>0</v>
          </cell>
          <cell r="BG1039">
            <v>192</v>
          </cell>
          <cell r="BH1039">
            <v>1</v>
          </cell>
          <cell r="BI1039">
            <v>1</v>
          </cell>
          <cell r="BJ1039">
            <v>7</v>
          </cell>
          <cell r="BL1039">
            <v>0</v>
          </cell>
          <cell r="BM1039">
            <v>0</v>
          </cell>
          <cell r="BN1039">
            <v>0</v>
          </cell>
          <cell r="BO1039">
            <v>0</v>
          </cell>
          <cell r="BP1039">
            <v>0</v>
          </cell>
          <cell r="BQ1039">
            <v>0</v>
          </cell>
          <cell r="BR1039">
            <v>0</v>
          </cell>
          <cell r="BS1039">
            <v>0</v>
          </cell>
          <cell r="BT1039">
            <v>0</v>
          </cell>
          <cell r="BU1039">
            <v>0</v>
          </cell>
          <cell r="BV1039">
            <v>0</v>
          </cell>
          <cell r="BW1039">
            <v>0</v>
          </cell>
          <cell r="BX1039">
            <v>0</v>
          </cell>
          <cell r="BY1039">
            <v>0</v>
          </cell>
          <cell r="BZ1039">
            <v>0</v>
          </cell>
          <cell r="CA1039">
            <v>0</v>
          </cell>
          <cell r="CB1039">
            <v>0</v>
          </cell>
          <cell r="CC1039">
            <v>0</v>
          </cell>
          <cell r="CD1039">
            <v>0</v>
          </cell>
          <cell r="CE1039">
            <v>0</v>
          </cell>
          <cell r="CF1039">
            <v>0</v>
          </cell>
          <cell r="CG1039">
            <v>0</v>
          </cell>
          <cell r="CH1039">
            <v>0</v>
          </cell>
          <cell r="CI1039">
            <v>0</v>
          </cell>
          <cell r="CJ1039">
            <v>0</v>
          </cell>
          <cell r="CK1039">
            <v>0</v>
          </cell>
          <cell r="CL1039">
            <v>0</v>
          </cell>
          <cell r="CM1039">
            <v>0</v>
          </cell>
          <cell r="CR1039">
            <v>0</v>
          </cell>
          <cell r="CS1039">
            <v>0</v>
          </cell>
          <cell r="CT1039">
            <v>0</v>
          </cell>
          <cell r="CU1039">
            <v>0</v>
          </cell>
          <cell r="CV1039">
            <v>0</v>
          </cell>
          <cell r="CZ1039">
            <v>0</v>
          </cell>
        </row>
        <row r="1040">
          <cell r="C1040" t="str">
            <v>04643</v>
          </cell>
          <cell r="D1040" t="str">
            <v>Nguyễn Hoàng Thanh Phương</v>
          </cell>
          <cell r="E1040" t="str">
            <v>PD</v>
          </cell>
          <cell r="F1040" t="str">
            <v>PD office</v>
          </cell>
          <cell r="G1040" t="str">
            <v>Specialist</v>
          </cell>
          <cell r="H1040">
            <v>45817</v>
          </cell>
          <cell r="I1040">
            <v>8</v>
          </cell>
          <cell r="J1040">
            <v>8</v>
          </cell>
          <cell r="K1040" t="str">
            <v>PO</v>
          </cell>
          <cell r="L1040" t="str">
            <v>CN</v>
          </cell>
          <cell r="M1040">
            <v>8</v>
          </cell>
          <cell r="N1040" t="str">
            <v>AL8</v>
          </cell>
          <cell r="O1040">
            <v>8</v>
          </cell>
          <cell r="P1040">
            <v>8</v>
          </cell>
          <cell r="Q1040" t="str">
            <v>PO</v>
          </cell>
          <cell r="R1040" t="str">
            <v>PO</v>
          </cell>
          <cell r="S1040" t="str">
            <v>CN</v>
          </cell>
          <cell r="T1040">
            <v>8</v>
          </cell>
          <cell r="U1040">
            <v>8</v>
          </cell>
          <cell r="V1040">
            <v>8</v>
          </cell>
          <cell r="W1040">
            <v>8</v>
          </cell>
          <cell r="X1040">
            <v>8</v>
          </cell>
          <cell r="Y1040" t="str">
            <v>PO</v>
          </cell>
          <cell r="Z1040" t="str">
            <v>CN</v>
          </cell>
          <cell r="AA1040" t="str">
            <v>BS</v>
          </cell>
          <cell r="AB1040">
            <v>8</v>
          </cell>
          <cell r="AC1040">
            <v>8</v>
          </cell>
          <cell r="AD1040" t="str">
            <v>AL8</v>
          </cell>
          <cell r="AE1040" t="str">
            <v>AL8</v>
          </cell>
          <cell r="AF1040" t="str">
            <v>PO</v>
          </cell>
          <cell r="AG1040" t="str">
            <v>CN</v>
          </cell>
          <cell r="AH1040">
            <v>8</v>
          </cell>
          <cell r="AI1040">
            <v>8</v>
          </cell>
          <cell r="AJ1040">
            <v>8</v>
          </cell>
          <cell r="AN1040">
            <v>0</v>
          </cell>
          <cell r="AO1040">
            <v>120</v>
          </cell>
          <cell r="AP1040">
            <v>0</v>
          </cell>
          <cell r="AQ1040">
            <v>0</v>
          </cell>
          <cell r="AR1040">
            <v>0</v>
          </cell>
          <cell r="AS1040">
            <v>0</v>
          </cell>
          <cell r="AT1040">
            <v>0</v>
          </cell>
          <cell r="AU1040">
            <v>8</v>
          </cell>
          <cell r="AV1040">
            <v>40</v>
          </cell>
          <cell r="AW1040">
            <v>0</v>
          </cell>
          <cell r="AX1040">
            <v>0</v>
          </cell>
          <cell r="AY1040">
            <v>0</v>
          </cell>
          <cell r="AZ1040">
            <v>0</v>
          </cell>
          <cell r="BA1040">
            <v>24</v>
          </cell>
          <cell r="BB1040">
            <v>0</v>
          </cell>
          <cell r="BC1040">
            <v>0</v>
          </cell>
          <cell r="BD1040">
            <v>0</v>
          </cell>
          <cell r="BE1040">
            <v>0</v>
          </cell>
          <cell r="BF1040">
            <v>0</v>
          </cell>
          <cell r="BG1040">
            <v>192</v>
          </cell>
          <cell r="BH1040">
            <v>3</v>
          </cell>
          <cell r="BI1040">
            <v>3</v>
          </cell>
          <cell r="BJ1040">
            <v>3.5</v>
          </cell>
          <cell r="BL1040">
            <v>0</v>
          </cell>
          <cell r="BM1040">
            <v>0</v>
          </cell>
          <cell r="BN1040">
            <v>0</v>
          </cell>
          <cell r="BO1040">
            <v>0</v>
          </cell>
          <cell r="BP1040">
            <v>0</v>
          </cell>
          <cell r="BQ1040">
            <v>0</v>
          </cell>
          <cell r="BR1040">
            <v>0</v>
          </cell>
          <cell r="BS1040">
            <v>0</v>
          </cell>
          <cell r="BT1040">
            <v>0</v>
          </cell>
          <cell r="BU1040">
            <v>0</v>
          </cell>
          <cell r="BV1040">
            <v>0</v>
          </cell>
          <cell r="BW1040">
            <v>0</v>
          </cell>
          <cell r="BX1040">
            <v>0</v>
          </cell>
          <cell r="BY1040">
            <v>0</v>
          </cell>
          <cell r="BZ1040">
            <v>0</v>
          </cell>
          <cell r="CA1040">
            <v>0</v>
          </cell>
          <cell r="CB1040">
            <v>0</v>
          </cell>
          <cell r="CC1040">
            <v>0</v>
          </cell>
          <cell r="CD1040">
            <v>0</v>
          </cell>
          <cell r="CE1040">
            <v>0</v>
          </cell>
          <cell r="CF1040">
            <v>0</v>
          </cell>
          <cell r="CG1040">
            <v>0</v>
          </cell>
          <cell r="CH1040">
            <v>0</v>
          </cell>
          <cell r="CI1040">
            <v>0</v>
          </cell>
          <cell r="CJ1040">
            <v>0</v>
          </cell>
          <cell r="CK1040">
            <v>0</v>
          </cell>
          <cell r="CL1040">
            <v>0</v>
          </cell>
          <cell r="CM1040">
            <v>0</v>
          </cell>
          <cell r="CR1040">
            <v>0</v>
          </cell>
          <cell r="CS1040">
            <v>0</v>
          </cell>
          <cell r="CT1040">
            <v>0</v>
          </cell>
          <cell r="CU1040">
            <v>0</v>
          </cell>
          <cell r="CV1040">
            <v>0</v>
          </cell>
          <cell r="CZ1040">
            <v>0</v>
          </cell>
        </row>
        <row r="1041">
          <cell r="C1041" t="str">
            <v>04647</v>
          </cell>
          <cell r="D1041" t="str">
            <v>Dương Văn Lợi</v>
          </cell>
          <cell r="E1041" t="str">
            <v>Production</v>
          </cell>
          <cell r="F1041" t="str">
            <v>Molding</v>
          </cell>
          <cell r="G1041" t="str">
            <v>Worker</v>
          </cell>
          <cell r="H1041">
            <v>45820</v>
          </cell>
          <cell r="I1041">
            <v>8</v>
          </cell>
          <cell r="J1041" t="str">
            <v>CN</v>
          </cell>
          <cell r="K1041" t="str">
            <v>Đ</v>
          </cell>
          <cell r="L1041" t="str">
            <v>Đ</v>
          </cell>
          <cell r="M1041" t="str">
            <v>Đ</v>
          </cell>
          <cell r="N1041" t="str">
            <v>Đ</v>
          </cell>
          <cell r="O1041" t="str">
            <v>Đ</v>
          </cell>
          <cell r="P1041" t="str">
            <v>Đ</v>
          </cell>
          <cell r="Q1041" t="str">
            <v>CN</v>
          </cell>
          <cell r="R1041">
            <v>8</v>
          </cell>
          <cell r="S1041">
            <v>8</v>
          </cell>
          <cell r="T1041">
            <v>8</v>
          </cell>
          <cell r="U1041">
            <v>8</v>
          </cell>
          <cell r="V1041">
            <v>8</v>
          </cell>
          <cell r="W1041">
            <v>8</v>
          </cell>
          <cell r="X1041" t="str">
            <v>CN</v>
          </cell>
          <cell r="Y1041" t="str">
            <v>Đ</v>
          </cell>
          <cell r="Z1041" t="str">
            <v>Đ</v>
          </cell>
          <cell r="AA1041" t="str">
            <v>AL8</v>
          </cell>
          <cell r="AB1041" t="str">
            <v>AL8</v>
          </cell>
          <cell r="AC1041" t="str">
            <v>Đ</v>
          </cell>
          <cell r="AD1041" t="str">
            <v>Đ</v>
          </cell>
          <cell r="AE1041" t="str">
            <v>CN</v>
          </cell>
          <cell r="AF1041">
            <v>8</v>
          </cell>
          <cell r="AG1041" t="str">
            <v>UP8</v>
          </cell>
          <cell r="AH1041">
            <v>8</v>
          </cell>
          <cell r="AI1041">
            <v>8</v>
          </cell>
          <cell r="AJ1041">
            <v>8</v>
          </cell>
          <cell r="AN1041">
            <v>80</v>
          </cell>
          <cell r="AO1041">
            <v>88</v>
          </cell>
          <cell r="AP1041">
            <v>0</v>
          </cell>
          <cell r="AQ1041">
            <v>0</v>
          </cell>
          <cell r="AR1041">
            <v>0</v>
          </cell>
          <cell r="AS1041">
            <v>8</v>
          </cell>
          <cell r="AT1041">
            <v>0</v>
          </cell>
          <cell r="AU1041">
            <v>0</v>
          </cell>
          <cell r="AV1041">
            <v>0</v>
          </cell>
          <cell r="AW1041">
            <v>0</v>
          </cell>
          <cell r="AX1041">
            <v>0</v>
          </cell>
          <cell r="AY1041">
            <v>0</v>
          </cell>
          <cell r="AZ1041">
            <v>0</v>
          </cell>
          <cell r="BA1041">
            <v>16</v>
          </cell>
          <cell r="BB1041">
            <v>0</v>
          </cell>
          <cell r="BC1041">
            <v>0</v>
          </cell>
          <cell r="BD1041">
            <v>0</v>
          </cell>
          <cell r="BE1041">
            <v>0</v>
          </cell>
          <cell r="BF1041">
            <v>0</v>
          </cell>
          <cell r="BG1041">
            <v>184</v>
          </cell>
          <cell r="BH1041">
            <v>2</v>
          </cell>
          <cell r="BI1041">
            <v>2</v>
          </cell>
          <cell r="BJ1041">
            <v>-2</v>
          </cell>
          <cell r="BL1041">
            <v>0</v>
          </cell>
          <cell r="BM1041">
            <v>0</v>
          </cell>
          <cell r="BN1041">
            <v>0</v>
          </cell>
          <cell r="BO1041">
            <v>4</v>
          </cell>
          <cell r="BP1041">
            <v>0</v>
          </cell>
          <cell r="BQ1041">
            <v>0</v>
          </cell>
          <cell r="BR1041">
            <v>0</v>
          </cell>
          <cell r="BS1041">
            <v>0</v>
          </cell>
          <cell r="BT1041">
            <v>0</v>
          </cell>
          <cell r="BU1041">
            <v>4</v>
          </cell>
          <cell r="BV1041">
            <v>4</v>
          </cell>
          <cell r="BW1041">
            <v>0</v>
          </cell>
          <cell r="BX1041">
            <v>0</v>
          </cell>
          <cell r="BY1041">
            <v>0</v>
          </cell>
          <cell r="BZ1041">
            <v>0</v>
          </cell>
          <cell r="CA1041">
            <v>0</v>
          </cell>
          <cell r="CB1041">
            <v>4</v>
          </cell>
          <cell r="CC1041">
            <v>4</v>
          </cell>
          <cell r="CD1041">
            <v>0</v>
          </cell>
          <cell r="CE1041">
            <v>0</v>
          </cell>
          <cell r="CF1041">
            <v>0</v>
          </cell>
          <cell r="CG1041">
            <v>0</v>
          </cell>
          <cell r="CH1041">
            <v>0</v>
          </cell>
          <cell r="CI1041">
            <v>4</v>
          </cell>
          <cell r="CJ1041">
            <v>0</v>
          </cell>
          <cell r="CK1041">
            <v>0</v>
          </cell>
          <cell r="CL1041">
            <v>0</v>
          </cell>
          <cell r="CM1041">
            <v>0</v>
          </cell>
          <cell r="CR1041">
            <v>0</v>
          </cell>
          <cell r="CS1041">
            <v>0</v>
          </cell>
          <cell r="CT1041">
            <v>24</v>
          </cell>
          <cell r="CU1041">
            <v>0</v>
          </cell>
          <cell r="CV1041">
            <v>0</v>
          </cell>
          <cell r="CZ1041">
            <v>24</v>
          </cell>
        </row>
        <row r="1042">
          <cell r="C1042" t="str">
            <v>04649</v>
          </cell>
          <cell r="D1042" t="str">
            <v>Huỳnh Thị Kim Tiến</v>
          </cell>
          <cell r="E1042" t="str">
            <v>Production</v>
          </cell>
          <cell r="F1042" t="str">
            <v>Molding</v>
          </cell>
          <cell r="G1042" t="str">
            <v>Worker</v>
          </cell>
          <cell r="H1042">
            <v>45820</v>
          </cell>
          <cell r="I1042" t="str">
            <v>Đ</v>
          </cell>
          <cell r="J1042" t="str">
            <v>Đ</v>
          </cell>
          <cell r="K1042" t="str">
            <v>Đ</v>
          </cell>
          <cell r="L1042" t="str">
            <v>CN</v>
          </cell>
          <cell r="M1042" t="str">
            <v>AL8</v>
          </cell>
          <cell r="N1042">
            <v>8</v>
          </cell>
          <cell r="O1042">
            <v>8</v>
          </cell>
          <cell r="P1042">
            <v>8</v>
          </cell>
          <cell r="Q1042">
            <v>8</v>
          </cell>
          <cell r="R1042">
            <v>8</v>
          </cell>
          <cell r="S1042" t="str">
            <v>CN</v>
          </cell>
          <cell r="T1042" t="str">
            <v>M</v>
          </cell>
          <cell r="U1042">
            <v>8</v>
          </cell>
          <cell r="V1042">
            <v>8</v>
          </cell>
          <cell r="W1042">
            <v>8</v>
          </cell>
          <cell r="X1042">
            <v>8</v>
          </cell>
          <cell r="Y1042">
            <v>8</v>
          </cell>
          <cell r="Z1042" t="str">
            <v>CN</v>
          </cell>
          <cell r="AA1042">
            <v>8</v>
          </cell>
          <cell r="AB1042" t="str">
            <v>AL4</v>
          </cell>
          <cell r="AC1042">
            <v>8</v>
          </cell>
          <cell r="AD1042">
            <v>8</v>
          </cell>
          <cell r="AE1042">
            <v>8</v>
          </cell>
          <cell r="AF1042" t="str">
            <v>S</v>
          </cell>
          <cell r="AG1042" t="str">
            <v>CN</v>
          </cell>
          <cell r="AH1042">
            <v>8</v>
          </cell>
          <cell r="AI1042">
            <v>8</v>
          </cell>
          <cell r="AJ1042">
            <v>7.95</v>
          </cell>
          <cell r="AN1042">
            <v>24</v>
          </cell>
          <cell r="AO1042">
            <v>139.94999999999999</v>
          </cell>
          <cell r="AP1042">
            <v>4</v>
          </cell>
          <cell r="AQ1042">
            <v>0</v>
          </cell>
          <cell r="AR1042">
            <v>0</v>
          </cell>
          <cell r="AS1042">
            <v>0</v>
          </cell>
          <cell r="AT1042">
            <v>0</v>
          </cell>
          <cell r="AU1042">
            <v>0</v>
          </cell>
          <cell r="AV1042">
            <v>0</v>
          </cell>
          <cell r="AW1042">
            <v>8</v>
          </cell>
          <cell r="AX1042">
            <v>8</v>
          </cell>
          <cell r="AY1042">
            <v>0</v>
          </cell>
          <cell r="AZ1042">
            <v>0</v>
          </cell>
          <cell r="BA1042">
            <v>12</v>
          </cell>
          <cell r="BB1042">
            <v>0</v>
          </cell>
          <cell r="BC1042">
            <v>0</v>
          </cell>
          <cell r="BD1042">
            <v>0</v>
          </cell>
          <cell r="BE1042">
            <v>0</v>
          </cell>
          <cell r="BF1042">
            <v>0</v>
          </cell>
          <cell r="BG1042">
            <v>183.95</v>
          </cell>
          <cell r="BH1042">
            <v>1.5</v>
          </cell>
          <cell r="BI1042">
            <v>1.5</v>
          </cell>
          <cell r="BJ1042">
            <v>2</v>
          </cell>
          <cell r="BL1042">
            <v>0</v>
          </cell>
          <cell r="BM1042">
            <v>0</v>
          </cell>
          <cell r="BN1042">
            <v>0</v>
          </cell>
          <cell r="BO1042">
            <v>0</v>
          </cell>
          <cell r="BP1042">
            <v>0</v>
          </cell>
          <cell r="BQ1042">
            <v>0</v>
          </cell>
          <cell r="BR1042">
            <v>0</v>
          </cell>
          <cell r="BS1042">
            <v>0</v>
          </cell>
          <cell r="BT1042">
            <v>0</v>
          </cell>
          <cell r="BU1042">
            <v>0</v>
          </cell>
          <cell r="BV1042">
            <v>0</v>
          </cell>
          <cell r="BW1042">
            <v>0</v>
          </cell>
          <cell r="BX1042">
            <v>0</v>
          </cell>
          <cell r="BY1042">
            <v>0</v>
          </cell>
          <cell r="BZ1042">
            <v>0</v>
          </cell>
          <cell r="CA1042">
            <v>0</v>
          </cell>
          <cell r="CB1042">
            <v>0</v>
          </cell>
          <cell r="CC1042">
            <v>0</v>
          </cell>
          <cell r="CD1042">
            <v>0</v>
          </cell>
          <cell r="CE1042">
            <v>0</v>
          </cell>
          <cell r="CF1042">
            <v>0</v>
          </cell>
          <cell r="CG1042">
            <v>0</v>
          </cell>
          <cell r="CH1042">
            <v>0</v>
          </cell>
          <cell r="CI1042">
            <v>0</v>
          </cell>
          <cell r="CJ1042">
            <v>0</v>
          </cell>
          <cell r="CK1042">
            <v>0</v>
          </cell>
          <cell r="CL1042">
            <v>0</v>
          </cell>
          <cell r="CM1042">
            <v>0</v>
          </cell>
          <cell r="CR1042">
            <v>0</v>
          </cell>
          <cell r="CS1042">
            <v>0</v>
          </cell>
          <cell r="CT1042">
            <v>0</v>
          </cell>
          <cell r="CU1042">
            <v>0</v>
          </cell>
          <cell r="CV1042">
            <v>0</v>
          </cell>
          <cell r="CZ1042">
            <v>0</v>
          </cell>
        </row>
        <row r="1043">
          <cell r="C1043" t="str">
            <v>04651</v>
          </cell>
          <cell r="D1043" t="str">
            <v>Thạch Hải Huy</v>
          </cell>
          <cell r="E1043" t="str">
            <v>Production</v>
          </cell>
          <cell r="F1043" t="str">
            <v>Die cut</v>
          </cell>
          <cell r="G1043" t="str">
            <v>Worker</v>
          </cell>
          <cell r="H1043">
            <v>45820</v>
          </cell>
          <cell r="I1043" t="str">
            <v>Đ</v>
          </cell>
          <cell r="J1043" t="str">
            <v>Đ</v>
          </cell>
          <cell r="K1043" t="str">
            <v>Đ</v>
          </cell>
          <cell r="L1043" t="str">
            <v>CN</v>
          </cell>
          <cell r="M1043">
            <v>8</v>
          </cell>
          <cell r="N1043">
            <v>8</v>
          </cell>
          <cell r="O1043">
            <v>8</v>
          </cell>
          <cell r="P1043">
            <v>8</v>
          </cell>
          <cell r="Q1043">
            <v>8</v>
          </cell>
          <cell r="R1043">
            <v>8</v>
          </cell>
          <cell r="S1043" t="str">
            <v>CN</v>
          </cell>
          <cell r="T1043" t="str">
            <v>Đ</v>
          </cell>
          <cell r="U1043" t="str">
            <v>Đ</v>
          </cell>
          <cell r="V1043" t="str">
            <v>AL8</v>
          </cell>
          <cell r="W1043" t="str">
            <v>Đ</v>
          </cell>
          <cell r="X1043" t="str">
            <v>AL4Đ</v>
          </cell>
          <cell r="Y1043" t="str">
            <v>Đ</v>
          </cell>
          <cell r="Z1043" t="str">
            <v>CN</v>
          </cell>
          <cell r="AA1043">
            <v>8</v>
          </cell>
          <cell r="AB1043">
            <v>8</v>
          </cell>
          <cell r="AC1043">
            <v>8</v>
          </cell>
          <cell r="AD1043">
            <v>8</v>
          </cell>
          <cell r="AE1043">
            <v>8</v>
          </cell>
          <cell r="AF1043">
            <v>8</v>
          </cell>
          <cell r="AG1043" t="str">
            <v>CN</v>
          </cell>
          <cell r="AH1043" t="str">
            <v>Đ</v>
          </cell>
          <cell r="AI1043" t="str">
            <v>Đ</v>
          </cell>
          <cell r="AJ1043" t="str">
            <v>Đ</v>
          </cell>
          <cell r="AN1043">
            <v>84</v>
          </cell>
          <cell r="AO1043">
            <v>96</v>
          </cell>
          <cell r="AP1043">
            <v>0</v>
          </cell>
          <cell r="AQ1043">
            <v>0</v>
          </cell>
          <cell r="AR1043">
            <v>0</v>
          </cell>
          <cell r="AS1043">
            <v>0</v>
          </cell>
          <cell r="AT1043">
            <v>0</v>
          </cell>
          <cell r="AU1043">
            <v>0</v>
          </cell>
          <cell r="AV1043">
            <v>0</v>
          </cell>
          <cell r="AW1043">
            <v>0</v>
          </cell>
          <cell r="AX1043">
            <v>0</v>
          </cell>
          <cell r="AY1043">
            <v>0</v>
          </cell>
          <cell r="AZ1043">
            <v>0</v>
          </cell>
          <cell r="BA1043">
            <v>12</v>
          </cell>
          <cell r="BB1043">
            <v>0</v>
          </cell>
          <cell r="BC1043">
            <v>0</v>
          </cell>
          <cell r="BD1043">
            <v>0</v>
          </cell>
          <cell r="BE1043">
            <v>0</v>
          </cell>
          <cell r="BF1043">
            <v>0</v>
          </cell>
          <cell r="BG1043">
            <v>192</v>
          </cell>
          <cell r="BH1043">
            <v>1.5</v>
          </cell>
          <cell r="BI1043">
            <v>1.5</v>
          </cell>
          <cell r="BJ1043">
            <v>-0.5</v>
          </cell>
          <cell r="BL1043">
            <v>1.5</v>
          </cell>
          <cell r="BM1043">
            <v>1.5</v>
          </cell>
          <cell r="BN1043">
            <v>1.5</v>
          </cell>
          <cell r="BO1043">
            <v>0</v>
          </cell>
          <cell r="BP1043">
            <v>1.5</v>
          </cell>
          <cell r="BQ1043">
            <v>0</v>
          </cell>
          <cell r="BR1043">
            <v>0</v>
          </cell>
          <cell r="BS1043">
            <v>3</v>
          </cell>
          <cell r="BT1043">
            <v>3</v>
          </cell>
          <cell r="BU1043">
            <v>3</v>
          </cell>
          <cell r="BV1043">
            <v>0</v>
          </cell>
          <cell r="BW1043">
            <v>4</v>
          </cell>
          <cell r="BX1043">
            <v>4</v>
          </cell>
          <cell r="BY1043">
            <v>0</v>
          </cell>
          <cell r="BZ1043">
            <v>4</v>
          </cell>
          <cell r="CA1043">
            <v>4</v>
          </cell>
          <cell r="CB1043">
            <v>4</v>
          </cell>
          <cell r="CC1043">
            <v>0</v>
          </cell>
          <cell r="CD1043">
            <v>3</v>
          </cell>
          <cell r="CE1043">
            <v>3</v>
          </cell>
          <cell r="CF1043">
            <v>3</v>
          </cell>
          <cell r="CG1043">
            <v>3</v>
          </cell>
          <cell r="CH1043">
            <v>3</v>
          </cell>
          <cell r="CI1043">
            <v>3</v>
          </cell>
          <cell r="CJ1043">
            <v>8</v>
          </cell>
          <cell r="CK1043">
            <v>4</v>
          </cell>
          <cell r="CL1043">
            <v>4</v>
          </cell>
          <cell r="CM1043">
            <v>4</v>
          </cell>
          <cell r="CR1043">
            <v>0</v>
          </cell>
          <cell r="CS1043">
            <v>0</v>
          </cell>
          <cell r="CT1043">
            <v>65</v>
          </cell>
          <cell r="CU1043">
            <v>8</v>
          </cell>
          <cell r="CV1043">
            <v>0</v>
          </cell>
          <cell r="CZ1043">
            <v>73</v>
          </cell>
        </row>
        <row r="1044">
          <cell r="C1044" t="str">
            <v>04652</v>
          </cell>
          <cell r="D1044" t="str">
            <v>Nguyễn Trâm Anh</v>
          </cell>
          <cell r="E1044" t="str">
            <v>CS</v>
          </cell>
          <cell r="F1044" t="str">
            <v>CS</v>
          </cell>
          <cell r="G1044" t="str">
            <v>Staff</v>
          </cell>
          <cell r="H1044">
            <v>45824</v>
          </cell>
          <cell r="I1044">
            <v>8</v>
          </cell>
          <cell r="J1044">
            <v>8</v>
          </cell>
          <cell r="K1044" t="str">
            <v>PO</v>
          </cell>
          <cell r="L1044" t="str">
            <v>CN</v>
          </cell>
          <cell r="M1044">
            <v>8</v>
          </cell>
          <cell r="N1044">
            <v>8</v>
          </cell>
          <cell r="O1044" t="str">
            <v>WH</v>
          </cell>
          <cell r="P1044">
            <v>8</v>
          </cell>
          <cell r="Q1044">
            <v>8</v>
          </cell>
          <cell r="R1044" t="str">
            <v>PO</v>
          </cell>
          <cell r="S1044" t="str">
            <v>CN</v>
          </cell>
          <cell r="T1044">
            <v>8</v>
          </cell>
          <cell r="U1044">
            <v>8</v>
          </cell>
          <cell r="V1044">
            <v>8</v>
          </cell>
          <cell r="W1044">
            <v>8</v>
          </cell>
          <cell r="X1044">
            <v>8</v>
          </cell>
          <cell r="Y1044" t="str">
            <v>PO</v>
          </cell>
          <cell r="Z1044" t="str">
            <v>CN</v>
          </cell>
          <cell r="AA1044">
            <v>8</v>
          </cell>
          <cell r="AB1044">
            <v>8</v>
          </cell>
          <cell r="AC1044">
            <v>8</v>
          </cell>
          <cell r="AD1044">
            <v>8</v>
          </cell>
          <cell r="AE1044">
            <v>8</v>
          </cell>
          <cell r="AF1044" t="str">
            <v>PO</v>
          </cell>
          <cell r="AG1044" t="str">
            <v>CN</v>
          </cell>
          <cell r="AH1044">
            <v>8</v>
          </cell>
          <cell r="AI1044" t="str">
            <v>WH</v>
          </cell>
          <cell r="AJ1044" t="str">
            <v>AL8</v>
          </cell>
          <cell r="AN1044">
            <v>0</v>
          </cell>
          <cell r="AO1044">
            <v>136</v>
          </cell>
          <cell r="AP1044">
            <v>0</v>
          </cell>
          <cell r="AQ1044">
            <v>0</v>
          </cell>
          <cell r="AR1044">
            <v>0</v>
          </cell>
          <cell r="AS1044">
            <v>0</v>
          </cell>
          <cell r="AT1044">
            <v>0</v>
          </cell>
          <cell r="AU1044">
            <v>0</v>
          </cell>
          <cell r="AV1044">
            <v>32</v>
          </cell>
          <cell r="AW1044">
            <v>0</v>
          </cell>
          <cell r="AX1044">
            <v>0</v>
          </cell>
          <cell r="AY1044">
            <v>0</v>
          </cell>
          <cell r="AZ1044">
            <v>0</v>
          </cell>
          <cell r="BA1044">
            <v>8</v>
          </cell>
          <cell r="BB1044">
            <v>0</v>
          </cell>
          <cell r="BC1044">
            <v>0</v>
          </cell>
          <cell r="BD1044">
            <v>16</v>
          </cell>
          <cell r="BE1044">
            <v>0</v>
          </cell>
          <cell r="BF1044">
            <v>0</v>
          </cell>
          <cell r="BG1044">
            <v>192</v>
          </cell>
          <cell r="BH1044">
            <v>1</v>
          </cell>
          <cell r="BI1044">
            <v>1</v>
          </cell>
          <cell r="BJ1044">
            <v>2</v>
          </cell>
          <cell r="BL1044">
            <v>0</v>
          </cell>
          <cell r="BM1044">
            <v>0</v>
          </cell>
          <cell r="BN1044">
            <v>0</v>
          </cell>
          <cell r="BO1044">
            <v>0</v>
          </cell>
          <cell r="BP1044">
            <v>0</v>
          </cell>
          <cell r="BQ1044">
            <v>0</v>
          </cell>
          <cell r="BR1044">
            <v>0</v>
          </cell>
          <cell r="BS1044">
            <v>0</v>
          </cell>
          <cell r="BT1044">
            <v>0</v>
          </cell>
          <cell r="BU1044">
            <v>0</v>
          </cell>
          <cell r="BV1044">
            <v>0</v>
          </cell>
          <cell r="BW1044">
            <v>0</v>
          </cell>
          <cell r="BX1044">
            <v>0</v>
          </cell>
          <cell r="BY1044">
            <v>0</v>
          </cell>
          <cell r="BZ1044">
            <v>0</v>
          </cell>
          <cell r="CA1044">
            <v>0</v>
          </cell>
          <cell r="CB1044">
            <v>0</v>
          </cell>
          <cell r="CC1044">
            <v>0</v>
          </cell>
          <cell r="CD1044">
            <v>0</v>
          </cell>
          <cell r="CE1044">
            <v>0</v>
          </cell>
          <cell r="CF1044">
            <v>0</v>
          </cell>
          <cell r="CG1044">
            <v>0</v>
          </cell>
          <cell r="CH1044">
            <v>0</v>
          </cell>
          <cell r="CI1044">
            <v>0</v>
          </cell>
          <cell r="CJ1044">
            <v>0</v>
          </cell>
          <cell r="CK1044">
            <v>0</v>
          </cell>
          <cell r="CL1044">
            <v>0</v>
          </cell>
          <cell r="CM1044">
            <v>0</v>
          </cell>
          <cell r="CR1044">
            <v>0</v>
          </cell>
          <cell r="CS1044">
            <v>0</v>
          </cell>
          <cell r="CT1044">
            <v>0</v>
          </cell>
          <cell r="CU1044">
            <v>0</v>
          </cell>
          <cell r="CV1044">
            <v>0</v>
          </cell>
          <cell r="CZ1044">
            <v>0</v>
          </cell>
        </row>
        <row r="1045">
          <cell r="C1045" t="str">
            <v>04657</v>
          </cell>
          <cell r="D1045" t="str">
            <v>Võ Minh Kỳ</v>
          </cell>
          <cell r="E1045" t="str">
            <v>Production</v>
          </cell>
          <cell r="F1045" t="str">
            <v>Die Cut</v>
          </cell>
          <cell r="G1045" t="str">
            <v>Worker</v>
          </cell>
          <cell r="H1045">
            <v>45828</v>
          </cell>
          <cell r="I1045" t="str">
            <v>Đ</v>
          </cell>
          <cell r="J1045" t="str">
            <v>Đ</v>
          </cell>
          <cell r="K1045" t="str">
            <v>AL8</v>
          </cell>
          <cell r="L1045" t="str">
            <v>CN</v>
          </cell>
          <cell r="M1045">
            <v>8</v>
          </cell>
          <cell r="N1045">
            <v>8</v>
          </cell>
          <cell r="O1045">
            <v>8</v>
          </cell>
          <cell r="P1045" t="str">
            <v>AL8</v>
          </cell>
          <cell r="Q1045">
            <v>8</v>
          </cell>
          <cell r="R1045">
            <v>8</v>
          </cell>
          <cell r="S1045" t="str">
            <v>CN</v>
          </cell>
          <cell r="T1045" t="str">
            <v>Đ</v>
          </cell>
          <cell r="U1045" t="str">
            <v>Đ</v>
          </cell>
          <cell r="V1045" t="str">
            <v>Đ</v>
          </cell>
          <cell r="W1045" t="str">
            <v>Đ</v>
          </cell>
          <cell r="X1045" t="str">
            <v>Đ</v>
          </cell>
          <cell r="Y1045" t="str">
            <v>Đ</v>
          </cell>
          <cell r="Z1045" t="str">
            <v>CN</v>
          </cell>
          <cell r="AA1045">
            <v>8</v>
          </cell>
          <cell r="AB1045" t="str">
            <v>SL</v>
          </cell>
          <cell r="AC1045" t="str">
            <v>SL</v>
          </cell>
          <cell r="AD1045" t="str">
            <v>SL</v>
          </cell>
          <cell r="AE1045" t="str">
            <v>SL</v>
          </cell>
          <cell r="AF1045" t="str">
            <v>SL</v>
          </cell>
          <cell r="AG1045" t="str">
            <v>CN</v>
          </cell>
          <cell r="AH1045" t="str">
            <v>Đ</v>
          </cell>
          <cell r="AI1045" t="str">
            <v>Đ</v>
          </cell>
          <cell r="AJ1045" t="str">
            <v>Đ</v>
          </cell>
          <cell r="AN1045">
            <v>88</v>
          </cell>
          <cell r="AO1045">
            <v>48</v>
          </cell>
          <cell r="AP1045">
            <v>0</v>
          </cell>
          <cell r="AQ1045">
            <v>5</v>
          </cell>
          <cell r="AR1045">
            <v>0</v>
          </cell>
          <cell r="AS1045">
            <v>0</v>
          </cell>
          <cell r="AT1045">
            <v>0</v>
          </cell>
          <cell r="AU1045">
            <v>0</v>
          </cell>
          <cell r="AV1045">
            <v>0</v>
          </cell>
          <cell r="AW1045">
            <v>0</v>
          </cell>
          <cell r="AX1045">
            <v>0</v>
          </cell>
          <cell r="AY1045">
            <v>0</v>
          </cell>
          <cell r="AZ1045">
            <v>0</v>
          </cell>
          <cell r="BA1045">
            <v>16</v>
          </cell>
          <cell r="BB1045">
            <v>0</v>
          </cell>
          <cell r="BC1045">
            <v>0</v>
          </cell>
          <cell r="BD1045">
            <v>0</v>
          </cell>
          <cell r="BE1045">
            <v>0</v>
          </cell>
          <cell r="BF1045">
            <v>0</v>
          </cell>
          <cell r="BG1045">
            <v>152</v>
          </cell>
          <cell r="BH1045">
            <v>2</v>
          </cell>
          <cell r="BI1045">
            <v>2</v>
          </cell>
          <cell r="BJ1045">
            <v>-2</v>
          </cell>
          <cell r="BL1045">
            <v>1.5</v>
          </cell>
          <cell r="BM1045">
            <v>1.5</v>
          </cell>
          <cell r="BN1045">
            <v>0</v>
          </cell>
          <cell r="BO1045">
            <v>0</v>
          </cell>
          <cell r="BP1045">
            <v>1.5</v>
          </cell>
          <cell r="BQ1045">
            <v>0</v>
          </cell>
          <cell r="BR1045">
            <v>0</v>
          </cell>
          <cell r="BS1045">
            <v>1.5</v>
          </cell>
          <cell r="BT1045">
            <v>0</v>
          </cell>
          <cell r="BU1045">
            <v>3</v>
          </cell>
          <cell r="BV1045">
            <v>0</v>
          </cell>
          <cell r="BW1045">
            <v>4</v>
          </cell>
          <cell r="BX1045">
            <v>4</v>
          </cell>
          <cell r="BY1045">
            <v>4</v>
          </cell>
          <cell r="BZ1045">
            <v>0</v>
          </cell>
          <cell r="CA1045">
            <v>4</v>
          </cell>
          <cell r="CB1045">
            <v>0</v>
          </cell>
          <cell r="CC1045">
            <v>0</v>
          </cell>
          <cell r="CD1045">
            <v>3</v>
          </cell>
          <cell r="CE1045">
            <v>2</v>
          </cell>
          <cell r="CF1045">
            <v>0</v>
          </cell>
          <cell r="CG1045">
            <v>0</v>
          </cell>
          <cell r="CH1045">
            <v>0</v>
          </cell>
          <cell r="CI1045">
            <v>0</v>
          </cell>
          <cell r="CJ1045">
            <v>0</v>
          </cell>
          <cell r="CK1045">
            <v>4</v>
          </cell>
          <cell r="CL1045">
            <v>4</v>
          </cell>
          <cell r="CM1045">
            <v>3</v>
          </cell>
          <cell r="CR1045">
            <v>0</v>
          </cell>
          <cell r="CS1045">
            <v>0</v>
          </cell>
          <cell r="CT1045">
            <v>41</v>
          </cell>
          <cell r="CU1045">
            <v>0</v>
          </cell>
          <cell r="CV1045">
            <v>0</v>
          </cell>
          <cell r="CZ1045">
            <v>41</v>
          </cell>
        </row>
        <row r="1046">
          <cell r="C1046" t="str">
            <v>04662</v>
          </cell>
          <cell r="D1046" t="str">
            <v>Phạm Văn Huy</v>
          </cell>
          <cell r="E1046" t="str">
            <v xml:space="preserve">EHS &amp; Facilities </v>
          </cell>
          <cell r="F1046" t="str">
            <v>Maintenance</v>
          </cell>
          <cell r="G1046" t="str">
            <v>Technician</v>
          </cell>
          <cell r="H1046">
            <v>45828</v>
          </cell>
          <cell r="I1046">
            <v>8</v>
          </cell>
          <cell r="J1046">
            <v>8</v>
          </cell>
          <cell r="K1046">
            <v>8</v>
          </cell>
          <cell r="L1046" t="str">
            <v>CN</v>
          </cell>
          <cell r="M1046">
            <v>8</v>
          </cell>
          <cell r="N1046">
            <v>8</v>
          </cell>
          <cell r="O1046">
            <v>8</v>
          </cell>
          <cell r="P1046">
            <v>8</v>
          </cell>
          <cell r="Q1046">
            <v>8</v>
          </cell>
          <cell r="R1046">
            <v>8</v>
          </cell>
          <cell r="S1046" t="str">
            <v>CN</v>
          </cell>
          <cell r="T1046" t="str">
            <v>Đ</v>
          </cell>
          <cell r="U1046" t="str">
            <v>Đ</v>
          </cell>
          <cell r="V1046" t="str">
            <v>Đ</v>
          </cell>
          <cell r="W1046" t="str">
            <v>Đ</v>
          </cell>
          <cell r="X1046" t="str">
            <v>Đ</v>
          </cell>
          <cell r="Y1046" t="str">
            <v>Đ</v>
          </cell>
          <cell r="Z1046" t="str">
            <v>CN</v>
          </cell>
          <cell r="AA1046">
            <v>8</v>
          </cell>
          <cell r="AB1046">
            <v>8</v>
          </cell>
          <cell r="AC1046">
            <v>8</v>
          </cell>
          <cell r="AD1046">
            <v>8</v>
          </cell>
          <cell r="AE1046">
            <v>8</v>
          </cell>
          <cell r="AF1046">
            <v>8</v>
          </cell>
          <cell r="AG1046" t="str">
            <v>CN</v>
          </cell>
          <cell r="AH1046">
            <v>8</v>
          </cell>
          <cell r="AI1046">
            <v>8</v>
          </cell>
          <cell r="AJ1046">
            <v>8</v>
          </cell>
          <cell r="AN1046">
            <v>48</v>
          </cell>
          <cell r="AO1046">
            <v>144</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192</v>
          </cell>
          <cell r="BH1046">
            <v>0</v>
          </cell>
          <cell r="BI1046">
            <v>0</v>
          </cell>
          <cell r="BJ1046">
            <v>5</v>
          </cell>
          <cell r="BL1046">
            <v>4</v>
          </cell>
          <cell r="BM1046">
            <v>0</v>
          </cell>
          <cell r="BN1046">
            <v>0</v>
          </cell>
          <cell r="BO1046">
            <v>0</v>
          </cell>
          <cell r="BP1046">
            <v>4</v>
          </cell>
          <cell r="BQ1046">
            <v>0</v>
          </cell>
          <cell r="BR1046">
            <v>0</v>
          </cell>
          <cell r="BS1046">
            <v>4</v>
          </cell>
          <cell r="BT1046">
            <v>3</v>
          </cell>
          <cell r="BU1046">
            <v>0</v>
          </cell>
          <cell r="BV1046">
            <v>0</v>
          </cell>
          <cell r="BW1046">
            <v>0</v>
          </cell>
          <cell r="BX1046">
            <v>0</v>
          </cell>
          <cell r="BY1046">
            <v>0</v>
          </cell>
          <cell r="BZ1046">
            <v>0</v>
          </cell>
          <cell r="CA1046">
            <v>0</v>
          </cell>
          <cell r="CB1046">
            <v>4</v>
          </cell>
          <cell r="CC1046">
            <v>0</v>
          </cell>
          <cell r="CD1046">
            <v>0</v>
          </cell>
          <cell r="CE1046">
            <v>4</v>
          </cell>
          <cell r="CF1046">
            <v>0</v>
          </cell>
          <cell r="CG1046">
            <v>0</v>
          </cell>
          <cell r="CH1046">
            <v>0</v>
          </cell>
          <cell r="CI1046">
            <v>0</v>
          </cell>
          <cell r="CJ1046">
            <v>8</v>
          </cell>
          <cell r="CK1046">
            <v>0</v>
          </cell>
          <cell r="CL1046">
            <v>0</v>
          </cell>
          <cell r="CM1046">
            <v>0</v>
          </cell>
          <cell r="CR1046">
            <v>0</v>
          </cell>
          <cell r="CS1046">
            <v>0</v>
          </cell>
          <cell r="CT1046">
            <v>23</v>
          </cell>
          <cell r="CU1046">
            <v>8</v>
          </cell>
          <cell r="CV1046">
            <v>0</v>
          </cell>
          <cell r="CZ1046">
            <v>31</v>
          </cell>
        </row>
        <row r="1047">
          <cell r="C1047" t="str">
            <v>03545</v>
          </cell>
          <cell r="D1047" t="str">
            <v>Đào Thị Nga</v>
          </cell>
          <cell r="E1047" t="str">
            <v>PD</v>
          </cell>
          <cell r="F1047" t="str">
            <v>PD office</v>
          </cell>
          <cell r="G1047" t="str">
            <v>Staff</v>
          </cell>
          <cell r="H1047">
            <v>44711</v>
          </cell>
          <cell r="I1047">
            <v>8</v>
          </cell>
          <cell r="J1047">
            <v>8</v>
          </cell>
          <cell r="K1047" t="str">
            <v>PO</v>
          </cell>
          <cell r="L1047" t="str">
            <v>CN</v>
          </cell>
          <cell r="M1047">
            <v>8</v>
          </cell>
          <cell r="N1047">
            <v>8</v>
          </cell>
          <cell r="O1047" t="str">
            <v>WH</v>
          </cell>
          <cell r="P1047">
            <v>8</v>
          </cell>
          <cell r="Q1047">
            <v>8</v>
          </cell>
          <cell r="R1047" t="str">
            <v>PO</v>
          </cell>
          <cell r="S1047" t="str">
            <v>CN</v>
          </cell>
          <cell r="T1047">
            <v>8</v>
          </cell>
          <cell r="U1047">
            <v>8</v>
          </cell>
          <cell r="V1047" t="str">
            <v>WH</v>
          </cell>
          <cell r="W1047">
            <v>8</v>
          </cell>
          <cell r="X1047">
            <v>8</v>
          </cell>
          <cell r="Y1047" t="str">
            <v>PO</v>
          </cell>
          <cell r="Z1047" t="str">
            <v>CN</v>
          </cell>
          <cell r="AA1047">
            <v>8</v>
          </cell>
          <cell r="AB1047">
            <v>8</v>
          </cell>
          <cell r="AC1047">
            <v>8</v>
          </cell>
          <cell r="AD1047" t="str">
            <v>WH</v>
          </cell>
          <cell r="AE1047">
            <v>8</v>
          </cell>
          <cell r="AF1047" t="str">
            <v>PO</v>
          </cell>
          <cell r="AG1047" t="str">
            <v>CN</v>
          </cell>
          <cell r="AH1047" t="str">
            <v>WH</v>
          </cell>
          <cell r="AI1047">
            <v>8</v>
          </cell>
          <cell r="AJ1047">
            <v>8</v>
          </cell>
          <cell r="AN1047">
            <v>0</v>
          </cell>
          <cell r="AO1047">
            <v>128</v>
          </cell>
          <cell r="AP1047">
            <v>0</v>
          </cell>
          <cell r="AQ1047">
            <v>0</v>
          </cell>
          <cell r="AR1047">
            <v>0</v>
          </cell>
          <cell r="AS1047">
            <v>0</v>
          </cell>
          <cell r="AT1047">
            <v>0</v>
          </cell>
          <cell r="AU1047">
            <v>0</v>
          </cell>
          <cell r="AV1047">
            <v>32</v>
          </cell>
          <cell r="AW1047">
            <v>0</v>
          </cell>
          <cell r="AX1047">
            <v>0</v>
          </cell>
          <cell r="AY1047">
            <v>0</v>
          </cell>
          <cell r="AZ1047">
            <v>0</v>
          </cell>
          <cell r="BA1047">
            <v>0</v>
          </cell>
          <cell r="BB1047">
            <v>0</v>
          </cell>
          <cell r="BC1047">
            <v>0</v>
          </cell>
          <cell r="BD1047">
            <v>32</v>
          </cell>
          <cell r="BE1047">
            <v>0</v>
          </cell>
          <cell r="BF1047">
            <v>0</v>
          </cell>
          <cell r="BG1047">
            <v>192</v>
          </cell>
          <cell r="BH1047">
            <v>0</v>
          </cell>
          <cell r="BI1047">
            <v>0</v>
          </cell>
          <cell r="BJ1047">
            <v>3</v>
          </cell>
          <cell r="BL1047">
            <v>0</v>
          </cell>
          <cell r="BM1047">
            <v>0</v>
          </cell>
          <cell r="BN1047">
            <v>0</v>
          </cell>
          <cell r="BO1047">
            <v>0</v>
          </cell>
          <cell r="BP1047">
            <v>0</v>
          </cell>
          <cell r="BQ1047">
            <v>0</v>
          </cell>
          <cell r="BR1047">
            <v>0</v>
          </cell>
          <cell r="BS1047">
            <v>0</v>
          </cell>
          <cell r="BT1047">
            <v>0</v>
          </cell>
          <cell r="BU1047">
            <v>0</v>
          </cell>
          <cell r="BV1047">
            <v>0</v>
          </cell>
          <cell r="BW1047">
            <v>0</v>
          </cell>
          <cell r="BX1047">
            <v>0</v>
          </cell>
          <cell r="BY1047">
            <v>0</v>
          </cell>
          <cell r="BZ1047">
            <v>0</v>
          </cell>
          <cell r="CA1047">
            <v>0</v>
          </cell>
          <cell r="CB1047">
            <v>0</v>
          </cell>
          <cell r="CC1047">
            <v>0</v>
          </cell>
          <cell r="CD1047">
            <v>0</v>
          </cell>
          <cell r="CE1047">
            <v>0</v>
          </cell>
          <cell r="CF1047">
            <v>0</v>
          </cell>
          <cell r="CG1047">
            <v>0</v>
          </cell>
          <cell r="CH1047">
            <v>0</v>
          </cell>
          <cell r="CI1047">
            <v>0</v>
          </cell>
          <cell r="CJ1047">
            <v>0</v>
          </cell>
          <cell r="CK1047">
            <v>0</v>
          </cell>
          <cell r="CL1047">
            <v>0</v>
          </cell>
          <cell r="CM1047">
            <v>0</v>
          </cell>
          <cell r="CR1047">
            <v>0</v>
          </cell>
          <cell r="CS1047">
            <v>0</v>
          </cell>
          <cell r="CT1047">
            <v>0</v>
          </cell>
          <cell r="CU1047">
            <v>0</v>
          </cell>
          <cell r="CV1047">
            <v>0</v>
          </cell>
          <cell r="CZ1047">
            <v>0</v>
          </cell>
        </row>
        <row r="1048">
          <cell r="C1048" t="str">
            <v>02855</v>
          </cell>
          <cell r="D1048" t="str">
            <v>Trịnh Thị Nguyên</v>
          </cell>
          <cell r="E1048" t="str">
            <v>QC</v>
          </cell>
          <cell r="F1048" t="str">
            <v>QC</v>
          </cell>
          <cell r="G1048" t="str">
            <v>Worker</v>
          </cell>
          <cell r="H1048">
            <v>44277</v>
          </cell>
          <cell r="I1048">
            <v>8</v>
          </cell>
          <cell r="J1048">
            <v>8</v>
          </cell>
          <cell r="K1048">
            <v>8</v>
          </cell>
          <cell r="L1048" t="str">
            <v>CN</v>
          </cell>
          <cell r="M1048">
            <v>8</v>
          </cell>
          <cell r="N1048">
            <v>8</v>
          </cell>
          <cell r="O1048">
            <v>8</v>
          </cell>
          <cell r="P1048">
            <v>8</v>
          </cell>
          <cell r="Q1048">
            <v>8</v>
          </cell>
          <cell r="R1048">
            <v>8</v>
          </cell>
          <cell r="S1048" t="str">
            <v>CN</v>
          </cell>
          <cell r="T1048">
            <v>8</v>
          </cell>
          <cell r="U1048">
            <v>8</v>
          </cell>
          <cell r="V1048">
            <v>8</v>
          </cell>
          <cell r="W1048">
            <v>8</v>
          </cell>
          <cell r="X1048">
            <v>8</v>
          </cell>
          <cell r="Y1048">
            <v>8</v>
          </cell>
          <cell r="Z1048" t="str">
            <v>CN</v>
          </cell>
          <cell r="AA1048" t="str">
            <v>AL4</v>
          </cell>
          <cell r="AB1048">
            <v>8</v>
          </cell>
          <cell r="AC1048">
            <v>8</v>
          </cell>
          <cell r="AD1048">
            <v>8</v>
          </cell>
          <cell r="AE1048">
            <v>8</v>
          </cell>
          <cell r="AF1048">
            <v>8</v>
          </cell>
          <cell r="AG1048" t="str">
            <v>CN</v>
          </cell>
          <cell r="AH1048">
            <v>8</v>
          </cell>
          <cell r="AI1048">
            <v>8</v>
          </cell>
          <cell r="AJ1048">
            <v>8</v>
          </cell>
          <cell r="AN1048">
            <v>0</v>
          </cell>
          <cell r="AO1048">
            <v>188</v>
          </cell>
          <cell r="AP1048">
            <v>4</v>
          </cell>
          <cell r="AQ1048">
            <v>0</v>
          </cell>
          <cell r="AR1048">
            <v>0</v>
          </cell>
          <cell r="AS1048">
            <v>0</v>
          </cell>
          <cell r="AT1048">
            <v>0</v>
          </cell>
          <cell r="AU1048">
            <v>0</v>
          </cell>
          <cell r="AV1048">
            <v>0</v>
          </cell>
          <cell r="AW1048">
            <v>0</v>
          </cell>
          <cell r="AX1048">
            <v>0</v>
          </cell>
          <cell r="AY1048">
            <v>0</v>
          </cell>
          <cell r="AZ1048">
            <v>0</v>
          </cell>
          <cell r="BA1048">
            <v>4</v>
          </cell>
          <cell r="BB1048">
            <v>0</v>
          </cell>
          <cell r="BC1048">
            <v>0</v>
          </cell>
          <cell r="BD1048">
            <v>0</v>
          </cell>
          <cell r="BE1048">
            <v>0</v>
          </cell>
          <cell r="BF1048">
            <v>0</v>
          </cell>
          <cell r="BG1048">
            <v>192</v>
          </cell>
          <cell r="BH1048">
            <v>0.5</v>
          </cell>
          <cell r="BI1048">
            <v>0.5</v>
          </cell>
          <cell r="BJ1048">
            <v>4.5</v>
          </cell>
          <cell r="BL1048">
            <v>2</v>
          </cell>
          <cell r="BM1048">
            <v>2</v>
          </cell>
          <cell r="BN1048">
            <v>2</v>
          </cell>
          <cell r="BO1048">
            <v>12</v>
          </cell>
          <cell r="BP1048">
            <v>0</v>
          </cell>
          <cell r="BQ1048">
            <v>2</v>
          </cell>
          <cell r="BR1048">
            <v>1</v>
          </cell>
          <cell r="BS1048">
            <v>1</v>
          </cell>
          <cell r="BT1048">
            <v>2</v>
          </cell>
          <cell r="BU1048">
            <v>2</v>
          </cell>
          <cell r="BV1048">
            <v>10</v>
          </cell>
          <cell r="BW1048">
            <v>2</v>
          </cell>
          <cell r="BX1048">
            <v>2</v>
          </cell>
          <cell r="BY1048">
            <v>2</v>
          </cell>
          <cell r="BZ1048">
            <v>2</v>
          </cell>
          <cell r="CA1048">
            <v>2</v>
          </cell>
          <cell r="CB1048">
            <v>2</v>
          </cell>
          <cell r="CC1048">
            <v>0</v>
          </cell>
          <cell r="CD1048">
            <v>0</v>
          </cell>
          <cell r="CE1048">
            <v>2</v>
          </cell>
          <cell r="CF1048">
            <v>2</v>
          </cell>
          <cell r="CG1048">
            <v>1</v>
          </cell>
          <cell r="CH1048">
            <v>2</v>
          </cell>
          <cell r="CI1048">
            <v>2</v>
          </cell>
          <cell r="CJ1048">
            <v>10</v>
          </cell>
          <cell r="CK1048">
            <v>2</v>
          </cell>
          <cell r="CL1048">
            <v>0</v>
          </cell>
          <cell r="CM1048">
            <v>2</v>
          </cell>
          <cell r="CR1048">
            <v>0</v>
          </cell>
          <cell r="CS1048">
            <v>0</v>
          </cell>
          <cell r="CT1048">
            <v>39</v>
          </cell>
          <cell r="CU1048">
            <v>32</v>
          </cell>
          <cell r="CV1048">
            <v>0</v>
          </cell>
          <cell r="CZ1048">
            <v>71</v>
          </cell>
        </row>
        <row r="1049">
          <cell r="C1049" t="str">
            <v>04664</v>
          </cell>
          <cell r="D1049" t="str">
            <v>Đặng Hoàng Kim</v>
          </cell>
          <cell r="E1049" t="str">
            <v>Production</v>
          </cell>
          <cell r="F1049" t="str">
            <v>Packing</v>
          </cell>
          <cell r="G1049" t="str">
            <v>Team Leader</v>
          </cell>
          <cell r="H1049">
            <v>45834</v>
          </cell>
          <cell r="I1049">
            <v>8</v>
          </cell>
          <cell r="J1049">
            <v>8</v>
          </cell>
          <cell r="K1049">
            <v>8</v>
          </cell>
          <cell r="L1049" t="str">
            <v>CN</v>
          </cell>
          <cell r="M1049" t="str">
            <v>Đ</v>
          </cell>
          <cell r="N1049" t="str">
            <v>Đ</v>
          </cell>
          <cell r="O1049" t="str">
            <v>Đ</v>
          </cell>
          <cell r="P1049" t="str">
            <v>AL8</v>
          </cell>
          <cell r="Q1049" t="str">
            <v>Đ</v>
          </cell>
          <cell r="R1049" t="str">
            <v>Đ</v>
          </cell>
          <cell r="S1049" t="str">
            <v>CN</v>
          </cell>
          <cell r="T1049">
            <v>8</v>
          </cell>
          <cell r="U1049">
            <v>8</v>
          </cell>
          <cell r="V1049">
            <v>8</v>
          </cell>
          <cell r="W1049">
            <v>8</v>
          </cell>
          <cell r="X1049">
            <v>8</v>
          </cell>
          <cell r="Y1049">
            <v>8</v>
          </cell>
          <cell r="Z1049" t="str">
            <v>CN</v>
          </cell>
          <cell r="AA1049" t="str">
            <v>Đ</v>
          </cell>
          <cell r="AB1049" t="str">
            <v>Đ</v>
          </cell>
          <cell r="AC1049" t="str">
            <v>Đ</v>
          </cell>
          <cell r="AD1049" t="str">
            <v>Đ</v>
          </cell>
          <cell r="AE1049" t="str">
            <v>Đ</v>
          </cell>
          <cell r="AF1049" t="str">
            <v>Đ</v>
          </cell>
          <cell r="AG1049" t="str">
            <v>CN</v>
          </cell>
          <cell r="AH1049">
            <v>8</v>
          </cell>
          <cell r="AI1049">
            <v>8</v>
          </cell>
          <cell r="AJ1049">
            <v>8</v>
          </cell>
          <cell r="AN1049">
            <v>88</v>
          </cell>
          <cell r="AO1049">
            <v>96</v>
          </cell>
          <cell r="AP1049">
            <v>0</v>
          </cell>
          <cell r="AQ1049">
            <v>0</v>
          </cell>
          <cell r="AR1049">
            <v>0</v>
          </cell>
          <cell r="AS1049">
            <v>0</v>
          </cell>
          <cell r="AT1049">
            <v>0</v>
          </cell>
          <cell r="AU1049">
            <v>0</v>
          </cell>
          <cell r="AV1049">
            <v>0</v>
          </cell>
          <cell r="AW1049">
            <v>0</v>
          </cell>
          <cell r="AX1049">
            <v>0</v>
          </cell>
          <cell r="AY1049">
            <v>0</v>
          </cell>
          <cell r="AZ1049">
            <v>0</v>
          </cell>
          <cell r="BA1049">
            <v>8</v>
          </cell>
          <cell r="BB1049">
            <v>0</v>
          </cell>
          <cell r="BC1049">
            <v>0</v>
          </cell>
          <cell r="BD1049">
            <v>0</v>
          </cell>
          <cell r="BE1049">
            <v>0</v>
          </cell>
          <cell r="BF1049">
            <v>0</v>
          </cell>
          <cell r="BG1049">
            <v>192</v>
          </cell>
          <cell r="BH1049">
            <v>1</v>
          </cell>
          <cell r="BI1049">
            <v>1</v>
          </cell>
          <cell r="BJ1049">
            <v>2</v>
          </cell>
          <cell r="BL1049">
            <v>1.5</v>
          </cell>
          <cell r="BM1049">
            <v>1.5</v>
          </cell>
          <cell r="BN1049">
            <v>1.75</v>
          </cell>
          <cell r="BO1049">
            <v>0</v>
          </cell>
          <cell r="BP1049">
            <v>2</v>
          </cell>
          <cell r="BQ1049">
            <v>3</v>
          </cell>
          <cell r="BR1049">
            <v>1.5</v>
          </cell>
          <cell r="BS1049">
            <v>2.75</v>
          </cell>
          <cell r="BT1049">
            <v>4</v>
          </cell>
          <cell r="BU1049">
            <v>4</v>
          </cell>
          <cell r="BV1049">
            <v>0</v>
          </cell>
          <cell r="BW1049">
            <v>3.5</v>
          </cell>
          <cell r="BX1049">
            <v>3</v>
          </cell>
          <cell r="BY1049">
            <v>3.5</v>
          </cell>
          <cell r="BZ1049">
            <v>3</v>
          </cell>
          <cell r="CA1049">
            <v>3.5</v>
          </cell>
          <cell r="CB1049">
            <v>3</v>
          </cell>
          <cell r="CC1049">
            <v>8</v>
          </cell>
          <cell r="CD1049">
            <v>4</v>
          </cell>
          <cell r="CE1049">
            <v>4</v>
          </cell>
          <cell r="CF1049">
            <v>4</v>
          </cell>
          <cell r="CG1049">
            <v>4</v>
          </cell>
          <cell r="CH1049">
            <v>3.5</v>
          </cell>
          <cell r="CI1049">
            <v>3.75</v>
          </cell>
          <cell r="CJ1049">
            <v>0</v>
          </cell>
          <cell r="CK1049">
            <v>3.5</v>
          </cell>
          <cell r="CL1049">
            <v>3.25</v>
          </cell>
          <cell r="CM1049">
            <v>3.5</v>
          </cell>
          <cell r="CR1049">
            <v>0</v>
          </cell>
          <cell r="CS1049">
            <v>0</v>
          </cell>
          <cell r="CT1049">
            <v>75</v>
          </cell>
          <cell r="CU1049">
            <v>8</v>
          </cell>
          <cell r="CV1049">
            <v>0</v>
          </cell>
          <cell r="CZ1049">
            <v>83</v>
          </cell>
        </row>
        <row r="1050">
          <cell r="C1050" t="str">
            <v>04666</v>
          </cell>
          <cell r="D1050" t="str">
            <v>Nguyễn Hoàng Đông</v>
          </cell>
          <cell r="E1050" t="str">
            <v>Production</v>
          </cell>
          <cell r="F1050" t="str">
            <v>Prefitting</v>
          </cell>
          <cell r="G1050" t="str">
            <v>Operator</v>
          </cell>
          <cell r="H1050">
            <v>45834</v>
          </cell>
          <cell r="I1050">
            <v>8</v>
          </cell>
          <cell r="J1050">
            <v>8</v>
          </cell>
          <cell r="K1050">
            <v>8</v>
          </cell>
          <cell r="L1050" t="str">
            <v>CN</v>
          </cell>
          <cell r="M1050" t="str">
            <v>Đ</v>
          </cell>
          <cell r="N1050" t="str">
            <v>Đ</v>
          </cell>
          <cell r="O1050" t="str">
            <v>Đ</v>
          </cell>
          <cell r="P1050" t="str">
            <v>Đ</v>
          </cell>
          <cell r="Q1050" t="str">
            <v>Đ</v>
          </cell>
          <cell r="R1050" t="str">
            <v>Đ</v>
          </cell>
          <cell r="S1050" t="str">
            <v>CN</v>
          </cell>
          <cell r="T1050">
            <v>8</v>
          </cell>
          <cell r="U1050">
            <v>8</v>
          </cell>
          <cell r="V1050">
            <v>8</v>
          </cell>
          <cell r="W1050">
            <v>8</v>
          </cell>
          <cell r="X1050">
            <v>8</v>
          </cell>
          <cell r="Y1050" t="str">
            <v>AL8</v>
          </cell>
          <cell r="Z1050" t="str">
            <v>CN</v>
          </cell>
          <cell r="AA1050" t="str">
            <v>AL8</v>
          </cell>
          <cell r="AB1050">
            <v>8</v>
          </cell>
          <cell r="AC1050">
            <v>8</v>
          </cell>
          <cell r="AD1050">
            <v>8</v>
          </cell>
          <cell r="AE1050">
            <v>8</v>
          </cell>
          <cell r="AF1050">
            <v>8</v>
          </cell>
          <cell r="AG1050" t="str">
            <v>CN</v>
          </cell>
          <cell r="AH1050">
            <v>8</v>
          </cell>
          <cell r="AI1050">
            <v>8</v>
          </cell>
          <cell r="AJ1050">
            <v>8</v>
          </cell>
          <cell r="AN1050">
            <v>48</v>
          </cell>
          <cell r="AO1050">
            <v>128</v>
          </cell>
          <cell r="AP1050">
            <v>0</v>
          </cell>
          <cell r="AQ1050">
            <v>0</v>
          </cell>
          <cell r="AR1050">
            <v>0</v>
          </cell>
          <cell r="AS1050">
            <v>0</v>
          </cell>
          <cell r="AT1050">
            <v>0</v>
          </cell>
          <cell r="AU1050">
            <v>0</v>
          </cell>
          <cell r="AV1050">
            <v>0</v>
          </cell>
          <cell r="AW1050">
            <v>0</v>
          </cell>
          <cell r="AX1050">
            <v>0</v>
          </cell>
          <cell r="AY1050">
            <v>0</v>
          </cell>
          <cell r="AZ1050">
            <v>0</v>
          </cell>
          <cell r="BA1050">
            <v>16</v>
          </cell>
          <cell r="BB1050">
            <v>0</v>
          </cell>
          <cell r="BC1050">
            <v>0</v>
          </cell>
          <cell r="BD1050">
            <v>0</v>
          </cell>
          <cell r="BE1050">
            <v>0</v>
          </cell>
          <cell r="BF1050">
            <v>0</v>
          </cell>
          <cell r="BG1050">
            <v>192</v>
          </cell>
          <cell r="BH1050">
            <v>2</v>
          </cell>
          <cell r="BI1050">
            <v>2</v>
          </cell>
          <cell r="BJ1050">
            <v>0</v>
          </cell>
          <cell r="BL1050">
            <v>0</v>
          </cell>
          <cell r="BM1050">
            <v>0</v>
          </cell>
          <cell r="BN1050">
            <v>0</v>
          </cell>
          <cell r="BO1050">
            <v>0</v>
          </cell>
          <cell r="BP1050">
            <v>4</v>
          </cell>
          <cell r="BQ1050">
            <v>0</v>
          </cell>
          <cell r="BR1050">
            <v>0</v>
          </cell>
          <cell r="BS1050">
            <v>0</v>
          </cell>
          <cell r="BT1050">
            <v>0</v>
          </cell>
          <cell r="BU1050">
            <v>0</v>
          </cell>
          <cell r="BV1050">
            <v>0</v>
          </cell>
          <cell r="BW1050">
            <v>0</v>
          </cell>
          <cell r="BX1050">
            <v>0</v>
          </cell>
          <cell r="BY1050">
            <v>0</v>
          </cell>
          <cell r="BZ1050">
            <v>0</v>
          </cell>
          <cell r="CA1050">
            <v>0</v>
          </cell>
          <cell r="CB1050">
            <v>0</v>
          </cell>
          <cell r="CC1050">
            <v>0</v>
          </cell>
          <cell r="CD1050">
            <v>0</v>
          </cell>
          <cell r="CE1050">
            <v>0</v>
          </cell>
          <cell r="CF1050">
            <v>0</v>
          </cell>
          <cell r="CG1050">
            <v>0</v>
          </cell>
          <cell r="CH1050">
            <v>4</v>
          </cell>
          <cell r="CI1050">
            <v>4</v>
          </cell>
          <cell r="CJ1050">
            <v>0</v>
          </cell>
          <cell r="CK1050">
            <v>0</v>
          </cell>
          <cell r="CL1050">
            <v>0</v>
          </cell>
          <cell r="CM1050">
            <v>0</v>
          </cell>
          <cell r="CR1050">
            <v>0</v>
          </cell>
          <cell r="CS1050">
            <v>0</v>
          </cell>
          <cell r="CT1050">
            <v>12</v>
          </cell>
          <cell r="CU1050">
            <v>0</v>
          </cell>
          <cell r="CV1050">
            <v>0</v>
          </cell>
          <cell r="CZ1050">
            <v>12</v>
          </cell>
        </row>
        <row r="1051">
          <cell r="C1051" t="str">
            <v>04667</v>
          </cell>
          <cell r="D1051" t="str">
            <v>Hoàng Minh Thuỳ</v>
          </cell>
          <cell r="E1051" t="str">
            <v>Foaming</v>
          </cell>
          <cell r="F1051" t="str">
            <v>FOAMING Production control</v>
          </cell>
          <cell r="G1051" t="str">
            <v xml:space="preserve">Chemical Associate Engineer </v>
          </cell>
          <cell r="H1051">
            <v>45834</v>
          </cell>
          <cell r="I1051">
            <v>8</v>
          </cell>
          <cell r="J1051">
            <v>8</v>
          </cell>
          <cell r="K1051" t="str">
            <v>PO</v>
          </cell>
          <cell r="L1051" t="str">
            <v>CN</v>
          </cell>
          <cell r="M1051">
            <v>8</v>
          </cell>
          <cell r="N1051">
            <v>8</v>
          </cell>
          <cell r="O1051">
            <v>8</v>
          </cell>
          <cell r="P1051">
            <v>8</v>
          </cell>
          <cell r="Q1051" t="str">
            <v>PO</v>
          </cell>
          <cell r="R1051" t="str">
            <v>PO</v>
          </cell>
          <cell r="S1051" t="str">
            <v>CN</v>
          </cell>
          <cell r="T1051">
            <v>8</v>
          </cell>
          <cell r="U1051">
            <v>8</v>
          </cell>
          <cell r="V1051">
            <v>8</v>
          </cell>
          <cell r="W1051">
            <v>8</v>
          </cell>
          <cell r="X1051">
            <v>8</v>
          </cell>
          <cell r="Y1051" t="str">
            <v>PO</v>
          </cell>
          <cell r="Z1051" t="str">
            <v>CN</v>
          </cell>
          <cell r="AA1051">
            <v>8</v>
          </cell>
          <cell r="AB1051">
            <v>8</v>
          </cell>
          <cell r="AC1051">
            <v>8</v>
          </cell>
          <cell r="AD1051">
            <v>8</v>
          </cell>
          <cell r="AE1051">
            <v>8</v>
          </cell>
          <cell r="AF1051" t="str">
            <v>PO</v>
          </cell>
          <cell r="AG1051" t="str">
            <v>CN</v>
          </cell>
          <cell r="AH1051">
            <v>8</v>
          </cell>
          <cell r="AI1051">
            <v>8</v>
          </cell>
          <cell r="AJ1051">
            <v>8</v>
          </cell>
          <cell r="AN1051">
            <v>0</v>
          </cell>
          <cell r="AO1051">
            <v>152</v>
          </cell>
          <cell r="AP1051">
            <v>0</v>
          </cell>
          <cell r="AQ1051">
            <v>0</v>
          </cell>
          <cell r="AR1051">
            <v>0</v>
          </cell>
          <cell r="AS1051">
            <v>0</v>
          </cell>
          <cell r="AT1051">
            <v>0</v>
          </cell>
          <cell r="AU1051">
            <v>0</v>
          </cell>
          <cell r="AV1051">
            <v>40</v>
          </cell>
          <cell r="AW1051">
            <v>0</v>
          </cell>
          <cell r="AX1051">
            <v>0</v>
          </cell>
          <cell r="AY1051">
            <v>0</v>
          </cell>
          <cell r="AZ1051">
            <v>0</v>
          </cell>
          <cell r="BA1051">
            <v>0</v>
          </cell>
          <cell r="BB1051">
            <v>0</v>
          </cell>
          <cell r="BC1051">
            <v>0</v>
          </cell>
          <cell r="BD1051">
            <v>0</v>
          </cell>
          <cell r="BE1051">
            <v>0</v>
          </cell>
          <cell r="BF1051">
            <v>0</v>
          </cell>
          <cell r="BG1051">
            <v>192</v>
          </cell>
          <cell r="BH1051">
            <v>0</v>
          </cell>
          <cell r="BI1051">
            <v>0</v>
          </cell>
          <cell r="BJ1051">
            <v>3.5</v>
          </cell>
          <cell r="BL1051">
            <v>0</v>
          </cell>
          <cell r="BM1051">
            <v>0</v>
          </cell>
          <cell r="BN1051">
            <v>0</v>
          </cell>
          <cell r="BO1051">
            <v>0</v>
          </cell>
          <cell r="BP1051">
            <v>0</v>
          </cell>
          <cell r="BQ1051">
            <v>2.5</v>
          </cell>
          <cell r="BR1051">
            <v>0</v>
          </cell>
          <cell r="BS1051">
            <v>0</v>
          </cell>
          <cell r="BT1051">
            <v>0</v>
          </cell>
          <cell r="BU1051">
            <v>0</v>
          </cell>
          <cell r="BV1051">
            <v>0</v>
          </cell>
          <cell r="BW1051">
            <v>0</v>
          </cell>
          <cell r="BX1051">
            <v>0</v>
          </cell>
          <cell r="BY1051">
            <v>0</v>
          </cell>
          <cell r="BZ1051">
            <v>0</v>
          </cell>
          <cell r="CA1051">
            <v>0</v>
          </cell>
          <cell r="CB1051">
            <v>0</v>
          </cell>
          <cell r="CC1051">
            <v>0</v>
          </cell>
          <cell r="CD1051">
            <v>0</v>
          </cell>
          <cell r="CE1051">
            <v>0</v>
          </cell>
          <cell r="CF1051">
            <v>0</v>
          </cell>
          <cell r="CG1051">
            <v>0</v>
          </cell>
          <cell r="CH1051">
            <v>0</v>
          </cell>
          <cell r="CI1051">
            <v>0</v>
          </cell>
          <cell r="CJ1051">
            <v>0</v>
          </cell>
          <cell r="CK1051">
            <v>0</v>
          </cell>
          <cell r="CL1051">
            <v>0</v>
          </cell>
          <cell r="CM1051">
            <v>0</v>
          </cell>
          <cell r="CR1051">
            <v>0</v>
          </cell>
          <cell r="CS1051">
            <v>0</v>
          </cell>
          <cell r="CT1051">
            <v>2.5</v>
          </cell>
          <cell r="CU1051">
            <v>0</v>
          </cell>
          <cell r="CV1051">
            <v>0</v>
          </cell>
          <cell r="CZ1051">
            <v>2.5</v>
          </cell>
        </row>
        <row r="1052">
          <cell r="C1052" t="str">
            <v>04668</v>
          </cell>
          <cell r="D1052" t="str">
            <v>Nguyễn Văn Nam</v>
          </cell>
          <cell r="E1052" t="str">
            <v>Production</v>
          </cell>
          <cell r="F1052" t="str">
            <v>Prefitting</v>
          </cell>
          <cell r="G1052" t="str">
            <v>Worker</v>
          </cell>
          <cell r="H1052">
            <v>45842</v>
          </cell>
          <cell r="I1052" t="str">
            <v>Đ</v>
          </cell>
          <cell r="J1052" t="str">
            <v>CN</v>
          </cell>
          <cell r="K1052">
            <v>8</v>
          </cell>
          <cell r="L1052">
            <v>8</v>
          </cell>
          <cell r="M1052">
            <v>8</v>
          </cell>
          <cell r="N1052">
            <v>8</v>
          </cell>
          <cell r="O1052">
            <v>8</v>
          </cell>
          <cell r="P1052" t="str">
            <v>AL4</v>
          </cell>
          <cell r="Q1052" t="str">
            <v>CN</v>
          </cell>
          <cell r="R1052" t="str">
            <v>Đ</v>
          </cell>
          <cell r="S1052" t="str">
            <v>Đ</v>
          </cell>
          <cell r="T1052" t="str">
            <v>Đ</v>
          </cell>
          <cell r="U1052" t="str">
            <v>Đ</v>
          </cell>
          <cell r="V1052" t="str">
            <v>Đ</v>
          </cell>
          <cell r="W1052" t="str">
            <v>Đ</v>
          </cell>
          <cell r="X1052" t="str">
            <v>CN</v>
          </cell>
          <cell r="Y1052">
            <v>8</v>
          </cell>
          <cell r="Z1052">
            <v>8</v>
          </cell>
          <cell r="AA1052">
            <v>8</v>
          </cell>
          <cell r="AB1052">
            <v>8</v>
          </cell>
          <cell r="AC1052">
            <v>8</v>
          </cell>
          <cell r="AD1052">
            <v>8</v>
          </cell>
          <cell r="AE1052" t="str">
            <v>CN</v>
          </cell>
          <cell r="AF1052" t="str">
            <v>Đ</v>
          </cell>
          <cell r="AG1052" t="str">
            <v>Đ</v>
          </cell>
          <cell r="AH1052" t="str">
            <v>Đ</v>
          </cell>
          <cell r="AI1052" t="str">
            <v>Đ</v>
          </cell>
          <cell r="AJ1052" t="str">
            <v>Đ</v>
          </cell>
          <cell r="AN1052">
            <v>96</v>
          </cell>
          <cell r="AO1052">
            <v>92</v>
          </cell>
          <cell r="AP1052">
            <v>4</v>
          </cell>
          <cell r="AQ1052">
            <v>0</v>
          </cell>
          <cell r="AR1052">
            <v>0</v>
          </cell>
          <cell r="AS1052">
            <v>0</v>
          </cell>
          <cell r="AT1052">
            <v>0</v>
          </cell>
          <cell r="AU1052">
            <v>0</v>
          </cell>
          <cell r="AV1052">
            <v>0</v>
          </cell>
          <cell r="AW1052">
            <v>0</v>
          </cell>
          <cell r="AX1052">
            <v>0</v>
          </cell>
          <cell r="AY1052">
            <v>0</v>
          </cell>
          <cell r="AZ1052">
            <v>0</v>
          </cell>
          <cell r="BA1052">
            <v>4</v>
          </cell>
          <cell r="BB1052">
            <v>0</v>
          </cell>
          <cell r="BC1052">
            <v>0</v>
          </cell>
          <cell r="BD1052">
            <v>0</v>
          </cell>
          <cell r="BE1052">
            <v>0</v>
          </cell>
          <cell r="BF1052">
            <v>0</v>
          </cell>
          <cell r="BG1052">
            <v>192</v>
          </cell>
          <cell r="BH1052">
            <v>0.5</v>
          </cell>
          <cell r="BI1052">
            <v>0.5</v>
          </cell>
          <cell r="BJ1052">
            <v>-0.5</v>
          </cell>
          <cell r="BL1052">
            <v>0</v>
          </cell>
          <cell r="BM1052">
            <v>0</v>
          </cell>
          <cell r="BN1052">
            <v>0</v>
          </cell>
          <cell r="BO1052">
            <v>4</v>
          </cell>
          <cell r="BP1052">
            <v>0</v>
          </cell>
          <cell r="BQ1052">
            <v>0</v>
          </cell>
          <cell r="BR1052">
            <v>0</v>
          </cell>
          <cell r="BS1052">
            <v>0</v>
          </cell>
          <cell r="BT1052">
            <v>0</v>
          </cell>
          <cell r="BU1052">
            <v>4</v>
          </cell>
          <cell r="BV1052">
            <v>4</v>
          </cell>
          <cell r="BW1052">
            <v>0</v>
          </cell>
          <cell r="BX1052">
            <v>0</v>
          </cell>
          <cell r="BY1052">
            <v>0</v>
          </cell>
          <cell r="BZ1052">
            <v>4</v>
          </cell>
          <cell r="CA1052">
            <v>0</v>
          </cell>
          <cell r="CB1052">
            <v>4</v>
          </cell>
          <cell r="CC1052">
            <v>4</v>
          </cell>
          <cell r="CD1052">
            <v>0</v>
          </cell>
          <cell r="CE1052">
            <v>0</v>
          </cell>
          <cell r="CF1052">
            <v>0</v>
          </cell>
          <cell r="CG1052">
            <v>0</v>
          </cell>
          <cell r="CH1052">
            <v>0</v>
          </cell>
          <cell r="CI1052">
            <v>4</v>
          </cell>
          <cell r="CJ1052">
            <v>4</v>
          </cell>
          <cell r="CK1052">
            <v>0</v>
          </cell>
          <cell r="CL1052">
            <v>0</v>
          </cell>
          <cell r="CM1052">
            <v>0</v>
          </cell>
          <cell r="CR1052">
            <v>0</v>
          </cell>
          <cell r="CS1052">
            <v>0</v>
          </cell>
          <cell r="CT1052">
            <v>32</v>
          </cell>
          <cell r="CU1052">
            <v>0</v>
          </cell>
          <cell r="CV1052">
            <v>0</v>
          </cell>
          <cell r="CZ1052">
            <v>32</v>
          </cell>
        </row>
        <row r="1053">
          <cell r="C1053" t="str">
            <v>04671</v>
          </cell>
          <cell r="D1053" t="str">
            <v>Phan Thành Trung</v>
          </cell>
          <cell r="E1053" t="str">
            <v>Production</v>
          </cell>
          <cell r="F1053" t="str">
            <v>Prefitting</v>
          </cell>
          <cell r="G1053" t="str">
            <v>Worker</v>
          </cell>
          <cell r="H1053">
            <v>45842</v>
          </cell>
          <cell r="I1053">
            <v>8</v>
          </cell>
          <cell r="J1053">
            <v>8</v>
          </cell>
          <cell r="K1053" t="str">
            <v>CN</v>
          </cell>
          <cell r="L1053" t="str">
            <v>Đ</v>
          </cell>
          <cell r="M1053" t="str">
            <v>Đ</v>
          </cell>
          <cell r="N1053" t="str">
            <v>Đ</v>
          </cell>
          <cell r="O1053" t="str">
            <v>Đ</v>
          </cell>
          <cell r="P1053" t="str">
            <v>Đ</v>
          </cell>
          <cell r="Q1053" t="str">
            <v>Đ</v>
          </cell>
          <cell r="R1053" t="str">
            <v>CN</v>
          </cell>
          <cell r="S1053">
            <v>8</v>
          </cell>
          <cell r="T1053">
            <v>8</v>
          </cell>
          <cell r="U1053">
            <v>8</v>
          </cell>
          <cell r="V1053">
            <v>8</v>
          </cell>
          <cell r="W1053">
            <v>8</v>
          </cell>
          <cell r="X1053">
            <v>8</v>
          </cell>
          <cell r="Y1053" t="str">
            <v>CN</v>
          </cell>
          <cell r="Z1053" t="str">
            <v>Đ</v>
          </cell>
          <cell r="AA1053" t="str">
            <v>Đ</v>
          </cell>
          <cell r="AB1053" t="str">
            <v>Đ</v>
          </cell>
          <cell r="AC1053" t="str">
            <v>Đ</v>
          </cell>
          <cell r="AD1053" t="str">
            <v>Đ</v>
          </cell>
          <cell r="AE1053" t="str">
            <v>Đ</v>
          </cell>
          <cell r="AF1053" t="str">
            <v>CN</v>
          </cell>
          <cell r="AG1053">
            <v>8</v>
          </cell>
          <cell r="AH1053">
            <v>8</v>
          </cell>
          <cell r="AI1053">
            <v>8</v>
          </cell>
          <cell r="AJ1053">
            <v>8</v>
          </cell>
          <cell r="AN1053">
            <v>96</v>
          </cell>
          <cell r="AO1053">
            <v>96</v>
          </cell>
          <cell r="AP1053">
            <v>0</v>
          </cell>
          <cell r="AQ1053">
            <v>0</v>
          </cell>
          <cell r="AR1053">
            <v>0</v>
          </cell>
          <cell r="AS1053">
            <v>0</v>
          </cell>
          <cell r="AT1053">
            <v>0</v>
          </cell>
          <cell r="AU1053">
            <v>0</v>
          </cell>
          <cell r="AV1053">
            <v>0</v>
          </cell>
          <cell r="AW1053">
            <v>0</v>
          </cell>
          <cell r="AX1053">
            <v>0</v>
          </cell>
          <cell r="AY1053">
            <v>0</v>
          </cell>
          <cell r="AZ1053">
            <v>0</v>
          </cell>
          <cell r="BA1053">
            <v>0</v>
          </cell>
          <cell r="BB1053">
            <v>0</v>
          </cell>
          <cell r="BC1053">
            <v>0</v>
          </cell>
          <cell r="BD1053">
            <v>0</v>
          </cell>
          <cell r="BE1053">
            <v>0</v>
          </cell>
          <cell r="BF1053">
            <v>0</v>
          </cell>
          <cell r="BG1053">
            <v>192</v>
          </cell>
          <cell r="BH1053">
            <v>0</v>
          </cell>
          <cell r="BI1053">
            <v>0</v>
          </cell>
          <cell r="BJ1053">
            <v>2</v>
          </cell>
          <cell r="BL1053">
            <v>0</v>
          </cell>
          <cell r="BM1053">
            <v>0</v>
          </cell>
          <cell r="BN1053">
            <v>0</v>
          </cell>
          <cell r="BO1053">
            <v>4</v>
          </cell>
          <cell r="BP1053">
            <v>0</v>
          </cell>
          <cell r="BQ1053">
            <v>0</v>
          </cell>
          <cell r="BR1053">
            <v>0</v>
          </cell>
          <cell r="BS1053">
            <v>0</v>
          </cell>
          <cell r="BT1053">
            <v>4</v>
          </cell>
          <cell r="BU1053">
            <v>0</v>
          </cell>
          <cell r="BV1053">
            <v>4</v>
          </cell>
          <cell r="BW1053">
            <v>0</v>
          </cell>
          <cell r="BX1053">
            <v>0</v>
          </cell>
          <cell r="BY1053">
            <v>0</v>
          </cell>
          <cell r="BZ1053">
            <v>0</v>
          </cell>
          <cell r="CA1053">
            <v>4</v>
          </cell>
          <cell r="CB1053">
            <v>0</v>
          </cell>
          <cell r="CC1053">
            <v>4</v>
          </cell>
          <cell r="CD1053">
            <v>0</v>
          </cell>
          <cell r="CE1053">
            <v>0</v>
          </cell>
          <cell r="CF1053">
            <v>0</v>
          </cell>
          <cell r="CG1053">
            <v>0</v>
          </cell>
          <cell r="CH1053">
            <v>4</v>
          </cell>
          <cell r="CI1053">
            <v>0</v>
          </cell>
          <cell r="CJ1053">
            <v>4</v>
          </cell>
          <cell r="CK1053">
            <v>0</v>
          </cell>
          <cell r="CL1053">
            <v>0</v>
          </cell>
          <cell r="CM1053">
            <v>0</v>
          </cell>
          <cell r="CR1053">
            <v>0</v>
          </cell>
          <cell r="CS1053">
            <v>0</v>
          </cell>
          <cell r="CT1053">
            <v>28</v>
          </cell>
          <cell r="CU1053">
            <v>0</v>
          </cell>
          <cell r="CV1053">
            <v>0</v>
          </cell>
          <cell r="CZ1053">
            <v>28</v>
          </cell>
        </row>
        <row r="1054">
          <cell r="C1054" t="str">
            <v>04672</v>
          </cell>
          <cell r="D1054" t="str">
            <v>Phan Nguyễn Tiến Thành</v>
          </cell>
          <cell r="E1054" t="str">
            <v>QC</v>
          </cell>
          <cell r="F1054" t="str">
            <v>QC</v>
          </cell>
          <cell r="G1054" t="str">
            <v>Quality Engineer</v>
          </cell>
          <cell r="H1054">
            <v>45845</v>
          </cell>
          <cell r="I1054">
            <v>8</v>
          </cell>
          <cell r="J1054">
            <v>8</v>
          </cell>
          <cell r="K1054" t="str">
            <v>PO</v>
          </cell>
          <cell r="L1054" t="str">
            <v>CN</v>
          </cell>
          <cell r="M1054">
            <v>8</v>
          </cell>
          <cell r="N1054">
            <v>8</v>
          </cell>
          <cell r="O1054">
            <v>8</v>
          </cell>
          <cell r="P1054">
            <v>8</v>
          </cell>
          <cell r="Q1054">
            <v>8</v>
          </cell>
          <cell r="R1054" t="str">
            <v>PO</v>
          </cell>
          <cell r="S1054" t="str">
            <v>CN</v>
          </cell>
          <cell r="T1054">
            <v>8</v>
          </cell>
          <cell r="U1054">
            <v>8</v>
          </cell>
          <cell r="V1054">
            <v>8</v>
          </cell>
          <cell r="W1054">
            <v>8</v>
          </cell>
          <cell r="X1054">
            <v>8</v>
          </cell>
          <cell r="Y1054" t="str">
            <v>PO</v>
          </cell>
          <cell r="Z1054" t="str">
            <v>CN</v>
          </cell>
          <cell r="AA1054">
            <v>8</v>
          </cell>
          <cell r="AB1054">
            <v>8</v>
          </cell>
          <cell r="AC1054">
            <v>8</v>
          </cell>
          <cell r="AD1054">
            <v>8</v>
          </cell>
          <cell r="AE1054" t="str">
            <v>AL8</v>
          </cell>
          <cell r="AF1054" t="str">
            <v>PO</v>
          </cell>
          <cell r="AG1054" t="str">
            <v>CN</v>
          </cell>
          <cell r="AH1054">
            <v>8</v>
          </cell>
          <cell r="AI1054">
            <v>8</v>
          </cell>
          <cell r="AJ1054">
            <v>8</v>
          </cell>
          <cell r="AN1054">
            <v>0</v>
          </cell>
          <cell r="AO1054">
            <v>152</v>
          </cell>
          <cell r="AP1054">
            <v>0</v>
          </cell>
          <cell r="AQ1054">
            <v>0</v>
          </cell>
          <cell r="AR1054">
            <v>0</v>
          </cell>
          <cell r="AS1054">
            <v>0</v>
          </cell>
          <cell r="AT1054">
            <v>0</v>
          </cell>
          <cell r="AU1054">
            <v>0</v>
          </cell>
          <cell r="AV1054">
            <v>32</v>
          </cell>
          <cell r="AW1054">
            <v>0</v>
          </cell>
          <cell r="AX1054">
            <v>0</v>
          </cell>
          <cell r="AY1054">
            <v>0</v>
          </cell>
          <cell r="AZ1054">
            <v>0</v>
          </cell>
          <cell r="BA1054">
            <v>8</v>
          </cell>
          <cell r="BB1054">
            <v>0</v>
          </cell>
          <cell r="BC1054">
            <v>0</v>
          </cell>
          <cell r="BD1054">
            <v>0</v>
          </cell>
          <cell r="BE1054">
            <v>0</v>
          </cell>
          <cell r="BF1054">
            <v>0</v>
          </cell>
          <cell r="BG1054">
            <v>192</v>
          </cell>
          <cell r="BH1054">
            <v>1</v>
          </cell>
          <cell r="BI1054">
            <v>1</v>
          </cell>
          <cell r="BJ1054">
            <v>0.5</v>
          </cell>
          <cell r="BL1054">
            <v>0</v>
          </cell>
          <cell r="BM1054">
            <v>0</v>
          </cell>
          <cell r="BN1054">
            <v>0</v>
          </cell>
          <cell r="BO1054">
            <v>0</v>
          </cell>
          <cell r="BP1054">
            <v>0</v>
          </cell>
          <cell r="BQ1054">
            <v>0</v>
          </cell>
          <cell r="BR1054">
            <v>0</v>
          </cell>
          <cell r="BS1054">
            <v>0</v>
          </cell>
          <cell r="BT1054">
            <v>0</v>
          </cell>
          <cell r="BU1054">
            <v>0</v>
          </cell>
          <cell r="BV1054">
            <v>0</v>
          </cell>
          <cell r="BW1054">
            <v>0</v>
          </cell>
          <cell r="BX1054">
            <v>0</v>
          </cell>
          <cell r="BY1054">
            <v>0</v>
          </cell>
          <cell r="BZ1054">
            <v>0</v>
          </cell>
          <cell r="CA1054">
            <v>0</v>
          </cell>
          <cell r="CB1054">
            <v>0</v>
          </cell>
          <cell r="CC1054">
            <v>0</v>
          </cell>
          <cell r="CD1054">
            <v>0</v>
          </cell>
          <cell r="CE1054">
            <v>0</v>
          </cell>
          <cell r="CF1054">
            <v>0</v>
          </cell>
          <cell r="CG1054">
            <v>0</v>
          </cell>
          <cell r="CH1054">
            <v>0</v>
          </cell>
          <cell r="CI1054">
            <v>0</v>
          </cell>
          <cell r="CJ1054">
            <v>0</v>
          </cell>
          <cell r="CK1054">
            <v>0</v>
          </cell>
          <cell r="CL1054">
            <v>0</v>
          </cell>
          <cell r="CM1054">
            <v>0</v>
          </cell>
          <cell r="CR1054">
            <v>0</v>
          </cell>
          <cell r="CS1054">
            <v>0</v>
          </cell>
          <cell r="CT1054">
            <v>0</v>
          </cell>
          <cell r="CU1054">
            <v>0</v>
          </cell>
          <cell r="CV1054">
            <v>0</v>
          </cell>
          <cell r="CZ1054">
            <v>0</v>
          </cell>
        </row>
        <row r="1055">
          <cell r="C1055" t="str">
            <v>04673</v>
          </cell>
          <cell r="D1055" t="str">
            <v>Lê Gia Nam</v>
          </cell>
          <cell r="E1055" t="str">
            <v>Production</v>
          </cell>
          <cell r="F1055" t="str">
            <v>Die Cut</v>
          </cell>
          <cell r="G1055" t="str">
            <v>Junior Technician</v>
          </cell>
          <cell r="H1055">
            <v>45852</v>
          </cell>
          <cell r="I1055" t="str">
            <v>Đ</v>
          </cell>
          <cell r="J1055" t="str">
            <v>Đ</v>
          </cell>
          <cell r="K1055" t="str">
            <v>Đ</v>
          </cell>
          <cell r="L1055" t="str">
            <v>CN</v>
          </cell>
          <cell r="M1055" t="str">
            <v>SL</v>
          </cell>
          <cell r="N1055" t="str">
            <v>SL</v>
          </cell>
          <cell r="O1055" t="str">
            <v>SL</v>
          </cell>
          <cell r="P1055" t="str">
            <v>AL4</v>
          </cell>
          <cell r="Q1055">
            <v>8</v>
          </cell>
          <cell r="R1055">
            <v>8</v>
          </cell>
          <cell r="S1055" t="str">
            <v>CN</v>
          </cell>
          <cell r="T1055" t="str">
            <v>Đ</v>
          </cell>
          <cell r="U1055" t="str">
            <v>Đ</v>
          </cell>
          <cell r="V1055" t="str">
            <v>Đ</v>
          </cell>
          <cell r="W1055" t="str">
            <v>Đ</v>
          </cell>
          <cell r="X1055" t="str">
            <v>Đ</v>
          </cell>
          <cell r="Y1055" t="str">
            <v>Đ</v>
          </cell>
          <cell r="Z1055" t="str">
            <v>CN</v>
          </cell>
          <cell r="AA1055">
            <v>8</v>
          </cell>
          <cell r="AB1055">
            <v>8</v>
          </cell>
          <cell r="AC1055">
            <v>8</v>
          </cell>
          <cell r="AD1055">
            <v>8</v>
          </cell>
          <cell r="AE1055">
            <v>8</v>
          </cell>
          <cell r="AF1055">
            <v>8</v>
          </cell>
          <cell r="AG1055" t="str">
            <v>CN</v>
          </cell>
          <cell r="AH1055" t="str">
            <v>Đ</v>
          </cell>
          <cell r="AI1055" t="str">
            <v>Đ</v>
          </cell>
          <cell r="AJ1055" t="str">
            <v>Đ</v>
          </cell>
          <cell r="AN1055">
            <v>96</v>
          </cell>
          <cell r="AO1055">
            <v>68</v>
          </cell>
          <cell r="AP1055">
            <v>4</v>
          </cell>
          <cell r="AQ1055">
            <v>3</v>
          </cell>
          <cell r="AR1055">
            <v>0</v>
          </cell>
          <cell r="AS1055">
            <v>0</v>
          </cell>
          <cell r="AT1055">
            <v>0</v>
          </cell>
          <cell r="AU1055">
            <v>0</v>
          </cell>
          <cell r="AV1055">
            <v>0</v>
          </cell>
          <cell r="AW1055">
            <v>0</v>
          </cell>
          <cell r="AX1055">
            <v>0</v>
          </cell>
          <cell r="AY1055">
            <v>0</v>
          </cell>
          <cell r="AZ1055">
            <v>0</v>
          </cell>
          <cell r="BA1055">
            <v>4</v>
          </cell>
          <cell r="BB1055">
            <v>0</v>
          </cell>
          <cell r="BC1055">
            <v>0</v>
          </cell>
          <cell r="BD1055">
            <v>0</v>
          </cell>
          <cell r="BE1055">
            <v>0</v>
          </cell>
          <cell r="BF1055">
            <v>0</v>
          </cell>
          <cell r="BG1055">
            <v>168</v>
          </cell>
          <cell r="BH1055">
            <v>0.5</v>
          </cell>
          <cell r="BI1055">
            <v>0.5</v>
          </cell>
          <cell r="BJ1055">
            <v>1.5</v>
          </cell>
          <cell r="BL1055">
            <v>1.5</v>
          </cell>
          <cell r="BM1055">
            <v>1.5</v>
          </cell>
          <cell r="BN1055">
            <v>0</v>
          </cell>
          <cell r="BO1055">
            <v>0</v>
          </cell>
          <cell r="BP1055">
            <v>0</v>
          </cell>
          <cell r="BQ1055">
            <v>0</v>
          </cell>
          <cell r="BR1055">
            <v>0</v>
          </cell>
          <cell r="BS1055">
            <v>2</v>
          </cell>
          <cell r="BT1055">
            <v>3</v>
          </cell>
          <cell r="BU1055">
            <v>3</v>
          </cell>
          <cell r="BV1055">
            <v>0</v>
          </cell>
          <cell r="BW1055">
            <v>4</v>
          </cell>
          <cell r="BX1055">
            <v>2.5</v>
          </cell>
          <cell r="BY1055">
            <v>4</v>
          </cell>
          <cell r="BZ1055">
            <v>4</v>
          </cell>
          <cell r="CA1055">
            <v>4</v>
          </cell>
          <cell r="CB1055">
            <v>4</v>
          </cell>
          <cell r="CC1055">
            <v>0</v>
          </cell>
          <cell r="CD1055">
            <v>0</v>
          </cell>
          <cell r="CE1055">
            <v>3</v>
          </cell>
          <cell r="CF1055">
            <v>3</v>
          </cell>
          <cell r="CG1055">
            <v>3</v>
          </cell>
          <cell r="CH1055">
            <v>3</v>
          </cell>
          <cell r="CI1055">
            <v>3</v>
          </cell>
          <cell r="CJ1055">
            <v>8</v>
          </cell>
          <cell r="CK1055">
            <v>4</v>
          </cell>
          <cell r="CL1055">
            <v>0</v>
          </cell>
          <cell r="CM1055">
            <v>4</v>
          </cell>
          <cell r="CR1055">
            <v>0</v>
          </cell>
          <cell r="CS1055">
            <v>0</v>
          </cell>
          <cell r="CT1055">
            <v>56.5</v>
          </cell>
          <cell r="CU1055">
            <v>8</v>
          </cell>
          <cell r="CV1055">
            <v>0</v>
          </cell>
          <cell r="CZ1055">
            <v>64.5</v>
          </cell>
        </row>
        <row r="1056">
          <cell r="C1056" t="str">
            <v>04675</v>
          </cell>
          <cell r="D1056" t="str">
            <v>Nguyễn Đức Huy</v>
          </cell>
          <cell r="E1056" t="str">
            <v>Production</v>
          </cell>
          <cell r="F1056" t="str">
            <v>Die Cut</v>
          </cell>
          <cell r="G1056" t="str">
            <v>Worker</v>
          </cell>
          <cell r="H1056">
            <v>45859</v>
          </cell>
          <cell r="I1056" t="str">
            <v>TV</v>
          </cell>
          <cell r="J1056" t="str">
            <v>TV</v>
          </cell>
          <cell r="K1056" t="str">
            <v>TV</v>
          </cell>
          <cell r="L1056" t="str">
            <v>TV</v>
          </cell>
          <cell r="M1056" t="str">
            <v>TV</v>
          </cell>
          <cell r="N1056" t="str">
            <v>TV</v>
          </cell>
          <cell r="O1056" t="str">
            <v>TV</v>
          </cell>
          <cell r="P1056" t="str">
            <v>TV</v>
          </cell>
          <cell r="Q1056" t="str">
            <v>TV</v>
          </cell>
          <cell r="R1056" t="str">
            <v>TV</v>
          </cell>
          <cell r="S1056" t="str">
            <v>TV</v>
          </cell>
          <cell r="T1056" t="str">
            <v>TV</v>
          </cell>
          <cell r="U1056" t="str">
            <v>TV</v>
          </cell>
          <cell r="V1056" t="str">
            <v>TV</v>
          </cell>
          <cell r="W1056" t="str">
            <v>TV</v>
          </cell>
          <cell r="X1056" t="str">
            <v>TV</v>
          </cell>
          <cell r="Y1056" t="str">
            <v>TV</v>
          </cell>
          <cell r="Z1056" t="str">
            <v>TV</v>
          </cell>
          <cell r="AA1056" t="str">
            <v>TV</v>
          </cell>
          <cell r="AB1056" t="str">
            <v>TV</v>
          </cell>
          <cell r="AC1056" t="str">
            <v>TV</v>
          </cell>
          <cell r="AD1056" t="str">
            <v>TV</v>
          </cell>
          <cell r="AE1056" t="str">
            <v>TV</v>
          </cell>
          <cell r="AF1056" t="str">
            <v>TV</v>
          </cell>
          <cell r="AG1056" t="str">
            <v>TV</v>
          </cell>
          <cell r="AH1056" t="str">
            <v>TV</v>
          </cell>
          <cell r="AI1056" t="str">
            <v>TV</v>
          </cell>
          <cell r="AJ1056" t="str">
            <v>TV</v>
          </cell>
          <cell r="AN1056">
            <v>0</v>
          </cell>
          <cell r="AO1056">
            <v>0</v>
          </cell>
          <cell r="AP1056">
            <v>0</v>
          </cell>
          <cell r="AQ1056">
            <v>0</v>
          </cell>
          <cell r="AR1056">
            <v>0</v>
          </cell>
          <cell r="AS1056">
            <v>0</v>
          </cell>
          <cell r="AT1056">
            <v>0</v>
          </cell>
          <cell r="AU1056">
            <v>0</v>
          </cell>
          <cell r="AV1056">
            <v>0</v>
          </cell>
          <cell r="AW1056">
            <v>0</v>
          </cell>
          <cell r="AX1056">
            <v>0</v>
          </cell>
          <cell r="AY1056">
            <v>0</v>
          </cell>
          <cell r="AZ1056">
            <v>0</v>
          </cell>
          <cell r="BA1056">
            <v>0</v>
          </cell>
          <cell r="BB1056">
            <v>0</v>
          </cell>
          <cell r="BC1056">
            <v>0</v>
          </cell>
          <cell r="BD1056">
            <v>0</v>
          </cell>
          <cell r="BE1056">
            <v>0</v>
          </cell>
          <cell r="BF1056">
            <v>0</v>
          </cell>
          <cell r="BG1056">
            <v>0</v>
          </cell>
          <cell r="BH1056">
            <v>0</v>
          </cell>
          <cell r="BI1056">
            <v>0</v>
          </cell>
          <cell r="BJ1056">
            <v>1</v>
          </cell>
          <cell r="BL1056">
            <v>0</v>
          </cell>
          <cell r="BM1056">
            <v>0</v>
          </cell>
          <cell r="BN1056">
            <v>0</v>
          </cell>
          <cell r="BO1056">
            <v>0</v>
          </cell>
          <cell r="BP1056">
            <v>0</v>
          </cell>
          <cell r="BQ1056">
            <v>0</v>
          </cell>
          <cell r="BR1056">
            <v>0</v>
          </cell>
          <cell r="BS1056">
            <v>0</v>
          </cell>
          <cell r="BT1056">
            <v>0</v>
          </cell>
          <cell r="BU1056">
            <v>0</v>
          </cell>
          <cell r="BV1056">
            <v>0</v>
          </cell>
          <cell r="BW1056">
            <v>0</v>
          </cell>
          <cell r="BX1056">
            <v>0</v>
          </cell>
          <cell r="BY1056">
            <v>0</v>
          </cell>
          <cell r="BZ1056">
            <v>0</v>
          </cell>
          <cell r="CA1056">
            <v>0</v>
          </cell>
          <cell r="CB1056">
            <v>0</v>
          </cell>
          <cell r="CC1056">
            <v>0</v>
          </cell>
          <cell r="CD1056">
            <v>0</v>
          </cell>
          <cell r="CE1056">
            <v>0</v>
          </cell>
          <cell r="CF1056">
            <v>0</v>
          </cell>
          <cell r="CG1056">
            <v>0</v>
          </cell>
          <cell r="CH1056">
            <v>0</v>
          </cell>
          <cell r="CI1056">
            <v>0</v>
          </cell>
          <cell r="CJ1056">
            <v>0</v>
          </cell>
          <cell r="CK1056">
            <v>0</v>
          </cell>
          <cell r="CL1056">
            <v>0</v>
          </cell>
          <cell r="CM1056">
            <v>0</v>
          </cell>
          <cell r="CR1056">
            <v>0</v>
          </cell>
          <cell r="CS1056">
            <v>0</v>
          </cell>
          <cell r="CT1056">
            <v>0</v>
          </cell>
          <cell r="CU1056">
            <v>0</v>
          </cell>
          <cell r="CV1056">
            <v>0</v>
          </cell>
          <cell r="CZ1056">
            <v>0</v>
          </cell>
        </row>
        <row r="1057">
          <cell r="C1057" t="str">
            <v>04676</v>
          </cell>
          <cell r="D1057" t="str">
            <v>Trương Minh Thuận</v>
          </cell>
          <cell r="E1057" t="str">
            <v>Production</v>
          </cell>
          <cell r="F1057" t="str">
            <v>Die cut</v>
          </cell>
          <cell r="G1057" t="str">
            <v>Worker</v>
          </cell>
          <cell r="H1057">
            <v>45859</v>
          </cell>
          <cell r="I1057" t="str">
            <v>Đ</v>
          </cell>
          <cell r="J1057" t="str">
            <v>Đ</v>
          </cell>
          <cell r="K1057" t="str">
            <v>AL8</v>
          </cell>
          <cell r="L1057" t="str">
            <v>CN</v>
          </cell>
          <cell r="M1057">
            <v>8</v>
          </cell>
          <cell r="N1057">
            <v>8</v>
          </cell>
          <cell r="O1057" t="str">
            <v>AL4</v>
          </cell>
          <cell r="P1057">
            <v>8</v>
          </cell>
          <cell r="Q1057">
            <v>8</v>
          </cell>
          <cell r="R1057">
            <v>8</v>
          </cell>
          <cell r="S1057" t="str">
            <v>CN</v>
          </cell>
          <cell r="T1057" t="str">
            <v>Đ</v>
          </cell>
          <cell r="U1057" t="str">
            <v>Đ</v>
          </cell>
          <cell r="V1057" t="str">
            <v>Đ</v>
          </cell>
          <cell r="W1057" t="str">
            <v>Đ</v>
          </cell>
          <cell r="X1057" t="str">
            <v>Đ</v>
          </cell>
          <cell r="Y1057" t="str">
            <v>Đ</v>
          </cell>
          <cell r="Z1057" t="str">
            <v>CN</v>
          </cell>
          <cell r="AA1057">
            <v>8</v>
          </cell>
          <cell r="AB1057">
            <v>8</v>
          </cell>
          <cell r="AC1057">
            <v>8</v>
          </cell>
          <cell r="AD1057">
            <v>8</v>
          </cell>
          <cell r="AE1057">
            <v>8</v>
          </cell>
          <cell r="AF1057">
            <v>8</v>
          </cell>
          <cell r="AG1057" t="str">
            <v>CN</v>
          </cell>
          <cell r="AH1057" t="str">
            <v>Đ</v>
          </cell>
          <cell r="AI1057" t="str">
            <v>Đ</v>
          </cell>
          <cell r="AJ1057" t="str">
            <v>Đ</v>
          </cell>
          <cell r="AN1057">
            <v>88</v>
          </cell>
          <cell r="AO1057">
            <v>92</v>
          </cell>
          <cell r="AP1057">
            <v>4</v>
          </cell>
          <cell r="AQ1057">
            <v>0</v>
          </cell>
          <cell r="AR1057">
            <v>0</v>
          </cell>
          <cell r="AS1057">
            <v>0</v>
          </cell>
          <cell r="AT1057">
            <v>0</v>
          </cell>
          <cell r="AU1057">
            <v>0</v>
          </cell>
          <cell r="AV1057">
            <v>0</v>
          </cell>
          <cell r="AW1057">
            <v>0</v>
          </cell>
          <cell r="AX1057">
            <v>0</v>
          </cell>
          <cell r="AY1057">
            <v>0</v>
          </cell>
          <cell r="AZ1057">
            <v>0</v>
          </cell>
          <cell r="BA1057">
            <v>12</v>
          </cell>
          <cell r="BB1057">
            <v>0</v>
          </cell>
          <cell r="BC1057">
            <v>0</v>
          </cell>
          <cell r="BD1057">
            <v>0</v>
          </cell>
          <cell r="BE1057">
            <v>0</v>
          </cell>
          <cell r="BF1057">
            <v>0</v>
          </cell>
          <cell r="BG1057">
            <v>192</v>
          </cell>
          <cell r="BH1057">
            <v>1.5</v>
          </cell>
          <cell r="BI1057">
            <v>1.5</v>
          </cell>
          <cell r="BJ1057">
            <v>-2.5</v>
          </cell>
          <cell r="BL1057">
            <v>0</v>
          </cell>
          <cell r="BM1057">
            <v>1.5</v>
          </cell>
          <cell r="BN1057">
            <v>0</v>
          </cell>
          <cell r="BO1057">
            <v>0</v>
          </cell>
          <cell r="BP1057">
            <v>1.5</v>
          </cell>
          <cell r="BQ1057">
            <v>3</v>
          </cell>
          <cell r="BR1057">
            <v>0</v>
          </cell>
          <cell r="BS1057">
            <v>3</v>
          </cell>
          <cell r="BT1057">
            <v>3</v>
          </cell>
          <cell r="BU1057">
            <v>0</v>
          </cell>
          <cell r="BV1057">
            <v>0</v>
          </cell>
          <cell r="BW1057">
            <v>3</v>
          </cell>
          <cell r="BX1057">
            <v>4</v>
          </cell>
          <cell r="BY1057">
            <v>4</v>
          </cell>
          <cell r="BZ1057">
            <v>4</v>
          </cell>
          <cell r="CA1057">
            <v>4</v>
          </cell>
          <cell r="CB1057">
            <v>4</v>
          </cell>
          <cell r="CC1057">
            <v>0</v>
          </cell>
          <cell r="CD1057">
            <v>1.5</v>
          </cell>
          <cell r="CE1057">
            <v>3</v>
          </cell>
          <cell r="CF1057">
            <v>3</v>
          </cell>
          <cell r="CG1057">
            <v>3</v>
          </cell>
          <cell r="CH1057">
            <v>1.5</v>
          </cell>
          <cell r="CI1057">
            <v>1.5</v>
          </cell>
          <cell r="CJ1057">
            <v>8</v>
          </cell>
          <cell r="CK1057">
            <v>1.5</v>
          </cell>
          <cell r="CL1057">
            <v>4</v>
          </cell>
          <cell r="CM1057">
            <v>1.5</v>
          </cell>
          <cell r="CR1057">
            <v>0</v>
          </cell>
          <cell r="CS1057">
            <v>0</v>
          </cell>
          <cell r="CT1057">
            <v>55.5</v>
          </cell>
          <cell r="CU1057">
            <v>8</v>
          </cell>
          <cell r="CV1057">
            <v>0</v>
          </cell>
          <cell r="CZ1057">
            <v>63.5</v>
          </cell>
        </row>
        <row r="1058">
          <cell r="C1058" t="str">
            <v>04678</v>
          </cell>
          <cell r="D1058" t="str">
            <v>Trần Út Lành</v>
          </cell>
          <cell r="E1058" t="str">
            <v>Production</v>
          </cell>
          <cell r="F1058" t="str">
            <v>Die Cut</v>
          </cell>
          <cell r="G1058" t="str">
            <v>Worker</v>
          </cell>
          <cell r="H1058">
            <v>45859</v>
          </cell>
          <cell r="I1058">
            <v>8</v>
          </cell>
          <cell r="J1058">
            <v>8</v>
          </cell>
          <cell r="K1058">
            <v>8</v>
          </cell>
          <cell r="L1058" t="str">
            <v>CN</v>
          </cell>
          <cell r="M1058">
            <v>8</v>
          </cell>
          <cell r="N1058">
            <v>8</v>
          </cell>
          <cell r="O1058">
            <v>8</v>
          </cell>
          <cell r="P1058">
            <v>8</v>
          </cell>
          <cell r="Q1058" t="str">
            <v>AL8</v>
          </cell>
          <cell r="R1058">
            <v>8</v>
          </cell>
          <cell r="S1058" t="str">
            <v>CN</v>
          </cell>
          <cell r="T1058" t="str">
            <v>Đ</v>
          </cell>
          <cell r="U1058" t="str">
            <v>Đ</v>
          </cell>
          <cell r="V1058" t="str">
            <v>Đ</v>
          </cell>
          <cell r="W1058" t="str">
            <v>Đ</v>
          </cell>
          <cell r="X1058" t="str">
            <v>Đ</v>
          </cell>
          <cell r="Y1058" t="str">
            <v>Đ</v>
          </cell>
          <cell r="Z1058" t="str">
            <v>CN</v>
          </cell>
          <cell r="AA1058">
            <v>8</v>
          </cell>
          <cell r="AB1058">
            <v>8</v>
          </cell>
          <cell r="AC1058">
            <v>8</v>
          </cell>
          <cell r="AD1058">
            <v>8</v>
          </cell>
          <cell r="AE1058">
            <v>8</v>
          </cell>
          <cell r="AF1058" t="str">
            <v>SWD</v>
          </cell>
          <cell r="AG1058" t="str">
            <v>CN</v>
          </cell>
          <cell r="AH1058" t="str">
            <v>Đ</v>
          </cell>
          <cell r="AI1058" t="str">
            <v>Đ</v>
          </cell>
          <cell r="AJ1058" t="str">
            <v>Đ</v>
          </cell>
          <cell r="AN1058">
            <v>72</v>
          </cell>
          <cell r="AO1058">
            <v>104</v>
          </cell>
          <cell r="AP1058">
            <v>0</v>
          </cell>
          <cell r="AQ1058">
            <v>0</v>
          </cell>
          <cell r="AR1058">
            <v>0</v>
          </cell>
          <cell r="AS1058">
            <v>8</v>
          </cell>
          <cell r="AT1058">
            <v>0</v>
          </cell>
          <cell r="AU1058">
            <v>0</v>
          </cell>
          <cell r="AV1058">
            <v>0</v>
          </cell>
          <cell r="AW1058">
            <v>0</v>
          </cell>
          <cell r="AX1058">
            <v>0</v>
          </cell>
          <cell r="AY1058">
            <v>0</v>
          </cell>
          <cell r="AZ1058">
            <v>0</v>
          </cell>
          <cell r="BA1058">
            <v>8</v>
          </cell>
          <cell r="BB1058">
            <v>0</v>
          </cell>
          <cell r="BC1058">
            <v>0</v>
          </cell>
          <cell r="BD1058">
            <v>0</v>
          </cell>
          <cell r="BE1058">
            <v>0</v>
          </cell>
          <cell r="BF1058">
            <v>0</v>
          </cell>
          <cell r="BG1058">
            <v>184</v>
          </cell>
          <cell r="BH1058">
            <v>1</v>
          </cell>
          <cell r="BI1058">
            <v>1</v>
          </cell>
          <cell r="BJ1058">
            <v>0</v>
          </cell>
          <cell r="BL1058">
            <v>0</v>
          </cell>
          <cell r="BM1058">
            <v>4</v>
          </cell>
          <cell r="BN1058">
            <v>0</v>
          </cell>
          <cell r="BO1058">
            <v>0</v>
          </cell>
          <cell r="BP1058">
            <v>3</v>
          </cell>
          <cell r="BQ1058">
            <v>0</v>
          </cell>
          <cell r="BR1058">
            <v>0</v>
          </cell>
          <cell r="BS1058">
            <v>0</v>
          </cell>
          <cell r="BT1058">
            <v>0</v>
          </cell>
          <cell r="BU1058">
            <v>0</v>
          </cell>
          <cell r="BV1058">
            <v>0</v>
          </cell>
          <cell r="BW1058">
            <v>0</v>
          </cell>
          <cell r="BX1058">
            <v>4</v>
          </cell>
          <cell r="BY1058">
            <v>4</v>
          </cell>
          <cell r="BZ1058">
            <v>4</v>
          </cell>
          <cell r="CA1058">
            <v>4</v>
          </cell>
          <cell r="CB1058">
            <v>0</v>
          </cell>
          <cell r="CC1058">
            <v>0</v>
          </cell>
          <cell r="CD1058">
            <v>3</v>
          </cell>
          <cell r="CE1058">
            <v>3</v>
          </cell>
          <cell r="CF1058">
            <v>3</v>
          </cell>
          <cell r="CG1058">
            <v>2.5</v>
          </cell>
          <cell r="CH1058">
            <v>1.5</v>
          </cell>
          <cell r="CI1058">
            <v>0</v>
          </cell>
          <cell r="CJ1058">
            <v>0</v>
          </cell>
          <cell r="CK1058">
            <v>0</v>
          </cell>
          <cell r="CL1058">
            <v>1.5</v>
          </cell>
          <cell r="CM1058">
            <v>1.5</v>
          </cell>
          <cell r="CR1058">
            <v>0</v>
          </cell>
          <cell r="CS1058">
            <v>0</v>
          </cell>
          <cell r="CT1058">
            <v>39</v>
          </cell>
          <cell r="CU1058">
            <v>0</v>
          </cell>
          <cell r="CV1058">
            <v>0</v>
          </cell>
          <cell r="CZ1058">
            <v>39</v>
          </cell>
        </row>
        <row r="1059">
          <cell r="C1059" t="str">
            <v>04679</v>
          </cell>
          <cell r="D1059" t="str">
            <v>Nguyễn Hoàng Phút</v>
          </cell>
          <cell r="E1059" t="str">
            <v>Production</v>
          </cell>
          <cell r="F1059" t="str">
            <v>Skiving</v>
          </cell>
          <cell r="G1059" t="str">
            <v>Worker</v>
          </cell>
          <cell r="H1059">
            <v>45859</v>
          </cell>
          <cell r="I1059">
            <v>8</v>
          </cell>
          <cell r="J1059">
            <v>8</v>
          </cell>
          <cell r="K1059">
            <v>8</v>
          </cell>
          <cell r="L1059" t="str">
            <v>CN</v>
          </cell>
          <cell r="M1059" t="str">
            <v>Đ</v>
          </cell>
          <cell r="N1059" t="str">
            <v>PL</v>
          </cell>
          <cell r="O1059" t="str">
            <v>PL</v>
          </cell>
          <cell r="P1059" t="str">
            <v>PL</v>
          </cell>
          <cell r="Q1059" t="str">
            <v>PL</v>
          </cell>
          <cell r="R1059" t="str">
            <v>PL</v>
          </cell>
          <cell r="S1059" t="str">
            <v>CN</v>
          </cell>
          <cell r="T1059" t="str">
            <v>UP8</v>
          </cell>
          <cell r="U1059" t="str">
            <v>UP8</v>
          </cell>
          <cell r="V1059" t="str">
            <v>UP8</v>
          </cell>
          <cell r="W1059" t="str">
            <v>UP8</v>
          </cell>
          <cell r="X1059" t="str">
            <v>UP8</v>
          </cell>
          <cell r="Y1059" t="str">
            <v>UP4</v>
          </cell>
          <cell r="Z1059" t="str">
            <v>CN</v>
          </cell>
          <cell r="AA1059" t="str">
            <v>Đ</v>
          </cell>
          <cell r="AB1059" t="str">
            <v>Đ</v>
          </cell>
          <cell r="AC1059" t="str">
            <v>Đ</v>
          </cell>
          <cell r="AD1059" t="str">
            <v>Đ</v>
          </cell>
          <cell r="AE1059" t="str">
            <v>Đ</v>
          </cell>
          <cell r="AF1059" t="str">
            <v>Đ</v>
          </cell>
          <cell r="AG1059" t="str">
            <v>CN</v>
          </cell>
          <cell r="AH1059">
            <v>8</v>
          </cell>
          <cell r="AI1059" t="str">
            <v>AL8</v>
          </cell>
          <cell r="AJ1059" t="str">
            <v>AL8</v>
          </cell>
          <cell r="AN1059">
            <v>56</v>
          </cell>
          <cell r="AO1059">
            <v>36</v>
          </cell>
          <cell r="AP1059">
            <v>0</v>
          </cell>
          <cell r="AQ1059">
            <v>0</v>
          </cell>
          <cell r="AR1059">
            <v>4</v>
          </cell>
          <cell r="AS1059">
            <v>44</v>
          </cell>
          <cell r="AT1059">
            <v>0</v>
          </cell>
          <cell r="AU1059">
            <v>0</v>
          </cell>
          <cell r="AV1059">
            <v>0</v>
          </cell>
          <cell r="AW1059">
            <v>0</v>
          </cell>
          <cell r="AX1059">
            <v>0</v>
          </cell>
          <cell r="AY1059">
            <v>40</v>
          </cell>
          <cell r="AZ1059">
            <v>0</v>
          </cell>
          <cell r="BA1059">
            <v>16</v>
          </cell>
          <cell r="BB1059">
            <v>0</v>
          </cell>
          <cell r="BC1059">
            <v>0</v>
          </cell>
          <cell r="BD1059">
            <v>0</v>
          </cell>
          <cell r="BE1059">
            <v>0</v>
          </cell>
          <cell r="BF1059">
            <v>0</v>
          </cell>
          <cell r="BG1059">
            <v>108</v>
          </cell>
          <cell r="BH1059">
            <v>2</v>
          </cell>
          <cell r="BI1059">
            <v>2</v>
          </cell>
          <cell r="BJ1059">
            <v>0.5</v>
          </cell>
          <cell r="BL1059">
            <v>0</v>
          </cell>
          <cell r="BM1059">
            <v>0</v>
          </cell>
          <cell r="BN1059">
            <v>1.5</v>
          </cell>
          <cell r="BO1059">
            <v>0</v>
          </cell>
          <cell r="BP1059">
            <v>1.5</v>
          </cell>
          <cell r="BQ1059">
            <v>0</v>
          </cell>
          <cell r="BR1059">
            <v>0</v>
          </cell>
          <cell r="BS1059">
            <v>0</v>
          </cell>
          <cell r="BT1059">
            <v>0</v>
          </cell>
          <cell r="BU1059">
            <v>0</v>
          </cell>
          <cell r="BV1059">
            <v>0</v>
          </cell>
          <cell r="BW1059">
            <v>0</v>
          </cell>
          <cell r="BX1059">
            <v>0</v>
          </cell>
          <cell r="BY1059">
            <v>0</v>
          </cell>
          <cell r="BZ1059">
            <v>0</v>
          </cell>
          <cell r="CA1059">
            <v>0</v>
          </cell>
          <cell r="CB1059">
            <v>0</v>
          </cell>
          <cell r="CC1059">
            <v>8</v>
          </cell>
          <cell r="CD1059">
            <v>4</v>
          </cell>
          <cell r="CE1059">
            <v>4</v>
          </cell>
          <cell r="CF1059">
            <v>4</v>
          </cell>
          <cell r="CG1059">
            <v>4</v>
          </cell>
          <cell r="CH1059">
            <v>1.5</v>
          </cell>
          <cell r="CI1059">
            <v>1.5</v>
          </cell>
          <cell r="CJ1059">
            <v>0</v>
          </cell>
          <cell r="CK1059">
            <v>1.5</v>
          </cell>
          <cell r="CL1059">
            <v>1.5</v>
          </cell>
          <cell r="CM1059">
            <v>0</v>
          </cell>
          <cell r="CR1059">
            <v>0</v>
          </cell>
          <cell r="CS1059">
            <v>0</v>
          </cell>
          <cell r="CT1059">
            <v>25</v>
          </cell>
          <cell r="CU1059">
            <v>8</v>
          </cell>
          <cell r="CV1059">
            <v>0</v>
          </cell>
          <cell r="CZ1059">
            <v>33</v>
          </cell>
        </row>
        <row r="1060">
          <cell r="C1060" t="str">
            <v>04680</v>
          </cell>
          <cell r="D1060" t="str">
            <v>Phan Thị Diễm</v>
          </cell>
          <cell r="E1060" t="str">
            <v>Production</v>
          </cell>
          <cell r="F1060" t="str">
            <v>Molding</v>
          </cell>
          <cell r="G1060" t="str">
            <v>Worker</v>
          </cell>
          <cell r="H1060">
            <v>45859</v>
          </cell>
          <cell r="I1060">
            <v>8</v>
          </cell>
          <cell r="J1060">
            <v>8</v>
          </cell>
          <cell r="K1060">
            <v>8</v>
          </cell>
          <cell r="L1060" t="str">
            <v>CN</v>
          </cell>
          <cell r="M1060">
            <v>8</v>
          </cell>
          <cell r="N1060">
            <v>8</v>
          </cell>
          <cell r="O1060">
            <v>8</v>
          </cell>
          <cell r="P1060">
            <v>8</v>
          </cell>
          <cell r="Q1060">
            <v>8</v>
          </cell>
          <cell r="R1060">
            <v>8</v>
          </cell>
          <cell r="S1060" t="str">
            <v>CN</v>
          </cell>
          <cell r="T1060">
            <v>8</v>
          </cell>
          <cell r="U1060">
            <v>8</v>
          </cell>
          <cell r="V1060">
            <v>8</v>
          </cell>
          <cell r="W1060" t="str">
            <v>AL8</v>
          </cell>
          <cell r="X1060" t="str">
            <v>AL8</v>
          </cell>
          <cell r="Y1060" t="str">
            <v>AL8</v>
          </cell>
          <cell r="Z1060" t="str">
            <v>CN</v>
          </cell>
          <cell r="AA1060" t="str">
            <v>Đ</v>
          </cell>
          <cell r="AB1060" t="str">
            <v>Đ</v>
          </cell>
          <cell r="AC1060" t="str">
            <v>Đ</v>
          </cell>
          <cell r="AD1060" t="str">
            <v>Đ</v>
          </cell>
          <cell r="AE1060" t="str">
            <v>Đ</v>
          </cell>
          <cell r="AF1060" t="str">
            <v>Đ</v>
          </cell>
          <cell r="AG1060" t="str">
            <v>CN</v>
          </cell>
          <cell r="AH1060">
            <v>8</v>
          </cell>
          <cell r="AI1060">
            <v>8</v>
          </cell>
          <cell r="AJ1060">
            <v>8</v>
          </cell>
          <cell r="AN1060">
            <v>48</v>
          </cell>
          <cell r="AO1060">
            <v>120</v>
          </cell>
          <cell r="AP1060">
            <v>0</v>
          </cell>
          <cell r="AQ1060">
            <v>0</v>
          </cell>
          <cell r="AR1060">
            <v>0</v>
          </cell>
          <cell r="AS1060">
            <v>0</v>
          </cell>
          <cell r="AT1060">
            <v>0</v>
          </cell>
          <cell r="AU1060">
            <v>0</v>
          </cell>
          <cell r="AV1060">
            <v>0</v>
          </cell>
          <cell r="AW1060">
            <v>0</v>
          </cell>
          <cell r="AX1060">
            <v>0</v>
          </cell>
          <cell r="AY1060">
            <v>0</v>
          </cell>
          <cell r="AZ1060">
            <v>0</v>
          </cell>
          <cell r="BA1060">
            <v>24</v>
          </cell>
          <cell r="BB1060">
            <v>0</v>
          </cell>
          <cell r="BC1060">
            <v>0</v>
          </cell>
          <cell r="BD1060">
            <v>0</v>
          </cell>
          <cell r="BE1060">
            <v>0</v>
          </cell>
          <cell r="BF1060">
            <v>0</v>
          </cell>
          <cell r="BG1060">
            <v>192</v>
          </cell>
          <cell r="BH1060">
            <v>3</v>
          </cell>
          <cell r="BI1060">
            <v>3</v>
          </cell>
          <cell r="BJ1060">
            <v>0</v>
          </cell>
          <cell r="BL1060">
            <v>0</v>
          </cell>
          <cell r="BM1060">
            <v>0</v>
          </cell>
          <cell r="BN1060">
            <v>0</v>
          </cell>
          <cell r="BO1060">
            <v>0</v>
          </cell>
          <cell r="BP1060">
            <v>4</v>
          </cell>
          <cell r="BQ1060">
            <v>0</v>
          </cell>
          <cell r="BR1060">
            <v>0</v>
          </cell>
          <cell r="BS1060">
            <v>0</v>
          </cell>
          <cell r="BT1060">
            <v>0</v>
          </cell>
          <cell r="BU1060">
            <v>0</v>
          </cell>
          <cell r="BV1060">
            <v>0</v>
          </cell>
          <cell r="BW1060">
            <v>4</v>
          </cell>
          <cell r="BX1060">
            <v>4</v>
          </cell>
          <cell r="BY1060">
            <v>0</v>
          </cell>
          <cell r="BZ1060">
            <v>0</v>
          </cell>
          <cell r="CA1060">
            <v>0</v>
          </cell>
          <cell r="CB1060">
            <v>0</v>
          </cell>
          <cell r="CC1060">
            <v>0</v>
          </cell>
          <cell r="CD1060">
            <v>0</v>
          </cell>
          <cell r="CE1060">
            <v>0</v>
          </cell>
          <cell r="CF1060">
            <v>4</v>
          </cell>
          <cell r="CG1060">
            <v>0</v>
          </cell>
          <cell r="CH1060">
            <v>4</v>
          </cell>
          <cell r="CI1060">
            <v>4</v>
          </cell>
          <cell r="CJ1060">
            <v>0</v>
          </cell>
          <cell r="CK1060">
            <v>4</v>
          </cell>
          <cell r="CL1060">
            <v>4</v>
          </cell>
          <cell r="CM1060">
            <v>4</v>
          </cell>
          <cell r="CR1060">
            <v>0</v>
          </cell>
          <cell r="CS1060">
            <v>0</v>
          </cell>
          <cell r="CT1060">
            <v>36</v>
          </cell>
          <cell r="CU1060">
            <v>0</v>
          </cell>
          <cell r="CV1060">
            <v>0</v>
          </cell>
          <cell r="CZ1060">
            <v>36</v>
          </cell>
        </row>
        <row r="1061">
          <cell r="C1061" t="str">
            <v>04681</v>
          </cell>
          <cell r="D1061" t="str">
            <v>Đoàn Minh Trí</v>
          </cell>
          <cell r="E1061" t="str">
            <v>Foaming</v>
          </cell>
          <cell r="F1061" t="str">
            <v>FOAMING Splitting</v>
          </cell>
          <cell r="G1061" t="str">
            <v>Forklift Driver</v>
          </cell>
          <cell r="H1061">
            <v>45859</v>
          </cell>
          <cell r="I1061">
            <v>8</v>
          </cell>
          <cell r="J1061">
            <v>8</v>
          </cell>
          <cell r="K1061">
            <v>8</v>
          </cell>
          <cell r="L1061" t="str">
            <v>CN</v>
          </cell>
          <cell r="M1061">
            <v>8</v>
          </cell>
          <cell r="N1061" t="str">
            <v>AL8</v>
          </cell>
          <cell r="O1061">
            <v>8</v>
          </cell>
          <cell r="P1061">
            <v>8</v>
          </cell>
          <cell r="Q1061">
            <v>8</v>
          </cell>
          <cell r="R1061">
            <v>8</v>
          </cell>
          <cell r="S1061" t="str">
            <v>CN</v>
          </cell>
          <cell r="T1061">
            <v>8</v>
          </cell>
          <cell r="U1061">
            <v>8</v>
          </cell>
          <cell r="V1061">
            <v>8</v>
          </cell>
          <cell r="W1061">
            <v>8</v>
          </cell>
          <cell r="X1061">
            <v>8</v>
          </cell>
          <cell r="Y1061">
            <v>8</v>
          </cell>
          <cell r="Z1061" t="str">
            <v>CN</v>
          </cell>
          <cell r="AA1061">
            <v>8</v>
          </cell>
          <cell r="AB1061">
            <v>8</v>
          </cell>
          <cell r="AC1061">
            <v>8</v>
          </cell>
          <cell r="AD1061">
            <v>8</v>
          </cell>
          <cell r="AE1061">
            <v>8</v>
          </cell>
          <cell r="AF1061">
            <v>8</v>
          </cell>
          <cell r="AG1061" t="str">
            <v>CN</v>
          </cell>
          <cell r="AH1061">
            <v>8</v>
          </cell>
          <cell r="AI1061">
            <v>8</v>
          </cell>
          <cell r="AJ1061">
            <v>8</v>
          </cell>
          <cell r="AN1061">
            <v>0</v>
          </cell>
          <cell r="AO1061">
            <v>184</v>
          </cell>
          <cell r="AP1061">
            <v>0</v>
          </cell>
          <cell r="AQ1061">
            <v>0</v>
          </cell>
          <cell r="AR1061">
            <v>0</v>
          </cell>
          <cell r="AS1061">
            <v>0</v>
          </cell>
          <cell r="AT1061">
            <v>0</v>
          </cell>
          <cell r="AU1061">
            <v>0</v>
          </cell>
          <cell r="AV1061">
            <v>0</v>
          </cell>
          <cell r="AW1061">
            <v>0</v>
          </cell>
          <cell r="AX1061">
            <v>0</v>
          </cell>
          <cell r="AY1061">
            <v>0</v>
          </cell>
          <cell r="AZ1061">
            <v>0</v>
          </cell>
          <cell r="BA1061">
            <v>8</v>
          </cell>
          <cell r="BB1061">
            <v>0</v>
          </cell>
          <cell r="BC1061">
            <v>0</v>
          </cell>
          <cell r="BD1061">
            <v>0</v>
          </cell>
          <cell r="BE1061">
            <v>0</v>
          </cell>
          <cell r="BF1061">
            <v>0</v>
          </cell>
          <cell r="BG1061">
            <v>192</v>
          </cell>
          <cell r="BH1061">
            <v>1</v>
          </cell>
          <cell r="BI1061">
            <v>1</v>
          </cell>
          <cell r="BJ1061">
            <v>4.5</v>
          </cell>
          <cell r="BL1061">
            <v>4</v>
          </cell>
          <cell r="BM1061">
            <v>4</v>
          </cell>
          <cell r="BN1061">
            <v>4</v>
          </cell>
          <cell r="BO1061">
            <v>12</v>
          </cell>
          <cell r="BP1061">
            <v>2</v>
          </cell>
          <cell r="BQ1061">
            <v>0</v>
          </cell>
          <cell r="BR1061">
            <v>2</v>
          </cell>
          <cell r="BS1061">
            <v>2</v>
          </cell>
          <cell r="BT1061">
            <v>2</v>
          </cell>
          <cell r="BU1061">
            <v>2</v>
          </cell>
          <cell r="BV1061">
            <v>12</v>
          </cell>
          <cell r="BW1061">
            <v>4</v>
          </cell>
          <cell r="BX1061">
            <v>4</v>
          </cell>
          <cell r="BY1061">
            <v>4</v>
          </cell>
          <cell r="BZ1061">
            <v>4</v>
          </cell>
          <cell r="CA1061">
            <v>4</v>
          </cell>
          <cell r="CB1061">
            <v>4</v>
          </cell>
          <cell r="CC1061">
            <v>0</v>
          </cell>
          <cell r="CD1061">
            <v>4</v>
          </cell>
          <cell r="CE1061">
            <v>4</v>
          </cell>
          <cell r="CF1061">
            <v>4</v>
          </cell>
          <cell r="CG1061">
            <v>4</v>
          </cell>
          <cell r="CH1061">
            <v>4</v>
          </cell>
          <cell r="CI1061">
            <v>4</v>
          </cell>
          <cell r="CJ1061">
            <v>12</v>
          </cell>
          <cell r="CK1061">
            <v>4</v>
          </cell>
          <cell r="CL1061">
            <v>4</v>
          </cell>
          <cell r="CM1061">
            <v>4</v>
          </cell>
          <cell r="CR1061">
            <v>0</v>
          </cell>
          <cell r="CS1061">
            <v>0</v>
          </cell>
          <cell r="CT1061">
            <v>82</v>
          </cell>
          <cell r="CU1061">
            <v>36</v>
          </cell>
          <cell r="CV1061">
            <v>0</v>
          </cell>
          <cell r="CZ1061">
            <v>118</v>
          </cell>
        </row>
        <row r="1062">
          <cell r="C1062" t="str">
            <v>04683</v>
          </cell>
          <cell r="D1062" t="str">
            <v>Nguyễn Minh Lợi</v>
          </cell>
          <cell r="E1062" t="str">
            <v>Production</v>
          </cell>
          <cell r="F1062" t="str">
            <v>Prefitting</v>
          </cell>
          <cell r="G1062" t="str">
            <v>Worker</v>
          </cell>
          <cell r="H1062">
            <v>45859</v>
          </cell>
          <cell r="I1062">
            <v>8</v>
          </cell>
          <cell r="J1062">
            <v>8</v>
          </cell>
          <cell r="K1062">
            <v>8</v>
          </cell>
          <cell r="L1062" t="str">
            <v>CN</v>
          </cell>
          <cell r="M1062" t="str">
            <v>AL8</v>
          </cell>
          <cell r="N1062" t="str">
            <v>Đ</v>
          </cell>
          <cell r="O1062" t="str">
            <v>Đ</v>
          </cell>
          <cell r="P1062" t="str">
            <v>Đ</v>
          </cell>
          <cell r="Q1062" t="str">
            <v>Đ</v>
          </cell>
          <cell r="R1062" t="str">
            <v>Đ</v>
          </cell>
          <cell r="S1062" t="str">
            <v>CN</v>
          </cell>
          <cell r="T1062">
            <v>8</v>
          </cell>
          <cell r="U1062">
            <v>8</v>
          </cell>
          <cell r="V1062">
            <v>8</v>
          </cell>
          <cell r="W1062">
            <v>8</v>
          </cell>
          <cell r="X1062">
            <v>8</v>
          </cell>
          <cell r="Y1062">
            <v>8</v>
          </cell>
          <cell r="Z1062" t="str">
            <v>CN</v>
          </cell>
          <cell r="AA1062">
            <v>8</v>
          </cell>
          <cell r="AB1062">
            <v>8</v>
          </cell>
          <cell r="AC1062">
            <v>8</v>
          </cell>
          <cell r="AD1062">
            <v>8</v>
          </cell>
          <cell r="AE1062" t="str">
            <v>SL</v>
          </cell>
          <cell r="AF1062" t="str">
            <v>SL</v>
          </cell>
          <cell r="AG1062" t="str">
            <v>CN</v>
          </cell>
          <cell r="AH1062">
            <v>8</v>
          </cell>
          <cell r="AI1062" t="str">
            <v>UP8</v>
          </cell>
          <cell r="AJ1062">
            <v>8</v>
          </cell>
          <cell r="AN1062">
            <v>40</v>
          </cell>
          <cell r="AO1062">
            <v>120</v>
          </cell>
          <cell r="AP1062">
            <v>0</v>
          </cell>
          <cell r="AQ1062">
            <v>2</v>
          </cell>
          <cell r="AR1062">
            <v>0</v>
          </cell>
          <cell r="AS1062">
            <v>8</v>
          </cell>
          <cell r="AT1062">
            <v>0</v>
          </cell>
          <cell r="AU1062">
            <v>0</v>
          </cell>
          <cell r="AV1062">
            <v>0</v>
          </cell>
          <cell r="AW1062">
            <v>0</v>
          </cell>
          <cell r="AX1062">
            <v>0</v>
          </cell>
          <cell r="AY1062">
            <v>0</v>
          </cell>
          <cell r="AZ1062">
            <v>0</v>
          </cell>
          <cell r="BA1062">
            <v>8</v>
          </cell>
          <cell r="BB1062">
            <v>0</v>
          </cell>
          <cell r="BC1062">
            <v>0</v>
          </cell>
          <cell r="BD1062">
            <v>0</v>
          </cell>
          <cell r="BE1062">
            <v>0</v>
          </cell>
          <cell r="BF1062">
            <v>0</v>
          </cell>
          <cell r="BG1062">
            <v>168</v>
          </cell>
          <cell r="BH1062">
            <v>1</v>
          </cell>
          <cell r="BI1062">
            <v>1</v>
          </cell>
          <cell r="BJ1062">
            <v>0</v>
          </cell>
          <cell r="BL1062">
            <v>0</v>
          </cell>
          <cell r="BM1062">
            <v>0</v>
          </cell>
          <cell r="BN1062">
            <v>0</v>
          </cell>
          <cell r="BO1062">
            <v>0</v>
          </cell>
          <cell r="BP1062">
            <v>0</v>
          </cell>
          <cell r="BQ1062">
            <v>0</v>
          </cell>
          <cell r="BR1062">
            <v>0</v>
          </cell>
          <cell r="BS1062">
            <v>0</v>
          </cell>
          <cell r="BT1062">
            <v>0</v>
          </cell>
          <cell r="BU1062">
            <v>0</v>
          </cell>
          <cell r="BV1062">
            <v>0</v>
          </cell>
          <cell r="BW1062">
            <v>0</v>
          </cell>
          <cell r="BX1062">
            <v>0</v>
          </cell>
          <cell r="BY1062">
            <v>0</v>
          </cell>
          <cell r="BZ1062">
            <v>0</v>
          </cell>
          <cell r="CA1062">
            <v>0</v>
          </cell>
          <cell r="CB1062">
            <v>0</v>
          </cell>
          <cell r="CC1062">
            <v>0</v>
          </cell>
          <cell r="CD1062">
            <v>0</v>
          </cell>
          <cell r="CE1062">
            <v>0</v>
          </cell>
          <cell r="CF1062">
            <v>0</v>
          </cell>
          <cell r="CG1062">
            <v>0</v>
          </cell>
          <cell r="CH1062">
            <v>0</v>
          </cell>
          <cell r="CI1062">
            <v>0</v>
          </cell>
          <cell r="CJ1062">
            <v>0</v>
          </cell>
          <cell r="CK1062">
            <v>0</v>
          </cell>
          <cell r="CL1062">
            <v>0</v>
          </cell>
          <cell r="CM1062">
            <v>0</v>
          </cell>
          <cell r="CR1062">
            <v>0</v>
          </cell>
          <cell r="CS1062">
            <v>0</v>
          </cell>
          <cell r="CT1062">
            <v>0</v>
          </cell>
          <cell r="CU1062">
            <v>0</v>
          </cell>
          <cell r="CV1062">
            <v>0</v>
          </cell>
          <cell r="CZ1062">
            <v>0</v>
          </cell>
        </row>
        <row r="1063">
          <cell r="C1063" t="str">
            <v>04684</v>
          </cell>
          <cell r="D1063" t="str">
            <v>Nguyễn Như Hoàng</v>
          </cell>
          <cell r="E1063" t="str">
            <v>Production</v>
          </cell>
          <cell r="F1063" t="str">
            <v>Die Cut</v>
          </cell>
          <cell r="G1063" t="str">
            <v>Worker</v>
          </cell>
          <cell r="H1063">
            <v>45859</v>
          </cell>
          <cell r="I1063">
            <v>8</v>
          </cell>
          <cell r="J1063">
            <v>8</v>
          </cell>
          <cell r="K1063">
            <v>8</v>
          </cell>
          <cell r="L1063" t="str">
            <v>CN</v>
          </cell>
          <cell r="M1063" t="str">
            <v>Đ</v>
          </cell>
          <cell r="N1063" t="str">
            <v>Đ</v>
          </cell>
          <cell r="O1063" t="str">
            <v>Đ</v>
          </cell>
          <cell r="P1063" t="str">
            <v>Đ</v>
          </cell>
          <cell r="Q1063" t="str">
            <v>Đ</v>
          </cell>
          <cell r="R1063" t="str">
            <v>Đ</v>
          </cell>
          <cell r="S1063" t="str">
            <v>CN</v>
          </cell>
          <cell r="T1063">
            <v>8</v>
          </cell>
          <cell r="U1063">
            <v>8</v>
          </cell>
          <cell r="V1063">
            <v>8</v>
          </cell>
          <cell r="W1063">
            <v>8</v>
          </cell>
          <cell r="X1063">
            <v>8</v>
          </cell>
          <cell r="Y1063">
            <v>8</v>
          </cell>
          <cell r="Z1063" t="str">
            <v>CN</v>
          </cell>
          <cell r="AA1063" t="str">
            <v>Đ</v>
          </cell>
          <cell r="AB1063" t="str">
            <v>AL8</v>
          </cell>
          <cell r="AC1063" t="str">
            <v>Đ</v>
          </cell>
          <cell r="AD1063" t="str">
            <v>Đ</v>
          </cell>
          <cell r="AE1063" t="str">
            <v>Đ</v>
          </cell>
          <cell r="AF1063" t="str">
            <v>Đ</v>
          </cell>
          <cell r="AG1063" t="str">
            <v>CN</v>
          </cell>
          <cell r="AH1063">
            <v>8</v>
          </cell>
          <cell r="AI1063">
            <v>8</v>
          </cell>
          <cell r="AJ1063">
            <v>8</v>
          </cell>
          <cell r="AN1063">
            <v>88</v>
          </cell>
          <cell r="AO1063">
            <v>96</v>
          </cell>
          <cell r="AP1063">
            <v>0</v>
          </cell>
          <cell r="AQ1063">
            <v>0</v>
          </cell>
          <cell r="AR1063">
            <v>0</v>
          </cell>
          <cell r="AS1063">
            <v>0</v>
          </cell>
          <cell r="AT1063">
            <v>0</v>
          </cell>
          <cell r="AU1063">
            <v>0</v>
          </cell>
          <cell r="AV1063">
            <v>0</v>
          </cell>
          <cell r="AW1063">
            <v>0</v>
          </cell>
          <cell r="AX1063">
            <v>0</v>
          </cell>
          <cell r="AY1063">
            <v>0</v>
          </cell>
          <cell r="AZ1063">
            <v>0</v>
          </cell>
          <cell r="BA1063">
            <v>8</v>
          </cell>
          <cell r="BB1063">
            <v>0</v>
          </cell>
          <cell r="BC1063">
            <v>0</v>
          </cell>
          <cell r="BD1063">
            <v>0</v>
          </cell>
          <cell r="BE1063">
            <v>0</v>
          </cell>
          <cell r="BF1063">
            <v>0</v>
          </cell>
          <cell r="BG1063">
            <v>192</v>
          </cell>
          <cell r="BH1063">
            <v>1</v>
          </cell>
          <cell r="BI1063">
            <v>1</v>
          </cell>
          <cell r="BJ1063">
            <v>1</v>
          </cell>
          <cell r="BL1063">
            <v>1.5</v>
          </cell>
          <cell r="BM1063">
            <v>1.5</v>
          </cell>
          <cell r="BN1063">
            <v>1.5</v>
          </cell>
          <cell r="BO1063">
            <v>0</v>
          </cell>
          <cell r="BP1063">
            <v>1.5</v>
          </cell>
          <cell r="BQ1063">
            <v>0</v>
          </cell>
          <cell r="BR1063">
            <v>0</v>
          </cell>
          <cell r="BS1063">
            <v>4</v>
          </cell>
          <cell r="BT1063">
            <v>4</v>
          </cell>
          <cell r="BU1063">
            <v>4</v>
          </cell>
          <cell r="BV1063">
            <v>0</v>
          </cell>
          <cell r="BW1063">
            <v>3</v>
          </cell>
          <cell r="BX1063">
            <v>3</v>
          </cell>
          <cell r="BY1063">
            <v>3</v>
          </cell>
          <cell r="BZ1063">
            <v>3</v>
          </cell>
          <cell r="CA1063">
            <v>3</v>
          </cell>
          <cell r="CB1063">
            <v>3</v>
          </cell>
          <cell r="CC1063">
            <v>8</v>
          </cell>
          <cell r="CD1063">
            <v>4</v>
          </cell>
          <cell r="CE1063">
            <v>0</v>
          </cell>
          <cell r="CF1063">
            <v>4</v>
          </cell>
          <cell r="CG1063">
            <v>4</v>
          </cell>
          <cell r="CH1063">
            <v>4</v>
          </cell>
          <cell r="CI1063">
            <v>4</v>
          </cell>
          <cell r="CJ1063">
            <v>0</v>
          </cell>
          <cell r="CK1063">
            <v>3</v>
          </cell>
          <cell r="CL1063">
            <v>3</v>
          </cell>
          <cell r="CM1063">
            <v>3</v>
          </cell>
          <cell r="CR1063">
            <v>0</v>
          </cell>
          <cell r="CS1063">
            <v>0</v>
          </cell>
          <cell r="CT1063">
            <v>65</v>
          </cell>
          <cell r="CU1063">
            <v>8</v>
          </cell>
          <cell r="CV1063">
            <v>0</v>
          </cell>
          <cell r="CZ1063">
            <v>73</v>
          </cell>
        </row>
        <row r="1064">
          <cell r="C1064" t="str">
            <v>04686</v>
          </cell>
          <cell r="D1064" t="str">
            <v>Diệp Chí Hào</v>
          </cell>
          <cell r="E1064" t="str">
            <v>Production</v>
          </cell>
          <cell r="F1064" t="str">
            <v>Lamination</v>
          </cell>
          <cell r="G1064" t="str">
            <v>Worker</v>
          </cell>
          <cell r="H1064">
            <v>45859</v>
          </cell>
          <cell r="I1064">
            <v>8</v>
          </cell>
          <cell r="J1064">
            <v>8</v>
          </cell>
          <cell r="K1064">
            <v>8</v>
          </cell>
          <cell r="L1064" t="str">
            <v>CN</v>
          </cell>
          <cell r="M1064">
            <v>8</v>
          </cell>
          <cell r="N1064">
            <v>8</v>
          </cell>
          <cell r="O1064">
            <v>8</v>
          </cell>
          <cell r="P1064">
            <v>8</v>
          </cell>
          <cell r="Q1064">
            <v>8</v>
          </cell>
          <cell r="R1064">
            <v>8</v>
          </cell>
          <cell r="S1064" t="str">
            <v>CN</v>
          </cell>
          <cell r="T1064">
            <v>8</v>
          </cell>
          <cell r="U1064">
            <v>8</v>
          </cell>
          <cell r="V1064">
            <v>8</v>
          </cell>
          <cell r="W1064">
            <v>8</v>
          </cell>
          <cell r="X1064" t="str">
            <v>CN</v>
          </cell>
          <cell r="Y1064">
            <v>8</v>
          </cell>
          <cell r="Z1064" t="str">
            <v>Đ</v>
          </cell>
          <cell r="AA1064" t="str">
            <v>Đ</v>
          </cell>
          <cell r="AB1064" t="str">
            <v>Đ</v>
          </cell>
          <cell r="AC1064" t="str">
            <v>Đ</v>
          </cell>
          <cell r="AD1064" t="str">
            <v>Đ</v>
          </cell>
          <cell r="AE1064" t="str">
            <v>CN</v>
          </cell>
          <cell r="AF1064">
            <v>8</v>
          </cell>
          <cell r="AG1064" t="str">
            <v>Đ</v>
          </cell>
          <cell r="AH1064" t="str">
            <v>Đ</v>
          </cell>
          <cell r="AI1064" t="str">
            <v>Đ</v>
          </cell>
          <cell r="AJ1064" t="str">
            <v>Đ</v>
          </cell>
          <cell r="AN1064">
            <v>72</v>
          </cell>
          <cell r="AO1064">
            <v>120</v>
          </cell>
          <cell r="AP1064">
            <v>0</v>
          </cell>
          <cell r="AQ1064">
            <v>0</v>
          </cell>
          <cell r="AR1064">
            <v>0</v>
          </cell>
          <cell r="AS1064">
            <v>0</v>
          </cell>
          <cell r="AT1064">
            <v>0</v>
          </cell>
          <cell r="AU1064">
            <v>0</v>
          </cell>
          <cell r="AV1064">
            <v>0</v>
          </cell>
          <cell r="AW1064">
            <v>0</v>
          </cell>
          <cell r="AX1064">
            <v>0</v>
          </cell>
          <cell r="AY1064">
            <v>0</v>
          </cell>
          <cell r="AZ1064">
            <v>0</v>
          </cell>
          <cell r="BA1064">
            <v>0</v>
          </cell>
          <cell r="BB1064">
            <v>0</v>
          </cell>
          <cell r="BC1064">
            <v>0</v>
          </cell>
          <cell r="BD1064">
            <v>0</v>
          </cell>
          <cell r="BE1064">
            <v>0</v>
          </cell>
          <cell r="BF1064">
            <v>0</v>
          </cell>
          <cell r="BG1064">
            <v>192</v>
          </cell>
          <cell r="BH1064">
            <v>0</v>
          </cell>
          <cell r="BI1064">
            <v>0</v>
          </cell>
          <cell r="BJ1064">
            <v>4.5</v>
          </cell>
          <cell r="BL1064">
            <v>0</v>
          </cell>
          <cell r="BM1064">
            <v>0</v>
          </cell>
          <cell r="BN1064">
            <v>0</v>
          </cell>
          <cell r="BO1064">
            <v>0</v>
          </cell>
          <cell r="BP1064">
            <v>0</v>
          </cell>
          <cell r="BQ1064">
            <v>4</v>
          </cell>
          <cell r="BR1064">
            <v>0</v>
          </cell>
          <cell r="BS1064">
            <v>4</v>
          </cell>
          <cell r="BT1064">
            <v>0</v>
          </cell>
          <cell r="BU1064">
            <v>4</v>
          </cell>
          <cell r="BV1064">
            <v>0</v>
          </cell>
          <cell r="BW1064">
            <v>0</v>
          </cell>
          <cell r="BX1064">
            <v>0</v>
          </cell>
          <cell r="BY1064">
            <v>4</v>
          </cell>
          <cell r="BZ1064">
            <v>0</v>
          </cell>
          <cell r="CA1064">
            <v>0</v>
          </cell>
          <cell r="CB1064">
            <v>4</v>
          </cell>
          <cell r="CC1064">
            <v>4</v>
          </cell>
          <cell r="CD1064">
            <v>0</v>
          </cell>
          <cell r="CE1064">
            <v>0</v>
          </cell>
          <cell r="CF1064">
            <v>0</v>
          </cell>
          <cell r="CG1064">
            <v>4</v>
          </cell>
          <cell r="CH1064">
            <v>0</v>
          </cell>
          <cell r="CI1064">
            <v>4</v>
          </cell>
          <cell r="CJ1064">
            <v>4</v>
          </cell>
          <cell r="CK1064">
            <v>4</v>
          </cell>
          <cell r="CL1064">
            <v>0</v>
          </cell>
          <cell r="CM1064">
            <v>0</v>
          </cell>
          <cell r="CR1064">
            <v>0</v>
          </cell>
          <cell r="CS1064">
            <v>0</v>
          </cell>
          <cell r="CT1064">
            <v>40</v>
          </cell>
          <cell r="CU1064">
            <v>0</v>
          </cell>
          <cell r="CV1064">
            <v>0</v>
          </cell>
          <cell r="CZ1064">
            <v>40</v>
          </cell>
        </row>
        <row r="1065">
          <cell r="C1065" t="str">
            <v>04687</v>
          </cell>
          <cell r="D1065" t="str">
            <v>Nguyễn Khánh Linh</v>
          </cell>
          <cell r="E1065" t="str">
            <v>Production</v>
          </cell>
          <cell r="F1065" t="str">
            <v>Lamination</v>
          </cell>
          <cell r="G1065" t="str">
            <v>Worker</v>
          </cell>
          <cell r="H1065">
            <v>45859</v>
          </cell>
          <cell r="I1065">
            <v>8</v>
          </cell>
          <cell r="J1065">
            <v>8</v>
          </cell>
          <cell r="K1065">
            <v>8</v>
          </cell>
          <cell r="L1065" t="str">
            <v>CN</v>
          </cell>
          <cell r="M1065">
            <v>8</v>
          </cell>
          <cell r="N1065">
            <v>8</v>
          </cell>
          <cell r="O1065">
            <v>8</v>
          </cell>
          <cell r="P1065">
            <v>8</v>
          </cell>
          <cell r="Q1065">
            <v>8</v>
          </cell>
          <cell r="R1065">
            <v>8</v>
          </cell>
          <cell r="S1065" t="str">
            <v>CN</v>
          </cell>
          <cell r="T1065" t="str">
            <v>Đ</v>
          </cell>
          <cell r="U1065" t="str">
            <v>Đ</v>
          </cell>
          <cell r="V1065" t="str">
            <v>Đ</v>
          </cell>
          <cell r="W1065" t="str">
            <v>Đ</v>
          </cell>
          <cell r="X1065" t="str">
            <v>Đ</v>
          </cell>
          <cell r="Y1065" t="str">
            <v>Đ</v>
          </cell>
          <cell r="Z1065" t="str">
            <v>CN</v>
          </cell>
          <cell r="AA1065" t="str">
            <v>Đ</v>
          </cell>
          <cell r="AB1065" t="str">
            <v>Đ</v>
          </cell>
          <cell r="AC1065" t="str">
            <v>Đ</v>
          </cell>
          <cell r="AD1065" t="str">
            <v>Đ</v>
          </cell>
          <cell r="AE1065" t="str">
            <v>CN</v>
          </cell>
          <cell r="AF1065">
            <v>8</v>
          </cell>
          <cell r="AG1065" t="str">
            <v>Đ</v>
          </cell>
          <cell r="AH1065" t="str">
            <v>Đ</v>
          </cell>
          <cell r="AI1065" t="str">
            <v>Đ</v>
          </cell>
          <cell r="AJ1065" t="str">
            <v>Đ</v>
          </cell>
          <cell r="AN1065">
            <v>112</v>
          </cell>
          <cell r="AO1065">
            <v>80</v>
          </cell>
          <cell r="AP1065">
            <v>0</v>
          </cell>
          <cell r="AQ1065">
            <v>0</v>
          </cell>
          <cell r="AR1065">
            <v>0</v>
          </cell>
          <cell r="AS1065">
            <v>0</v>
          </cell>
          <cell r="AT1065">
            <v>0</v>
          </cell>
          <cell r="AU1065">
            <v>0</v>
          </cell>
          <cell r="AV1065">
            <v>0</v>
          </cell>
          <cell r="AW1065">
            <v>0</v>
          </cell>
          <cell r="AX1065">
            <v>0</v>
          </cell>
          <cell r="AY1065">
            <v>0</v>
          </cell>
          <cell r="AZ1065">
            <v>0</v>
          </cell>
          <cell r="BA1065">
            <v>0</v>
          </cell>
          <cell r="BB1065">
            <v>0</v>
          </cell>
          <cell r="BC1065">
            <v>0</v>
          </cell>
          <cell r="BD1065">
            <v>0</v>
          </cell>
          <cell r="BE1065">
            <v>0</v>
          </cell>
          <cell r="BF1065">
            <v>0</v>
          </cell>
          <cell r="BG1065">
            <v>192</v>
          </cell>
          <cell r="BH1065">
            <v>0</v>
          </cell>
          <cell r="BI1065">
            <v>0</v>
          </cell>
          <cell r="BJ1065">
            <v>5.5</v>
          </cell>
          <cell r="BL1065">
            <v>4</v>
          </cell>
          <cell r="BM1065">
            <v>0</v>
          </cell>
          <cell r="BN1065">
            <v>4</v>
          </cell>
          <cell r="BO1065">
            <v>0</v>
          </cell>
          <cell r="BP1065">
            <v>0</v>
          </cell>
          <cell r="BQ1065">
            <v>0</v>
          </cell>
          <cell r="BR1065">
            <v>4</v>
          </cell>
          <cell r="BS1065">
            <v>0</v>
          </cell>
          <cell r="BT1065">
            <v>4</v>
          </cell>
          <cell r="BU1065">
            <v>0</v>
          </cell>
          <cell r="BV1065">
            <v>0</v>
          </cell>
          <cell r="BW1065">
            <v>0</v>
          </cell>
          <cell r="BX1065">
            <v>0</v>
          </cell>
          <cell r="BY1065">
            <v>0</v>
          </cell>
          <cell r="BZ1065">
            <v>4</v>
          </cell>
          <cell r="CA1065">
            <v>0</v>
          </cell>
          <cell r="CB1065">
            <v>4</v>
          </cell>
          <cell r="CC1065">
            <v>0</v>
          </cell>
          <cell r="CD1065">
            <v>0</v>
          </cell>
          <cell r="CE1065">
            <v>0</v>
          </cell>
          <cell r="CF1065">
            <v>4</v>
          </cell>
          <cell r="CG1065">
            <v>0</v>
          </cell>
          <cell r="CH1065">
            <v>0</v>
          </cell>
          <cell r="CI1065">
            <v>4</v>
          </cell>
          <cell r="CJ1065">
            <v>4</v>
          </cell>
          <cell r="CK1065">
            <v>0</v>
          </cell>
          <cell r="CL1065">
            <v>4</v>
          </cell>
          <cell r="CM1065">
            <v>0</v>
          </cell>
          <cell r="CR1065">
            <v>0</v>
          </cell>
          <cell r="CS1065">
            <v>0</v>
          </cell>
          <cell r="CT1065">
            <v>40</v>
          </cell>
          <cell r="CU1065">
            <v>0</v>
          </cell>
          <cell r="CV1065">
            <v>0</v>
          </cell>
          <cell r="CZ1065">
            <v>40</v>
          </cell>
        </row>
        <row r="1066">
          <cell r="C1066" t="str">
            <v>04688</v>
          </cell>
          <cell r="D1066" t="str">
            <v>Trần Quang Minh</v>
          </cell>
          <cell r="E1066" t="str">
            <v>Production</v>
          </cell>
          <cell r="F1066" t="str">
            <v>Die Cut</v>
          </cell>
          <cell r="G1066" t="str">
            <v>Worker</v>
          </cell>
          <cell r="H1066">
            <v>45859</v>
          </cell>
          <cell r="I1066" t="str">
            <v>Đ</v>
          </cell>
          <cell r="J1066" t="str">
            <v>Đ</v>
          </cell>
          <cell r="K1066" t="str">
            <v>Đ</v>
          </cell>
          <cell r="L1066" t="str">
            <v>CN</v>
          </cell>
          <cell r="M1066">
            <v>8</v>
          </cell>
          <cell r="N1066">
            <v>8</v>
          </cell>
          <cell r="O1066">
            <v>8</v>
          </cell>
          <cell r="P1066">
            <v>8</v>
          </cell>
          <cell r="Q1066">
            <v>8</v>
          </cell>
          <cell r="R1066">
            <v>8</v>
          </cell>
          <cell r="S1066" t="str">
            <v>CN</v>
          </cell>
          <cell r="T1066" t="str">
            <v>Đ</v>
          </cell>
          <cell r="U1066" t="str">
            <v>Đ</v>
          </cell>
          <cell r="V1066" t="str">
            <v>Đ</v>
          </cell>
          <cell r="W1066" t="str">
            <v>Đ</v>
          </cell>
          <cell r="X1066" t="str">
            <v>Đ</v>
          </cell>
          <cell r="Y1066" t="str">
            <v>Đ</v>
          </cell>
          <cell r="Z1066" t="str">
            <v>CN</v>
          </cell>
          <cell r="AA1066">
            <v>8</v>
          </cell>
          <cell r="AB1066">
            <v>8</v>
          </cell>
          <cell r="AC1066">
            <v>8</v>
          </cell>
          <cell r="AD1066">
            <v>8</v>
          </cell>
          <cell r="AE1066">
            <v>8</v>
          </cell>
          <cell r="AF1066">
            <v>8</v>
          </cell>
          <cell r="AG1066" t="str">
            <v>CN</v>
          </cell>
          <cell r="AH1066" t="str">
            <v>Đ</v>
          </cell>
          <cell r="AI1066" t="str">
            <v>Đ</v>
          </cell>
          <cell r="AJ1066" t="str">
            <v>AL8</v>
          </cell>
          <cell r="AN1066">
            <v>88</v>
          </cell>
          <cell r="AO1066">
            <v>96</v>
          </cell>
          <cell r="AP1066">
            <v>0</v>
          </cell>
          <cell r="AQ1066">
            <v>0</v>
          </cell>
          <cell r="AR1066">
            <v>0</v>
          </cell>
          <cell r="AS1066">
            <v>0</v>
          </cell>
          <cell r="AT1066">
            <v>0</v>
          </cell>
          <cell r="AU1066">
            <v>0</v>
          </cell>
          <cell r="AV1066">
            <v>0</v>
          </cell>
          <cell r="AW1066">
            <v>0</v>
          </cell>
          <cell r="AX1066">
            <v>0</v>
          </cell>
          <cell r="AY1066">
            <v>0</v>
          </cell>
          <cell r="AZ1066">
            <v>0</v>
          </cell>
          <cell r="BA1066">
            <v>8</v>
          </cell>
          <cell r="BB1066">
            <v>0</v>
          </cell>
          <cell r="BC1066">
            <v>0</v>
          </cell>
          <cell r="BD1066">
            <v>0</v>
          </cell>
          <cell r="BE1066">
            <v>0</v>
          </cell>
          <cell r="BF1066">
            <v>0</v>
          </cell>
          <cell r="BG1066">
            <v>192</v>
          </cell>
          <cell r="BH1066">
            <v>1</v>
          </cell>
          <cell r="BI1066">
            <v>1</v>
          </cell>
          <cell r="BJ1066">
            <v>0</v>
          </cell>
          <cell r="BL1066">
            <v>1.5</v>
          </cell>
          <cell r="BM1066">
            <v>1.5</v>
          </cell>
          <cell r="BN1066">
            <v>1.5</v>
          </cell>
          <cell r="BO1066">
            <v>0</v>
          </cell>
          <cell r="BP1066">
            <v>1.5</v>
          </cell>
          <cell r="BQ1066">
            <v>0</v>
          </cell>
          <cell r="BR1066">
            <v>0</v>
          </cell>
          <cell r="BS1066">
            <v>3</v>
          </cell>
          <cell r="BT1066">
            <v>3</v>
          </cell>
          <cell r="BU1066">
            <v>3</v>
          </cell>
          <cell r="BV1066">
            <v>0</v>
          </cell>
          <cell r="BW1066">
            <v>4</v>
          </cell>
          <cell r="BX1066">
            <v>4</v>
          </cell>
          <cell r="BY1066">
            <v>4</v>
          </cell>
          <cell r="BZ1066">
            <v>4</v>
          </cell>
          <cell r="CA1066">
            <v>4</v>
          </cell>
          <cell r="CB1066">
            <v>4</v>
          </cell>
          <cell r="CC1066">
            <v>0</v>
          </cell>
          <cell r="CD1066">
            <v>3</v>
          </cell>
          <cell r="CE1066">
            <v>3</v>
          </cell>
          <cell r="CF1066">
            <v>3</v>
          </cell>
          <cell r="CG1066">
            <v>3</v>
          </cell>
          <cell r="CH1066">
            <v>3</v>
          </cell>
          <cell r="CI1066">
            <v>3</v>
          </cell>
          <cell r="CJ1066">
            <v>8</v>
          </cell>
          <cell r="CK1066">
            <v>4</v>
          </cell>
          <cell r="CL1066">
            <v>4</v>
          </cell>
          <cell r="CM1066">
            <v>0</v>
          </cell>
          <cell r="CR1066">
            <v>0</v>
          </cell>
          <cell r="CS1066">
            <v>0</v>
          </cell>
          <cell r="CT1066">
            <v>65</v>
          </cell>
          <cell r="CU1066">
            <v>8</v>
          </cell>
          <cell r="CV1066">
            <v>0</v>
          </cell>
          <cell r="CZ1066">
            <v>73</v>
          </cell>
        </row>
        <row r="1067">
          <cell r="C1067" t="str">
            <v>04689</v>
          </cell>
          <cell r="D1067" t="str">
            <v>Mã Thị Thu Thảo</v>
          </cell>
          <cell r="E1067" t="str">
            <v>Production</v>
          </cell>
          <cell r="F1067" t="str">
            <v>Logo</v>
          </cell>
          <cell r="G1067" t="str">
            <v>Worker</v>
          </cell>
          <cell r="H1067">
            <v>45859</v>
          </cell>
          <cell r="I1067">
            <v>8</v>
          </cell>
          <cell r="J1067">
            <v>8</v>
          </cell>
          <cell r="K1067">
            <v>8</v>
          </cell>
          <cell r="L1067" t="str">
            <v>CN</v>
          </cell>
          <cell r="M1067" t="str">
            <v>M</v>
          </cell>
          <cell r="N1067">
            <v>8</v>
          </cell>
          <cell r="O1067">
            <v>8</v>
          </cell>
          <cell r="P1067">
            <v>8</v>
          </cell>
          <cell r="Q1067">
            <v>8</v>
          </cell>
          <cell r="R1067">
            <v>8</v>
          </cell>
          <cell r="S1067" t="str">
            <v>CN</v>
          </cell>
          <cell r="T1067">
            <v>8</v>
          </cell>
          <cell r="U1067">
            <v>8</v>
          </cell>
          <cell r="V1067">
            <v>8</v>
          </cell>
          <cell r="W1067">
            <v>8</v>
          </cell>
          <cell r="X1067">
            <v>8</v>
          </cell>
          <cell r="Y1067">
            <v>8</v>
          </cell>
          <cell r="Z1067" t="str">
            <v>CN</v>
          </cell>
          <cell r="AA1067">
            <v>8</v>
          </cell>
          <cell r="AB1067">
            <v>8</v>
          </cell>
          <cell r="AC1067" t="str">
            <v>S</v>
          </cell>
          <cell r="AD1067">
            <v>8</v>
          </cell>
          <cell r="AE1067">
            <v>8</v>
          </cell>
          <cell r="AF1067">
            <v>8</v>
          </cell>
          <cell r="AG1067" t="str">
            <v>CN</v>
          </cell>
          <cell r="AH1067">
            <v>8</v>
          </cell>
          <cell r="AI1067">
            <v>8</v>
          </cell>
          <cell r="AJ1067">
            <v>8</v>
          </cell>
          <cell r="AN1067">
            <v>0</v>
          </cell>
          <cell r="AO1067">
            <v>176</v>
          </cell>
          <cell r="AP1067">
            <v>0</v>
          </cell>
          <cell r="AQ1067">
            <v>0</v>
          </cell>
          <cell r="AR1067">
            <v>0</v>
          </cell>
          <cell r="AS1067">
            <v>0</v>
          </cell>
          <cell r="AT1067">
            <v>0</v>
          </cell>
          <cell r="AU1067">
            <v>0</v>
          </cell>
          <cell r="AV1067">
            <v>0</v>
          </cell>
          <cell r="AW1067">
            <v>8</v>
          </cell>
          <cell r="AX1067">
            <v>8</v>
          </cell>
          <cell r="AY1067">
            <v>0</v>
          </cell>
          <cell r="AZ1067">
            <v>0</v>
          </cell>
          <cell r="BA1067">
            <v>0</v>
          </cell>
          <cell r="BB1067">
            <v>0</v>
          </cell>
          <cell r="BC1067">
            <v>0</v>
          </cell>
          <cell r="BD1067">
            <v>0</v>
          </cell>
          <cell r="BE1067">
            <v>0</v>
          </cell>
          <cell r="BF1067">
            <v>0</v>
          </cell>
          <cell r="BG1067">
            <v>184</v>
          </cell>
          <cell r="BH1067">
            <v>0</v>
          </cell>
          <cell r="BI1067">
            <v>0</v>
          </cell>
          <cell r="BJ1067">
            <v>1</v>
          </cell>
          <cell r="BL1067">
            <v>0</v>
          </cell>
          <cell r="BM1067">
            <v>0</v>
          </cell>
          <cell r="BN1067">
            <v>0</v>
          </cell>
          <cell r="BO1067">
            <v>0</v>
          </cell>
          <cell r="BP1067">
            <v>0</v>
          </cell>
          <cell r="BQ1067">
            <v>0</v>
          </cell>
          <cell r="BR1067">
            <v>0</v>
          </cell>
          <cell r="BS1067">
            <v>0</v>
          </cell>
          <cell r="BT1067">
            <v>0</v>
          </cell>
          <cell r="BU1067">
            <v>0</v>
          </cell>
          <cell r="BV1067">
            <v>0</v>
          </cell>
          <cell r="BW1067">
            <v>0</v>
          </cell>
          <cell r="BX1067">
            <v>0</v>
          </cell>
          <cell r="BY1067">
            <v>0</v>
          </cell>
          <cell r="BZ1067">
            <v>0</v>
          </cell>
          <cell r="CA1067">
            <v>0</v>
          </cell>
          <cell r="CB1067">
            <v>0</v>
          </cell>
          <cell r="CC1067">
            <v>8</v>
          </cell>
          <cell r="CD1067">
            <v>0</v>
          </cell>
          <cell r="CE1067">
            <v>0</v>
          </cell>
          <cell r="CF1067">
            <v>0</v>
          </cell>
          <cell r="CG1067">
            <v>0</v>
          </cell>
          <cell r="CH1067">
            <v>0</v>
          </cell>
          <cell r="CI1067">
            <v>0</v>
          </cell>
          <cell r="CJ1067">
            <v>0</v>
          </cell>
          <cell r="CK1067">
            <v>0</v>
          </cell>
          <cell r="CL1067">
            <v>0</v>
          </cell>
          <cell r="CM1067">
            <v>0</v>
          </cell>
          <cell r="CR1067">
            <v>0</v>
          </cell>
          <cell r="CS1067">
            <v>0</v>
          </cell>
          <cell r="CT1067">
            <v>0</v>
          </cell>
          <cell r="CU1067">
            <v>8</v>
          </cell>
          <cell r="CV1067">
            <v>0</v>
          </cell>
          <cell r="CZ1067">
            <v>8</v>
          </cell>
        </row>
        <row r="1068">
          <cell r="C1068" t="str">
            <v>04692</v>
          </cell>
          <cell r="D1068" t="str">
            <v>Phạm Duy Khánh</v>
          </cell>
          <cell r="E1068" t="str">
            <v>Production</v>
          </cell>
          <cell r="F1068" t="str">
            <v>Logo Making</v>
          </cell>
          <cell r="G1068" t="str">
            <v>Operator</v>
          </cell>
          <cell r="H1068">
            <v>45859</v>
          </cell>
          <cell r="I1068" t="str">
            <v>AL8</v>
          </cell>
          <cell r="J1068">
            <v>8</v>
          </cell>
          <cell r="K1068" t="str">
            <v>CN</v>
          </cell>
          <cell r="L1068" t="str">
            <v>Đ</v>
          </cell>
          <cell r="M1068" t="str">
            <v>Đ</v>
          </cell>
          <cell r="N1068" t="str">
            <v>Đ</v>
          </cell>
          <cell r="O1068" t="str">
            <v>Đ</v>
          </cell>
          <cell r="P1068" t="str">
            <v>Đ</v>
          </cell>
          <cell r="Q1068" t="str">
            <v>Đ</v>
          </cell>
          <cell r="R1068" t="str">
            <v>CN</v>
          </cell>
          <cell r="S1068">
            <v>8</v>
          </cell>
          <cell r="T1068">
            <v>8</v>
          </cell>
          <cell r="U1068">
            <v>8</v>
          </cell>
          <cell r="V1068">
            <v>8</v>
          </cell>
          <cell r="W1068">
            <v>8</v>
          </cell>
          <cell r="X1068">
            <v>8</v>
          </cell>
          <cell r="Y1068" t="str">
            <v>CN</v>
          </cell>
          <cell r="Z1068" t="str">
            <v>Đ</v>
          </cell>
          <cell r="AA1068" t="str">
            <v>Đ</v>
          </cell>
          <cell r="AB1068" t="str">
            <v>Đ</v>
          </cell>
          <cell r="AC1068" t="str">
            <v>Đ</v>
          </cell>
          <cell r="AD1068" t="str">
            <v>Đ</v>
          </cell>
          <cell r="AE1068" t="str">
            <v>Đ</v>
          </cell>
          <cell r="AF1068" t="str">
            <v>CN</v>
          </cell>
          <cell r="AG1068">
            <v>8</v>
          </cell>
          <cell r="AH1068">
            <v>8</v>
          </cell>
          <cell r="AI1068" t="str">
            <v>AL8</v>
          </cell>
          <cell r="AJ1068">
            <v>8</v>
          </cell>
          <cell r="AN1068">
            <v>96</v>
          </cell>
          <cell r="AO1068">
            <v>80</v>
          </cell>
          <cell r="AP1068">
            <v>0</v>
          </cell>
          <cell r="AQ1068">
            <v>0</v>
          </cell>
          <cell r="AR1068">
            <v>0</v>
          </cell>
          <cell r="AS1068">
            <v>0</v>
          </cell>
          <cell r="AT1068">
            <v>0</v>
          </cell>
          <cell r="AU1068">
            <v>0</v>
          </cell>
          <cell r="AV1068">
            <v>0</v>
          </cell>
          <cell r="AW1068">
            <v>0</v>
          </cell>
          <cell r="AX1068">
            <v>0</v>
          </cell>
          <cell r="AY1068">
            <v>0</v>
          </cell>
          <cell r="AZ1068">
            <v>0</v>
          </cell>
          <cell r="BA1068">
            <v>16</v>
          </cell>
          <cell r="BB1068">
            <v>0</v>
          </cell>
          <cell r="BC1068">
            <v>0</v>
          </cell>
          <cell r="BD1068">
            <v>0</v>
          </cell>
          <cell r="BE1068">
            <v>0</v>
          </cell>
          <cell r="BF1068">
            <v>0</v>
          </cell>
          <cell r="BG1068">
            <v>192</v>
          </cell>
          <cell r="BH1068">
            <v>2</v>
          </cell>
          <cell r="BI1068">
            <v>2</v>
          </cell>
          <cell r="BJ1068">
            <v>-4.5</v>
          </cell>
          <cell r="BL1068">
            <v>0</v>
          </cell>
          <cell r="BM1068">
            <v>3</v>
          </cell>
          <cell r="BN1068">
            <v>0</v>
          </cell>
          <cell r="BO1068">
            <v>4</v>
          </cell>
          <cell r="BP1068">
            <v>0</v>
          </cell>
          <cell r="BQ1068">
            <v>0</v>
          </cell>
          <cell r="BR1068">
            <v>0</v>
          </cell>
          <cell r="BS1068">
            <v>3</v>
          </cell>
          <cell r="BT1068">
            <v>2</v>
          </cell>
          <cell r="BU1068">
            <v>0</v>
          </cell>
          <cell r="BV1068">
            <v>3</v>
          </cell>
          <cell r="BW1068">
            <v>0</v>
          </cell>
          <cell r="BX1068">
            <v>0</v>
          </cell>
          <cell r="BY1068">
            <v>3</v>
          </cell>
          <cell r="BZ1068">
            <v>0</v>
          </cell>
          <cell r="CA1068">
            <v>4</v>
          </cell>
          <cell r="CB1068">
            <v>0</v>
          </cell>
          <cell r="CC1068">
            <v>4</v>
          </cell>
          <cell r="CD1068">
            <v>0</v>
          </cell>
          <cell r="CE1068">
            <v>0</v>
          </cell>
          <cell r="CF1068">
            <v>0</v>
          </cell>
          <cell r="CG1068">
            <v>0</v>
          </cell>
          <cell r="CH1068">
            <v>4</v>
          </cell>
          <cell r="CI1068">
            <v>0</v>
          </cell>
          <cell r="CJ1068">
            <v>3</v>
          </cell>
          <cell r="CK1068">
            <v>0</v>
          </cell>
          <cell r="CL1068">
            <v>0</v>
          </cell>
          <cell r="CM1068">
            <v>3</v>
          </cell>
          <cell r="CR1068">
            <v>0</v>
          </cell>
          <cell r="CS1068">
            <v>0</v>
          </cell>
          <cell r="CT1068">
            <v>36</v>
          </cell>
          <cell r="CU1068">
            <v>0</v>
          </cell>
          <cell r="CV1068">
            <v>0</v>
          </cell>
          <cell r="CZ1068">
            <v>36</v>
          </cell>
        </row>
        <row r="1069">
          <cell r="C1069" t="str">
            <v>04693</v>
          </cell>
          <cell r="D1069" t="str">
            <v>Nguyễn Quang Vinh</v>
          </cell>
          <cell r="E1069" t="str">
            <v>IT</v>
          </cell>
          <cell r="F1069" t="str">
            <v>IT</v>
          </cell>
          <cell r="G1069" t="str">
            <v>IT Engineer</v>
          </cell>
          <cell r="H1069">
            <v>45859</v>
          </cell>
          <cell r="I1069">
            <v>8</v>
          </cell>
          <cell r="J1069">
            <v>8</v>
          </cell>
          <cell r="K1069" t="str">
            <v>PO</v>
          </cell>
          <cell r="L1069" t="str">
            <v>CN</v>
          </cell>
          <cell r="M1069">
            <v>8</v>
          </cell>
          <cell r="N1069">
            <v>8</v>
          </cell>
          <cell r="O1069">
            <v>8</v>
          </cell>
          <cell r="P1069">
            <v>8</v>
          </cell>
          <cell r="Q1069">
            <v>8</v>
          </cell>
          <cell r="R1069" t="str">
            <v>PO</v>
          </cell>
          <cell r="S1069" t="str">
            <v>CN</v>
          </cell>
          <cell r="T1069">
            <v>8</v>
          </cell>
          <cell r="U1069">
            <v>8</v>
          </cell>
          <cell r="V1069">
            <v>8</v>
          </cell>
          <cell r="W1069">
            <v>8</v>
          </cell>
          <cell r="X1069">
            <v>8</v>
          </cell>
          <cell r="Y1069" t="str">
            <v>PO</v>
          </cell>
          <cell r="Z1069" t="str">
            <v>CN</v>
          </cell>
          <cell r="AA1069">
            <v>8</v>
          </cell>
          <cell r="AB1069">
            <v>8</v>
          </cell>
          <cell r="AC1069">
            <v>8</v>
          </cell>
          <cell r="AD1069">
            <v>8</v>
          </cell>
          <cell r="AE1069">
            <v>8</v>
          </cell>
          <cell r="AF1069" t="str">
            <v>PO</v>
          </cell>
          <cell r="AG1069" t="str">
            <v>CN</v>
          </cell>
          <cell r="AH1069">
            <v>8</v>
          </cell>
          <cell r="AI1069">
            <v>8</v>
          </cell>
          <cell r="AJ1069" t="str">
            <v>AL8</v>
          </cell>
          <cell r="AN1069">
            <v>0</v>
          </cell>
          <cell r="AO1069">
            <v>152</v>
          </cell>
          <cell r="AP1069">
            <v>0</v>
          </cell>
          <cell r="AQ1069">
            <v>0</v>
          </cell>
          <cell r="AR1069">
            <v>0</v>
          </cell>
          <cell r="AS1069">
            <v>0</v>
          </cell>
          <cell r="AT1069">
            <v>0</v>
          </cell>
          <cell r="AU1069">
            <v>0</v>
          </cell>
          <cell r="AV1069">
            <v>32</v>
          </cell>
          <cell r="AW1069">
            <v>0</v>
          </cell>
          <cell r="AX1069">
            <v>0</v>
          </cell>
          <cell r="AY1069">
            <v>0</v>
          </cell>
          <cell r="AZ1069">
            <v>0</v>
          </cell>
          <cell r="BA1069">
            <v>8</v>
          </cell>
          <cell r="BB1069">
            <v>0</v>
          </cell>
          <cell r="BC1069">
            <v>0</v>
          </cell>
          <cell r="BD1069">
            <v>0</v>
          </cell>
          <cell r="BE1069">
            <v>0</v>
          </cell>
          <cell r="BF1069">
            <v>0</v>
          </cell>
          <cell r="BG1069">
            <v>192</v>
          </cell>
          <cell r="BH1069">
            <v>1</v>
          </cell>
          <cell r="BI1069">
            <v>1</v>
          </cell>
          <cell r="BJ1069">
            <v>1</v>
          </cell>
          <cell r="BL1069">
            <v>0</v>
          </cell>
          <cell r="BM1069">
            <v>0</v>
          </cell>
          <cell r="BN1069">
            <v>0</v>
          </cell>
          <cell r="BO1069">
            <v>0</v>
          </cell>
          <cell r="BP1069">
            <v>0</v>
          </cell>
          <cell r="BQ1069">
            <v>0</v>
          </cell>
          <cell r="BR1069">
            <v>0</v>
          </cell>
          <cell r="BS1069">
            <v>0</v>
          </cell>
          <cell r="BT1069">
            <v>0</v>
          </cell>
          <cell r="BU1069">
            <v>0</v>
          </cell>
          <cell r="BV1069">
            <v>0</v>
          </cell>
          <cell r="BW1069">
            <v>0</v>
          </cell>
          <cell r="BX1069">
            <v>0</v>
          </cell>
          <cell r="BY1069">
            <v>0</v>
          </cell>
          <cell r="BZ1069">
            <v>0</v>
          </cell>
          <cell r="CA1069">
            <v>0</v>
          </cell>
          <cell r="CB1069">
            <v>0</v>
          </cell>
          <cell r="CC1069">
            <v>0</v>
          </cell>
          <cell r="CD1069">
            <v>0</v>
          </cell>
          <cell r="CE1069">
            <v>0</v>
          </cell>
          <cell r="CF1069">
            <v>0</v>
          </cell>
          <cell r="CG1069">
            <v>0</v>
          </cell>
          <cell r="CH1069">
            <v>0</v>
          </cell>
          <cell r="CI1069">
            <v>0</v>
          </cell>
          <cell r="CJ1069">
            <v>0</v>
          </cell>
          <cell r="CK1069">
            <v>0</v>
          </cell>
          <cell r="CL1069">
            <v>0</v>
          </cell>
          <cell r="CM1069">
            <v>0</v>
          </cell>
          <cell r="CR1069">
            <v>0</v>
          </cell>
          <cell r="CS1069">
            <v>0</v>
          </cell>
          <cell r="CT1069">
            <v>0</v>
          </cell>
          <cell r="CU1069">
            <v>0</v>
          </cell>
          <cell r="CV1069">
            <v>0</v>
          </cell>
          <cell r="CZ1069">
            <v>0</v>
          </cell>
        </row>
        <row r="1070">
          <cell r="C1070" t="str">
            <v>01269</v>
          </cell>
          <cell r="D1070" t="str">
            <v>Nguyễn Hoàng My</v>
          </cell>
          <cell r="E1070" t="str">
            <v>PD</v>
          </cell>
          <cell r="F1070" t="str">
            <v>PD office</v>
          </cell>
          <cell r="G1070" t="str">
            <v>Group Leader</v>
          </cell>
          <cell r="H1070">
            <v>43237</v>
          </cell>
          <cell r="I1070">
            <v>8</v>
          </cell>
          <cell r="J1070">
            <v>8</v>
          </cell>
          <cell r="K1070" t="str">
            <v>PO</v>
          </cell>
          <cell r="L1070" t="str">
            <v>CN</v>
          </cell>
          <cell r="M1070">
            <v>8</v>
          </cell>
          <cell r="N1070">
            <v>8</v>
          </cell>
          <cell r="O1070">
            <v>8</v>
          </cell>
          <cell r="P1070">
            <v>8</v>
          </cell>
          <cell r="Q1070">
            <v>8</v>
          </cell>
          <cell r="R1070" t="str">
            <v>PO</v>
          </cell>
          <cell r="S1070" t="str">
            <v>CN</v>
          </cell>
          <cell r="T1070">
            <v>8</v>
          </cell>
          <cell r="U1070">
            <v>8</v>
          </cell>
          <cell r="V1070">
            <v>8</v>
          </cell>
          <cell r="W1070">
            <v>8</v>
          </cell>
          <cell r="X1070">
            <v>8</v>
          </cell>
          <cell r="Y1070" t="str">
            <v>PO</v>
          </cell>
          <cell r="Z1070" t="str">
            <v>CN</v>
          </cell>
          <cell r="AA1070">
            <v>8</v>
          </cell>
          <cell r="AB1070">
            <v>8</v>
          </cell>
          <cell r="AC1070">
            <v>8</v>
          </cell>
          <cell r="AD1070">
            <v>8</v>
          </cell>
          <cell r="AE1070">
            <v>8</v>
          </cell>
          <cell r="AF1070" t="str">
            <v>PO</v>
          </cell>
          <cell r="AG1070" t="str">
            <v>CN</v>
          </cell>
          <cell r="AH1070">
            <v>8</v>
          </cell>
          <cell r="AI1070">
            <v>8</v>
          </cell>
          <cell r="AJ1070">
            <v>8</v>
          </cell>
          <cell r="AN1070">
            <v>0</v>
          </cell>
          <cell r="AO1070">
            <v>160</v>
          </cell>
          <cell r="AP1070">
            <v>0</v>
          </cell>
          <cell r="AQ1070">
            <v>0</v>
          </cell>
          <cell r="AR1070">
            <v>0</v>
          </cell>
          <cell r="AS1070">
            <v>0</v>
          </cell>
          <cell r="AT1070">
            <v>0</v>
          </cell>
          <cell r="AU1070">
            <v>0</v>
          </cell>
          <cell r="AV1070">
            <v>32</v>
          </cell>
          <cell r="AW1070">
            <v>0</v>
          </cell>
          <cell r="AX1070">
            <v>0</v>
          </cell>
          <cell r="AY1070">
            <v>0</v>
          </cell>
          <cell r="AZ1070">
            <v>0</v>
          </cell>
          <cell r="BA1070">
            <v>0</v>
          </cell>
          <cell r="BB1070">
            <v>0</v>
          </cell>
          <cell r="BC1070">
            <v>0</v>
          </cell>
          <cell r="BD1070">
            <v>0</v>
          </cell>
          <cell r="BE1070">
            <v>0</v>
          </cell>
          <cell r="BF1070">
            <v>0</v>
          </cell>
          <cell r="BG1070">
            <v>192</v>
          </cell>
          <cell r="BH1070">
            <v>0</v>
          </cell>
          <cell r="BI1070">
            <v>0</v>
          </cell>
          <cell r="BJ1070">
            <v>5.5</v>
          </cell>
          <cell r="BL1070">
            <v>0</v>
          </cell>
          <cell r="BM1070">
            <v>0</v>
          </cell>
          <cell r="BN1070">
            <v>0</v>
          </cell>
          <cell r="BO1070">
            <v>0</v>
          </cell>
          <cell r="BP1070">
            <v>0</v>
          </cell>
          <cell r="BQ1070">
            <v>0</v>
          </cell>
          <cell r="BR1070">
            <v>0</v>
          </cell>
          <cell r="BS1070">
            <v>0</v>
          </cell>
          <cell r="BT1070">
            <v>0</v>
          </cell>
          <cell r="BU1070">
            <v>0</v>
          </cell>
          <cell r="BV1070">
            <v>0</v>
          </cell>
          <cell r="BW1070">
            <v>0</v>
          </cell>
          <cell r="BX1070">
            <v>0</v>
          </cell>
          <cell r="BY1070">
            <v>0</v>
          </cell>
          <cell r="BZ1070">
            <v>0</v>
          </cell>
          <cell r="CA1070">
            <v>0</v>
          </cell>
          <cell r="CB1070">
            <v>0</v>
          </cell>
          <cell r="CC1070">
            <v>0</v>
          </cell>
          <cell r="CD1070">
            <v>0</v>
          </cell>
          <cell r="CE1070">
            <v>0</v>
          </cell>
          <cell r="CF1070">
            <v>0</v>
          </cell>
          <cell r="CG1070">
            <v>0</v>
          </cell>
          <cell r="CH1070">
            <v>0</v>
          </cell>
          <cell r="CI1070">
            <v>0</v>
          </cell>
          <cell r="CJ1070">
            <v>0</v>
          </cell>
          <cell r="CK1070">
            <v>0</v>
          </cell>
          <cell r="CL1070">
            <v>0</v>
          </cell>
          <cell r="CM1070">
            <v>0</v>
          </cell>
          <cell r="CR1070">
            <v>0</v>
          </cell>
          <cell r="CS1070">
            <v>0</v>
          </cell>
          <cell r="CT1070">
            <v>0</v>
          </cell>
          <cell r="CU1070">
            <v>0</v>
          </cell>
          <cell r="CV1070">
            <v>0</v>
          </cell>
          <cell r="CZ1070">
            <v>0</v>
          </cell>
        </row>
        <row r="1071">
          <cell r="C1071" t="str">
            <v>04694</v>
          </cell>
          <cell r="D1071" t="str">
            <v>Phan Văn Phúc</v>
          </cell>
          <cell r="E1071" t="str">
            <v>Production</v>
          </cell>
          <cell r="F1071" t="str">
            <v>Die Cut</v>
          </cell>
          <cell r="G1071" t="str">
            <v>Worker</v>
          </cell>
          <cell r="H1071">
            <v>45866</v>
          </cell>
          <cell r="I1071" t="str">
            <v>Đ</v>
          </cell>
          <cell r="J1071" t="str">
            <v>Đ</v>
          </cell>
          <cell r="K1071" t="str">
            <v>AL8</v>
          </cell>
          <cell r="L1071" t="str">
            <v>CN</v>
          </cell>
          <cell r="M1071">
            <v>8</v>
          </cell>
          <cell r="N1071">
            <v>8</v>
          </cell>
          <cell r="O1071">
            <v>8</v>
          </cell>
          <cell r="P1071">
            <v>8</v>
          </cell>
          <cell r="Q1071">
            <v>8</v>
          </cell>
          <cell r="R1071">
            <v>8</v>
          </cell>
          <cell r="S1071" t="str">
            <v>CN</v>
          </cell>
          <cell r="T1071" t="str">
            <v>Đ</v>
          </cell>
          <cell r="U1071" t="str">
            <v>Đ</v>
          </cell>
          <cell r="V1071" t="str">
            <v>Đ</v>
          </cell>
          <cell r="W1071" t="str">
            <v>Đ</v>
          </cell>
          <cell r="X1071" t="str">
            <v>Đ</v>
          </cell>
          <cell r="Y1071" t="str">
            <v>Đ</v>
          </cell>
          <cell r="Z1071" t="str">
            <v>CN</v>
          </cell>
          <cell r="AA1071">
            <v>8</v>
          </cell>
          <cell r="AB1071">
            <v>8</v>
          </cell>
          <cell r="AC1071">
            <v>8</v>
          </cell>
          <cell r="AD1071">
            <v>8</v>
          </cell>
          <cell r="AE1071">
            <v>8</v>
          </cell>
          <cell r="AF1071">
            <v>8</v>
          </cell>
          <cell r="AG1071" t="str">
            <v>CN</v>
          </cell>
          <cell r="AH1071" t="str">
            <v>Đ</v>
          </cell>
          <cell r="AI1071" t="str">
            <v>Đ</v>
          </cell>
          <cell r="AJ1071" t="str">
            <v>Đ</v>
          </cell>
          <cell r="AN1071">
            <v>88</v>
          </cell>
          <cell r="AO1071">
            <v>96</v>
          </cell>
          <cell r="AP1071">
            <v>0</v>
          </cell>
          <cell r="AQ1071">
            <v>0</v>
          </cell>
          <cell r="AR1071">
            <v>0</v>
          </cell>
          <cell r="AS1071">
            <v>0</v>
          </cell>
          <cell r="AT1071">
            <v>0</v>
          </cell>
          <cell r="AU1071">
            <v>0</v>
          </cell>
          <cell r="AV1071">
            <v>0</v>
          </cell>
          <cell r="AW1071">
            <v>0</v>
          </cell>
          <cell r="AX1071">
            <v>0</v>
          </cell>
          <cell r="AY1071">
            <v>0</v>
          </cell>
          <cell r="AZ1071">
            <v>0</v>
          </cell>
          <cell r="BA1071">
            <v>8</v>
          </cell>
          <cell r="BB1071">
            <v>0</v>
          </cell>
          <cell r="BC1071">
            <v>0</v>
          </cell>
          <cell r="BD1071">
            <v>0</v>
          </cell>
          <cell r="BE1071">
            <v>0</v>
          </cell>
          <cell r="BF1071">
            <v>0</v>
          </cell>
          <cell r="BG1071">
            <v>192</v>
          </cell>
          <cell r="BH1071">
            <v>1</v>
          </cell>
          <cell r="BI1071">
            <v>1</v>
          </cell>
          <cell r="BJ1071">
            <v>1.5</v>
          </cell>
          <cell r="BL1071">
            <v>1.5</v>
          </cell>
          <cell r="BM1071">
            <v>1.5</v>
          </cell>
          <cell r="BN1071">
            <v>0</v>
          </cell>
          <cell r="BO1071">
            <v>0</v>
          </cell>
          <cell r="BP1071">
            <v>1.5</v>
          </cell>
          <cell r="BQ1071">
            <v>0</v>
          </cell>
          <cell r="BR1071">
            <v>0</v>
          </cell>
          <cell r="BS1071">
            <v>3</v>
          </cell>
          <cell r="BT1071">
            <v>3</v>
          </cell>
          <cell r="BU1071">
            <v>3</v>
          </cell>
          <cell r="BV1071">
            <v>0</v>
          </cell>
          <cell r="BW1071">
            <v>4</v>
          </cell>
          <cell r="BX1071">
            <v>4</v>
          </cell>
          <cell r="BY1071">
            <v>4</v>
          </cell>
          <cell r="BZ1071">
            <v>4</v>
          </cell>
          <cell r="CA1071">
            <v>4</v>
          </cell>
          <cell r="CB1071">
            <v>4</v>
          </cell>
          <cell r="CC1071">
            <v>0</v>
          </cell>
          <cell r="CD1071">
            <v>3</v>
          </cell>
          <cell r="CE1071">
            <v>3</v>
          </cell>
          <cell r="CF1071">
            <v>3</v>
          </cell>
          <cell r="CG1071">
            <v>3</v>
          </cell>
          <cell r="CH1071">
            <v>3</v>
          </cell>
          <cell r="CI1071">
            <v>3</v>
          </cell>
          <cell r="CJ1071">
            <v>8</v>
          </cell>
          <cell r="CK1071">
            <v>4</v>
          </cell>
          <cell r="CL1071">
            <v>4</v>
          </cell>
          <cell r="CM1071">
            <v>4</v>
          </cell>
          <cell r="CR1071">
            <v>0</v>
          </cell>
          <cell r="CS1071">
            <v>0</v>
          </cell>
          <cell r="CT1071">
            <v>67.5</v>
          </cell>
          <cell r="CU1071">
            <v>8</v>
          </cell>
          <cell r="CV1071">
            <v>0</v>
          </cell>
          <cell r="CZ1071">
            <v>75.5</v>
          </cell>
        </row>
        <row r="1072">
          <cell r="C1072" t="str">
            <v>04696</v>
          </cell>
          <cell r="D1072" t="str">
            <v>Châu Bé Tư</v>
          </cell>
          <cell r="E1072" t="str">
            <v>Production</v>
          </cell>
          <cell r="F1072" t="str">
            <v>Die Cut</v>
          </cell>
          <cell r="G1072" t="str">
            <v>Worker</v>
          </cell>
          <cell r="H1072">
            <v>45866</v>
          </cell>
          <cell r="I1072">
            <v>8</v>
          </cell>
          <cell r="J1072">
            <v>8</v>
          </cell>
          <cell r="K1072">
            <v>8</v>
          </cell>
          <cell r="L1072" t="str">
            <v>CN</v>
          </cell>
          <cell r="M1072" t="str">
            <v>Đ</v>
          </cell>
          <cell r="N1072" t="str">
            <v>Đ</v>
          </cell>
          <cell r="O1072" t="str">
            <v>Đ</v>
          </cell>
          <cell r="P1072" t="str">
            <v>Đ</v>
          </cell>
          <cell r="Q1072" t="str">
            <v>Đ</v>
          </cell>
          <cell r="R1072" t="str">
            <v>Đ</v>
          </cell>
          <cell r="S1072" t="str">
            <v>CN</v>
          </cell>
          <cell r="T1072">
            <v>8</v>
          </cell>
          <cell r="U1072">
            <v>8</v>
          </cell>
          <cell r="V1072">
            <v>8</v>
          </cell>
          <cell r="W1072">
            <v>8</v>
          </cell>
          <cell r="X1072">
            <v>8</v>
          </cell>
          <cell r="Y1072">
            <v>8</v>
          </cell>
          <cell r="Z1072" t="str">
            <v>CN</v>
          </cell>
          <cell r="AA1072" t="str">
            <v>Đ</v>
          </cell>
          <cell r="AB1072" t="str">
            <v>Đ</v>
          </cell>
          <cell r="AC1072" t="str">
            <v>Đ</v>
          </cell>
          <cell r="AD1072" t="str">
            <v>Đ</v>
          </cell>
          <cell r="AE1072" t="str">
            <v>Đ</v>
          </cell>
          <cell r="AF1072" t="str">
            <v>Đ</v>
          </cell>
          <cell r="AG1072" t="str">
            <v>CN</v>
          </cell>
          <cell r="AH1072" t="str">
            <v>AL4</v>
          </cell>
          <cell r="AI1072" t="str">
            <v>AL8</v>
          </cell>
          <cell r="AJ1072">
            <v>8</v>
          </cell>
          <cell r="AN1072">
            <v>96</v>
          </cell>
          <cell r="AO1072">
            <v>84</v>
          </cell>
          <cell r="AP1072">
            <v>4</v>
          </cell>
          <cell r="AQ1072">
            <v>0</v>
          </cell>
          <cell r="AR1072">
            <v>0</v>
          </cell>
          <cell r="AS1072">
            <v>0</v>
          </cell>
          <cell r="AT1072">
            <v>0</v>
          </cell>
          <cell r="AU1072">
            <v>0</v>
          </cell>
          <cell r="AV1072">
            <v>0</v>
          </cell>
          <cell r="AW1072">
            <v>0</v>
          </cell>
          <cell r="AX1072">
            <v>0</v>
          </cell>
          <cell r="AY1072">
            <v>0</v>
          </cell>
          <cell r="AZ1072">
            <v>0</v>
          </cell>
          <cell r="BA1072">
            <v>12</v>
          </cell>
          <cell r="BB1072">
            <v>0</v>
          </cell>
          <cell r="BC1072">
            <v>0</v>
          </cell>
          <cell r="BD1072">
            <v>0</v>
          </cell>
          <cell r="BE1072">
            <v>0</v>
          </cell>
          <cell r="BF1072">
            <v>0</v>
          </cell>
          <cell r="BG1072">
            <v>192</v>
          </cell>
          <cell r="BH1072">
            <v>1.5</v>
          </cell>
          <cell r="BI1072">
            <v>1.5</v>
          </cell>
          <cell r="BJ1072">
            <v>-1</v>
          </cell>
          <cell r="BL1072">
            <v>1.5</v>
          </cell>
          <cell r="BM1072">
            <v>1.5</v>
          </cell>
          <cell r="BN1072">
            <v>1.5</v>
          </cell>
          <cell r="BO1072">
            <v>0</v>
          </cell>
          <cell r="BP1072">
            <v>1.5</v>
          </cell>
          <cell r="BQ1072">
            <v>0</v>
          </cell>
          <cell r="BR1072">
            <v>0</v>
          </cell>
          <cell r="BS1072">
            <v>4</v>
          </cell>
          <cell r="BT1072">
            <v>4</v>
          </cell>
          <cell r="BU1072">
            <v>4</v>
          </cell>
          <cell r="BV1072">
            <v>0</v>
          </cell>
          <cell r="BW1072">
            <v>3</v>
          </cell>
          <cell r="BX1072">
            <v>3</v>
          </cell>
          <cell r="BY1072">
            <v>3</v>
          </cell>
          <cell r="BZ1072">
            <v>0</v>
          </cell>
          <cell r="CA1072">
            <v>3</v>
          </cell>
          <cell r="CB1072">
            <v>0</v>
          </cell>
          <cell r="CC1072">
            <v>8</v>
          </cell>
          <cell r="CD1072">
            <v>4</v>
          </cell>
          <cell r="CE1072">
            <v>4</v>
          </cell>
          <cell r="CF1072">
            <v>4</v>
          </cell>
          <cell r="CG1072">
            <v>4</v>
          </cell>
          <cell r="CH1072">
            <v>4</v>
          </cell>
          <cell r="CI1072">
            <v>4</v>
          </cell>
          <cell r="CJ1072">
            <v>0</v>
          </cell>
          <cell r="CK1072">
            <v>2</v>
          </cell>
          <cell r="CL1072">
            <v>0</v>
          </cell>
          <cell r="CM1072">
            <v>3</v>
          </cell>
          <cell r="CR1072">
            <v>0</v>
          </cell>
          <cell r="CS1072">
            <v>0</v>
          </cell>
          <cell r="CT1072">
            <v>59</v>
          </cell>
          <cell r="CU1072">
            <v>8</v>
          </cell>
          <cell r="CV1072">
            <v>0</v>
          </cell>
          <cell r="CZ1072">
            <v>67</v>
          </cell>
        </row>
        <row r="1073">
          <cell r="C1073" t="str">
            <v>04698</v>
          </cell>
          <cell r="D1073" t="str">
            <v>Một Anh</v>
          </cell>
          <cell r="E1073" t="str">
            <v>Production</v>
          </cell>
          <cell r="F1073" t="str">
            <v>Die Cut</v>
          </cell>
          <cell r="G1073" t="str">
            <v>Worker</v>
          </cell>
          <cell r="H1073">
            <v>45866</v>
          </cell>
          <cell r="I1073">
            <v>8</v>
          </cell>
          <cell r="J1073">
            <v>8</v>
          </cell>
          <cell r="K1073">
            <v>8</v>
          </cell>
          <cell r="L1073" t="str">
            <v>CN</v>
          </cell>
          <cell r="M1073" t="str">
            <v>Đ</v>
          </cell>
          <cell r="N1073" t="str">
            <v>Đ</v>
          </cell>
          <cell r="O1073" t="str">
            <v>Đ</v>
          </cell>
          <cell r="P1073" t="str">
            <v>Đ</v>
          </cell>
          <cell r="Q1073" t="str">
            <v>Đ</v>
          </cell>
          <cell r="R1073" t="str">
            <v>Đ</v>
          </cell>
          <cell r="S1073" t="str">
            <v>CN</v>
          </cell>
          <cell r="T1073">
            <v>8</v>
          </cell>
          <cell r="U1073">
            <v>8</v>
          </cell>
          <cell r="V1073">
            <v>8</v>
          </cell>
          <cell r="W1073">
            <v>8</v>
          </cell>
          <cell r="X1073">
            <v>8</v>
          </cell>
          <cell r="Y1073">
            <v>8</v>
          </cell>
          <cell r="Z1073" t="str">
            <v>CN</v>
          </cell>
          <cell r="AA1073" t="str">
            <v>Đ</v>
          </cell>
          <cell r="AB1073" t="str">
            <v>Đ</v>
          </cell>
          <cell r="AC1073" t="str">
            <v>Đ</v>
          </cell>
          <cell r="AD1073" t="str">
            <v>Đ</v>
          </cell>
          <cell r="AE1073" t="str">
            <v>Đ</v>
          </cell>
          <cell r="AF1073" t="str">
            <v>Đ</v>
          </cell>
          <cell r="AG1073" t="str">
            <v>CN</v>
          </cell>
          <cell r="AH1073">
            <v>8</v>
          </cell>
          <cell r="AI1073" t="str">
            <v>AL8</v>
          </cell>
          <cell r="AJ1073">
            <v>8</v>
          </cell>
          <cell r="AN1073">
            <v>96</v>
          </cell>
          <cell r="AO1073">
            <v>88</v>
          </cell>
          <cell r="AP1073">
            <v>0</v>
          </cell>
          <cell r="AQ1073">
            <v>0</v>
          </cell>
          <cell r="AR1073">
            <v>0</v>
          </cell>
          <cell r="AS1073">
            <v>0</v>
          </cell>
          <cell r="AT1073">
            <v>0</v>
          </cell>
          <cell r="AU1073">
            <v>0</v>
          </cell>
          <cell r="AV1073">
            <v>0</v>
          </cell>
          <cell r="AW1073">
            <v>0</v>
          </cell>
          <cell r="AX1073">
            <v>0</v>
          </cell>
          <cell r="AY1073">
            <v>0</v>
          </cell>
          <cell r="AZ1073">
            <v>0</v>
          </cell>
          <cell r="BA1073">
            <v>8</v>
          </cell>
          <cell r="BB1073">
            <v>0</v>
          </cell>
          <cell r="BC1073">
            <v>0</v>
          </cell>
          <cell r="BD1073">
            <v>0</v>
          </cell>
          <cell r="BE1073">
            <v>0</v>
          </cell>
          <cell r="BF1073">
            <v>0</v>
          </cell>
          <cell r="BG1073">
            <v>192</v>
          </cell>
          <cell r="BH1073">
            <v>1</v>
          </cell>
          <cell r="BI1073">
            <v>1</v>
          </cell>
          <cell r="BJ1073">
            <v>2.5</v>
          </cell>
          <cell r="BL1073">
            <v>1.5</v>
          </cell>
          <cell r="BM1073">
            <v>1.5</v>
          </cell>
          <cell r="BN1073">
            <v>1.5</v>
          </cell>
          <cell r="BO1073">
            <v>0</v>
          </cell>
          <cell r="BP1073">
            <v>1.5</v>
          </cell>
          <cell r="BQ1073">
            <v>0</v>
          </cell>
          <cell r="BR1073">
            <v>0</v>
          </cell>
          <cell r="BS1073">
            <v>4</v>
          </cell>
          <cell r="BT1073">
            <v>0</v>
          </cell>
          <cell r="BU1073">
            <v>4</v>
          </cell>
          <cell r="BV1073">
            <v>0</v>
          </cell>
          <cell r="BW1073">
            <v>3</v>
          </cell>
          <cell r="BX1073">
            <v>3</v>
          </cell>
          <cell r="BY1073">
            <v>3</v>
          </cell>
          <cell r="BZ1073">
            <v>3</v>
          </cell>
          <cell r="CA1073">
            <v>3</v>
          </cell>
          <cell r="CB1073">
            <v>3</v>
          </cell>
          <cell r="CC1073">
            <v>8</v>
          </cell>
          <cell r="CD1073">
            <v>4</v>
          </cell>
          <cell r="CE1073">
            <v>4</v>
          </cell>
          <cell r="CF1073">
            <v>4</v>
          </cell>
          <cell r="CG1073">
            <v>4</v>
          </cell>
          <cell r="CH1073">
            <v>4</v>
          </cell>
          <cell r="CI1073">
            <v>4</v>
          </cell>
          <cell r="CJ1073">
            <v>0</v>
          </cell>
          <cell r="CK1073">
            <v>3</v>
          </cell>
          <cell r="CL1073">
            <v>0</v>
          </cell>
          <cell r="CM1073">
            <v>3</v>
          </cell>
          <cell r="CR1073">
            <v>0</v>
          </cell>
          <cell r="CS1073">
            <v>0</v>
          </cell>
          <cell r="CT1073">
            <v>62</v>
          </cell>
          <cell r="CU1073">
            <v>8</v>
          </cell>
          <cell r="CV1073">
            <v>0</v>
          </cell>
          <cell r="CZ1073">
            <v>70</v>
          </cell>
        </row>
        <row r="1074">
          <cell r="C1074" t="str">
            <v>04703</v>
          </cell>
          <cell r="D1074" t="str">
            <v>Tăng Huỳnh Hoa</v>
          </cell>
          <cell r="E1074" t="str">
            <v>Production</v>
          </cell>
          <cell r="F1074" t="str">
            <v>Logo</v>
          </cell>
          <cell r="G1074" t="str">
            <v>Worker</v>
          </cell>
          <cell r="H1074">
            <v>45866</v>
          </cell>
          <cell r="I1074">
            <v>8</v>
          </cell>
          <cell r="J1074">
            <v>8</v>
          </cell>
          <cell r="K1074">
            <v>8</v>
          </cell>
          <cell r="L1074" t="str">
            <v>CN</v>
          </cell>
          <cell r="M1074" t="str">
            <v>Đ</v>
          </cell>
          <cell r="N1074" t="str">
            <v>Đ</v>
          </cell>
          <cell r="O1074" t="str">
            <v>Đ</v>
          </cell>
          <cell r="P1074" t="str">
            <v>Đ</v>
          </cell>
          <cell r="Q1074" t="str">
            <v>Đ</v>
          </cell>
          <cell r="R1074" t="str">
            <v>Đ</v>
          </cell>
          <cell r="S1074" t="str">
            <v>CN</v>
          </cell>
          <cell r="T1074" t="str">
            <v>AL8</v>
          </cell>
          <cell r="U1074" t="str">
            <v>AL8</v>
          </cell>
          <cell r="V1074">
            <v>8</v>
          </cell>
          <cell r="W1074">
            <v>8</v>
          </cell>
          <cell r="X1074">
            <v>8</v>
          </cell>
          <cell r="Y1074">
            <v>8</v>
          </cell>
          <cell r="Z1074" t="str">
            <v>CN</v>
          </cell>
          <cell r="AA1074" t="str">
            <v>Đ</v>
          </cell>
          <cell r="AB1074" t="str">
            <v>Đ</v>
          </cell>
          <cell r="AC1074" t="str">
            <v>Đ</v>
          </cell>
          <cell r="AD1074" t="str">
            <v>Đ</v>
          </cell>
          <cell r="AE1074" t="str">
            <v>Đ</v>
          </cell>
          <cell r="AF1074" t="str">
            <v>Đ</v>
          </cell>
          <cell r="AG1074" t="str">
            <v>CN</v>
          </cell>
          <cell r="AH1074">
            <v>8</v>
          </cell>
          <cell r="AI1074">
            <v>8</v>
          </cell>
          <cell r="AJ1074">
            <v>8</v>
          </cell>
          <cell r="AN1074">
            <v>96</v>
          </cell>
          <cell r="AO1074">
            <v>80</v>
          </cell>
          <cell r="AP1074">
            <v>0</v>
          </cell>
          <cell r="AQ1074">
            <v>0</v>
          </cell>
          <cell r="AR1074">
            <v>0</v>
          </cell>
          <cell r="AS1074">
            <v>0</v>
          </cell>
          <cell r="AT1074">
            <v>0</v>
          </cell>
          <cell r="AU1074">
            <v>0</v>
          </cell>
          <cell r="AV1074">
            <v>0</v>
          </cell>
          <cell r="AW1074">
            <v>0</v>
          </cell>
          <cell r="AX1074">
            <v>0</v>
          </cell>
          <cell r="AY1074">
            <v>0</v>
          </cell>
          <cell r="AZ1074">
            <v>0</v>
          </cell>
          <cell r="BA1074">
            <v>16</v>
          </cell>
          <cell r="BB1074">
            <v>0</v>
          </cell>
          <cell r="BC1074">
            <v>0</v>
          </cell>
          <cell r="BD1074">
            <v>0</v>
          </cell>
          <cell r="BE1074">
            <v>0</v>
          </cell>
          <cell r="BF1074">
            <v>0</v>
          </cell>
          <cell r="BG1074">
            <v>192</v>
          </cell>
          <cell r="BH1074">
            <v>2</v>
          </cell>
          <cell r="BI1074">
            <v>2</v>
          </cell>
          <cell r="BJ1074">
            <v>-3</v>
          </cell>
          <cell r="BL1074">
            <v>1.5</v>
          </cell>
          <cell r="BM1074">
            <v>0</v>
          </cell>
          <cell r="BN1074">
            <v>1.5</v>
          </cell>
          <cell r="BO1074">
            <v>0</v>
          </cell>
          <cell r="BP1074">
            <v>1.5</v>
          </cell>
          <cell r="BQ1074">
            <v>0</v>
          </cell>
          <cell r="BR1074">
            <v>0</v>
          </cell>
          <cell r="BS1074">
            <v>4</v>
          </cell>
          <cell r="BT1074">
            <v>0</v>
          </cell>
          <cell r="BU1074">
            <v>4</v>
          </cell>
          <cell r="BV1074">
            <v>0</v>
          </cell>
          <cell r="BW1074">
            <v>0</v>
          </cell>
          <cell r="BX1074">
            <v>0</v>
          </cell>
          <cell r="BY1074">
            <v>3</v>
          </cell>
          <cell r="BZ1074">
            <v>3</v>
          </cell>
          <cell r="CA1074">
            <v>3</v>
          </cell>
          <cell r="CB1074">
            <v>2</v>
          </cell>
          <cell r="CC1074">
            <v>8</v>
          </cell>
          <cell r="CD1074">
            <v>4</v>
          </cell>
          <cell r="CE1074">
            <v>4</v>
          </cell>
          <cell r="CF1074">
            <v>4</v>
          </cell>
          <cell r="CG1074">
            <v>4</v>
          </cell>
          <cell r="CH1074">
            <v>4</v>
          </cell>
          <cell r="CI1074">
            <v>4</v>
          </cell>
          <cell r="CJ1074">
            <v>0</v>
          </cell>
          <cell r="CK1074">
            <v>0</v>
          </cell>
          <cell r="CL1074">
            <v>3</v>
          </cell>
          <cell r="CM1074">
            <v>3</v>
          </cell>
          <cell r="CR1074">
            <v>0</v>
          </cell>
          <cell r="CS1074">
            <v>0</v>
          </cell>
          <cell r="CT1074">
            <v>53.5</v>
          </cell>
          <cell r="CU1074">
            <v>8</v>
          </cell>
          <cell r="CV1074">
            <v>0</v>
          </cell>
          <cell r="CZ1074">
            <v>61.5</v>
          </cell>
        </row>
        <row r="1075">
          <cell r="C1075" t="str">
            <v>04704</v>
          </cell>
          <cell r="D1075" t="str">
            <v>Nguyễn Ngọc Thư</v>
          </cell>
          <cell r="E1075" t="str">
            <v>Production</v>
          </cell>
          <cell r="F1075" t="str">
            <v>Logo</v>
          </cell>
          <cell r="G1075" t="str">
            <v>Worker</v>
          </cell>
          <cell r="H1075">
            <v>45866</v>
          </cell>
          <cell r="I1075" t="str">
            <v>Đ</v>
          </cell>
          <cell r="J1075" t="str">
            <v>Đ</v>
          </cell>
          <cell r="K1075" t="str">
            <v>Đ</v>
          </cell>
          <cell r="L1075" t="str">
            <v>CN</v>
          </cell>
          <cell r="M1075">
            <v>8</v>
          </cell>
          <cell r="N1075">
            <v>8</v>
          </cell>
          <cell r="O1075">
            <v>8</v>
          </cell>
          <cell r="P1075">
            <v>8</v>
          </cell>
          <cell r="Q1075">
            <v>8</v>
          </cell>
          <cell r="R1075">
            <v>8</v>
          </cell>
          <cell r="S1075" t="str">
            <v>CN</v>
          </cell>
          <cell r="T1075" t="str">
            <v>AL8</v>
          </cell>
          <cell r="U1075" t="str">
            <v>Đ</v>
          </cell>
          <cell r="V1075" t="str">
            <v>Đ</v>
          </cell>
          <cell r="W1075" t="str">
            <v>Đ</v>
          </cell>
          <cell r="X1075" t="str">
            <v>Đ</v>
          </cell>
          <cell r="Y1075" t="str">
            <v>Đ</v>
          </cell>
          <cell r="Z1075" t="str">
            <v>CN</v>
          </cell>
          <cell r="AA1075">
            <v>8</v>
          </cell>
          <cell r="AB1075">
            <v>8</v>
          </cell>
          <cell r="AC1075">
            <v>8</v>
          </cell>
          <cell r="AD1075">
            <v>8</v>
          </cell>
          <cell r="AE1075">
            <v>8</v>
          </cell>
          <cell r="AF1075">
            <v>8</v>
          </cell>
          <cell r="AG1075" t="str">
            <v>CN</v>
          </cell>
          <cell r="AH1075" t="str">
            <v>Đ</v>
          </cell>
          <cell r="AI1075" t="str">
            <v>UP8</v>
          </cell>
          <cell r="AJ1075" t="str">
            <v>Đ</v>
          </cell>
          <cell r="AN1075">
            <v>80</v>
          </cell>
          <cell r="AO1075">
            <v>96</v>
          </cell>
          <cell r="AP1075">
            <v>0</v>
          </cell>
          <cell r="AQ1075">
            <v>0</v>
          </cell>
          <cell r="AR1075">
            <v>0</v>
          </cell>
          <cell r="AS1075">
            <v>8</v>
          </cell>
          <cell r="AT1075">
            <v>0</v>
          </cell>
          <cell r="AU1075">
            <v>0</v>
          </cell>
          <cell r="AV1075">
            <v>0</v>
          </cell>
          <cell r="AW1075">
            <v>0</v>
          </cell>
          <cell r="AX1075">
            <v>0</v>
          </cell>
          <cell r="AY1075">
            <v>0</v>
          </cell>
          <cell r="AZ1075">
            <v>0</v>
          </cell>
          <cell r="BA1075">
            <v>8</v>
          </cell>
          <cell r="BB1075">
            <v>0</v>
          </cell>
          <cell r="BC1075">
            <v>0</v>
          </cell>
          <cell r="BD1075">
            <v>0</v>
          </cell>
          <cell r="BE1075">
            <v>0</v>
          </cell>
          <cell r="BF1075">
            <v>0</v>
          </cell>
          <cell r="BG1075">
            <v>184</v>
          </cell>
          <cell r="BH1075">
            <v>1</v>
          </cell>
          <cell r="BI1075">
            <v>1</v>
          </cell>
          <cell r="BJ1075">
            <v>-1</v>
          </cell>
          <cell r="BL1075">
            <v>1.5</v>
          </cell>
          <cell r="BM1075">
            <v>1.5</v>
          </cell>
          <cell r="BN1075">
            <v>1.5</v>
          </cell>
          <cell r="BO1075">
            <v>0</v>
          </cell>
          <cell r="BP1075">
            <v>1.5</v>
          </cell>
          <cell r="BQ1075">
            <v>0</v>
          </cell>
          <cell r="BR1075">
            <v>0</v>
          </cell>
          <cell r="BS1075">
            <v>3</v>
          </cell>
          <cell r="BT1075">
            <v>3</v>
          </cell>
          <cell r="BU1075">
            <v>3</v>
          </cell>
          <cell r="BV1075">
            <v>0</v>
          </cell>
          <cell r="BW1075">
            <v>0</v>
          </cell>
          <cell r="BX1075">
            <v>4</v>
          </cell>
          <cell r="BY1075">
            <v>4</v>
          </cell>
          <cell r="BZ1075">
            <v>4</v>
          </cell>
          <cell r="CA1075">
            <v>4</v>
          </cell>
          <cell r="CB1075">
            <v>4</v>
          </cell>
          <cell r="CC1075">
            <v>0</v>
          </cell>
          <cell r="CD1075">
            <v>3</v>
          </cell>
          <cell r="CE1075">
            <v>3</v>
          </cell>
          <cell r="CF1075">
            <v>3</v>
          </cell>
          <cell r="CG1075">
            <v>3</v>
          </cell>
          <cell r="CH1075">
            <v>3</v>
          </cell>
          <cell r="CI1075">
            <v>3</v>
          </cell>
          <cell r="CJ1075">
            <v>4</v>
          </cell>
          <cell r="CK1075">
            <v>4</v>
          </cell>
          <cell r="CL1075">
            <v>0</v>
          </cell>
          <cell r="CM1075">
            <v>4</v>
          </cell>
          <cell r="CR1075">
            <v>0</v>
          </cell>
          <cell r="CS1075">
            <v>0</v>
          </cell>
          <cell r="CT1075">
            <v>61</v>
          </cell>
          <cell r="CU1075">
            <v>4</v>
          </cell>
          <cell r="CV1075">
            <v>0</v>
          </cell>
          <cell r="CZ1075">
            <v>65</v>
          </cell>
        </row>
        <row r="1076">
          <cell r="C1076" t="str">
            <v>04705</v>
          </cell>
          <cell r="D1076" t="str">
            <v>Nguyễn Trí Toàn</v>
          </cell>
          <cell r="E1076" t="str">
            <v>Production</v>
          </cell>
          <cell r="F1076" t="str">
            <v>Die Cut</v>
          </cell>
          <cell r="G1076" t="str">
            <v>Worker</v>
          </cell>
          <cell r="H1076">
            <v>45866</v>
          </cell>
          <cell r="I1076" t="str">
            <v>Đ</v>
          </cell>
          <cell r="J1076" t="str">
            <v>Đ</v>
          </cell>
          <cell r="K1076" t="str">
            <v>Đ</v>
          </cell>
          <cell r="L1076" t="str">
            <v>CN</v>
          </cell>
          <cell r="M1076" t="str">
            <v>AL4</v>
          </cell>
          <cell r="N1076">
            <v>8</v>
          </cell>
          <cell r="O1076">
            <v>8</v>
          </cell>
          <cell r="P1076">
            <v>8</v>
          </cell>
          <cell r="Q1076">
            <v>8</v>
          </cell>
          <cell r="R1076" t="str">
            <v>AL8</v>
          </cell>
          <cell r="S1076" t="str">
            <v>CN</v>
          </cell>
          <cell r="T1076" t="str">
            <v>Đ</v>
          </cell>
          <cell r="U1076" t="str">
            <v>Đ</v>
          </cell>
          <cell r="V1076" t="str">
            <v>Đ</v>
          </cell>
          <cell r="W1076" t="str">
            <v>Đ</v>
          </cell>
          <cell r="X1076" t="str">
            <v>Đ</v>
          </cell>
          <cell r="Y1076" t="str">
            <v>Đ</v>
          </cell>
          <cell r="Z1076" t="str">
            <v>CN</v>
          </cell>
          <cell r="AA1076">
            <v>8</v>
          </cell>
          <cell r="AB1076">
            <v>8</v>
          </cell>
          <cell r="AC1076">
            <v>8</v>
          </cell>
          <cell r="AD1076">
            <v>8</v>
          </cell>
          <cell r="AE1076">
            <v>8</v>
          </cell>
          <cell r="AF1076">
            <v>8</v>
          </cell>
          <cell r="AG1076" t="str">
            <v>CN</v>
          </cell>
          <cell r="AH1076" t="str">
            <v>Đ</v>
          </cell>
          <cell r="AI1076" t="str">
            <v>Đ</v>
          </cell>
          <cell r="AJ1076" t="str">
            <v>Đ</v>
          </cell>
          <cell r="AN1076">
            <v>96</v>
          </cell>
          <cell r="AO1076">
            <v>84</v>
          </cell>
          <cell r="AP1076">
            <v>4</v>
          </cell>
          <cell r="AQ1076">
            <v>0</v>
          </cell>
          <cell r="AR1076">
            <v>0</v>
          </cell>
          <cell r="AS1076">
            <v>0</v>
          </cell>
          <cell r="AT1076">
            <v>0</v>
          </cell>
          <cell r="AU1076">
            <v>0</v>
          </cell>
          <cell r="AV1076">
            <v>0</v>
          </cell>
          <cell r="AW1076">
            <v>0</v>
          </cell>
          <cell r="AX1076">
            <v>0</v>
          </cell>
          <cell r="AY1076">
            <v>0</v>
          </cell>
          <cell r="AZ1076">
            <v>0</v>
          </cell>
          <cell r="BA1076">
            <v>12</v>
          </cell>
          <cell r="BB1076">
            <v>0</v>
          </cell>
          <cell r="BC1076">
            <v>0</v>
          </cell>
          <cell r="BD1076">
            <v>0</v>
          </cell>
          <cell r="BE1076">
            <v>0</v>
          </cell>
          <cell r="BF1076">
            <v>0</v>
          </cell>
          <cell r="BG1076">
            <v>192</v>
          </cell>
          <cell r="BH1076">
            <v>1.5</v>
          </cell>
          <cell r="BI1076">
            <v>1.5</v>
          </cell>
          <cell r="BJ1076">
            <v>0.5</v>
          </cell>
          <cell r="BL1076">
            <v>1.5</v>
          </cell>
          <cell r="BM1076">
            <v>1.5</v>
          </cell>
          <cell r="BN1076">
            <v>1.5</v>
          </cell>
          <cell r="BO1076">
            <v>0</v>
          </cell>
          <cell r="BP1076">
            <v>1.5</v>
          </cell>
          <cell r="BQ1076">
            <v>0</v>
          </cell>
          <cell r="BR1076">
            <v>0</v>
          </cell>
          <cell r="BS1076">
            <v>3</v>
          </cell>
          <cell r="BT1076">
            <v>3</v>
          </cell>
          <cell r="BU1076">
            <v>0</v>
          </cell>
          <cell r="BV1076">
            <v>0</v>
          </cell>
          <cell r="BW1076">
            <v>4</v>
          </cell>
          <cell r="BX1076">
            <v>4</v>
          </cell>
          <cell r="BY1076">
            <v>4</v>
          </cell>
          <cell r="BZ1076">
            <v>4</v>
          </cell>
          <cell r="CA1076">
            <v>4</v>
          </cell>
          <cell r="CB1076">
            <v>4</v>
          </cell>
          <cell r="CC1076">
            <v>0</v>
          </cell>
          <cell r="CD1076">
            <v>3</v>
          </cell>
          <cell r="CE1076">
            <v>3</v>
          </cell>
          <cell r="CF1076">
            <v>3</v>
          </cell>
          <cell r="CG1076">
            <v>3</v>
          </cell>
          <cell r="CH1076">
            <v>3</v>
          </cell>
          <cell r="CI1076">
            <v>3</v>
          </cell>
          <cell r="CJ1076">
            <v>8</v>
          </cell>
          <cell r="CK1076">
            <v>4</v>
          </cell>
          <cell r="CL1076">
            <v>4</v>
          </cell>
          <cell r="CM1076">
            <v>4</v>
          </cell>
          <cell r="CR1076">
            <v>0</v>
          </cell>
          <cell r="CS1076">
            <v>0</v>
          </cell>
          <cell r="CT1076">
            <v>66</v>
          </cell>
          <cell r="CU1076">
            <v>8</v>
          </cell>
          <cell r="CV1076">
            <v>0</v>
          </cell>
          <cell r="CZ1076">
            <v>74</v>
          </cell>
        </row>
        <row r="1077">
          <cell r="C1077" t="str">
            <v>04710</v>
          </cell>
          <cell r="D1077" t="str">
            <v>Lê Công Hạnh</v>
          </cell>
          <cell r="E1077" t="str">
            <v>Production</v>
          </cell>
          <cell r="F1077" t="str">
            <v>Molding</v>
          </cell>
          <cell r="G1077" t="str">
            <v>Worker</v>
          </cell>
          <cell r="H1077">
            <v>45866</v>
          </cell>
          <cell r="I1077" t="str">
            <v>Đ</v>
          </cell>
          <cell r="J1077" t="str">
            <v>Đ</v>
          </cell>
          <cell r="K1077" t="str">
            <v>Đ</v>
          </cell>
          <cell r="L1077" t="str">
            <v>CN</v>
          </cell>
          <cell r="M1077">
            <v>8</v>
          </cell>
          <cell r="N1077">
            <v>8</v>
          </cell>
          <cell r="O1077">
            <v>8</v>
          </cell>
          <cell r="P1077">
            <v>8</v>
          </cell>
          <cell r="Q1077">
            <v>8</v>
          </cell>
          <cell r="R1077">
            <v>8</v>
          </cell>
          <cell r="S1077" t="str">
            <v>CN</v>
          </cell>
          <cell r="T1077" t="str">
            <v>Đ</v>
          </cell>
          <cell r="U1077" t="str">
            <v>Đ</v>
          </cell>
          <cell r="V1077" t="str">
            <v>Đ</v>
          </cell>
          <cell r="W1077" t="str">
            <v>Đ</v>
          </cell>
          <cell r="X1077" t="str">
            <v>AL8</v>
          </cell>
          <cell r="Y1077" t="str">
            <v>AL8</v>
          </cell>
          <cell r="Z1077" t="str">
            <v>CN</v>
          </cell>
          <cell r="AA1077" t="str">
            <v>AL8</v>
          </cell>
          <cell r="AB1077">
            <v>8</v>
          </cell>
          <cell r="AC1077">
            <v>8</v>
          </cell>
          <cell r="AD1077">
            <v>8</v>
          </cell>
          <cell r="AE1077">
            <v>8</v>
          </cell>
          <cell r="AF1077">
            <v>8</v>
          </cell>
          <cell r="AG1077" t="str">
            <v>CN</v>
          </cell>
          <cell r="AH1077" t="str">
            <v>Đ</v>
          </cell>
          <cell r="AI1077" t="str">
            <v>Đ</v>
          </cell>
          <cell r="AJ1077" t="str">
            <v>Đ</v>
          </cell>
          <cell r="AN1077">
            <v>80</v>
          </cell>
          <cell r="AO1077">
            <v>88</v>
          </cell>
          <cell r="AP1077">
            <v>0</v>
          </cell>
          <cell r="AQ1077">
            <v>0</v>
          </cell>
          <cell r="AR1077">
            <v>0</v>
          </cell>
          <cell r="AS1077">
            <v>0</v>
          </cell>
          <cell r="AT1077">
            <v>0</v>
          </cell>
          <cell r="AU1077">
            <v>0</v>
          </cell>
          <cell r="AV1077">
            <v>0</v>
          </cell>
          <cell r="AW1077">
            <v>0</v>
          </cell>
          <cell r="AX1077">
            <v>0</v>
          </cell>
          <cell r="AY1077">
            <v>0</v>
          </cell>
          <cell r="AZ1077">
            <v>0</v>
          </cell>
          <cell r="BA1077">
            <v>24</v>
          </cell>
          <cell r="BB1077">
            <v>0</v>
          </cell>
          <cell r="BC1077">
            <v>0</v>
          </cell>
          <cell r="BD1077">
            <v>0</v>
          </cell>
          <cell r="BE1077">
            <v>0</v>
          </cell>
          <cell r="BF1077">
            <v>0</v>
          </cell>
          <cell r="BG1077">
            <v>192</v>
          </cell>
          <cell r="BH1077">
            <v>3</v>
          </cell>
          <cell r="BI1077">
            <v>3</v>
          </cell>
          <cell r="BJ1077">
            <v>-1</v>
          </cell>
          <cell r="BL1077">
            <v>4</v>
          </cell>
          <cell r="BM1077">
            <v>0</v>
          </cell>
          <cell r="BN1077">
            <v>0</v>
          </cell>
          <cell r="BO1077">
            <v>0</v>
          </cell>
          <cell r="BP1077">
            <v>0</v>
          </cell>
          <cell r="BQ1077">
            <v>0</v>
          </cell>
          <cell r="BR1077">
            <v>0</v>
          </cell>
          <cell r="BS1077">
            <v>0</v>
          </cell>
          <cell r="BT1077">
            <v>4</v>
          </cell>
          <cell r="BU1077">
            <v>0</v>
          </cell>
          <cell r="BV1077">
            <v>0</v>
          </cell>
          <cell r="BW1077">
            <v>0</v>
          </cell>
          <cell r="BX1077">
            <v>0</v>
          </cell>
          <cell r="BY1077">
            <v>0</v>
          </cell>
          <cell r="BZ1077">
            <v>0</v>
          </cell>
          <cell r="CA1077">
            <v>0</v>
          </cell>
          <cell r="CB1077">
            <v>0</v>
          </cell>
          <cell r="CC1077">
            <v>0</v>
          </cell>
          <cell r="CD1077">
            <v>0</v>
          </cell>
          <cell r="CE1077">
            <v>0</v>
          </cell>
          <cell r="CF1077">
            <v>0</v>
          </cell>
          <cell r="CG1077">
            <v>0</v>
          </cell>
          <cell r="CH1077">
            <v>4</v>
          </cell>
          <cell r="CI1077">
            <v>4</v>
          </cell>
          <cell r="CJ1077">
            <v>0</v>
          </cell>
          <cell r="CK1077">
            <v>0</v>
          </cell>
          <cell r="CL1077">
            <v>4</v>
          </cell>
          <cell r="CM1077">
            <v>4</v>
          </cell>
          <cell r="CR1077">
            <v>0</v>
          </cell>
          <cell r="CS1077">
            <v>0</v>
          </cell>
          <cell r="CT1077">
            <v>24</v>
          </cell>
          <cell r="CU1077">
            <v>0</v>
          </cell>
          <cell r="CV1077">
            <v>0</v>
          </cell>
          <cell r="CZ1077">
            <v>24</v>
          </cell>
        </row>
        <row r="1078">
          <cell r="C1078" t="str">
            <v>04711</v>
          </cell>
          <cell r="D1078" t="str">
            <v>Võ Thị Trầm Mi</v>
          </cell>
          <cell r="E1078" t="str">
            <v>Production</v>
          </cell>
          <cell r="F1078" t="str">
            <v>Logo</v>
          </cell>
          <cell r="G1078" t="str">
            <v>Worker</v>
          </cell>
          <cell r="H1078">
            <v>45866</v>
          </cell>
          <cell r="I1078" t="str">
            <v>Đ</v>
          </cell>
          <cell r="J1078" t="str">
            <v>Đ</v>
          </cell>
          <cell r="K1078" t="str">
            <v>Đ</v>
          </cell>
          <cell r="L1078" t="str">
            <v>CN</v>
          </cell>
          <cell r="M1078">
            <v>8</v>
          </cell>
          <cell r="N1078">
            <v>8</v>
          </cell>
          <cell r="O1078">
            <v>8</v>
          </cell>
          <cell r="P1078">
            <v>8</v>
          </cell>
          <cell r="Q1078">
            <v>8</v>
          </cell>
          <cell r="R1078">
            <v>8</v>
          </cell>
          <cell r="S1078" t="str">
            <v>CN</v>
          </cell>
          <cell r="T1078" t="str">
            <v>Đ</v>
          </cell>
          <cell r="U1078" t="str">
            <v>Đ</v>
          </cell>
          <cell r="V1078" t="str">
            <v>Đ</v>
          </cell>
          <cell r="W1078" t="str">
            <v>Đ</v>
          </cell>
          <cell r="X1078" t="str">
            <v>Đ</v>
          </cell>
          <cell r="Y1078" t="str">
            <v>Đ</v>
          </cell>
          <cell r="Z1078" t="str">
            <v>CN</v>
          </cell>
          <cell r="AA1078">
            <v>8</v>
          </cell>
          <cell r="AB1078">
            <v>8</v>
          </cell>
          <cell r="AC1078">
            <v>8</v>
          </cell>
          <cell r="AD1078">
            <v>8</v>
          </cell>
          <cell r="AE1078">
            <v>8</v>
          </cell>
          <cell r="AF1078">
            <v>8</v>
          </cell>
          <cell r="AG1078" t="str">
            <v>CN</v>
          </cell>
          <cell r="AH1078" t="str">
            <v>Đ</v>
          </cell>
          <cell r="AI1078" t="str">
            <v>Đ</v>
          </cell>
          <cell r="AJ1078" t="str">
            <v>Đ</v>
          </cell>
          <cell r="AN1078">
            <v>96</v>
          </cell>
          <cell r="AO1078">
            <v>96</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192</v>
          </cell>
          <cell r="BH1078">
            <v>0</v>
          </cell>
          <cell r="BI1078">
            <v>0</v>
          </cell>
          <cell r="BJ1078">
            <v>2</v>
          </cell>
          <cell r="BL1078">
            <v>1.5</v>
          </cell>
          <cell r="BM1078">
            <v>1.5</v>
          </cell>
          <cell r="BN1078">
            <v>1.5</v>
          </cell>
          <cell r="BO1078">
            <v>0</v>
          </cell>
          <cell r="BP1078">
            <v>1.5</v>
          </cell>
          <cell r="BQ1078">
            <v>0</v>
          </cell>
          <cell r="BR1078">
            <v>0</v>
          </cell>
          <cell r="BS1078">
            <v>3</v>
          </cell>
          <cell r="BT1078">
            <v>3</v>
          </cell>
          <cell r="BU1078">
            <v>3</v>
          </cell>
          <cell r="BV1078">
            <v>0</v>
          </cell>
          <cell r="BW1078">
            <v>4</v>
          </cell>
          <cell r="BX1078">
            <v>4</v>
          </cell>
          <cell r="BY1078">
            <v>4</v>
          </cell>
          <cell r="BZ1078">
            <v>4</v>
          </cell>
          <cell r="CA1078">
            <v>4</v>
          </cell>
          <cell r="CB1078">
            <v>4</v>
          </cell>
          <cell r="CC1078">
            <v>0</v>
          </cell>
          <cell r="CD1078">
            <v>3</v>
          </cell>
          <cell r="CE1078">
            <v>2.5</v>
          </cell>
          <cell r="CF1078">
            <v>3</v>
          </cell>
          <cell r="CG1078">
            <v>3</v>
          </cell>
          <cell r="CH1078">
            <v>3</v>
          </cell>
          <cell r="CI1078">
            <v>3</v>
          </cell>
          <cell r="CJ1078">
            <v>8</v>
          </cell>
          <cell r="CK1078">
            <v>4</v>
          </cell>
          <cell r="CL1078">
            <v>4</v>
          </cell>
          <cell r="CM1078">
            <v>4</v>
          </cell>
          <cell r="CR1078">
            <v>0</v>
          </cell>
          <cell r="CS1078">
            <v>0</v>
          </cell>
          <cell r="CT1078">
            <v>68.5</v>
          </cell>
          <cell r="CU1078">
            <v>8</v>
          </cell>
          <cell r="CV1078">
            <v>0</v>
          </cell>
          <cell r="CZ1078">
            <v>76.5</v>
          </cell>
        </row>
        <row r="1079">
          <cell r="C1079" t="str">
            <v>04717</v>
          </cell>
          <cell r="D1079" t="str">
            <v>Trần Ngọc Sơn</v>
          </cell>
          <cell r="E1079" t="str">
            <v>Production</v>
          </cell>
          <cell r="F1079" t="str">
            <v>Packing</v>
          </cell>
          <cell r="G1079" t="str">
            <v>Worker</v>
          </cell>
          <cell r="H1079">
            <v>45866</v>
          </cell>
          <cell r="I1079" t="str">
            <v>Đ</v>
          </cell>
          <cell r="J1079" t="str">
            <v>Đ</v>
          </cell>
          <cell r="K1079" t="str">
            <v>Đ</v>
          </cell>
          <cell r="L1079" t="str">
            <v>CN</v>
          </cell>
          <cell r="M1079">
            <v>8</v>
          </cell>
          <cell r="N1079">
            <v>8</v>
          </cell>
          <cell r="O1079">
            <v>8</v>
          </cell>
          <cell r="P1079">
            <v>8</v>
          </cell>
          <cell r="Q1079">
            <v>8</v>
          </cell>
          <cell r="R1079">
            <v>8</v>
          </cell>
          <cell r="S1079" t="str">
            <v>CN</v>
          </cell>
          <cell r="T1079" t="str">
            <v>Đ</v>
          </cell>
          <cell r="U1079" t="str">
            <v>Đ</v>
          </cell>
          <cell r="V1079" t="str">
            <v>Đ</v>
          </cell>
          <cell r="W1079" t="str">
            <v>Đ</v>
          </cell>
          <cell r="X1079" t="str">
            <v>Đ</v>
          </cell>
          <cell r="Y1079" t="str">
            <v>Đ</v>
          </cell>
          <cell r="Z1079" t="str">
            <v>CN</v>
          </cell>
          <cell r="AA1079">
            <v>8</v>
          </cell>
          <cell r="AB1079">
            <v>8</v>
          </cell>
          <cell r="AC1079">
            <v>8</v>
          </cell>
          <cell r="AD1079">
            <v>8</v>
          </cell>
          <cell r="AE1079">
            <v>8</v>
          </cell>
          <cell r="AF1079">
            <v>8</v>
          </cell>
          <cell r="AG1079" t="str">
            <v>CN</v>
          </cell>
          <cell r="AH1079" t="str">
            <v>Đ</v>
          </cell>
          <cell r="AI1079" t="str">
            <v>Đ</v>
          </cell>
          <cell r="AJ1079" t="str">
            <v>Đ</v>
          </cell>
          <cell r="AN1079">
            <v>96</v>
          </cell>
          <cell r="AO1079">
            <v>96</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192</v>
          </cell>
          <cell r="BH1079">
            <v>0</v>
          </cell>
          <cell r="BI1079">
            <v>0</v>
          </cell>
          <cell r="BJ1079">
            <v>2</v>
          </cell>
          <cell r="BL1079">
            <v>0</v>
          </cell>
          <cell r="BM1079">
            <v>1.5</v>
          </cell>
          <cell r="BN1079">
            <v>1.5</v>
          </cell>
          <cell r="BO1079">
            <v>0</v>
          </cell>
          <cell r="BP1079">
            <v>1.5</v>
          </cell>
          <cell r="BQ1079">
            <v>3</v>
          </cell>
          <cell r="BR1079">
            <v>0</v>
          </cell>
          <cell r="BS1079">
            <v>3</v>
          </cell>
          <cell r="BT1079">
            <v>3</v>
          </cell>
          <cell r="BU1079">
            <v>0</v>
          </cell>
          <cell r="BV1079">
            <v>0</v>
          </cell>
          <cell r="BW1079">
            <v>3</v>
          </cell>
          <cell r="BX1079">
            <v>3</v>
          </cell>
          <cell r="BY1079">
            <v>4</v>
          </cell>
          <cell r="BZ1079">
            <v>4</v>
          </cell>
          <cell r="CA1079">
            <v>4</v>
          </cell>
          <cell r="CB1079">
            <v>4</v>
          </cell>
          <cell r="CC1079">
            <v>0</v>
          </cell>
          <cell r="CD1079">
            <v>3</v>
          </cell>
          <cell r="CE1079">
            <v>3</v>
          </cell>
          <cell r="CF1079">
            <v>3</v>
          </cell>
          <cell r="CG1079">
            <v>3</v>
          </cell>
          <cell r="CH1079">
            <v>3</v>
          </cell>
          <cell r="CI1079">
            <v>3</v>
          </cell>
          <cell r="CJ1079">
            <v>8</v>
          </cell>
          <cell r="CK1079">
            <v>4</v>
          </cell>
          <cell r="CL1079">
            <v>4</v>
          </cell>
          <cell r="CM1079">
            <v>4</v>
          </cell>
          <cell r="CR1079">
            <v>0</v>
          </cell>
          <cell r="CS1079">
            <v>0</v>
          </cell>
          <cell r="CT1079">
            <v>65.5</v>
          </cell>
          <cell r="CU1079">
            <v>8</v>
          </cell>
          <cell r="CV1079">
            <v>0</v>
          </cell>
          <cell r="CZ1079">
            <v>73.5</v>
          </cell>
        </row>
        <row r="1080">
          <cell r="C1080" t="str">
            <v>04718</v>
          </cell>
          <cell r="D1080" t="str">
            <v>Bùi Quốc Sơn</v>
          </cell>
          <cell r="E1080" t="str">
            <v>Production</v>
          </cell>
          <cell r="F1080" t="str">
            <v>Die Cut</v>
          </cell>
          <cell r="G1080" t="str">
            <v>Worker</v>
          </cell>
          <cell r="H1080">
            <v>45866</v>
          </cell>
          <cell r="I1080" t="str">
            <v>Đ</v>
          </cell>
          <cell r="J1080" t="str">
            <v>Đ</v>
          </cell>
          <cell r="K1080" t="str">
            <v>Đ</v>
          </cell>
          <cell r="L1080" t="str">
            <v>CN</v>
          </cell>
          <cell r="M1080">
            <v>8</v>
          </cell>
          <cell r="N1080">
            <v>8</v>
          </cell>
          <cell r="O1080">
            <v>8</v>
          </cell>
          <cell r="P1080">
            <v>8</v>
          </cell>
          <cell r="Q1080">
            <v>8</v>
          </cell>
          <cell r="R1080">
            <v>8</v>
          </cell>
          <cell r="S1080" t="str">
            <v>CN</v>
          </cell>
          <cell r="T1080" t="str">
            <v>Đ</v>
          </cell>
          <cell r="U1080" t="str">
            <v>Đ</v>
          </cell>
          <cell r="V1080" t="str">
            <v>Đ</v>
          </cell>
          <cell r="W1080" t="str">
            <v>Đ</v>
          </cell>
          <cell r="X1080" t="str">
            <v>Đ</v>
          </cell>
          <cell r="Y1080" t="str">
            <v>AL8</v>
          </cell>
          <cell r="Z1080" t="str">
            <v>CN</v>
          </cell>
          <cell r="AA1080">
            <v>8</v>
          </cell>
          <cell r="AB1080">
            <v>8</v>
          </cell>
          <cell r="AC1080">
            <v>8</v>
          </cell>
          <cell r="AD1080">
            <v>8</v>
          </cell>
          <cell r="AE1080">
            <v>8</v>
          </cell>
          <cell r="AF1080">
            <v>8</v>
          </cell>
          <cell r="AG1080" t="str">
            <v>CN</v>
          </cell>
          <cell r="AH1080" t="str">
            <v>AL8</v>
          </cell>
          <cell r="AI1080" t="str">
            <v>Đ</v>
          </cell>
          <cell r="AJ1080" t="str">
            <v>Đ</v>
          </cell>
          <cell r="AN1080">
            <v>80</v>
          </cell>
          <cell r="AO1080">
            <v>96</v>
          </cell>
          <cell r="AP1080">
            <v>0</v>
          </cell>
          <cell r="AQ1080">
            <v>0</v>
          </cell>
          <cell r="AR1080">
            <v>0</v>
          </cell>
          <cell r="AS1080">
            <v>0</v>
          </cell>
          <cell r="AT1080">
            <v>0</v>
          </cell>
          <cell r="AU1080">
            <v>0</v>
          </cell>
          <cell r="AV1080">
            <v>0</v>
          </cell>
          <cell r="AW1080">
            <v>0</v>
          </cell>
          <cell r="AX1080">
            <v>0</v>
          </cell>
          <cell r="AY1080">
            <v>0</v>
          </cell>
          <cell r="AZ1080">
            <v>0</v>
          </cell>
          <cell r="BA1080">
            <v>16</v>
          </cell>
          <cell r="BB1080">
            <v>0</v>
          </cell>
          <cell r="BC1080">
            <v>0</v>
          </cell>
          <cell r="BD1080">
            <v>0</v>
          </cell>
          <cell r="BE1080">
            <v>0</v>
          </cell>
          <cell r="BF1080">
            <v>0</v>
          </cell>
          <cell r="BG1080">
            <v>192</v>
          </cell>
          <cell r="BH1080">
            <v>2</v>
          </cell>
          <cell r="BI1080">
            <v>2</v>
          </cell>
          <cell r="BJ1080">
            <v>-1</v>
          </cell>
          <cell r="BL1080">
            <v>1.5</v>
          </cell>
          <cell r="BM1080">
            <v>1.5</v>
          </cell>
          <cell r="BN1080">
            <v>1.5</v>
          </cell>
          <cell r="BO1080">
            <v>0</v>
          </cell>
          <cell r="BP1080">
            <v>1.5</v>
          </cell>
          <cell r="BQ1080">
            <v>0</v>
          </cell>
          <cell r="BR1080">
            <v>0</v>
          </cell>
          <cell r="BS1080">
            <v>3</v>
          </cell>
          <cell r="BT1080">
            <v>3</v>
          </cell>
          <cell r="BU1080">
            <v>3</v>
          </cell>
          <cell r="BV1080">
            <v>0</v>
          </cell>
          <cell r="BW1080">
            <v>4</v>
          </cell>
          <cell r="BX1080">
            <v>4</v>
          </cell>
          <cell r="BY1080">
            <v>4</v>
          </cell>
          <cell r="BZ1080">
            <v>4</v>
          </cell>
          <cell r="CA1080">
            <v>4</v>
          </cell>
          <cell r="CB1080">
            <v>0</v>
          </cell>
          <cell r="CC1080">
            <v>0</v>
          </cell>
          <cell r="CD1080">
            <v>3</v>
          </cell>
          <cell r="CE1080">
            <v>3</v>
          </cell>
          <cell r="CF1080">
            <v>3</v>
          </cell>
          <cell r="CG1080">
            <v>3</v>
          </cell>
          <cell r="CH1080">
            <v>3</v>
          </cell>
          <cell r="CI1080">
            <v>3</v>
          </cell>
          <cell r="CJ1080">
            <v>8</v>
          </cell>
          <cell r="CK1080">
            <v>0</v>
          </cell>
          <cell r="CL1080">
            <v>4</v>
          </cell>
          <cell r="CM1080">
            <v>4</v>
          </cell>
          <cell r="CR1080">
            <v>0</v>
          </cell>
          <cell r="CS1080">
            <v>0</v>
          </cell>
          <cell r="CT1080">
            <v>61</v>
          </cell>
          <cell r="CU1080">
            <v>8</v>
          </cell>
          <cell r="CV1080">
            <v>0</v>
          </cell>
          <cell r="CZ1080">
            <v>69</v>
          </cell>
        </row>
        <row r="1081">
          <cell r="C1081" t="str">
            <v>04720</v>
          </cell>
          <cell r="D1081" t="str">
            <v>Bùi Thị Diễm My</v>
          </cell>
          <cell r="E1081" t="str">
            <v>Production</v>
          </cell>
          <cell r="F1081" t="str">
            <v>Packing</v>
          </cell>
          <cell r="G1081" t="str">
            <v>Worker</v>
          </cell>
          <cell r="H1081">
            <v>45866</v>
          </cell>
          <cell r="I1081" t="str">
            <v>Đ</v>
          </cell>
          <cell r="J1081" t="str">
            <v>Đ</v>
          </cell>
          <cell r="K1081" t="str">
            <v>Đ</v>
          </cell>
          <cell r="L1081" t="str">
            <v>CN</v>
          </cell>
          <cell r="M1081">
            <v>8</v>
          </cell>
          <cell r="N1081">
            <v>8</v>
          </cell>
          <cell r="O1081">
            <v>8</v>
          </cell>
          <cell r="P1081">
            <v>8</v>
          </cell>
          <cell r="Q1081">
            <v>8</v>
          </cell>
          <cell r="R1081">
            <v>8</v>
          </cell>
          <cell r="S1081" t="str">
            <v>CN</v>
          </cell>
          <cell r="T1081" t="str">
            <v>Đ</v>
          </cell>
          <cell r="U1081" t="str">
            <v>Đ</v>
          </cell>
          <cell r="V1081" t="str">
            <v>Đ</v>
          </cell>
          <cell r="W1081" t="str">
            <v>Đ</v>
          </cell>
          <cell r="X1081" t="str">
            <v>Đ</v>
          </cell>
          <cell r="Y1081" t="str">
            <v>Đ</v>
          </cell>
          <cell r="Z1081" t="str">
            <v>CN</v>
          </cell>
          <cell r="AA1081">
            <v>8</v>
          </cell>
          <cell r="AB1081">
            <v>8</v>
          </cell>
          <cell r="AC1081">
            <v>8</v>
          </cell>
          <cell r="AD1081">
            <v>8</v>
          </cell>
          <cell r="AE1081">
            <v>8</v>
          </cell>
          <cell r="AF1081">
            <v>8</v>
          </cell>
          <cell r="AG1081" t="str">
            <v>CN</v>
          </cell>
          <cell r="AH1081" t="str">
            <v>Đ</v>
          </cell>
          <cell r="AI1081" t="str">
            <v>Đ</v>
          </cell>
          <cell r="AJ1081" t="str">
            <v>Đ</v>
          </cell>
          <cell r="AN1081">
            <v>96</v>
          </cell>
          <cell r="AO1081">
            <v>96</v>
          </cell>
          <cell r="AP1081">
            <v>0</v>
          </cell>
          <cell r="AQ1081">
            <v>0</v>
          </cell>
          <cell r="AR1081">
            <v>0</v>
          </cell>
          <cell r="AS1081">
            <v>0</v>
          </cell>
          <cell r="AT1081">
            <v>0</v>
          </cell>
          <cell r="AU1081">
            <v>0</v>
          </cell>
          <cell r="AV1081">
            <v>0</v>
          </cell>
          <cell r="AW1081">
            <v>0</v>
          </cell>
          <cell r="AX1081">
            <v>0</v>
          </cell>
          <cell r="AY1081">
            <v>0</v>
          </cell>
          <cell r="AZ1081">
            <v>0</v>
          </cell>
          <cell r="BA1081">
            <v>0</v>
          </cell>
          <cell r="BB1081">
            <v>0</v>
          </cell>
          <cell r="BC1081">
            <v>0</v>
          </cell>
          <cell r="BD1081">
            <v>0</v>
          </cell>
          <cell r="BE1081">
            <v>0</v>
          </cell>
          <cell r="BF1081">
            <v>0</v>
          </cell>
          <cell r="BG1081">
            <v>192</v>
          </cell>
          <cell r="BH1081">
            <v>0</v>
          </cell>
          <cell r="BI1081">
            <v>0</v>
          </cell>
          <cell r="BJ1081">
            <v>0</v>
          </cell>
          <cell r="BL1081">
            <v>0</v>
          </cell>
          <cell r="BM1081">
            <v>0</v>
          </cell>
          <cell r="BN1081">
            <v>0</v>
          </cell>
          <cell r="BO1081">
            <v>0</v>
          </cell>
          <cell r="BP1081">
            <v>1.5</v>
          </cell>
          <cell r="BQ1081">
            <v>3</v>
          </cell>
          <cell r="BR1081">
            <v>0</v>
          </cell>
          <cell r="BS1081">
            <v>3</v>
          </cell>
          <cell r="BT1081">
            <v>3</v>
          </cell>
          <cell r="BU1081">
            <v>0</v>
          </cell>
          <cell r="BV1081">
            <v>0</v>
          </cell>
          <cell r="BW1081">
            <v>3</v>
          </cell>
          <cell r="BX1081">
            <v>3</v>
          </cell>
          <cell r="BY1081">
            <v>4</v>
          </cell>
          <cell r="BZ1081">
            <v>4</v>
          </cell>
          <cell r="CA1081">
            <v>4</v>
          </cell>
          <cell r="CB1081">
            <v>4</v>
          </cell>
          <cell r="CC1081">
            <v>0</v>
          </cell>
          <cell r="CD1081">
            <v>3</v>
          </cell>
          <cell r="CE1081">
            <v>3</v>
          </cell>
          <cell r="CF1081">
            <v>3</v>
          </cell>
          <cell r="CG1081">
            <v>3</v>
          </cell>
          <cell r="CH1081">
            <v>3</v>
          </cell>
          <cell r="CI1081">
            <v>3</v>
          </cell>
          <cell r="CJ1081">
            <v>8</v>
          </cell>
          <cell r="CK1081">
            <v>4</v>
          </cell>
          <cell r="CL1081">
            <v>4</v>
          </cell>
          <cell r="CM1081">
            <v>4</v>
          </cell>
          <cell r="CR1081">
            <v>0</v>
          </cell>
          <cell r="CS1081">
            <v>0</v>
          </cell>
          <cell r="CT1081">
            <v>62.5</v>
          </cell>
          <cell r="CU1081">
            <v>8</v>
          </cell>
          <cell r="CV1081">
            <v>0</v>
          </cell>
          <cell r="CZ1081">
            <v>70.5</v>
          </cell>
        </row>
        <row r="1082">
          <cell r="C1082" t="str">
            <v>04721</v>
          </cell>
          <cell r="D1082" t="str">
            <v>Hoàng Thị Hồng Như</v>
          </cell>
          <cell r="E1082" t="str">
            <v>Production</v>
          </cell>
          <cell r="F1082" t="str">
            <v>Packing</v>
          </cell>
          <cell r="G1082" t="str">
            <v>Worker</v>
          </cell>
          <cell r="H1082">
            <v>45866</v>
          </cell>
          <cell r="I1082">
            <v>8</v>
          </cell>
          <cell r="J1082">
            <v>8</v>
          </cell>
          <cell r="K1082">
            <v>8</v>
          </cell>
          <cell r="L1082" t="str">
            <v>CN</v>
          </cell>
          <cell r="M1082">
            <v>8</v>
          </cell>
          <cell r="N1082">
            <v>8</v>
          </cell>
          <cell r="O1082">
            <v>8</v>
          </cell>
          <cell r="P1082">
            <v>8</v>
          </cell>
          <cell r="Q1082">
            <v>8</v>
          </cell>
          <cell r="R1082">
            <v>8</v>
          </cell>
          <cell r="S1082" t="str">
            <v>CN</v>
          </cell>
          <cell r="T1082">
            <v>8</v>
          </cell>
          <cell r="U1082">
            <v>8</v>
          </cell>
          <cell r="V1082">
            <v>8</v>
          </cell>
          <cell r="W1082">
            <v>8</v>
          </cell>
          <cell r="X1082">
            <v>8</v>
          </cell>
          <cell r="Y1082">
            <v>8</v>
          </cell>
          <cell r="Z1082" t="str">
            <v>CN</v>
          </cell>
          <cell r="AA1082">
            <v>8</v>
          </cell>
          <cell r="AB1082">
            <v>8</v>
          </cell>
          <cell r="AC1082">
            <v>8</v>
          </cell>
          <cell r="AD1082">
            <v>8</v>
          </cell>
          <cell r="AE1082">
            <v>8</v>
          </cell>
          <cell r="AF1082">
            <v>8</v>
          </cell>
          <cell r="AG1082" t="str">
            <v>CN</v>
          </cell>
          <cell r="AH1082">
            <v>8</v>
          </cell>
          <cell r="AI1082">
            <v>8</v>
          </cell>
          <cell r="AJ1082">
            <v>8</v>
          </cell>
          <cell r="AN1082">
            <v>0</v>
          </cell>
          <cell r="AO1082">
            <v>192</v>
          </cell>
          <cell r="AP1082">
            <v>0</v>
          </cell>
          <cell r="AQ1082">
            <v>0</v>
          </cell>
          <cell r="AR1082">
            <v>0</v>
          </cell>
          <cell r="AS1082">
            <v>0</v>
          </cell>
          <cell r="AT1082">
            <v>0</v>
          </cell>
          <cell r="AU1082">
            <v>0</v>
          </cell>
          <cell r="AV1082">
            <v>0</v>
          </cell>
          <cell r="AW1082">
            <v>0</v>
          </cell>
          <cell r="AX1082">
            <v>0</v>
          </cell>
          <cell r="AY1082">
            <v>0</v>
          </cell>
          <cell r="AZ1082">
            <v>0</v>
          </cell>
          <cell r="BA1082">
            <v>0</v>
          </cell>
          <cell r="BB1082">
            <v>0</v>
          </cell>
          <cell r="BC1082">
            <v>0</v>
          </cell>
          <cell r="BD1082">
            <v>0</v>
          </cell>
          <cell r="BE1082">
            <v>0</v>
          </cell>
          <cell r="BF1082">
            <v>0</v>
          </cell>
          <cell r="BG1082">
            <v>192</v>
          </cell>
          <cell r="BH1082">
            <v>0</v>
          </cell>
          <cell r="BI1082">
            <v>0</v>
          </cell>
          <cell r="BJ1082">
            <v>2.5</v>
          </cell>
          <cell r="BL1082">
            <v>0</v>
          </cell>
          <cell r="BM1082">
            <v>2</v>
          </cell>
          <cell r="BN1082">
            <v>2</v>
          </cell>
          <cell r="BO1082">
            <v>0</v>
          </cell>
          <cell r="BP1082">
            <v>1.5</v>
          </cell>
          <cell r="BQ1082">
            <v>3</v>
          </cell>
          <cell r="BR1082">
            <v>0</v>
          </cell>
          <cell r="BS1082">
            <v>3</v>
          </cell>
          <cell r="BT1082">
            <v>3</v>
          </cell>
          <cell r="BU1082">
            <v>0</v>
          </cell>
          <cell r="BV1082">
            <v>0</v>
          </cell>
          <cell r="BW1082">
            <v>3</v>
          </cell>
          <cell r="BX1082">
            <v>3</v>
          </cell>
          <cell r="BY1082">
            <v>1.5</v>
          </cell>
          <cell r="BZ1082">
            <v>3</v>
          </cell>
          <cell r="CA1082">
            <v>3</v>
          </cell>
          <cell r="CB1082">
            <v>3</v>
          </cell>
          <cell r="CC1082">
            <v>8</v>
          </cell>
          <cell r="CD1082">
            <v>3</v>
          </cell>
          <cell r="CE1082">
            <v>3</v>
          </cell>
          <cell r="CF1082">
            <v>3</v>
          </cell>
          <cell r="CG1082">
            <v>3</v>
          </cell>
          <cell r="CH1082">
            <v>3</v>
          </cell>
          <cell r="CI1082">
            <v>3</v>
          </cell>
          <cell r="CJ1082">
            <v>8</v>
          </cell>
          <cell r="CK1082">
            <v>3</v>
          </cell>
          <cell r="CL1082">
            <v>3</v>
          </cell>
          <cell r="CM1082">
            <v>3</v>
          </cell>
          <cell r="CR1082">
            <v>0</v>
          </cell>
          <cell r="CS1082">
            <v>0</v>
          </cell>
          <cell r="CT1082">
            <v>58</v>
          </cell>
          <cell r="CU1082">
            <v>16</v>
          </cell>
          <cell r="CV1082">
            <v>0</v>
          </cell>
          <cell r="CZ1082">
            <v>74</v>
          </cell>
        </row>
        <row r="1083">
          <cell r="C1083" t="str">
            <v>04722</v>
          </cell>
          <cell r="D1083" t="str">
            <v>Võ Hoàng Sinh Em</v>
          </cell>
          <cell r="E1083" t="str">
            <v>Production</v>
          </cell>
          <cell r="F1083" t="str">
            <v>Skiving</v>
          </cell>
          <cell r="G1083" t="str">
            <v>Worker</v>
          </cell>
          <cell r="H1083">
            <v>45866</v>
          </cell>
          <cell r="I1083">
            <v>8</v>
          </cell>
          <cell r="J1083">
            <v>8</v>
          </cell>
          <cell r="K1083">
            <v>8</v>
          </cell>
          <cell r="L1083" t="str">
            <v>CN</v>
          </cell>
          <cell r="M1083" t="str">
            <v>AL4Đ</v>
          </cell>
          <cell r="N1083" t="str">
            <v>UP8</v>
          </cell>
          <cell r="O1083" t="str">
            <v>UP8</v>
          </cell>
          <cell r="P1083" t="str">
            <v>UP8</v>
          </cell>
          <cell r="Q1083" t="str">
            <v>AL8</v>
          </cell>
          <cell r="R1083" t="str">
            <v>Đ</v>
          </cell>
          <cell r="S1083" t="str">
            <v>CN</v>
          </cell>
          <cell r="T1083">
            <v>8</v>
          </cell>
          <cell r="U1083">
            <v>8</v>
          </cell>
          <cell r="V1083">
            <v>8</v>
          </cell>
          <cell r="W1083">
            <v>8</v>
          </cell>
          <cell r="X1083">
            <v>8</v>
          </cell>
          <cell r="Y1083">
            <v>8</v>
          </cell>
          <cell r="Z1083" t="str">
            <v>CN</v>
          </cell>
          <cell r="AA1083" t="str">
            <v>Đ</v>
          </cell>
          <cell r="AB1083" t="str">
            <v>Đ</v>
          </cell>
          <cell r="AC1083" t="str">
            <v>Đ</v>
          </cell>
          <cell r="AD1083" t="str">
            <v>Đ</v>
          </cell>
          <cell r="AE1083" t="str">
            <v>Đ</v>
          </cell>
          <cell r="AF1083" t="str">
            <v>Đ</v>
          </cell>
          <cell r="AG1083" t="str">
            <v>CN</v>
          </cell>
          <cell r="AH1083">
            <v>8</v>
          </cell>
          <cell r="AI1083">
            <v>8</v>
          </cell>
          <cell r="AJ1083">
            <v>8</v>
          </cell>
          <cell r="AN1083">
            <v>60</v>
          </cell>
          <cell r="AO1083">
            <v>96</v>
          </cell>
          <cell r="AP1083">
            <v>0</v>
          </cell>
          <cell r="AQ1083">
            <v>0</v>
          </cell>
          <cell r="AR1083">
            <v>0</v>
          </cell>
          <cell r="AS1083">
            <v>24</v>
          </cell>
          <cell r="AT1083">
            <v>0</v>
          </cell>
          <cell r="AU1083">
            <v>0</v>
          </cell>
          <cell r="AV1083">
            <v>0</v>
          </cell>
          <cell r="AW1083">
            <v>0</v>
          </cell>
          <cell r="AX1083">
            <v>0</v>
          </cell>
          <cell r="AY1083">
            <v>0</v>
          </cell>
          <cell r="AZ1083">
            <v>0</v>
          </cell>
          <cell r="BA1083">
            <v>12</v>
          </cell>
          <cell r="BB1083">
            <v>0</v>
          </cell>
          <cell r="BC1083">
            <v>0</v>
          </cell>
          <cell r="BD1083">
            <v>0</v>
          </cell>
          <cell r="BE1083">
            <v>0</v>
          </cell>
          <cell r="BF1083">
            <v>0</v>
          </cell>
          <cell r="BG1083">
            <v>168</v>
          </cell>
          <cell r="BH1083">
            <v>1.5</v>
          </cell>
          <cell r="BI1083">
            <v>1.5</v>
          </cell>
          <cell r="BJ1083">
            <v>1</v>
          </cell>
          <cell r="BL1083">
            <v>0</v>
          </cell>
          <cell r="BM1083">
            <v>1.5</v>
          </cell>
          <cell r="BN1083">
            <v>0</v>
          </cell>
          <cell r="BO1083">
            <v>0</v>
          </cell>
          <cell r="BP1083">
            <v>1.5</v>
          </cell>
          <cell r="BQ1083">
            <v>0</v>
          </cell>
          <cell r="BR1083">
            <v>0</v>
          </cell>
          <cell r="BS1083">
            <v>0</v>
          </cell>
          <cell r="BT1083">
            <v>0</v>
          </cell>
          <cell r="BU1083">
            <v>0</v>
          </cell>
          <cell r="BV1083">
            <v>0</v>
          </cell>
          <cell r="BW1083">
            <v>3</v>
          </cell>
          <cell r="BX1083">
            <v>3</v>
          </cell>
          <cell r="BY1083">
            <v>3</v>
          </cell>
          <cell r="BZ1083">
            <v>3</v>
          </cell>
          <cell r="CA1083">
            <v>3</v>
          </cell>
          <cell r="CB1083">
            <v>3</v>
          </cell>
          <cell r="CC1083">
            <v>8</v>
          </cell>
          <cell r="CD1083">
            <v>4</v>
          </cell>
          <cell r="CE1083">
            <v>4</v>
          </cell>
          <cell r="CF1083">
            <v>4</v>
          </cell>
          <cell r="CG1083">
            <v>4</v>
          </cell>
          <cell r="CH1083">
            <v>1.5</v>
          </cell>
          <cell r="CI1083">
            <v>1.5</v>
          </cell>
          <cell r="CJ1083">
            <v>0</v>
          </cell>
          <cell r="CK1083">
            <v>1.5</v>
          </cell>
          <cell r="CL1083">
            <v>1.5</v>
          </cell>
          <cell r="CM1083">
            <v>1.5</v>
          </cell>
          <cell r="CR1083">
            <v>0</v>
          </cell>
          <cell r="CS1083">
            <v>0</v>
          </cell>
          <cell r="CT1083">
            <v>44.5</v>
          </cell>
          <cell r="CU1083">
            <v>8</v>
          </cell>
          <cell r="CV1083">
            <v>0</v>
          </cell>
          <cell r="CZ1083">
            <v>52.5</v>
          </cell>
        </row>
        <row r="1084">
          <cell r="C1084" t="str">
            <v>04723</v>
          </cell>
          <cell r="D1084" t="str">
            <v xml:space="preserve">Phan Nguyễn Minh Thiên Trung </v>
          </cell>
          <cell r="E1084" t="str">
            <v>Production</v>
          </cell>
          <cell r="F1084" t="str">
            <v>Die Cut</v>
          </cell>
          <cell r="G1084" t="str">
            <v>Worker</v>
          </cell>
          <cell r="H1084">
            <v>45866</v>
          </cell>
          <cell r="I1084" t="str">
            <v>Đ</v>
          </cell>
          <cell r="J1084" t="str">
            <v>Đ</v>
          </cell>
          <cell r="K1084" t="str">
            <v>Đ</v>
          </cell>
          <cell r="L1084" t="str">
            <v>CN</v>
          </cell>
          <cell r="M1084">
            <v>8</v>
          </cell>
          <cell r="N1084">
            <v>8</v>
          </cell>
          <cell r="O1084">
            <v>8</v>
          </cell>
          <cell r="P1084">
            <v>8</v>
          </cell>
          <cell r="Q1084">
            <v>8</v>
          </cell>
          <cell r="R1084" t="str">
            <v>AL4</v>
          </cell>
          <cell r="S1084" t="str">
            <v>CN</v>
          </cell>
          <cell r="T1084" t="str">
            <v>Đ</v>
          </cell>
          <cell r="U1084" t="str">
            <v>Đ</v>
          </cell>
          <cell r="V1084" t="str">
            <v>Đ</v>
          </cell>
          <cell r="W1084" t="str">
            <v>Đ</v>
          </cell>
          <cell r="X1084" t="str">
            <v>Đ</v>
          </cell>
          <cell r="Y1084" t="str">
            <v>Đ</v>
          </cell>
          <cell r="Z1084" t="str">
            <v>CN</v>
          </cell>
          <cell r="AA1084">
            <v>8</v>
          </cell>
          <cell r="AB1084" t="str">
            <v>AL4</v>
          </cell>
          <cell r="AC1084">
            <v>8</v>
          </cell>
          <cell r="AD1084">
            <v>8</v>
          </cell>
          <cell r="AE1084">
            <v>8</v>
          </cell>
          <cell r="AF1084">
            <v>8</v>
          </cell>
          <cell r="AG1084" t="str">
            <v>CN</v>
          </cell>
          <cell r="AH1084" t="str">
            <v>Đ</v>
          </cell>
          <cell r="AI1084" t="str">
            <v>AL8</v>
          </cell>
          <cell r="AJ1084" t="str">
            <v>AL8</v>
          </cell>
          <cell r="AN1084">
            <v>80</v>
          </cell>
          <cell r="AO1084">
            <v>88</v>
          </cell>
          <cell r="AP1084">
            <v>8</v>
          </cell>
          <cell r="AQ1084">
            <v>0</v>
          </cell>
          <cell r="AR1084">
            <v>0</v>
          </cell>
          <cell r="AS1084">
            <v>0</v>
          </cell>
          <cell r="AT1084">
            <v>0</v>
          </cell>
          <cell r="AU1084">
            <v>0</v>
          </cell>
          <cell r="AV1084">
            <v>0</v>
          </cell>
          <cell r="AW1084">
            <v>0</v>
          </cell>
          <cell r="AX1084">
            <v>0</v>
          </cell>
          <cell r="AY1084">
            <v>0</v>
          </cell>
          <cell r="AZ1084">
            <v>0</v>
          </cell>
          <cell r="BA1084">
            <v>24</v>
          </cell>
          <cell r="BB1084">
            <v>0</v>
          </cell>
          <cell r="BC1084">
            <v>0</v>
          </cell>
          <cell r="BD1084">
            <v>0</v>
          </cell>
          <cell r="BE1084">
            <v>0</v>
          </cell>
          <cell r="BF1084">
            <v>0</v>
          </cell>
          <cell r="BG1084">
            <v>192</v>
          </cell>
          <cell r="BH1084">
            <v>3</v>
          </cell>
          <cell r="BI1084">
            <v>3</v>
          </cell>
          <cell r="BJ1084">
            <v>-1</v>
          </cell>
          <cell r="BL1084">
            <v>0</v>
          </cell>
          <cell r="BM1084">
            <v>0</v>
          </cell>
          <cell r="BN1084">
            <v>0</v>
          </cell>
          <cell r="BO1084">
            <v>0</v>
          </cell>
          <cell r="BP1084">
            <v>1.5</v>
          </cell>
          <cell r="BQ1084">
            <v>0</v>
          </cell>
          <cell r="BR1084">
            <v>0</v>
          </cell>
          <cell r="BS1084">
            <v>3</v>
          </cell>
          <cell r="BT1084">
            <v>0</v>
          </cell>
          <cell r="BU1084">
            <v>0</v>
          </cell>
          <cell r="BV1084">
            <v>0</v>
          </cell>
          <cell r="BW1084">
            <v>3</v>
          </cell>
          <cell r="BX1084">
            <v>4</v>
          </cell>
          <cell r="BY1084">
            <v>4</v>
          </cell>
          <cell r="BZ1084">
            <v>4</v>
          </cell>
          <cell r="CA1084">
            <v>4</v>
          </cell>
          <cell r="CB1084">
            <v>4</v>
          </cell>
          <cell r="CC1084">
            <v>0</v>
          </cell>
          <cell r="CD1084">
            <v>3</v>
          </cell>
          <cell r="CE1084">
            <v>2</v>
          </cell>
          <cell r="CF1084">
            <v>3</v>
          </cell>
          <cell r="CG1084">
            <v>3</v>
          </cell>
          <cell r="CH1084">
            <v>1.5</v>
          </cell>
          <cell r="CI1084">
            <v>1.5</v>
          </cell>
          <cell r="CJ1084">
            <v>8</v>
          </cell>
          <cell r="CK1084">
            <v>1.5</v>
          </cell>
          <cell r="CL1084">
            <v>0</v>
          </cell>
          <cell r="CM1084">
            <v>0</v>
          </cell>
          <cell r="CR1084">
            <v>0</v>
          </cell>
          <cell r="CS1084">
            <v>0</v>
          </cell>
          <cell r="CT1084">
            <v>43</v>
          </cell>
          <cell r="CU1084">
            <v>8</v>
          </cell>
          <cell r="CV1084">
            <v>0</v>
          </cell>
          <cell r="CZ1084">
            <v>51</v>
          </cell>
        </row>
        <row r="1085">
          <cell r="C1085" t="str">
            <v>04724</v>
          </cell>
          <cell r="D1085" t="str">
            <v>Kim Thị Sên</v>
          </cell>
          <cell r="E1085" t="str">
            <v>Production</v>
          </cell>
          <cell r="F1085" t="str">
            <v>Logo</v>
          </cell>
          <cell r="G1085" t="str">
            <v>Worker</v>
          </cell>
          <cell r="H1085">
            <v>45866</v>
          </cell>
          <cell r="I1085" t="str">
            <v>Đ</v>
          </cell>
          <cell r="J1085" t="str">
            <v>Đ</v>
          </cell>
          <cell r="K1085" t="str">
            <v>Đ</v>
          </cell>
          <cell r="L1085" t="str">
            <v>CN</v>
          </cell>
          <cell r="M1085">
            <v>8</v>
          </cell>
          <cell r="N1085">
            <v>8</v>
          </cell>
          <cell r="O1085">
            <v>8</v>
          </cell>
          <cell r="P1085">
            <v>8</v>
          </cell>
          <cell r="Q1085">
            <v>8</v>
          </cell>
          <cell r="R1085">
            <v>8</v>
          </cell>
          <cell r="S1085" t="str">
            <v>CN</v>
          </cell>
          <cell r="T1085" t="str">
            <v>Đ</v>
          </cell>
          <cell r="U1085" t="str">
            <v>Đ</v>
          </cell>
          <cell r="V1085" t="str">
            <v>Đ</v>
          </cell>
          <cell r="W1085" t="str">
            <v>Đ</v>
          </cell>
          <cell r="X1085" t="str">
            <v>Đ</v>
          </cell>
          <cell r="Y1085" t="str">
            <v>Đ</v>
          </cell>
          <cell r="Z1085" t="str">
            <v>CN</v>
          </cell>
          <cell r="AA1085">
            <v>8</v>
          </cell>
          <cell r="AB1085">
            <v>8</v>
          </cell>
          <cell r="AC1085">
            <v>8</v>
          </cell>
          <cell r="AD1085">
            <v>8</v>
          </cell>
          <cell r="AE1085">
            <v>8</v>
          </cell>
          <cell r="AF1085">
            <v>8</v>
          </cell>
          <cell r="AG1085" t="str">
            <v>CN</v>
          </cell>
          <cell r="AH1085" t="str">
            <v>Đ</v>
          </cell>
          <cell r="AI1085" t="str">
            <v>Đ</v>
          </cell>
          <cell r="AJ1085" t="str">
            <v>Đ</v>
          </cell>
          <cell r="AN1085">
            <v>96</v>
          </cell>
          <cell r="AO1085">
            <v>96</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192</v>
          </cell>
          <cell r="BH1085">
            <v>0</v>
          </cell>
          <cell r="BI1085">
            <v>0</v>
          </cell>
          <cell r="BJ1085">
            <v>-2</v>
          </cell>
          <cell r="BL1085">
            <v>1.5</v>
          </cell>
          <cell r="BM1085">
            <v>1.5</v>
          </cell>
          <cell r="BN1085">
            <v>1.5</v>
          </cell>
          <cell r="BO1085">
            <v>0</v>
          </cell>
          <cell r="BP1085">
            <v>1.5</v>
          </cell>
          <cell r="BQ1085">
            <v>0</v>
          </cell>
          <cell r="BR1085">
            <v>0</v>
          </cell>
          <cell r="BS1085">
            <v>3</v>
          </cell>
          <cell r="BT1085">
            <v>3</v>
          </cell>
          <cell r="BU1085">
            <v>3</v>
          </cell>
          <cell r="BV1085">
            <v>0</v>
          </cell>
          <cell r="BW1085">
            <v>4</v>
          </cell>
          <cell r="BX1085">
            <v>4</v>
          </cell>
          <cell r="BY1085">
            <v>4</v>
          </cell>
          <cell r="BZ1085">
            <v>4</v>
          </cell>
          <cell r="CA1085">
            <v>4</v>
          </cell>
          <cell r="CB1085">
            <v>4</v>
          </cell>
          <cell r="CC1085">
            <v>0</v>
          </cell>
          <cell r="CD1085">
            <v>3</v>
          </cell>
          <cell r="CE1085">
            <v>3</v>
          </cell>
          <cell r="CF1085">
            <v>3</v>
          </cell>
          <cell r="CG1085">
            <v>3</v>
          </cell>
          <cell r="CH1085">
            <v>3</v>
          </cell>
          <cell r="CI1085">
            <v>3</v>
          </cell>
          <cell r="CJ1085">
            <v>8</v>
          </cell>
          <cell r="CK1085">
            <v>4</v>
          </cell>
          <cell r="CL1085">
            <v>4</v>
          </cell>
          <cell r="CM1085">
            <v>4</v>
          </cell>
          <cell r="CR1085">
            <v>0</v>
          </cell>
          <cell r="CS1085">
            <v>0</v>
          </cell>
          <cell r="CT1085">
            <v>69</v>
          </cell>
          <cell r="CU1085">
            <v>8</v>
          </cell>
          <cell r="CV1085">
            <v>0</v>
          </cell>
          <cell r="CZ1085">
            <v>77</v>
          </cell>
        </row>
        <row r="1086">
          <cell r="C1086" t="str">
            <v>04726</v>
          </cell>
          <cell r="D1086" t="str">
            <v>Nguyễn Thị Cẩm Tiên</v>
          </cell>
          <cell r="E1086" t="str">
            <v>Production</v>
          </cell>
          <cell r="F1086" t="str">
            <v>Logo</v>
          </cell>
          <cell r="G1086" t="str">
            <v>Worker</v>
          </cell>
          <cell r="H1086">
            <v>45866</v>
          </cell>
          <cell r="I1086" t="str">
            <v>Đ</v>
          </cell>
          <cell r="J1086" t="str">
            <v>Đ</v>
          </cell>
          <cell r="K1086" t="str">
            <v>Đ</v>
          </cell>
          <cell r="L1086" t="str">
            <v>CN</v>
          </cell>
          <cell r="M1086">
            <v>8</v>
          </cell>
          <cell r="N1086">
            <v>8</v>
          </cell>
          <cell r="O1086">
            <v>8</v>
          </cell>
          <cell r="P1086">
            <v>8</v>
          </cell>
          <cell r="Q1086">
            <v>8</v>
          </cell>
          <cell r="R1086">
            <v>8</v>
          </cell>
          <cell r="S1086" t="str">
            <v>CN</v>
          </cell>
          <cell r="T1086" t="str">
            <v>Đ</v>
          </cell>
          <cell r="U1086" t="str">
            <v>Đ</v>
          </cell>
          <cell r="V1086" t="str">
            <v>Đ</v>
          </cell>
          <cell r="W1086" t="str">
            <v>Đ</v>
          </cell>
          <cell r="X1086" t="str">
            <v>Đ</v>
          </cell>
          <cell r="Y1086" t="str">
            <v>AL4Đ</v>
          </cell>
          <cell r="Z1086" t="str">
            <v>CN</v>
          </cell>
          <cell r="AA1086" t="str">
            <v>UP8</v>
          </cell>
          <cell r="AB1086" t="str">
            <v>UP8</v>
          </cell>
          <cell r="AC1086" t="str">
            <v>Đ</v>
          </cell>
          <cell r="AD1086" t="str">
            <v>Đ</v>
          </cell>
          <cell r="AE1086" t="str">
            <v>Đ</v>
          </cell>
          <cell r="AF1086" t="str">
            <v>Đ</v>
          </cell>
          <cell r="AG1086" t="str">
            <v>CN</v>
          </cell>
          <cell r="AH1086">
            <v>8</v>
          </cell>
          <cell r="AI1086">
            <v>8</v>
          </cell>
          <cell r="AJ1086">
            <v>8</v>
          </cell>
          <cell r="AN1086">
            <v>100</v>
          </cell>
          <cell r="AO1086">
            <v>72</v>
          </cell>
          <cell r="AP1086">
            <v>0</v>
          </cell>
          <cell r="AQ1086">
            <v>0</v>
          </cell>
          <cell r="AR1086">
            <v>0</v>
          </cell>
          <cell r="AS1086">
            <v>16</v>
          </cell>
          <cell r="AT1086">
            <v>0</v>
          </cell>
          <cell r="AU1086">
            <v>0</v>
          </cell>
          <cell r="AV1086">
            <v>0</v>
          </cell>
          <cell r="AW1086">
            <v>0</v>
          </cell>
          <cell r="AX1086">
            <v>0</v>
          </cell>
          <cell r="AY1086">
            <v>0</v>
          </cell>
          <cell r="AZ1086">
            <v>0</v>
          </cell>
          <cell r="BA1086">
            <v>4</v>
          </cell>
          <cell r="BB1086">
            <v>0</v>
          </cell>
          <cell r="BC1086">
            <v>0</v>
          </cell>
          <cell r="BD1086">
            <v>0</v>
          </cell>
          <cell r="BE1086">
            <v>0</v>
          </cell>
          <cell r="BF1086">
            <v>0</v>
          </cell>
          <cell r="BG1086">
            <v>176</v>
          </cell>
          <cell r="BH1086">
            <v>0.5</v>
          </cell>
          <cell r="BI1086">
            <v>0.5</v>
          </cell>
          <cell r="BJ1086">
            <v>-3.5</v>
          </cell>
          <cell r="BL1086">
            <v>0</v>
          </cell>
          <cell r="BM1086">
            <v>1.5</v>
          </cell>
          <cell r="BN1086">
            <v>1.5</v>
          </cell>
          <cell r="BO1086">
            <v>0</v>
          </cell>
          <cell r="BP1086">
            <v>1.5</v>
          </cell>
          <cell r="BQ1086">
            <v>3</v>
          </cell>
          <cell r="BR1086">
            <v>0</v>
          </cell>
          <cell r="BS1086">
            <v>3</v>
          </cell>
          <cell r="BT1086">
            <v>3</v>
          </cell>
          <cell r="BU1086">
            <v>0</v>
          </cell>
          <cell r="BV1086">
            <v>0</v>
          </cell>
          <cell r="BW1086">
            <v>3</v>
          </cell>
          <cell r="BX1086">
            <v>3</v>
          </cell>
          <cell r="BY1086">
            <v>4</v>
          </cell>
          <cell r="BZ1086">
            <v>4</v>
          </cell>
          <cell r="CA1086">
            <v>4</v>
          </cell>
          <cell r="CB1086">
            <v>4</v>
          </cell>
          <cell r="CC1086">
            <v>0</v>
          </cell>
          <cell r="CD1086">
            <v>0</v>
          </cell>
          <cell r="CE1086">
            <v>0</v>
          </cell>
          <cell r="CF1086">
            <v>0</v>
          </cell>
          <cell r="CG1086">
            <v>4</v>
          </cell>
          <cell r="CH1086">
            <v>4</v>
          </cell>
          <cell r="CI1086">
            <v>4</v>
          </cell>
          <cell r="CJ1086">
            <v>0</v>
          </cell>
          <cell r="CK1086">
            <v>3</v>
          </cell>
          <cell r="CL1086">
            <v>3</v>
          </cell>
          <cell r="CM1086">
            <v>3</v>
          </cell>
          <cell r="CR1086">
            <v>0</v>
          </cell>
          <cell r="CS1086">
            <v>0</v>
          </cell>
          <cell r="CT1086">
            <v>56.5</v>
          </cell>
          <cell r="CU1086">
            <v>0</v>
          </cell>
          <cell r="CV1086">
            <v>0</v>
          </cell>
          <cell r="CZ1086">
            <v>56.5</v>
          </cell>
        </row>
        <row r="1087">
          <cell r="C1087" t="str">
            <v>04727</v>
          </cell>
          <cell r="D1087" t="str">
            <v>Liên Kim Xuyên</v>
          </cell>
          <cell r="E1087" t="str">
            <v>Production</v>
          </cell>
          <cell r="F1087" t="str">
            <v>Packing</v>
          </cell>
          <cell r="G1087" t="str">
            <v>Worker</v>
          </cell>
          <cell r="H1087">
            <v>45866</v>
          </cell>
          <cell r="I1087">
            <v>8</v>
          </cell>
          <cell r="J1087">
            <v>8</v>
          </cell>
          <cell r="K1087">
            <v>8</v>
          </cell>
          <cell r="L1087" t="str">
            <v>CN</v>
          </cell>
          <cell r="M1087">
            <v>8</v>
          </cell>
          <cell r="N1087">
            <v>8</v>
          </cell>
          <cell r="O1087">
            <v>8</v>
          </cell>
          <cell r="P1087">
            <v>8</v>
          </cell>
          <cell r="Q1087">
            <v>8</v>
          </cell>
          <cell r="R1087" t="str">
            <v>S</v>
          </cell>
          <cell r="S1087" t="str">
            <v>CN</v>
          </cell>
          <cell r="T1087">
            <v>8</v>
          </cell>
          <cell r="U1087">
            <v>8</v>
          </cell>
          <cell r="V1087">
            <v>8</v>
          </cell>
          <cell r="W1087">
            <v>8</v>
          </cell>
          <cell r="X1087">
            <v>8</v>
          </cell>
          <cell r="Y1087">
            <v>8</v>
          </cell>
          <cell r="Z1087" t="str">
            <v>CN</v>
          </cell>
          <cell r="AA1087">
            <v>8</v>
          </cell>
          <cell r="AB1087">
            <v>8</v>
          </cell>
          <cell r="AC1087">
            <v>8</v>
          </cell>
          <cell r="AD1087">
            <v>8</v>
          </cell>
          <cell r="AE1087">
            <v>8</v>
          </cell>
          <cell r="AF1087" t="str">
            <v>AL8</v>
          </cell>
          <cell r="AG1087" t="str">
            <v>CN</v>
          </cell>
          <cell r="AH1087">
            <v>8</v>
          </cell>
          <cell r="AI1087">
            <v>8</v>
          </cell>
          <cell r="AJ1087">
            <v>8</v>
          </cell>
          <cell r="AN1087">
            <v>0</v>
          </cell>
          <cell r="AO1087">
            <v>176</v>
          </cell>
          <cell r="AP1087">
            <v>0</v>
          </cell>
          <cell r="AQ1087">
            <v>0</v>
          </cell>
          <cell r="AR1087">
            <v>0</v>
          </cell>
          <cell r="AS1087">
            <v>0</v>
          </cell>
          <cell r="AT1087">
            <v>0</v>
          </cell>
          <cell r="AU1087">
            <v>0</v>
          </cell>
          <cell r="AV1087">
            <v>0</v>
          </cell>
          <cell r="AW1087">
            <v>8</v>
          </cell>
          <cell r="AX1087">
            <v>0</v>
          </cell>
          <cell r="AY1087">
            <v>0</v>
          </cell>
          <cell r="AZ1087">
            <v>0</v>
          </cell>
          <cell r="BA1087">
            <v>8</v>
          </cell>
          <cell r="BB1087">
            <v>0</v>
          </cell>
          <cell r="BC1087">
            <v>0</v>
          </cell>
          <cell r="BD1087">
            <v>0</v>
          </cell>
          <cell r="BE1087">
            <v>0</v>
          </cell>
          <cell r="BF1087">
            <v>0</v>
          </cell>
          <cell r="BG1087">
            <v>192</v>
          </cell>
          <cell r="BH1087">
            <v>1</v>
          </cell>
          <cell r="BI1087">
            <v>1</v>
          </cell>
          <cell r="BJ1087">
            <v>-1.5</v>
          </cell>
          <cell r="BL1087">
            <v>0</v>
          </cell>
          <cell r="BM1087">
            <v>0</v>
          </cell>
          <cell r="BN1087">
            <v>0</v>
          </cell>
          <cell r="BO1087">
            <v>0</v>
          </cell>
          <cell r="BP1087">
            <v>0</v>
          </cell>
          <cell r="BQ1087">
            <v>0</v>
          </cell>
          <cell r="BR1087">
            <v>0</v>
          </cell>
          <cell r="BS1087">
            <v>0</v>
          </cell>
          <cell r="BT1087">
            <v>0</v>
          </cell>
          <cell r="BU1087">
            <v>0</v>
          </cell>
          <cell r="BV1087">
            <v>0</v>
          </cell>
          <cell r="BW1087">
            <v>0</v>
          </cell>
          <cell r="BX1087">
            <v>0</v>
          </cell>
          <cell r="BY1087">
            <v>0</v>
          </cell>
          <cell r="BZ1087">
            <v>0</v>
          </cell>
          <cell r="CA1087">
            <v>0</v>
          </cell>
          <cell r="CB1087">
            <v>0</v>
          </cell>
          <cell r="CC1087">
            <v>8</v>
          </cell>
          <cell r="CD1087">
            <v>0</v>
          </cell>
          <cell r="CE1087">
            <v>0</v>
          </cell>
          <cell r="CF1087">
            <v>0</v>
          </cell>
          <cell r="CG1087">
            <v>0</v>
          </cell>
          <cell r="CH1087">
            <v>0</v>
          </cell>
          <cell r="CI1087">
            <v>0</v>
          </cell>
          <cell r="CJ1087">
            <v>0</v>
          </cell>
          <cell r="CK1087">
            <v>0</v>
          </cell>
          <cell r="CL1087">
            <v>0</v>
          </cell>
          <cell r="CM1087">
            <v>0</v>
          </cell>
          <cell r="CR1087">
            <v>0</v>
          </cell>
          <cell r="CS1087">
            <v>0</v>
          </cell>
          <cell r="CT1087">
            <v>0</v>
          </cell>
          <cell r="CU1087">
            <v>8</v>
          </cell>
          <cell r="CV1087">
            <v>0</v>
          </cell>
          <cell r="CZ1087">
            <v>8</v>
          </cell>
        </row>
        <row r="1088">
          <cell r="C1088" t="str">
            <v>04728</v>
          </cell>
          <cell r="D1088" t="str">
            <v>Lý Thành Bảo</v>
          </cell>
          <cell r="E1088" t="str">
            <v>Production</v>
          </cell>
          <cell r="F1088" t="str">
            <v>Lamination</v>
          </cell>
          <cell r="G1088" t="str">
            <v>Worker</v>
          </cell>
          <cell r="H1088">
            <v>45866</v>
          </cell>
          <cell r="I1088">
            <v>8</v>
          </cell>
          <cell r="J1088">
            <v>8</v>
          </cell>
          <cell r="K1088">
            <v>8</v>
          </cell>
          <cell r="L1088" t="str">
            <v>CN</v>
          </cell>
          <cell r="M1088" t="str">
            <v>Đ</v>
          </cell>
          <cell r="N1088" t="str">
            <v>AL8</v>
          </cell>
          <cell r="O1088" t="str">
            <v>Đ</v>
          </cell>
          <cell r="P1088" t="str">
            <v>Đ</v>
          </cell>
          <cell r="Q1088" t="str">
            <v>Đ</v>
          </cell>
          <cell r="R1088" t="str">
            <v>Đ</v>
          </cell>
          <cell r="S1088" t="str">
            <v>CN</v>
          </cell>
          <cell r="T1088">
            <v>8</v>
          </cell>
          <cell r="U1088">
            <v>8</v>
          </cell>
          <cell r="V1088">
            <v>8</v>
          </cell>
          <cell r="W1088">
            <v>8</v>
          </cell>
          <cell r="X1088">
            <v>8</v>
          </cell>
          <cell r="Y1088">
            <v>8</v>
          </cell>
          <cell r="Z1088" t="str">
            <v>CN</v>
          </cell>
          <cell r="AA1088">
            <v>8</v>
          </cell>
          <cell r="AB1088">
            <v>8</v>
          </cell>
          <cell r="AC1088">
            <v>8</v>
          </cell>
          <cell r="AD1088">
            <v>8</v>
          </cell>
          <cell r="AE1088" t="str">
            <v>Đ</v>
          </cell>
          <cell r="AF1088" t="str">
            <v>Đ</v>
          </cell>
          <cell r="AG1088" t="str">
            <v>CN</v>
          </cell>
          <cell r="AH1088">
            <v>8</v>
          </cell>
          <cell r="AI1088">
            <v>8</v>
          </cell>
          <cell r="AJ1088">
            <v>8</v>
          </cell>
          <cell r="AN1088">
            <v>56</v>
          </cell>
          <cell r="AO1088">
            <v>128</v>
          </cell>
          <cell r="AP1088">
            <v>0</v>
          </cell>
          <cell r="AQ1088">
            <v>0</v>
          </cell>
          <cell r="AR1088">
            <v>0</v>
          </cell>
          <cell r="AS1088">
            <v>0</v>
          </cell>
          <cell r="AT1088">
            <v>0</v>
          </cell>
          <cell r="AU1088">
            <v>0</v>
          </cell>
          <cell r="AV1088">
            <v>0</v>
          </cell>
          <cell r="AW1088">
            <v>0</v>
          </cell>
          <cell r="AX1088">
            <v>0</v>
          </cell>
          <cell r="AY1088">
            <v>0</v>
          </cell>
          <cell r="AZ1088">
            <v>0</v>
          </cell>
          <cell r="BA1088">
            <v>8</v>
          </cell>
          <cell r="BB1088">
            <v>0</v>
          </cell>
          <cell r="BC1088">
            <v>0</v>
          </cell>
          <cell r="BD1088">
            <v>0</v>
          </cell>
          <cell r="BE1088">
            <v>0</v>
          </cell>
          <cell r="BF1088">
            <v>0</v>
          </cell>
          <cell r="BG1088">
            <v>192</v>
          </cell>
          <cell r="BH1088">
            <v>1</v>
          </cell>
          <cell r="BI1088">
            <v>1</v>
          </cell>
          <cell r="BJ1088">
            <v>1</v>
          </cell>
          <cell r="BL1088">
            <v>0</v>
          </cell>
          <cell r="BM1088">
            <v>0</v>
          </cell>
          <cell r="BN1088">
            <v>0</v>
          </cell>
          <cell r="BO1088">
            <v>0</v>
          </cell>
          <cell r="BP1088">
            <v>0</v>
          </cell>
          <cell r="BQ1088">
            <v>0</v>
          </cell>
          <cell r="BR1088">
            <v>0</v>
          </cell>
          <cell r="BS1088">
            <v>0</v>
          </cell>
          <cell r="BT1088">
            <v>0</v>
          </cell>
          <cell r="BU1088">
            <v>0</v>
          </cell>
          <cell r="BV1088">
            <v>0</v>
          </cell>
          <cell r="BW1088">
            <v>4</v>
          </cell>
          <cell r="BX1088">
            <v>0</v>
          </cell>
          <cell r="BY1088">
            <v>0</v>
          </cell>
          <cell r="BZ1088">
            <v>4</v>
          </cell>
          <cell r="CA1088">
            <v>0</v>
          </cell>
          <cell r="CB1088">
            <v>4</v>
          </cell>
          <cell r="CC1088">
            <v>0</v>
          </cell>
          <cell r="CD1088">
            <v>0</v>
          </cell>
          <cell r="CE1088">
            <v>0</v>
          </cell>
          <cell r="CF1088">
            <v>4</v>
          </cell>
          <cell r="CG1088">
            <v>0</v>
          </cell>
          <cell r="CH1088">
            <v>4</v>
          </cell>
          <cell r="CI1088">
            <v>4</v>
          </cell>
          <cell r="CJ1088">
            <v>0</v>
          </cell>
          <cell r="CK1088">
            <v>0</v>
          </cell>
          <cell r="CL1088">
            <v>4</v>
          </cell>
          <cell r="CM1088">
            <v>0</v>
          </cell>
          <cell r="CR1088">
            <v>0</v>
          </cell>
          <cell r="CS1088">
            <v>0</v>
          </cell>
          <cell r="CT1088">
            <v>28</v>
          </cell>
          <cell r="CU1088">
            <v>0</v>
          </cell>
          <cell r="CV1088">
            <v>0</v>
          </cell>
          <cell r="CZ1088">
            <v>28</v>
          </cell>
        </row>
        <row r="1089">
          <cell r="C1089" t="str">
            <v>04729</v>
          </cell>
          <cell r="D1089" t="str">
            <v>Nguyễn Văn Oanh</v>
          </cell>
          <cell r="E1089" t="str">
            <v>Production</v>
          </cell>
          <cell r="F1089" t="str">
            <v>Skiving</v>
          </cell>
          <cell r="G1089" t="str">
            <v>Worker</v>
          </cell>
          <cell r="H1089">
            <v>45866</v>
          </cell>
          <cell r="I1089">
            <v>8</v>
          </cell>
          <cell r="J1089">
            <v>8</v>
          </cell>
          <cell r="K1089">
            <v>8</v>
          </cell>
          <cell r="L1089" t="str">
            <v>CN</v>
          </cell>
          <cell r="M1089" t="str">
            <v>Đ</v>
          </cell>
          <cell r="N1089" t="str">
            <v>Đ</v>
          </cell>
          <cell r="O1089" t="str">
            <v>Đ</v>
          </cell>
          <cell r="P1089" t="str">
            <v>Đ</v>
          </cell>
          <cell r="Q1089" t="str">
            <v>Đ</v>
          </cell>
          <cell r="R1089" t="str">
            <v>AL8</v>
          </cell>
          <cell r="S1089" t="str">
            <v>CN</v>
          </cell>
          <cell r="T1089">
            <v>8</v>
          </cell>
          <cell r="U1089">
            <v>8</v>
          </cell>
          <cell r="V1089">
            <v>8</v>
          </cell>
          <cell r="W1089">
            <v>8</v>
          </cell>
          <cell r="X1089">
            <v>8</v>
          </cell>
          <cell r="Y1089">
            <v>8</v>
          </cell>
          <cell r="Z1089" t="str">
            <v>CN</v>
          </cell>
          <cell r="AA1089" t="str">
            <v>Đ</v>
          </cell>
          <cell r="AB1089" t="str">
            <v>Đ</v>
          </cell>
          <cell r="AC1089" t="str">
            <v>Đ</v>
          </cell>
          <cell r="AD1089" t="str">
            <v>Đ</v>
          </cell>
          <cell r="AE1089" t="str">
            <v>Đ</v>
          </cell>
          <cell r="AF1089" t="str">
            <v>Đ</v>
          </cell>
          <cell r="AG1089" t="str">
            <v>CN</v>
          </cell>
          <cell r="AH1089">
            <v>8</v>
          </cell>
          <cell r="AI1089">
            <v>8</v>
          </cell>
          <cell r="AJ1089">
            <v>8</v>
          </cell>
          <cell r="AN1089">
            <v>88</v>
          </cell>
          <cell r="AO1089">
            <v>96</v>
          </cell>
          <cell r="AP1089">
            <v>0</v>
          </cell>
          <cell r="AQ1089">
            <v>0</v>
          </cell>
          <cell r="AR1089">
            <v>0</v>
          </cell>
          <cell r="AS1089">
            <v>0</v>
          </cell>
          <cell r="AT1089">
            <v>0</v>
          </cell>
          <cell r="AU1089">
            <v>0</v>
          </cell>
          <cell r="AV1089">
            <v>0</v>
          </cell>
          <cell r="AW1089">
            <v>0</v>
          </cell>
          <cell r="AX1089">
            <v>0</v>
          </cell>
          <cell r="AY1089">
            <v>0</v>
          </cell>
          <cell r="AZ1089">
            <v>0</v>
          </cell>
          <cell r="BA1089">
            <v>8</v>
          </cell>
          <cell r="BB1089">
            <v>0</v>
          </cell>
          <cell r="BC1089">
            <v>0</v>
          </cell>
          <cell r="BD1089">
            <v>0</v>
          </cell>
          <cell r="BE1089">
            <v>0</v>
          </cell>
          <cell r="BF1089">
            <v>0</v>
          </cell>
          <cell r="BG1089">
            <v>192</v>
          </cell>
          <cell r="BH1089">
            <v>1</v>
          </cell>
          <cell r="BI1089">
            <v>1</v>
          </cell>
          <cell r="BJ1089">
            <v>3</v>
          </cell>
          <cell r="BL1089">
            <v>0</v>
          </cell>
          <cell r="BM1089">
            <v>0</v>
          </cell>
          <cell r="BN1089">
            <v>0</v>
          </cell>
          <cell r="BO1089">
            <v>0</v>
          </cell>
          <cell r="BP1089">
            <v>0</v>
          </cell>
          <cell r="BQ1089">
            <v>0</v>
          </cell>
          <cell r="BR1089">
            <v>0</v>
          </cell>
          <cell r="BS1089">
            <v>3</v>
          </cell>
          <cell r="BT1089">
            <v>3</v>
          </cell>
          <cell r="BU1089">
            <v>0</v>
          </cell>
          <cell r="BV1089">
            <v>0</v>
          </cell>
          <cell r="BW1089">
            <v>3</v>
          </cell>
          <cell r="BX1089">
            <v>0</v>
          </cell>
          <cell r="BY1089">
            <v>3</v>
          </cell>
          <cell r="BZ1089">
            <v>3</v>
          </cell>
          <cell r="CA1089">
            <v>3</v>
          </cell>
          <cell r="CB1089">
            <v>3</v>
          </cell>
          <cell r="CC1089">
            <v>8</v>
          </cell>
          <cell r="CD1089">
            <v>0</v>
          </cell>
          <cell r="CE1089">
            <v>4</v>
          </cell>
          <cell r="CF1089">
            <v>4</v>
          </cell>
          <cell r="CG1089">
            <v>4</v>
          </cell>
          <cell r="CH1089">
            <v>1.5</v>
          </cell>
          <cell r="CI1089">
            <v>0</v>
          </cell>
          <cell r="CJ1089">
            <v>0</v>
          </cell>
          <cell r="CK1089">
            <v>0</v>
          </cell>
          <cell r="CL1089">
            <v>0</v>
          </cell>
          <cell r="CM1089">
            <v>0</v>
          </cell>
          <cell r="CR1089">
            <v>0</v>
          </cell>
          <cell r="CS1089">
            <v>0</v>
          </cell>
          <cell r="CT1089">
            <v>34.5</v>
          </cell>
          <cell r="CU1089">
            <v>8</v>
          </cell>
          <cell r="CV1089">
            <v>0</v>
          </cell>
          <cell r="CZ1089">
            <v>42.5</v>
          </cell>
        </row>
        <row r="1090">
          <cell r="C1090" t="str">
            <v>04730</v>
          </cell>
          <cell r="D1090" t="str">
            <v>Tống Văn Hai</v>
          </cell>
          <cell r="E1090" t="str">
            <v>Production</v>
          </cell>
          <cell r="F1090" t="str">
            <v>Skiving</v>
          </cell>
          <cell r="G1090" t="str">
            <v>Worker</v>
          </cell>
          <cell r="H1090">
            <v>45866</v>
          </cell>
          <cell r="I1090" t="str">
            <v>Đ</v>
          </cell>
          <cell r="J1090" t="str">
            <v>Đ</v>
          </cell>
          <cell r="K1090" t="str">
            <v>Đ</v>
          </cell>
          <cell r="L1090" t="str">
            <v>CN</v>
          </cell>
          <cell r="M1090">
            <v>8</v>
          </cell>
          <cell r="N1090">
            <v>8</v>
          </cell>
          <cell r="O1090" t="str">
            <v>AL8</v>
          </cell>
          <cell r="P1090">
            <v>8</v>
          </cell>
          <cell r="Q1090">
            <v>8</v>
          </cell>
          <cell r="R1090">
            <v>8</v>
          </cell>
          <cell r="S1090" t="str">
            <v>CN</v>
          </cell>
          <cell r="T1090" t="str">
            <v>Đ</v>
          </cell>
          <cell r="U1090" t="str">
            <v>Đ</v>
          </cell>
          <cell r="V1090" t="str">
            <v>Đ</v>
          </cell>
          <cell r="W1090" t="str">
            <v>Đ</v>
          </cell>
          <cell r="X1090" t="str">
            <v>Đ</v>
          </cell>
          <cell r="Y1090" t="str">
            <v>Đ</v>
          </cell>
          <cell r="Z1090" t="str">
            <v>CN</v>
          </cell>
          <cell r="AA1090">
            <v>8</v>
          </cell>
          <cell r="AB1090">
            <v>8</v>
          </cell>
          <cell r="AC1090">
            <v>8</v>
          </cell>
          <cell r="AD1090">
            <v>8</v>
          </cell>
          <cell r="AE1090">
            <v>8</v>
          </cell>
          <cell r="AF1090">
            <v>8</v>
          </cell>
          <cell r="AG1090" t="str">
            <v>CN</v>
          </cell>
          <cell r="AH1090" t="str">
            <v>Đ</v>
          </cell>
          <cell r="AI1090" t="str">
            <v>Đ</v>
          </cell>
          <cell r="AJ1090" t="str">
            <v>Đ</v>
          </cell>
          <cell r="AN1090">
            <v>96</v>
          </cell>
          <cell r="AO1090">
            <v>88</v>
          </cell>
          <cell r="AP1090">
            <v>0</v>
          </cell>
          <cell r="AQ1090">
            <v>0</v>
          </cell>
          <cell r="AR1090">
            <v>0</v>
          </cell>
          <cell r="AS1090">
            <v>0</v>
          </cell>
          <cell r="AT1090">
            <v>0</v>
          </cell>
          <cell r="AU1090">
            <v>0</v>
          </cell>
          <cell r="AV1090">
            <v>0</v>
          </cell>
          <cell r="AW1090">
            <v>0</v>
          </cell>
          <cell r="AX1090">
            <v>0</v>
          </cell>
          <cell r="AY1090">
            <v>0</v>
          </cell>
          <cell r="AZ1090">
            <v>0</v>
          </cell>
          <cell r="BA1090">
            <v>8</v>
          </cell>
          <cell r="BB1090">
            <v>0</v>
          </cell>
          <cell r="BC1090">
            <v>0</v>
          </cell>
          <cell r="BD1090">
            <v>0</v>
          </cell>
          <cell r="BE1090">
            <v>0</v>
          </cell>
          <cell r="BF1090">
            <v>0</v>
          </cell>
          <cell r="BG1090">
            <v>192</v>
          </cell>
          <cell r="BH1090">
            <v>1</v>
          </cell>
          <cell r="BI1090">
            <v>1</v>
          </cell>
          <cell r="BJ1090">
            <v>4.5</v>
          </cell>
          <cell r="BL1090">
            <v>0</v>
          </cell>
          <cell r="BM1090">
            <v>1.5</v>
          </cell>
          <cell r="BN1090">
            <v>1.5</v>
          </cell>
          <cell r="BO1090">
            <v>0</v>
          </cell>
          <cell r="BP1090">
            <v>1.5</v>
          </cell>
          <cell r="BQ1090">
            <v>3</v>
          </cell>
          <cell r="BR1090">
            <v>0</v>
          </cell>
          <cell r="BS1090">
            <v>3</v>
          </cell>
          <cell r="BT1090">
            <v>0</v>
          </cell>
          <cell r="BU1090">
            <v>0</v>
          </cell>
          <cell r="BV1090">
            <v>0</v>
          </cell>
          <cell r="BW1090">
            <v>3</v>
          </cell>
          <cell r="BX1090">
            <v>4</v>
          </cell>
          <cell r="BY1090">
            <v>4</v>
          </cell>
          <cell r="BZ1090">
            <v>4</v>
          </cell>
          <cell r="CA1090">
            <v>4</v>
          </cell>
          <cell r="CB1090">
            <v>4</v>
          </cell>
          <cell r="CC1090">
            <v>0</v>
          </cell>
          <cell r="CD1090">
            <v>3</v>
          </cell>
          <cell r="CE1090">
            <v>3</v>
          </cell>
          <cell r="CF1090">
            <v>3</v>
          </cell>
          <cell r="CG1090">
            <v>3</v>
          </cell>
          <cell r="CH1090">
            <v>1.5</v>
          </cell>
          <cell r="CI1090">
            <v>1.5</v>
          </cell>
          <cell r="CJ1090">
            <v>8</v>
          </cell>
          <cell r="CK1090">
            <v>1.5</v>
          </cell>
          <cell r="CL1090">
            <v>1.5</v>
          </cell>
          <cell r="CM1090">
            <v>1.5</v>
          </cell>
          <cell r="CR1090">
            <v>0</v>
          </cell>
          <cell r="CS1090">
            <v>0</v>
          </cell>
          <cell r="CT1090">
            <v>53</v>
          </cell>
          <cell r="CU1090">
            <v>8</v>
          </cell>
          <cell r="CV1090">
            <v>0</v>
          </cell>
          <cell r="CZ1090">
            <v>61</v>
          </cell>
        </row>
        <row r="1091">
          <cell r="C1091" t="str">
            <v>04731</v>
          </cell>
          <cell r="D1091" t="str">
            <v xml:space="preserve">Lê Thị Diễm Trinh </v>
          </cell>
          <cell r="E1091" t="str">
            <v>Production</v>
          </cell>
          <cell r="F1091" t="str">
            <v>Packing</v>
          </cell>
          <cell r="G1091" t="str">
            <v>Worker</v>
          </cell>
          <cell r="H1091">
            <v>45866</v>
          </cell>
          <cell r="I1091">
            <v>8</v>
          </cell>
          <cell r="J1091">
            <v>8</v>
          </cell>
          <cell r="K1091">
            <v>8</v>
          </cell>
          <cell r="L1091" t="str">
            <v>CN</v>
          </cell>
          <cell r="M1091" t="str">
            <v>Đ</v>
          </cell>
          <cell r="N1091" t="str">
            <v>Đ</v>
          </cell>
          <cell r="O1091" t="str">
            <v>Đ</v>
          </cell>
          <cell r="P1091" t="str">
            <v>Đ</v>
          </cell>
          <cell r="Q1091" t="str">
            <v>Đ</v>
          </cell>
          <cell r="R1091" t="str">
            <v>AL8</v>
          </cell>
          <cell r="S1091" t="str">
            <v>CN</v>
          </cell>
          <cell r="T1091" t="str">
            <v>AL8</v>
          </cell>
          <cell r="U1091">
            <v>8</v>
          </cell>
          <cell r="V1091">
            <v>8</v>
          </cell>
          <cell r="W1091">
            <v>8</v>
          </cell>
          <cell r="X1091">
            <v>8</v>
          </cell>
          <cell r="Y1091">
            <v>8</v>
          </cell>
          <cell r="Z1091" t="str">
            <v>CN</v>
          </cell>
          <cell r="AA1091" t="str">
            <v>Đ</v>
          </cell>
          <cell r="AB1091" t="str">
            <v>Đ</v>
          </cell>
          <cell r="AC1091" t="str">
            <v>Đ</v>
          </cell>
          <cell r="AD1091" t="str">
            <v>Đ</v>
          </cell>
          <cell r="AE1091" t="str">
            <v>Đ</v>
          </cell>
          <cell r="AF1091" t="str">
            <v>Đ</v>
          </cell>
          <cell r="AG1091" t="str">
            <v>CN</v>
          </cell>
          <cell r="AH1091">
            <v>8</v>
          </cell>
          <cell r="AI1091">
            <v>8</v>
          </cell>
          <cell r="AJ1091">
            <v>8</v>
          </cell>
          <cell r="AN1091">
            <v>88</v>
          </cell>
          <cell r="AO1091">
            <v>88</v>
          </cell>
          <cell r="AP1091">
            <v>0</v>
          </cell>
          <cell r="AQ1091">
            <v>0</v>
          </cell>
          <cell r="AR1091">
            <v>0</v>
          </cell>
          <cell r="AS1091">
            <v>0</v>
          </cell>
          <cell r="AT1091">
            <v>0</v>
          </cell>
          <cell r="AU1091">
            <v>0</v>
          </cell>
          <cell r="AV1091">
            <v>0</v>
          </cell>
          <cell r="AW1091">
            <v>0</v>
          </cell>
          <cell r="AX1091">
            <v>0</v>
          </cell>
          <cell r="AY1091">
            <v>0</v>
          </cell>
          <cell r="AZ1091">
            <v>0</v>
          </cell>
          <cell r="BA1091">
            <v>16</v>
          </cell>
          <cell r="BB1091">
            <v>0</v>
          </cell>
          <cell r="BC1091">
            <v>0</v>
          </cell>
          <cell r="BD1091">
            <v>0</v>
          </cell>
          <cell r="BE1091">
            <v>0</v>
          </cell>
          <cell r="BF1091">
            <v>0</v>
          </cell>
          <cell r="BG1091">
            <v>192</v>
          </cell>
          <cell r="BH1091">
            <v>2</v>
          </cell>
          <cell r="BI1091">
            <v>2</v>
          </cell>
          <cell r="BJ1091">
            <v>0</v>
          </cell>
          <cell r="BL1091">
            <v>1.5</v>
          </cell>
          <cell r="BM1091">
            <v>3</v>
          </cell>
          <cell r="BN1091">
            <v>3</v>
          </cell>
          <cell r="BO1091">
            <v>0</v>
          </cell>
          <cell r="BP1091">
            <v>1.5</v>
          </cell>
          <cell r="BQ1091">
            <v>0</v>
          </cell>
          <cell r="BR1091">
            <v>0</v>
          </cell>
          <cell r="BS1091">
            <v>4</v>
          </cell>
          <cell r="BT1091">
            <v>0</v>
          </cell>
          <cell r="BU1091">
            <v>0</v>
          </cell>
          <cell r="BV1091">
            <v>0</v>
          </cell>
          <cell r="BW1091">
            <v>0</v>
          </cell>
          <cell r="BX1091">
            <v>3</v>
          </cell>
          <cell r="BY1091">
            <v>3</v>
          </cell>
          <cell r="BZ1091">
            <v>3</v>
          </cell>
          <cell r="CA1091">
            <v>3</v>
          </cell>
          <cell r="CB1091">
            <v>3</v>
          </cell>
          <cell r="CC1091">
            <v>8</v>
          </cell>
          <cell r="CD1091">
            <v>4</v>
          </cell>
          <cell r="CE1091">
            <v>4</v>
          </cell>
          <cell r="CF1091">
            <v>4</v>
          </cell>
          <cell r="CG1091">
            <v>4</v>
          </cell>
          <cell r="CH1091">
            <v>4</v>
          </cell>
          <cell r="CI1091">
            <v>4</v>
          </cell>
          <cell r="CJ1091">
            <v>0</v>
          </cell>
          <cell r="CK1091">
            <v>0</v>
          </cell>
          <cell r="CL1091">
            <v>3</v>
          </cell>
          <cell r="CM1091">
            <v>3</v>
          </cell>
          <cell r="CR1091">
            <v>0</v>
          </cell>
          <cell r="CS1091">
            <v>0</v>
          </cell>
          <cell r="CT1091">
            <v>58</v>
          </cell>
          <cell r="CU1091">
            <v>8</v>
          </cell>
          <cell r="CV1091">
            <v>0</v>
          </cell>
          <cell r="CZ1091">
            <v>66</v>
          </cell>
        </row>
        <row r="1092">
          <cell r="C1092" t="str">
            <v>04733</v>
          </cell>
          <cell r="D1092" t="str">
            <v>Danh Hồng Sáng</v>
          </cell>
          <cell r="E1092" t="str">
            <v>Production</v>
          </cell>
          <cell r="F1092" t="str">
            <v>Lamination</v>
          </cell>
          <cell r="G1092" t="str">
            <v>Worker</v>
          </cell>
          <cell r="H1092">
            <v>45866</v>
          </cell>
          <cell r="I1092" t="str">
            <v>Đ</v>
          </cell>
          <cell r="J1092" t="str">
            <v>Đ</v>
          </cell>
          <cell r="K1092" t="str">
            <v>Đ</v>
          </cell>
          <cell r="L1092" t="str">
            <v>CN</v>
          </cell>
          <cell r="M1092">
            <v>8</v>
          </cell>
          <cell r="N1092">
            <v>8</v>
          </cell>
          <cell r="O1092">
            <v>8</v>
          </cell>
          <cell r="P1092">
            <v>8</v>
          </cell>
          <cell r="Q1092">
            <v>8</v>
          </cell>
          <cell r="R1092">
            <v>8</v>
          </cell>
          <cell r="S1092" t="str">
            <v>CN</v>
          </cell>
          <cell r="T1092">
            <v>8</v>
          </cell>
          <cell r="U1092">
            <v>8</v>
          </cell>
          <cell r="V1092">
            <v>8</v>
          </cell>
          <cell r="W1092">
            <v>8</v>
          </cell>
          <cell r="X1092">
            <v>8</v>
          </cell>
          <cell r="Y1092">
            <v>8</v>
          </cell>
          <cell r="Z1092" t="str">
            <v>CN</v>
          </cell>
          <cell r="AA1092">
            <v>8</v>
          </cell>
          <cell r="AB1092">
            <v>8</v>
          </cell>
          <cell r="AC1092">
            <v>8</v>
          </cell>
          <cell r="AD1092">
            <v>8</v>
          </cell>
          <cell r="AE1092">
            <v>8</v>
          </cell>
          <cell r="AF1092" t="str">
            <v>CN</v>
          </cell>
          <cell r="AG1092">
            <v>8</v>
          </cell>
          <cell r="AH1092">
            <v>8</v>
          </cell>
          <cell r="AI1092">
            <v>8</v>
          </cell>
          <cell r="AJ1092">
            <v>8</v>
          </cell>
          <cell r="AN1092">
            <v>24</v>
          </cell>
          <cell r="AO1092">
            <v>168</v>
          </cell>
          <cell r="AP1092">
            <v>0</v>
          </cell>
          <cell r="AQ1092">
            <v>0</v>
          </cell>
          <cell r="AR1092">
            <v>0</v>
          </cell>
          <cell r="AS1092">
            <v>0</v>
          </cell>
          <cell r="AT1092">
            <v>0</v>
          </cell>
          <cell r="AU1092">
            <v>0</v>
          </cell>
          <cell r="AV1092">
            <v>0</v>
          </cell>
          <cell r="AW1092">
            <v>0</v>
          </cell>
          <cell r="AX1092">
            <v>0</v>
          </cell>
          <cell r="AY1092">
            <v>0</v>
          </cell>
          <cell r="AZ1092">
            <v>0</v>
          </cell>
          <cell r="BA1092">
            <v>0</v>
          </cell>
          <cell r="BB1092">
            <v>0</v>
          </cell>
          <cell r="BC1092">
            <v>0</v>
          </cell>
          <cell r="BD1092">
            <v>0</v>
          </cell>
          <cell r="BE1092">
            <v>0</v>
          </cell>
          <cell r="BF1092">
            <v>0</v>
          </cell>
          <cell r="BG1092">
            <v>192</v>
          </cell>
          <cell r="BH1092">
            <v>0</v>
          </cell>
          <cell r="BI1092">
            <v>0</v>
          </cell>
          <cell r="BJ1092">
            <v>1</v>
          </cell>
          <cell r="BL1092">
            <v>0</v>
          </cell>
          <cell r="BM1092">
            <v>0</v>
          </cell>
          <cell r="BN1092">
            <v>0</v>
          </cell>
          <cell r="BO1092">
            <v>0</v>
          </cell>
          <cell r="BP1092">
            <v>0</v>
          </cell>
          <cell r="BQ1092">
            <v>0</v>
          </cell>
          <cell r="BR1092">
            <v>0</v>
          </cell>
          <cell r="BS1092">
            <v>4</v>
          </cell>
          <cell r="BT1092">
            <v>4</v>
          </cell>
          <cell r="BU1092">
            <v>0</v>
          </cell>
          <cell r="BV1092">
            <v>0</v>
          </cell>
          <cell r="BW1092">
            <v>4</v>
          </cell>
          <cell r="BX1092">
            <v>0</v>
          </cell>
          <cell r="BY1092">
            <v>0</v>
          </cell>
          <cell r="BZ1092">
            <v>0</v>
          </cell>
          <cell r="CA1092">
            <v>4</v>
          </cell>
          <cell r="CB1092">
            <v>0</v>
          </cell>
          <cell r="CC1092">
            <v>0</v>
          </cell>
          <cell r="CD1092">
            <v>0</v>
          </cell>
          <cell r="CE1092">
            <v>0</v>
          </cell>
          <cell r="CF1092">
            <v>0</v>
          </cell>
          <cell r="CG1092">
            <v>4</v>
          </cell>
          <cell r="CH1092">
            <v>4</v>
          </cell>
          <cell r="CI1092">
            <v>0</v>
          </cell>
          <cell r="CJ1092">
            <v>4</v>
          </cell>
          <cell r="CK1092">
            <v>0</v>
          </cell>
          <cell r="CL1092">
            <v>0</v>
          </cell>
          <cell r="CM1092">
            <v>4</v>
          </cell>
          <cell r="CR1092">
            <v>0</v>
          </cell>
          <cell r="CS1092">
            <v>0</v>
          </cell>
          <cell r="CT1092">
            <v>32</v>
          </cell>
          <cell r="CU1092">
            <v>0</v>
          </cell>
          <cell r="CV1092">
            <v>0</v>
          </cell>
          <cell r="CZ1092">
            <v>32</v>
          </cell>
        </row>
        <row r="1093">
          <cell r="C1093" t="str">
            <v>04734</v>
          </cell>
          <cell r="D1093" t="str">
            <v>Lô Thị May Mằn</v>
          </cell>
          <cell r="E1093" t="str">
            <v>Production</v>
          </cell>
          <cell r="F1093" t="str">
            <v>Logo</v>
          </cell>
          <cell r="G1093" t="str">
            <v>Worker</v>
          </cell>
          <cell r="H1093">
            <v>45866</v>
          </cell>
          <cell r="I1093" t="str">
            <v>UP8</v>
          </cell>
          <cell r="J1093" t="str">
            <v>UP8</v>
          </cell>
          <cell r="K1093" t="str">
            <v>UP8</v>
          </cell>
          <cell r="L1093" t="str">
            <v>CN</v>
          </cell>
          <cell r="M1093" t="str">
            <v>UP8</v>
          </cell>
          <cell r="N1093" t="str">
            <v>UP8</v>
          </cell>
          <cell r="O1093" t="str">
            <v>UP8</v>
          </cell>
          <cell r="P1093" t="str">
            <v>UP8</v>
          </cell>
          <cell r="Q1093" t="str">
            <v>UP8</v>
          </cell>
          <cell r="R1093" t="str">
            <v>UP8</v>
          </cell>
          <cell r="S1093" t="str">
            <v>CN</v>
          </cell>
          <cell r="T1093" t="str">
            <v>UP8</v>
          </cell>
          <cell r="U1093" t="str">
            <v>UP8</v>
          </cell>
          <cell r="V1093" t="str">
            <v>UP8</v>
          </cell>
          <cell r="W1093" t="str">
            <v>NP</v>
          </cell>
          <cell r="X1093" t="str">
            <v>NP</v>
          </cell>
          <cell r="Y1093" t="str">
            <v>NP</v>
          </cell>
          <cell r="Z1093" t="str">
            <v>CN</v>
          </cell>
          <cell r="AA1093" t="str">
            <v>NP</v>
          </cell>
          <cell r="AB1093" t="str">
            <v>NP</v>
          </cell>
          <cell r="AC1093" t="str">
            <v>TV</v>
          </cell>
          <cell r="AD1093" t="str">
            <v>TV</v>
          </cell>
          <cell r="AE1093" t="str">
            <v>TV</v>
          </cell>
          <cell r="AF1093" t="str">
            <v>TV</v>
          </cell>
          <cell r="AG1093" t="str">
            <v>TV</v>
          </cell>
          <cell r="AH1093" t="str">
            <v>TV</v>
          </cell>
          <cell r="AI1093" t="str">
            <v>TV</v>
          </cell>
          <cell r="AJ1093" t="str">
            <v>TV</v>
          </cell>
          <cell r="AN1093">
            <v>0</v>
          </cell>
          <cell r="AO1093">
            <v>0</v>
          </cell>
          <cell r="AP1093">
            <v>0</v>
          </cell>
          <cell r="AQ1093">
            <v>0</v>
          </cell>
          <cell r="AR1093">
            <v>0</v>
          </cell>
          <cell r="AS1093">
            <v>96</v>
          </cell>
          <cell r="AT1093">
            <v>5</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2</v>
          </cell>
          <cell r="BL1093">
            <v>0</v>
          </cell>
          <cell r="BM1093">
            <v>0</v>
          </cell>
          <cell r="BN1093">
            <v>0</v>
          </cell>
          <cell r="BO1093">
            <v>0</v>
          </cell>
          <cell r="BP1093">
            <v>0</v>
          </cell>
          <cell r="BQ1093">
            <v>0</v>
          </cell>
          <cell r="BR1093">
            <v>0</v>
          </cell>
          <cell r="BS1093">
            <v>0</v>
          </cell>
          <cell r="BT1093">
            <v>0</v>
          </cell>
          <cell r="BU1093">
            <v>0</v>
          </cell>
          <cell r="BV1093">
            <v>0</v>
          </cell>
          <cell r="BW1093">
            <v>0</v>
          </cell>
          <cell r="BX1093">
            <v>0</v>
          </cell>
          <cell r="BY1093">
            <v>0</v>
          </cell>
          <cell r="BZ1093">
            <v>0</v>
          </cell>
          <cell r="CA1093">
            <v>0</v>
          </cell>
          <cell r="CB1093">
            <v>0</v>
          </cell>
          <cell r="CC1093">
            <v>0</v>
          </cell>
          <cell r="CD1093">
            <v>0</v>
          </cell>
          <cell r="CE1093">
            <v>0</v>
          </cell>
          <cell r="CF1093">
            <v>0</v>
          </cell>
          <cell r="CG1093">
            <v>0</v>
          </cell>
          <cell r="CH1093">
            <v>0</v>
          </cell>
          <cell r="CI1093">
            <v>0</v>
          </cell>
          <cell r="CJ1093">
            <v>0</v>
          </cell>
          <cell r="CK1093">
            <v>0</v>
          </cell>
          <cell r="CL1093">
            <v>0</v>
          </cell>
          <cell r="CM1093">
            <v>0</v>
          </cell>
          <cell r="CR1093">
            <v>0</v>
          </cell>
          <cell r="CS1093">
            <v>0</v>
          </cell>
          <cell r="CT1093">
            <v>0</v>
          </cell>
          <cell r="CU1093">
            <v>0</v>
          </cell>
          <cell r="CV1093">
            <v>0</v>
          </cell>
          <cell r="CZ1093">
            <v>0</v>
          </cell>
        </row>
        <row r="1094">
          <cell r="C1094" t="str">
            <v>04738</v>
          </cell>
          <cell r="D1094" t="str">
            <v>Trần Thị Mộng Cầm</v>
          </cell>
          <cell r="E1094" t="str">
            <v>Production</v>
          </cell>
          <cell r="F1094" t="str">
            <v>Packing</v>
          </cell>
          <cell r="G1094" t="str">
            <v>Worker</v>
          </cell>
          <cell r="H1094">
            <v>45866</v>
          </cell>
          <cell r="I1094" t="str">
            <v>Đ</v>
          </cell>
          <cell r="J1094" t="str">
            <v>Đ</v>
          </cell>
          <cell r="K1094" t="str">
            <v>Đ</v>
          </cell>
          <cell r="L1094" t="str">
            <v>CN</v>
          </cell>
          <cell r="M1094">
            <v>8</v>
          </cell>
          <cell r="N1094" t="str">
            <v>TS</v>
          </cell>
          <cell r="O1094" t="str">
            <v>TS</v>
          </cell>
          <cell r="P1094" t="str">
            <v>TS</v>
          </cell>
          <cell r="Q1094" t="str">
            <v>TS</v>
          </cell>
          <cell r="R1094" t="str">
            <v>TS</v>
          </cell>
          <cell r="S1094" t="str">
            <v>CN</v>
          </cell>
          <cell r="T1094" t="str">
            <v>TS</v>
          </cell>
          <cell r="U1094" t="str">
            <v>TS</v>
          </cell>
          <cell r="V1094" t="str">
            <v>TS</v>
          </cell>
          <cell r="W1094" t="str">
            <v>TS</v>
          </cell>
          <cell r="X1094" t="str">
            <v>TS</v>
          </cell>
          <cell r="Y1094" t="str">
            <v>TS</v>
          </cell>
          <cell r="Z1094" t="str">
            <v>TS</v>
          </cell>
          <cell r="AA1094" t="str">
            <v>TS</v>
          </cell>
          <cell r="AB1094" t="str">
            <v>TS</v>
          </cell>
          <cell r="AC1094" t="str">
            <v>TS</v>
          </cell>
          <cell r="AD1094" t="str">
            <v>TS</v>
          </cell>
          <cell r="AE1094" t="str">
            <v>TS</v>
          </cell>
          <cell r="AF1094" t="str">
            <v>TS</v>
          </cell>
          <cell r="AG1094" t="str">
            <v>TS</v>
          </cell>
          <cell r="AH1094" t="str">
            <v>TS</v>
          </cell>
          <cell r="AI1094" t="str">
            <v>TS</v>
          </cell>
          <cell r="AJ1094" t="str">
            <v>TS</v>
          </cell>
          <cell r="AN1094">
            <v>24</v>
          </cell>
          <cell r="AO1094">
            <v>8</v>
          </cell>
          <cell r="AP1094">
            <v>0</v>
          </cell>
          <cell r="AQ1094">
            <v>0</v>
          </cell>
          <cell r="AR1094">
            <v>0</v>
          </cell>
          <cell r="AS1094">
            <v>0</v>
          </cell>
          <cell r="AT1094">
            <v>0</v>
          </cell>
          <cell r="AU1094">
            <v>0</v>
          </cell>
          <cell r="AV1094">
            <v>0</v>
          </cell>
          <cell r="AW1094">
            <v>0</v>
          </cell>
          <cell r="AX1094">
            <v>0</v>
          </cell>
          <cell r="AY1094">
            <v>0</v>
          </cell>
          <cell r="AZ1094">
            <v>0</v>
          </cell>
          <cell r="BA1094">
            <v>0</v>
          </cell>
          <cell r="BB1094">
            <v>0</v>
          </cell>
          <cell r="BC1094">
            <v>0</v>
          </cell>
          <cell r="BD1094">
            <v>0</v>
          </cell>
          <cell r="BE1094">
            <v>0</v>
          </cell>
          <cell r="BF1094">
            <v>0</v>
          </cell>
          <cell r="BG1094">
            <v>32</v>
          </cell>
          <cell r="BH1094">
            <v>0</v>
          </cell>
          <cell r="BI1094">
            <v>0</v>
          </cell>
          <cell r="BJ1094">
            <v>1</v>
          </cell>
          <cell r="BL1094">
            <v>1.5</v>
          </cell>
          <cell r="BM1094">
            <v>4</v>
          </cell>
          <cell r="BN1094">
            <v>0</v>
          </cell>
          <cell r="BO1094">
            <v>0</v>
          </cell>
          <cell r="BP1094">
            <v>1.5</v>
          </cell>
          <cell r="BQ1094">
            <v>0</v>
          </cell>
          <cell r="BR1094">
            <v>0</v>
          </cell>
          <cell r="BS1094">
            <v>0</v>
          </cell>
          <cell r="BT1094">
            <v>0</v>
          </cell>
          <cell r="BU1094">
            <v>0</v>
          </cell>
          <cell r="BV1094">
            <v>0</v>
          </cell>
          <cell r="BW1094">
            <v>0</v>
          </cell>
          <cell r="BX1094">
            <v>0</v>
          </cell>
          <cell r="BY1094">
            <v>0</v>
          </cell>
          <cell r="BZ1094">
            <v>0</v>
          </cell>
          <cell r="CA1094">
            <v>0</v>
          </cell>
          <cell r="CB1094">
            <v>0</v>
          </cell>
          <cell r="CC1094">
            <v>0</v>
          </cell>
          <cell r="CD1094">
            <v>0</v>
          </cell>
          <cell r="CE1094">
            <v>0</v>
          </cell>
          <cell r="CF1094">
            <v>0</v>
          </cell>
          <cell r="CG1094">
            <v>0</v>
          </cell>
          <cell r="CH1094">
            <v>0</v>
          </cell>
          <cell r="CI1094">
            <v>0</v>
          </cell>
          <cell r="CJ1094">
            <v>0</v>
          </cell>
          <cell r="CK1094">
            <v>0</v>
          </cell>
          <cell r="CL1094">
            <v>0</v>
          </cell>
          <cell r="CM1094">
            <v>0</v>
          </cell>
          <cell r="CR1094">
            <v>0</v>
          </cell>
          <cell r="CS1094">
            <v>0</v>
          </cell>
          <cell r="CT1094">
            <v>7</v>
          </cell>
          <cell r="CU1094">
            <v>0</v>
          </cell>
          <cell r="CV1094">
            <v>0</v>
          </cell>
          <cell r="CZ1094">
            <v>7</v>
          </cell>
        </row>
        <row r="1095">
          <cell r="C1095" t="str">
            <v>04739</v>
          </cell>
          <cell r="D1095" t="str">
            <v>Nguyễn Thị Nhàn</v>
          </cell>
          <cell r="E1095" t="str">
            <v>CM Office</v>
          </cell>
          <cell r="F1095" t="str">
            <v>CM Office</v>
          </cell>
          <cell r="G1095" t="str">
            <v>Specialist</v>
          </cell>
          <cell r="H1095">
            <v>45868</v>
          </cell>
          <cell r="I1095">
            <v>8</v>
          </cell>
          <cell r="J1095">
            <v>8</v>
          </cell>
          <cell r="K1095" t="str">
            <v>PO</v>
          </cell>
          <cell r="L1095" t="str">
            <v>CN</v>
          </cell>
          <cell r="M1095">
            <v>8</v>
          </cell>
          <cell r="N1095">
            <v>8</v>
          </cell>
          <cell r="O1095">
            <v>8</v>
          </cell>
          <cell r="P1095">
            <v>8</v>
          </cell>
          <cell r="Q1095" t="str">
            <v>PO</v>
          </cell>
          <cell r="R1095" t="str">
            <v>PO</v>
          </cell>
          <cell r="S1095" t="str">
            <v>CN</v>
          </cell>
          <cell r="T1095">
            <v>8</v>
          </cell>
          <cell r="U1095">
            <v>8</v>
          </cell>
          <cell r="V1095">
            <v>8</v>
          </cell>
          <cell r="W1095">
            <v>8</v>
          </cell>
          <cell r="X1095">
            <v>8</v>
          </cell>
          <cell r="Y1095" t="str">
            <v>PO</v>
          </cell>
          <cell r="Z1095" t="str">
            <v>CN</v>
          </cell>
          <cell r="AA1095">
            <v>8</v>
          </cell>
          <cell r="AB1095">
            <v>8</v>
          </cell>
          <cell r="AC1095">
            <v>8</v>
          </cell>
          <cell r="AD1095">
            <v>8</v>
          </cell>
          <cell r="AE1095">
            <v>8</v>
          </cell>
          <cell r="AF1095" t="str">
            <v>PO</v>
          </cell>
          <cell r="AG1095" t="str">
            <v>CN</v>
          </cell>
          <cell r="AH1095">
            <v>8</v>
          </cell>
          <cell r="AI1095">
            <v>8</v>
          </cell>
          <cell r="AJ1095">
            <v>8</v>
          </cell>
          <cell r="AN1095">
            <v>0</v>
          </cell>
          <cell r="AO1095">
            <v>152</v>
          </cell>
          <cell r="AP1095">
            <v>0</v>
          </cell>
          <cell r="AQ1095">
            <v>0</v>
          </cell>
          <cell r="AR1095">
            <v>0</v>
          </cell>
          <cell r="AS1095">
            <v>0</v>
          </cell>
          <cell r="AT1095">
            <v>0</v>
          </cell>
          <cell r="AU1095">
            <v>0</v>
          </cell>
          <cell r="AV1095">
            <v>40</v>
          </cell>
          <cell r="AW1095">
            <v>0</v>
          </cell>
          <cell r="AX1095">
            <v>0</v>
          </cell>
          <cell r="AY1095">
            <v>0</v>
          </cell>
          <cell r="AZ1095">
            <v>0</v>
          </cell>
          <cell r="BA1095">
            <v>0</v>
          </cell>
          <cell r="BB1095">
            <v>0</v>
          </cell>
          <cell r="BC1095">
            <v>0</v>
          </cell>
          <cell r="BD1095">
            <v>0</v>
          </cell>
          <cell r="BE1095">
            <v>0</v>
          </cell>
          <cell r="BF1095">
            <v>0</v>
          </cell>
          <cell r="BG1095">
            <v>192</v>
          </cell>
          <cell r="BH1095">
            <v>0</v>
          </cell>
          <cell r="BI1095">
            <v>0</v>
          </cell>
          <cell r="BJ1095">
            <v>3</v>
          </cell>
          <cell r="BL1095">
            <v>0</v>
          </cell>
          <cell r="BM1095">
            <v>0</v>
          </cell>
          <cell r="BN1095">
            <v>0</v>
          </cell>
          <cell r="BO1095">
            <v>0</v>
          </cell>
          <cell r="BP1095">
            <v>0</v>
          </cell>
          <cell r="BQ1095">
            <v>0</v>
          </cell>
          <cell r="BR1095">
            <v>0</v>
          </cell>
          <cell r="BS1095">
            <v>0</v>
          </cell>
          <cell r="BT1095">
            <v>0</v>
          </cell>
          <cell r="BU1095">
            <v>0</v>
          </cell>
          <cell r="BV1095">
            <v>0</v>
          </cell>
          <cell r="BW1095">
            <v>0</v>
          </cell>
          <cell r="BX1095">
            <v>0</v>
          </cell>
          <cell r="BY1095">
            <v>0</v>
          </cell>
          <cell r="BZ1095">
            <v>0</v>
          </cell>
          <cell r="CA1095">
            <v>0</v>
          </cell>
          <cell r="CB1095">
            <v>0</v>
          </cell>
          <cell r="CC1095">
            <v>0</v>
          </cell>
          <cell r="CD1095">
            <v>0</v>
          </cell>
          <cell r="CE1095">
            <v>0</v>
          </cell>
          <cell r="CF1095">
            <v>0</v>
          </cell>
          <cell r="CG1095">
            <v>0</v>
          </cell>
          <cell r="CH1095">
            <v>0</v>
          </cell>
          <cell r="CI1095">
            <v>0</v>
          </cell>
          <cell r="CJ1095">
            <v>0</v>
          </cell>
          <cell r="CK1095">
            <v>0</v>
          </cell>
          <cell r="CL1095">
            <v>0</v>
          </cell>
          <cell r="CM1095">
            <v>0</v>
          </cell>
          <cell r="CR1095">
            <v>0</v>
          </cell>
          <cell r="CS1095">
            <v>0</v>
          </cell>
          <cell r="CT1095">
            <v>0</v>
          </cell>
          <cell r="CU1095">
            <v>0</v>
          </cell>
          <cell r="CV1095">
            <v>0</v>
          </cell>
          <cell r="CZ1095">
            <v>0</v>
          </cell>
        </row>
        <row r="1096">
          <cell r="C1096" t="str">
            <v>04740</v>
          </cell>
          <cell r="D1096" t="str">
            <v>Thân Việt Cường</v>
          </cell>
          <cell r="E1096" t="str">
            <v>Foaming</v>
          </cell>
          <cell r="F1096" t="str">
            <v>FOAMING Rectangular</v>
          </cell>
          <cell r="G1096" t="str">
            <v>Supervisor</v>
          </cell>
          <cell r="H1096">
            <v>45869</v>
          </cell>
          <cell r="I1096">
            <v>8</v>
          </cell>
          <cell r="J1096">
            <v>8</v>
          </cell>
          <cell r="K1096">
            <v>8</v>
          </cell>
          <cell r="L1096" t="str">
            <v>CN</v>
          </cell>
          <cell r="M1096">
            <v>8</v>
          </cell>
          <cell r="N1096" t="str">
            <v>POS</v>
          </cell>
          <cell r="O1096" t="str">
            <v>POS</v>
          </cell>
          <cell r="P1096" t="str">
            <v>POS</v>
          </cell>
          <cell r="Q1096" t="str">
            <v>AL8</v>
          </cell>
          <cell r="R1096" t="str">
            <v>AL8</v>
          </cell>
          <cell r="S1096" t="str">
            <v>CN</v>
          </cell>
          <cell r="T1096" t="str">
            <v>AL8</v>
          </cell>
          <cell r="U1096" t="str">
            <v>AL8</v>
          </cell>
          <cell r="V1096" t="str">
            <v>AL8</v>
          </cell>
          <cell r="W1096" t="str">
            <v>UP8</v>
          </cell>
          <cell r="X1096" t="str">
            <v>UP8</v>
          </cell>
          <cell r="Y1096" t="str">
            <v>UP8</v>
          </cell>
          <cell r="Z1096" t="str">
            <v>CN</v>
          </cell>
          <cell r="AA1096" t="str">
            <v>UP8</v>
          </cell>
          <cell r="AB1096" t="str">
            <v>UP8</v>
          </cell>
          <cell r="AC1096" t="str">
            <v>UP8</v>
          </cell>
          <cell r="AD1096" t="str">
            <v>TV</v>
          </cell>
          <cell r="AE1096" t="str">
            <v>TV</v>
          </cell>
          <cell r="AF1096" t="str">
            <v>TV</v>
          </cell>
          <cell r="AG1096" t="str">
            <v>TV</v>
          </cell>
          <cell r="AH1096" t="str">
            <v>TV</v>
          </cell>
          <cell r="AI1096" t="str">
            <v>TV</v>
          </cell>
          <cell r="AJ1096" t="str">
            <v>TV</v>
          </cell>
          <cell r="AN1096">
            <v>0</v>
          </cell>
          <cell r="AO1096">
            <v>32</v>
          </cell>
          <cell r="AP1096">
            <v>0</v>
          </cell>
          <cell r="AQ1096">
            <v>0</v>
          </cell>
          <cell r="AR1096">
            <v>0</v>
          </cell>
          <cell r="AS1096">
            <v>48</v>
          </cell>
          <cell r="AT1096">
            <v>0</v>
          </cell>
          <cell r="AU1096">
            <v>0</v>
          </cell>
          <cell r="AV1096">
            <v>24</v>
          </cell>
          <cell r="AW1096">
            <v>0</v>
          </cell>
          <cell r="AX1096">
            <v>0</v>
          </cell>
          <cell r="AY1096">
            <v>0</v>
          </cell>
          <cell r="AZ1096">
            <v>0</v>
          </cell>
          <cell r="BA1096">
            <v>40</v>
          </cell>
          <cell r="BB1096">
            <v>0</v>
          </cell>
          <cell r="BC1096">
            <v>0</v>
          </cell>
          <cell r="BD1096">
            <v>0</v>
          </cell>
          <cell r="BE1096">
            <v>0</v>
          </cell>
          <cell r="BF1096">
            <v>0</v>
          </cell>
          <cell r="BG1096">
            <v>96</v>
          </cell>
          <cell r="BH1096">
            <v>5</v>
          </cell>
          <cell r="BI1096">
            <v>5</v>
          </cell>
          <cell r="BJ1096">
            <v>0</v>
          </cell>
          <cell r="BL1096">
            <v>0</v>
          </cell>
          <cell r="BM1096">
            <v>0</v>
          </cell>
          <cell r="BN1096">
            <v>0</v>
          </cell>
          <cell r="BO1096">
            <v>0</v>
          </cell>
          <cell r="BP1096">
            <v>0</v>
          </cell>
          <cell r="BQ1096">
            <v>0</v>
          </cell>
          <cell r="BR1096">
            <v>0</v>
          </cell>
          <cell r="BS1096">
            <v>0</v>
          </cell>
          <cell r="BT1096">
            <v>0</v>
          </cell>
          <cell r="BU1096">
            <v>0</v>
          </cell>
          <cell r="BV1096">
            <v>0</v>
          </cell>
          <cell r="BW1096">
            <v>0</v>
          </cell>
          <cell r="BX1096">
            <v>0</v>
          </cell>
          <cell r="BY1096">
            <v>0</v>
          </cell>
          <cell r="BZ1096">
            <v>0</v>
          </cell>
          <cell r="CA1096">
            <v>0</v>
          </cell>
          <cell r="CB1096">
            <v>0</v>
          </cell>
          <cell r="CC1096">
            <v>0</v>
          </cell>
          <cell r="CD1096">
            <v>0</v>
          </cell>
          <cell r="CE1096">
            <v>0</v>
          </cell>
          <cell r="CF1096">
            <v>0</v>
          </cell>
          <cell r="CG1096">
            <v>0</v>
          </cell>
          <cell r="CH1096">
            <v>0</v>
          </cell>
          <cell r="CI1096">
            <v>0</v>
          </cell>
          <cell r="CJ1096">
            <v>0</v>
          </cell>
          <cell r="CK1096">
            <v>0</v>
          </cell>
          <cell r="CL1096">
            <v>0</v>
          </cell>
          <cell r="CM1096">
            <v>0</v>
          </cell>
          <cell r="CR1096">
            <v>0</v>
          </cell>
          <cell r="CS1096">
            <v>0</v>
          </cell>
          <cell r="CT1096">
            <v>0</v>
          </cell>
          <cell r="CU1096">
            <v>0</v>
          </cell>
          <cell r="CV1096">
            <v>0</v>
          </cell>
          <cell r="CZ1096">
            <v>0</v>
          </cell>
        </row>
        <row r="1097">
          <cell r="C1097" t="str">
            <v>04741</v>
          </cell>
          <cell r="D1097" t="str">
            <v>Nguyễn Hiếu Nghĩa</v>
          </cell>
          <cell r="E1097" t="str">
            <v>Production</v>
          </cell>
          <cell r="F1097" t="str">
            <v>Packing</v>
          </cell>
          <cell r="G1097" t="str">
            <v>Worker</v>
          </cell>
          <cell r="H1097">
            <v>45873</v>
          </cell>
          <cell r="I1097" t="str">
            <v>Đ</v>
          </cell>
          <cell r="J1097" t="str">
            <v>Đ</v>
          </cell>
          <cell r="K1097" t="str">
            <v>Đ</v>
          </cell>
          <cell r="L1097" t="str">
            <v>CN</v>
          </cell>
          <cell r="M1097" t="str">
            <v>SL</v>
          </cell>
          <cell r="N1097">
            <v>8</v>
          </cell>
          <cell r="O1097">
            <v>8</v>
          </cell>
          <cell r="P1097">
            <v>8</v>
          </cell>
          <cell r="Q1097">
            <v>8</v>
          </cell>
          <cell r="R1097">
            <v>8</v>
          </cell>
          <cell r="S1097" t="str">
            <v>CN</v>
          </cell>
          <cell r="T1097" t="str">
            <v>Đ</v>
          </cell>
          <cell r="U1097" t="str">
            <v>Đ</v>
          </cell>
          <cell r="V1097" t="str">
            <v>Đ</v>
          </cell>
          <cell r="W1097" t="str">
            <v>Đ</v>
          </cell>
          <cell r="X1097" t="str">
            <v>Đ</v>
          </cell>
          <cell r="Y1097" t="str">
            <v>Đ</v>
          </cell>
          <cell r="Z1097" t="str">
            <v>CN</v>
          </cell>
          <cell r="AA1097">
            <v>8</v>
          </cell>
          <cell r="AB1097">
            <v>8</v>
          </cell>
          <cell r="AC1097">
            <v>8</v>
          </cell>
          <cell r="AD1097">
            <v>8</v>
          </cell>
          <cell r="AE1097">
            <v>8</v>
          </cell>
          <cell r="AF1097">
            <v>8</v>
          </cell>
          <cell r="AG1097" t="str">
            <v>CN</v>
          </cell>
          <cell r="AH1097" t="str">
            <v>Đ</v>
          </cell>
          <cell r="AI1097" t="str">
            <v>Đ</v>
          </cell>
          <cell r="AJ1097" t="str">
            <v>Đ</v>
          </cell>
          <cell r="AN1097">
            <v>96</v>
          </cell>
          <cell r="AO1097">
            <v>88</v>
          </cell>
          <cell r="AP1097">
            <v>0</v>
          </cell>
          <cell r="AQ1097">
            <v>1</v>
          </cell>
          <cell r="AR1097">
            <v>0</v>
          </cell>
          <cell r="AS1097">
            <v>0</v>
          </cell>
          <cell r="AT1097">
            <v>0</v>
          </cell>
          <cell r="AU1097">
            <v>0</v>
          </cell>
          <cell r="AV1097">
            <v>0</v>
          </cell>
          <cell r="AW1097">
            <v>0</v>
          </cell>
          <cell r="AX1097">
            <v>0</v>
          </cell>
          <cell r="AY1097">
            <v>0</v>
          </cell>
          <cell r="AZ1097">
            <v>0</v>
          </cell>
          <cell r="BA1097">
            <v>0</v>
          </cell>
          <cell r="BB1097">
            <v>0</v>
          </cell>
          <cell r="BC1097">
            <v>0</v>
          </cell>
          <cell r="BD1097">
            <v>0</v>
          </cell>
          <cell r="BE1097">
            <v>0</v>
          </cell>
          <cell r="BF1097">
            <v>0</v>
          </cell>
          <cell r="BG1097">
            <v>184</v>
          </cell>
          <cell r="BH1097">
            <v>0</v>
          </cell>
          <cell r="BI1097">
            <v>0</v>
          </cell>
          <cell r="BJ1097">
            <v>0</v>
          </cell>
          <cell r="BL1097">
            <v>0</v>
          </cell>
          <cell r="BM1097">
            <v>0</v>
          </cell>
          <cell r="BN1097">
            <v>0</v>
          </cell>
          <cell r="BO1097">
            <v>0</v>
          </cell>
          <cell r="BP1097">
            <v>0</v>
          </cell>
          <cell r="BQ1097">
            <v>3</v>
          </cell>
          <cell r="BR1097">
            <v>0</v>
          </cell>
          <cell r="BS1097">
            <v>3</v>
          </cell>
          <cell r="BT1097">
            <v>0</v>
          </cell>
          <cell r="BU1097">
            <v>0</v>
          </cell>
          <cell r="BV1097">
            <v>0</v>
          </cell>
          <cell r="BW1097">
            <v>3</v>
          </cell>
          <cell r="BX1097">
            <v>4</v>
          </cell>
          <cell r="BY1097">
            <v>0</v>
          </cell>
          <cell r="BZ1097">
            <v>4</v>
          </cell>
          <cell r="CA1097">
            <v>4</v>
          </cell>
          <cell r="CB1097">
            <v>4</v>
          </cell>
          <cell r="CC1097">
            <v>0</v>
          </cell>
          <cell r="CD1097">
            <v>3</v>
          </cell>
          <cell r="CE1097">
            <v>0</v>
          </cell>
          <cell r="CF1097">
            <v>3</v>
          </cell>
          <cell r="CG1097">
            <v>3</v>
          </cell>
          <cell r="CH1097">
            <v>1.5</v>
          </cell>
          <cell r="CI1097">
            <v>0</v>
          </cell>
          <cell r="CJ1097">
            <v>8</v>
          </cell>
          <cell r="CK1097">
            <v>1.5</v>
          </cell>
          <cell r="CL1097">
            <v>1.5</v>
          </cell>
          <cell r="CM1097">
            <v>1.5</v>
          </cell>
          <cell r="CR1097">
            <v>0</v>
          </cell>
          <cell r="CS1097">
            <v>0</v>
          </cell>
          <cell r="CT1097">
            <v>40</v>
          </cell>
          <cell r="CU1097">
            <v>8</v>
          </cell>
          <cell r="CV1097">
            <v>0</v>
          </cell>
          <cell r="CZ1097">
            <v>48</v>
          </cell>
        </row>
        <row r="1098">
          <cell r="C1098" t="str">
            <v>04742</v>
          </cell>
          <cell r="D1098" t="str">
            <v>Đinh văn Hoàng Tú</v>
          </cell>
          <cell r="E1098" t="str">
            <v>Production</v>
          </cell>
          <cell r="F1098" t="str">
            <v>Die Cut</v>
          </cell>
          <cell r="G1098" t="str">
            <v>Worker</v>
          </cell>
          <cell r="H1098">
            <v>45873</v>
          </cell>
          <cell r="I1098">
            <v>8</v>
          </cell>
          <cell r="J1098">
            <v>8</v>
          </cell>
          <cell r="K1098">
            <v>8</v>
          </cell>
          <cell r="L1098" t="str">
            <v>CN</v>
          </cell>
          <cell r="M1098" t="str">
            <v>Đ</v>
          </cell>
          <cell r="N1098" t="str">
            <v>Đ</v>
          </cell>
          <cell r="O1098" t="str">
            <v>Đ</v>
          </cell>
          <cell r="P1098" t="str">
            <v>Đ</v>
          </cell>
          <cell r="Q1098" t="str">
            <v>Đ</v>
          </cell>
          <cell r="R1098" t="str">
            <v>Đ</v>
          </cell>
          <cell r="S1098" t="str">
            <v>CN</v>
          </cell>
          <cell r="T1098">
            <v>8</v>
          </cell>
          <cell r="U1098" t="str">
            <v>AL8</v>
          </cell>
          <cell r="V1098">
            <v>8</v>
          </cell>
          <cell r="W1098">
            <v>8</v>
          </cell>
          <cell r="X1098">
            <v>8</v>
          </cell>
          <cell r="Y1098">
            <v>8</v>
          </cell>
          <cell r="Z1098" t="str">
            <v>CN</v>
          </cell>
          <cell r="AA1098" t="str">
            <v>Đ</v>
          </cell>
          <cell r="AB1098" t="str">
            <v>Đ</v>
          </cell>
          <cell r="AC1098" t="str">
            <v>Đ</v>
          </cell>
          <cell r="AD1098" t="str">
            <v>Đ</v>
          </cell>
          <cell r="AE1098" t="str">
            <v>Đ</v>
          </cell>
          <cell r="AF1098" t="str">
            <v>Đ</v>
          </cell>
          <cell r="AG1098" t="str">
            <v>CN</v>
          </cell>
          <cell r="AH1098">
            <v>8</v>
          </cell>
          <cell r="AI1098">
            <v>8</v>
          </cell>
          <cell r="AJ1098">
            <v>8</v>
          </cell>
          <cell r="AN1098">
            <v>96</v>
          </cell>
          <cell r="AO1098">
            <v>88</v>
          </cell>
          <cell r="AP1098">
            <v>0</v>
          </cell>
          <cell r="AQ1098">
            <v>0</v>
          </cell>
          <cell r="AR1098">
            <v>0</v>
          </cell>
          <cell r="AS1098">
            <v>0</v>
          </cell>
          <cell r="AT1098">
            <v>0</v>
          </cell>
          <cell r="AU1098">
            <v>0</v>
          </cell>
          <cell r="AV1098">
            <v>0</v>
          </cell>
          <cell r="AW1098">
            <v>0</v>
          </cell>
          <cell r="AX1098">
            <v>0</v>
          </cell>
          <cell r="AY1098">
            <v>0</v>
          </cell>
          <cell r="AZ1098">
            <v>0</v>
          </cell>
          <cell r="BA1098">
            <v>8</v>
          </cell>
          <cell r="BB1098">
            <v>0</v>
          </cell>
          <cell r="BC1098">
            <v>0</v>
          </cell>
          <cell r="BD1098">
            <v>0</v>
          </cell>
          <cell r="BE1098">
            <v>0</v>
          </cell>
          <cell r="BF1098">
            <v>0</v>
          </cell>
          <cell r="BG1098">
            <v>192</v>
          </cell>
          <cell r="BH1098">
            <v>1</v>
          </cell>
          <cell r="BI1098">
            <v>1</v>
          </cell>
          <cell r="BJ1098">
            <v>-1</v>
          </cell>
          <cell r="BL1098">
            <v>0</v>
          </cell>
          <cell r="BM1098">
            <v>0</v>
          </cell>
          <cell r="BN1098">
            <v>0</v>
          </cell>
          <cell r="BO1098">
            <v>0</v>
          </cell>
          <cell r="BP1098">
            <v>0</v>
          </cell>
          <cell r="BQ1098">
            <v>3</v>
          </cell>
          <cell r="BR1098">
            <v>0</v>
          </cell>
          <cell r="BS1098">
            <v>3</v>
          </cell>
          <cell r="BT1098">
            <v>3</v>
          </cell>
          <cell r="BU1098">
            <v>0</v>
          </cell>
          <cell r="BV1098">
            <v>0</v>
          </cell>
          <cell r="BW1098">
            <v>3</v>
          </cell>
          <cell r="BX1098">
            <v>0</v>
          </cell>
          <cell r="BY1098">
            <v>3</v>
          </cell>
          <cell r="BZ1098">
            <v>3</v>
          </cell>
          <cell r="CA1098">
            <v>3</v>
          </cell>
          <cell r="CB1098">
            <v>3</v>
          </cell>
          <cell r="CC1098">
            <v>0</v>
          </cell>
          <cell r="CD1098">
            <v>1.5</v>
          </cell>
          <cell r="CE1098">
            <v>4</v>
          </cell>
          <cell r="CF1098">
            <v>4</v>
          </cell>
          <cell r="CG1098">
            <v>4</v>
          </cell>
          <cell r="CH1098">
            <v>1.5</v>
          </cell>
          <cell r="CI1098">
            <v>1.5</v>
          </cell>
          <cell r="CJ1098">
            <v>0</v>
          </cell>
          <cell r="CK1098">
            <v>0</v>
          </cell>
          <cell r="CL1098">
            <v>3</v>
          </cell>
          <cell r="CM1098">
            <v>0</v>
          </cell>
          <cell r="CR1098">
            <v>0</v>
          </cell>
          <cell r="CS1098">
            <v>0</v>
          </cell>
          <cell r="CT1098">
            <v>43.5</v>
          </cell>
          <cell r="CU1098">
            <v>0</v>
          </cell>
          <cell r="CV1098">
            <v>0</v>
          </cell>
          <cell r="CZ1098">
            <v>43.5</v>
          </cell>
        </row>
        <row r="1099">
          <cell r="C1099" t="str">
            <v>04743</v>
          </cell>
          <cell r="D1099" t="str">
            <v xml:space="preserve">Nguyễn Thị Kim Ngân </v>
          </cell>
          <cell r="E1099" t="str">
            <v>Production</v>
          </cell>
          <cell r="F1099" t="str">
            <v>Logo</v>
          </cell>
          <cell r="G1099" t="str">
            <v>Worker</v>
          </cell>
          <cell r="H1099">
            <v>45873</v>
          </cell>
          <cell r="I1099" t="str">
            <v>Đ</v>
          </cell>
          <cell r="J1099" t="str">
            <v>Đ</v>
          </cell>
          <cell r="K1099" t="str">
            <v>Đ</v>
          </cell>
          <cell r="L1099" t="str">
            <v>CN</v>
          </cell>
          <cell r="M1099">
            <v>8</v>
          </cell>
          <cell r="N1099">
            <v>8</v>
          </cell>
          <cell r="O1099">
            <v>8</v>
          </cell>
          <cell r="P1099">
            <v>8</v>
          </cell>
          <cell r="Q1099">
            <v>8</v>
          </cell>
          <cell r="R1099">
            <v>8</v>
          </cell>
          <cell r="S1099" t="str">
            <v>CN</v>
          </cell>
          <cell r="T1099" t="str">
            <v>Đ</v>
          </cell>
          <cell r="U1099" t="str">
            <v>Đ</v>
          </cell>
          <cell r="V1099" t="str">
            <v>Đ</v>
          </cell>
          <cell r="W1099" t="str">
            <v>Đ</v>
          </cell>
          <cell r="X1099" t="str">
            <v>Đ</v>
          </cell>
          <cell r="Y1099" t="str">
            <v>Đ</v>
          </cell>
          <cell r="Z1099" t="str">
            <v>CN</v>
          </cell>
          <cell r="AA1099">
            <v>8</v>
          </cell>
          <cell r="AB1099">
            <v>8</v>
          </cell>
          <cell r="AC1099">
            <v>8</v>
          </cell>
          <cell r="AD1099">
            <v>8</v>
          </cell>
          <cell r="AE1099">
            <v>8</v>
          </cell>
          <cell r="AF1099">
            <v>8</v>
          </cell>
          <cell r="AG1099" t="str">
            <v>CN</v>
          </cell>
          <cell r="AH1099" t="str">
            <v>Đ</v>
          </cell>
          <cell r="AI1099" t="str">
            <v>Đ</v>
          </cell>
          <cell r="AJ1099" t="str">
            <v>Đ</v>
          </cell>
          <cell r="AN1099">
            <v>96</v>
          </cell>
          <cell r="AO1099">
            <v>96</v>
          </cell>
          <cell r="AP1099">
            <v>0</v>
          </cell>
          <cell r="AQ1099">
            <v>0</v>
          </cell>
          <cell r="AR1099">
            <v>0</v>
          </cell>
          <cell r="AS1099">
            <v>0</v>
          </cell>
          <cell r="AT1099">
            <v>0</v>
          </cell>
          <cell r="AU1099">
            <v>0</v>
          </cell>
          <cell r="AV1099">
            <v>0</v>
          </cell>
          <cell r="AW1099">
            <v>0</v>
          </cell>
          <cell r="AX1099">
            <v>0</v>
          </cell>
          <cell r="AY1099">
            <v>0</v>
          </cell>
          <cell r="AZ1099">
            <v>0</v>
          </cell>
          <cell r="BA1099">
            <v>0</v>
          </cell>
          <cell r="BB1099">
            <v>0</v>
          </cell>
          <cell r="BC1099">
            <v>0</v>
          </cell>
          <cell r="BD1099">
            <v>0</v>
          </cell>
          <cell r="BE1099">
            <v>0</v>
          </cell>
          <cell r="BF1099">
            <v>0</v>
          </cell>
          <cell r="BG1099">
            <v>192</v>
          </cell>
          <cell r="BH1099">
            <v>0</v>
          </cell>
          <cell r="BI1099">
            <v>0</v>
          </cell>
          <cell r="BJ1099">
            <v>3.5</v>
          </cell>
          <cell r="BL1099">
            <v>0</v>
          </cell>
          <cell r="BM1099">
            <v>0</v>
          </cell>
          <cell r="BN1099">
            <v>0</v>
          </cell>
          <cell r="BO1099">
            <v>0</v>
          </cell>
          <cell r="BP1099">
            <v>1.5</v>
          </cell>
          <cell r="BQ1099">
            <v>3</v>
          </cell>
          <cell r="BR1099">
            <v>0</v>
          </cell>
          <cell r="BS1099">
            <v>3</v>
          </cell>
          <cell r="BT1099">
            <v>3</v>
          </cell>
          <cell r="BU1099">
            <v>0</v>
          </cell>
          <cell r="BV1099">
            <v>0</v>
          </cell>
          <cell r="BW1099">
            <v>3</v>
          </cell>
          <cell r="BX1099">
            <v>4</v>
          </cell>
          <cell r="BY1099">
            <v>4</v>
          </cell>
          <cell r="BZ1099">
            <v>4</v>
          </cell>
          <cell r="CA1099">
            <v>4</v>
          </cell>
          <cell r="CB1099">
            <v>4</v>
          </cell>
          <cell r="CC1099">
            <v>0</v>
          </cell>
          <cell r="CD1099">
            <v>1.5</v>
          </cell>
          <cell r="CE1099">
            <v>3</v>
          </cell>
          <cell r="CF1099">
            <v>3</v>
          </cell>
          <cell r="CG1099">
            <v>0</v>
          </cell>
          <cell r="CH1099">
            <v>1.5</v>
          </cell>
          <cell r="CI1099">
            <v>1.5</v>
          </cell>
          <cell r="CJ1099">
            <v>8</v>
          </cell>
          <cell r="CK1099">
            <v>1.5</v>
          </cell>
          <cell r="CL1099">
            <v>4</v>
          </cell>
          <cell r="CM1099">
            <v>1.5</v>
          </cell>
          <cell r="CR1099">
            <v>0</v>
          </cell>
          <cell r="CS1099">
            <v>0</v>
          </cell>
          <cell r="CT1099">
            <v>51</v>
          </cell>
          <cell r="CU1099">
            <v>8</v>
          </cell>
          <cell r="CV1099">
            <v>0</v>
          </cell>
          <cell r="CZ1099">
            <v>59</v>
          </cell>
        </row>
        <row r="1100">
          <cell r="C1100" t="str">
            <v>04744</v>
          </cell>
          <cell r="D1100" t="str">
            <v xml:space="preserve">Hồ Minh Khánh </v>
          </cell>
          <cell r="E1100" t="str">
            <v>Production</v>
          </cell>
          <cell r="F1100" t="str">
            <v>Prefitting</v>
          </cell>
          <cell r="G1100" t="str">
            <v>Worker</v>
          </cell>
          <cell r="H1100">
            <v>45873</v>
          </cell>
          <cell r="I1100">
            <v>8</v>
          </cell>
          <cell r="J1100" t="str">
            <v>Đ</v>
          </cell>
          <cell r="K1100" t="str">
            <v>Đ</v>
          </cell>
          <cell r="L1100" t="str">
            <v>CN</v>
          </cell>
          <cell r="M1100">
            <v>8</v>
          </cell>
          <cell r="N1100">
            <v>8</v>
          </cell>
          <cell r="O1100" t="str">
            <v>AL8</v>
          </cell>
          <cell r="P1100">
            <v>8</v>
          </cell>
          <cell r="Q1100">
            <v>8</v>
          </cell>
          <cell r="R1100">
            <v>8</v>
          </cell>
          <cell r="S1100" t="str">
            <v>CN</v>
          </cell>
          <cell r="T1100">
            <v>8</v>
          </cell>
          <cell r="U1100">
            <v>8</v>
          </cell>
          <cell r="V1100">
            <v>8</v>
          </cell>
          <cell r="W1100">
            <v>8</v>
          </cell>
          <cell r="X1100" t="str">
            <v>Đ</v>
          </cell>
          <cell r="Y1100" t="str">
            <v>Đ</v>
          </cell>
          <cell r="Z1100" t="str">
            <v>CN</v>
          </cell>
          <cell r="AA1100">
            <v>8</v>
          </cell>
          <cell r="AB1100">
            <v>8</v>
          </cell>
          <cell r="AC1100">
            <v>8</v>
          </cell>
          <cell r="AD1100">
            <v>8</v>
          </cell>
          <cell r="AE1100">
            <v>8</v>
          </cell>
          <cell r="AF1100">
            <v>8</v>
          </cell>
          <cell r="AG1100" t="str">
            <v>CN</v>
          </cell>
          <cell r="AH1100">
            <v>8</v>
          </cell>
          <cell r="AI1100">
            <v>8</v>
          </cell>
          <cell r="AJ1100">
            <v>8</v>
          </cell>
          <cell r="AN1100">
            <v>32</v>
          </cell>
          <cell r="AO1100">
            <v>152</v>
          </cell>
          <cell r="AP1100">
            <v>0</v>
          </cell>
          <cell r="AQ1100">
            <v>0</v>
          </cell>
          <cell r="AR1100">
            <v>0</v>
          </cell>
          <cell r="AS1100">
            <v>0</v>
          </cell>
          <cell r="AT1100">
            <v>0</v>
          </cell>
          <cell r="AU1100">
            <v>0</v>
          </cell>
          <cell r="AV1100">
            <v>0</v>
          </cell>
          <cell r="AW1100">
            <v>0</v>
          </cell>
          <cell r="AX1100">
            <v>0</v>
          </cell>
          <cell r="AY1100">
            <v>0</v>
          </cell>
          <cell r="AZ1100">
            <v>0</v>
          </cell>
          <cell r="BA1100">
            <v>8</v>
          </cell>
          <cell r="BB1100">
            <v>0</v>
          </cell>
          <cell r="BC1100">
            <v>0</v>
          </cell>
          <cell r="BD1100">
            <v>0</v>
          </cell>
          <cell r="BE1100">
            <v>0</v>
          </cell>
          <cell r="BF1100">
            <v>0</v>
          </cell>
          <cell r="BG1100">
            <v>192</v>
          </cell>
          <cell r="BH1100">
            <v>1</v>
          </cell>
          <cell r="BI1100">
            <v>1</v>
          </cell>
          <cell r="BJ1100">
            <v>2</v>
          </cell>
          <cell r="BL1100">
            <v>0</v>
          </cell>
          <cell r="BM1100">
            <v>4</v>
          </cell>
          <cell r="BN1100">
            <v>4</v>
          </cell>
          <cell r="BO1100">
            <v>0</v>
          </cell>
          <cell r="BP1100">
            <v>0</v>
          </cell>
          <cell r="BQ1100">
            <v>0</v>
          </cell>
          <cell r="BR1100">
            <v>0</v>
          </cell>
          <cell r="BS1100">
            <v>0</v>
          </cell>
          <cell r="BT1100">
            <v>0</v>
          </cell>
          <cell r="BU1100">
            <v>4</v>
          </cell>
          <cell r="BV1100">
            <v>0</v>
          </cell>
          <cell r="BW1100">
            <v>0</v>
          </cell>
          <cell r="BX1100">
            <v>0</v>
          </cell>
          <cell r="BY1100">
            <v>0</v>
          </cell>
          <cell r="BZ1100">
            <v>0</v>
          </cell>
          <cell r="CA1100">
            <v>4</v>
          </cell>
          <cell r="CB1100">
            <v>4</v>
          </cell>
          <cell r="CC1100">
            <v>0</v>
          </cell>
          <cell r="CD1100">
            <v>0</v>
          </cell>
          <cell r="CE1100">
            <v>0</v>
          </cell>
          <cell r="CF1100">
            <v>0</v>
          </cell>
          <cell r="CG1100">
            <v>0</v>
          </cell>
          <cell r="CH1100">
            <v>4</v>
          </cell>
          <cell r="CI1100">
            <v>4</v>
          </cell>
          <cell r="CJ1100">
            <v>0</v>
          </cell>
          <cell r="CK1100">
            <v>0</v>
          </cell>
          <cell r="CL1100">
            <v>0</v>
          </cell>
          <cell r="CM1100">
            <v>0</v>
          </cell>
          <cell r="CR1100">
            <v>0</v>
          </cell>
          <cell r="CS1100">
            <v>0</v>
          </cell>
          <cell r="CT1100">
            <v>28</v>
          </cell>
          <cell r="CU1100">
            <v>0</v>
          </cell>
          <cell r="CV1100">
            <v>0</v>
          </cell>
          <cell r="CZ1100">
            <v>28</v>
          </cell>
        </row>
        <row r="1101">
          <cell r="C1101" t="str">
            <v>04747</v>
          </cell>
          <cell r="D1101" t="str">
            <v>Trần Lục Trí</v>
          </cell>
          <cell r="E1101" t="str">
            <v>Production</v>
          </cell>
          <cell r="F1101" t="str">
            <v>Die Cut</v>
          </cell>
          <cell r="G1101" t="str">
            <v>Worker</v>
          </cell>
          <cell r="H1101">
            <v>45873</v>
          </cell>
          <cell r="I1101" t="str">
            <v>AL8</v>
          </cell>
          <cell r="J1101">
            <v>8</v>
          </cell>
          <cell r="K1101">
            <v>8</v>
          </cell>
          <cell r="L1101" t="str">
            <v>CN</v>
          </cell>
          <cell r="M1101" t="str">
            <v>Đ</v>
          </cell>
          <cell r="N1101" t="str">
            <v>Đ</v>
          </cell>
          <cell r="O1101" t="str">
            <v>Đ</v>
          </cell>
          <cell r="P1101" t="str">
            <v>Đ</v>
          </cell>
          <cell r="Q1101" t="str">
            <v>Đ</v>
          </cell>
          <cell r="R1101" t="str">
            <v>Đ</v>
          </cell>
          <cell r="S1101" t="str">
            <v>CN</v>
          </cell>
          <cell r="T1101" t="str">
            <v>AL8</v>
          </cell>
          <cell r="U1101" t="str">
            <v>AL8</v>
          </cell>
          <cell r="V1101">
            <v>8</v>
          </cell>
          <cell r="W1101">
            <v>8</v>
          </cell>
          <cell r="X1101">
            <v>8</v>
          </cell>
          <cell r="Y1101">
            <v>8</v>
          </cell>
          <cell r="Z1101" t="str">
            <v>CN</v>
          </cell>
          <cell r="AA1101" t="str">
            <v>Đ</v>
          </cell>
          <cell r="AB1101" t="str">
            <v>Đ</v>
          </cell>
          <cell r="AC1101" t="str">
            <v>Đ</v>
          </cell>
          <cell r="AD1101" t="str">
            <v>Đ</v>
          </cell>
          <cell r="AE1101" t="str">
            <v>Đ</v>
          </cell>
          <cell r="AF1101" t="str">
            <v>Đ</v>
          </cell>
          <cell r="AG1101" t="str">
            <v>CN</v>
          </cell>
          <cell r="AH1101" t="str">
            <v>UP5</v>
          </cell>
          <cell r="AI1101" t="str">
            <v>UP8</v>
          </cell>
          <cell r="AJ1101">
            <v>8</v>
          </cell>
          <cell r="AN1101">
            <v>96</v>
          </cell>
          <cell r="AO1101">
            <v>61</v>
          </cell>
          <cell r="AP1101">
            <v>0</v>
          </cell>
          <cell r="AQ1101">
            <v>0</v>
          </cell>
          <cell r="AR1101">
            <v>5</v>
          </cell>
          <cell r="AS1101">
            <v>8</v>
          </cell>
          <cell r="AT1101">
            <v>0</v>
          </cell>
          <cell r="AU1101">
            <v>0</v>
          </cell>
          <cell r="AV1101">
            <v>0</v>
          </cell>
          <cell r="AW1101">
            <v>0</v>
          </cell>
          <cell r="AX1101">
            <v>0</v>
          </cell>
          <cell r="AY1101">
            <v>0</v>
          </cell>
          <cell r="AZ1101">
            <v>0</v>
          </cell>
          <cell r="BA1101">
            <v>24</v>
          </cell>
          <cell r="BB1101">
            <v>0</v>
          </cell>
          <cell r="BC1101">
            <v>0</v>
          </cell>
          <cell r="BD1101">
            <v>0</v>
          </cell>
          <cell r="BE1101">
            <v>0</v>
          </cell>
          <cell r="BF1101">
            <v>0</v>
          </cell>
          <cell r="BG1101">
            <v>181</v>
          </cell>
          <cell r="BH1101">
            <v>3</v>
          </cell>
          <cell r="BI1101">
            <v>3</v>
          </cell>
          <cell r="BJ1101">
            <v>-2</v>
          </cell>
          <cell r="BL1101">
            <v>0</v>
          </cell>
          <cell r="BM1101">
            <v>1.5</v>
          </cell>
          <cell r="BN1101">
            <v>1.5</v>
          </cell>
          <cell r="BO1101">
            <v>0</v>
          </cell>
          <cell r="BP1101">
            <v>1.5</v>
          </cell>
          <cell r="BQ1101">
            <v>0</v>
          </cell>
          <cell r="BR1101">
            <v>0</v>
          </cell>
          <cell r="BS1101">
            <v>4</v>
          </cell>
          <cell r="BT1101">
            <v>4</v>
          </cell>
          <cell r="BU1101">
            <v>4</v>
          </cell>
          <cell r="BV1101">
            <v>0</v>
          </cell>
          <cell r="BW1101">
            <v>2</v>
          </cell>
          <cell r="BX1101">
            <v>0</v>
          </cell>
          <cell r="BY1101">
            <v>3</v>
          </cell>
          <cell r="BZ1101">
            <v>3</v>
          </cell>
          <cell r="CA1101">
            <v>3</v>
          </cell>
          <cell r="CB1101">
            <v>3</v>
          </cell>
          <cell r="CC1101">
            <v>8</v>
          </cell>
          <cell r="CD1101">
            <v>1.5</v>
          </cell>
          <cell r="CE1101">
            <v>1.5</v>
          </cell>
          <cell r="CF1101">
            <v>4</v>
          </cell>
          <cell r="CG1101">
            <v>4</v>
          </cell>
          <cell r="CH1101">
            <v>4</v>
          </cell>
          <cell r="CI1101">
            <v>4</v>
          </cell>
          <cell r="CJ1101">
            <v>0</v>
          </cell>
          <cell r="CK1101">
            <v>2</v>
          </cell>
          <cell r="CL1101">
            <v>0</v>
          </cell>
          <cell r="CM1101">
            <v>3</v>
          </cell>
          <cell r="CR1101">
            <v>0</v>
          </cell>
          <cell r="CS1101">
            <v>0</v>
          </cell>
          <cell r="CT1101">
            <v>54.5</v>
          </cell>
          <cell r="CU1101">
            <v>8</v>
          </cell>
          <cell r="CV1101">
            <v>0</v>
          </cell>
          <cell r="CZ1101">
            <v>62.5</v>
          </cell>
        </row>
        <row r="1102">
          <cell r="C1102" t="str">
            <v>04748</v>
          </cell>
          <cell r="D1102" t="str">
            <v>Lê Thị Huỳnh Như</v>
          </cell>
          <cell r="E1102" t="str">
            <v>Production</v>
          </cell>
          <cell r="F1102" t="str">
            <v>Packing</v>
          </cell>
          <cell r="G1102" t="str">
            <v>Worker</v>
          </cell>
          <cell r="H1102">
            <v>45873</v>
          </cell>
          <cell r="I1102">
            <v>8</v>
          </cell>
          <cell r="J1102">
            <v>8</v>
          </cell>
          <cell r="K1102">
            <v>8</v>
          </cell>
          <cell r="L1102" t="str">
            <v>CN</v>
          </cell>
          <cell r="M1102" t="str">
            <v>Đ</v>
          </cell>
          <cell r="N1102" t="str">
            <v>Đ</v>
          </cell>
          <cell r="O1102" t="str">
            <v>Đ</v>
          </cell>
          <cell r="P1102" t="str">
            <v>Đ</v>
          </cell>
          <cell r="Q1102" t="str">
            <v>AL8</v>
          </cell>
          <cell r="R1102" t="str">
            <v>Đ</v>
          </cell>
          <cell r="S1102" t="str">
            <v>CN</v>
          </cell>
          <cell r="T1102">
            <v>8</v>
          </cell>
          <cell r="U1102">
            <v>8</v>
          </cell>
          <cell r="V1102">
            <v>8</v>
          </cell>
          <cell r="W1102">
            <v>8</v>
          </cell>
          <cell r="X1102">
            <v>8</v>
          </cell>
          <cell r="Y1102">
            <v>8</v>
          </cell>
          <cell r="Z1102" t="str">
            <v>CN</v>
          </cell>
          <cell r="AA1102" t="str">
            <v>Đ</v>
          </cell>
          <cell r="AB1102" t="str">
            <v>Đ</v>
          </cell>
          <cell r="AC1102" t="str">
            <v>Đ</v>
          </cell>
          <cell r="AD1102" t="str">
            <v>Đ</v>
          </cell>
          <cell r="AE1102" t="str">
            <v>Đ</v>
          </cell>
          <cell r="AF1102" t="str">
            <v>Đ</v>
          </cell>
          <cell r="AG1102" t="str">
            <v>CN</v>
          </cell>
          <cell r="AH1102">
            <v>8</v>
          </cell>
          <cell r="AI1102">
            <v>8</v>
          </cell>
          <cell r="AJ1102">
            <v>8</v>
          </cell>
          <cell r="AN1102">
            <v>88</v>
          </cell>
          <cell r="AO1102">
            <v>96</v>
          </cell>
          <cell r="AP1102">
            <v>0</v>
          </cell>
          <cell r="AQ1102">
            <v>0</v>
          </cell>
          <cell r="AR1102">
            <v>0</v>
          </cell>
          <cell r="AS1102">
            <v>0</v>
          </cell>
          <cell r="AT1102">
            <v>0</v>
          </cell>
          <cell r="AU1102">
            <v>0</v>
          </cell>
          <cell r="AV1102">
            <v>0</v>
          </cell>
          <cell r="AW1102">
            <v>0</v>
          </cell>
          <cell r="AX1102">
            <v>0</v>
          </cell>
          <cell r="AY1102">
            <v>0</v>
          </cell>
          <cell r="AZ1102">
            <v>0</v>
          </cell>
          <cell r="BA1102">
            <v>8</v>
          </cell>
          <cell r="BB1102">
            <v>0</v>
          </cell>
          <cell r="BC1102">
            <v>0</v>
          </cell>
          <cell r="BD1102">
            <v>0</v>
          </cell>
          <cell r="BE1102">
            <v>0</v>
          </cell>
          <cell r="BF1102">
            <v>0</v>
          </cell>
          <cell r="BG1102">
            <v>192</v>
          </cell>
          <cell r="BH1102">
            <v>1</v>
          </cell>
          <cell r="BI1102">
            <v>1</v>
          </cell>
          <cell r="BJ1102">
            <v>0</v>
          </cell>
          <cell r="BL1102">
            <v>0</v>
          </cell>
          <cell r="BM1102">
            <v>0</v>
          </cell>
          <cell r="BN1102">
            <v>1.5</v>
          </cell>
          <cell r="BO1102">
            <v>0</v>
          </cell>
          <cell r="BP1102">
            <v>1.5</v>
          </cell>
          <cell r="BQ1102">
            <v>3</v>
          </cell>
          <cell r="BR1102">
            <v>0</v>
          </cell>
          <cell r="BS1102">
            <v>3</v>
          </cell>
          <cell r="BT1102">
            <v>0</v>
          </cell>
          <cell r="BU1102">
            <v>0</v>
          </cell>
          <cell r="BV1102">
            <v>0</v>
          </cell>
          <cell r="BW1102">
            <v>3</v>
          </cell>
          <cell r="BX1102">
            <v>3</v>
          </cell>
          <cell r="BY1102">
            <v>3</v>
          </cell>
          <cell r="BZ1102">
            <v>3</v>
          </cell>
          <cell r="CA1102">
            <v>3</v>
          </cell>
          <cell r="CB1102">
            <v>3</v>
          </cell>
          <cell r="CC1102">
            <v>8</v>
          </cell>
          <cell r="CD1102">
            <v>4</v>
          </cell>
          <cell r="CE1102">
            <v>4</v>
          </cell>
          <cell r="CF1102">
            <v>4</v>
          </cell>
          <cell r="CG1102">
            <v>4</v>
          </cell>
          <cell r="CH1102">
            <v>4</v>
          </cell>
          <cell r="CI1102">
            <v>4</v>
          </cell>
          <cell r="CJ1102">
            <v>0</v>
          </cell>
          <cell r="CK1102">
            <v>3</v>
          </cell>
          <cell r="CL1102">
            <v>3</v>
          </cell>
          <cell r="CM1102">
            <v>3</v>
          </cell>
          <cell r="CR1102">
            <v>0</v>
          </cell>
          <cell r="CS1102">
            <v>0</v>
          </cell>
          <cell r="CT1102">
            <v>60</v>
          </cell>
          <cell r="CU1102">
            <v>8</v>
          </cell>
          <cell r="CV1102">
            <v>0</v>
          </cell>
          <cell r="CZ1102">
            <v>68</v>
          </cell>
        </row>
        <row r="1103">
          <cell r="C1103" t="str">
            <v>04749</v>
          </cell>
          <cell r="D1103" t="str">
            <v>Lê Kim Yến</v>
          </cell>
          <cell r="E1103" t="str">
            <v>Production</v>
          </cell>
          <cell r="F1103" t="str">
            <v>Skiving</v>
          </cell>
          <cell r="G1103" t="str">
            <v>Worker</v>
          </cell>
          <cell r="H1103">
            <v>45873</v>
          </cell>
          <cell r="I1103">
            <v>8</v>
          </cell>
          <cell r="J1103">
            <v>8</v>
          </cell>
          <cell r="K1103">
            <v>8</v>
          </cell>
          <cell r="L1103" t="str">
            <v>CN</v>
          </cell>
          <cell r="M1103" t="str">
            <v>Đ</v>
          </cell>
          <cell r="N1103" t="str">
            <v>Đ</v>
          </cell>
          <cell r="O1103" t="str">
            <v>Đ</v>
          </cell>
          <cell r="P1103" t="str">
            <v>Đ</v>
          </cell>
          <cell r="Q1103" t="str">
            <v>Đ</v>
          </cell>
          <cell r="R1103" t="str">
            <v>Đ</v>
          </cell>
          <cell r="S1103" t="str">
            <v>CN</v>
          </cell>
          <cell r="T1103">
            <v>8</v>
          </cell>
          <cell r="U1103">
            <v>8</v>
          </cell>
          <cell r="V1103">
            <v>8</v>
          </cell>
          <cell r="W1103">
            <v>8</v>
          </cell>
          <cell r="X1103">
            <v>8</v>
          </cell>
          <cell r="Y1103">
            <v>8</v>
          </cell>
          <cell r="Z1103" t="str">
            <v>CN</v>
          </cell>
          <cell r="AA1103" t="str">
            <v>Đ</v>
          </cell>
          <cell r="AB1103" t="str">
            <v>Đ</v>
          </cell>
          <cell r="AC1103" t="str">
            <v>Đ</v>
          </cell>
          <cell r="AD1103" t="str">
            <v>Đ</v>
          </cell>
          <cell r="AE1103" t="str">
            <v>Đ</v>
          </cell>
          <cell r="AF1103" t="str">
            <v>Đ</v>
          </cell>
          <cell r="AG1103" t="str">
            <v>CN</v>
          </cell>
          <cell r="AH1103">
            <v>8</v>
          </cell>
          <cell r="AI1103">
            <v>8</v>
          </cell>
          <cell r="AJ1103">
            <v>8</v>
          </cell>
          <cell r="AN1103">
            <v>96</v>
          </cell>
          <cell r="AO1103">
            <v>96</v>
          </cell>
          <cell r="AP1103">
            <v>0</v>
          </cell>
          <cell r="AQ1103">
            <v>0</v>
          </cell>
          <cell r="AR1103">
            <v>0</v>
          </cell>
          <cell r="AS1103">
            <v>0</v>
          </cell>
          <cell r="AT1103">
            <v>0</v>
          </cell>
          <cell r="AU1103">
            <v>0</v>
          </cell>
          <cell r="AV1103">
            <v>0</v>
          </cell>
          <cell r="AW1103">
            <v>0</v>
          </cell>
          <cell r="AX1103">
            <v>0</v>
          </cell>
          <cell r="AY1103">
            <v>0</v>
          </cell>
          <cell r="AZ1103">
            <v>0</v>
          </cell>
          <cell r="BA1103">
            <v>0</v>
          </cell>
          <cell r="BB1103">
            <v>0</v>
          </cell>
          <cell r="BC1103">
            <v>0</v>
          </cell>
          <cell r="BD1103">
            <v>0</v>
          </cell>
          <cell r="BE1103">
            <v>0</v>
          </cell>
          <cell r="BF1103">
            <v>0</v>
          </cell>
          <cell r="BG1103">
            <v>192</v>
          </cell>
          <cell r="BH1103">
            <v>0</v>
          </cell>
          <cell r="BI1103">
            <v>0</v>
          </cell>
          <cell r="BJ1103">
            <v>0.5</v>
          </cell>
          <cell r="BL1103">
            <v>0</v>
          </cell>
          <cell r="BM1103">
            <v>0</v>
          </cell>
          <cell r="BN1103">
            <v>0</v>
          </cell>
          <cell r="BO1103">
            <v>0</v>
          </cell>
          <cell r="BP1103">
            <v>1.5</v>
          </cell>
          <cell r="BQ1103">
            <v>3</v>
          </cell>
          <cell r="BR1103">
            <v>0</v>
          </cell>
          <cell r="BS1103">
            <v>3</v>
          </cell>
          <cell r="BT1103">
            <v>3</v>
          </cell>
          <cell r="BU1103">
            <v>0</v>
          </cell>
          <cell r="BV1103">
            <v>0</v>
          </cell>
          <cell r="BW1103">
            <v>3</v>
          </cell>
          <cell r="BX1103">
            <v>3</v>
          </cell>
          <cell r="BY1103">
            <v>3</v>
          </cell>
          <cell r="BZ1103">
            <v>3</v>
          </cell>
          <cell r="CA1103">
            <v>3</v>
          </cell>
          <cell r="CB1103">
            <v>3</v>
          </cell>
          <cell r="CC1103">
            <v>8</v>
          </cell>
          <cell r="CD1103">
            <v>4</v>
          </cell>
          <cell r="CE1103">
            <v>4</v>
          </cell>
          <cell r="CF1103">
            <v>4</v>
          </cell>
          <cell r="CG1103">
            <v>4</v>
          </cell>
          <cell r="CH1103">
            <v>1.5</v>
          </cell>
          <cell r="CI1103">
            <v>1.5</v>
          </cell>
          <cell r="CJ1103">
            <v>0</v>
          </cell>
          <cell r="CK1103">
            <v>1.5</v>
          </cell>
          <cell r="CL1103">
            <v>1.5</v>
          </cell>
          <cell r="CM1103">
            <v>1.5</v>
          </cell>
          <cell r="CR1103">
            <v>0</v>
          </cell>
          <cell r="CS1103">
            <v>0</v>
          </cell>
          <cell r="CT1103">
            <v>52</v>
          </cell>
          <cell r="CU1103">
            <v>8</v>
          </cell>
          <cell r="CV1103">
            <v>0</v>
          </cell>
          <cell r="CZ1103">
            <v>60</v>
          </cell>
        </row>
        <row r="1104">
          <cell r="C1104" t="str">
            <v>04751</v>
          </cell>
          <cell r="D1104" t="str">
            <v>Trần Thị Huy</v>
          </cell>
          <cell r="E1104" t="str">
            <v>Production</v>
          </cell>
          <cell r="F1104" t="str">
            <v>Logo</v>
          </cell>
          <cell r="G1104" t="str">
            <v>Worker</v>
          </cell>
          <cell r="H1104">
            <v>45873</v>
          </cell>
          <cell r="I1104" t="str">
            <v>AL8</v>
          </cell>
          <cell r="J1104" t="str">
            <v>Đ</v>
          </cell>
          <cell r="K1104" t="str">
            <v>Đ</v>
          </cell>
          <cell r="L1104" t="str">
            <v>CN</v>
          </cell>
          <cell r="M1104">
            <v>8</v>
          </cell>
          <cell r="N1104">
            <v>8</v>
          </cell>
          <cell r="O1104">
            <v>8</v>
          </cell>
          <cell r="P1104">
            <v>8</v>
          </cell>
          <cell r="Q1104">
            <v>8</v>
          </cell>
          <cell r="R1104">
            <v>8</v>
          </cell>
          <cell r="S1104" t="str">
            <v>CN</v>
          </cell>
          <cell r="T1104" t="str">
            <v>Đ</v>
          </cell>
          <cell r="U1104" t="str">
            <v>Đ</v>
          </cell>
          <cell r="V1104" t="str">
            <v>Đ</v>
          </cell>
          <cell r="W1104" t="str">
            <v>Đ</v>
          </cell>
          <cell r="X1104" t="str">
            <v>Đ</v>
          </cell>
          <cell r="Y1104" t="str">
            <v>Đ</v>
          </cell>
          <cell r="Z1104" t="str">
            <v>CN</v>
          </cell>
          <cell r="AA1104">
            <v>8</v>
          </cell>
          <cell r="AB1104">
            <v>8</v>
          </cell>
          <cell r="AC1104">
            <v>8</v>
          </cell>
          <cell r="AD1104">
            <v>8</v>
          </cell>
          <cell r="AE1104">
            <v>8</v>
          </cell>
          <cell r="AF1104">
            <v>8</v>
          </cell>
          <cell r="AG1104" t="str">
            <v>CN</v>
          </cell>
          <cell r="AH1104" t="str">
            <v>Đ</v>
          </cell>
          <cell r="AI1104" t="str">
            <v>Đ</v>
          </cell>
          <cell r="AJ1104" t="str">
            <v>AL4/UP4</v>
          </cell>
          <cell r="AN1104">
            <v>80</v>
          </cell>
          <cell r="AO1104">
            <v>96</v>
          </cell>
          <cell r="AP1104">
            <v>0</v>
          </cell>
          <cell r="AQ1104">
            <v>0</v>
          </cell>
          <cell r="AR1104">
            <v>0</v>
          </cell>
          <cell r="AS1104">
            <v>4</v>
          </cell>
          <cell r="AT1104">
            <v>0</v>
          </cell>
          <cell r="AU1104">
            <v>0</v>
          </cell>
          <cell r="AV1104">
            <v>0</v>
          </cell>
          <cell r="AW1104">
            <v>0</v>
          </cell>
          <cell r="AX1104">
            <v>0</v>
          </cell>
          <cell r="AY1104">
            <v>0</v>
          </cell>
          <cell r="AZ1104">
            <v>0</v>
          </cell>
          <cell r="BA1104">
            <v>12</v>
          </cell>
          <cell r="BB1104">
            <v>0</v>
          </cell>
          <cell r="BC1104">
            <v>0</v>
          </cell>
          <cell r="BD1104">
            <v>0</v>
          </cell>
          <cell r="BE1104">
            <v>0</v>
          </cell>
          <cell r="BF1104">
            <v>0</v>
          </cell>
          <cell r="BG1104">
            <v>188</v>
          </cell>
          <cell r="BH1104">
            <v>1.5</v>
          </cell>
          <cell r="BI1104">
            <v>1.5</v>
          </cell>
          <cell r="BJ1104">
            <v>0</v>
          </cell>
          <cell r="BL1104">
            <v>0</v>
          </cell>
          <cell r="BM1104">
            <v>1.5</v>
          </cell>
          <cell r="BN1104">
            <v>1.5</v>
          </cell>
          <cell r="BO1104">
            <v>0</v>
          </cell>
          <cell r="BP1104">
            <v>1.5</v>
          </cell>
          <cell r="BQ1104">
            <v>3</v>
          </cell>
          <cell r="BR1104">
            <v>0</v>
          </cell>
          <cell r="BS1104">
            <v>3</v>
          </cell>
          <cell r="BT1104">
            <v>3</v>
          </cell>
          <cell r="BU1104">
            <v>0</v>
          </cell>
          <cell r="BV1104">
            <v>0</v>
          </cell>
          <cell r="BW1104">
            <v>3</v>
          </cell>
          <cell r="BX1104">
            <v>4</v>
          </cell>
          <cell r="BY1104">
            <v>4</v>
          </cell>
          <cell r="BZ1104">
            <v>4</v>
          </cell>
          <cell r="CA1104">
            <v>0</v>
          </cell>
          <cell r="CB1104">
            <v>4</v>
          </cell>
          <cell r="CC1104">
            <v>0</v>
          </cell>
          <cell r="CD1104">
            <v>1.5</v>
          </cell>
          <cell r="CE1104">
            <v>3</v>
          </cell>
          <cell r="CF1104">
            <v>3</v>
          </cell>
          <cell r="CG1104">
            <v>0</v>
          </cell>
          <cell r="CH1104">
            <v>0</v>
          </cell>
          <cell r="CI1104">
            <v>0</v>
          </cell>
          <cell r="CJ1104">
            <v>0</v>
          </cell>
          <cell r="CK1104">
            <v>0</v>
          </cell>
          <cell r="CL1104">
            <v>0</v>
          </cell>
          <cell r="CM1104">
            <v>0</v>
          </cell>
          <cell r="CR1104">
            <v>0</v>
          </cell>
          <cell r="CS1104">
            <v>0</v>
          </cell>
          <cell r="CT1104">
            <v>40</v>
          </cell>
          <cell r="CU1104">
            <v>0</v>
          </cell>
          <cell r="CV1104">
            <v>0</v>
          </cell>
          <cell r="CZ1104">
            <v>40</v>
          </cell>
        </row>
        <row r="1105">
          <cell r="C1105" t="str">
            <v>04754</v>
          </cell>
          <cell r="D1105" t="str">
            <v>Mông Thị Mến</v>
          </cell>
          <cell r="E1105" t="str">
            <v>Production</v>
          </cell>
          <cell r="F1105" t="str">
            <v>Molding</v>
          </cell>
          <cell r="G1105" t="str">
            <v>Worker</v>
          </cell>
          <cell r="H1105">
            <v>45873</v>
          </cell>
          <cell r="I1105" t="str">
            <v>SL</v>
          </cell>
          <cell r="J1105">
            <v>8</v>
          </cell>
          <cell r="K1105">
            <v>8</v>
          </cell>
          <cell r="L1105" t="str">
            <v>CN</v>
          </cell>
          <cell r="M1105" t="str">
            <v>AL4</v>
          </cell>
          <cell r="N1105">
            <v>8</v>
          </cell>
          <cell r="O1105">
            <v>8</v>
          </cell>
          <cell r="P1105">
            <v>8</v>
          </cell>
          <cell r="Q1105">
            <v>8</v>
          </cell>
          <cell r="R1105">
            <v>8</v>
          </cell>
          <cell r="S1105" t="str">
            <v>CN</v>
          </cell>
          <cell r="T1105" t="str">
            <v>AL8</v>
          </cell>
          <cell r="U1105">
            <v>8</v>
          </cell>
          <cell r="V1105">
            <v>8</v>
          </cell>
          <cell r="W1105">
            <v>8</v>
          </cell>
          <cell r="X1105">
            <v>8</v>
          </cell>
          <cell r="Y1105">
            <v>8</v>
          </cell>
          <cell r="Z1105" t="str">
            <v>CN</v>
          </cell>
          <cell r="AA1105">
            <v>8</v>
          </cell>
          <cell r="AB1105">
            <v>8</v>
          </cell>
          <cell r="AC1105">
            <v>8</v>
          </cell>
          <cell r="AD1105">
            <v>8</v>
          </cell>
          <cell r="AE1105">
            <v>8</v>
          </cell>
          <cell r="AF1105">
            <v>8</v>
          </cell>
          <cell r="AG1105" t="str">
            <v>CN</v>
          </cell>
          <cell r="AH1105">
            <v>8</v>
          </cell>
          <cell r="AI1105">
            <v>8</v>
          </cell>
          <cell r="AJ1105">
            <v>8</v>
          </cell>
          <cell r="AN1105">
            <v>0</v>
          </cell>
          <cell r="AO1105">
            <v>172</v>
          </cell>
          <cell r="AP1105">
            <v>4</v>
          </cell>
          <cell r="AQ1105">
            <v>1</v>
          </cell>
          <cell r="AR1105">
            <v>0</v>
          </cell>
          <cell r="AS1105">
            <v>0</v>
          </cell>
          <cell r="AT1105">
            <v>0</v>
          </cell>
          <cell r="AU1105">
            <v>0</v>
          </cell>
          <cell r="AV1105">
            <v>0</v>
          </cell>
          <cell r="AW1105">
            <v>0</v>
          </cell>
          <cell r="AX1105">
            <v>0</v>
          </cell>
          <cell r="AY1105">
            <v>0</v>
          </cell>
          <cell r="AZ1105">
            <v>0</v>
          </cell>
          <cell r="BA1105">
            <v>12</v>
          </cell>
          <cell r="BB1105">
            <v>0</v>
          </cell>
          <cell r="BC1105">
            <v>0</v>
          </cell>
          <cell r="BD1105">
            <v>0</v>
          </cell>
          <cell r="BE1105">
            <v>0</v>
          </cell>
          <cell r="BF1105">
            <v>0</v>
          </cell>
          <cell r="BG1105">
            <v>184</v>
          </cell>
          <cell r="BH1105">
            <v>1.5</v>
          </cell>
          <cell r="BI1105">
            <v>1.5</v>
          </cell>
          <cell r="BJ1105">
            <v>1</v>
          </cell>
          <cell r="BL1105">
            <v>0</v>
          </cell>
          <cell r="BM1105">
            <v>0</v>
          </cell>
          <cell r="BN1105">
            <v>0</v>
          </cell>
          <cell r="BO1105">
            <v>0</v>
          </cell>
          <cell r="BP1105">
            <v>0</v>
          </cell>
          <cell r="BQ1105">
            <v>4</v>
          </cell>
          <cell r="BR1105">
            <v>0</v>
          </cell>
          <cell r="BS1105">
            <v>0</v>
          </cell>
          <cell r="BT1105">
            <v>0</v>
          </cell>
          <cell r="BU1105">
            <v>0</v>
          </cell>
          <cell r="BV1105">
            <v>0</v>
          </cell>
          <cell r="BW1105">
            <v>0</v>
          </cell>
          <cell r="BX1105">
            <v>0</v>
          </cell>
          <cell r="BY1105">
            <v>0</v>
          </cell>
          <cell r="BZ1105">
            <v>4</v>
          </cell>
          <cell r="CA1105">
            <v>4</v>
          </cell>
          <cell r="CB1105">
            <v>4</v>
          </cell>
          <cell r="CC1105">
            <v>0</v>
          </cell>
          <cell r="CD1105">
            <v>0</v>
          </cell>
          <cell r="CE1105">
            <v>0</v>
          </cell>
          <cell r="CF1105">
            <v>0</v>
          </cell>
          <cell r="CG1105">
            <v>0</v>
          </cell>
          <cell r="CH1105">
            <v>0</v>
          </cell>
          <cell r="CI1105">
            <v>0</v>
          </cell>
          <cell r="CJ1105">
            <v>0</v>
          </cell>
          <cell r="CK1105">
            <v>0</v>
          </cell>
          <cell r="CL1105">
            <v>0</v>
          </cell>
          <cell r="CM1105">
            <v>0</v>
          </cell>
          <cell r="CR1105">
            <v>0</v>
          </cell>
          <cell r="CS1105">
            <v>0</v>
          </cell>
          <cell r="CT1105">
            <v>16</v>
          </cell>
          <cell r="CU1105">
            <v>0</v>
          </cell>
          <cell r="CV1105">
            <v>0</v>
          </cell>
          <cell r="CZ1105">
            <v>16</v>
          </cell>
        </row>
        <row r="1106">
          <cell r="C1106" t="str">
            <v>04755</v>
          </cell>
          <cell r="D1106" t="str">
            <v>Nguyễn Thị Tuyết Giao</v>
          </cell>
          <cell r="E1106" t="str">
            <v>Production</v>
          </cell>
          <cell r="F1106" t="str">
            <v>Die Cut</v>
          </cell>
          <cell r="G1106" t="str">
            <v>Worker</v>
          </cell>
          <cell r="H1106">
            <v>45877</v>
          </cell>
          <cell r="I1106">
            <v>8</v>
          </cell>
          <cell r="J1106">
            <v>8</v>
          </cell>
          <cell r="K1106">
            <v>8</v>
          </cell>
          <cell r="L1106" t="str">
            <v>CN</v>
          </cell>
          <cell r="M1106" t="str">
            <v>Đ</v>
          </cell>
          <cell r="N1106" t="str">
            <v>Đ</v>
          </cell>
          <cell r="O1106" t="str">
            <v>Đ</v>
          </cell>
          <cell r="P1106" t="str">
            <v>Đ</v>
          </cell>
          <cell r="Q1106" t="str">
            <v>Đ</v>
          </cell>
          <cell r="R1106" t="str">
            <v>Đ</v>
          </cell>
          <cell r="S1106" t="str">
            <v>CN</v>
          </cell>
          <cell r="T1106">
            <v>8</v>
          </cell>
          <cell r="U1106">
            <v>8</v>
          </cell>
          <cell r="V1106">
            <v>8</v>
          </cell>
          <cell r="W1106">
            <v>8</v>
          </cell>
          <cell r="X1106">
            <v>8</v>
          </cell>
          <cell r="Y1106">
            <v>8</v>
          </cell>
          <cell r="Z1106" t="str">
            <v>CN</v>
          </cell>
          <cell r="AA1106" t="str">
            <v>Đ</v>
          </cell>
          <cell r="AB1106" t="str">
            <v>Đ</v>
          </cell>
          <cell r="AC1106" t="str">
            <v>Đ</v>
          </cell>
          <cell r="AD1106" t="str">
            <v>Đ</v>
          </cell>
          <cell r="AE1106" t="str">
            <v>Đ</v>
          </cell>
          <cell r="AF1106" t="str">
            <v>Đ</v>
          </cell>
          <cell r="AG1106" t="str">
            <v>CN</v>
          </cell>
          <cell r="AH1106" t="str">
            <v>AL8</v>
          </cell>
          <cell r="AI1106">
            <v>8</v>
          </cell>
          <cell r="AJ1106">
            <v>8</v>
          </cell>
          <cell r="AN1106">
            <v>96</v>
          </cell>
          <cell r="AO1106">
            <v>88</v>
          </cell>
          <cell r="AP1106">
            <v>0</v>
          </cell>
          <cell r="AQ1106">
            <v>0</v>
          </cell>
          <cell r="AR1106">
            <v>0</v>
          </cell>
          <cell r="AS1106">
            <v>0</v>
          </cell>
          <cell r="AT1106">
            <v>0</v>
          </cell>
          <cell r="AU1106">
            <v>0</v>
          </cell>
          <cell r="AV1106">
            <v>0</v>
          </cell>
          <cell r="AW1106">
            <v>0</v>
          </cell>
          <cell r="AX1106">
            <v>0</v>
          </cell>
          <cell r="AY1106">
            <v>0</v>
          </cell>
          <cell r="AZ1106">
            <v>0</v>
          </cell>
          <cell r="BA1106">
            <v>8</v>
          </cell>
          <cell r="BB1106">
            <v>0</v>
          </cell>
          <cell r="BC1106">
            <v>0</v>
          </cell>
          <cell r="BD1106">
            <v>0</v>
          </cell>
          <cell r="BE1106">
            <v>0</v>
          </cell>
          <cell r="BF1106">
            <v>0</v>
          </cell>
          <cell r="BG1106">
            <v>192</v>
          </cell>
          <cell r="BH1106">
            <v>1</v>
          </cell>
          <cell r="BI1106">
            <v>1</v>
          </cell>
          <cell r="BJ1106">
            <v>4</v>
          </cell>
          <cell r="BL1106">
            <v>1.5</v>
          </cell>
          <cell r="BM1106">
            <v>1.5</v>
          </cell>
          <cell r="BN1106">
            <v>1.5</v>
          </cell>
          <cell r="BO1106">
            <v>0</v>
          </cell>
          <cell r="BP1106">
            <v>1.5</v>
          </cell>
          <cell r="BQ1106">
            <v>0</v>
          </cell>
          <cell r="BR1106">
            <v>0</v>
          </cell>
          <cell r="BS1106">
            <v>4</v>
          </cell>
          <cell r="BT1106">
            <v>3</v>
          </cell>
          <cell r="BU1106">
            <v>4</v>
          </cell>
          <cell r="BV1106">
            <v>0</v>
          </cell>
          <cell r="BW1106">
            <v>3</v>
          </cell>
          <cell r="BX1106">
            <v>3</v>
          </cell>
          <cell r="BY1106">
            <v>3</v>
          </cell>
          <cell r="BZ1106">
            <v>3</v>
          </cell>
          <cell r="CA1106">
            <v>3</v>
          </cell>
          <cell r="CB1106">
            <v>3</v>
          </cell>
          <cell r="CC1106">
            <v>8</v>
          </cell>
          <cell r="CD1106">
            <v>3</v>
          </cell>
          <cell r="CE1106">
            <v>4</v>
          </cell>
          <cell r="CF1106">
            <v>4</v>
          </cell>
          <cell r="CG1106">
            <v>4</v>
          </cell>
          <cell r="CH1106">
            <v>4</v>
          </cell>
          <cell r="CI1106">
            <v>4</v>
          </cell>
          <cell r="CJ1106">
            <v>0</v>
          </cell>
          <cell r="CK1106">
            <v>0</v>
          </cell>
          <cell r="CL1106">
            <v>3</v>
          </cell>
          <cell r="CM1106">
            <v>3</v>
          </cell>
          <cell r="CR1106">
            <v>0</v>
          </cell>
          <cell r="CS1106">
            <v>0</v>
          </cell>
          <cell r="CT1106">
            <v>64</v>
          </cell>
          <cell r="CU1106">
            <v>8</v>
          </cell>
          <cell r="CV1106">
            <v>0</v>
          </cell>
          <cell r="CZ1106">
            <v>72</v>
          </cell>
        </row>
        <row r="1107">
          <cell r="C1107" t="str">
            <v>04759</v>
          </cell>
          <cell r="D1107" t="str">
            <v>Danh Vũ</v>
          </cell>
          <cell r="E1107" t="str">
            <v>Production</v>
          </cell>
          <cell r="F1107" t="str">
            <v>Molding</v>
          </cell>
          <cell r="G1107" t="str">
            <v>Worker</v>
          </cell>
          <cell r="H1107">
            <v>45877</v>
          </cell>
          <cell r="I1107">
            <v>8</v>
          </cell>
          <cell r="J1107">
            <v>8</v>
          </cell>
          <cell r="K1107">
            <v>8</v>
          </cell>
          <cell r="L1107" t="str">
            <v>CN</v>
          </cell>
          <cell r="M1107">
            <v>8</v>
          </cell>
          <cell r="N1107">
            <v>8</v>
          </cell>
          <cell r="O1107">
            <v>8</v>
          </cell>
          <cell r="P1107">
            <v>8</v>
          </cell>
          <cell r="Q1107">
            <v>8</v>
          </cell>
          <cell r="R1107">
            <v>8</v>
          </cell>
          <cell r="S1107" t="str">
            <v>CN</v>
          </cell>
          <cell r="T1107">
            <v>8</v>
          </cell>
          <cell r="U1107">
            <v>8</v>
          </cell>
          <cell r="V1107">
            <v>8</v>
          </cell>
          <cell r="W1107">
            <v>8</v>
          </cell>
          <cell r="X1107">
            <v>8</v>
          </cell>
          <cell r="Y1107">
            <v>8</v>
          </cell>
          <cell r="Z1107" t="str">
            <v>CN</v>
          </cell>
          <cell r="AA1107">
            <v>8</v>
          </cell>
          <cell r="AB1107">
            <v>8</v>
          </cell>
          <cell r="AC1107">
            <v>8</v>
          </cell>
          <cell r="AD1107">
            <v>8</v>
          </cell>
          <cell r="AE1107">
            <v>8</v>
          </cell>
          <cell r="AF1107">
            <v>8</v>
          </cell>
          <cell r="AG1107" t="str">
            <v>CN</v>
          </cell>
          <cell r="AH1107">
            <v>8</v>
          </cell>
          <cell r="AI1107">
            <v>8</v>
          </cell>
          <cell r="AJ1107">
            <v>8</v>
          </cell>
          <cell r="AN1107">
            <v>0</v>
          </cell>
          <cell r="AO1107">
            <v>192</v>
          </cell>
          <cell r="AP1107">
            <v>0</v>
          </cell>
          <cell r="AQ1107">
            <v>0</v>
          </cell>
          <cell r="AR1107">
            <v>0</v>
          </cell>
          <cell r="AS1107">
            <v>0</v>
          </cell>
          <cell r="AT1107">
            <v>0</v>
          </cell>
          <cell r="AU1107">
            <v>0</v>
          </cell>
          <cell r="AV1107">
            <v>0</v>
          </cell>
          <cell r="AW1107">
            <v>0</v>
          </cell>
          <cell r="AX1107">
            <v>0</v>
          </cell>
          <cell r="AY1107">
            <v>0</v>
          </cell>
          <cell r="AZ1107">
            <v>0</v>
          </cell>
          <cell r="BA1107">
            <v>0</v>
          </cell>
          <cell r="BB1107">
            <v>0</v>
          </cell>
          <cell r="BC1107">
            <v>0</v>
          </cell>
          <cell r="BD1107">
            <v>0</v>
          </cell>
          <cell r="BE1107">
            <v>0</v>
          </cell>
          <cell r="BF1107">
            <v>0</v>
          </cell>
          <cell r="BG1107">
            <v>192</v>
          </cell>
          <cell r="BH1107">
            <v>0</v>
          </cell>
          <cell r="BI1107">
            <v>0</v>
          </cell>
          <cell r="BJ1107">
            <v>0</v>
          </cell>
          <cell r="BL1107">
            <v>4</v>
          </cell>
          <cell r="BM1107">
            <v>0</v>
          </cell>
          <cell r="BN1107">
            <v>0</v>
          </cell>
          <cell r="BO1107">
            <v>0</v>
          </cell>
          <cell r="BP1107">
            <v>0</v>
          </cell>
          <cell r="BQ1107">
            <v>0</v>
          </cell>
          <cell r="BR1107">
            <v>0</v>
          </cell>
          <cell r="BS1107">
            <v>0</v>
          </cell>
          <cell r="BT1107">
            <v>0</v>
          </cell>
          <cell r="BU1107">
            <v>0</v>
          </cell>
          <cell r="BV1107">
            <v>0</v>
          </cell>
          <cell r="BW1107">
            <v>4</v>
          </cell>
          <cell r="BX1107">
            <v>0</v>
          </cell>
          <cell r="BY1107">
            <v>0</v>
          </cell>
          <cell r="BZ1107">
            <v>4</v>
          </cell>
          <cell r="CA1107">
            <v>0</v>
          </cell>
          <cell r="CB1107">
            <v>4</v>
          </cell>
          <cell r="CC1107">
            <v>0</v>
          </cell>
          <cell r="CD1107">
            <v>0</v>
          </cell>
          <cell r="CE1107">
            <v>0</v>
          </cell>
          <cell r="CF1107">
            <v>0</v>
          </cell>
          <cell r="CG1107">
            <v>0</v>
          </cell>
          <cell r="CH1107">
            <v>0</v>
          </cell>
          <cell r="CI1107">
            <v>4</v>
          </cell>
          <cell r="CJ1107">
            <v>0</v>
          </cell>
          <cell r="CK1107">
            <v>4</v>
          </cell>
          <cell r="CL1107">
            <v>4</v>
          </cell>
          <cell r="CM1107">
            <v>4</v>
          </cell>
          <cell r="CR1107">
            <v>0</v>
          </cell>
          <cell r="CS1107">
            <v>0</v>
          </cell>
          <cell r="CT1107">
            <v>32</v>
          </cell>
          <cell r="CU1107">
            <v>0</v>
          </cell>
          <cell r="CV1107">
            <v>0</v>
          </cell>
          <cell r="CZ1107">
            <v>32</v>
          </cell>
        </row>
        <row r="1108">
          <cell r="C1108" t="str">
            <v>04764</v>
          </cell>
          <cell r="D1108" t="str">
            <v>Chau Gia Kiệt</v>
          </cell>
          <cell r="E1108" t="str">
            <v>Production</v>
          </cell>
          <cell r="F1108" t="str">
            <v>Packing</v>
          </cell>
          <cell r="G1108" t="str">
            <v>Worker</v>
          </cell>
          <cell r="H1108">
            <v>45882</v>
          </cell>
          <cell r="I1108">
            <v>8</v>
          </cell>
          <cell r="J1108">
            <v>8</v>
          </cell>
          <cell r="K1108">
            <v>8</v>
          </cell>
          <cell r="L1108" t="str">
            <v>CN</v>
          </cell>
          <cell r="M1108" t="str">
            <v>Đ</v>
          </cell>
          <cell r="N1108" t="str">
            <v>Đ</v>
          </cell>
          <cell r="O1108" t="str">
            <v>Đ</v>
          </cell>
          <cell r="P1108" t="str">
            <v>Đ</v>
          </cell>
          <cell r="Q1108" t="str">
            <v>Đ</v>
          </cell>
          <cell r="R1108" t="str">
            <v>Đ</v>
          </cell>
          <cell r="S1108" t="str">
            <v>CN</v>
          </cell>
          <cell r="T1108">
            <v>8</v>
          </cell>
          <cell r="U1108">
            <v>8</v>
          </cell>
          <cell r="V1108" t="str">
            <v>UP8</v>
          </cell>
          <cell r="W1108">
            <v>8</v>
          </cell>
          <cell r="X1108">
            <v>8</v>
          </cell>
          <cell r="Y1108">
            <v>8</v>
          </cell>
          <cell r="Z1108" t="str">
            <v>CN</v>
          </cell>
          <cell r="AA1108" t="str">
            <v>Đ</v>
          </cell>
          <cell r="AB1108" t="str">
            <v>Đ</v>
          </cell>
          <cell r="AC1108" t="str">
            <v>Đ</v>
          </cell>
          <cell r="AD1108" t="str">
            <v>Đ</v>
          </cell>
          <cell r="AE1108" t="str">
            <v>Đ</v>
          </cell>
          <cell r="AF1108" t="str">
            <v>Đ</v>
          </cell>
          <cell r="AG1108" t="str">
            <v>CN</v>
          </cell>
          <cell r="AH1108">
            <v>8</v>
          </cell>
          <cell r="AI1108">
            <v>8</v>
          </cell>
          <cell r="AJ1108">
            <v>8</v>
          </cell>
          <cell r="AN1108">
            <v>96</v>
          </cell>
          <cell r="AO1108">
            <v>88</v>
          </cell>
          <cell r="AP1108">
            <v>0</v>
          </cell>
          <cell r="AQ1108">
            <v>0</v>
          </cell>
          <cell r="AR1108">
            <v>0</v>
          </cell>
          <cell r="AS1108">
            <v>8</v>
          </cell>
          <cell r="AT1108">
            <v>0</v>
          </cell>
          <cell r="AU1108">
            <v>0</v>
          </cell>
          <cell r="AV1108">
            <v>0</v>
          </cell>
          <cell r="AW1108">
            <v>0</v>
          </cell>
          <cell r="AX1108">
            <v>0</v>
          </cell>
          <cell r="AY1108">
            <v>0</v>
          </cell>
          <cell r="AZ1108">
            <v>0</v>
          </cell>
          <cell r="BA1108">
            <v>0</v>
          </cell>
          <cell r="BB1108">
            <v>0</v>
          </cell>
          <cell r="BC1108">
            <v>0</v>
          </cell>
          <cell r="BD1108">
            <v>0</v>
          </cell>
          <cell r="BE1108">
            <v>0</v>
          </cell>
          <cell r="BF1108">
            <v>0</v>
          </cell>
          <cell r="BG1108">
            <v>184</v>
          </cell>
          <cell r="BH1108">
            <v>0</v>
          </cell>
          <cell r="BI1108">
            <v>0</v>
          </cell>
          <cell r="BJ1108">
            <v>1</v>
          </cell>
          <cell r="BL1108">
            <v>0</v>
          </cell>
          <cell r="BM1108">
            <v>0</v>
          </cell>
          <cell r="BN1108">
            <v>0</v>
          </cell>
          <cell r="BO1108">
            <v>0</v>
          </cell>
          <cell r="BP1108">
            <v>1.5</v>
          </cell>
          <cell r="BQ1108">
            <v>0</v>
          </cell>
          <cell r="BR1108">
            <v>0</v>
          </cell>
          <cell r="BS1108">
            <v>0</v>
          </cell>
          <cell r="BT1108">
            <v>0</v>
          </cell>
          <cell r="BU1108">
            <v>4</v>
          </cell>
          <cell r="BV1108">
            <v>0</v>
          </cell>
          <cell r="BW1108">
            <v>2</v>
          </cell>
          <cell r="BX1108">
            <v>3</v>
          </cell>
          <cell r="BY1108">
            <v>0</v>
          </cell>
          <cell r="BZ1108">
            <v>3</v>
          </cell>
          <cell r="CA1108">
            <v>3</v>
          </cell>
          <cell r="CB1108">
            <v>3</v>
          </cell>
          <cell r="CC1108">
            <v>8</v>
          </cell>
          <cell r="CD1108">
            <v>3</v>
          </cell>
          <cell r="CE1108">
            <v>4</v>
          </cell>
          <cell r="CF1108">
            <v>4</v>
          </cell>
          <cell r="CG1108">
            <v>4</v>
          </cell>
          <cell r="CH1108">
            <v>4</v>
          </cell>
          <cell r="CI1108">
            <v>3</v>
          </cell>
          <cell r="CJ1108">
            <v>0</v>
          </cell>
          <cell r="CK1108">
            <v>3</v>
          </cell>
          <cell r="CL1108">
            <v>3</v>
          </cell>
          <cell r="CM1108">
            <v>3</v>
          </cell>
          <cell r="CR1108">
            <v>0</v>
          </cell>
          <cell r="CS1108">
            <v>0</v>
          </cell>
          <cell r="CT1108">
            <v>50.5</v>
          </cell>
          <cell r="CU1108">
            <v>8</v>
          </cell>
          <cell r="CV1108">
            <v>0</v>
          </cell>
          <cell r="CZ1108">
            <v>58.5</v>
          </cell>
        </row>
        <row r="1109">
          <cell r="C1109" t="str">
            <v>04765</v>
          </cell>
          <cell r="D1109" t="str">
            <v>Trần Văn Định</v>
          </cell>
          <cell r="E1109" t="str">
            <v>Production</v>
          </cell>
          <cell r="F1109" t="str">
            <v>Die Cut</v>
          </cell>
          <cell r="G1109" t="str">
            <v>Worker</v>
          </cell>
          <cell r="H1109">
            <v>45882</v>
          </cell>
          <cell r="I1109" t="str">
            <v>Đ</v>
          </cell>
          <cell r="J1109" t="str">
            <v>Đ</v>
          </cell>
          <cell r="K1109" t="str">
            <v>Đ</v>
          </cell>
          <cell r="L1109" t="str">
            <v>CN</v>
          </cell>
          <cell r="M1109">
            <v>8</v>
          </cell>
          <cell r="N1109">
            <v>8</v>
          </cell>
          <cell r="O1109">
            <v>8</v>
          </cell>
          <cell r="P1109">
            <v>8</v>
          </cell>
          <cell r="Q1109">
            <v>8</v>
          </cell>
          <cell r="R1109" t="str">
            <v>AL4</v>
          </cell>
          <cell r="S1109" t="str">
            <v>CN</v>
          </cell>
          <cell r="T1109" t="str">
            <v>Đ</v>
          </cell>
          <cell r="U1109" t="str">
            <v>Đ</v>
          </cell>
          <cell r="V1109" t="str">
            <v>Đ</v>
          </cell>
          <cell r="W1109" t="str">
            <v>Đ</v>
          </cell>
          <cell r="X1109" t="str">
            <v>Đ</v>
          </cell>
          <cell r="Y1109" t="str">
            <v>Đ</v>
          </cell>
          <cell r="Z1109" t="str">
            <v>CN</v>
          </cell>
          <cell r="AA1109">
            <v>8</v>
          </cell>
          <cell r="AB1109">
            <v>8</v>
          </cell>
          <cell r="AC1109">
            <v>8</v>
          </cell>
          <cell r="AD1109">
            <v>8</v>
          </cell>
          <cell r="AE1109">
            <v>8</v>
          </cell>
          <cell r="AF1109">
            <v>8</v>
          </cell>
          <cell r="AG1109" t="str">
            <v>CN</v>
          </cell>
          <cell r="AH1109" t="str">
            <v>Đ</v>
          </cell>
          <cell r="AI1109" t="str">
            <v>Đ</v>
          </cell>
          <cell r="AJ1109" t="str">
            <v>Đ</v>
          </cell>
          <cell r="AN1109">
            <v>96</v>
          </cell>
          <cell r="AO1109">
            <v>92</v>
          </cell>
          <cell r="AP1109">
            <v>4</v>
          </cell>
          <cell r="AQ1109">
            <v>0</v>
          </cell>
          <cell r="AR1109">
            <v>0</v>
          </cell>
          <cell r="AS1109">
            <v>0</v>
          </cell>
          <cell r="AT1109">
            <v>0</v>
          </cell>
          <cell r="AU1109">
            <v>0</v>
          </cell>
          <cell r="AV1109">
            <v>0</v>
          </cell>
          <cell r="AW1109">
            <v>0</v>
          </cell>
          <cell r="AX1109">
            <v>0</v>
          </cell>
          <cell r="AY1109">
            <v>0</v>
          </cell>
          <cell r="AZ1109">
            <v>0</v>
          </cell>
          <cell r="BA1109">
            <v>4</v>
          </cell>
          <cell r="BB1109">
            <v>0</v>
          </cell>
          <cell r="BC1109">
            <v>0</v>
          </cell>
          <cell r="BD1109">
            <v>0</v>
          </cell>
          <cell r="BE1109">
            <v>0</v>
          </cell>
          <cell r="BF1109">
            <v>0</v>
          </cell>
          <cell r="BG1109">
            <v>192</v>
          </cell>
          <cell r="BH1109">
            <v>0.5</v>
          </cell>
          <cell r="BI1109">
            <v>0.5</v>
          </cell>
          <cell r="BJ1109">
            <v>1.5</v>
          </cell>
          <cell r="BL1109">
            <v>1.5</v>
          </cell>
          <cell r="BM1109">
            <v>1.5</v>
          </cell>
          <cell r="BN1109">
            <v>0</v>
          </cell>
          <cell r="BO1109">
            <v>0</v>
          </cell>
          <cell r="BP1109">
            <v>1.5</v>
          </cell>
          <cell r="BQ1109">
            <v>0</v>
          </cell>
          <cell r="BR1109">
            <v>0</v>
          </cell>
          <cell r="BS1109">
            <v>0</v>
          </cell>
          <cell r="BT1109">
            <v>3</v>
          </cell>
          <cell r="BU1109">
            <v>2</v>
          </cell>
          <cell r="BV1109">
            <v>0</v>
          </cell>
          <cell r="BW1109">
            <v>4</v>
          </cell>
          <cell r="BX1109">
            <v>4</v>
          </cell>
          <cell r="BY1109">
            <v>4</v>
          </cell>
          <cell r="BZ1109">
            <v>4</v>
          </cell>
          <cell r="CA1109">
            <v>4</v>
          </cell>
          <cell r="CB1109">
            <v>4</v>
          </cell>
          <cell r="CC1109">
            <v>0</v>
          </cell>
          <cell r="CD1109">
            <v>3</v>
          </cell>
          <cell r="CE1109">
            <v>3</v>
          </cell>
          <cell r="CF1109">
            <v>3</v>
          </cell>
          <cell r="CG1109">
            <v>3</v>
          </cell>
          <cell r="CH1109">
            <v>3</v>
          </cell>
          <cell r="CI1109">
            <v>3</v>
          </cell>
          <cell r="CJ1109">
            <v>8</v>
          </cell>
          <cell r="CK1109">
            <v>4</v>
          </cell>
          <cell r="CL1109">
            <v>4</v>
          </cell>
          <cell r="CM1109">
            <v>4</v>
          </cell>
          <cell r="CR1109">
            <v>0</v>
          </cell>
          <cell r="CS1109">
            <v>0</v>
          </cell>
          <cell r="CT1109">
            <v>63.5</v>
          </cell>
          <cell r="CU1109">
            <v>8</v>
          </cell>
          <cell r="CV1109">
            <v>0</v>
          </cell>
          <cell r="CZ1109">
            <v>71.5</v>
          </cell>
        </row>
        <row r="1110">
          <cell r="C1110" t="str">
            <v>04766</v>
          </cell>
          <cell r="D1110" t="str">
            <v>Lê Hồng Cúc</v>
          </cell>
          <cell r="E1110" t="str">
            <v>Production</v>
          </cell>
          <cell r="F1110" t="str">
            <v>Logo</v>
          </cell>
          <cell r="G1110" t="str">
            <v>Worker</v>
          </cell>
          <cell r="H1110">
            <v>45882</v>
          </cell>
          <cell r="I1110" t="str">
            <v>AL8</v>
          </cell>
          <cell r="J1110" t="str">
            <v>AL8</v>
          </cell>
          <cell r="K1110" t="str">
            <v>UP8</v>
          </cell>
          <cell r="L1110" t="str">
            <v>CN</v>
          </cell>
          <cell r="M1110" t="str">
            <v>UP8</v>
          </cell>
          <cell r="N1110" t="str">
            <v>UP8</v>
          </cell>
          <cell r="O1110" t="str">
            <v>UP8</v>
          </cell>
          <cell r="P1110" t="str">
            <v>UP8</v>
          </cell>
          <cell r="Q1110" t="str">
            <v>UP8</v>
          </cell>
          <cell r="R1110" t="str">
            <v>UP8</v>
          </cell>
          <cell r="S1110" t="str">
            <v>CN</v>
          </cell>
          <cell r="T1110" t="str">
            <v>UP8</v>
          </cell>
          <cell r="U1110" t="str">
            <v>UP8</v>
          </cell>
          <cell r="V1110" t="str">
            <v>UP8</v>
          </cell>
          <cell r="W1110" t="str">
            <v>UP8</v>
          </cell>
          <cell r="X1110" t="str">
            <v>UP8</v>
          </cell>
          <cell r="Y1110" t="str">
            <v>UP8</v>
          </cell>
          <cell r="Z1110" t="str">
            <v>CN</v>
          </cell>
          <cell r="AA1110" t="str">
            <v>UP8</v>
          </cell>
          <cell r="AB1110" t="str">
            <v>UP8</v>
          </cell>
          <cell r="AC1110" t="str">
            <v>TV</v>
          </cell>
          <cell r="AD1110" t="str">
            <v>TV</v>
          </cell>
          <cell r="AE1110" t="str">
            <v>TV</v>
          </cell>
          <cell r="AF1110" t="str">
            <v>TV</v>
          </cell>
          <cell r="AG1110" t="str">
            <v>TV</v>
          </cell>
          <cell r="AH1110" t="str">
            <v>TV</v>
          </cell>
          <cell r="AI1110" t="str">
            <v>TV</v>
          </cell>
          <cell r="AJ1110" t="str">
            <v>TV</v>
          </cell>
          <cell r="AN1110">
            <v>0</v>
          </cell>
          <cell r="AO1110">
            <v>0</v>
          </cell>
          <cell r="AP1110">
            <v>0</v>
          </cell>
          <cell r="AQ1110">
            <v>0</v>
          </cell>
          <cell r="AR1110">
            <v>0</v>
          </cell>
          <cell r="AS1110">
            <v>120</v>
          </cell>
          <cell r="AT1110">
            <v>0</v>
          </cell>
          <cell r="AU1110">
            <v>0</v>
          </cell>
          <cell r="AV1110">
            <v>0</v>
          </cell>
          <cell r="AW1110">
            <v>0</v>
          </cell>
          <cell r="AX1110">
            <v>0</v>
          </cell>
          <cell r="AY1110">
            <v>0</v>
          </cell>
          <cell r="AZ1110">
            <v>0</v>
          </cell>
          <cell r="BA1110">
            <v>16</v>
          </cell>
          <cell r="BB1110">
            <v>0</v>
          </cell>
          <cell r="BC1110">
            <v>0</v>
          </cell>
          <cell r="BD1110">
            <v>0</v>
          </cell>
          <cell r="BE1110">
            <v>0</v>
          </cell>
          <cell r="BF1110">
            <v>0</v>
          </cell>
          <cell r="BG1110">
            <v>16</v>
          </cell>
          <cell r="BH1110">
            <v>2</v>
          </cell>
          <cell r="BI1110">
            <v>2</v>
          </cell>
          <cell r="BJ1110">
            <v>0</v>
          </cell>
          <cell r="BL1110">
            <v>0</v>
          </cell>
          <cell r="BM1110">
            <v>0</v>
          </cell>
          <cell r="BN1110">
            <v>0</v>
          </cell>
          <cell r="BO1110">
            <v>0</v>
          </cell>
          <cell r="BP1110">
            <v>0</v>
          </cell>
          <cell r="BQ1110">
            <v>0</v>
          </cell>
          <cell r="BR1110">
            <v>0</v>
          </cell>
          <cell r="BS1110">
            <v>0</v>
          </cell>
          <cell r="BT1110">
            <v>0</v>
          </cell>
          <cell r="BU1110">
            <v>0</v>
          </cell>
          <cell r="BV1110">
            <v>0</v>
          </cell>
          <cell r="BW1110">
            <v>0</v>
          </cell>
          <cell r="BX1110">
            <v>0</v>
          </cell>
          <cell r="BY1110">
            <v>0</v>
          </cell>
          <cell r="BZ1110">
            <v>0</v>
          </cell>
          <cell r="CA1110">
            <v>0</v>
          </cell>
          <cell r="CB1110">
            <v>0</v>
          </cell>
          <cell r="CC1110">
            <v>0</v>
          </cell>
          <cell r="CD1110">
            <v>0</v>
          </cell>
          <cell r="CE1110">
            <v>0</v>
          </cell>
          <cell r="CF1110">
            <v>0</v>
          </cell>
          <cell r="CG1110">
            <v>0</v>
          </cell>
          <cell r="CH1110">
            <v>0</v>
          </cell>
          <cell r="CI1110">
            <v>0</v>
          </cell>
          <cell r="CJ1110">
            <v>0</v>
          </cell>
          <cell r="CK1110">
            <v>0</v>
          </cell>
          <cell r="CL1110">
            <v>0</v>
          </cell>
          <cell r="CM1110">
            <v>0</v>
          </cell>
          <cell r="CR1110">
            <v>0</v>
          </cell>
          <cell r="CS1110">
            <v>0</v>
          </cell>
          <cell r="CT1110">
            <v>0</v>
          </cell>
          <cell r="CU1110">
            <v>0</v>
          </cell>
          <cell r="CV1110">
            <v>0</v>
          </cell>
          <cell r="CZ1110">
            <v>0</v>
          </cell>
        </row>
        <row r="1111">
          <cell r="C1111" t="str">
            <v>04767</v>
          </cell>
          <cell r="D1111" t="str">
            <v>Giáp Thị Mộng Cầm</v>
          </cell>
          <cell r="E1111" t="str">
            <v>Technical Development</v>
          </cell>
          <cell r="F1111" t="str">
            <v>PD Sample</v>
          </cell>
          <cell r="G1111" t="str">
            <v>Worker</v>
          </cell>
          <cell r="H1111">
            <v>45882</v>
          </cell>
          <cell r="I1111" t="str">
            <v>AL8</v>
          </cell>
          <cell r="J1111">
            <v>8</v>
          </cell>
          <cell r="K1111">
            <v>8</v>
          </cell>
          <cell r="L1111" t="str">
            <v>CN</v>
          </cell>
          <cell r="M1111">
            <v>8</v>
          </cell>
          <cell r="N1111">
            <v>8</v>
          </cell>
          <cell r="O1111">
            <v>8</v>
          </cell>
          <cell r="P1111">
            <v>8</v>
          </cell>
          <cell r="Q1111">
            <v>8</v>
          </cell>
          <cell r="R1111">
            <v>8</v>
          </cell>
          <cell r="S1111" t="str">
            <v>CN</v>
          </cell>
          <cell r="T1111">
            <v>8</v>
          </cell>
          <cell r="U1111">
            <v>8</v>
          </cell>
          <cell r="V1111">
            <v>8</v>
          </cell>
          <cell r="W1111">
            <v>8</v>
          </cell>
          <cell r="X1111">
            <v>8</v>
          </cell>
          <cell r="Y1111">
            <v>8</v>
          </cell>
          <cell r="Z1111" t="str">
            <v>CN</v>
          </cell>
          <cell r="AA1111">
            <v>8</v>
          </cell>
          <cell r="AB1111">
            <v>8</v>
          </cell>
          <cell r="AC1111">
            <v>8</v>
          </cell>
          <cell r="AD1111">
            <v>8</v>
          </cell>
          <cell r="AE1111">
            <v>8</v>
          </cell>
          <cell r="AF1111">
            <v>8</v>
          </cell>
          <cell r="AG1111" t="str">
            <v>CN</v>
          </cell>
          <cell r="AH1111" t="str">
            <v>AL4</v>
          </cell>
          <cell r="AI1111">
            <v>8</v>
          </cell>
          <cell r="AJ1111">
            <v>8</v>
          </cell>
          <cell r="AN1111">
            <v>0</v>
          </cell>
          <cell r="AO1111">
            <v>180</v>
          </cell>
          <cell r="AP1111">
            <v>4</v>
          </cell>
          <cell r="AQ1111">
            <v>0</v>
          </cell>
          <cell r="AR1111">
            <v>0</v>
          </cell>
          <cell r="AS1111">
            <v>0</v>
          </cell>
          <cell r="AT1111">
            <v>0</v>
          </cell>
          <cell r="AU1111">
            <v>0</v>
          </cell>
          <cell r="AV1111">
            <v>0</v>
          </cell>
          <cell r="AW1111">
            <v>0</v>
          </cell>
          <cell r="AX1111">
            <v>0</v>
          </cell>
          <cell r="AY1111">
            <v>0</v>
          </cell>
          <cell r="AZ1111">
            <v>0</v>
          </cell>
          <cell r="BA1111">
            <v>12</v>
          </cell>
          <cell r="BB1111">
            <v>0</v>
          </cell>
          <cell r="BC1111">
            <v>0</v>
          </cell>
          <cell r="BD1111">
            <v>0</v>
          </cell>
          <cell r="BE1111">
            <v>0</v>
          </cell>
          <cell r="BF1111">
            <v>0</v>
          </cell>
          <cell r="BG1111">
            <v>192</v>
          </cell>
          <cell r="BH1111">
            <v>1.5</v>
          </cell>
          <cell r="BI1111">
            <v>1.5</v>
          </cell>
          <cell r="BJ1111">
            <v>-0.5</v>
          </cell>
          <cell r="BL1111">
            <v>0</v>
          </cell>
          <cell r="BM1111">
            <v>3</v>
          </cell>
          <cell r="BN1111">
            <v>0</v>
          </cell>
          <cell r="BO1111">
            <v>0</v>
          </cell>
          <cell r="BP1111">
            <v>3</v>
          </cell>
          <cell r="BQ1111">
            <v>3</v>
          </cell>
          <cell r="BR1111">
            <v>3</v>
          </cell>
          <cell r="BS1111">
            <v>3</v>
          </cell>
          <cell r="BT1111">
            <v>0</v>
          </cell>
          <cell r="BU1111">
            <v>0</v>
          </cell>
          <cell r="BV1111">
            <v>0</v>
          </cell>
          <cell r="BW1111">
            <v>3</v>
          </cell>
          <cell r="BX1111">
            <v>3</v>
          </cell>
          <cell r="BY1111">
            <v>3</v>
          </cell>
          <cell r="BZ1111">
            <v>3</v>
          </cell>
          <cell r="CA1111">
            <v>0</v>
          </cell>
          <cell r="CB1111">
            <v>0</v>
          </cell>
          <cell r="CC1111">
            <v>0</v>
          </cell>
          <cell r="CD1111">
            <v>3</v>
          </cell>
          <cell r="CE1111">
            <v>3</v>
          </cell>
          <cell r="CF1111">
            <v>0</v>
          </cell>
          <cell r="CG1111">
            <v>3</v>
          </cell>
          <cell r="CH1111">
            <v>3</v>
          </cell>
          <cell r="CI1111">
            <v>0</v>
          </cell>
          <cell r="CJ1111">
            <v>0</v>
          </cell>
          <cell r="CK1111">
            <v>0</v>
          </cell>
          <cell r="CL1111">
            <v>0</v>
          </cell>
          <cell r="CM1111">
            <v>0</v>
          </cell>
          <cell r="CR1111">
            <v>0</v>
          </cell>
          <cell r="CS1111">
            <v>0</v>
          </cell>
          <cell r="CT1111">
            <v>39</v>
          </cell>
          <cell r="CU1111">
            <v>0</v>
          </cell>
          <cell r="CV1111">
            <v>0</v>
          </cell>
          <cell r="CZ1111">
            <v>39</v>
          </cell>
        </row>
        <row r="1112">
          <cell r="C1112" t="str">
            <v>04772</v>
          </cell>
          <cell r="D1112" t="str">
            <v>Nguyễn Hồng Thắm</v>
          </cell>
          <cell r="E1112" t="str">
            <v>Production</v>
          </cell>
          <cell r="F1112" t="str">
            <v>Packing</v>
          </cell>
          <cell r="G1112" t="str">
            <v>Worker</v>
          </cell>
          <cell r="H1112">
            <v>45888</v>
          </cell>
          <cell r="I1112">
            <v>8</v>
          </cell>
          <cell r="J1112">
            <v>8</v>
          </cell>
          <cell r="K1112">
            <v>8</v>
          </cell>
          <cell r="L1112" t="str">
            <v>CN</v>
          </cell>
          <cell r="M1112">
            <v>8</v>
          </cell>
          <cell r="N1112">
            <v>8</v>
          </cell>
          <cell r="O1112">
            <v>8</v>
          </cell>
          <cell r="P1112">
            <v>8</v>
          </cell>
          <cell r="Q1112">
            <v>8</v>
          </cell>
          <cell r="R1112">
            <v>8</v>
          </cell>
          <cell r="S1112" t="str">
            <v>CN</v>
          </cell>
          <cell r="T1112">
            <v>8</v>
          </cell>
          <cell r="U1112">
            <v>8</v>
          </cell>
          <cell r="V1112">
            <v>8</v>
          </cell>
          <cell r="W1112">
            <v>8</v>
          </cell>
          <cell r="X1112">
            <v>8</v>
          </cell>
          <cell r="Y1112">
            <v>8</v>
          </cell>
          <cell r="Z1112" t="str">
            <v>CN</v>
          </cell>
          <cell r="AA1112">
            <v>8</v>
          </cell>
          <cell r="AB1112">
            <v>8</v>
          </cell>
          <cell r="AC1112">
            <v>8</v>
          </cell>
          <cell r="AD1112">
            <v>8</v>
          </cell>
          <cell r="AE1112">
            <v>8</v>
          </cell>
          <cell r="AF1112">
            <v>8</v>
          </cell>
          <cell r="AG1112" t="str">
            <v>CN</v>
          </cell>
          <cell r="AH1112">
            <v>8</v>
          </cell>
          <cell r="AI1112">
            <v>8</v>
          </cell>
          <cell r="AJ1112">
            <v>8</v>
          </cell>
          <cell r="AN1112">
            <v>0</v>
          </cell>
          <cell r="AO1112">
            <v>192</v>
          </cell>
          <cell r="AP1112">
            <v>0</v>
          </cell>
          <cell r="AQ1112">
            <v>0</v>
          </cell>
          <cell r="AR1112">
            <v>0</v>
          </cell>
          <cell r="AS1112">
            <v>0</v>
          </cell>
          <cell r="AT1112">
            <v>0</v>
          </cell>
          <cell r="AU1112">
            <v>0</v>
          </cell>
          <cell r="AV1112">
            <v>0</v>
          </cell>
          <cell r="AW1112">
            <v>0</v>
          </cell>
          <cell r="AX1112">
            <v>0</v>
          </cell>
          <cell r="AY1112">
            <v>0</v>
          </cell>
          <cell r="AZ1112">
            <v>0</v>
          </cell>
          <cell r="BA1112">
            <v>0</v>
          </cell>
          <cell r="BB1112">
            <v>0</v>
          </cell>
          <cell r="BC1112">
            <v>0</v>
          </cell>
          <cell r="BD1112">
            <v>0</v>
          </cell>
          <cell r="BE1112">
            <v>0</v>
          </cell>
          <cell r="BF1112">
            <v>0</v>
          </cell>
          <cell r="BG1112">
            <v>192</v>
          </cell>
          <cell r="BH1112">
            <v>0</v>
          </cell>
          <cell r="BI1112">
            <v>0</v>
          </cell>
          <cell r="BJ1112">
            <v>2</v>
          </cell>
          <cell r="BL1112">
            <v>0</v>
          </cell>
          <cell r="BM1112">
            <v>0</v>
          </cell>
          <cell r="BN1112">
            <v>0</v>
          </cell>
          <cell r="BO1112">
            <v>0</v>
          </cell>
          <cell r="BP1112">
            <v>0</v>
          </cell>
          <cell r="BQ1112">
            <v>0</v>
          </cell>
          <cell r="BR1112">
            <v>0</v>
          </cell>
          <cell r="BS1112">
            <v>0</v>
          </cell>
          <cell r="BT1112">
            <v>0</v>
          </cell>
          <cell r="BU1112">
            <v>0</v>
          </cell>
          <cell r="BV1112">
            <v>0</v>
          </cell>
          <cell r="BW1112">
            <v>2.5</v>
          </cell>
          <cell r="BX1112">
            <v>1.5</v>
          </cell>
          <cell r="BY1112">
            <v>1.5</v>
          </cell>
          <cell r="BZ1112">
            <v>1.5</v>
          </cell>
          <cell r="CA1112">
            <v>1.5</v>
          </cell>
          <cell r="CB1112">
            <v>1.5</v>
          </cell>
          <cell r="CC1112">
            <v>0</v>
          </cell>
          <cell r="CD1112">
            <v>1.5</v>
          </cell>
          <cell r="CE1112">
            <v>4</v>
          </cell>
          <cell r="CF1112">
            <v>1.5</v>
          </cell>
          <cell r="CG1112">
            <v>1.5</v>
          </cell>
          <cell r="CH1112">
            <v>1.25</v>
          </cell>
          <cell r="CI1112">
            <v>1.5</v>
          </cell>
          <cell r="CJ1112">
            <v>0</v>
          </cell>
          <cell r="CK1112">
            <v>0</v>
          </cell>
          <cell r="CL1112">
            <v>0</v>
          </cell>
          <cell r="CM1112">
            <v>0</v>
          </cell>
          <cell r="CR1112">
            <v>0</v>
          </cell>
          <cell r="CS1112">
            <v>0</v>
          </cell>
          <cell r="CT1112">
            <v>21.25</v>
          </cell>
          <cell r="CU1112">
            <v>0</v>
          </cell>
          <cell r="CV1112">
            <v>0</v>
          </cell>
          <cell r="CZ1112">
            <v>21.25</v>
          </cell>
        </row>
        <row r="1113">
          <cell r="C1113" t="str">
            <v>04773</v>
          </cell>
          <cell r="D1113" t="str">
            <v>Trịnh Minh Kỳ</v>
          </cell>
          <cell r="E1113" t="str">
            <v>Production</v>
          </cell>
          <cell r="F1113" t="str">
            <v>Molding</v>
          </cell>
          <cell r="G1113" t="str">
            <v>Worker</v>
          </cell>
          <cell r="H1113">
            <v>45888</v>
          </cell>
          <cell r="I1113" t="str">
            <v>Đ</v>
          </cell>
          <cell r="J1113" t="str">
            <v>AL8</v>
          </cell>
          <cell r="K1113" t="str">
            <v>Đ</v>
          </cell>
          <cell r="L1113" t="str">
            <v>CN</v>
          </cell>
          <cell r="M1113">
            <v>8</v>
          </cell>
          <cell r="N1113">
            <v>8</v>
          </cell>
          <cell r="O1113">
            <v>8</v>
          </cell>
          <cell r="P1113">
            <v>8</v>
          </cell>
          <cell r="Q1113">
            <v>8</v>
          </cell>
          <cell r="R1113" t="str">
            <v>AL8</v>
          </cell>
          <cell r="S1113" t="str">
            <v>CN</v>
          </cell>
          <cell r="T1113" t="str">
            <v>Đ</v>
          </cell>
          <cell r="U1113" t="str">
            <v>Đ</v>
          </cell>
          <cell r="V1113" t="str">
            <v>Đ</v>
          </cell>
          <cell r="W1113" t="str">
            <v>Đ</v>
          </cell>
          <cell r="X1113" t="str">
            <v>Đ</v>
          </cell>
          <cell r="Y1113" t="str">
            <v>Đ</v>
          </cell>
          <cell r="Z1113" t="str">
            <v>CN</v>
          </cell>
          <cell r="AA1113">
            <v>8</v>
          </cell>
          <cell r="AB1113">
            <v>8</v>
          </cell>
          <cell r="AC1113">
            <v>8</v>
          </cell>
          <cell r="AD1113">
            <v>8</v>
          </cell>
          <cell r="AE1113">
            <v>8</v>
          </cell>
          <cell r="AF1113">
            <v>8</v>
          </cell>
          <cell r="AG1113" t="str">
            <v>CN</v>
          </cell>
          <cell r="AH1113" t="str">
            <v>Đ</v>
          </cell>
          <cell r="AI1113" t="str">
            <v>Đ</v>
          </cell>
          <cell r="AJ1113" t="str">
            <v>Đ</v>
          </cell>
          <cell r="AN1113">
            <v>88</v>
          </cell>
          <cell r="AO1113">
            <v>88</v>
          </cell>
          <cell r="AP1113">
            <v>0</v>
          </cell>
          <cell r="AQ1113">
            <v>0</v>
          </cell>
          <cell r="AR1113">
            <v>0</v>
          </cell>
          <cell r="AS1113">
            <v>0</v>
          </cell>
          <cell r="AT1113">
            <v>0</v>
          </cell>
          <cell r="AU1113">
            <v>0</v>
          </cell>
          <cell r="AV1113">
            <v>0</v>
          </cell>
          <cell r="AW1113">
            <v>0</v>
          </cell>
          <cell r="AX1113">
            <v>0</v>
          </cell>
          <cell r="AY1113">
            <v>0</v>
          </cell>
          <cell r="AZ1113">
            <v>0</v>
          </cell>
          <cell r="BA1113">
            <v>16</v>
          </cell>
          <cell r="BB1113">
            <v>0</v>
          </cell>
          <cell r="BC1113">
            <v>0</v>
          </cell>
          <cell r="BD1113">
            <v>0</v>
          </cell>
          <cell r="BE1113">
            <v>0</v>
          </cell>
          <cell r="BF1113">
            <v>0</v>
          </cell>
          <cell r="BG1113">
            <v>192</v>
          </cell>
          <cell r="BH1113">
            <v>2</v>
          </cell>
          <cell r="BI1113">
            <v>2</v>
          </cell>
          <cell r="BJ1113">
            <v>1</v>
          </cell>
          <cell r="BL1113">
            <v>0</v>
          </cell>
          <cell r="BM1113">
            <v>0</v>
          </cell>
          <cell r="BN1113">
            <v>0</v>
          </cell>
          <cell r="BO1113">
            <v>0</v>
          </cell>
          <cell r="BP1113">
            <v>4</v>
          </cell>
          <cell r="BQ1113">
            <v>0</v>
          </cell>
          <cell r="BR1113">
            <v>0</v>
          </cell>
          <cell r="BS1113">
            <v>0</v>
          </cell>
          <cell r="BT1113">
            <v>4</v>
          </cell>
          <cell r="BU1113">
            <v>0</v>
          </cell>
          <cell r="BV1113">
            <v>0</v>
          </cell>
          <cell r="BW1113">
            <v>0</v>
          </cell>
          <cell r="BX1113">
            <v>0</v>
          </cell>
          <cell r="BY1113">
            <v>4</v>
          </cell>
          <cell r="BZ1113">
            <v>0</v>
          </cell>
          <cell r="CA1113">
            <v>0</v>
          </cell>
          <cell r="CB1113">
            <v>0</v>
          </cell>
          <cell r="CC1113">
            <v>0</v>
          </cell>
          <cell r="CD1113">
            <v>4</v>
          </cell>
          <cell r="CE1113">
            <v>0</v>
          </cell>
          <cell r="CF1113">
            <v>0</v>
          </cell>
          <cell r="CG1113">
            <v>4</v>
          </cell>
          <cell r="CH1113">
            <v>4</v>
          </cell>
          <cell r="CI1113">
            <v>4</v>
          </cell>
          <cell r="CJ1113">
            <v>0</v>
          </cell>
          <cell r="CK1113">
            <v>0</v>
          </cell>
          <cell r="CL1113">
            <v>0</v>
          </cell>
          <cell r="CM1113">
            <v>4</v>
          </cell>
          <cell r="CR1113">
            <v>0</v>
          </cell>
          <cell r="CS1113">
            <v>0</v>
          </cell>
          <cell r="CT1113">
            <v>32</v>
          </cell>
          <cell r="CU1113">
            <v>0</v>
          </cell>
          <cell r="CV1113">
            <v>0</v>
          </cell>
          <cell r="CZ1113">
            <v>32</v>
          </cell>
        </row>
        <row r="1114">
          <cell r="C1114" t="str">
            <v>04774</v>
          </cell>
          <cell r="D1114" t="str">
            <v>Nguyễn Thanh Nhật</v>
          </cell>
          <cell r="E1114" t="str">
            <v>Production</v>
          </cell>
          <cell r="F1114" t="str">
            <v>Molding</v>
          </cell>
          <cell r="G1114" t="str">
            <v>Worker</v>
          </cell>
          <cell r="H1114">
            <v>45888</v>
          </cell>
          <cell r="I1114">
            <v>8</v>
          </cell>
          <cell r="J1114">
            <v>8</v>
          </cell>
          <cell r="K1114">
            <v>8</v>
          </cell>
          <cell r="L1114" t="str">
            <v>CN</v>
          </cell>
          <cell r="M1114" t="str">
            <v>AL8</v>
          </cell>
          <cell r="N1114" t="str">
            <v>Đ</v>
          </cell>
          <cell r="O1114" t="str">
            <v>Đ</v>
          </cell>
          <cell r="P1114" t="str">
            <v>Đ</v>
          </cell>
          <cell r="Q1114" t="str">
            <v>Đ</v>
          </cell>
          <cell r="R1114" t="str">
            <v>Đ</v>
          </cell>
          <cell r="S1114" t="str">
            <v>CN</v>
          </cell>
          <cell r="T1114">
            <v>8</v>
          </cell>
          <cell r="U1114">
            <v>8</v>
          </cell>
          <cell r="V1114">
            <v>8</v>
          </cell>
          <cell r="W1114">
            <v>8</v>
          </cell>
          <cell r="X1114">
            <v>8</v>
          </cell>
          <cell r="Y1114">
            <v>8</v>
          </cell>
          <cell r="Z1114" t="str">
            <v>CN</v>
          </cell>
          <cell r="AA1114" t="str">
            <v>Đ</v>
          </cell>
          <cell r="AB1114" t="str">
            <v>Đ</v>
          </cell>
          <cell r="AC1114" t="str">
            <v>Đ</v>
          </cell>
          <cell r="AD1114" t="str">
            <v>Đ</v>
          </cell>
          <cell r="AE1114" t="str">
            <v>Đ</v>
          </cell>
          <cell r="AF1114" t="str">
            <v>Đ</v>
          </cell>
          <cell r="AG1114" t="str">
            <v>CN</v>
          </cell>
          <cell r="AH1114">
            <v>8</v>
          </cell>
          <cell r="AI1114">
            <v>8</v>
          </cell>
          <cell r="AJ1114">
            <v>8</v>
          </cell>
          <cell r="AN1114">
            <v>88</v>
          </cell>
          <cell r="AO1114">
            <v>96</v>
          </cell>
          <cell r="AP1114">
            <v>0</v>
          </cell>
          <cell r="AQ1114">
            <v>0</v>
          </cell>
          <cell r="AR1114">
            <v>0</v>
          </cell>
          <cell r="AS1114">
            <v>0</v>
          </cell>
          <cell r="AT1114">
            <v>0</v>
          </cell>
          <cell r="AU1114">
            <v>0</v>
          </cell>
          <cell r="AV1114">
            <v>0</v>
          </cell>
          <cell r="AW1114">
            <v>0</v>
          </cell>
          <cell r="AX1114">
            <v>0</v>
          </cell>
          <cell r="AY1114">
            <v>0</v>
          </cell>
          <cell r="AZ1114">
            <v>0</v>
          </cell>
          <cell r="BA1114">
            <v>8</v>
          </cell>
          <cell r="BB1114">
            <v>0</v>
          </cell>
          <cell r="BC1114">
            <v>0</v>
          </cell>
          <cell r="BD1114">
            <v>0</v>
          </cell>
          <cell r="BE1114">
            <v>0</v>
          </cell>
          <cell r="BF1114">
            <v>0</v>
          </cell>
          <cell r="BG1114">
            <v>192</v>
          </cell>
          <cell r="BH1114">
            <v>1</v>
          </cell>
          <cell r="BI1114">
            <v>1</v>
          </cell>
          <cell r="BJ1114">
            <v>1</v>
          </cell>
          <cell r="BL1114">
            <v>0</v>
          </cell>
          <cell r="BM1114">
            <v>0</v>
          </cell>
          <cell r="BN1114">
            <v>0</v>
          </cell>
          <cell r="BO1114">
            <v>0</v>
          </cell>
          <cell r="BP1114">
            <v>0</v>
          </cell>
          <cell r="BQ1114">
            <v>0</v>
          </cell>
          <cell r="BR1114">
            <v>3.5</v>
          </cell>
          <cell r="BS1114">
            <v>4</v>
          </cell>
          <cell r="BT1114">
            <v>0</v>
          </cell>
          <cell r="BU1114">
            <v>4</v>
          </cell>
          <cell r="BV1114">
            <v>0</v>
          </cell>
          <cell r="BW1114">
            <v>4</v>
          </cell>
          <cell r="BX1114">
            <v>4</v>
          </cell>
          <cell r="BY1114">
            <v>0</v>
          </cell>
          <cell r="BZ1114">
            <v>0</v>
          </cell>
          <cell r="CA1114">
            <v>0</v>
          </cell>
          <cell r="CB1114">
            <v>0</v>
          </cell>
          <cell r="CC1114">
            <v>0</v>
          </cell>
          <cell r="CD1114">
            <v>0</v>
          </cell>
          <cell r="CE1114">
            <v>0</v>
          </cell>
          <cell r="CF1114">
            <v>0</v>
          </cell>
          <cell r="CG1114">
            <v>4</v>
          </cell>
          <cell r="CH1114">
            <v>0</v>
          </cell>
          <cell r="CI1114">
            <v>0</v>
          </cell>
          <cell r="CJ1114">
            <v>0</v>
          </cell>
          <cell r="CK1114">
            <v>0</v>
          </cell>
          <cell r="CL1114">
            <v>4</v>
          </cell>
          <cell r="CM1114">
            <v>0</v>
          </cell>
          <cell r="CR1114">
            <v>0</v>
          </cell>
          <cell r="CS1114">
            <v>0</v>
          </cell>
          <cell r="CT1114">
            <v>27.5</v>
          </cell>
          <cell r="CU1114">
            <v>0</v>
          </cell>
          <cell r="CV1114">
            <v>0</v>
          </cell>
          <cell r="CZ1114">
            <v>27.5</v>
          </cell>
        </row>
        <row r="1115">
          <cell r="C1115" t="str">
            <v>03090</v>
          </cell>
          <cell r="D1115" t="str">
            <v>Lê Thị Kim Thoa</v>
          </cell>
          <cell r="E1115" t="str">
            <v>Production</v>
          </cell>
          <cell r="F1115" t="str">
            <v>Logo</v>
          </cell>
          <cell r="G1115" t="str">
            <v>Worker</v>
          </cell>
          <cell r="H1115">
            <v>44522</v>
          </cell>
          <cell r="I1115">
            <v>8</v>
          </cell>
          <cell r="J1115">
            <v>8</v>
          </cell>
          <cell r="K1115">
            <v>8</v>
          </cell>
          <cell r="L1115" t="str">
            <v>CN</v>
          </cell>
          <cell r="M1115" t="str">
            <v>Đ</v>
          </cell>
          <cell r="N1115" t="str">
            <v>Đ</v>
          </cell>
          <cell r="O1115" t="str">
            <v>Đ</v>
          </cell>
          <cell r="P1115" t="str">
            <v>Đ</v>
          </cell>
          <cell r="Q1115" t="str">
            <v>Đ</v>
          </cell>
          <cell r="R1115" t="str">
            <v>Đ</v>
          </cell>
          <cell r="S1115" t="str">
            <v>CN</v>
          </cell>
          <cell r="T1115">
            <v>8</v>
          </cell>
          <cell r="U1115">
            <v>8</v>
          </cell>
          <cell r="V1115">
            <v>8</v>
          </cell>
          <cell r="W1115" t="str">
            <v>AL8</v>
          </cell>
          <cell r="X1115">
            <v>8</v>
          </cell>
          <cell r="Y1115">
            <v>8</v>
          </cell>
          <cell r="Z1115" t="str">
            <v>CN</v>
          </cell>
          <cell r="AA1115" t="str">
            <v>Đ</v>
          </cell>
          <cell r="AB1115" t="str">
            <v>Đ</v>
          </cell>
          <cell r="AC1115" t="str">
            <v>Đ</v>
          </cell>
          <cell r="AD1115" t="str">
            <v>Đ</v>
          </cell>
          <cell r="AE1115" t="str">
            <v>Đ</v>
          </cell>
          <cell r="AF1115" t="str">
            <v>Đ</v>
          </cell>
          <cell r="AG1115" t="str">
            <v>CN</v>
          </cell>
          <cell r="AH1115">
            <v>8</v>
          </cell>
          <cell r="AI1115">
            <v>8</v>
          </cell>
          <cell r="AJ1115">
            <v>8</v>
          </cell>
          <cell r="AN1115">
            <v>96</v>
          </cell>
          <cell r="AO1115">
            <v>88</v>
          </cell>
          <cell r="AP1115">
            <v>0</v>
          </cell>
          <cell r="AQ1115">
            <v>0</v>
          </cell>
          <cell r="AR1115">
            <v>0</v>
          </cell>
          <cell r="AS1115">
            <v>0</v>
          </cell>
          <cell r="AT1115">
            <v>0</v>
          </cell>
          <cell r="AU1115">
            <v>0</v>
          </cell>
          <cell r="AV1115">
            <v>0</v>
          </cell>
          <cell r="AW1115">
            <v>0</v>
          </cell>
          <cell r="AX1115">
            <v>0</v>
          </cell>
          <cell r="AY1115">
            <v>0</v>
          </cell>
          <cell r="AZ1115">
            <v>0</v>
          </cell>
          <cell r="BA1115">
            <v>8</v>
          </cell>
          <cell r="BB1115">
            <v>0</v>
          </cell>
          <cell r="BC1115">
            <v>0</v>
          </cell>
          <cell r="BD1115">
            <v>0</v>
          </cell>
          <cell r="BE1115">
            <v>0</v>
          </cell>
          <cell r="BF1115">
            <v>0</v>
          </cell>
          <cell r="BG1115">
            <v>192</v>
          </cell>
          <cell r="BH1115">
            <v>1</v>
          </cell>
          <cell r="BI1115">
            <v>1</v>
          </cell>
          <cell r="BJ1115">
            <v>1</v>
          </cell>
          <cell r="BL1115">
            <v>1.5</v>
          </cell>
          <cell r="BM1115">
            <v>1.5</v>
          </cell>
          <cell r="BN1115">
            <v>1.5</v>
          </cell>
          <cell r="BO1115">
            <v>0</v>
          </cell>
          <cell r="BP1115">
            <v>1.5</v>
          </cell>
          <cell r="BQ1115">
            <v>0</v>
          </cell>
          <cell r="BR1115">
            <v>0</v>
          </cell>
          <cell r="BS1115">
            <v>4</v>
          </cell>
          <cell r="BT1115">
            <v>1.5</v>
          </cell>
          <cell r="BU1115">
            <v>4</v>
          </cell>
          <cell r="BV1115">
            <v>0</v>
          </cell>
          <cell r="BW1115">
            <v>3</v>
          </cell>
          <cell r="BX1115">
            <v>3</v>
          </cell>
          <cell r="BY1115">
            <v>3</v>
          </cell>
          <cell r="BZ1115">
            <v>0</v>
          </cell>
          <cell r="CA1115">
            <v>3</v>
          </cell>
          <cell r="CB1115">
            <v>3</v>
          </cell>
          <cell r="CC1115">
            <v>8</v>
          </cell>
          <cell r="CD1115">
            <v>4</v>
          </cell>
          <cell r="CE1115">
            <v>4</v>
          </cell>
          <cell r="CF1115">
            <v>4</v>
          </cell>
          <cell r="CG1115">
            <v>4</v>
          </cell>
          <cell r="CH1115">
            <v>4</v>
          </cell>
          <cell r="CI1115">
            <v>4</v>
          </cell>
          <cell r="CJ1115">
            <v>0</v>
          </cell>
          <cell r="CK1115">
            <v>3</v>
          </cell>
          <cell r="CL1115">
            <v>3</v>
          </cell>
          <cell r="CM1115">
            <v>3</v>
          </cell>
          <cell r="CR1115">
            <v>11</v>
          </cell>
          <cell r="CS1115">
            <v>12</v>
          </cell>
          <cell r="CT1115">
            <v>63.5</v>
          </cell>
          <cell r="CU1115">
            <v>8</v>
          </cell>
          <cell r="CV1115">
            <v>0</v>
          </cell>
          <cell r="CZ1115">
            <v>71.5</v>
          </cell>
        </row>
        <row r="1116">
          <cell r="C1116" t="str">
            <v>03953</v>
          </cell>
          <cell r="D1116" t="str">
            <v>Trần Thị Xuân Hương</v>
          </cell>
          <cell r="E1116" t="str">
            <v>Production</v>
          </cell>
          <cell r="F1116" t="str">
            <v>Prefitting</v>
          </cell>
          <cell r="G1116" t="str">
            <v>Worker</v>
          </cell>
          <cell r="H1116">
            <v>45181</v>
          </cell>
          <cell r="I1116" t="str">
            <v>AL8</v>
          </cell>
          <cell r="J1116">
            <v>8</v>
          </cell>
          <cell r="K1116">
            <v>8</v>
          </cell>
          <cell r="L1116" t="str">
            <v>CN</v>
          </cell>
          <cell r="M1116">
            <v>8</v>
          </cell>
          <cell r="N1116" t="str">
            <v>SL</v>
          </cell>
          <cell r="O1116">
            <v>8</v>
          </cell>
          <cell r="P1116">
            <v>8</v>
          </cell>
          <cell r="Q1116">
            <v>8</v>
          </cell>
          <cell r="R1116">
            <v>8</v>
          </cell>
          <cell r="S1116" t="str">
            <v>CN</v>
          </cell>
          <cell r="T1116">
            <v>8</v>
          </cell>
          <cell r="U1116" t="str">
            <v>SL</v>
          </cell>
          <cell r="V1116">
            <v>8</v>
          </cell>
          <cell r="W1116">
            <v>8</v>
          </cell>
          <cell r="X1116">
            <v>8</v>
          </cell>
          <cell r="Y1116">
            <v>8</v>
          </cell>
          <cell r="Z1116" t="str">
            <v>CN</v>
          </cell>
          <cell r="AA1116" t="str">
            <v>SL</v>
          </cell>
          <cell r="AB1116" t="str">
            <v>UP8</v>
          </cell>
          <cell r="AC1116">
            <v>8</v>
          </cell>
          <cell r="AD1116">
            <v>8</v>
          </cell>
          <cell r="AE1116">
            <v>8</v>
          </cell>
          <cell r="AF1116">
            <v>8</v>
          </cell>
          <cell r="AG1116" t="str">
            <v>CN</v>
          </cell>
          <cell r="AH1116" t="str">
            <v>UP8</v>
          </cell>
          <cell r="AI1116">
            <v>8</v>
          </cell>
          <cell r="AJ1116">
            <v>8</v>
          </cell>
          <cell r="AN1116">
            <v>0</v>
          </cell>
          <cell r="AO1116">
            <v>144</v>
          </cell>
          <cell r="AP1116">
            <v>0</v>
          </cell>
          <cell r="AQ1116">
            <v>3</v>
          </cell>
          <cell r="AR1116">
            <v>0</v>
          </cell>
          <cell r="AS1116">
            <v>16</v>
          </cell>
          <cell r="AT1116">
            <v>0</v>
          </cell>
          <cell r="AU1116">
            <v>0</v>
          </cell>
          <cell r="AV1116">
            <v>0</v>
          </cell>
          <cell r="AW1116">
            <v>0</v>
          </cell>
          <cell r="AX1116">
            <v>0</v>
          </cell>
          <cell r="AY1116">
            <v>0</v>
          </cell>
          <cell r="AZ1116">
            <v>0</v>
          </cell>
          <cell r="BA1116">
            <v>8</v>
          </cell>
          <cell r="BB1116">
            <v>0</v>
          </cell>
          <cell r="BC1116">
            <v>0</v>
          </cell>
          <cell r="BD1116">
            <v>0</v>
          </cell>
          <cell r="BE1116">
            <v>0</v>
          </cell>
          <cell r="BF1116">
            <v>0</v>
          </cell>
          <cell r="BG1116">
            <v>152</v>
          </cell>
          <cell r="BH1116">
            <v>1</v>
          </cell>
          <cell r="BI1116">
            <v>1</v>
          </cell>
          <cell r="BJ1116">
            <v>-2</v>
          </cell>
          <cell r="BL1116">
            <v>0</v>
          </cell>
          <cell r="BM1116">
            <v>0</v>
          </cell>
          <cell r="BN1116">
            <v>0</v>
          </cell>
          <cell r="BO1116">
            <v>0</v>
          </cell>
          <cell r="BP1116">
            <v>0</v>
          </cell>
          <cell r="BQ1116">
            <v>0</v>
          </cell>
          <cell r="BR1116">
            <v>0</v>
          </cell>
          <cell r="BS1116">
            <v>0</v>
          </cell>
          <cell r="BT1116">
            <v>0</v>
          </cell>
          <cell r="BU1116">
            <v>0</v>
          </cell>
          <cell r="BV1116">
            <v>0</v>
          </cell>
          <cell r="BW1116">
            <v>0</v>
          </cell>
          <cell r="BX1116">
            <v>0</v>
          </cell>
          <cell r="BY1116">
            <v>0</v>
          </cell>
          <cell r="BZ1116">
            <v>0</v>
          </cell>
          <cell r="CA1116">
            <v>0</v>
          </cell>
          <cell r="CB1116">
            <v>0</v>
          </cell>
          <cell r="CC1116">
            <v>0</v>
          </cell>
          <cell r="CD1116">
            <v>0</v>
          </cell>
          <cell r="CE1116">
            <v>0</v>
          </cell>
          <cell r="CF1116">
            <v>0</v>
          </cell>
          <cell r="CG1116">
            <v>0</v>
          </cell>
          <cell r="CH1116">
            <v>0</v>
          </cell>
          <cell r="CI1116">
            <v>0</v>
          </cell>
          <cell r="CJ1116">
            <v>0</v>
          </cell>
          <cell r="CK1116">
            <v>0</v>
          </cell>
          <cell r="CL1116">
            <v>0</v>
          </cell>
          <cell r="CM1116">
            <v>0</v>
          </cell>
          <cell r="CR1116">
            <v>0</v>
          </cell>
          <cell r="CS1116">
            <v>0</v>
          </cell>
          <cell r="CT1116">
            <v>0</v>
          </cell>
          <cell r="CU1116">
            <v>0</v>
          </cell>
          <cell r="CV1116">
            <v>0</v>
          </cell>
          <cell r="CZ1116">
            <v>0</v>
          </cell>
        </row>
        <row r="1117">
          <cell r="C1117" t="str">
            <v>04778</v>
          </cell>
          <cell r="D1117" t="str">
            <v>Vũ Ngọc Ánh</v>
          </cell>
          <cell r="E1117" t="str">
            <v>CS</v>
          </cell>
          <cell r="F1117" t="str">
            <v>CS</v>
          </cell>
          <cell r="G1117" t="str">
            <v>Staff</v>
          </cell>
          <cell r="H1117">
            <v>45895</v>
          </cell>
          <cell r="I1117" t="str">
            <v>WH</v>
          </cell>
          <cell r="J1117" t="str">
            <v>AL8</v>
          </cell>
          <cell r="K1117" t="str">
            <v>PO</v>
          </cell>
          <cell r="L1117" t="str">
            <v>CN</v>
          </cell>
          <cell r="M1117">
            <v>8</v>
          </cell>
          <cell r="N1117">
            <v>8</v>
          </cell>
          <cell r="O1117">
            <v>8</v>
          </cell>
          <cell r="P1117">
            <v>8</v>
          </cell>
          <cell r="Q1117">
            <v>8</v>
          </cell>
          <cell r="R1117" t="str">
            <v>PO</v>
          </cell>
          <cell r="S1117" t="str">
            <v>CN</v>
          </cell>
          <cell r="T1117">
            <v>8</v>
          </cell>
          <cell r="U1117">
            <v>8</v>
          </cell>
          <cell r="V1117">
            <v>8</v>
          </cell>
          <cell r="W1117">
            <v>8</v>
          </cell>
          <cell r="X1117">
            <v>8</v>
          </cell>
          <cell r="Y1117" t="str">
            <v>PO</v>
          </cell>
          <cell r="Z1117" t="str">
            <v>CN</v>
          </cell>
          <cell r="AA1117">
            <v>8</v>
          </cell>
          <cell r="AB1117">
            <v>8</v>
          </cell>
          <cell r="AC1117">
            <v>8</v>
          </cell>
          <cell r="AD1117">
            <v>8</v>
          </cell>
          <cell r="AE1117">
            <v>8</v>
          </cell>
          <cell r="AF1117" t="str">
            <v>PO</v>
          </cell>
          <cell r="AG1117" t="str">
            <v>CN</v>
          </cell>
          <cell r="AH1117">
            <v>8</v>
          </cell>
          <cell r="AI1117" t="str">
            <v>AL4</v>
          </cell>
          <cell r="AJ1117" t="str">
            <v>AL8</v>
          </cell>
          <cell r="AN1117">
            <v>0</v>
          </cell>
          <cell r="AO1117">
            <v>132</v>
          </cell>
          <cell r="AP1117">
            <v>4</v>
          </cell>
          <cell r="AQ1117">
            <v>0</v>
          </cell>
          <cell r="AR1117">
            <v>0</v>
          </cell>
          <cell r="AS1117">
            <v>0</v>
          </cell>
          <cell r="AT1117">
            <v>0</v>
          </cell>
          <cell r="AU1117">
            <v>0</v>
          </cell>
          <cell r="AV1117">
            <v>32</v>
          </cell>
          <cell r="AW1117">
            <v>0</v>
          </cell>
          <cell r="AX1117">
            <v>0</v>
          </cell>
          <cell r="AY1117">
            <v>0</v>
          </cell>
          <cell r="AZ1117">
            <v>0</v>
          </cell>
          <cell r="BA1117">
            <v>20</v>
          </cell>
          <cell r="BB1117">
            <v>0</v>
          </cell>
          <cell r="BC1117">
            <v>0</v>
          </cell>
          <cell r="BD1117">
            <v>8</v>
          </cell>
          <cell r="BE1117">
            <v>0</v>
          </cell>
          <cell r="BF1117">
            <v>0</v>
          </cell>
          <cell r="BG1117">
            <v>192</v>
          </cell>
          <cell r="BH1117">
            <v>2.5</v>
          </cell>
          <cell r="BI1117">
            <v>2.5</v>
          </cell>
          <cell r="BJ1117">
            <v>3.5</v>
          </cell>
          <cell r="BL1117">
            <v>0</v>
          </cell>
          <cell r="BM1117">
            <v>0</v>
          </cell>
          <cell r="BN1117">
            <v>0</v>
          </cell>
          <cell r="BO1117">
            <v>0</v>
          </cell>
          <cell r="BP1117">
            <v>2.5</v>
          </cell>
          <cell r="BQ1117">
            <v>2</v>
          </cell>
          <cell r="BR1117">
            <v>0</v>
          </cell>
          <cell r="BS1117">
            <v>2</v>
          </cell>
          <cell r="BT1117">
            <v>0</v>
          </cell>
          <cell r="BU1117">
            <v>0</v>
          </cell>
          <cell r="BV1117">
            <v>0</v>
          </cell>
          <cell r="BW1117">
            <v>1</v>
          </cell>
          <cell r="BX1117">
            <v>0</v>
          </cell>
          <cell r="BY1117">
            <v>0.5</v>
          </cell>
          <cell r="BZ1117">
            <v>0.5</v>
          </cell>
          <cell r="CA1117">
            <v>1.5</v>
          </cell>
          <cell r="CB1117">
            <v>0</v>
          </cell>
          <cell r="CC1117">
            <v>0</v>
          </cell>
          <cell r="CD1117">
            <v>0.5</v>
          </cell>
          <cell r="CE1117">
            <v>0</v>
          </cell>
          <cell r="CF1117">
            <v>1</v>
          </cell>
          <cell r="CG1117">
            <v>0.75</v>
          </cell>
          <cell r="CH1117">
            <v>0</v>
          </cell>
          <cell r="CI1117">
            <v>0</v>
          </cell>
          <cell r="CJ1117">
            <v>0</v>
          </cell>
          <cell r="CK1117">
            <v>3</v>
          </cell>
          <cell r="CL1117">
            <v>0</v>
          </cell>
          <cell r="CM1117">
            <v>0</v>
          </cell>
          <cell r="CR1117">
            <v>0</v>
          </cell>
          <cell r="CS1117">
            <v>0</v>
          </cell>
          <cell r="CT1117">
            <v>15.25</v>
          </cell>
          <cell r="CU1117">
            <v>0</v>
          </cell>
          <cell r="CV1117">
            <v>0</v>
          </cell>
          <cell r="CZ1117">
            <v>15.25</v>
          </cell>
        </row>
        <row r="1118">
          <cell r="C1118" t="str">
            <v>04781</v>
          </cell>
          <cell r="D1118" t="str">
            <v>Lê Hồng Nghi</v>
          </cell>
          <cell r="E1118" t="str">
            <v>Production</v>
          </cell>
          <cell r="F1118" t="str">
            <v>Die Cut</v>
          </cell>
          <cell r="G1118" t="str">
            <v>Worker</v>
          </cell>
          <cell r="H1118">
            <v>45897</v>
          </cell>
          <cell r="I1118" t="str">
            <v>SL</v>
          </cell>
          <cell r="J1118" t="str">
            <v>SL</v>
          </cell>
          <cell r="K1118" t="str">
            <v>SL</v>
          </cell>
          <cell r="L1118" t="str">
            <v>CN</v>
          </cell>
          <cell r="M1118" t="str">
            <v>SL</v>
          </cell>
          <cell r="N1118" t="str">
            <v>SL</v>
          </cell>
          <cell r="O1118" t="str">
            <v>SL</v>
          </cell>
          <cell r="P1118" t="str">
            <v>Đ</v>
          </cell>
          <cell r="Q1118" t="str">
            <v>Đ</v>
          </cell>
          <cell r="R1118" t="str">
            <v>Đ</v>
          </cell>
          <cell r="S1118" t="str">
            <v>CN</v>
          </cell>
          <cell r="T1118">
            <v>8</v>
          </cell>
          <cell r="U1118">
            <v>8</v>
          </cell>
          <cell r="V1118">
            <v>8</v>
          </cell>
          <cell r="W1118">
            <v>8</v>
          </cell>
          <cell r="X1118">
            <v>8</v>
          </cell>
          <cell r="Y1118">
            <v>8</v>
          </cell>
          <cell r="Z1118" t="str">
            <v>CN</v>
          </cell>
          <cell r="AA1118" t="str">
            <v>AL8</v>
          </cell>
          <cell r="AB1118" t="str">
            <v>AL8</v>
          </cell>
          <cell r="AC1118" t="str">
            <v>AL8</v>
          </cell>
          <cell r="AD1118" t="str">
            <v>TV</v>
          </cell>
          <cell r="AE1118" t="str">
            <v>TV</v>
          </cell>
          <cell r="AF1118" t="str">
            <v>TV</v>
          </cell>
          <cell r="AG1118" t="str">
            <v>TV</v>
          </cell>
          <cell r="AH1118" t="str">
            <v>TV</v>
          </cell>
          <cell r="AI1118" t="str">
            <v>TV</v>
          </cell>
          <cell r="AJ1118" t="str">
            <v>TV</v>
          </cell>
          <cell r="AN1118">
            <v>24</v>
          </cell>
          <cell r="AO1118">
            <v>48</v>
          </cell>
          <cell r="AP1118">
            <v>0</v>
          </cell>
          <cell r="AQ1118">
            <v>6</v>
          </cell>
          <cell r="AR1118">
            <v>0</v>
          </cell>
          <cell r="AS1118">
            <v>0</v>
          </cell>
          <cell r="AT1118">
            <v>0</v>
          </cell>
          <cell r="AU1118">
            <v>0</v>
          </cell>
          <cell r="AV1118">
            <v>0</v>
          </cell>
          <cell r="AW1118">
            <v>0</v>
          </cell>
          <cell r="AX1118">
            <v>0</v>
          </cell>
          <cell r="AY1118">
            <v>0</v>
          </cell>
          <cell r="AZ1118">
            <v>0</v>
          </cell>
          <cell r="BA1118">
            <v>24</v>
          </cell>
          <cell r="BB1118">
            <v>0</v>
          </cell>
          <cell r="BC1118">
            <v>0</v>
          </cell>
          <cell r="BD1118">
            <v>0</v>
          </cell>
          <cell r="BE1118">
            <v>0</v>
          </cell>
          <cell r="BF1118">
            <v>0</v>
          </cell>
          <cell r="BG1118">
            <v>96</v>
          </cell>
          <cell r="BH1118">
            <v>3</v>
          </cell>
          <cell r="BI1118">
            <v>3</v>
          </cell>
          <cell r="BJ1118">
            <v>-2</v>
          </cell>
          <cell r="BL1118">
            <v>0</v>
          </cell>
          <cell r="BM1118">
            <v>0</v>
          </cell>
          <cell r="BN1118">
            <v>0</v>
          </cell>
          <cell r="BO1118">
            <v>0</v>
          </cell>
          <cell r="BP1118">
            <v>0</v>
          </cell>
          <cell r="BQ1118">
            <v>0</v>
          </cell>
          <cell r="BR1118">
            <v>0</v>
          </cell>
          <cell r="BS1118">
            <v>0</v>
          </cell>
          <cell r="BT1118">
            <v>4</v>
          </cell>
          <cell r="BU1118">
            <v>4</v>
          </cell>
          <cell r="BV1118">
            <v>0</v>
          </cell>
          <cell r="BW1118">
            <v>2.5</v>
          </cell>
          <cell r="BX1118">
            <v>3</v>
          </cell>
          <cell r="BY1118">
            <v>3</v>
          </cell>
          <cell r="BZ1118">
            <v>0</v>
          </cell>
          <cell r="CA1118">
            <v>3</v>
          </cell>
          <cell r="CB1118">
            <v>0</v>
          </cell>
          <cell r="CC1118">
            <v>0</v>
          </cell>
          <cell r="CD1118">
            <v>0</v>
          </cell>
          <cell r="CE1118">
            <v>0</v>
          </cell>
          <cell r="CF1118">
            <v>0</v>
          </cell>
          <cell r="CG1118">
            <v>0</v>
          </cell>
          <cell r="CH1118">
            <v>0</v>
          </cell>
          <cell r="CI1118">
            <v>0</v>
          </cell>
          <cell r="CJ1118">
            <v>0</v>
          </cell>
          <cell r="CK1118">
            <v>0</v>
          </cell>
          <cell r="CL1118">
            <v>0</v>
          </cell>
          <cell r="CM1118">
            <v>0</v>
          </cell>
          <cell r="CR1118">
            <v>0</v>
          </cell>
          <cell r="CS1118">
            <v>0</v>
          </cell>
          <cell r="CT1118">
            <v>19.5</v>
          </cell>
          <cell r="CU1118">
            <v>0</v>
          </cell>
          <cell r="CV1118">
            <v>0</v>
          </cell>
          <cell r="CZ1118">
            <v>19.5</v>
          </cell>
        </row>
        <row r="1119">
          <cell r="C1119" t="str">
            <v>04782</v>
          </cell>
          <cell r="D1119" t="str">
            <v>Nguyễn Thị Mai Hương</v>
          </cell>
          <cell r="E1119" t="str">
            <v>Production</v>
          </cell>
          <cell r="F1119" t="str">
            <v>Molding</v>
          </cell>
          <cell r="G1119" t="str">
            <v>Worker</v>
          </cell>
          <cell r="H1119">
            <v>45904</v>
          </cell>
          <cell r="I1119" t="str">
            <v>Đ</v>
          </cell>
          <cell r="J1119" t="str">
            <v>Đ</v>
          </cell>
          <cell r="K1119" t="str">
            <v>Đ</v>
          </cell>
          <cell r="L1119" t="str">
            <v>CN</v>
          </cell>
          <cell r="M1119" t="str">
            <v>AL8</v>
          </cell>
          <cell r="N1119">
            <v>8</v>
          </cell>
          <cell r="O1119">
            <v>8</v>
          </cell>
          <cell r="P1119">
            <v>8</v>
          </cell>
          <cell r="Q1119">
            <v>8</v>
          </cell>
          <cell r="R1119">
            <v>8</v>
          </cell>
          <cell r="S1119" t="str">
            <v>CN</v>
          </cell>
          <cell r="T1119" t="str">
            <v>Đ</v>
          </cell>
          <cell r="U1119" t="str">
            <v>Đ</v>
          </cell>
          <cell r="V1119" t="str">
            <v>Đ</v>
          </cell>
          <cell r="W1119" t="str">
            <v>Đ</v>
          </cell>
          <cell r="X1119" t="str">
            <v>Đ</v>
          </cell>
          <cell r="Y1119" t="str">
            <v>Đ</v>
          </cell>
          <cell r="Z1119" t="str">
            <v>CN</v>
          </cell>
          <cell r="AA1119">
            <v>8</v>
          </cell>
          <cell r="AB1119">
            <v>8</v>
          </cell>
          <cell r="AC1119">
            <v>8</v>
          </cell>
          <cell r="AD1119">
            <v>8</v>
          </cell>
          <cell r="AE1119">
            <v>8</v>
          </cell>
          <cell r="AF1119" t="str">
            <v>CN</v>
          </cell>
          <cell r="AG1119" t="str">
            <v>Đ</v>
          </cell>
          <cell r="AH1119" t="str">
            <v>Đ</v>
          </cell>
          <cell r="AI1119" t="str">
            <v>Đ</v>
          </cell>
          <cell r="AJ1119" t="str">
            <v>Đ</v>
          </cell>
          <cell r="AN1119">
            <v>104</v>
          </cell>
          <cell r="AO1119">
            <v>80</v>
          </cell>
          <cell r="AP1119">
            <v>0</v>
          </cell>
          <cell r="AQ1119">
            <v>0</v>
          </cell>
          <cell r="AR1119">
            <v>0</v>
          </cell>
          <cell r="AS1119">
            <v>0</v>
          </cell>
          <cell r="AT1119">
            <v>0</v>
          </cell>
          <cell r="AU1119">
            <v>0</v>
          </cell>
          <cell r="AV1119">
            <v>0</v>
          </cell>
          <cell r="AW1119">
            <v>0</v>
          </cell>
          <cell r="AX1119">
            <v>0</v>
          </cell>
          <cell r="AY1119">
            <v>0</v>
          </cell>
          <cell r="AZ1119">
            <v>0</v>
          </cell>
          <cell r="BA1119">
            <v>8</v>
          </cell>
          <cell r="BB1119">
            <v>0</v>
          </cell>
          <cell r="BC1119">
            <v>0</v>
          </cell>
          <cell r="BD1119">
            <v>0</v>
          </cell>
          <cell r="BE1119">
            <v>0</v>
          </cell>
          <cell r="BF1119">
            <v>0</v>
          </cell>
          <cell r="BG1119">
            <v>192</v>
          </cell>
          <cell r="BH1119">
            <v>1</v>
          </cell>
          <cell r="BI1119">
            <v>1</v>
          </cell>
          <cell r="BJ1119">
            <v>2</v>
          </cell>
          <cell r="BL1119">
            <v>0</v>
          </cell>
          <cell r="BM1119">
            <v>0</v>
          </cell>
          <cell r="BN1119">
            <v>0</v>
          </cell>
          <cell r="BO1119">
            <v>0</v>
          </cell>
          <cell r="BP1119">
            <v>0</v>
          </cell>
          <cell r="BQ1119">
            <v>4</v>
          </cell>
          <cell r="BR1119">
            <v>4</v>
          </cell>
          <cell r="BS1119">
            <v>0</v>
          </cell>
          <cell r="BT1119">
            <v>4</v>
          </cell>
          <cell r="BU1119">
            <v>0</v>
          </cell>
          <cell r="BV1119">
            <v>0</v>
          </cell>
          <cell r="BW1119">
            <v>0</v>
          </cell>
          <cell r="BX1119">
            <v>0</v>
          </cell>
          <cell r="BY1119">
            <v>0</v>
          </cell>
          <cell r="BZ1119">
            <v>4</v>
          </cell>
          <cell r="CA1119">
            <v>0</v>
          </cell>
          <cell r="CB1119">
            <v>0</v>
          </cell>
          <cell r="CC1119">
            <v>0</v>
          </cell>
          <cell r="CD1119">
            <v>0</v>
          </cell>
          <cell r="CE1119">
            <v>0</v>
          </cell>
          <cell r="CF1119">
            <v>0</v>
          </cell>
          <cell r="CG1119">
            <v>0</v>
          </cell>
          <cell r="CH1119">
            <v>4</v>
          </cell>
          <cell r="CI1119">
            <v>0</v>
          </cell>
          <cell r="CJ1119">
            <v>4</v>
          </cell>
          <cell r="CK1119">
            <v>0</v>
          </cell>
          <cell r="CL1119">
            <v>0</v>
          </cell>
          <cell r="CM1119">
            <v>0</v>
          </cell>
          <cell r="CR1119">
            <v>0</v>
          </cell>
          <cell r="CS1119">
            <v>0</v>
          </cell>
          <cell r="CT1119">
            <v>24</v>
          </cell>
          <cell r="CU1119">
            <v>0</v>
          </cell>
          <cell r="CV1119">
            <v>0</v>
          </cell>
          <cell r="CZ1119">
            <v>24</v>
          </cell>
        </row>
        <row r="1120">
          <cell r="C1120" t="str">
            <v>04786</v>
          </cell>
          <cell r="D1120" t="str">
            <v>Lê Thanh Danh</v>
          </cell>
          <cell r="E1120" t="str">
            <v>Production</v>
          </cell>
          <cell r="F1120" t="str">
            <v>Die cut</v>
          </cell>
          <cell r="G1120" t="str">
            <v>Worker</v>
          </cell>
          <cell r="H1120">
            <v>45910</v>
          </cell>
          <cell r="I1120">
            <v>8</v>
          </cell>
          <cell r="J1120">
            <v>8</v>
          </cell>
          <cell r="K1120">
            <v>8</v>
          </cell>
          <cell r="L1120" t="str">
            <v>CN</v>
          </cell>
          <cell r="M1120" t="str">
            <v>Đ</v>
          </cell>
          <cell r="N1120" t="str">
            <v>Đ</v>
          </cell>
          <cell r="O1120" t="str">
            <v>Đ</v>
          </cell>
          <cell r="P1120" t="str">
            <v>Đ</v>
          </cell>
          <cell r="Q1120" t="str">
            <v>Đ</v>
          </cell>
          <cell r="R1120" t="str">
            <v>Đ</v>
          </cell>
          <cell r="S1120" t="str">
            <v>CN</v>
          </cell>
          <cell r="T1120">
            <v>8</v>
          </cell>
          <cell r="U1120">
            <v>8</v>
          </cell>
          <cell r="V1120">
            <v>8</v>
          </cell>
          <cell r="W1120">
            <v>8</v>
          </cell>
          <cell r="X1120">
            <v>8</v>
          </cell>
          <cell r="Y1120" t="str">
            <v>AL8</v>
          </cell>
          <cell r="Z1120" t="str">
            <v>CN</v>
          </cell>
          <cell r="AA1120" t="str">
            <v>Đ</v>
          </cell>
          <cell r="AB1120" t="str">
            <v>Đ</v>
          </cell>
          <cell r="AC1120" t="str">
            <v>Đ</v>
          </cell>
          <cell r="AD1120" t="str">
            <v>Đ</v>
          </cell>
          <cell r="AE1120" t="str">
            <v>Đ</v>
          </cell>
          <cell r="AF1120" t="str">
            <v>Đ</v>
          </cell>
          <cell r="AG1120" t="str">
            <v>CN</v>
          </cell>
          <cell r="AH1120">
            <v>8</v>
          </cell>
          <cell r="AI1120">
            <v>8</v>
          </cell>
          <cell r="AJ1120">
            <v>8</v>
          </cell>
          <cell r="AN1120">
            <v>96</v>
          </cell>
          <cell r="AO1120">
            <v>88</v>
          </cell>
          <cell r="AP1120">
            <v>0</v>
          </cell>
          <cell r="AQ1120">
            <v>0</v>
          </cell>
          <cell r="AR1120">
            <v>0</v>
          </cell>
          <cell r="AS1120">
            <v>0</v>
          </cell>
          <cell r="AT1120">
            <v>0</v>
          </cell>
          <cell r="AU1120">
            <v>0</v>
          </cell>
          <cell r="AV1120">
            <v>0</v>
          </cell>
          <cell r="AW1120">
            <v>0</v>
          </cell>
          <cell r="AX1120">
            <v>0</v>
          </cell>
          <cell r="AY1120">
            <v>0</v>
          </cell>
          <cell r="AZ1120">
            <v>0</v>
          </cell>
          <cell r="BA1120">
            <v>8</v>
          </cell>
          <cell r="BB1120">
            <v>0</v>
          </cell>
          <cell r="BC1120">
            <v>0</v>
          </cell>
          <cell r="BD1120">
            <v>0</v>
          </cell>
          <cell r="BE1120">
            <v>0</v>
          </cell>
          <cell r="BF1120">
            <v>0</v>
          </cell>
          <cell r="BG1120">
            <v>192</v>
          </cell>
          <cell r="BH1120">
            <v>1</v>
          </cell>
          <cell r="BI1120">
            <v>1</v>
          </cell>
          <cell r="BJ1120">
            <v>-2.5</v>
          </cell>
          <cell r="BL1120">
            <v>1.5</v>
          </cell>
          <cell r="BM1120">
            <v>1.5</v>
          </cell>
          <cell r="BN1120">
            <v>0</v>
          </cell>
          <cell r="BO1120">
            <v>0</v>
          </cell>
          <cell r="BP1120">
            <v>1.5</v>
          </cell>
          <cell r="BQ1120">
            <v>0</v>
          </cell>
          <cell r="BR1120">
            <v>0</v>
          </cell>
          <cell r="BS1120">
            <v>4</v>
          </cell>
          <cell r="BT1120">
            <v>4</v>
          </cell>
          <cell r="BU1120">
            <v>4</v>
          </cell>
          <cell r="BV1120">
            <v>0</v>
          </cell>
          <cell r="BW1120">
            <v>3</v>
          </cell>
          <cell r="BX1120">
            <v>3</v>
          </cell>
          <cell r="BY1120">
            <v>3</v>
          </cell>
          <cell r="BZ1120">
            <v>3</v>
          </cell>
          <cell r="CA1120">
            <v>3</v>
          </cell>
          <cell r="CB1120">
            <v>0</v>
          </cell>
          <cell r="CC1120">
            <v>0</v>
          </cell>
          <cell r="CD1120">
            <v>4</v>
          </cell>
          <cell r="CE1120">
            <v>4</v>
          </cell>
          <cell r="CF1120">
            <v>4</v>
          </cell>
          <cell r="CG1120">
            <v>4</v>
          </cell>
          <cell r="CH1120">
            <v>4</v>
          </cell>
          <cell r="CI1120">
            <v>3</v>
          </cell>
          <cell r="CJ1120">
            <v>0</v>
          </cell>
          <cell r="CK1120">
            <v>3</v>
          </cell>
          <cell r="CL1120">
            <v>3</v>
          </cell>
          <cell r="CM1120">
            <v>0</v>
          </cell>
          <cell r="CR1120">
            <v>0</v>
          </cell>
          <cell r="CS1120">
            <v>0</v>
          </cell>
          <cell r="CT1120">
            <v>60.5</v>
          </cell>
          <cell r="CU1120">
            <v>0</v>
          </cell>
          <cell r="CV1120">
            <v>0</v>
          </cell>
          <cell r="CZ1120">
            <v>60.5</v>
          </cell>
        </row>
        <row r="1121">
          <cell r="C1121" t="str">
            <v>04789</v>
          </cell>
          <cell r="D1121" t="str">
            <v>Hồ Văn Sang</v>
          </cell>
          <cell r="E1121" t="str">
            <v>Production</v>
          </cell>
          <cell r="F1121" t="str">
            <v>Die cut</v>
          </cell>
          <cell r="G1121" t="str">
            <v>Worker</v>
          </cell>
          <cell r="H1121">
            <v>45910</v>
          </cell>
          <cell r="I1121">
            <v>8</v>
          </cell>
          <cell r="J1121">
            <v>8</v>
          </cell>
          <cell r="K1121">
            <v>8</v>
          </cell>
          <cell r="L1121" t="str">
            <v>CN</v>
          </cell>
          <cell r="M1121" t="str">
            <v>Đ</v>
          </cell>
          <cell r="N1121" t="str">
            <v>AL8</v>
          </cell>
          <cell r="O1121" t="str">
            <v>Đ</v>
          </cell>
          <cell r="P1121" t="str">
            <v>UP8</v>
          </cell>
          <cell r="Q1121" t="str">
            <v>UP8</v>
          </cell>
          <cell r="R1121" t="str">
            <v>UP8</v>
          </cell>
          <cell r="S1121" t="str">
            <v>CN</v>
          </cell>
          <cell r="T1121" t="str">
            <v>AL8</v>
          </cell>
          <cell r="U1121">
            <v>8</v>
          </cell>
          <cell r="V1121" t="str">
            <v>UP8</v>
          </cell>
          <cell r="W1121">
            <v>8</v>
          </cell>
          <cell r="X1121">
            <v>8</v>
          </cell>
          <cell r="Y1121">
            <v>8</v>
          </cell>
          <cell r="Z1121" t="str">
            <v>CN</v>
          </cell>
          <cell r="AA1121" t="str">
            <v>Đ</v>
          </cell>
          <cell r="AB1121" t="str">
            <v>Đ</v>
          </cell>
          <cell r="AC1121" t="str">
            <v>UP8</v>
          </cell>
          <cell r="AD1121" t="str">
            <v>UP8</v>
          </cell>
          <cell r="AE1121" t="str">
            <v>UP4Đ</v>
          </cell>
          <cell r="AF1121" t="str">
            <v>UP8</v>
          </cell>
          <cell r="AG1121" t="str">
            <v>CN</v>
          </cell>
          <cell r="AH1121" t="str">
            <v>UP8</v>
          </cell>
          <cell r="AI1121" t="str">
            <v>UP8</v>
          </cell>
          <cell r="AJ1121" t="str">
            <v>UP8</v>
          </cell>
          <cell r="AN1121">
            <v>36</v>
          </cell>
          <cell r="AO1121">
            <v>56</v>
          </cell>
          <cell r="AP1121">
            <v>0</v>
          </cell>
          <cell r="AQ1121">
            <v>0</v>
          </cell>
          <cell r="AR1121">
            <v>0</v>
          </cell>
          <cell r="AS1121">
            <v>80</v>
          </cell>
          <cell r="AT1121">
            <v>0</v>
          </cell>
          <cell r="AU1121">
            <v>0</v>
          </cell>
          <cell r="AV1121">
            <v>0</v>
          </cell>
          <cell r="AW1121">
            <v>0</v>
          </cell>
          <cell r="AX1121">
            <v>0</v>
          </cell>
          <cell r="AY1121">
            <v>0</v>
          </cell>
          <cell r="AZ1121">
            <v>0</v>
          </cell>
          <cell r="BA1121">
            <v>16</v>
          </cell>
          <cell r="BB1121">
            <v>0</v>
          </cell>
          <cell r="BC1121">
            <v>0</v>
          </cell>
          <cell r="BD1121">
            <v>0</v>
          </cell>
          <cell r="BE1121">
            <v>0</v>
          </cell>
          <cell r="BF1121">
            <v>0</v>
          </cell>
          <cell r="BG1121">
            <v>108</v>
          </cell>
          <cell r="BH1121">
            <v>2</v>
          </cell>
          <cell r="BI1121">
            <v>2</v>
          </cell>
          <cell r="BJ1121">
            <v>0</v>
          </cell>
          <cell r="BL1121">
            <v>0</v>
          </cell>
          <cell r="BM1121">
            <v>0</v>
          </cell>
          <cell r="BN1121">
            <v>0</v>
          </cell>
          <cell r="BO1121">
            <v>0</v>
          </cell>
          <cell r="BP1121">
            <v>1.5</v>
          </cell>
          <cell r="BQ1121">
            <v>0</v>
          </cell>
          <cell r="BR1121">
            <v>0</v>
          </cell>
          <cell r="BS1121">
            <v>0</v>
          </cell>
          <cell r="BT1121">
            <v>0</v>
          </cell>
          <cell r="BU1121">
            <v>0</v>
          </cell>
          <cell r="BV1121">
            <v>0</v>
          </cell>
          <cell r="BW1121">
            <v>0</v>
          </cell>
          <cell r="BX1121">
            <v>0</v>
          </cell>
          <cell r="BY1121">
            <v>0</v>
          </cell>
          <cell r="BZ1121">
            <v>0</v>
          </cell>
          <cell r="CA1121">
            <v>0</v>
          </cell>
          <cell r="CB1121">
            <v>3</v>
          </cell>
          <cell r="CC1121">
            <v>8</v>
          </cell>
          <cell r="CD1121">
            <v>4</v>
          </cell>
          <cell r="CE1121">
            <v>4</v>
          </cell>
          <cell r="CF1121">
            <v>0</v>
          </cell>
          <cell r="CG1121">
            <v>0</v>
          </cell>
          <cell r="CH1121">
            <v>0</v>
          </cell>
          <cell r="CI1121">
            <v>0</v>
          </cell>
          <cell r="CJ1121">
            <v>0</v>
          </cell>
          <cell r="CK1121">
            <v>0</v>
          </cell>
          <cell r="CL1121">
            <v>0</v>
          </cell>
          <cell r="CM1121">
            <v>0</v>
          </cell>
          <cell r="CR1121">
            <v>0</v>
          </cell>
          <cell r="CS1121">
            <v>0</v>
          </cell>
          <cell r="CT1121">
            <v>12.5</v>
          </cell>
          <cell r="CU1121">
            <v>8</v>
          </cell>
          <cell r="CV1121">
            <v>0</v>
          </cell>
          <cell r="CZ1121">
            <v>20.5</v>
          </cell>
        </row>
        <row r="1122">
          <cell r="C1122" t="str">
            <v>04790</v>
          </cell>
          <cell r="D1122" t="str">
            <v>Trần Tấn Quốc</v>
          </cell>
          <cell r="E1122" t="str">
            <v>Production</v>
          </cell>
          <cell r="F1122" t="str">
            <v>Molding</v>
          </cell>
          <cell r="G1122" t="str">
            <v>Worker</v>
          </cell>
          <cell r="H1122">
            <v>45910</v>
          </cell>
          <cell r="I1122">
            <v>8</v>
          </cell>
          <cell r="J1122">
            <v>8</v>
          </cell>
          <cell r="K1122">
            <v>8</v>
          </cell>
          <cell r="L1122" t="str">
            <v>CN</v>
          </cell>
          <cell r="M1122">
            <v>8</v>
          </cell>
          <cell r="N1122">
            <v>8</v>
          </cell>
          <cell r="O1122">
            <v>8</v>
          </cell>
          <cell r="P1122">
            <v>8</v>
          </cell>
          <cell r="Q1122">
            <v>8</v>
          </cell>
          <cell r="R1122">
            <v>8</v>
          </cell>
          <cell r="S1122" t="str">
            <v>CN</v>
          </cell>
          <cell r="T1122">
            <v>8</v>
          </cell>
          <cell r="U1122">
            <v>8</v>
          </cell>
          <cell r="V1122">
            <v>8</v>
          </cell>
          <cell r="W1122">
            <v>8</v>
          </cell>
          <cell r="X1122">
            <v>8</v>
          </cell>
          <cell r="Y1122">
            <v>8</v>
          </cell>
          <cell r="Z1122" t="str">
            <v>CN</v>
          </cell>
          <cell r="AA1122">
            <v>8</v>
          </cell>
          <cell r="AB1122">
            <v>8</v>
          </cell>
          <cell r="AC1122">
            <v>8</v>
          </cell>
          <cell r="AD1122">
            <v>8</v>
          </cell>
          <cell r="AE1122">
            <v>8</v>
          </cell>
          <cell r="AF1122">
            <v>8</v>
          </cell>
          <cell r="AG1122" t="str">
            <v>CN</v>
          </cell>
          <cell r="AH1122">
            <v>8</v>
          </cell>
          <cell r="AI1122">
            <v>8</v>
          </cell>
          <cell r="AJ1122">
            <v>8</v>
          </cell>
          <cell r="AN1122">
            <v>0</v>
          </cell>
          <cell r="AO1122">
            <v>192</v>
          </cell>
          <cell r="AP1122">
            <v>0</v>
          </cell>
          <cell r="AQ1122">
            <v>0</v>
          </cell>
          <cell r="AR1122">
            <v>0</v>
          </cell>
          <cell r="AS1122">
            <v>0</v>
          </cell>
          <cell r="AT1122">
            <v>0</v>
          </cell>
          <cell r="AU1122">
            <v>0</v>
          </cell>
          <cell r="AV1122">
            <v>0</v>
          </cell>
          <cell r="AW1122">
            <v>0</v>
          </cell>
          <cell r="AX1122">
            <v>0</v>
          </cell>
          <cell r="AY1122">
            <v>0</v>
          </cell>
          <cell r="AZ1122">
            <v>0</v>
          </cell>
          <cell r="BA1122">
            <v>0</v>
          </cell>
          <cell r="BB1122">
            <v>0</v>
          </cell>
          <cell r="BC1122">
            <v>0</v>
          </cell>
          <cell r="BD1122">
            <v>0</v>
          </cell>
          <cell r="BE1122">
            <v>0</v>
          </cell>
          <cell r="BF1122">
            <v>0</v>
          </cell>
          <cell r="BG1122">
            <v>192</v>
          </cell>
          <cell r="BH1122">
            <v>0</v>
          </cell>
          <cell r="BI1122">
            <v>0</v>
          </cell>
          <cell r="BJ1122">
            <v>2</v>
          </cell>
          <cell r="BL1122">
            <v>4</v>
          </cell>
          <cell r="BM1122">
            <v>4</v>
          </cell>
          <cell r="BN1122">
            <v>0</v>
          </cell>
          <cell r="BO1122">
            <v>0</v>
          </cell>
          <cell r="BP1122">
            <v>0</v>
          </cell>
          <cell r="BQ1122">
            <v>0</v>
          </cell>
          <cell r="BR1122">
            <v>0</v>
          </cell>
          <cell r="BS1122">
            <v>0</v>
          </cell>
          <cell r="BT1122">
            <v>0</v>
          </cell>
          <cell r="BU1122">
            <v>0</v>
          </cell>
          <cell r="BV1122">
            <v>0</v>
          </cell>
          <cell r="BW1122">
            <v>0</v>
          </cell>
          <cell r="BX1122">
            <v>4</v>
          </cell>
          <cell r="BY1122">
            <v>0</v>
          </cell>
          <cell r="BZ1122">
            <v>0</v>
          </cell>
          <cell r="CA1122">
            <v>0</v>
          </cell>
          <cell r="CB1122">
            <v>0</v>
          </cell>
          <cell r="CC1122">
            <v>0</v>
          </cell>
          <cell r="CD1122">
            <v>0</v>
          </cell>
          <cell r="CE1122">
            <v>0</v>
          </cell>
          <cell r="CF1122">
            <v>0</v>
          </cell>
          <cell r="CG1122">
            <v>4</v>
          </cell>
          <cell r="CH1122">
            <v>4</v>
          </cell>
          <cell r="CI1122">
            <v>4</v>
          </cell>
          <cell r="CJ1122">
            <v>0</v>
          </cell>
          <cell r="CK1122">
            <v>0</v>
          </cell>
          <cell r="CL1122">
            <v>0</v>
          </cell>
          <cell r="CM1122">
            <v>4</v>
          </cell>
          <cell r="CR1122">
            <v>0</v>
          </cell>
          <cell r="CS1122">
            <v>0</v>
          </cell>
          <cell r="CT1122">
            <v>28</v>
          </cell>
          <cell r="CU1122">
            <v>0</v>
          </cell>
          <cell r="CV1122">
            <v>0</v>
          </cell>
          <cell r="CZ1122">
            <v>28</v>
          </cell>
        </row>
        <row r="1123">
          <cell r="C1123" t="str">
            <v>04791</v>
          </cell>
          <cell r="D1123" t="str">
            <v>Nguyễn Văn Đủ</v>
          </cell>
          <cell r="E1123" t="str">
            <v>Production</v>
          </cell>
          <cell r="F1123" t="str">
            <v>Molding</v>
          </cell>
          <cell r="G1123" t="str">
            <v>Worker</v>
          </cell>
          <cell r="H1123">
            <v>45910</v>
          </cell>
          <cell r="I1123">
            <v>8</v>
          </cell>
          <cell r="J1123">
            <v>8</v>
          </cell>
          <cell r="K1123">
            <v>8</v>
          </cell>
          <cell r="L1123" t="str">
            <v>CN</v>
          </cell>
          <cell r="M1123">
            <v>8</v>
          </cell>
          <cell r="N1123">
            <v>8</v>
          </cell>
          <cell r="O1123" t="str">
            <v>UP8</v>
          </cell>
          <cell r="P1123" t="str">
            <v>UP8</v>
          </cell>
          <cell r="Q1123" t="str">
            <v>UP8</v>
          </cell>
          <cell r="R1123" t="str">
            <v>UP8</v>
          </cell>
          <cell r="S1123" t="str">
            <v>CN</v>
          </cell>
          <cell r="T1123" t="str">
            <v>UP8</v>
          </cell>
          <cell r="U1123" t="str">
            <v>UP8</v>
          </cell>
          <cell r="V1123" t="str">
            <v>UP8</v>
          </cell>
          <cell r="W1123" t="str">
            <v>NP</v>
          </cell>
          <cell r="X1123" t="str">
            <v>NP</v>
          </cell>
          <cell r="Y1123" t="str">
            <v>NP</v>
          </cell>
          <cell r="Z1123" t="str">
            <v>CN</v>
          </cell>
          <cell r="AA1123" t="str">
            <v>NP</v>
          </cell>
          <cell r="AB1123" t="str">
            <v>NP</v>
          </cell>
          <cell r="AC1123" t="str">
            <v>TV</v>
          </cell>
          <cell r="AD1123" t="str">
            <v>TV</v>
          </cell>
          <cell r="AE1123" t="str">
            <v>TV</v>
          </cell>
          <cell r="AF1123" t="str">
            <v>TV</v>
          </cell>
          <cell r="AG1123" t="str">
            <v>TV</v>
          </cell>
          <cell r="AH1123" t="str">
            <v>TV</v>
          </cell>
          <cell r="AI1123" t="str">
            <v>TV</v>
          </cell>
          <cell r="AJ1123" t="str">
            <v>TV</v>
          </cell>
          <cell r="AN1123">
            <v>0</v>
          </cell>
          <cell r="AO1123">
            <v>40</v>
          </cell>
          <cell r="AP1123">
            <v>0</v>
          </cell>
          <cell r="AQ1123">
            <v>0</v>
          </cell>
          <cell r="AR1123">
            <v>0</v>
          </cell>
          <cell r="AS1123">
            <v>56</v>
          </cell>
          <cell r="AT1123">
            <v>5</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40</v>
          </cell>
          <cell r="BH1123">
            <v>0</v>
          </cell>
          <cell r="BI1123">
            <v>0</v>
          </cell>
          <cell r="BJ1123">
            <v>0</v>
          </cell>
          <cell r="BL1123">
            <v>0</v>
          </cell>
          <cell r="BM1123">
            <v>0</v>
          </cell>
          <cell r="BN1123">
            <v>0</v>
          </cell>
          <cell r="BO1123">
            <v>0</v>
          </cell>
          <cell r="BP1123">
            <v>0</v>
          </cell>
          <cell r="BQ1123">
            <v>0</v>
          </cell>
          <cell r="BR1123">
            <v>0</v>
          </cell>
          <cell r="BS1123">
            <v>0</v>
          </cell>
          <cell r="BT1123">
            <v>0</v>
          </cell>
          <cell r="BU1123">
            <v>0</v>
          </cell>
          <cell r="BV1123">
            <v>0</v>
          </cell>
          <cell r="BW1123">
            <v>0</v>
          </cell>
          <cell r="BX1123">
            <v>0</v>
          </cell>
          <cell r="BY1123">
            <v>0</v>
          </cell>
          <cell r="BZ1123">
            <v>0</v>
          </cell>
          <cell r="CA1123">
            <v>0</v>
          </cell>
          <cell r="CB1123">
            <v>0</v>
          </cell>
          <cell r="CC1123">
            <v>0</v>
          </cell>
          <cell r="CD1123">
            <v>0</v>
          </cell>
          <cell r="CE1123">
            <v>0</v>
          </cell>
          <cell r="CF1123">
            <v>0</v>
          </cell>
          <cell r="CG1123">
            <v>0</v>
          </cell>
          <cell r="CH1123">
            <v>0</v>
          </cell>
          <cell r="CI1123">
            <v>0</v>
          </cell>
          <cell r="CJ1123">
            <v>0</v>
          </cell>
          <cell r="CK1123">
            <v>0</v>
          </cell>
          <cell r="CL1123">
            <v>0</v>
          </cell>
          <cell r="CM1123">
            <v>0</v>
          </cell>
          <cell r="CR1123">
            <v>0</v>
          </cell>
          <cell r="CS1123">
            <v>0</v>
          </cell>
          <cell r="CT1123">
            <v>0</v>
          </cell>
          <cell r="CU1123">
            <v>0</v>
          </cell>
          <cell r="CV1123">
            <v>0</v>
          </cell>
          <cell r="CZ1123">
            <v>0</v>
          </cell>
        </row>
        <row r="1124">
          <cell r="C1124" t="str">
            <v>04792</v>
          </cell>
          <cell r="D1124" t="str">
            <v>Nguyễn Hữu Hảo</v>
          </cell>
          <cell r="E1124" t="str">
            <v>Production</v>
          </cell>
          <cell r="F1124" t="str">
            <v>Molding</v>
          </cell>
          <cell r="G1124" t="str">
            <v>Worker</v>
          </cell>
          <cell r="H1124">
            <v>45911</v>
          </cell>
          <cell r="I1124" t="str">
            <v>Đ</v>
          </cell>
          <cell r="J1124" t="str">
            <v>Đ</v>
          </cell>
          <cell r="K1124" t="str">
            <v>Đ</v>
          </cell>
          <cell r="L1124" t="str">
            <v>CN</v>
          </cell>
          <cell r="M1124">
            <v>8</v>
          </cell>
          <cell r="N1124">
            <v>8</v>
          </cell>
          <cell r="O1124">
            <v>8</v>
          </cell>
          <cell r="P1124">
            <v>8</v>
          </cell>
          <cell r="Q1124">
            <v>8</v>
          </cell>
          <cell r="R1124">
            <v>8</v>
          </cell>
          <cell r="S1124" t="str">
            <v>CN</v>
          </cell>
          <cell r="T1124" t="str">
            <v>Đ</v>
          </cell>
          <cell r="U1124" t="str">
            <v>Đ</v>
          </cell>
          <cell r="V1124" t="str">
            <v>AL8</v>
          </cell>
          <cell r="W1124" t="str">
            <v>Đ</v>
          </cell>
          <cell r="X1124" t="str">
            <v>Đ</v>
          </cell>
          <cell r="Y1124" t="str">
            <v>Đ</v>
          </cell>
          <cell r="Z1124" t="str">
            <v>CN</v>
          </cell>
          <cell r="AA1124">
            <v>8</v>
          </cell>
          <cell r="AB1124">
            <v>8</v>
          </cell>
          <cell r="AC1124">
            <v>8</v>
          </cell>
          <cell r="AD1124">
            <v>8</v>
          </cell>
          <cell r="AE1124">
            <v>8</v>
          </cell>
          <cell r="AF1124">
            <v>8</v>
          </cell>
          <cell r="AG1124" t="str">
            <v>CN</v>
          </cell>
          <cell r="AH1124" t="str">
            <v>Đ</v>
          </cell>
          <cell r="AI1124" t="str">
            <v>Đ</v>
          </cell>
          <cell r="AJ1124" t="str">
            <v>Đ</v>
          </cell>
          <cell r="AN1124">
            <v>88</v>
          </cell>
          <cell r="AO1124">
            <v>96</v>
          </cell>
          <cell r="AP1124">
            <v>0</v>
          </cell>
          <cell r="AQ1124">
            <v>0</v>
          </cell>
          <cell r="AR1124">
            <v>0</v>
          </cell>
          <cell r="AS1124">
            <v>0</v>
          </cell>
          <cell r="AT1124">
            <v>0</v>
          </cell>
          <cell r="AU1124">
            <v>0</v>
          </cell>
          <cell r="AV1124">
            <v>0</v>
          </cell>
          <cell r="AW1124">
            <v>0</v>
          </cell>
          <cell r="AX1124">
            <v>0</v>
          </cell>
          <cell r="AY1124">
            <v>0</v>
          </cell>
          <cell r="AZ1124">
            <v>0</v>
          </cell>
          <cell r="BA1124">
            <v>8</v>
          </cell>
          <cell r="BB1124">
            <v>0</v>
          </cell>
          <cell r="BC1124">
            <v>0</v>
          </cell>
          <cell r="BD1124">
            <v>0</v>
          </cell>
          <cell r="BE1124">
            <v>0</v>
          </cell>
          <cell r="BF1124">
            <v>0</v>
          </cell>
          <cell r="BG1124">
            <v>192</v>
          </cell>
          <cell r="BH1124">
            <v>1</v>
          </cell>
          <cell r="BI1124">
            <v>1</v>
          </cell>
          <cell r="BJ1124">
            <v>0</v>
          </cell>
          <cell r="BL1124">
            <v>4</v>
          </cell>
          <cell r="BM1124">
            <v>0</v>
          </cell>
          <cell r="BN1124">
            <v>0</v>
          </cell>
          <cell r="BO1124">
            <v>0</v>
          </cell>
          <cell r="BP1124">
            <v>0</v>
          </cell>
          <cell r="BQ1124">
            <v>4</v>
          </cell>
          <cell r="BR1124">
            <v>0</v>
          </cell>
          <cell r="BS1124">
            <v>4</v>
          </cell>
          <cell r="BT1124">
            <v>4</v>
          </cell>
          <cell r="BU1124">
            <v>0</v>
          </cell>
          <cell r="BV1124">
            <v>0</v>
          </cell>
          <cell r="BW1124">
            <v>0</v>
          </cell>
          <cell r="BX1124">
            <v>0</v>
          </cell>
          <cell r="BY1124">
            <v>0</v>
          </cell>
          <cell r="BZ1124">
            <v>0</v>
          </cell>
          <cell r="CA1124">
            <v>0</v>
          </cell>
          <cell r="CB1124">
            <v>4</v>
          </cell>
          <cell r="CC1124">
            <v>0</v>
          </cell>
          <cell r="CD1124">
            <v>4</v>
          </cell>
          <cell r="CE1124">
            <v>4</v>
          </cell>
          <cell r="CF1124">
            <v>0</v>
          </cell>
          <cell r="CG1124">
            <v>0</v>
          </cell>
          <cell r="CH1124">
            <v>0</v>
          </cell>
          <cell r="CI1124">
            <v>4</v>
          </cell>
          <cell r="CJ1124">
            <v>12</v>
          </cell>
          <cell r="CK1124">
            <v>0</v>
          </cell>
          <cell r="CL1124">
            <v>0</v>
          </cell>
          <cell r="CM1124">
            <v>0</v>
          </cell>
          <cell r="CR1124">
            <v>0</v>
          </cell>
          <cell r="CS1124">
            <v>0</v>
          </cell>
          <cell r="CT1124">
            <v>32</v>
          </cell>
          <cell r="CU1124">
            <v>12</v>
          </cell>
          <cell r="CV1124">
            <v>0</v>
          </cell>
          <cell r="CZ1124">
            <v>44</v>
          </cell>
        </row>
        <row r="1125">
          <cell r="C1125" t="str">
            <v>04794</v>
          </cell>
          <cell r="D1125" t="str">
            <v>Bùi Công Tính</v>
          </cell>
          <cell r="E1125" t="str">
            <v>Production</v>
          </cell>
          <cell r="F1125" t="str">
            <v>Molding</v>
          </cell>
          <cell r="G1125" t="str">
            <v>Worker</v>
          </cell>
          <cell r="H1125">
            <v>45915</v>
          </cell>
          <cell r="I1125">
            <v>8</v>
          </cell>
          <cell r="J1125">
            <v>8</v>
          </cell>
          <cell r="K1125">
            <v>8</v>
          </cell>
          <cell r="L1125" t="str">
            <v>CN</v>
          </cell>
          <cell r="M1125" t="str">
            <v>Đ</v>
          </cell>
          <cell r="N1125" t="str">
            <v>Đ</v>
          </cell>
          <cell r="O1125" t="str">
            <v>Đ</v>
          </cell>
          <cell r="P1125" t="str">
            <v>Đ</v>
          </cell>
          <cell r="Q1125" t="str">
            <v>Đ</v>
          </cell>
          <cell r="R1125" t="str">
            <v>Đ</v>
          </cell>
          <cell r="S1125" t="str">
            <v>CN</v>
          </cell>
          <cell r="T1125">
            <v>8</v>
          </cell>
          <cell r="U1125" t="str">
            <v>AL8</v>
          </cell>
          <cell r="V1125">
            <v>8</v>
          </cell>
          <cell r="W1125">
            <v>8</v>
          </cell>
          <cell r="X1125" t="str">
            <v>AL4</v>
          </cell>
          <cell r="Y1125">
            <v>8</v>
          </cell>
          <cell r="Z1125" t="str">
            <v>CN</v>
          </cell>
          <cell r="AA1125" t="str">
            <v>Đ</v>
          </cell>
          <cell r="AB1125" t="str">
            <v>Đ</v>
          </cell>
          <cell r="AC1125" t="str">
            <v>Đ</v>
          </cell>
          <cell r="AD1125" t="str">
            <v>Đ</v>
          </cell>
          <cell r="AE1125" t="str">
            <v>Đ</v>
          </cell>
          <cell r="AF1125" t="str">
            <v>Đ</v>
          </cell>
          <cell r="AG1125" t="str">
            <v>CN</v>
          </cell>
          <cell r="AH1125">
            <v>8</v>
          </cell>
          <cell r="AI1125">
            <v>8</v>
          </cell>
          <cell r="AJ1125">
            <v>8</v>
          </cell>
          <cell r="AN1125">
            <v>96</v>
          </cell>
          <cell r="AO1125">
            <v>84</v>
          </cell>
          <cell r="AP1125">
            <v>4</v>
          </cell>
          <cell r="AQ1125">
            <v>0</v>
          </cell>
          <cell r="AR1125">
            <v>0</v>
          </cell>
          <cell r="AS1125">
            <v>0</v>
          </cell>
          <cell r="AT1125">
            <v>0</v>
          </cell>
          <cell r="AU1125">
            <v>0</v>
          </cell>
          <cell r="AV1125">
            <v>0</v>
          </cell>
          <cell r="AW1125">
            <v>0</v>
          </cell>
          <cell r="AX1125">
            <v>0</v>
          </cell>
          <cell r="AY1125">
            <v>0</v>
          </cell>
          <cell r="AZ1125">
            <v>0</v>
          </cell>
          <cell r="BA1125">
            <v>12</v>
          </cell>
          <cell r="BB1125">
            <v>0</v>
          </cell>
          <cell r="BC1125">
            <v>0</v>
          </cell>
          <cell r="BD1125">
            <v>0</v>
          </cell>
          <cell r="BE1125">
            <v>0</v>
          </cell>
          <cell r="BF1125">
            <v>0</v>
          </cell>
          <cell r="BG1125">
            <v>192</v>
          </cell>
          <cell r="BH1125">
            <v>1.5</v>
          </cell>
          <cell r="BI1125">
            <v>1.5</v>
          </cell>
          <cell r="BJ1125">
            <v>-1.5</v>
          </cell>
          <cell r="BL1125">
            <v>0</v>
          </cell>
          <cell r="BM1125">
            <v>0</v>
          </cell>
          <cell r="BN1125">
            <v>0</v>
          </cell>
          <cell r="BO1125">
            <v>0</v>
          </cell>
          <cell r="BP1125">
            <v>0</v>
          </cell>
          <cell r="BQ1125">
            <v>0</v>
          </cell>
          <cell r="BR1125">
            <v>0</v>
          </cell>
          <cell r="BS1125">
            <v>0</v>
          </cell>
          <cell r="BT1125">
            <v>2.5</v>
          </cell>
          <cell r="BU1125">
            <v>2.5</v>
          </cell>
          <cell r="BV1125">
            <v>0</v>
          </cell>
          <cell r="BW1125">
            <v>0</v>
          </cell>
          <cell r="BX1125">
            <v>0</v>
          </cell>
          <cell r="BY1125">
            <v>0</v>
          </cell>
          <cell r="BZ1125">
            <v>0</v>
          </cell>
          <cell r="CA1125">
            <v>0</v>
          </cell>
          <cell r="CB1125">
            <v>0</v>
          </cell>
          <cell r="CC1125">
            <v>0</v>
          </cell>
          <cell r="CD1125">
            <v>0</v>
          </cell>
          <cell r="CE1125">
            <v>0</v>
          </cell>
          <cell r="CF1125">
            <v>4</v>
          </cell>
          <cell r="CG1125">
            <v>0</v>
          </cell>
          <cell r="CH1125">
            <v>0</v>
          </cell>
          <cell r="CI1125">
            <v>0</v>
          </cell>
          <cell r="CJ1125">
            <v>0</v>
          </cell>
          <cell r="CK1125">
            <v>0</v>
          </cell>
          <cell r="CL1125">
            <v>0</v>
          </cell>
          <cell r="CM1125">
            <v>0</v>
          </cell>
          <cell r="CR1125">
            <v>0</v>
          </cell>
          <cell r="CS1125">
            <v>0</v>
          </cell>
          <cell r="CT1125">
            <v>9</v>
          </cell>
          <cell r="CU1125">
            <v>0</v>
          </cell>
          <cell r="CV1125">
            <v>0</v>
          </cell>
          <cell r="CZ1125">
            <v>9</v>
          </cell>
        </row>
        <row r="1126">
          <cell r="C1126" t="str">
            <v>04795</v>
          </cell>
          <cell r="D1126" t="str">
            <v>Trần Quốc Đấu</v>
          </cell>
          <cell r="E1126" t="str">
            <v>Production</v>
          </cell>
          <cell r="F1126" t="str">
            <v>Molding</v>
          </cell>
          <cell r="G1126" t="str">
            <v>Worker</v>
          </cell>
          <cell r="H1126">
            <v>45915</v>
          </cell>
          <cell r="I1126" t="str">
            <v>Đ</v>
          </cell>
          <cell r="J1126" t="str">
            <v>Đ</v>
          </cell>
          <cell r="K1126" t="str">
            <v>Đ</v>
          </cell>
          <cell r="L1126" t="str">
            <v>CN</v>
          </cell>
          <cell r="M1126">
            <v>8</v>
          </cell>
          <cell r="N1126">
            <v>8</v>
          </cell>
          <cell r="O1126">
            <v>8</v>
          </cell>
          <cell r="P1126">
            <v>8</v>
          </cell>
          <cell r="Q1126">
            <v>8</v>
          </cell>
          <cell r="R1126">
            <v>8</v>
          </cell>
          <cell r="S1126" t="str">
            <v>CN</v>
          </cell>
          <cell r="T1126" t="str">
            <v>Đ</v>
          </cell>
          <cell r="U1126" t="str">
            <v>Đ</v>
          </cell>
          <cell r="V1126" t="str">
            <v>Đ</v>
          </cell>
          <cell r="W1126" t="str">
            <v>Đ</v>
          </cell>
          <cell r="X1126" t="str">
            <v>Đ</v>
          </cell>
          <cell r="Y1126" t="str">
            <v>Đ</v>
          </cell>
          <cell r="Z1126" t="str">
            <v>CN</v>
          </cell>
          <cell r="AA1126">
            <v>8</v>
          </cell>
          <cell r="AB1126">
            <v>8</v>
          </cell>
          <cell r="AC1126">
            <v>8</v>
          </cell>
          <cell r="AD1126">
            <v>8</v>
          </cell>
          <cell r="AE1126">
            <v>8</v>
          </cell>
          <cell r="AF1126">
            <v>8</v>
          </cell>
          <cell r="AG1126" t="str">
            <v>CN</v>
          </cell>
          <cell r="AH1126" t="str">
            <v>Đ</v>
          </cell>
          <cell r="AI1126" t="str">
            <v>Đ</v>
          </cell>
          <cell r="AJ1126" t="str">
            <v>Đ</v>
          </cell>
          <cell r="AN1126">
            <v>96</v>
          </cell>
          <cell r="AO1126">
            <v>96</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192</v>
          </cell>
          <cell r="BH1126">
            <v>0</v>
          </cell>
          <cell r="BI1126">
            <v>0</v>
          </cell>
          <cell r="BJ1126">
            <v>2</v>
          </cell>
          <cell r="BL1126">
            <v>0</v>
          </cell>
          <cell r="BM1126">
            <v>0</v>
          </cell>
          <cell r="BN1126">
            <v>0</v>
          </cell>
          <cell r="BO1126">
            <v>0</v>
          </cell>
          <cell r="BP1126">
            <v>0</v>
          </cell>
          <cell r="BQ1126">
            <v>0</v>
          </cell>
          <cell r="BR1126">
            <v>0</v>
          </cell>
          <cell r="BS1126">
            <v>0</v>
          </cell>
          <cell r="BT1126">
            <v>4</v>
          </cell>
          <cell r="BU1126">
            <v>4</v>
          </cell>
          <cell r="BV1126">
            <v>0</v>
          </cell>
          <cell r="BW1126">
            <v>0</v>
          </cell>
          <cell r="BX1126">
            <v>0</v>
          </cell>
          <cell r="BY1126">
            <v>0</v>
          </cell>
          <cell r="BZ1126">
            <v>0</v>
          </cell>
          <cell r="CA1126">
            <v>4</v>
          </cell>
          <cell r="CB1126">
            <v>4</v>
          </cell>
          <cell r="CC1126">
            <v>0</v>
          </cell>
          <cell r="CD1126">
            <v>4</v>
          </cell>
          <cell r="CE1126">
            <v>4</v>
          </cell>
          <cell r="CF1126">
            <v>0</v>
          </cell>
          <cell r="CG1126">
            <v>0</v>
          </cell>
          <cell r="CH1126">
            <v>0</v>
          </cell>
          <cell r="CI1126">
            <v>0</v>
          </cell>
          <cell r="CJ1126">
            <v>0</v>
          </cell>
          <cell r="CK1126">
            <v>0</v>
          </cell>
          <cell r="CL1126">
            <v>4</v>
          </cell>
          <cell r="CM1126">
            <v>4</v>
          </cell>
          <cell r="CR1126">
            <v>0</v>
          </cell>
          <cell r="CS1126">
            <v>0</v>
          </cell>
          <cell r="CT1126">
            <v>32</v>
          </cell>
          <cell r="CU1126">
            <v>0</v>
          </cell>
          <cell r="CV1126">
            <v>0</v>
          </cell>
          <cell r="CZ1126">
            <v>32</v>
          </cell>
        </row>
        <row r="1127">
          <cell r="C1127" t="str">
            <v>04801</v>
          </cell>
          <cell r="D1127" t="str">
            <v>Nguyễn Thị Lan Anh</v>
          </cell>
          <cell r="E1127" t="str">
            <v>Production</v>
          </cell>
          <cell r="F1127" t="str">
            <v>Packing</v>
          </cell>
          <cell r="G1127" t="str">
            <v>Worker</v>
          </cell>
          <cell r="H1127">
            <v>45915</v>
          </cell>
          <cell r="I1127">
            <v>8</v>
          </cell>
          <cell r="J1127">
            <v>8</v>
          </cell>
          <cell r="K1127">
            <v>8</v>
          </cell>
          <cell r="L1127" t="str">
            <v>CN</v>
          </cell>
          <cell r="M1127" t="str">
            <v>Đ</v>
          </cell>
          <cell r="N1127" t="str">
            <v>Đ</v>
          </cell>
          <cell r="O1127" t="str">
            <v>Đ</v>
          </cell>
          <cell r="P1127" t="str">
            <v>Đ</v>
          </cell>
          <cell r="Q1127" t="str">
            <v>Đ</v>
          </cell>
          <cell r="R1127" t="str">
            <v>Đ</v>
          </cell>
          <cell r="S1127" t="str">
            <v>CN</v>
          </cell>
          <cell r="T1127">
            <v>8</v>
          </cell>
          <cell r="U1127">
            <v>8</v>
          </cell>
          <cell r="V1127">
            <v>8</v>
          </cell>
          <cell r="W1127">
            <v>8</v>
          </cell>
          <cell r="X1127">
            <v>8</v>
          </cell>
          <cell r="Y1127">
            <v>8</v>
          </cell>
          <cell r="Z1127" t="str">
            <v>CN</v>
          </cell>
          <cell r="AA1127" t="str">
            <v>Đ</v>
          </cell>
          <cell r="AB1127" t="str">
            <v>Đ</v>
          </cell>
          <cell r="AC1127" t="str">
            <v>Đ</v>
          </cell>
          <cell r="AD1127" t="str">
            <v>Đ</v>
          </cell>
          <cell r="AE1127" t="str">
            <v>Đ</v>
          </cell>
          <cell r="AF1127" t="str">
            <v>Đ</v>
          </cell>
          <cell r="AG1127" t="str">
            <v>CN</v>
          </cell>
          <cell r="AH1127">
            <v>8</v>
          </cell>
          <cell r="AI1127">
            <v>8</v>
          </cell>
          <cell r="AJ1127">
            <v>8</v>
          </cell>
          <cell r="AN1127">
            <v>96</v>
          </cell>
          <cell r="AO1127">
            <v>96</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192</v>
          </cell>
          <cell r="BH1127">
            <v>0</v>
          </cell>
          <cell r="BI1127">
            <v>0</v>
          </cell>
          <cell r="BJ1127">
            <v>1</v>
          </cell>
          <cell r="BL1127">
            <v>1.5</v>
          </cell>
          <cell r="BM1127">
            <v>1.5</v>
          </cell>
          <cell r="BN1127">
            <v>0</v>
          </cell>
          <cell r="BO1127">
            <v>0</v>
          </cell>
          <cell r="BP1127">
            <v>1.5</v>
          </cell>
          <cell r="BQ1127">
            <v>0</v>
          </cell>
          <cell r="BR1127">
            <v>0</v>
          </cell>
          <cell r="BS1127">
            <v>4</v>
          </cell>
          <cell r="BT1127">
            <v>0</v>
          </cell>
          <cell r="BU1127">
            <v>4</v>
          </cell>
          <cell r="BV1127">
            <v>0</v>
          </cell>
          <cell r="BW1127">
            <v>3</v>
          </cell>
          <cell r="BX1127">
            <v>3</v>
          </cell>
          <cell r="BY1127">
            <v>3</v>
          </cell>
          <cell r="BZ1127">
            <v>3</v>
          </cell>
          <cell r="CA1127">
            <v>3</v>
          </cell>
          <cell r="CB1127">
            <v>3</v>
          </cell>
          <cell r="CC1127">
            <v>8</v>
          </cell>
          <cell r="CD1127">
            <v>4</v>
          </cell>
          <cell r="CE1127">
            <v>4</v>
          </cell>
          <cell r="CF1127">
            <v>4</v>
          </cell>
          <cell r="CG1127">
            <v>4</v>
          </cell>
          <cell r="CH1127">
            <v>4</v>
          </cell>
          <cell r="CI1127">
            <v>4</v>
          </cell>
          <cell r="CJ1127">
            <v>0</v>
          </cell>
          <cell r="CK1127">
            <v>3</v>
          </cell>
          <cell r="CL1127">
            <v>3</v>
          </cell>
          <cell r="CM1127">
            <v>0</v>
          </cell>
          <cell r="CR1127">
            <v>0</v>
          </cell>
          <cell r="CS1127">
            <v>0</v>
          </cell>
          <cell r="CT1127">
            <v>60.5</v>
          </cell>
          <cell r="CU1127">
            <v>8</v>
          </cell>
          <cell r="CV1127">
            <v>0</v>
          </cell>
          <cell r="CZ1127">
            <v>68.5</v>
          </cell>
        </row>
        <row r="1128">
          <cell r="C1128" t="str">
            <v>04803</v>
          </cell>
          <cell r="D1128" t="str">
            <v>Thạch Thị Thảo</v>
          </cell>
          <cell r="E1128" t="str">
            <v>Production</v>
          </cell>
          <cell r="F1128" t="str">
            <v>Logo</v>
          </cell>
          <cell r="G1128" t="str">
            <v>Worker</v>
          </cell>
          <cell r="H1128">
            <v>45915</v>
          </cell>
          <cell r="I1128">
            <v>8</v>
          </cell>
          <cell r="J1128">
            <v>8</v>
          </cell>
          <cell r="K1128">
            <v>8</v>
          </cell>
          <cell r="L1128" t="str">
            <v>CN</v>
          </cell>
          <cell r="M1128" t="str">
            <v>Đ</v>
          </cell>
          <cell r="N1128" t="str">
            <v>Đ</v>
          </cell>
          <cell r="O1128" t="str">
            <v>Đ</v>
          </cell>
          <cell r="P1128" t="str">
            <v>Đ</v>
          </cell>
          <cell r="Q1128" t="str">
            <v>Đ</v>
          </cell>
          <cell r="R1128" t="str">
            <v>AL8</v>
          </cell>
          <cell r="S1128" t="str">
            <v>CN</v>
          </cell>
          <cell r="T1128">
            <v>8</v>
          </cell>
          <cell r="U1128">
            <v>8</v>
          </cell>
          <cell r="V1128">
            <v>8</v>
          </cell>
          <cell r="W1128">
            <v>8</v>
          </cell>
          <cell r="X1128">
            <v>8</v>
          </cell>
          <cell r="Y1128">
            <v>8</v>
          </cell>
          <cell r="Z1128" t="str">
            <v>CN</v>
          </cell>
          <cell r="AA1128" t="str">
            <v>Đ</v>
          </cell>
          <cell r="AB1128" t="str">
            <v>Đ</v>
          </cell>
          <cell r="AC1128" t="str">
            <v>Đ</v>
          </cell>
          <cell r="AD1128" t="str">
            <v>Đ</v>
          </cell>
          <cell r="AE1128" t="str">
            <v>Đ</v>
          </cell>
          <cell r="AF1128" t="str">
            <v>Đ</v>
          </cell>
          <cell r="AG1128" t="str">
            <v>CN</v>
          </cell>
          <cell r="AH1128">
            <v>8</v>
          </cell>
          <cell r="AI1128">
            <v>8</v>
          </cell>
          <cell r="AJ1128">
            <v>8</v>
          </cell>
          <cell r="AN1128">
            <v>88</v>
          </cell>
          <cell r="AO1128">
            <v>96</v>
          </cell>
          <cell r="AP1128">
            <v>0</v>
          </cell>
          <cell r="AQ1128">
            <v>0</v>
          </cell>
          <cell r="AR1128">
            <v>0</v>
          </cell>
          <cell r="AS1128">
            <v>0</v>
          </cell>
          <cell r="AT1128">
            <v>0</v>
          </cell>
          <cell r="AU1128">
            <v>0</v>
          </cell>
          <cell r="AV1128">
            <v>0</v>
          </cell>
          <cell r="AW1128">
            <v>0</v>
          </cell>
          <cell r="AX1128">
            <v>0</v>
          </cell>
          <cell r="AY1128">
            <v>0</v>
          </cell>
          <cell r="AZ1128">
            <v>0</v>
          </cell>
          <cell r="BA1128">
            <v>8</v>
          </cell>
          <cell r="BB1128">
            <v>0</v>
          </cell>
          <cell r="BC1128">
            <v>0</v>
          </cell>
          <cell r="BD1128">
            <v>0</v>
          </cell>
          <cell r="BE1128">
            <v>0</v>
          </cell>
          <cell r="BF1128">
            <v>0</v>
          </cell>
          <cell r="BG1128">
            <v>192</v>
          </cell>
          <cell r="BH1128">
            <v>1</v>
          </cell>
          <cell r="BI1128">
            <v>1</v>
          </cell>
          <cell r="BJ1128">
            <v>-3</v>
          </cell>
          <cell r="BL1128">
            <v>1.5</v>
          </cell>
          <cell r="BM1128">
            <v>1.5</v>
          </cell>
          <cell r="BN1128">
            <v>0</v>
          </cell>
          <cell r="BO1128">
            <v>0</v>
          </cell>
          <cell r="BP1128">
            <v>1.5</v>
          </cell>
          <cell r="BQ1128">
            <v>0</v>
          </cell>
          <cell r="BR1128">
            <v>0</v>
          </cell>
          <cell r="BS1128">
            <v>4</v>
          </cell>
          <cell r="BT1128">
            <v>4</v>
          </cell>
          <cell r="BU1128">
            <v>0</v>
          </cell>
          <cell r="BV1128">
            <v>0</v>
          </cell>
          <cell r="BW1128">
            <v>0</v>
          </cell>
          <cell r="BX1128">
            <v>2</v>
          </cell>
          <cell r="BY1128">
            <v>3</v>
          </cell>
          <cell r="BZ1128">
            <v>3</v>
          </cell>
          <cell r="CA1128">
            <v>1</v>
          </cell>
          <cell r="CB1128">
            <v>3</v>
          </cell>
          <cell r="CC1128">
            <v>8</v>
          </cell>
          <cell r="CD1128">
            <v>4</v>
          </cell>
          <cell r="CE1128">
            <v>4</v>
          </cell>
          <cell r="CF1128">
            <v>4</v>
          </cell>
          <cell r="CG1128">
            <v>4</v>
          </cell>
          <cell r="CH1128">
            <v>4</v>
          </cell>
          <cell r="CI1128">
            <v>4</v>
          </cell>
          <cell r="CJ1128">
            <v>0</v>
          </cell>
          <cell r="CK1128">
            <v>3</v>
          </cell>
          <cell r="CL1128">
            <v>3</v>
          </cell>
          <cell r="CM1128">
            <v>2</v>
          </cell>
          <cell r="CR1128">
            <v>0</v>
          </cell>
          <cell r="CS1128">
            <v>0</v>
          </cell>
          <cell r="CT1128">
            <v>56.5</v>
          </cell>
          <cell r="CU1128">
            <v>8</v>
          </cell>
          <cell r="CV1128">
            <v>0</v>
          </cell>
          <cell r="CZ1128">
            <v>64.5</v>
          </cell>
        </row>
        <row r="1129">
          <cell r="C1129" t="str">
            <v>04806</v>
          </cell>
          <cell r="D1129" t="str">
            <v>Dương Hảo</v>
          </cell>
          <cell r="E1129" t="str">
            <v>Warehouse</v>
          </cell>
          <cell r="F1129" t="str">
            <v>Warehouse</v>
          </cell>
          <cell r="G1129" t="str">
            <v>Worker</v>
          </cell>
          <cell r="H1129">
            <v>45919</v>
          </cell>
          <cell r="I1129" t="str">
            <v>TV</v>
          </cell>
          <cell r="J1129" t="str">
            <v>TV</v>
          </cell>
          <cell r="K1129" t="str">
            <v>TV</v>
          </cell>
          <cell r="L1129" t="str">
            <v>TV</v>
          </cell>
          <cell r="M1129" t="str">
            <v>TV</v>
          </cell>
          <cell r="N1129" t="str">
            <v>TV</v>
          </cell>
          <cell r="O1129" t="str">
            <v>TV</v>
          </cell>
          <cell r="P1129" t="str">
            <v>TV</v>
          </cell>
          <cell r="Q1129" t="str">
            <v>TV</v>
          </cell>
          <cell r="R1129" t="str">
            <v>TV</v>
          </cell>
          <cell r="S1129" t="str">
            <v>TV</v>
          </cell>
          <cell r="T1129" t="str">
            <v>TV</v>
          </cell>
          <cell r="U1129" t="str">
            <v>TV</v>
          </cell>
          <cell r="V1129" t="str">
            <v>TV</v>
          </cell>
          <cell r="W1129" t="str">
            <v>TV</v>
          </cell>
          <cell r="X1129" t="str">
            <v>TV</v>
          </cell>
          <cell r="Y1129" t="str">
            <v>TV</v>
          </cell>
          <cell r="Z1129" t="str">
            <v>TV</v>
          </cell>
          <cell r="AA1129" t="str">
            <v>TV</v>
          </cell>
          <cell r="AB1129" t="str">
            <v>TV</v>
          </cell>
          <cell r="AC1129" t="str">
            <v>TV</v>
          </cell>
          <cell r="AD1129" t="str">
            <v>TV</v>
          </cell>
          <cell r="AE1129" t="str">
            <v>TV</v>
          </cell>
          <cell r="AF1129" t="str">
            <v>TV</v>
          </cell>
          <cell r="AG1129" t="str">
            <v>TV</v>
          </cell>
          <cell r="AH1129" t="str">
            <v>TV</v>
          </cell>
          <cell r="AI1129" t="str">
            <v>TV</v>
          </cell>
          <cell r="AJ1129" t="str">
            <v>TV</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0</v>
          </cell>
          <cell r="BI1129">
            <v>0</v>
          </cell>
          <cell r="BJ1129">
            <v>1</v>
          </cell>
          <cell r="BL1129">
            <v>0</v>
          </cell>
          <cell r="BM1129">
            <v>0</v>
          </cell>
          <cell r="BN1129">
            <v>0</v>
          </cell>
          <cell r="BO1129">
            <v>0</v>
          </cell>
          <cell r="BP1129">
            <v>0</v>
          </cell>
          <cell r="BQ1129">
            <v>0</v>
          </cell>
          <cell r="BR1129">
            <v>0</v>
          </cell>
          <cell r="BS1129">
            <v>0</v>
          </cell>
          <cell r="BT1129">
            <v>0</v>
          </cell>
          <cell r="BU1129">
            <v>0</v>
          </cell>
          <cell r="BV1129">
            <v>0</v>
          </cell>
          <cell r="BW1129">
            <v>0</v>
          </cell>
          <cell r="BX1129">
            <v>0</v>
          </cell>
          <cell r="BY1129">
            <v>0</v>
          </cell>
          <cell r="BZ1129">
            <v>0</v>
          </cell>
          <cell r="CA1129">
            <v>0</v>
          </cell>
          <cell r="CB1129">
            <v>0</v>
          </cell>
          <cell r="CC1129">
            <v>0</v>
          </cell>
          <cell r="CD1129">
            <v>0</v>
          </cell>
          <cell r="CE1129">
            <v>0</v>
          </cell>
          <cell r="CF1129">
            <v>0</v>
          </cell>
          <cell r="CG1129">
            <v>0</v>
          </cell>
          <cell r="CH1129">
            <v>0</v>
          </cell>
          <cell r="CI1129">
            <v>0</v>
          </cell>
          <cell r="CJ1129">
            <v>0</v>
          </cell>
          <cell r="CK1129">
            <v>0</v>
          </cell>
          <cell r="CL1129">
            <v>0</v>
          </cell>
          <cell r="CM1129">
            <v>0</v>
          </cell>
          <cell r="CR1129">
            <v>0</v>
          </cell>
          <cell r="CS1129">
            <v>0</v>
          </cell>
          <cell r="CT1129">
            <v>0</v>
          </cell>
          <cell r="CU1129">
            <v>0</v>
          </cell>
          <cell r="CV1129">
            <v>0</v>
          </cell>
          <cell r="CZ1129">
            <v>0</v>
          </cell>
        </row>
        <row r="1130">
          <cell r="C1130" t="str">
            <v>04807</v>
          </cell>
          <cell r="D1130" t="str">
            <v>Nguyễn Tuấn Kiệt</v>
          </cell>
          <cell r="E1130" t="str">
            <v xml:space="preserve">EHS &amp; Facilities </v>
          </cell>
          <cell r="F1130" t="str">
            <v>Facility</v>
          </cell>
          <cell r="G1130" t="str">
            <v>Technician</v>
          </cell>
          <cell r="H1130">
            <v>45922</v>
          </cell>
          <cell r="I1130">
            <v>8</v>
          </cell>
          <cell r="J1130" t="str">
            <v>AL8</v>
          </cell>
          <cell r="K1130" t="str">
            <v>PO</v>
          </cell>
          <cell r="L1130" t="str">
            <v>CN</v>
          </cell>
          <cell r="M1130">
            <v>8</v>
          </cell>
          <cell r="N1130">
            <v>8</v>
          </cell>
          <cell r="O1130">
            <v>8</v>
          </cell>
          <cell r="P1130">
            <v>8</v>
          </cell>
          <cell r="Q1130">
            <v>8</v>
          </cell>
          <cell r="R1130" t="str">
            <v>PO</v>
          </cell>
          <cell r="S1130" t="str">
            <v>CN</v>
          </cell>
          <cell r="T1130">
            <v>8</v>
          </cell>
          <cell r="U1130">
            <v>8</v>
          </cell>
          <cell r="V1130">
            <v>8</v>
          </cell>
          <cell r="W1130">
            <v>8</v>
          </cell>
          <cell r="X1130">
            <v>8</v>
          </cell>
          <cell r="Y1130" t="str">
            <v>PO</v>
          </cell>
          <cell r="Z1130" t="str">
            <v>CN</v>
          </cell>
          <cell r="AA1130">
            <v>8</v>
          </cell>
          <cell r="AB1130">
            <v>8</v>
          </cell>
          <cell r="AC1130">
            <v>8</v>
          </cell>
          <cell r="AD1130">
            <v>8</v>
          </cell>
          <cell r="AE1130" t="str">
            <v>AL4</v>
          </cell>
          <cell r="AF1130" t="str">
            <v>PO</v>
          </cell>
          <cell r="AG1130" t="str">
            <v>CN</v>
          </cell>
          <cell r="AH1130" t="str">
            <v>AL8</v>
          </cell>
          <cell r="AI1130" t="str">
            <v>AL8</v>
          </cell>
          <cell r="AJ1130" t="str">
            <v>AL8</v>
          </cell>
          <cell r="AN1130">
            <v>0</v>
          </cell>
          <cell r="AO1130">
            <v>124</v>
          </cell>
          <cell r="AP1130">
            <v>4</v>
          </cell>
          <cell r="AQ1130">
            <v>0</v>
          </cell>
          <cell r="AR1130">
            <v>0</v>
          </cell>
          <cell r="AS1130">
            <v>0</v>
          </cell>
          <cell r="AT1130">
            <v>0</v>
          </cell>
          <cell r="AU1130">
            <v>0</v>
          </cell>
          <cell r="AV1130">
            <v>32</v>
          </cell>
          <cell r="AW1130">
            <v>0</v>
          </cell>
          <cell r="AX1130">
            <v>0</v>
          </cell>
          <cell r="AY1130">
            <v>0</v>
          </cell>
          <cell r="AZ1130">
            <v>0</v>
          </cell>
          <cell r="BA1130">
            <v>36</v>
          </cell>
          <cell r="BB1130">
            <v>0</v>
          </cell>
          <cell r="BC1130">
            <v>0</v>
          </cell>
          <cell r="BD1130">
            <v>0</v>
          </cell>
          <cell r="BE1130">
            <v>0</v>
          </cell>
          <cell r="BF1130">
            <v>0</v>
          </cell>
          <cell r="BG1130">
            <v>192</v>
          </cell>
          <cell r="BH1130">
            <v>4.5</v>
          </cell>
          <cell r="BI1130">
            <v>4.5</v>
          </cell>
          <cell r="BJ1130">
            <v>0</v>
          </cell>
          <cell r="BL1130">
            <v>0</v>
          </cell>
          <cell r="BM1130">
            <v>0</v>
          </cell>
          <cell r="BN1130">
            <v>0</v>
          </cell>
          <cell r="BO1130">
            <v>0</v>
          </cell>
          <cell r="BP1130">
            <v>0</v>
          </cell>
          <cell r="BQ1130">
            <v>0</v>
          </cell>
          <cell r="BR1130">
            <v>0</v>
          </cell>
          <cell r="BS1130">
            <v>0</v>
          </cell>
          <cell r="BT1130">
            <v>0</v>
          </cell>
          <cell r="BU1130">
            <v>0</v>
          </cell>
          <cell r="BV1130">
            <v>0</v>
          </cell>
          <cell r="BW1130">
            <v>0</v>
          </cell>
          <cell r="BX1130">
            <v>0</v>
          </cell>
          <cell r="BY1130">
            <v>0</v>
          </cell>
          <cell r="BZ1130">
            <v>0</v>
          </cell>
          <cell r="CA1130">
            <v>0</v>
          </cell>
          <cell r="CB1130">
            <v>0</v>
          </cell>
          <cell r="CC1130">
            <v>0</v>
          </cell>
          <cell r="CD1130">
            <v>0</v>
          </cell>
          <cell r="CE1130">
            <v>0</v>
          </cell>
          <cell r="CF1130">
            <v>0</v>
          </cell>
          <cell r="CG1130">
            <v>0</v>
          </cell>
          <cell r="CH1130">
            <v>0</v>
          </cell>
          <cell r="CI1130">
            <v>0</v>
          </cell>
          <cell r="CJ1130">
            <v>0</v>
          </cell>
          <cell r="CK1130">
            <v>0</v>
          </cell>
          <cell r="CL1130">
            <v>0</v>
          </cell>
          <cell r="CM1130">
            <v>0</v>
          </cell>
          <cell r="CR1130">
            <v>0</v>
          </cell>
          <cell r="CS1130">
            <v>0</v>
          </cell>
          <cell r="CT1130">
            <v>0</v>
          </cell>
          <cell r="CU1130">
            <v>0</v>
          </cell>
          <cell r="CV1130">
            <v>0</v>
          </cell>
          <cell r="CZ1130">
            <v>0</v>
          </cell>
        </row>
        <row r="1131">
          <cell r="C1131" t="str">
            <v>04808</v>
          </cell>
          <cell r="D1131" t="str">
            <v>Võ Thị Chi Lý</v>
          </cell>
          <cell r="E1131" t="str">
            <v>CS</v>
          </cell>
          <cell r="F1131" t="str">
            <v>CS</v>
          </cell>
          <cell r="G1131" t="str">
            <v>Staff</v>
          </cell>
          <cell r="H1131">
            <v>45922</v>
          </cell>
          <cell r="I1131" t="str">
            <v>WH</v>
          </cell>
          <cell r="J1131" t="str">
            <v>SL</v>
          </cell>
          <cell r="K1131" t="str">
            <v>PO</v>
          </cell>
          <cell r="L1131" t="str">
            <v>CN</v>
          </cell>
          <cell r="M1131">
            <v>8</v>
          </cell>
          <cell r="N1131" t="str">
            <v>AL8</v>
          </cell>
          <cell r="O1131">
            <v>8</v>
          </cell>
          <cell r="P1131">
            <v>8</v>
          </cell>
          <cell r="Q1131">
            <v>8</v>
          </cell>
          <cell r="R1131" t="str">
            <v>PO</v>
          </cell>
          <cell r="S1131" t="str">
            <v>CN</v>
          </cell>
          <cell r="T1131">
            <v>8</v>
          </cell>
          <cell r="U1131">
            <v>8</v>
          </cell>
          <cell r="V1131">
            <v>8</v>
          </cell>
          <cell r="W1131" t="str">
            <v>WH</v>
          </cell>
          <cell r="X1131">
            <v>8</v>
          </cell>
          <cell r="Y1131" t="str">
            <v>PO</v>
          </cell>
          <cell r="Z1131" t="str">
            <v>CN</v>
          </cell>
          <cell r="AA1131">
            <v>8</v>
          </cell>
          <cell r="AB1131">
            <v>8</v>
          </cell>
          <cell r="AC1131">
            <v>8</v>
          </cell>
          <cell r="AD1131">
            <v>8</v>
          </cell>
          <cell r="AE1131">
            <v>8</v>
          </cell>
          <cell r="AF1131" t="str">
            <v>PO</v>
          </cell>
          <cell r="AG1131" t="str">
            <v>CN</v>
          </cell>
          <cell r="AH1131">
            <v>8</v>
          </cell>
          <cell r="AI1131">
            <v>8</v>
          </cell>
          <cell r="AJ1131">
            <v>8</v>
          </cell>
          <cell r="AN1131">
            <v>0</v>
          </cell>
          <cell r="AO1131">
            <v>128</v>
          </cell>
          <cell r="AP1131">
            <v>0</v>
          </cell>
          <cell r="AQ1131">
            <v>1</v>
          </cell>
          <cell r="AR1131">
            <v>0</v>
          </cell>
          <cell r="AS1131">
            <v>0</v>
          </cell>
          <cell r="AT1131">
            <v>0</v>
          </cell>
          <cell r="AU1131">
            <v>0</v>
          </cell>
          <cell r="AV1131">
            <v>32</v>
          </cell>
          <cell r="AW1131">
            <v>0</v>
          </cell>
          <cell r="AX1131">
            <v>0</v>
          </cell>
          <cell r="AY1131">
            <v>0</v>
          </cell>
          <cell r="AZ1131">
            <v>0</v>
          </cell>
          <cell r="BA1131">
            <v>8</v>
          </cell>
          <cell r="BB1131">
            <v>0</v>
          </cell>
          <cell r="BC1131">
            <v>0</v>
          </cell>
          <cell r="BD1131">
            <v>16</v>
          </cell>
          <cell r="BE1131">
            <v>0</v>
          </cell>
          <cell r="BF1131">
            <v>0</v>
          </cell>
          <cell r="BG1131">
            <v>184</v>
          </cell>
          <cell r="BH1131">
            <v>1</v>
          </cell>
          <cell r="BI1131">
            <v>1</v>
          </cell>
          <cell r="BJ1131">
            <v>0.5</v>
          </cell>
          <cell r="BL1131">
            <v>0</v>
          </cell>
          <cell r="BM1131">
            <v>0</v>
          </cell>
          <cell r="BN1131">
            <v>0</v>
          </cell>
          <cell r="BO1131">
            <v>0</v>
          </cell>
          <cell r="BP1131">
            <v>0</v>
          </cell>
          <cell r="BQ1131">
            <v>0</v>
          </cell>
          <cell r="BR1131">
            <v>0</v>
          </cell>
          <cell r="BS1131">
            <v>0.5</v>
          </cell>
          <cell r="BT1131">
            <v>0</v>
          </cell>
          <cell r="BU1131">
            <v>0</v>
          </cell>
          <cell r="BV1131">
            <v>0</v>
          </cell>
          <cell r="BW1131">
            <v>0</v>
          </cell>
          <cell r="BX1131">
            <v>0</v>
          </cell>
          <cell r="BY1131">
            <v>0</v>
          </cell>
          <cell r="BZ1131">
            <v>0</v>
          </cell>
          <cell r="CA1131">
            <v>0.5</v>
          </cell>
          <cell r="CB1131">
            <v>0</v>
          </cell>
          <cell r="CC1131">
            <v>0</v>
          </cell>
          <cell r="CD1131">
            <v>0.5</v>
          </cell>
          <cell r="CE1131">
            <v>0</v>
          </cell>
          <cell r="CF1131">
            <v>0</v>
          </cell>
          <cell r="CG1131">
            <v>0</v>
          </cell>
          <cell r="CH1131">
            <v>0.5</v>
          </cell>
          <cell r="CI1131">
            <v>0</v>
          </cell>
          <cell r="CJ1131">
            <v>0</v>
          </cell>
          <cell r="CK1131">
            <v>0</v>
          </cell>
          <cell r="CL1131">
            <v>0</v>
          </cell>
          <cell r="CM1131">
            <v>1.5</v>
          </cell>
          <cell r="CR1131">
            <v>0</v>
          </cell>
          <cell r="CS1131">
            <v>0</v>
          </cell>
          <cell r="CT1131">
            <v>3.5</v>
          </cell>
          <cell r="CU1131">
            <v>0</v>
          </cell>
          <cell r="CV1131">
            <v>0</v>
          </cell>
          <cell r="CZ1131">
            <v>3.5</v>
          </cell>
        </row>
        <row r="1132">
          <cell r="C1132" t="str">
            <v>02012</v>
          </cell>
          <cell r="D1132" t="str">
            <v>Lê Thị Hồng Vân</v>
          </cell>
          <cell r="E1132" t="str">
            <v>Sales</v>
          </cell>
          <cell r="F1132" t="str">
            <v>Sales</v>
          </cell>
          <cell r="G1132" t="str">
            <v>Associate Specialist</v>
          </cell>
          <cell r="H1132">
            <v>43755</v>
          </cell>
          <cell r="I1132">
            <v>8</v>
          </cell>
          <cell r="J1132">
            <v>8</v>
          </cell>
          <cell r="K1132" t="str">
            <v>PO</v>
          </cell>
          <cell r="L1132" t="str">
            <v>CN</v>
          </cell>
          <cell r="M1132">
            <v>8</v>
          </cell>
          <cell r="N1132">
            <v>8</v>
          </cell>
          <cell r="O1132">
            <v>8</v>
          </cell>
          <cell r="P1132">
            <v>8</v>
          </cell>
          <cell r="Q1132">
            <v>8</v>
          </cell>
          <cell r="R1132" t="str">
            <v>PO</v>
          </cell>
          <cell r="S1132" t="str">
            <v>CN</v>
          </cell>
          <cell r="T1132">
            <v>8</v>
          </cell>
          <cell r="U1132">
            <v>8</v>
          </cell>
          <cell r="V1132">
            <v>8</v>
          </cell>
          <cell r="W1132">
            <v>8</v>
          </cell>
          <cell r="X1132" t="str">
            <v>AL8</v>
          </cell>
          <cell r="Y1132" t="str">
            <v>PO</v>
          </cell>
          <cell r="Z1132" t="str">
            <v>CN</v>
          </cell>
          <cell r="AA1132">
            <v>8</v>
          </cell>
          <cell r="AB1132">
            <v>8</v>
          </cell>
          <cell r="AC1132">
            <v>8</v>
          </cell>
          <cell r="AD1132">
            <v>8</v>
          </cell>
          <cell r="AE1132">
            <v>8</v>
          </cell>
          <cell r="AF1132" t="str">
            <v>PO</v>
          </cell>
          <cell r="AG1132" t="str">
            <v>CN</v>
          </cell>
          <cell r="AH1132">
            <v>8</v>
          </cell>
          <cell r="AI1132">
            <v>8</v>
          </cell>
          <cell r="AJ1132" t="str">
            <v>UP6.5</v>
          </cell>
          <cell r="AN1132">
            <v>0</v>
          </cell>
          <cell r="AO1132">
            <v>150.5</v>
          </cell>
          <cell r="AP1132">
            <v>0</v>
          </cell>
          <cell r="AQ1132">
            <v>0</v>
          </cell>
          <cell r="AR1132">
            <v>6.5</v>
          </cell>
          <cell r="AS1132">
            <v>0</v>
          </cell>
          <cell r="AT1132">
            <v>0</v>
          </cell>
          <cell r="AU1132">
            <v>0</v>
          </cell>
          <cell r="AV1132">
            <v>32</v>
          </cell>
          <cell r="AW1132">
            <v>0</v>
          </cell>
          <cell r="AX1132">
            <v>0</v>
          </cell>
          <cell r="AY1132">
            <v>0</v>
          </cell>
          <cell r="AZ1132">
            <v>0</v>
          </cell>
          <cell r="BA1132">
            <v>8</v>
          </cell>
          <cell r="BB1132">
            <v>0</v>
          </cell>
          <cell r="BC1132">
            <v>0</v>
          </cell>
          <cell r="BD1132">
            <v>0</v>
          </cell>
          <cell r="BE1132">
            <v>0</v>
          </cell>
          <cell r="BF1132">
            <v>0</v>
          </cell>
          <cell r="BG1132">
            <v>190.5</v>
          </cell>
          <cell r="BH1132">
            <v>1</v>
          </cell>
          <cell r="BI1132">
            <v>1</v>
          </cell>
          <cell r="BJ1132">
            <v>9.5</v>
          </cell>
          <cell r="BL1132">
            <v>0</v>
          </cell>
          <cell r="BM1132">
            <v>0</v>
          </cell>
          <cell r="BN1132">
            <v>0</v>
          </cell>
          <cell r="BO1132">
            <v>0</v>
          </cell>
          <cell r="BP1132">
            <v>0</v>
          </cell>
          <cell r="BQ1132">
            <v>0</v>
          </cell>
          <cell r="BR1132">
            <v>0</v>
          </cell>
          <cell r="BS1132">
            <v>0</v>
          </cell>
          <cell r="BT1132">
            <v>0</v>
          </cell>
          <cell r="BU1132">
            <v>0</v>
          </cell>
          <cell r="BV1132">
            <v>0</v>
          </cell>
          <cell r="BW1132">
            <v>0</v>
          </cell>
          <cell r="BX1132">
            <v>0</v>
          </cell>
          <cell r="BY1132">
            <v>0</v>
          </cell>
          <cell r="BZ1132">
            <v>0</v>
          </cell>
          <cell r="CA1132">
            <v>0</v>
          </cell>
          <cell r="CB1132">
            <v>0</v>
          </cell>
          <cell r="CC1132">
            <v>0</v>
          </cell>
          <cell r="CD1132">
            <v>0</v>
          </cell>
          <cell r="CE1132">
            <v>0</v>
          </cell>
          <cell r="CF1132">
            <v>0</v>
          </cell>
          <cell r="CG1132">
            <v>0</v>
          </cell>
          <cell r="CH1132">
            <v>0</v>
          </cell>
          <cell r="CI1132">
            <v>0</v>
          </cell>
          <cell r="CJ1132">
            <v>0</v>
          </cell>
          <cell r="CK1132">
            <v>0</v>
          </cell>
          <cell r="CL1132">
            <v>0</v>
          </cell>
          <cell r="CM1132">
            <v>0</v>
          </cell>
          <cell r="CR1132">
            <v>0</v>
          </cell>
          <cell r="CS1132">
            <v>0</v>
          </cell>
          <cell r="CT1132">
            <v>0</v>
          </cell>
          <cell r="CU1132">
            <v>0</v>
          </cell>
          <cell r="CV1132">
            <v>0</v>
          </cell>
          <cell r="CZ1132">
            <v>0</v>
          </cell>
        </row>
        <row r="1133">
          <cell r="C1133" t="str">
            <v>02522</v>
          </cell>
          <cell r="D1133" t="str">
            <v>Võ Thị Hồng Vân</v>
          </cell>
          <cell r="E1133" t="str">
            <v>Production</v>
          </cell>
          <cell r="F1133" t="str">
            <v>Logo</v>
          </cell>
          <cell r="G1133" t="str">
            <v>Worker</v>
          </cell>
          <cell r="H1133">
            <v>44090</v>
          </cell>
          <cell r="I1133">
            <v>8</v>
          </cell>
          <cell r="J1133">
            <v>8</v>
          </cell>
          <cell r="K1133">
            <v>8</v>
          </cell>
          <cell r="L1133" t="str">
            <v>CN</v>
          </cell>
          <cell r="M1133">
            <v>8</v>
          </cell>
          <cell r="N1133">
            <v>8</v>
          </cell>
          <cell r="O1133">
            <v>8</v>
          </cell>
          <cell r="P1133">
            <v>8</v>
          </cell>
          <cell r="Q1133">
            <v>8</v>
          </cell>
          <cell r="R1133">
            <v>8</v>
          </cell>
          <cell r="S1133" t="str">
            <v>CN</v>
          </cell>
          <cell r="T1133" t="str">
            <v>AL8</v>
          </cell>
          <cell r="U1133">
            <v>8</v>
          </cell>
          <cell r="V1133">
            <v>8</v>
          </cell>
          <cell r="W1133">
            <v>8</v>
          </cell>
          <cell r="X1133">
            <v>8</v>
          </cell>
          <cell r="Y1133">
            <v>8</v>
          </cell>
          <cell r="Z1133" t="str">
            <v>CN</v>
          </cell>
          <cell r="AA1133">
            <v>8</v>
          </cell>
          <cell r="AB1133">
            <v>8</v>
          </cell>
          <cell r="AC1133">
            <v>8</v>
          </cell>
          <cell r="AD1133">
            <v>8</v>
          </cell>
          <cell r="AE1133">
            <v>8</v>
          </cell>
          <cell r="AF1133">
            <v>8</v>
          </cell>
          <cell r="AG1133" t="str">
            <v>CN</v>
          </cell>
          <cell r="AH1133">
            <v>8</v>
          </cell>
          <cell r="AI1133">
            <v>8</v>
          </cell>
          <cell r="AJ1133">
            <v>8</v>
          </cell>
          <cell r="AN1133">
            <v>0</v>
          </cell>
          <cell r="AO1133">
            <v>184</v>
          </cell>
          <cell r="AP1133">
            <v>0</v>
          </cell>
          <cell r="AQ1133">
            <v>0</v>
          </cell>
          <cell r="AR1133">
            <v>0</v>
          </cell>
          <cell r="AS1133">
            <v>0</v>
          </cell>
          <cell r="AT1133">
            <v>0</v>
          </cell>
          <cell r="AU1133">
            <v>0</v>
          </cell>
          <cell r="AV1133">
            <v>0</v>
          </cell>
          <cell r="AW1133">
            <v>0</v>
          </cell>
          <cell r="AX1133">
            <v>0</v>
          </cell>
          <cell r="AY1133">
            <v>0</v>
          </cell>
          <cell r="AZ1133">
            <v>0</v>
          </cell>
          <cell r="BA1133">
            <v>8</v>
          </cell>
          <cell r="BB1133">
            <v>0</v>
          </cell>
          <cell r="BC1133">
            <v>0</v>
          </cell>
          <cell r="BD1133">
            <v>0</v>
          </cell>
          <cell r="BE1133">
            <v>0</v>
          </cell>
          <cell r="BF1133">
            <v>0</v>
          </cell>
          <cell r="BG1133">
            <v>192</v>
          </cell>
          <cell r="BH1133">
            <v>1</v>
          </cell>
          <cell r="BI1133">
            <v>1</v>
          </cell>
          <cell r="BJ1133">
            <v>4</v>
          </cell>
          <cell r="BL1133">
            <v>0</v>
          </cell>
          <cell r="BM1133">
            <v>0</v>
          </cell>
          <cell r="BN1133">
            <v>0</v>
          </cell>
          <cell r="BO1133">
            <v>0</v>
          </cell>
          <cell r="BP1133">
            <v>0</v>
          </cell>
          <cell r="BQ1133">
            <v>0</v>
          </cell>
          <cell r="BR1133">
            <v>0</v>
          </cell>
          <cell r="BS1133">
            <v>0</v>
          </cell>
          <cell r="BT1133">
            <v>0</v>
          </cell>
          <cell r="BU1133">
            <v>0</v>
          </cell>
          <cell r="BV1133">
            <v>0</v>
          </cell>
          <cell r="BW1133">
            <v>0</v>
          </cell>
          <cell r="BX1133">
            <v>0</v>
          </cell>
          <cell r="BY1133">
            <v>0</v>
          </cell>
          <cell r="BZ1133">
            <v>0</v>
          </cell>
          <cell r="CA1133">
            <v>0</v>
          </cell>
          <cell r="CB1133">
            <v>0</v>
          </cell>
          <cell r="CC1133">
            <v>8</v>
          </cell>
          <cell r="CD1133">
            <v>0</v>
          </cell>
          <cell r="CE1133">
            <v>0</v>
          </cell>
          <cell r="CF1133">
            <v>0</v>
          </cell>
          <cell r="CG1133">
            <v>0</v>
          </cell>
          <cell r="CH1133">
            <v>0</v>
          </cell>
          <cell r="CI1133">
            <v>0</v>
          </cell>
          <cell r="CJ1133">
            <v>8</v>
          </cell>
          <cell r="CK1133">
            <v>0</v>
          </cell>
          <cell r="CL1133">
            <v>0</v>
          </cell>
          <cell r="CM1133">
            <v>0</v>
          </cell>
          <cell r="CR1133">
            <v>0</v>
          </cell>
          <cell r="CS1133">
            <v>0</v>
          </cell>
          <cell r="CT1133">
            <v>0</v>
          </cell>
          <cell r="CU1133">
            <v>16</v>
          </cell>
          <cell r="CV1133">
            <v>0</v>
          </cell>
          <cell r="CZ1133">
            <v>16</v>
          </cell>
        </row>
        <row r="1134">
          <cell r="C1134" t="str">
            <v>01175</v>
          </cell>
          <cell r="D1134" t="str">
            <v>Nguyễn Thị Thu Vân</v>
          </cell>
          <cell r="E1134" t="str">
            <v>Production</v>
          </cell>
          <cell r="F1134" t="str">
            <v>Prefitting</v>
          </cell>
          <cell r="G1134" t="str">
            <v xml:space="preserve"> Worker</v>
          </cell>
          <cell r="H1134">
            <v>43178</v>
          </cell>
          <cell r="I1134">
            <v>8</v>
          </cell>
          <cell r="J1134">
            <v>8</v>
          </cell>
          <cell r="K1134">
            <v>8</v>
          </cell>
          <cell r="L1134" t="str">
            <v>CN</v>
          </cell>
          <cell r="M1134" t="str">
            <v>Đ</v>
          </cell>
          <cell r="N1134" t="str">
            <v>Đ</v>
          </cell>
          <cell r="O1134" t="str">
            <v>Đ</v>
          </cell>
          <cell r="P1134" t="str">
            <v>Đ</v>
          </cell>
          <cell r="Q1134" t="str">
            <v>Đ</v>
          </cell>
          <cell r="R1134" t="str">
            <v>Đ</v>
          </cell>
          <cell r="S1134" t="str">
            <v>CN</v>
          </cell>
          <cell r="T1134">
            <v>8</v>
          </cell>
          <cell r="U1134">
            <v>8</v>
          </cell>
          <cell r="V1134">
            <v>8</v>
          </cell>
          <cell r="W1134">
            <v>8</v>
          </cell>
          <cell r="X1134">
            <v>8</v>
          </cell>
          <cell r="Y1134" t="str">
            <v>CN</v>
          </cell>
          <cell r="Z1134" t="str">
            <v>Đ</v>
          </cell>
          <cell r="AA1134" t="str">
            <v>Đ</v>
          </cell>
          <cell r="AB1134" t="str">
            <v>Đ</v>
          </cell>
          <cell r="AC1134" t="str">
            <v>Đ</v>
          </cell>
          <cell r="AD1134" t="str">
            <v>Đ</v>
          </cell>
          <cell r="AE1134" t="str">
            <v>Đ</v>
          </cell>
          <cell r="AF1134" t="str">
            <v>CN</v>
          </cell>
          <cell r="AG1134">
            <v>8</v>
          </cell>
          <cell r="AH1134">
            <v>8</v>
          </cell>
          <cell r="AI1134">
            <v>8</v>
          </cell>
          <cell r="AJ1134">
            <v>8</v>
          </cell>
          <cell r="AN1134">
            <v>96</v>
          </cell>
          <cell r="AO1134">
            <v>96</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192</v>
          </cell>
          <cell r="BH1134">
            <v>0</v>
          </cell>
          <cell r="BI1134">
            <v>0</v>
          </cell>
          <cell r="BJ1134">
            <v>2.5</v>
          </cell>
          <cell r="BL1134">
            <v>0</v>
          </cell>
          <cell r="BM1134">
            <v>0</v>
          </cell>
          <cell r="BN1134">
            <v>0</v>
          </cell>
          <cell r="BO1134">
            <v>0</v>
          </cell>
          <cell r="BP1134">
            <v>0</v>
          </cell>
          <cell r="BQ1134">
            <v>0</v>
          </cell>
          <cell r="BR1134">
            <v>0</v>
          </cell>
          <cell r="BS1134">
            <v>0</v>
          </cell>
          <cell r="BT1134">
            <v>0</v>
          </cell>
          <cell r="BU1134">
            <v>4</v>
          </cell>
          <cell r="BV1134">
            <v>0</v>
          </cell>
          <cell r="BW1134">
            <v>0</v>
          </cell>
          <cell r="BX1134">
            <v>0</v>
          </cell>
          <cell r="BY1134">
            <v>0</v>
          </cell>
          <cell r="BZ1134">
            <v>0</v>
          </cell>
          <cell r="CA1134">
            <v>4</v>
          </cell>
          <cell r="CB1134">
            <v>0</v>
          </cell>
          <cell r="CC1134">
            <v>4</v>
          </cell>
          <cell r="CD1134">
            <v>0</v>
          </cell>
          <cell r="CE1134">
            <v>0</v>
          </cell>
          <cell r="CF1134">
            <v>0</v>
          </cell>
          <cell r="CG1134">
            <v>0</v>
          </cell>
          <cell r="CH1134">
            <v>4</v>
          </cell>
          <cell r="CI1134">
            <v>0</v>
          </cell>
          <cell r="CJ1134">
            <v>4</v>
          </cell>
          <cell r="CK1134">
            <v>0</v>
          </cell>
          <cell r="CL1134">
            <v>0</v>
          </cell>
          <cell r="CM1134">
            <v>0</v>
          </cell>
          <cell r="CR1134">
            <v>12</v>
          </cell>
          <cell r="CS1134">
            <v>12</v>
          </cell>
          <cell r="CT1134">
            <v>20</v>
          </cell>
          <cell r="CU1134">
            <v>0</v>
          </cell>
          <cell r="CV1134">
            <v>0</v>
          </cell>
          <cell r="CZ1134">
            <v>20</v>
          </cell>
        </row>
        <row r="1135">
          <cell r="C1135" t="str">
            <v>04809</v>
          </cell>
          <cell r="D1135" t="str">
            <v>Tăng Quốc Tiến</v>
          </cell>
          <cell r="E1135" t="str">
            <v>HR &amp; Admin</v>
          </cell>
          <cell r="F1135" t="str">
            <v>Admin</v>
          </cell>
          <cell r="G1135" t="str">
            <v>Senior Staff</v>
          </cell>
          <cell r="H1135">
            <v>45926</v>
          </cell>
          <cell r="I1135">
            <v>8</v>
          </cell>
          <cell r="J1135">
            <v>8</v>
          </cell>
          <cell r="K1135" t="str">
            <v>PO</v>
          </cell>
          <cell r="L1135" t="str">
            <v>CN</v>
          </cell>
          <cell r="M1135">
            <v>8</v>
          </cell>
          <cell r="N1135">
            <v>8</v>
          </cell>
          <cell r="O1135">
            <v>8</v>
          </cell>
          <cell r="P1135">
            <v>8</v>
          </cell>
          <cell r="Q1135">
            <v>8</v>
          </cell>
          <cell r="R1135" t="str">
            <v>PO</v>
          </cell>
          <cell r="S1135" t="str">
            <v>CN</v>
          </cell>
          <cell r="T1135">
            <v>8</v>
          </cell>
          <cell r="U1135">
            <v>8</v>
          </cell>
          <cell r="V1135">
            <v>8</v>
          </cell>
          <cell r="W1135">
            <v>8</v>
          </cell>
          <cell r="X1135">
            <v>8</v>
          </cell>
          <cell r="Y1135" t="str">
            <v>PO</v>
          </cell>
          <cell r="Z1135" t="str">
            <v>CN</v>
          </cell>
          <cell r="AA1135">
            <v>8</v>
          </cell>
          <cell r="AB1135">
            <v>8</v>
          </cell>
          <cell r="AC1135">
            <v>8</v>
          </cell>
          <cell r="AD1135">
            <v>8</v>
          </cell>
          <cell r="AE1135">
            <v>8</v>
          </cell>
          <cell r="AF1135" t="str">
            <v>PO</v>
          </cell>
          <cell r="AG1135" t="str">
            <v>CN</v>
          </cell>
          <cell r="AH1135">
            <v>8</v>
          </cell>
          <cell r="AI1135">
            <v>8</v>
          </cell>
          <cell r="AJ1135">
            <v>8</v>
          </cell>
          <cell r="AN1135">
            <v>0</v>
          </cell>
          <cell r="AO1135">
            <v>160</v>
          </cell>
          <cell r="AP1135">
            <v>0</v>
          </cell>
          <cell r="AQ1135">
            <v>0</v>
          </cell>
          <cell r="AR1135">
            <v>0</v>
          </cell>
          <cell r="AS1135">
            <v>0</v>
          </cell>
          <cell r="AT1135">
            <v>0</v>
          </cell>
          <cell r="AU1135">
            <v>0</v>
          </cell>
          <cell r="AV1135">
            <v>32</v>
          </cell>
          <cell r="AW1135">
            <v>0</v>
          </cell>
          <cell r="AX1135">
            <v>0</v>
          </cell>
          <cell r="AY1135">
            <v>0</v>
          </cell>
          <cell r="AZ1135">
            <v>0</v>
          </cell>
          <cell r="BA1135">
            <v>0</v>
          </cell>
          <cell r="BB1135">
            <v>0</v>
          </cell>
          <cell r="BC1135">
            <v>0</v>
          </cell>
          <cell r="BD1135">
            <v>0</v>
          </cell>
          <cell r="BE1135">
            <v>0</v>
          </cell>
          <cell r="BF1135">
            <v>0</v>
          </cell>
          <cell r="BG1135">
            <v>192</v>
          </cell>
          <cell r="BH1135">
            <v>0</v>
          </cell>
          <cell r="BI1135">
            <v>0</v>
          </cell>
          <cell r="BJ1135">
            <v>4</v>
          </cell>
          <cell r="BL1135">
            <v>0</v>
          </cell>
          <cell r="BM1135">
            <v>0</v>
          </cell>
          <cell r="BN1135">
            <v>0</v>
          </cell>
          <cell r="BO1135">
            <v>0</v>
          </cell>
          <cell r="BP1135">
            <v>0</v>
          </cell>
          <cell r="BQ1135">
            <v>0</v>
          </cell>
          <cell r="BR1135">
            <v>0</v>
          </cell>
          <cell r="BS1135">
            <v>0</v>
          </cell>
          <cell r="BT1135">
            <v>0</v>
          </cell>
          <cell r="BU1135">
            <v>0</v>
          </cell>
          <cell r="BV1135">
            <v>0</v>
          </cell>
          <cell r="BW1135">
            <v>0</v>
          </cell>
          <cell r="BX1135">
            <v>0</v>
          </cell>
          <cell r="BY1135">
            <v>0</v>
          </cell>
          <cell r="BZ1135">
            <v>0</v>
          </cell>
          <cell r="CA1135">
            <v>0</v>
          </cell>
          <cell r="CB1135">
            <v>0</v>
          </cell>
          <cell r="CC1135">
            <v>0</v>
          </cell>
          <cell r="CD1135">
            <v>0</v>
          </cell>
          <cell r="CE1135">
            <v>0</v>
          </cell>
          <cell r="CF1135">
            <v>0</v>
          </cell>
          <cell r="CG1135">
            <v>0</v>
          </cell>
          <cell r="CH1135">
            <v>0</v>
          </cell>
          <cell r="CI1135">
            <v>0</v>
          </cell>
          <cell r="CJ1135">
            <v>0</v>
          </cell>
          <cell r="CK1135">
            <v>0</v>
          </cell>
          <cell r="CL1135">
            <v>0</v>
          </cell>
          <cell r="CM1135">
            <v>0</v>
          </cell>
          <cell r="CR1135">
            <v>0</v>
          </cell>
          <cell r="CS1135">
            <v>0</v>
          </cell>
          <cell r="CT1135">
            <v>0</v>
          </cell>
          <cell r="CU1135">
            <v>0</v>
          </cell>
          <cell r="CV1135">
            <v>0</v>
          </cell>
          <cell r="CZ1135">
            <v>0</v>
          </cell>
        </row>
        <row r="1136">
          <cell r="C1136" t="str">
            <v>04811</v>
          </cell>
          <cell r="D1136" t="str">
            <v>Huỳnh Thị Hồng Diệu</v>
          </cell>
          <cell r="E1136" t="str">
            <v>Production</v>
          </cell>
          <cell r="F1136" t="str">
            <v>Packing</v>
          </cell>
          <cell r="G1136" t="str">
            <v>Worker</v>
          </cell>
          <cell r="H1136">
            <v>45929</v>
          </cell>
          <cell r="I1136">
            <v>8</v>
          </cell>
          <cell r="J1136">
            <v>8</v>
          </cell>
          <cell r="K1136">
            <v>8</v>
          </cell>
          <cell r="L1136" t="str">
            <v>CN</v>
          </cell>
          <cell r="M1136">
            <v>8</v>
          </cell>
          <cell r="N1136">
            <v>8</v>
          </cell>
          <cell r="O1136">
            <v>8</v>
          </cell>
          <cell r="P1136">
            <v>8</v>
          </cell>
          <cell r="Q1136">
            <v>8</v>
          </cell>
          <cell r="R1136" t="str">
            <v>S</v>
          </cell>
          <cell r="S1136" t="str">
            <v>CN</v>
          </cell>
          <cell r="T1136">
            <v>8</v>
          </cell>
          <cell r="U1136">
            <v>8</v>
          </cell>
          <cell r="V1136">
            <v>8</v>
          </cell>
          <cell r="W1136">
            <v>8</v>
          </cell>
          <cell r="X1136">
            <v>8</v>
          </cell>
          <cell r="Y1136">
            <v>8</v>
          </cell>
          <cell r="Z1136" t="str">
            <v>CN</v>
          </cell>
          <cell r="AA1136">
            <v>8</v>
          </cell>
          <cell r="AB1136">
            <v>8</v>
          </cell>
          <cell r="AC1136">
            <v>8</v>
          </cell>
          <cell r="AD1136">
            <v>8</v>
          </cell>
          <cell r="AE1136">
            <v>8</v>
          </cell>
          <cell r="AF1136" t="str">
            <v>AL8</v>
          </cell>
          <cell r="AG1136" t="str">
            <v>CN</v>
          </cell>
          <cell r="AH1136">
            <v>8</v>
          </cell>
          <cell r="AI1136">
            <v>8</v>
          </cell>
          <cell r="AJ1136">
            <v>8</v>
          </cell>
          <cell r="AN1136">
            <v>0</v>
          </cell>
          <cell r="AO1136">
            <v>176</v>
          </cell>
          <cell r="AP1136">
            <v>0</v>
          </cell>
          <cell r="AQ1136">
            <v>0</v>
          </cell>
          <cell r="AR1136">
            <v>0</v>
          </cell>
          <cell r="AS1136">
            <v>0</v>
          </cell>
          <cell r="AT1136">
            <v>0</v>
          </cell>
          <cell r="AU1136">
            <v>0</v>
          </cell>
          <cell r="AV1136">
            <v>0</v>
          </cell>
          <cell r="AW1136">
            <v>8</v>
          </cell>
          <cell r="AX1136">
            <v>0</v>
          </cell>
          <cell r="AY1136">
            <v>0</v>
          </cell>
          <cell r="AZ1136">
            <v>0</v>
          </cell>
          <cell r="BA1136">
            <v>8</v>
          </cell>
          <cell r="BB1136">
            <v>0</v>
          </cell>
          <cell r="BC1136">
            <v>0</v>
          </cell>
          <cell r="BD1136">
            <v>0</v>
          </cell>
          <cell r="BE1136">
            <v>0</v>
          </cell>
          <cell r="BF1136">
            <v>0</v>
          </cell>
          <cell r="BG1136">
            <v>192</v>
          </cell>
          <cell r="BH1136">
            <v>1</v>
          </cell>
          <cell r="BI1136">
            <v>1</v>
          </cell>
          <cell r="BJ1136">
            <v>1</v>
          </cell>
          <cell r="BL1136">
            <v>0</v>
          </cell>
          <cell r="BM1136">
            <v>0</v>
          </cell>
          <cell r="BN1136">
            <v>0</v>
          </cell>
          <cell r="BO1136">
            <v>0</v>
          </cell>
          <cell r="BP1136">
            <v>0</v>
          </cell>
          <cell r="BQ1136">
            <v>0</v>
          </cell>
          <cell r="BR1136">
            <v>0</v>
          </cell>
          <cell r="BS1136">
            <v>0</v>
          </cell>
          <cell r="BT1136">
            <v>0</v>
          </cell>
          <cell r="BU1136">
            <v>0</v>
          </cell>
          <cell r="BV1136">
            <v>0</v>
          </cell>
          <cell r="BW1136">
            <v>0</v>
          </cell>
          <cell r="BX1136">
            <v>0</v>
          </cell>
          <cell r="BY1136">
            <v>0</v>
          </cell>
          <cell r="BZ1136">
            <v>0</v>
          </cell>
          <cell r="CA1136">
            <v>0</v>
          </cell>
          <cell r="CB1136">
            <v>0</v>
          </cell>
          <cell r="CC1136">
            <v>8</v>
          </cell>
          <cell r="CD1136">
            <v>0</v>
          </cell>
          <cell r="CE1136">
            <v>0</v>
          </cell>
          <cell r="CF1136">
            <v>0</v>
          </cell>
          <cell r="CG1136">
            <v>0</v>
          </cell>
          <cell r="CH1136">
            <v>0</v>
          </cell>
          <cell r="CI1136">
            <v>0</v>
          </cell>
          <cell r="CJ1136">
            <v>0</v>
          </cell>
          <cell r="CK1136">
            <v>0</v>
          </cell>
          <cell r="CL1136">
            <v>0</v>
          </cell>
          <cell r="CM1136">
            <v>0</v>
          </cell>
          <cell r="CR1136">
            <v>0</v>
          </cell>
          <cell r="CS1136">
            <v>0</v>
          </cell>
          <cell r="CT1136">
            <v>0</v>
          </cell>
          <cell r="CU1136">
            <v>8</v>
          </cell>
          <cell r="CV1136">
            <v>0</v>
          </cell>
          <cell r="CZ1136">
            <v>8</v>
          </cell>
        </row>
        <row r="1137">
          <cell r="C1137" t="str">
            <v>04812</v>
          </cell>
          <cell r="D1137" t="str">
            <v>Trần Thị Ngọc Hà</v>
          </cell>
          <cell r="E1137" t="str">
            <v>Production</v>
          </cell>
          <cell r="F1137" t="str">
            <v>Die Cut</v>
          </cell>
          <cell r="G1137" t="str">
            <v>Worker</v>
          </cell>
          <cell r="H1137">
            <v>45929</v>
          </cell>
          <cell r="I1137">
            <v>8</v>
          </cell>
          <cell r="J1137">
            <v>8</v>
          </cell>
          <cell r="K1137" t="str">
            <v>SL</v>
          </cell>
          <cell r="L1137" t="str">
            <v>CN</v>
          </cell>
          <cell r="M1137" t="str">
            <v>Đ</v>
          </cell>
          <cell r="N1137" t="str">
            <v>Đ</v>
          </cell>
          <cell r="O1137" t="str">
            <v>Đ</v>
          </cell>
          <cell r="P1137" t="str">
            <v>AL8</v>
          </cell>
          <cell r="Q1137" t="str">
            <v>UP8</v>
          </cell>
          <cell r="R1137" t="str">
            <v>UP8</v>
          </cell>
          <cell r="S1137" t="str">
            <v>CN</v>
          </cell>
          <cell r="T1137">
            <v>8</v>
          </cell>
          <cell r="U1137">
            <v>8</v>
          </cell>
          <cell r="V1137">
            <v>8</v>
          </cell>
          <cell r="W1137">
            <v>8</v>
          </cell>
          <cell r="X1137">
            <v>8</v>
          </cell>
          <cell r="Y1137" t="str">
            <v>UP8</v>
          </cell>
          <cell r="Z1137" t="str">
            <v>CN</v>
          </cell>
          <cell r="AA1137" t="str">
            <v>Đ</v>
          </cell>
          <cell r="AB1137" t="str">
            <v>Đ</v>
          </cell>
          <cell r="AC1137" t="str">
            <v>Đ</v>
          </cell>
          <cell r="AD1137" t="str">
            <v>Đ</v>
          </cell>
          <cell r="AE1137" t="str">
            <v>Đ</v>
          </cell>
          <cell r="AF1137" t="str">
            <v>Đ</v>
          </cell>
          <cell r="AG1137" t="str">
            <v>CN</v>
          </cell>
          <cell r="AH1137">
            <v>8</v>
          </cell>
          <cell r="AI1137">
            <v>8</v>
          </cell>
          <cell r="AJ1137">
            <v>8</v>
          </cell>
          <cell r="AN1137">
            <v>72</v>
          </cell>
          <cell r="AO1137">
            <v>80</v>
          </cell>
          <cell r="AP1137">
            <v>0</v>
          </cell>
          <cell r="AQ1137">
            <v>1</v>
          </cell>
          <cell r="AR1137">
            <v>0</v>
          </cell>
          <cell r="AS1137">
            <v>24</v>
          </cell>
          <cell r="AT1137">
            <v>0</v>
          </cell>
          <cell r="AU1137">
            <v>0</v>
          </cell>
          <cell r="AV1137">
            <v>0</v>
          </cell>
          <cell r="AW1137">
            <v>0</v>
          </cell>
          <cell r="AX1137">
            <v>0</v>
          </cell>
          <cell r="AY1137">
            <v>0</v>
          </cell>
          <cell r="AZ1137">
            <v>0</v>
          </cell>
          <cell r="BA1137">
            <v>8</v>
          </cell>
          <cell r="BB1137">
            <v>0</v>
          </cell>
          <cell r="BC1137">
            <v>0</v>
          </cell>
          <cell r="BD1137">
            <v>0</v>
          </cell>
          <cell r="BE1137">
            <v>0</v>
          </cell>
          <cell r="BF1137">
            <v>0</v>
          </cell>
          <cell r="BG1137">
            <v>160</v>
          </cell>
          <cell r="BH1137">
            <v>1</v>
          </cell>
          <cell r="BI1137">
            <v>1</v>
          </cell>
          <cell r="BJ1137">
            <v>0</v>
          </cell>
          <cell r="BL1137">
            <v>1.5</v>
          </cell>
          <cell r="BM1137">
            <v>0</v>
          </cell>
          <cell r="BN1137">
            <v>0</v>
          </cell>
          <cell r="BO1137">
            <v>0</v>
          </cell>
          <cell r="BP1137">
            <v>0</v>
          </cell>
          <cell r="BQ1137">
            <v>0</v>
          </cell>
          <cell r="BR1137">
            <v>0</v>
          </cell>
          <cell r="BS1137">
            <v>0</v>
          </cell>
          <cell r="BT1137">
            <v>0</v>
          </cell>
          <cell r="BU1137">
            <v>0</v>
          </cell>
          <cell r="BV1137">
            <v>0</v>
          </cell>
          <cell r="BW1137">
            <v>3</v>
          </cell>
          <cell r="BX1137">
            <v>3</v>
          </cell>
          <cell r="BY1137">
            <v>0</v>
          </cell>
          <cell r="BZ1137">
            <v>3</v>
          </cell>
          <cell r="CA1137">
            <v>2</v>
          </cell>
          <cell r="CB1137">
            <v>0</v>
          </cell>
          <cell r="CC1137">
            <v>0</v>
          </cell>
          <cell r="CD1137">
            <v>0</v>
          </cell>
          <cell r="CE1137">
            <v>1.5</v>
          </cell>
          <cell r="CF1137">
            <v>4</v>
          </cell>
          <cell r="CG1137">
            <v>4</v>
          </cell>
          <cell r="CH1137">
            <v>4</v>
          </cell>
          <cell r="CI1137">
            <v>4</v>
          </cell>
          <cell r="CJ1137">
            <v>0</v>
          </cell>
          <cell r="CK1137">
            <v>2</v>
          </cell>
          <cell r="CL1137">
            <v>0</v>
          </cell>
          <cell r="CM1137">
            <v>3</v>
          </cell>
          <cell r="CR1137">
            <v>0</v>
          </cell>
          <cell r="CS1137">
            <v>0</v>
          </cell>
          <cell r="CT1137">
            <v>35</v>
          </cell>
          <cell r="CU1137">
            <v>0</v>
          </cell>
          <cell r="CV1137">
            <v>0</v>
          </cell>
          <cell r="CZ1137">
            <v>35</v>
          </cell>
        </row>
        <row r="1138">
          <cell r="C1138" t="str">
            <v>04813</v>
          </cell>
          <cell r="D1138" t="str">
            <v>Nguyễn Thị Trang</v>
          </cell>
          <cell r="E1138" t="str">
            <v>Production</v>
          </cell>
          <cell r="F1138" t="str">
            <v>Logo</v>
          </cell>
          <cell r="G1138" t="str">
            <v>Worker</v>
          </cell>
          <cell r="H1138">
            <v>45929</v>
          </cell>
          <cell r="I1138">
            <v>8</v>
          </cell>
          <cell r="J1138">
            <v>8</v>
          </cell>
          <cell r="K1138">
            <v>8</v>
          </cell>
          <cell r="L1138" t="str">
            <v>CN</v>
          </cell>
          <cell r="M1138" t="str">
            <v>Đ</v>
          </cell>
          <cell r="N1138" t="str">
            <v>Đ</v>
          </cell>
          <cell r="O1138" t="str">
            <v>Đ</v>
          </cell>
          <cell r="P1138" t="str">
            <v>Đ</v>
          </cell>
          <cell r="Q1138" t="str">
            <v>Đ</v>
          </cell>
          <cell r="R1138" t="str">
            <v>Đ</v>
          </cell>
          <cell r="S1138" t="str">
            <v>CN</v>
          </cell>
          <cell r="T1138">
            <v>8</v>
          </cell>
          <cell r="U1138">
            <v>8</v>
          </cell>
          <cell r="V1138">
            <v>8</v>
          </cell>
          <cell r="W1138">
            <v>8</v>
          </cell>
          <cell r="X1138">
            <v>8</v>
          </cell>
          <cell r="Y1138" t="str">
            <v>AL8</v>
          </cell>
          <cell r="Z1138" t="str">
            <v>CN</v>
          </cell>
          <cell r="AA1138" t="str">
            <v>Đ</v>
          </cell>
          <cell r="AB1138" t="str">
            <v>Đ</v>
          </cell>
          <cell r="AC1138" t="str">
            <v>Đ</v>
          </cell>
          <cell r="AD1138" t="str">
            <v>Đ</v>
          </cell>
          <cell r="AE1138" t="str">
            <v>Đ</v>
          </cell>
          <cell r="AF1138" t="str">
            <v>Đ</v>
          </cell>
          <cell r="AG1138" t="str">
            <v>CN</v>
          </cell>
          <cell r="AH1138">
            <v>8</v>
          </cell>
          <cell r="AI1138">
            <v>8</v>
          </cell>
          <cell r="AJ1138">
            <v>8</v>
          </cell>
          <cell r="AN1138">
            <v>96</v>
          </cell>
          <cell r="AO1138">
            <v>88</v>
          </cell>
          <cell r="AP1138">
            <v>0</v>
          </cell>
          <cell r="AQ1138">
            <v>0</v>
          </cell>
          <cell r="AR1138">
            <v>0</v>
          </cell>
          <cell r="AS1138">
            <v>0</v>
          </cell>
          <cell r="AT1138">
            <v>0</v>
          </cell>
          <cell r="AU1138">
            <v>0</v>
          </cell>
          <cell r="AV1138">
            <v>0</v>
          </cell>
          <cell r="AW1138">
            <v>0</v>
          </cell>
          <cell r="AX1138">
            <v>0</v>
          </cell>
          <cell r="AY1138">
            <v>0</v>
          </cell>
          <cell r="AZ1138">
            <v>0</v>
          </cell>
          <cell r="BA1138">
            <v>8</v>
          </cell>
          <cell r="BB1138">
            <v>0</v>
          </cell>
          <cell r="BC1138">
            <v>0</v>
          </cell>
          <cell r="BD1138">
            <v>0</v>
          </cell>
          <cell r="BE1138">
            <v>0</v>
          </cell>
          <cell r="BF1138">
            <v>0</v>
          </cell>
          <cell r="BG1138">
            <v>192</v>
          </cell>
          <cell r="BH1138">
            <v>1</v>
          </cell>
          <cell r="BI1138">
            <v>1</v>
          </cell>
          <cell r="BJ1138">
            <v>1</v>
          </cell>
          <cell r="BL1138">
            <v>1.5</v>
          </cell>
          <cell r="BM1138">
            <v>1.5</v>
          </cell>
          <cell r="BN1138">
            <v>1.5</v>
          </cell>
          <cell r="BO1138">
            <v>0</v>
          </cell>
          <cell r="BP1138">
            <v>1.5</v>
          </cell>
          <cell r="BQ1138">
            <v>0</v>
          </cell>
          <cell r="BR1138">
            <v>0</v>
          </cell>
          <cell r="BS1138">
            <v>4</v>
          </cell>
          <cell r="BT1138">
            <v>0</v>
          </cell>
          <cell r="BU1138">
            <v>0</v>
          </cell>
          <cell r="BV1138">
            <v>0</v>
          </cell>
          <cell r="BW1138">
            <v>3</v>
          </cell>
          <cell r="BX1138">
            <v>3</v>
          </cell>
          <cell r="BY1138">
            <v>3</v>
          </cell>
          <cell r="BZ1138">
            <v>3</v>
          </cell>
          <cell r="CA1138">
            <v>3</v>
          </cell>
          <cell r="CB1138">
            <v>0</v>
          </cell>
          <cell r="CC1138">
            <v>0</v>
          </cell>
          <cell r="CD1138">
            <v>4</v>
          </cell>
          <cell r="CE1138">
            <v>4</v>
          </cell>
          <cell r="CF1138">
            <v>4</v>
          </cell>
          <cell r="CG1138">
            <v>4</v>
          </cell>
          <cell r="CH1138">
            <v>4</v>
          </cell>
          <cell r="CI1138">
            <v>4</v>
          </cell>
          <cell r="CJ1138">
            <v>0</v>
          </cell>
          <cell r="CK1138">
            <v>3</v>
          </cell>
          <cell r="CL1138">
            <v>3</v>
          </cell>
          <cell r="CM1138">
            <v>3</v>
          </cell>
          <cell r="CR1138">
            <v>0</v>
          </cell>
          <cell r="CS1138">
            <v>0</v>
          </cell>
          <cell r="CT1138">
            <v>58</v>
          </cell>
          <cell r="CU1138">
            <v>0</v>
          </cell>
          <cell r="CV1138">
            <v>0</v>
          </cell>
          <cell r="CZ1138">
            <v>58</v>
          </cell>
        </row>
        <row r="1139">
          <cell r="C1139" t="str">
            <v>04814</v>
          </cell>
          <cell r="D1139" t="str">
            <v>Phạm Thị Ngọc Cầm</v>
          </cell>
          <cell r="E1139" t="str">
            <v>Production</v>
          </cell>
          <cell r="F1139" t="str">
            <v>Packing</v>
          </cell>
          <cell r="G1139" t="str">
            <v>Worker</v>
          </cell>
          <cell r="H1139">
            <v>45929</v>
          </cell>
          <cell r="I1139" t="str">
            <v>Đ</v>
          </cell>
          <cell r="J1139" t="str">
            <v>Đ</v>
          </cell>
          <cell r="K1139" t="str">
            <v>AL8</v>
          </cell>
          <cell r="L1139" t="str">
            <v>CN</v>
          </cell>
          <cell r="M1139">
            <v>8</v>
          </cell>
          <cell r="N1139">
            <v>8</v>
          </cell>
          <cell r="O1139">
            <v>8</v>
          </cell>
          <cell r="P1139">
            <v>8</v>
          </cell>
          <cell r="Q1139">
            <v>8</v>
          </cell>
          <cell r="R1139">
            <v>8</v>
          </cell>
          <cell r="S1139" t="str">
            <v>CN</v>
          </cell>
          <cell r="T1139" t="str">
            <v>Đ</v>
          </cell>
          <cell r="U1139" t="str">
            <v>Đ</v>
          </cell>
          <cell r="V1139" t="str">
            <v>Đ</v>
          </cell>
          <cell r="W1139" t="str">
            <v>Đ</v>
          </cell>
          <cell r="X1139" t="str">
            <v>Đ</v>
          </cell>
          <cell r="Y1139" t="str">
            <v>Đ</v>
          </cell>
          <cell r="Z1139" t="str">
            <v>CN</v>
          </cell>
          <cell r="AA1139">
            <v>8</v>
          </cell>
          <cell r="AB1139">
            <v>8</v>
          </cell>
          <cell r="AC1139">
            <v>8</v>
          </cell>
          <cell r="AD1139">
            <v>8</v>
          </cell>
          <cell r="AE1139">
            <v>8</v>
          </cell>
          <cell r="AF1139">
            <v>8</v>
          </cell>
          <cell r="AG1139" t="str">
            <v>CN</v>
          </cell>
          <cell r="AH1139" t="str">
            <v>Đ</v>
          </cell>
          <cell r="AI1139" t="str">
            <v>Đ</v>
          </cell>
          <cell r="AJ1139" t="str">
            <v>Đ</v>
          </cell>
          <cell r="AN1139">
            <v>88</v>
          </cell>
          <cell r="AO1139">
            <v>96</v>
          </cell>
          <cell r="AP1139">
            <v>0</v>
          </cell>
          <cell r="AQ1139">
            <v>0</v>
          </cell>
          <cell r="AR1139">
            <v>0</v>
          </cell>
          <cell r="AS1139">
            <v>0</v>
          </cell>
          <cell r="AT1139">
            <v>0</v>
          </cell>
          <cell r="AU1139">
            <v>0</v>
          </cell>
          <cell r="AV1139">
            <v>0</v>
          </cell>
          <cell r="AW1139">
            <v>0</v>
          </cell>
          <cell r="AX1139">
            <v>0</v>
          </cell>
          <cell r="AY1139">
            <v>0</v>
          </cell>
          <cell r="AZ1139">
            <v>0</v>
          </cell>
          <cell r="BA1139">
            <v>8</v>
          </cell>
          <cell r="BB1139">
            <v>0</v>
          </cell>
          <cell r="BC1139">
            <v>0</v>
          </cell>
          <cell r="BD1139">
            <v>0</v>
          </cell>
          <cell r="BE1139">
            <v>0</v>
          </cell>
          <cell r="BF1139">
            <v>0</v>
          </cell>
          <cell r="BG1139">
            <v>192</v>
          </cell>
          <cell r="BH1139">
            <v>1</v>
          </cell>
          <cell r="BI1139">
            <v>1</v>
          </cell>
          <cell r="BJ1139">
            <v>2</v>
          </cell>
          <cell r="BL1139">
            <v>1.5</v>
          </cell>
          <cell r="BM1139">
            <v>1.5</v>
          </cell>
          <cell r="BN1139">
            <v>0</v>
          </cell>
          <cell r="BO1139">
            <v>0</v>
          </cell>
          <cell r="BP1139">
            <v>1.5</v>
          </cell>
          <cell r="BQ1139">
            <v>0</v>
          </cell>
          <cell r="BR1139">
            <v>0</v>
          </cell>
          <cell r="BS1139">
            <v>3</v>
          </cell>
          <cell r="BT1139">
            <v>3</v>
          </cell>
          <cell r="BU1139">
            <v>3</v>
          </cell>
          <cell r="BV1139">
            <v>0</v>
          </cell>
          <cell r="BW1139">
            <v>4</v>
          </cell>
          <cell r="BX1139">
            <v>4</v>
          </cell>
          <cell r="BY1139">
            <v>4</v>
          </cell>
          <cell r="BZ1139">
            <v>4</v>
          </cell>
          <cell r="CA1139">
            <v>4</v>
          </cell>
          <cell r="CB1139">
            <v>4</v>
          </cell>
          <cell r="CC1139">
            <v>0</v>
          </cell>
          <cell r="CD1139">
            <v>3</v>
          </cell>
          <cell r="CE1139">
            <v>3</v>
          </cell>
          <cell r="CF1139">
            <v>3</v>
          </cell>
          <cell r="CG1139">
            <v>3</v>
          </cell>
          <cell r="CH1139">
            <v>3</v>
          </cell>
          <cell r="CI1139">
            <v>3</v>
          </cell>
          <cell r="CJ1139">
            <v>8</v>
          </cell>
          <cell r="CK1139">
            <v>4</v>
          </cell>
          <cell r="CL1139">
            <v>4</v>
          </cell>
          <cell r="CM1139">
            <v>4</v>
          </cell>
          <cell r="CR1139">
            <v>0</v>
          </cell>
          <cell r="CS1139">
            <v>0</v>
          </cell>
          <cell r="CT1139">
            <v>67.5</v>
          </cell>
          <cell r="CU1139">
            <v>8</v>
          </cell>
          <cell r="CV1139">
            <v>0</v>
          </cell>
          <cell r="CZ1139">
            <v>75.5</v>
          </cell>
        </row>
        <row r="1140">
          <cell r="C1140" t="str">
            <v>04815</v>
          </cell>
          <cell r="D1140" t="str">
            <v>Trương Văn Dẩu</v>
          </cell>
          <cell r="E1140" t="str">
            <v>Production</v>
          </cell>
          <cell r="F1140" t="str">
            <v>Die Cut</v>
          </cell>
          <cell r="G1140" t="str">
            <v>Worker</v>
          </cell>
          <cell r="H1140">
            <v>45929</v>
          </cell>
          <cell r="I1140">
            <v>8</v>
          </cell>
          <cell r="J1140">
            <v>8</v>
          </cell>
          <cell r="K1140">
            <v>8</v>
          </cell>
          <cell r="L1140" t="str">
            <v>CN</v>
          </cell>
          <cell r="M1140" t="str">
            <v>Đ</v>
          </cell>
          <cell r="N1140" t="str">
            <v>Đ</v>
          </cell>
          <cell r="O1140" t="str">
            <v>Đ</v>
          </cell>
          <cell r="P1140" t="str">
            <v>Đ</v>
          </cell>
          <cell r="Q1140" t="str">
            <v>Đ</v>
          </cell>
          <cell r="R1140" t="str">
            <v>Đ</v>
          </cell>
          <cell r="S1140" t="str">
            <v>CN</v>
          </cell>
          <cell r="T1140">
            <v>8</v>
          </cell>
          <cell r="U1140">
            <v>8</v>
          </cell>
          <cell r="V1140">
            <v>8</v>
          </cell>
          <cell r="W1140">
            <v>8</v>
          </cell>
          <cell r="X1140">
            <v>8</v>
          </cell>
          <cell r="Y1140">
            <v>8</v>
          </cell>
          <cell r="Z1140" t="str">
            <v>CN</v>
          </cell>
          <cell r="AA1140" t="str">
            <v>Đ</v>
          </cell>
          <cell r="AB1140" t="str">
            <v>Đ</v>
          </cell>
          <cell r="AC1140" t="str">
            <v>Đ</v>
          </cell>
          <cell r="AD1140" t="str">
            <v>Đ</v>
          </cell>
          <cell r="AE1140" t="str">
            <v>Đ</v>
          </cell>
          <cell r="AF1140" t="str">
            <v>Đ</v>
          </cell>
          <cell r="AG1140" t="str">
            <v>CN</v>
          </cell>
          <cell r="AH1140">
            <v>8</v>
          </cell>
          <cell r="AI1140">
            <v>8</v>
          </cell>
          <cell r="AJ1140">
            <v>8</v>
          </cell>
          <cell r="AN1140">
            <v>96</v>
          </cell>
          <cell r="AO1140">
            <v>96</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192</v>
          </cell>
          <cell r="BH1140">
            <v>0</v>
          </cell>
          <cell r="BI1140">
            <v>0</v>
          </cell>
          <cell r="BJ1140">
            <v>1</v>
          </cell>
          <cell r="BL1140">
            <v>1.5</v>
          </cell>
          <cell r="BM1140">
            <v>0</v>
          </cell>
          <cell r="BN1140">
            <v>1.5</v>
          </cell>
          <cell r="BO1140">
            <v>0</v>
          </cell>
          <cell r="BP1140">
            <v>1.5</v>
          </cell>
          <cell r="BQ1140">
            <v>0</v>
          </cell>
          <cell r="BR1140">
            <v>0</v>
          </cell>
          <cell r="BS1140">
            <v>4</v>
          </cell>
          <cell r="BT1140">
            <v>4</v>
          </cell>
          <cell r="BU1140">
            <v>4</v>
          </cell>
          <cell r="BV1140">
            <v>0</v>
          </cell>
          <cell r="BW1140">
            <v>3</v>
          </cell>
          <cell r="BX1140">
            <v>3</v>
          </cell>
          <cell r="BY1140">
            <v>3</v>
          </cell>
          <cell r="BZ1140">
            <v>3</v>
          </cell>
          <cell r="CA1140">
            <v>3</v>
          </cell>
          <cell r="CB1140">
            <v>3</v>
          </cell>
          <cell r="CC1140">
            <v>8</v>
          </cell>
          <cell r="CD1140">
            <v>4</v>
          </cell>
          <cell r="CE1140">
            <v>4</v>
          </cell>
          <cell r="CF1140">
            <v>4</v>
          </cell>
          <cell r="CG1140">
            <v>4</v>
          </cell>
          <cell r="CH1140">
            <v>4</v>
          </cell>
          <cell r="CI1140">
            <v>4</v>
          </cell>
          <cell r="CJ1140">
            <v>0</v>
          </cell>
          <cell r="CK1140">
            <v>3</v>
          </cell>
          <cell r="CL1140">
            <v>3</v>
          </cell>
          <cell r="CM1140">
            <v>3</v>
          </cell>
          <cell r="CR1140">
            <v>0</v>
          </cell>
          <cell r="CS1140">
            <v>0</v>
          </cell>
          <cell r="CT1140">
            <v>67.5</v>
          </cell>
          <cell r="CU1140">
            <v>8</v>
          </cell>
          <cell r="CV1140">
            <v>0</v>
          </cell>
          <cell r="CZ1140">
            <v>75.5</v>
          </cell>
        </row>
        <row r="1141">
          <cell r="C1141" t="str">
            <v>04817</v>
          </cell>
          <cell r="D1141" t="str">
            <v>Đinh Thị Loan</v>
          </cell>
          <cell r="E1141" t="str">
            <v>Production</v>
          </cell>
          <cell r="F1141" t="str">
            <v>Molding</v>
          </cell>
          <cell r="G1141" t="str">
            <v>Worker</v>
          </cell>
          <cell r="H1141">
            <v>45929</v>
          </cell>
          <cell r="I1141">
            <v>8</v>
          </cell>
          <cell r="J1141">
            <v>8</v>
          </cell>
          <cell r="K1141">
            <v>8</v>
          </cell>
          <cell r="L1141" t="str">
            <v>CN</v>
          </cell>
          <cell r="M1141">
            <v>8</v>
          </cell>
          <cell r="N1141">
            <v>8</v>
          </cell>
          <cell r="O1141">
            <v>8</v>
          </cell>
          <cell r="P1141">
            <v>8</v>
          </cell>
          <cell r="Q1141">
            <v>8</v>
          </cell>
          <cell r="R1141">
            <v>8</v>
          </cell>
          <cell r="S1141" t="str">
            <v>CN</v>
          </cell>
          <cell r="T1141">
            <v>8</v>
          </cell>
          <cell r="U1141">
            <v>8</v>
          </cell>
          <cell r="V1141">
            <v>8</v>
          </cell>
          <cell r="W1141">
            <v>8</v>
          </cell>
          <cell r="X1141">
            <v>8</v>
          </cell>
          <cell r="Y1141">
            <v>8</v>
          </cell>
          <cell r="Z1141" t="str">
            <v>CN</v>
          </cell>
          <cell r="AA1141">
            <v>8</v>
          </cell>
          <cell r="AB1141">
            <v>8</v>
          </cell>
          <cell r="AC1141">
            <v>8</v>
          </cell>
          <cell r="AD1141">
            <v>8</v>
          </cell>
          <cell r="AE1141">
            <v>8</v>
          </cell>
          <cell r="AF1141">
            <v>8</v>
          </cell>
          <cell r="AG1141" t="str">
            <v>CN</v>
          </cell>
          <cell r="AH1141">
            <v>8</v>
          </cell>
          <cell r="AI1141">
            <v>8</v>
          </cell>
          <cell r="AJ1141">
            <v>8</v>
          </cell>
          <cell r="AN1141">
            <v>0</v>
          </cell>
          <cell r="AO1141">
            <v>192</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192</v>
          </cell>
          <cell r="BH1141">
            <v>0</v>
          </cell>
          <cell r="BI1141">
            <v>0</v>
          </cell>
          <cell r="BJ1141">
            <v>3</v>
          </cell>
          <cell r="BL1141">
            <v>0</v>
          </cell>
          <cell r="BM1141">
            <v>0</v>
          </cell>
          <cell r="BN1141">
            <v>0</v>
          </cell>
          <cell r="BO1141">
            <v>0</v>
          </cell>
          <cell r="BP1141">
            <v>0</v>
          </cell>
          <cell r="BQ1141">
            <v>0</v>
          </cell>
          <cell r="BR1141">
            <v>0</v>
          </cell>
          <cell r="BS1141">
            <v>0</v>
          </cell>
          <cell r="BT1141">
            <v>0</v>
          </cell>
          <cell r="BU1141">
            <v>0</v>
          </cell>
          <cell r="BV1141">
            <v>0</v>
          </cell>
          <cell r="BW1141">
            <v>0</v>
          </cell>
          <cell r="BX1141">
            <v>0</v>
          </cell>
          <cell r="BY1141">
            <v>0</v>
          </cell>
          <cell r="BZ1141">
            <v>0</v>
          </cell>
          <cell r="CA1141">
            <v>4</v>
          </cell>
          <cell r="CB1141">
            <v>4</v>
          </cell>
          <cell r="CC1141">
            <v>0</v>
          </cell>
          <cell r="CD1141">
            <v>0</v>
          </cell>
          <cell r="CE1141">
            <v>0</v>
          </cell>
          <cell r="CF1141">
            <v>0</v>
          </cell>
          <cell r="CG1141">
            <v>0</v>
          </cell>
          <cell r="CH1141">
            <v>0</v>
          </cell>
          <cell r="CI1141">
            <v>0</v>
          </cell>
          <cell r="CJ1141">
            <v>0</v>
          </cell>
          <cell r="CK1141">
            <v>4</v>
          </cell>
          <cell r="CL1141">
            <v>4</v>
          </cell>
          <cell r="CM1141">
            <v>0</v>
          </cell>
          <cell r="CR1141">
            <v>0</v>
          </cell>
          <cell r="CS1141">
            <v>0</v>
          </cell>
          <cell r="CT1141">
            <v>16</v>
          </cell>
          <cell r="CU1141">
            <v>0</v>
          </cell>
          <cell r="CV1141">
            <v>0</v>
          </cell>
          <cell r="CZ1141">
            <v>16</v>
          </cell>
        </row>
        <row r="1142">
          <cell r="C1142" t="str">
            <v>04818</v>
          </cell>
          <cell r="D1142" t="str">
            <v>Y Romel Kbuor</v>
          </cell>
          <cell r="E1142" t="str">
            <v>Production</v>
          </cell>
          <cell r="F1142" t="str">
            <v>Die Cut</v>
          </cell>
          <cell r="G1142" t="str">
            <v>Worker</v>
          </cell>
          <cell r="H1142">
            <v>45929</v>
          </cell>
          <cell r="I1142" t="str">
            <v>Đ</v>
          </cell>
          <cell r="J1142" t="str">
            <v>Đ</v>
          </cell>
          <cell r="K1142" t="str">
            <v>Đ</v>
          </cell>
          <cell r="L1142" t="str">
            <v>CN</v>
          </cell>
          <cell r="M1142">
            <v>8</v>
          </cell>
          <cell r="N1142">
            <v>8</v>
          </cell>
          <cell r="O1142">
            <v>8</v>
          </cell>
          <cell r="P1142">
            <v>8</v>
          </cell>
          <cell r="Q1142">
            <v>8</v>
          </cell>
          <cell r="R1142">
            <v>8</v>
          </cell>
          <cell r="S1142" t="str">
            <v>CN</v>
          </cell>
          <cell r="T1142" t="str">
            <v>Đ</v>
          </cell>
          <cell r="U1142" t="str">
            <v>Đ</v>
          </cell>
          <cell r="V1142" t="str">
            <v>Đ</v>
          </cell>
          <cell r="W1142" t="str">
            <v>Đ</v>
          </cell>
          <cell r="X1142" t="str">
            <v>Đ</v>
          </cell>
          <cell r="Y1142" t="str">
            <v>Đ</v>
          </cell>
          <cell r="Z1142" t="str">
            <v>CN</v>
          </cell>
          <cell r="AA1142">
            <v>8</v>
          </cell>
          <cell r="AB1142">
            <v>8</v>
          </cell>
          <cell r="AC1142">
            <v>8</v>
          </cell>
          <cell r="AD1142">
            <v>8</v>
          </cell>
          <cell r="AE1142">
            <v>8</v>
          </cell>
          <cell r="AF1142">
            <v>8</v>
          </cell>
          <cell r="AG1142" t="str">
            <v>CN</v>
          </cell>
          <cell r="AH1142" t="str">
            <v>Đ</v>
          </cell>
          <cell r="AI1142" t="str">
            <v>Đ</v>
          </cell>
          <cell r="AJ1142" t="str">
            <v>Đ</v>
          </cell>
          <cell r="AN1142">
            <v>96</v>
          </cell>
          <cell r="AO1142">
            <v>96</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192</v>
          </cell>
          <cell r="BH1142">
            <v>0</v>
          </cell>
          <cell r="BI1142">
            <v>0</v>
          </cell>
          <cell r="BJ1142">
            <v>2</v>
          </cell>
          <cell r="BL1142">
            <v>0</v>
          </cell>
          <cell r="BM1142">
            <v>1.5</v>
          </cell>
          <cell r="BN1142">
            <v>0</v>
          </cell>
          <cell r="BO1142">
            <v>0</v>
          </cell>
          <cell r="BP1142">
            <v>1.5</v>
          </cell>
          <cell r="BQ1142">
            <v>3</v>
          </cell>
          <cell r="BR1142">
            <v>0</v>
          </cell>
          <cell r="BS1142">
            <v>3</v>
          </cell>
          <cell r="BT1142">
            <v>3</v>
          </cell>
          <cell r="BU1142">
            <v>0</v>
          </cell>
          <cell r="BV1142">
            <v>0</v>
          </cell>
          <cell r="BW1142">
            <v>0</v>
          </cell>
          <cell r="BX1142">
            <v>0</v>
          </cell>
          <cell r="BY1142">
            <v>0</v>
          </cell>
          <cell r="BZ1142">
            <v>4</v>
          </cell>
          <cell r="CA1142">
            <v>4</v>
          </cell>
          <cell r="CB1142">
            <v>0</v>
          </cell>
          <cell r="CC1142">
            <v>0</v>
          </cell>
          <cell r="CD1142">
            <v>4</v>
          </cell>
          <cell r="CE1142">
            <v>4</v>
          </cell>
          <cell r="CF1142">
            <v>4</v>
          </cell>
          <cell r="CG1142">
            <v>4</v>
          </cell>
          <cell r="CH1142">
            <v>0</v>
          </cell>
          <cell r="CI1142">
            <v>0</v>
          </cell>
          <cell r="CJ1142">
            <v>8</v>
          </cell>
          <cell r="CK1142">
            <v>1.5</v>
          </cell>
          <cell r="CL1142">
            <v>1.5</v>
          </cell>
          <cell r="CM1142">
            <v>0</v>
          </cell>
          <cell r="CR1142">
            <v>0</v>
          </cell>
          <cell r="CS1142">
            <v>0</v>
          </cell>
          <cell r="CT1142">
            <v>39</v>
          </cell>
          <cell r="CU1142">
            <v>8</v>
          </cell>
          <cell r="CV1142">
            <v>0</v>
          </cell>
          <cell r="CZ1142">
            <v>47</v>
          </cell>
        </row>
        <row r="1143">
          <cell r="C1143" t="str">
            <v>04820</v>
          </cell>
          <cell r="D1143" t="str">
            <v>Trần Tuấn Anh</v>
          </cell>
          <cell r="E1143" t="str">
            <v>Foaming</v>
          </cell>
          <cell r="F1143" t="str">
            <v>FOAMING Splitting</v>
          </cell>
          <cell r="G1143" t="str">
            <v>Supervisor</v>
          </cell>
          <cell r="H1143">
            <v>45929</v>
          </cell>
          <cell r="I1143" t="str">
            <v>Đ</v>
          </cell>
          <cell r="J1143" t="str">
            <v>Đ</v>
          </cell>
          <cell r="K1143" t="str">
            <v>Đ</v>
          </cell>
          <cell r="L1143" t="str">
            <v>CN</v>
          </cell>
          <cell r="M1143" t="str">
            <v>Đ</v>
          </cell>
          <cell r="N1143" t="str">
            <v>Đ</v>
          </cell>
          <cell r="O1143" t="str">
            <v>Đ</v>
          </cell>
          <cell r="P1143" t="str">
            <v>Đ</v>
          </cell>
          <cell r="Q1143" t="str">
            <v>Đ</v>
          </cell>
          <cell r="R1143" t="str">
            <v>UP8</v>
          </cell>
          <cell r="S1143" t="str">
            <v>CN</v>
          </cell>
          <cell r="T1143">
            <v>8</v>
          </cell>
          <cell r="U1143">
            <v>8</v>
          </cell>
          <cell r="V1143">
            <v>8</v>
          </cell>
          <cell r="W1143">
            <v>8</v>
          </cell>
          <cell r="X1143">
            <v>8</v>
          </cell>
          <cell r="Y1143" t="str">
            <v>AL8</v>
          </cell>
          <cell r="Z1143" t="str">
            <v>CN</v>
          </cell>
          <cell r="AA1143" t="str">
            <v>AL8</v>
          </cell>
          <cell r="AB1143" t="str">
            <v>POS</v>
          </cell>
          <cell r="AC1143">
            <v>8</v>
          </cell>
          <cell r="AD1143">
            <v>8</v>
          </cell>
          <cell r="AE1143">
            <v>8</v>
          </cell>
          <cell r="AF1143">
            <v>8</v>
          </cell>
          <cell r="AG1143" t="str">
            <v>CN</v>
          </cell>
          <cell r="AH1143">
            <v>8</v>
          </cell>
          <cell r="AI1143">
            <v>8</v>
          </cell>
          <cell r="AJ1143">
            <v>8</v>
          </cell>
          <cell r="AN1143">
            <v>64</v>
          </cell>
          <cell r="AO1143">
            <v>96</v>
          </cell>
          <cell r="AP1143">
            <v>0</v>
          </cell>
          <cell r="AQ1143">
            <v>0</v>
          </cell>
          <cell r="AR1143">
            <v>0</v>
          </cell>
          <cell r="AS1143">
            <v>8</v>
          </cell>
          <cell r="AT1143">
            <v>0</v>
          </cell>
          <cell r="AU1143">
            <v>0</v>
          </cell>
          <cell r="AV1143">
            <v>8</v>
          </cell>
          <cell r="AW1143">
            <v>0</v>
          </cell>
          <cell r="AX1143">
            <v>0</v>
          </cell>
          <cell r="AY1143">
            <v>0</v>
          </cell>
          <cell r="AZ1143">
            <v>0</v>
          </cell>
          <cell r="BA1143">
            <v>16</v>
          </cell>
          <cell r="BB1143">
            <v>0</v>
          </cell>
          <cell r="BC1143">
            <v>0</v>
          </cell>
          <cell r="BD1143">
            <v>0</v>
          </cell>
          <cell r="BE1143">
            <v>0</v>
          </cell>
          <cell r="BF1143">
            <v>0</v>
          </cell>
          <cell r="BG1143">
            <v>184</v>
          </cell>
          <cell r="BH1143">
            <v>2</v>
          </cell>
          <cell r="BI1143">
            <v>2</v>
          </cell>
          <cell r="BJ1143">
            <v>0</v>
          </cell>
          <cell r="BL1143">
            <v>2</v>
          </cell>
          <cell r="BM1143">
            <v>4</v>
          </cell>
          <cell r="BN1143">
            <v>0</v>
          </cell>
          <cell r="BO1143" t="str">
            <v>12Đ</v>
          </cell>
          <cell r="BP1143">
            <v>0</v>
          </cell>
          <cell r="BQ1143">
            <v>4</v>
          </cell>
          <cell r="BR1143">
            <v>4</v>
          </cell>
          <cell r="BS1143">
            <v>4</v>
          </cell>
          <cell r="BT1143">
            <v>4</v>
          </cell>
          <cell r="BU1143">
            <v>0</v>
          </cell>
          <cell r="BV1143">
            <v>12</v>
          </cell>
          <cell r="BW1143">
            <v>4</v>
          </cell>
          <cell r="BX1143">
            <v>4</v>
          </cell>
          <cell r="BY1143">
            <v>4</v>
          </cell>
          <cell r="BZ1143">
            <v>4</v>
          </cell>
          <cell r="CA1143">
            <v>4</v>
          </cell>
          <cell r="CB1143">
            <v>0</v>
          </cell>
          <cell r="CC1143">
            <v>0</v>
          </cell>
          <cell r="CD1143">
            <v>0</v>
          </cell>
          <cell r="CE1143">
            <v>0</v>
          </cell>
          <cell r="CF1143">
            <v>4</v>
          </cell>
          <cell r="CG1143">
            <v>4</v>
          </cell>
          <cell r="CH1143">
            <v>4</v>
          </cell>
          <cell r="CI1143">
            <v>4</v>
          </cell>
          <cell r="CJ1143">
            <v>12</v>
          </cell>
          <cell r="CK1143">
            <v>4</v>
          </cell>
          <cell r="CL1143">
            <v>4</v>
          </cell>
          <cell r="CM1143">
            <v>4</v>
          </cell>
          <cell r="CR1143">
            <v>0</v>
          </cell>
          <cell r="CS1143">
            <v>0</v>
          </cell>
          <cell r="CT1143">
            <v>70</v>
          </cell>
          <cell r="CU1143">
            <v>28</v>
          </cell>
          <cell r="CV1143">
            <v>8</v>
          </cell>
          <cell r="CZ1143">
            <v>106</v>
          </cell>
        </row>
        <row r="1144">
          <cell r="C1144" t="str">
            <v>04823</v>
          </cell>
          <cell r="D1144" t="str">
            <v>Bùi Thị Yến Nhi</v>
          </cell>
          <cell r="E1144" t="str">
            <v>PD</v>
          </cell>
          <cell r="F1144" t="str">
            <v>PD office</v>
          </cell>
          <cell r="G1144" t="str">
            <v>Staff</v>
          </cell>
          <cell r="H1144">
            <v>45931</v>
          </cell>
          <cell r="I1144">
            <v>8</v>
          </cell>
          <cell r="J1144">
            <v>8</v>
          </cell>
          <cell r="K1144" t="str">
            <v>PO</v>
          </cell>
          <cell r="L1144" t="str">
            <v>CN</v>
          </cell>
          <cell r="M1144">
            <v>8</v>
          </cell>
          <cell r="N1144">
            <v>8</v>
          </cell>
          <cell r="O1144">
            <v>8</v>
          </cell>
          <cell r="P1144">
            <v>8</v>
          </cell>
          <cell r="Q1144">
            <v>8</v>
          </cell>
          <cell r="R1144" t="str">
            <v>PO</v>
          </cell>
          <cell r="S1144" t="str">
            <v>CN</v>
          </cell>
          <cell r="T1144">
            <v>8</v>
          </cell>
          <cell r="U1144">
            <v>8</v>
          </cell>
          <cell r="V1144">
            <v>8</v>
          </cell>
          <cell r="W1144">
            <v>8</v>
          </cell>
          <cell r="X1144">
            <v>8</v>
          </cell>
          <cell r="Y1144" t="str">
            <v>PO</v>
          </cell>
          <cell r="Z1144" t="str">
            <v>CN</v>
          </cell>
          <cell r="AA1144">
            <v>8</v>
          </cell>
          <cell r="AB1144">
            <v>8</v>
          </cell>
          <cell r="AC1144">
            <v>8</v>
          </cell>
          <cell r="AD1144">
            <v>8</v>
          </cell>
          <cell r="AE1144">
            <v>8</v>
          </cell>
          <cell r="AF1144" t="str">
            <v>PO</v>
          </cell>
          <cell r="AG1144" t="str">
            <v>CN</v>
          </cell>
          <cell r="AH1144">
            <v>8</v>
          </cell>
          <cell r="AI1144">
            <v>8</v>
          </cell>
          <cell r="AJ1144">
            <v>8</v>
          </cell>
          <cell r="AN1144">
            <v>0</v>
          </cell>
          <cell r="AO1144">
            <v>160</v>
          </cell>
          <cell r="AP1144">
            <v>0</v>
          </cell>
          <cell r="AQ1144">
            <v>0</v>
          </cell>
          <cell r="AR1144">
            <v>0</v>
          </cell>
          <cell r="AS1144">
            <v>0</v>
          </cell>
          <cell r="AT1144">
            <v>0</v>
          </cell>
          <cell r="AU1144">
            <v>0</v>
          </cell>
          <cell r="AV1144">
            <v>32</v>
          </cell>
          <cell r="AW1144">
            <v>0</v>
          </cell>
          <cell r="AX1144">
            <v>0</v>
          </cell>
          <cell r="AY1144">
            <v>0</v>
          </cell>
          <cell r="AZ1144">
            <v>0</v>
          </cell>
          <cell r="BA1144">
            <v>0</v>
          </cell>
          <cell r="BB1144">
            <v>0</v>
          </cell>
          <cell r="BC1144">
            <v>0</v>
          </cell>
          <cell r="BD1144">
            <v>0</v>
          </cell>
          <cell r="BE1144">
            <v>0</v>
          </cell>
          <cell r="BF1144">
            <v>0</v>
          </cell>
          <cell r="BG1144">
            <v>192</v>
          </cell>
          <cell r="BH1144">
            <v>0</v>
          </cell>
          <cell r="BI1144">
            <v>0</v>
          </cell>
          <cell r="BJ1144">
            <v>2</v>
          </cell>
          <cell r="BL1144">
            <v>0</v>
          </cell>
          <cell r="BM1144">
            <v>0</v>
          </cell>
          <cell r="BN1144">
            <v>0</v>
          </cell>
          <cell r="BO1144">
            <v>0</v>
          </cell>
          <cell r="BP1144">
            <v>0</v>
          </cell>
          <cell r="BQ1144">
            <v>0</v>
          </cell>
          <cell r="BR1144">
            <v>0</v>
          </cell>
          <cell r="BS1144">
            <v>0</v>
          </cell>
          <cell r="BT1144">
            <v>0</v>
          </cell>
          <cell r="BU1144">
            <v>0</v>
          </cell>
          <cell r="BV1144">
            <v>0</v>
          </cell>
          <cell r="BW1144">
            <v>0</v>
          </cell>
          <cell r="BX1144">
            <v>1</v>
          </cell>
          <cell r="BY1144">
            <v>0</v>
          </cell>
          <cell r="BZ1144">
            <v>0</v>
          </cell>
          <cell r="CA1144">
            <v>0</v>
          </cell>
          <cell r="CB1144">
            <v>0</v>
          </cell>
          <cell r="CC1144">
            <v>0</v>
          </cell>
          <cell r="CD1144">
            <v>0</v>
          </cell>
          <cell r="CE1144">
            <v>1</v>
          </cell>
          <cell r="CF1144">
            <v>1</v>
          </cell>
          <cell r="CG1144">
            <v>0</v>
          </cell>
          <cell r="CH1144">
            <v>4</v>
          </cell>
          <cell r="CI1144">
            <v>0</v>
          </cell>
          <cell r="CJ1144">
            <v>0</v>
          </cell>
          <cell r="CK1144">
            <v>1.5</v>
          </cell>
          <cell r="CL1144">
            <v>3.5</v>
          </cell>
          <cell r="CM1144">
            <v>1</v>
          </cell>
          <cell r="CR1144">
            <v>0</v>
          </cell>
          <cell r="CS1144">
            <v>0</v>
          </cell>
          <cell r="CT1144">
            <v>13</v>
          </cell>
          <cell r="CU1144">
            <v>0</v>
          </cell>
          <cell r="CV1144">
            <v>0</v>
          </cell>
          <cell r="CZ1144">
            <v>13</v>
          </cell>
        </row>
        <row r="1145">
          <cell r="C1145" t="str">
            <v>04824</v>
          </cell>
          <cell r="D1145" t="str">
            <v>Nguyễn Quốc Nam</v>
          </cell>
          <cell r="E1145" t="str">
            <v>Production</v>
          </cell>
          <cell r="F1145" t="str">
            <v>Die cut</v>
          </cell>
          <cell r="G1145" t="str">
            <v>Worker</v>
          </cell>
          <cell r="H1145">
            <v>45936</v>
          </cell>
          <cell r="I1145">
            <v>8</v>
          </cell>
          <cell r="J1145">
            <v>8</v>
          </cell>
          <cell r="K1145">
            <v>8</v>
          </cell>
          <cell r="L1145" t="str">
            <v>CN</v>
          </cell>
          <cell r="M1145">
            <v>8</v>
          </cell>
          <cell r="N1145">
            <v>8</v>
          </cell>
          <cell r="O1145">
            <v>8</v>
          </cell>
          <cell r="P1145">
            <v>8</v>
          </cell>
          <cell r="Q1145">
            <v>8</v>
          </cell>
          <cell r="R1145">
            <v>8</v>
          </cell>
          <cell r="S1145" t="str">
            <v>CN</v>
          </cell>
          <cell r="T1145" t="str">
            <v>Đ</v>
          </cell>
          <cell r="U1145" t="str">
            <v>Đ</v>
          </cell>
          <cell r="V1145" t="str">
            <v>Đ</v>
          </cell>
          <cell r="W1145" t="str">
            <v>Đ</v>
          </cell>
          <cell r="X1145" t="str">
            <v>Đ</v>
          </cell>
          <cell r="Y1145" t="str">
            <v>Đ</v>
          </cell>
          <cell r="Z1145" t="str">
            <v>CN</v>
          </cell>
          <cell r="AA1145">
            <v>8</v>
          </cell>
          <cell r="AB1145">
            <v>8</v>
          </cell>
          <cell r="AC1145">
            <v>8</v>
          </cell>
          <cell r="AD1145">
            <v>8</v>
          </cell>
          <cell r="AE1145">
            <v>8</v>
          </cell>
          <cell r="AF1145">
            <v>8</v>
          </cell>
          <cell r="AG1145" t="str">
            <v>CN</v>
          </cell>
          <cell r="AH1145" t="str">
            <v>Đ</v>
          </cell>
          <cell r="AI1145" t="str">
            <v>Đ</v>
          </cell>
          <cell r="AJ1145" t="str">
            <v>Đ</v>
          </cell>
          <cell r="AN1145">
            <v>72</v>
          </cell>
          <cell r="AO1145">
            <v>120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192</v>
          </cell>
          <cell r="BH1145">
            <v>0</v>
          </cell>
          <cell r="BI1145">
            <v>0</v>
          </cell>
          <cell r="BJ1145">
            <v>2</v>
          </cell>
          <cell r="BL1145">
            <v>0</v>
          </cell>
          <cell r="BM1145">
            <v>4</v>
          </cell>
          <cell r="BN1145">
            <v>0</v>
          </cell>
          <cell r="BO1145">
            <v>0</v>
          </cell>
          <cell r="BP1145">
            <v>3</v>
          </cell>
          <cell r="BQ1145">
            <v>0</v>
          </cell>
          <cell r="BR1145">
            <v>0</v>
          </cell>
          <cell r="BS1145">
            <v>0</v>
          </cell>
          <cell r="BT1145">
            <v>0</v>
          </cell>
          <cell r="BU1145">
            <v>0</v>
          </cell>
          <cell r="BV1145">
            <v>0</v>
          </cell>
          <cell r="BW1145">
            <v>3</v>
          </cell>
          <cell r="BX1145">
            <v>4</v>
          </cell>
          <cell r="BY1145">
            <v>4</v>
          </cell>
          <cell r="BZ1145">
            <v>4</v>
          </cell>
          <cell r="CA1145">
            <v>4</v>
          </cell>
          <cell r="CB1145">
            <v>4</v>
          </cell>
          <cell r="CC1145">
            <v>0</v>
          </cell>
          <cell r="CD1145">
            <v>2</v>
          </cell>
          <cell r="CE1145">
            <v>3</v>
          </cell>
          <cell r="CF1145">
            <v>3</v>
          </cell>
          <cell r="CG1145">
            <v>3</v>
          </cell>
          <cell r="CH1145">
            <v>1.5</v>
          </cell>
          <cell r="CI1145">
            <v>1.5</v>
          </cell>
          <cell r="CJ1145">
            <v>8</v>
          </cell>
          <cell r="CK1145">
            <v>1.5</v>
          </cell>
          <cell r="CL1145">
            <v>4</v>
          </cell>
          <cell r="CM1145">
            <v>1.5</v>
          </cell>
          <cell r="CR1145">
            <v>0</v>
          </cell>
          <cell r="CS1145">
            <v>0</v>
          </cell>
          <cell r="CT1145">
            <v>51</v>
          </cell>
          <cell r="CU1145">
            <v>8</v>
          </cell>
          <cell r="CV1145">
            <v>0</v>
          </cell>
          <cell r="CZ1145">
            <v>59</v>
          </cell>
        </row>
        <row r="1146">
          <cell r="C1146" t="str">
            <v>04825</v>
          </cell>
          <cell r="D1146" t="str">
            <v>Phan Hữu Nhiên</v>
          </cell>
          <cell r="E1146" t="str">
            <v>Production</v>
          </cell>
          <cell r="F1146" t="str">
            <v>Die cut</v>
          </cell>
          <cell r="G1146" t="str">
            <v>Worker</v>
          </cell>
          <cell r="H1146">
            <v>45936</v>
          </cell>
          <cell r="I1146" t="str">
            <v>Đ</v>
          </cell>
          <cell r="J1146" t="str">
            <v>Đ</v>
          </cell>
          <cell r="K1146" t="str">
            <v>Đ</v>
          </cell>
          <cell r="L1146" t="str">
            <v>CN</v>
          </cell>
          <cell r="M1146">
            <v>8</v>
          </cell>
          <cell r="N1146">
            <v>8</v>
          </cell>
          <cell r="O1146">
            <v>8</v>
          </cell>
          <cell r="P1146">
            <v>8</v>
          </cell>
          <cell r="Q1146">
            <v>8</v>
          </cell>
          <cell r="R1146">
            <v>8</v>
          </cell>
          <cell r="S1146" t="str">
            <v>CN</v>
          </cell>
          <cell r="T1146" t="str">
            <v>Đ</v>
          </cell>
          <cell r="U1146" t="str">
            <v>Đ</v>
          </cell>
          <cell r="V1146" t="str">
            <v>Đ</v>
          </cell>
          <cell r="W1146" t="str">
            <v>Đ</v>
          </cell>
          <cell r="X1146" t="str">
            <v>Đ</v>
          </cell>
          <cell r="Y1146" t="str">
            <v>AL8</v>
          </cell>
          <cell r="Z1146" t="str">
            <v>CN</v>
          </cell>
          <cell r="AA1146">
            <v>8</v>
          </cell>
          <cell r="AB1146">
            <v>8</v>
          </cell>
          <cell r="AC1146">
            <v>8</v>
          </cell>
          <cell r="AD1146">
            <v>8</v>
          </cell>
          <cell r="AE1146">
            <v>8</v>
          </cell>
          <cell r="AF1146">
            <v>8</v>
          </cell>
          <cell r="AG1146" t="str">
            <v>CN</v>
          </cell>
          <cell r="AH1146" t="str">
            <v>Đ</v>
          </cell>
          <cell r="AI1146" t="str">
            <v>Đ</v>
          </cell>
          <cell r="AJ1146" t="str">
            <v>Đ</v>
          </cell>
          <cell r="AN1146">
            <v>88</v>
          </cell>
          <cell r="AO1146">
            <v>96</v>
          </cell>
          <cell r="AP1146">
            <v>0</v>
          </cell>
          <cell r="AQ1146">
            <v>0</v>
          </cell>
          <cell r="AR1146">
            <v>0</v>
          </cell>
          <cell r="AS1146">
            <v>0</v>
          </cell>
          <cell r="AT1146">
            <v>0</v>
          </cell>
          <cell r="AU1146">
            <v>0</v>
          </cell>
          <cell r="AV1146">
            <v>0</v>
          </cell>
          <cell r="AW1146">
            <v>0</v>
          </cell>
          <cell r="AX1146">
            <v>0</v>
          </cell>
          <cell r="AY1146">
            <v>0</v>
          </cell>
          <cell r="AZ1146">
            <v>0</v>
          </cell>
          <cell r="BA1146">
            <v>8</v>
          </cell>
          <cell r="BB1146">
            <v>0</v>
          </cell>
          <cell r="BC1146">
            <v>0</v>
          </cell>
          <cell r="BD1146">
            <v>0</v>
          </cell>
          <cell r="BE1146">
            <v>0</v>
          </cell>
          <cell r="BF1146">
            <v>0</v>
          </cell>
          <cell r="BG1146">
            <v>192</v>
          </cell>
          <cell r="BH1146">
            <v>1</v>
          </cell>
          <cell r="BI1146">
            <v>1</v>
          </cell>
          <cell r="BJ1146">
            <v>2</v>
          </cell>
          <cell r="BL1146">
            <v>1.5</v>
          </cell>
          <cell r="BM1146">
            <v>1.5</v>
          </cell>
          <cell r="BN1146">
            <v>1.5</v>
          </cell>
          <cell r="BO1146">
            <v>0</v>
          </cell>
          <cell r="BP1146">
            <v>1.5</v>
          </cell>
          <cell r="BQ1146">
            <v>0</v>
          </cell>
          <cell r="BR1146">
            <v>0</v>
          </cell>
          <cell r="BS1146">
            <v>0</v>
          </cell>
          <cell r="BT1146">
            <v>0</v>
          </cell>
          <cell r="BU1146">
            <v>0</v>
          </cell>
          <cell r="BV1146">
            <v>0</v>
          </cell>
          <cell r="BW1146">
            <v>4</v>
          </cell>
          <cell r="BX1146">
            <v>4</v>
          </cell>
          <cell r="BY1146">
            <v>4</v>
          </cell>
          <cell r="BZ1146">
            <v>4</v>
          </cell>
          <cell r="CA1146">
            <v>4</v>
          </cell>
          <cell r="CB1146">
            <v>0</v>
          </cell>
          <cell r="CC1146">
            <v>0</v>
          </cell>
          <cell r="CD1146">
            <v>3</v>
          </cell>
          <cell r="CE1146">
            <v>3</v>
          </cell>
          <cell r="CF1146">
            <v>3</v>
          </cell>
          <cell r="CG1146">
            <v>3</v>
          </cell>
          <cell r="CH1146">
            <v>3</v>
          </cell>
          <cell r="CI1146">
            <v>3</v>
          </cell>
          <cell r="CJ1146">
            <v>8</v>
          </cell>
          <cell r="CK1146">
            <v>4</v>
          </cell>
          <cell r="CL1146">
            <v>4</v>
          </cell>
          <cell r="CM1146">
            <v>4</v>
          </cell>
          <cell r="CR1146">
            <v>0</v>
          </cell>
          <cell r="CS1146">
            <v>0</v>
          </cell>
          <cell r="CT1146">
            <v>56</v>
          </cell>
          <cell r="CU1146">
            <v>8</v>
          </cell>
          <cell r="CV1146">
            <v>0</v>
          </cell>
          <cell r="CZ1146">
            <v>64</v>
          </cell>
        </row>
        <row r="1147">
          <cell r="C1147" t="str">
            <v>04826</v>
          </cell>
          <cell r="D1147" t="str">
            <v>Nguyễn Thành Luân</v>
          </cell>
          <cell r="E1147" t="str">
            <v>Production</v>
          </cell>
          <cell r="F1147" t="str">
            <v>Die cut</v>
          </cell>
          <cell r="G1147" t="str">
            <v>Worker</v>
          </cell>
          <cell r="H1147">
            <v>45936</v>
          </cell>
          <cell r="I1147" t="str">
            <v>Đ</v>
          </cell>
          <cell r="J1147" t="str">
            <v>Đ</v>
          </cell>
          <cell r="K1147" t="str">
            <v>Đ</v>
          </cell>
          <cell r="L1147" t="str">
            <v>CN</v>
          </cell>
          <cell r="M1147">
            <v>8</v>
          </cell>
          <cell r="N1147">
            <v>8</v>
          </cell>
          <cell r="O1147">
            <v>8</v>
          </cell>
          <cell r="P1147">
            <v>8</v>
          </cell>
          <cell r="Q1147">
            <v>8</v>
          </cell>
          <cell r="R1147">
            <v>8</v>
          </cell>
          <cell r="S1147" t="str">
            <v>CN</v>
          </cell>
          <cell r="T1147" t="str">
            <v>AL8</v>
          </cell>
          <cell r="U1147" t="str">
            <v>AL8</v>
          </cell>
          <cell r="V1147" t="str">
            <v>UP8</v>
          </cell>
          <cell r="W1147" t="str">
            <v>UP8</v>
          </cell>
          <cell r="X1147" t="str">
            <v>UP8</v>
          </cell>
          <cell r="Y1147" t="str">
            <v>UP8</v>
          </cell>
          <cell r="Z1147" t="str">
            <v>CN</v>
          </cell>
          <cell r="AA1147" t="str">
            <v>UP8</v>
          </cell>
          <cell r="AB1147" t="str">
            <v>UP8</v>
          </cell>
          <cell r="AC1147" t="str">
            <v>TV</v>
          </cell>
          <cell r="AD1147" t="str">
            <v>TV</v>
          </cell>
          <cell r="AE1147" t="str">
            <v>TV</v>
          </cell>
          <cell r="AF1147" t="str">
            <v>TV</v>
          </cell>
          <cell r="AG1147" t="str">
            <v>TV</v>
          </cell>
          <cell r="AH1147" t="str">
            <v>TV</v>
          </cell>
          <cell r="AI1147" t="str">
            <v>TV</v>
          </cell>
          <cell r="AJ1147" t="str">
            <v>TV</v>
          </cell>
          <cell r="AN1147">
            <v>24</v>
          </cell>
          <cell r="AO1147">
            <v>48</v>
          </cell>
          <cell r="AP1147">
            <v>0</v>
          </cell>
          <cell r="AQ1147">
            <v>0</v>
          </cell>
          <cell r="AR1147">
            <v>0</v>
          </cell>
          <cell r="AS1147">
            <v>48</v>
          </cell>
          <cell r="AT1147">
            <v>0</v>
          </cell>
          <cell r="AU1147">
            <v>0</v>
          </cell>
          <cell r="AV1147">
            <v>0</v>
          </cell>
          <cell r="AW1147">
            <v>0</v>
          </cell>
          <cell r="AX1147">
            <v>0</v>
          </cell>
          <cell r="AY1147">
            <v>0</v>
          </cell>
          <cell r="AZ1147">
            <v>0</v>
          </cell>
          <cell r="BA1147">
            <v>16</v>
          </cell>
          <cell r="BB1147">
            <v>0</v>
          </cell>
          <cell r="BC1147">
            <v>0</v>
          </cell>
          <cell r="BD1147">
            <v>0</v>
          </cell>
          <cell r="BE1147">
            <v>0</v>
          </cell>
          <cell r="BF1147">
            <v>0</v>
          </cell>
          <cell r="BG1147">
            <v>88</v>
          </cell>
          <cell r="BH1147">
            <v>2</v>
          </cell>
          <cell r="BI1147">
            <v>2</v>
          </cell>
          <cell r="BJ1147">
            <v>0</v>
          </cell>
          <cell r="BL1147">
            <v>1.5</v>
          </cell>
          <cell r="BM1147">
            <v>1.5</v>
          </cell>
          <cell r="BN1147">
            <v>1.5</v>
          </cell>
          <cell r="BO1147">
            <v>0</v>
          </cell>
          <cell r="BP1147">
            <v>1.5</v>
          </cell>
          <cell r="BQ1147">
            <v>0</v>
          </cell>
          <cell r="BR1147">
            <v>0</v>
          </cell>
          <cell r="BS1147">
            <v>0</v>
          </cell>
          <cell r="BT1147">
            <v>0</v>
          </cell>
          <cell r="BU1147">
            <v>0</v>
          </cell>
          <cell r="BV1147">
            <v>0</v>
          </cell>
          <cell r="BW1147">
            <v>0</v>
          </cell>
          <cell r="BX1147">
            <v>0</v>
          </cell>
          <cell r="BY1147">
            <v>0</v>
          </cell>
          <cell r="BZ1147">
            <v>0</v>
          </cell>
          <cell r="CA1147">
            <v>0</v>
          </cell>
          <cell r="CB1147">
            <v>0</v>
          </cell>
          <cell r="CC1147">
            <v>0</v>
          </cell>
          <cell r="CD1147">
            <v>0</v>
          </cell>
          <cell r="CE1147">
            <v>0</v>
          </cell>
          <cell r="CF1147">
            <v>0</v>
          </cell>
          <cell r="CG1147">
            <v>0</v>
          </cell>
          <cell r="CH1147">
            <v>0</v>
          </cell>
          <cell r="CI1147">
            <v>0</v>
          </cell>
          <cell r="CJ1147">
            <v>0</v>
          </cell>
          <cell r="CK1147">
            <v>0</v>
          </cell>
          <cell r="CL1147">
            <v>0</v>
          </cell>
          <cell r="CM1147">
            <v>0</v>
          </cell>
          <cell r="CR1147">
            <v>0</v>
          </cell>
          <cell r="CS1147">
            <v>0</v>
          </cell>
          <cell r="CT1147">
            <v>6</v>
          </cell>
          <cell r="CU1147">
            <v>0</v>
          </cell>
          <cell r="CV1147">
            <v>0</v>
          </cell>
          <cell r="CZ1147">
            <v>6</v>
          </cell>
        </row>
        <row r="1148">
          <cell r="C1148" t="str">
            <v>04829</v>
          </cell>
          <cell r="D1148" t="str">
            <v>Nguyễn Thị Kim Ngân</v>
          </cell>
          <cell r="E1148" t="str">
            <v>Production</v>
          </cell>
          <cell r="F1148" t="str">
            <v>Molding</v>
          </cell>
          <cell r="G1148" t="str">
            <v>Worker</v>
          </cell>
          <cell r="H1148">
            <v>45940</v>
          </cell>
          <cell r="I1148">
            <v>8</v>
          </cell>
          <cell r="J1148">
            <v>8</v>
          </cell>
          <cell r="K1148" t="str">
            <v>AL4</v>
          </cell>
          <cell r="L1148" t="str">
            <v>CN</v>
          </cell>
          <cell r="M1148" t="str">
            <v>Đ</v>
          </cell>
          <cell r="N1148" t="str">
            <v>Đ</v>
          </cell>
          <cell r="O1148" t="str">
            <v>Đ</v>
          </cell>
          <cell r="P1148" t="str">
            <v>Đ</v>
          </cell>
          <cell r="Q1148" t="str">
            <v>Đ</v>
          </cell>
          <cell r="R1148" t="str">
            <v>Đ</v>
          </cell>
          <cell r="S1148" t="str">
            <v>CN</v>
          </cell>
          <cell r="T1148" t="str">
            <v>AL8</v>
          </cell>
          <cell r="U1148">
            <v>8</v>
          </cell>
          <cell r="V1148">
            <v>8</v>
          </cell>
          <cell r="W1148">
            <v>8</v>
          </cell>
          <cell r="X1148">
            <v>8</v>
          </cell>
          <cell r="Y1148">
            <v>8</v>
          </cell>
          <cell r="Z1148" t="str">
            <v>CN</v>
          </cell>
          <cell r="AA1148" t="str">
            <v>Đ</v>
          </cell>
          <cell r="AB1148" t="str">
            <v>Đ</v>
          </cell>
          <cell r="AC1148" t="str">
            <v>Đ</v>
          </cell>
          <cell r="AD1148" t="str">
            <v>Đ</v>
          </cell>
          <cell r="AE1148" t="str">
            <v>Đ</v>
          </cell>
          <cell r="AF1148" t="str">
            <v>Đ</v>
          </cell>
          <cell r="AG1148" t="str">
            <v>CN</v>
          </cell>
          <cell r="AH1148">
            <v>8</v>
          </cell>
          <cell r="AI1148">
            <v>8</v>
          </cell>
          <cell r="AJ1148" t="str">
            <v>UP4</v>
          </cell>
          <cell r="AN1148">
            <v>96</v>
          </cell>
          <cell r="AO1148">
            <v>80</v>
          </cell>
          <cell r="AP1148">
            <v>4</v>
          </cell>
          <cell r="AQ1148">
            <v>0</v>
          </cell>
          <cell r="AR1148">
            <v>4</v>
          </cell>
          <cell r="AS1148">
            <v>4</v>
          </cell>
          <cell r="AT1148">
            <v>0</v>
          </cell>
          <cell r="AU1148">
            <v>0</v>
          </cell>
          <cell r="AV1148">
            <v>0</v>
          </cell>
          <cell r="AW1148">
            <v>0</v>
          </cell>
          <cell r="AX1148">
            <v>0</v>
          </cell>
          <cell r="AY1148">
            <v>0</v>
          </cell>
          <cell r="AZ1148">
            <v>0</v>
          </cell>
          <cell r="BA1148">
            <v>12</v>
          </cell>
          <cell r="BB1148">
            <v>0</v>
          </cell>
          <cell r="BC1148">
            <v>0</v>
          </cell>
          <cell r="BD1148">
            <v>0</v>
          </cell>
          <cell r="BE1148">
            <v>0</v>
          </cell>
          <cell r="BF1148">
            <v>0</v>
          </cell>
          <cell r="BG1148">
            <v>188</v>
          </cell>
          <cell r="BH1148">
            <v>1.5</v>
          </cell>
          <cell r="BI1148">
            <v>1.5</v>
          </cell>
          <cell r="BJ1148">
            <v>-1.5</v>
          </cell>
          <cell r="BL1148">
            <v>0</v>
          </cell>
          <cell r="BM1148">
            <v>0</v>
          </cell>
          <cell r="BN1148">
            <v>4</v>
          </cell>
          <cell r="BO1148">
            <v>0</v>
          </cell>
          <cell r="BP1148">
            <v>0</v>
          </cell>
          <cell r="BQ1148">
            <v>0</v>
          </cell>
          <cell r="BR1148">
            <v>0</v>
          </cell>
          <cell r="BS1148">
            <v>0</v>
          </cell>
          <cell r="BT1148">
            <v>4</v>
          </cell>
          <cell r="BU1148">
            <v>4</v>
          </cell>
          <cell r="BV1148">
            <v>0</v>
          </cell>
          <cell r="BW1148">
            <v>0</v>
          </cell>
          <cell r="BX1148">
            <v>0</v>
          </cell>
          <cell r="BY1148">
            <v>0</v>
          </cell>
          <cell r="BZ1148">
            <v>4</v>
          </cell>
          <cell r="CA1148">
            <v>0</v>
          </cell>
          <cell r="CB1148">
            <v>4</v>
          </cell>
          <cell r="CC1148">
            <v>0</v>
          </cell>
          <cell r="CD1148">
            <v>0</v>
          </cell>
          <cell r="CE1148">
            <v>0</v>
          </cell>
          <cell r="CF1148">
            <v>0</v>
          </cell>
          <cell r="CG1148">
            <v>0</v>
          </cell>
          <cell r="CH1148">
            <v>0</v>
          </cell>
          <cell r="CI1148">
            <v>0</v>
          </cell>
          <cell r="CJ1148">
            <v>0</v>
          </cell>
          <cell r="CK1148">
            <v>0</v>
          </cell>
          <cell r="CL1148">
            <v>0</v>
          </cell>
          <cell r="CM1148">
            <v>4</v>
          </cell>
          <cell r="CR1148">
            <v>0</v>
          </cell>
          <cell r="CS1148">
            <v>0</v>
          </cell>
          <cell r="CT1148">
            <v>24</v>
          </cell>
          <cell r="CU1148">
            <v>0</v>
          </cell>
          <cell r="CV1148">
            <v>0</v>
          </cell>
          <cell r="CZ1148">
            <v>24</v>
          </cell>
        </row>
        <row r="1149">
          <cell r="C1149" t="str">
            <v>04832</v>
          </cell>
          <cell r="D1149" t="str">
            <v>Trần Thị Tinh Vi</v>
          </cell>
          <cell r="E1149" t="str">
            <v>Production</v>
          </cell>
          <cell r="F1149" t="str">
            <v>Molding</v>
          </cell>
          <cell r="G1149" t="str">
            <v>Worker</v>
          </cell>
          <cell r="H1149">
            <v>45940</v>
          </cell>
          <cell r="I1149">
            <v>8</v>
          </cell>
          <cell r="J1149">
            <v>8</v>
          </cell>
          <cell r="K1149">
            <v>8</v>
          </cell>
          <cell r="L1149" t="str">
            <v>CN</v>
          </cell>
          <cell r="M1149" t="str">
            <v>Đ</v>
          </cell>
          <cell r="N1149" t="str">
            <v>Đ</v>
          </cell>
          <cell r="O1149" t="str">
            <v>Đ</v>
          </cell>
          <cell r="P1149" t="str">
            <v>Đ</v>
          </cell>
          <cell r="Q1149" t="str">
            <v>Đ</v>
          </cell>
          <cell r="R1149" t="str">
            <v>Đ</v>
          </cell>
          <cell r="S1149" t="str">
            <v>CN</v>
          </cell>
          <cell r="T1149">
            <v>8</v>
          </cell>
          <cell r="U1149">
            <v>8</v>
          </cell>
          <cell r="V1149">
            <v>8</v>
          </cell>
          <cell r="W1149">
            <v>8</v>
          </cell>
          <cell r="X1149">
            <v>8</v>
          </cell>
          <cell r="Y1149" t="str">
            <v>AL4</v>
          </cell>
          <cell r="Z1149" t="str">
            <v>CN</v>
          </cell>
          <cell r="AA1149" t="str">
            <v>Đ</v>
          </cell>
          <cell r="AB1149" t="str">
            <v>Đ</v>
          </cell>
          <cell r="AC1149" t="str">
            <v>Đ</v>
          </cell>
          <cell r="AD1149" t="str">
            <v>Đ</v>
          </cell>
          <cell r="AE1149" t="str">
            <v>Đ</v>
          </cell>
          <cell r="AF1149" t="str">
            <v>Đ</v>
          </cell>
          <cell r="AG1149" t="str">
            <v>CN</v>
          </cell>
          <cell r="AH1149">
            <v>8</v>
          </cell>
          <cell r="AI1149">
            <v>8</v>
          </cell>
          <cell r="AJ1149">
            <v>8</v>
          </cell>
          <cell r="AN1149">
            <v>96</v>
          </cell>
          <cell r="AO1149">
            <v>92</v>
          </cell>
          <cell r="AP1149">
            <v>4</v>
          </cell>
          <cell r="AQ1149">
            <v>0</v>
          </cell>
          <cell r="AR1149">
            <v>0</v>
          </cell>
          <cell r="AS1149">
            <v>0</v>
          </cell>
          <cell r="AT1149">
            <v>0</v>
          </cell>
          <cell r="AU1149">
            <v>0</v>
          </cell>
          <cell r="AV1149">
            <v>0</v>
          </cell>
          <cell r="AW1149">
            <v>0</v>
          </cell>
          <cell r="AX1149">
            <v>0</v>
          </cell>
          <cell r="AY1149">
            <v>0</v>
          </cell>
          <cell r="AZ1149">
            <v>0</v>
          </cell>
          <cell r="BA1149">
            <v>4</v>
          </cell>
          <cell r="BB1149">
            <v>0</v>
          </cell>
          <cell r="BC1149">
            <v>0</v>
          </cell>
          <cell r="BD1149">
            <v>0</v>
          </cell>
          <cell r="BE1149">
            <v>0</v>
          </cell>
          <cell r="BF1149">
            <v>0</v>
          </cell>
          <cell r="BG1149">
            <v>192</v>
          </cell>
          <cell r="BH1149">
            <v>0.5</v>
          </cell>
          <cell r="BI1149">
            <v>0.5</v>
          </cell>
          <cell r="BJ1149">
            <v>1.5</v>
          </cell>
          <cell r="BL1149">
            <v>4</v>
          </cell>
          <cell r="BM1149">
            <v>0</v>
          </cell>
          <cell r="BN1149">
            <v>0</v>
          </cell>
          <cell r="BO1149">
            <v>0</v>
          </cell>
          <cell r="BP1149">
            <v>0</v>
          </cell>
          <cell r="BQ1149">
            <v>4</v>
          </cell>
          <cell r="BR1149">
            <v>0</v>
          </cell>
          <cell r="BS1149">
            <v>4</v>
          </cell>
          <cell r="BT1149">
            <v>4</v>
          </cell>
          <cell r="BU1149">
            <v>0</v>
          </cell>
          <cell r="BV1149">
            <v>0</v>
          </cell>
          <cell r="BW1149">
            <v>0</v>
          </cell>
          <cell r="BX1149">
            <v>0</v>
          </cell>
          <cell r="BY1149">
            <v>4</v>
          </cell>
          <cell r="BZ1149">
            <v>0</v>
          </cell>
          <cell r="CA1149">
            <v>4</v>
          </cell>
          <cell r="CB1149">
            <v>0</v>
          </cell>
          <cell r="CC1149">
            <v>0</v>
          </cell>
          <cell r="CD1149">
            <v>0</v>
          </cell>
          <cell r="CE1149">
            <v>0</v>
          </cell>
          <cell r="CF1149">
            <v>0</v>
          </cell>
          <cell r="CG1149">
            <v>0</v>
          </cell>
          <cell r="CH1149">
            <v>0</v>
          </cell>
          <cell r="CI1149">
            <v>0</v>
          </cell>
          <cell r="CJ1149">
            <v>0</v>
          </cell>
          <cell r="CK1149">
            <v>0</v>
          </cell>
          <cell r="CL1149">
            <v>0</v>
          </cell>
          <cell r="CM1149">
            <v>0</v>
          </cell>
          <cell r="CR1149">
            <v>0</v>
          </cell>
          <cell r="CS1149">
            <v>0</v>
          </cell>
          <cell r="CT1149">
            <v>24</v>
          </cell>
          <cell r="CU1149">
            <v>0</v>
          </cell>
          <cell r="CV1149">
            <v>0</v>
          </cell>
          <cell r="CZ1149">
            <v>24</v>
          </cell>
        </row>
        <row r="1150">
          <cell r="C1150" t="str">
            <v>04834</v>
          </cell>
          <cell r="D1150" t="str">
            <v>Trần Minh Tú</v>
          </cell>
          <cell r="E1150" t="str">
            <v>Production</v>
          </cell>
          <cell r="F1150" t="str">
            <v>Die cut</v>
          </cell>
          <cell r="G1150" t="str">
            <v>Worker</v>
          </cell>
          <cell r="H1150">
            <v>45940</v>
          </cell>
          <cell r="I1150">
            <v>8</v>
          </cell>
          <cell r="J1150">
            <v>8</v>
          </cell>
          <cell r="K1150">
            <v>8</v>
          </cell>
          <cell r="L1150" t="str">
            <v>CN</v>
          </cell>
          <cell r="M1150" t="str">
            <v>Đ</v>
          </cell>
          <cell r="N1150" t="str">
            <v>Đ</v>
          </cell>
          <cell r="O1150" t="str">
            <v>Đ</v>
          </cell>
          <cell r="P1150" t="str">
            <v>Đ</v>
          </cell>
          <cell r="Q1150" t="str">
            <v>Đ</v>
          </cell>
          <cell r="R1150" t="str">
            <v>Đ</v>
          </cell>
          <cell r="S1150" t="str">
            <v>CN</v>
          </cell>
          <cell r="T1150">
            <v>8</v>
          </cell>
          <cell r="U1150">
            <v>8</v>
          </cell>
          <cell r="V1150">
            <v>8</v>
          </cell>
          <cell r="W1150">
            <v>8</v>
          </cell>
          <cell r="X1150">
            <v>8</v>
          </cell>
          <cell r="Y1150">
            <v>8</v>
          </cell>
          <cell r="Z1150" t="str">
            <v>CN</v>
          </cell>
          <cell r="AA1150" t="str">
            <v>Đ</v>
          </cell>
          <cell r="AB1150" t="str">
            <v>Đ</v>
          </cell>
          <cell r="AC1150" t="str">
            <v>Đ</v>
          </cell>
          <cell r="AD1150" t="str">
            <v>Đ</v>
          </cell>
          <cell r="AE1150" t="str">
            <v>Đ</v>
          </cell>
          <cell r="AF1150" t="str">
            <v>Đ</v>
          </cell>
          <cell r="AG1150" t="str">
            <v>CN</v>
          </cell>
          <cell r="AH1150">
            <v>8</v>
          </cell>
          <cell r="AI1150">
            <v>8</v>
          </cell>
          <cell r="AJ1150">
            <v>8</v>
          </cell>
          <cell r="AN1150">
            <v>96</v>
          </cell>
          <cell r="AO1150">
            <v>96</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192</v>
          </cell>
          <cell r="BH1150">
            <v>0</v>
          </cell>
          <cell r="BI1150">
            <v>0</v>
          </cell>
          <cell r="BJ1150">
            <v>2.5</v>
          </cell>
          <cell r="BL1150">
            <v>0</v>
          </cell>
          <cell r="BM1150">
            <v>1.5</v>
          </cell>
          <cell r="BN1150">
            <v>1.5</v>
          </cell>
          <cell r="BO1150">
            <v>0</v>
          </cell>
          <cell r="BP1150">
            <v>1.5</v>
          </cell>
          <cell r="BQ1150">
            <v>3</v>
          </cell>
          <cell r="BR1150">
            <v>0</v>
          </cell>
          <cell r="BS1150">
            <v>3</v>
          </cell>
          <cell r="BT1150">
            <v>3</v>
          </cell>
          <cell r="BU1150">
            <v>0</v>
          </cell>
          <cell r="BV1150">
            <v>0</v>
          </cell>
          <cell r="BW1150">
            <v>3</v>
          </cell>
          <cell r="BX1150">
            <v>0</v>
          </cell>
          <cell r="BY1150">
            <v>0</v>
          </cell>
          <cell r="BZ1150">
            <v>4</v>
          </cell>
          <cell r="CA1150">
            <v>0</v>
          </cell>
          <cell r="CB1150">
            <v>3</v>
          </cell>
          <cell r="CC1150">
            <v>0</v>
          </cell>
          <cell r="CD1150">
            <v>4</v>
          </cell>
          <cell r="CE1150">
            <v>4</v>
          </cell>
          <cell r="CF1150">
            <v>4</v>
          </cell>
          <cell r="CG1150">
            <v>4</v>
          </cell>
          <cell r="CH1150">
            <v>1.5</v>
          </cell>
          <cell r="CI1150">
            <v>1.5</v>
          </cell>
          <cell r="CJ1150">
            <v>0</v>
          </cell>
          <cell r="CK1150">
            <v>1.5</v>
          </cell>
          <cell r="CL1150">
            <v>1.5</v>
          </cell>
          <cell r="CM1150">
            <v>1.5</v>
          </cell>
          <cell r="CR1150">
            <v>0</v>
          </cell>
          <cell r="CS1150">
            <v>0</v>
          </cell>
          <cell r="CT1150">
            <v>47</v>
          </cell>
          <cell r="CU1150">
            <v>0</v>
          </cell>
          <cell r="CV1150">
            <v>0</v>
          </cell>
          <cell r="CZ1150">
            <v>47</v>
          </cell>
        </row>
        <row r="1151">
          <cell r="C1151" t="str">
            <v>04838</v>
          </cell>
          <cell r="D1151" t="str">
            <v>Lê Nhựt Hào</v>
          </cell>
          <cell r="E1151" t="str">
            <v>Production</v>
          </cell>
          <cell r="F1151" t="str">
            <v>Die cut</v>
          </cell>
          <cell r="G1151" t="str">
            <v>Worker</v>
          </cell>
          <cell r="H1151">
            <v>45946</v>
          </cell>
          <cell r="I1151" t="str">
            <v>UP8</v>
          </cell>
          <cell r="J1151" t="str">
            <v>UP8</v>
          </cell>
          <cell r="K1151" t="str">
            <v>UP8</v>
          </cell>
          <cell r="L1151" t="str">
            <v>CN</v>
          </cell>
          <cell r="M1151" t="str">
            <v>UP8</v>
          </cell>
          <cell r="N1151" t="str">
            <v>UP8</v>
          </cell>
          <cell r="O1151" t="str">
            <v>UP8</v>
          </cell>
          <cell r="P1151" t="str">
            <v>UP8</v>
          </cell>
          <cell r="Q1151" t="str">
            <v>UP8</v>
          </cell>
          <cell r="R1151" t="str">
            <v>UP8</v>
          </cell>
          <cell r="S1151" t="str">
            <v>CN</v>
          </cell>
          <cell r="T1151" t="str">
            <v>UP8</v>
          </cell>
          <cell r="U1151" t="str">
            <v>UP8</v>
          </cell>
          <cell r="V1151" t="str">
            <v>UP8</v>
          </cell>
          <cell r="W1151" t="str">
            <v>NP</v>
          </cell>
          <cell r="X1151" t="str">
            <v>NP</v>
          </cell>
          <cell r="Y1151" t="str">
            <v>NP</v>
          </cell>
          <cell r="Z1151" t="str">
            <v>CN</v>
          </cell>
          <cell r="AA1151" t="str">
            <v>NP</v>
          </cell>
          <cell r="AB1151" t="str">
            <v>NP</v>
          </cell>
          <cell r="AC1151" t="str">
            <v>TV</v>
          </cell>
          <cell r="AD1151" t="str">
            <v>TV</v>
          </cell>
          <cell r="AE1151" t="str">
            <v>TV</v>
          </cell>
          <cell r="AF1151" t="str">
            <v>TV</v>
          </cell>
          <cell r="AG1151" t="str">
            <v>TV</v>
          </cell>
          <cell r="AH1151" t="str">
            <v>TV</v>
          </cell>
          <cell r="AI1151" t="str">
            <v>TV</v>
          </cell>
          <cell r="AJ1151" t="str">
            <v>TV</v>
          </cell>
          <cell r="AN1151">
            <v>0</v>
          </cell>
          <cell r="AO1151">
            <v>0</v>
          </cell>
          <cell r="AP1151">
            <v>0</v>
          </cell>
          <cell r="AQ1151">
            <v>0</v>
          </cell>
          <cell r="AR1151">
            <v>0</v>
          </cell>
          <cell r="AS1151">
            <v>96</v>
          </cell>
          <cell r="AT1151">
            <v>5</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-2</v>
          </cell>
          <cell r="BL1151">
            <v>0</v>
          </cell>
          <cell r="BM1151">
            <v>0</v>
          </cell>
          <cell r="BN1151">
            <v>0</v>
          </cell>
          <cell r="BO1151">
            <v>0</v>
          </cell>
          <cell r="BP1151">
            <v>0</v>
          </cell>
          <cell r="BQ1151">
            <v>0</v>
          </cell>
          <cell r="BR1151">
            <v>0</v>
          </cell>
          <cell r="BS1151">
            <v>0</v>
          </cell>
          <cell r="BT1151">
            <v>0</v>
          </cell>
          <cell r="BU1151">
            <v>0</v>
          </cell>
          <cell r="BV1151">
            <v>0</v>
          </cell>
          <cell r="BW1151">
            <v>0</v>
          </cell>
          <cell r="BX1151">
            <v>0</v>
          </cell>
          <cell r="BY1151">
            <v>0</v>
          </cell>
          <cell r="BZ1151">
            <v>0</v>
          </cell>
          <cell r="CA1151">
            <v>0</v>
          </cell>
          <cell r="CB1151">
            <v>0</v>
          </cell>
          <cell r="CC1151">
            <v>0</v>
          </cell>
          <cell r="CD1151">
            <v>0</v>
          </cell>
          <cell r="CE1151">
            <v>0</v>
          </cell>
          <cell r="CF1151">
            <v>0</v>
          </cell>
          <cell r="CG1151">
            <v>0</v>
          </cell>
          <cell r="CH1151">
            <v>0</v>
          </cell>
          <cell r="CI1151">
            <v>0</v>
          </cell>
          <cell r="CJ1151">
            <v>0</v>
          </cell>
          <cell r="CK1151">
            <v>0</v>
          </cell>
          <cell r="CL1151">
            <v>0</v>
          </cell>
          <cell r="CM1151">
            <v>0</v>
          </cell>
          <cell r="CR1151">
            <v>0</v>
          </cell>
          <cell r="CS1151">
            <v>0</v>
          </cell>
          <cell r="CT1151">
            <v>0</v>
          </cell>
          <cell r="CU1151">
            <v>0</v>
          </cell>
          <cell r="CV1151">
            <v>0</v>
          </cell>
          <cell r="CZ1151">
            <v>0</v>
          </cell>
        </row>
        <row r="1152">
          <cell r="C1152" t="str">
            <v>04839</v>
          </cell>
          <cell r="D1152" t="str">
            <v>Long Đức Hậu</v>
          </cell>
          <cell r="E1152" t="str">
            <v>Production</v>
          </cell>
          <cell r="F1152" t="str">
            <v>Die cut</v>
          </cell>
          <cell r="G1152" t="str">
            <v>Worker</v>
          </cell>
          <cell r="H1152">
            <v>45946</v>
          </cell>
          <cell r="I1152" t="str">
            <v>TV</v>
          </cell>
          <cell r="J1152" t="str">
            <v>TV</v>
          </cell>
          <cell r="K1152" t="str">
            <v>TV</v>
          </cell>
          <cell r="L1152" t="str">
            <v>TV</v>
          </cell>
          <cell r="M1152" t="str">
            <v>TV</v>
          </cell>
          <cell r="N1152" t="str">
            <v>TV</v>
          </cell>
          <cell r="O1152" t="str">
            <v>TV</v>
          </cell>
          <cell r="P1152" t="str">
            <v>TV</v>
          </cell>
          <cell r="Q1152" t="str">
            <v>TV</v>
          </cell>
          <cell r="R1152" t="str">
            <v>TV</v>
          </cell>
          <cell r="S1152" t="str">
            <v>TV</v>
          </cell>
          <cell r="T1152" t="str">
            <v>TV</v>
          </cell>
          <cell r="U1152" t="str">
            <v>TV</v>
          </cell>
          <cell r="V1152" t="str">
            <v>TV</v>
          </cell>
          <cell r="W1152" t="str">
            <v>TV</v>
          </cell>
          <cell r="X1152" t="str">
            <v>TV</v>
          </cell>
          <cell r="Y1152" t="str">
            <v>TV</v>
          </cell>
          <cell r="Z1152" t="str">
            <v>TV</v>
          </cell>
          <cell r="AA1152" t="str">
            <v>TV</v>
          </cell>
          <cell r="AB1152" t="str">
            <v>TV</v>
          </cell>
          <cell r="AC1152" t="str">
            <v>TV</v>
          </cell>
          <cell r="AD1152" t="str">
            <v>TV</v>
          </cell>
          <cell r="AE1152" t="str">
            <v>TV</v>
          </cell>
          <cell r="AF1152" t="str">
            <v>TV</v>
          </cell>
          <cell r="AG1152" t="str">
            <v>TV</v>
          </cell>
          <cell r="AH1152" t="str">
            <v>TV</v>
          </cell>
          <cell r="AI1152" t="str">
            <v>TV</v>
          </cell>
          <cell r="AJ1152" t="str">
            <v>TV</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1</v>
          </cell>
          <cell r="BL1152">
            <v>0</v>
          </cell>
          <cell r="BM1152">
            <v>0</v>
          </cell>
          <cell r="BN1152">
            <v>0</v>
          </cell>
          <cell r="BO1152">
            <v>0</v>
          </cell>
          <cell r="BP1152">
            <v>0</v>
          </cell>
          <cell r="BQ1152">
            <v>0</v>
          </cell>
          <cell r="BR1152">
            <v>0</v>
          </cell>
          <cell r="BS1152">
            <v>0</v>
          </cell>
          <cell r="BT1152">
            <v>0</v>
          </cell>
          <cell r="BU1152">
            <v>0</v>
          </cell>
          <cell r="BV1152">
            <v>0</v>
          </cell>
          <cell r="BW1152">
            <v>0</v>
          </cell>
          <cell r="BX1152">
            <v>0</v>
          </cell>
          <cell r="BY1152">
            <v>0</v>
          </cell>
          <cell r="BZ1152">
            <v>0</v>
          </cell>
          <cell r="CA1152">
            <v>0</v>
          </cell>
          <cell r="CB1152">
            <v>0</v>
          </cell>
          <cell r="CC1152">
            <v>0</v>
          </cell>
          <cell r="CD1152">
            <v>0</v>
          </cell>
          <cell r="CE1152">
            <v>0</v>
          </cell>
          <cell r="CF1152">
            <v>0</v>
          </cell>
          <cell r="CG1152">
            <v>0</v>
          </cell>
          <cell r="CH1152">
            <v>0</v>
          </cell>
          <cell r="CI1152">
            <v>0</v>
          </cell>
          <cell r="CJ1152">
            <v>0</v>
          </cell>
          <cell r="CK1152">
            <v>0</v>
          </cell>
          <cell r="CL1152">
            <v>0</v>
          </cell>
          <cell r="CM1152">
            <v>0</v>
          </cell>
          <cell r="CR1152">
            <v>0</v>
          </cell>
          <cell r="CS1152">
            <v>0</v>
          </cell>
          <cell r="CT1152">
            <v>0</v>
          </cell>
          <cell r="CU1152">
            <v>0</v>
          </cell>
          <cell r="CV1152">
            <v>0</v>
          </cell>
          <cell r="CZ1152">
            <v>0</v>
          </cell>
        </row>
        <row r="1153">
          <cell r="C1153" t="str">
            <v>04840</v>
          </cell>
          <cell r="D1153" t="str">
            <v>Hà Bé Thái</v>
          </cell>
          <cell r="E1153" t="str">
            <v>Production</v>
          </cell>
          <cell r="F1153" t="str">
            <v>Prefitting</v>
          </cell>
          <cell r="G1153" t="str">
            <v>Worker</v>
          </cell>
          <cell r="H1153">
            <v>45946</v>
          </cell>
          <cell r="I1153">
            <v>8</v>
          </cell>
          <cell r="J1153">
            <v>8</v>
          </cell>
          <cell r="K1153">
            <v>8</v>
          </cell>
          <cell r="L1153" t="str">
            <v>CN</v>
          </cell>
          <cell r="M1153">
            <v>8</v>
          </cell>
          <cell r="N1153">
            <v>8</v>
          </cell>
          <cell r="O1153">
            <v>8</v>
          </cell>
          <cell r="P1153">
            <v>8</v>
          </cell>
          <cell r="Q1153">
            <v>8</v>
          </cell>
          <cell r="R1153">
            <v>8</v>
          </cell>
          <cell r="S1153" t="str">
            <v>CN</v>
          </cell>
          <cell r="T1153">
            <v>8</v>
          </cell>
          <cell r="U1153">
            <v>8</v>
          </cell>
          <cell r="V1153">
            <v>8</v>
          </cell>
          <cell r="W1153">
            <v>8</v>
          </cell>
          <cell r="X1153" t="str">
            <v>Đ</v>
          </cell>
          <cell r="Y1153" t="str">
            <v>Đ</v>
          </cell>
          <cell r="Z1153" t="str">
            <v>CN</v>
          </cell>
          <cell r="AA1153">
            <v>8</v>
          </cell>
          <cell r="AB1153">
            <v>8</v>
          </cell>
          <cell r="AC1153">
            <v>8</v>
          </cell>
          <cell r="AD1153">
            <v>8</v>
          </cell>
          <cell r="AE1153">
            <v>8</v>
          </cell>
          <cell r="AF1153">
            <v>8</v>
          </cell>
          <cell r="AG1153" t="str">
            <v>CN</v>
          </cell>
          <cell r="AH1153">
            <v>8</v>
          </cell>
          <cell r="AI1153">
            <v>8</v>
          </cell>
          <cell r="AJ1153">
            <v>8</v>
          </cell>
          <cell r="AN1153">
            <v>16</v>
          </cell>
          <cell r="AO1153">
            <v>176</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192</v>
          </cell>
          <cell r="BH1153">
            <v>0</v>
          </cell>
          <cell r="BI1153">
            <v>0</v>
          </cell>
          <cell r="BJ1153">
            <v>1</v>
          </cell>
          <cell r="BL1153">
            <v>0</v>
          </cell>
          <cell r="BM1153">
            <v>0</v>
          </cell>
          <cell r="BN1153">
            <v>0</v>
          </cell>
          <cell r="BO1153">
            <v>0</v>
          </cell>
          <cell r="BP1153">
            <v>0</v>
          </cell>
          <cell r="BQ1153">
            <v>0</v>
          </cell>
          <cell r="BR1153">
            <v>0</v>
          </cell>
          <cell r="BS1153">
            <v>0</v>
          </cell>
          <cell r="BT1153">
            <v>0</v>
          </cell>
          <cell r="BU1153">
            <v>0</v>
          </cell>
          <cell r="BV1153">
            <v>0</v>
          </cell>
          <cell r="BW1153">
            <v>0</v>
          </cell>
          <cell r="BX1153">
            <v>0</v>
          </cell>
          <cell r="BY1153">
            <v>0</v>
          </cell>
          <cell r="BZ1153">
            <v>0</v>
          </cell>
          <cell r="CA1153">
            <v>4</v>
          </cell>
          <cell r="CB1153">
            <v>4</v>
          </cell>
          <cell r="CC1153">
            <v>0</v>
          </cell>
          <cell r="CD1153">
            <v>0</v>
          </cell>
          <cell r="CE1153">
            <v>0</v>
          </cell>
          <cell r="CF1153">
            <v>0</v>
          </cell>
          <cell r="CG1153">
            <v>0</v>
          </cell>
          <cell r="CH1153">
            <v>4</v>
          </cell>
          <cell r="CI1153">
            <v>4</v>
          </cell>
          <cell r="CJ1153">
            <v>0</v>
          </cell>
          <cell r="CK1153">
            <v>0</v>
          </cell>
          <cell r="CL1153">
            <v>0</v>
          </cell>
          <cell r="CM1153">
            <v>0</v>
          </cell>
          <cell r="CR1153">
            <v>0</v>
          </cell>
          <cell r="CS1153">
            <v>0</v>
          </cell>
          <cell r="CT1153">
            <v>16</v>
          </cell>
          <cell r="CU1153">
            <v>0</v>
          </cell>
          <cell r="CV1153">
            <v>0</v>
          </cell>
          <cell r="CZ1153">
            <v>16</v>
          </cell>
        </row>
        <row r="1154">
          <cell r="C1154" t="str">
            <v>04841</v>
          </cell>
          <cell r="D1154" t="str">
            <v>Nguyễn Thị Kim Pha</v>
          </cell>
          <cell r="E1154" t="str">
            <v>Production</v>
          </cell>
          <cell r="F1154" t="str">
            <v>Molding</v>
          </cell>
          <cell r="G1154" t="str">
            <v>Worker</v>
          </cell>
          <cell r="H1154">
            <v>45946</v>
          </cell>
          <cell r="I1154">
            <v>8</v>
          </cell>
          <cell r="J1154">
            <v>8</v>
          </cell>
          <cell r="K1154">
            <v>8</v>
          </cell>
          <cell r="L1154" t="str">
            <v>CN</v>
          </cell>
          <cell r="M1154">
            <v>8</v>
          </cell>
          <cell r="N1154">
            <v>8</v>
          </cell>
          <cell r="O1154" t="str">
            <v>AL8</v>
          </cell>
          <cell r="P1154">
            <v>8</v>
          </cell>
          <cell r="Q1154" t="str">
            <v>Đ</v>
          </cell>
          <cell r="R1154" t="str">
            <v>Đ</v>
          </cell>
          <cell r="S1154" t="str">
            <v>CN</v>
          </cell>
          <cell r="T1154">
            <v>8</v>
          </cell>
          <cell r="U1154">
            <v>8</v>
          </cell>
          <cell r="V1154">
            <v>8</v>
          </cell>
          <cell r="W1154">
            <v>8</v>
          </cell>
          <cell r="X1154">
            <v>8</v>
          </cell>
          <cell r="Y1154">
            <v>8</v>
          </cell>
          <cell r="Z1154" t="str">
            <v>CN</v>
          </cell>
          <cell r="AA1154">
            <v>8</v>
          </cell>
          <cell r="AB1154">
            <v>8</v>
          </cell>
          <cell r="AC1154">
            <v>8</v>
          </cell>
          <cell r="AD1154">
            <v>8</v>
          </cell>
          <cell r="AE1154" t="str">
            <v>Đ</v>
          </cell>
          <cell r="AF1154" t="str">
            <v>Đ</v>
          </cell>
          <cell r="AG1154" t="str">
            <v>CN</v>
          </cell>
          <cell r="AH1154">
            <v>8</v>
          </cell>
          <cell r="AI1154">
            <v>8</v>
          </cell>
          <cell r="AJ1154" t="str">
            <v>UP4</v>
          </cell>
          <cell r="AN1154">
            <v>32</v>
          </cell>
          <cell r="AO1154">
            <v>148</v>
          </cell>
          <cell r="AP1154">
            <v>0</v>
          </cell>
          <cell r="AQ1154">
            <v>0</v>
          </cell>
          <cell r="AR1154">
            <v>4</v>
          </cell>
          <cell r="AS1154">
            <v>4</v>
          </cell>
          <cell r="AT1154">
            <v>0</v>
          </cell>
          <cell r="AU1154">
            <v>0</v>
          </cell>
          <cell r="AV1154">
            <v>0</v>
          </cell>
          <cell r="AW1154">
            <v>0</v>
          </cell>
          <cell r="AX1154">
            <v>0</v>
          </cell>
          <cell r="AY1154">
            <v>0</v>
          </cell>
          <cell r="AZ1154">
            <v>0</v>
          </cell>
          <cell r="BA1154">
            <v>8</v>
          </cell>
          <cell r="BB1154">
            <v>0</v>
          </cell>
          <cell r="BC1154">
            <v>0</v>
          </cell>
          <cell r="BD1154">
            <v>0</v>
          </cell>
          <cell r="BE1154">
            <v>0</v>
          </cell>
          <cell r="BF1154">
            <v>0</v>
          </cell>
          <cell r="BG1154">
            <v>188</v>
          </cell>
          <cell r="BH1154">
            <v>1</v>
          </cell>
          <cell r="BI1154">
            <v>1</v>
          </cell>
          <cell r="BJ1154">
            <v>-1</v>
          </cell>
          <cell r="BL1154">
            <v>0</v>
          </cell>
          <cell r="BM1154">
            <v>0</v>
          </cell>
          <cell r="BN1154">
            <v>0</v>
          </cell>
          <cell r="BO1154">
            <v>0</v>
          </cell>
          <cell r="BP1154">
            <v>0</v>
          </cell>
          <cell r="BQ1154">
            <v>0</v>
          </cell>
          <cell r="BR1154">
            <v>0</v>
          </cell>
          <cell r="BS1154">
            <v>0</v>
          </cell>
          <cell r="BT1154">
            <v>3</v>
          </cell>
          <cell r="BU1154">
            <v>4</v>
          </cell>
          <cell r="BV1154">
            <v>0</v>
          </cell>
          <cell r="BW1154">
            <v>0</v>
          </cell>
          <cell r="BX1154">
            <v>0</v>
          </cell>
          <cell r="BY1154">
            <v>0</v>
          </cell>
          <cell r="BZ1154">
            <v>0</v>
          </cell>
          <cell r="CA1154">
            <v>4</v>
          </cell>
          <cell r="CB1154">
            <v>4</v>
          </cell>
          <cell r="CC1154">
            <v>0</v>
          </cell>
          <cell r="CD1154">
            <v>0</v>
          </cell>
          <cell r="CE1154">
            <v>0</v>
          </cell>
          <cell r="CF1154">
            <v>0</v>
          </cell>
          <cell r="CG1154">
            <v>0</v>
          </cell>
          <cell r="CH1154">
            <v>4</v>
          </cell>
          <cell r="CI1154">
            <v>4</v>
          </cell>
          <cell r="CJ1154">
            <v>0</v>
          </cell>
          <cell r="CK1154">
            <v>0</v>
          </cell>
          <cell r="CL1154">
            <v>0</v>
          </cell>
          <cell r="CM1154">
            <v>0</v>
          </cell>
          <cell r="CR1154">
            <v>0</v>
          </cell>
          <cell r="CS1154">
            <v>0</v>
          </cell>
          <cell r="CT1154">
            <v>23</v>
          </cell>
          <cell r="CU1154">
            <v>0</v>
          </cell>
          <cell r="CV1154">
            <v>0</v>
          </cell>
          <cell r="CZ1154">
            <v>23</v>
          </cell>
        </row>
        <row r="1155">
          <cell r="C1155" t="str">
            <v>04842</v>
          </cell>
          <cell r="D1155" t="str">
            <v>Đỗ Thị Huế</v>
          </cell>
          <cell r="E1155" t="str">
            <v>Production</v>
          </cell>
          <cell r="F1155" t="str">
            <v>Die cut</v>
          </cell>
          <cell r="G1155" t="str">
            <v>Worker</v>
          </cell>
          <cell r="H1155">
            <v>45946</v>
          </cell>
          <cell r="I1155">
            <v>8</v>
          </cell>
          <cell r="J1155">
            <v>8</v>
          </cell>
          <cell r="K1155">
            <v>8</v>
          </cell>
          <cell r="L1155" t="str">
            <v>CN</v>
          </cell>
          <cell r="M1155" t="str">
            <v>Đ</v>
          </cell>
          <cell r="N1155" t="str">
            <v>Đ</v>
          </cell>
          <cell r="O1155" t="str">
            <v>Đ</v>
          </cell>
          <cell r="P1155" t="str">
            <v>Đ</v>
          </cell>
          <cell r="Q1155" t="str">
            <v>Đ</v>
          </cell>
          <cell r="R1155" t="str">
            <v>Đ</v>
          </cell>
          <cell r="S1155" t="str">
            <v>CN</v>
          </cell>
          <cell r="T1155">
            <v>8</v>
          </cell>
          <cell r="U1155">
            <v>8</v>
          </cell>
          <cell r="V1155">
            <v>8</v>
          </cell>
          <cell r="W1155">
            <v>8</v>
          </cell>
          <cell r="X1155">
            <v>8</v>
          </cell>
          <cell r="Y1155">
            <v>8</v>
          </cell>
          <cell r="Z1155" t="str">
            <v>CN</v>
          </cell>
          <cell r="AA1155" t="str">
            <v>Đ</v>
          </cell>
          <cell r="AB1155" t="str">
            <v>Đ</v>
          </cell>
          <cell r="AC1155" t="str">
            <v>Đ</v>
          </cell>
          <cell r="AD1155" t="str">
            <v>Đ</v>
          </cell>
          <cell r="AE1155" t="str">
            <v>Đ</v>
          </cell>
          <cell r="AF1155" t="str">
            <v>Đ</v>
          </cell>
          <cell r="AG1155" t="str">
            <v>CN</v>
          </cell>
          <cell r="AH1155">
            <v>8</v>
          </cell>
          <cell r="AI1155">
            <v>8</v>
          </cell>
          <cell r="AJ1155">
            <v>8</v>
          </cell>
          <cell r="AN1155">
            <v>96</v>
          </cell>
          <cell r="AO1155">
            <v>96</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192</v>
          </cell>
          <cell r="BH1155">
            <v>0</v>
          </cell>
          <cell r="BI1155">
            <v>0</v>
          </cell>
          <cell r="BJ1155">
            <v>1</v>
          </cell>
          <cell r="BL1155">
            <v>0</v>
          </cell>
          <cell r="BM1155">
            <v>3</v>
          </cell>
          <cell r="BN1155">
            <v>0</v>
          </cell>
          <cell r="BO1155">
            <v>0</v>
          </cell>
          <cell r="BP1155">
            <v>0</v>
          </cell>
          <cell r="BQ1155">
            <v>3</v>
          </cell>
          <cell r="BR1155">
            <v>0</v>
          </cell>
          <cell r="BS1155">
            <v>0</v>
          </cell>
          <cell r="BT1155">
            <v>3</v>
          </cell>
          <cell r="BU1155">
            <v>0</v>
          </cell>
          <cell r="BV1155">
            <v>0</v>
          </cell>
          <cell r="BW1155">
            <v>0</v>
          </cell>
          <cell r="BX1155">
            <v>0</v>
          </cell>
          <cell r="BY1155">
            <v>4</v>
          </cell>
          <cell r="BZ1155">
            <v>4</v>
          </cell>
          <cell r="CA1155">
            <v>4</v>
          </cell>
          <cell r="CB1155">
            <v>0</v>
          </cell>
          <cell r="CC1155">
            <v>0</v>
          </cell>
          <cell r="CD1155">
            <v>4</v>
          </cell>
          <cell r="CE1155">
            <v>4</v>
          </cell>
          <cell r="CF1155">
            <v>0</v>
          </cell>
          <cell r="CG1155">
            <v>4</v>
          </cell>
          <cell r="CH1155">
            <v>0</v>
          </cell>
          <cell r="CI1155">
            <v>4</v>
          </cell>
          <cell r="CJ1155">
            <v>0</v>
          </cell>
          <cell r="CK1155">
            <v>0</v>
          </cell>
          <cell r="CL1155">
            <v>0</v>
          </cell>
          <cell r="CM1155">
            <v>0</v>
          </cell>
          <cell r="CR1155">
            <v>0</v>
          </cell>
          <cell r="CS1155">
            <v>0</v>
          </cell>
          <cell r="CT1155">
            <v>37</v>
          </cell>
          <cell r="CU1155">
            <v>0</v>
          </cell>
          <cell r="CV1155">
            <v>0</v>
          </cell>
          <cell r="CZ1155">
            <v>37</v>
          </cell>
        </row>
        <row r="1156">
          <cell r="C1156" t="str">
            <v>04844</v>
          </cell>
          <cell r="D1156" t="str">
            <v>Nguyễn Tuấn Anh</v>
          </cell>
          <cell r="E1156" t="str">
            <v>Production</v>
          </cell>
          <cell r="F1156" t="str">
            <v>Die cut</v>
          </cell>
          <cell r="G1156" t="str">
            <v>Worker</v>
          </cell>
          <cell r="H1156">
            <v>45952</v>
          </cell>
          <cell r="I1156">
            <v>8</v>
          </cell>
          <cell r="J1156">
            <v>8</v>
          </cell>
          <cell r="K1156">
            <v>8</v>
          </cell>
          <cell r="L1156" t="str">
            <v>CN</v>
          </cell>
          <cell r="M1156" t="str">
            <v>Đ</v>
          </cell>
          <cell r="N1156" t="str">
            <v>Đ</v>
          </cell>
          <cell r="O1156" t="str">
            <v>Đ</v>
          </cell>
          <cell r="P1156" t="str">
            <v>Đ</v>
          </cell>
          <cell r="Q1156" t="str">
            <v>Đ</v>
          </cell>
          <cell r="R1156" t="str">
            <v>Đ</v>
          </cell>
          <cell r="S1156" t="str">
            <v>CN</v>
          </cell>
          <cell r="T1156" t="str">
            <v>Đ</v>
          </cell>
          <cell r="U1156" t="str">
            <v>Đ</v>
          </cell>
          <cell r="V1156" t="str">
            <v>Đ</v>
          </cell>
          <cell r="W1156" t="str">
            <v>Đ</v>
          </cell>
          <cell r="X1156" t="str">
            <v>Đ</v>
          </cell>
          <cell r="Y1156" t="str">
            <v>Đ</v>
          </cell>
          <cell r="Z1156" t="str">
            <v>CN</v>
          </cell>
          <cell r="AA1156">
            <v>8</v>
          </cell>
          <cell r="AB1156">
            <v>8</v>
          </cell>
          <cell r="AC1156">
            <v>8</v>
          </cell>
          <cell r="AD1156">
            <v>8</v>
          </cell>
          <cell r="AE1156">
            <v>8</v>
          </cell>
          <cell r="AF1156">
            <v>8</v>
          </cell>
          <cell r="AG1156" t="str">
            <v>CN</v>
          </cell>
          <cell r="AH1156">
            <v>8</v>
          </cell>
          <cell r="AI1156">
            <v>8</v>
          </cell>
          <cell r="AJ1156">
            <v>8</v>
          </cell>
          <cell r="AN1156">
            <v>96</v>
          </cell>
          <cell r="AO1156">
            <v>96</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192</v>
          </cell>
          <cell r="BH1156">
            <v>0</v>
          </cell>
          <cell r="BI1156">
            <v>0</v>
          </cell>
          <cell r="BJ1156">
            <v>1.5</v>
          </cell>
          <cell r="BL1156">
            <v>0</v>
          </cell>
          <cell r="BM1156">
            <v>0</v>
          </cell>
          <cell r="BN1156">
            <v>0</v>
          </cell>
          <cell r="BO1156">
            <v>0</v>
          </cell>
          <cell r="BP1156">
            <v>0</v>
          </cell>
          <cell r="BQ1156">
            <v>3</v>
          </cell>
          <cell r="BR1156">
            <v>0</v>
          </cell>
          <cell r="BS1156">
            <v>0</v>
          </cell>
          <cell r="BT1156">
            <v>3</v>
          </cell>
          <cell r="BU1156">
            <v>0</v>
          </cell>
          <cell r="BV1156">
            <v>0</v>
          </cell>
          <cell r="BW1156">
            <v>0</v>
          </cell>
          <cell r="BX1156">
            <v>3</v>
          </cell>
          <cell r="BY1156">
            <v>4</v>
          </cell>
          <cell r="BZ1156">
            <v>4</v>
          </cell>
          <cell r="CA1156">
            <v>4</v>
          </cell>
          <cell r="CB1156">
            <v>4</v>
          </cell>
          <cell r="CC1156">
            <v>0</v>
          </cell>
          <cell r="CD1156">
            <v>4</v>
          </cell>
          <cell r="CE1156">
            <v>0</v>
          </cell>
          <cell r="CF1156">
            <v>4</v>
          </cell>
          <cell r="CG1156">
            <v>4</v>
          </cell>
          <cell r="CH1156">
            <v>0</v>
          </cell>
          <cell r="CI1156">
            <v>3.75</v>
          </cell>
          <cell r="CJ1156">
            <v>0</v>
          </cell>
          <cell r="CK1156">
            <v>0</v>
          </cell>
          <cell r="CL1156">
            <v>0</v>
          </cell>
          <cell r="CM1156">
            <v>3</v>
          </cell>
          <cell r="CR1156">
            <v>0</v>
          </cell>
          <cell r="CS1156">
            <v>0</v>
          </cell>
          <cell r="CT1156">
            <v>43.75</v>
          </cell>
          <cell r="CU1156">
            <v>0</v>
          </cell>
          <cell r="CV1156">
            <v>0</v>
          </cell>
          <cell r="CZ1156">
            <v>43.75</v>
          </cell>
        </row>
        <row r="1157">
          <cell r="C1157" t="str">
            <v>03358</v>
          </cell>
          <cell r="D1157" t="str">
            <v>Đặng Thị Thu Huê</v>
          </cell>
          <cell r="E1157" t="str">
            <v>Production</v>
          </cell>
          <cell r="F1157" t="str">
            <v>Packing</v>
          </cell>
          <cell r="G1157" t="str">
            <v>Worker</v>
          </cell>
          <cell r="H1157">
            <v>44630</v>
          </cell>
          <cell r="I1157" t="str">
            <v>Đ</v>
          </cell>
          <cell r="J1157" t="str">
            <v>Đ</v>
          </cell>
          <cell r="K1157" t="str">
            <v>Đ</v>
          </cell>
          <cell r="L1157" t="str">
            <v>CN</v>
          </cell>
          <cell r="M1157">
            <v>8</v>
          </cell>
          <cell r="N1157">
            <v>8</v>
          </cell>
          <cell r="O1157">
            <v>8</v>
          </cell>
          <cell r="P1157">
            <v>8</v>
          </cell>
          <cell r="Q1157">
            <v>8</v>
          </cell>
          <cell r="R1157">
            <v>8</v>
          </cell>
          <cell r="S1157" t="str">
            <v>CN</v>
          </cell>
          <cell r="T1157" t="str">
            <v>Đ</v>
          </cell>
          <cell r="U1157" t="str">
            <v>Đ</v>
          </cell>
          <cell r="V1157" t="str">
            <v>Đ</v>
          </cell>
          <cell r="W1157" t="str">
            <v>Đ</v>
          </cell>
          <cell r="X1157" t="str">
            <v>Đ</v>
          </cell>
          <cell r="Y1157" t="str">
            <v>Đ</v>
          </cell>
          <cell r="Z1157" t="str">
            <v>CN</v>
          </cell>
          <cell r="AA1157" t="str">
            <v>AL8</v>
          </cell>
          <cell r="AB1157">
            <v>8</v>
          </cell>
          <cell r="AC1157">
            <v>8</v>
          </cell>
          <cell r="AD1157">
            <v>8</v>
          </cell>
          <cell r="AE1157">
            <v>8</v>
          </cell>
          <cell r="AF1157">
            <v>8</v>
          </cell>
          <cell r="AG1157" t="str">
            <v>CN</v>
          </cell>
          <cell r="AH1157" t="str">
            <v>Đ</v>
          </cell>
          <cell r="AI1157" t="str">
            <v>Đ</v>
          </cell>
          <cell r="AJ1157" t="str">
            <v>Đ</v>
          </cell>
          <cell r="AN1157">
            <v>96</v>
          </cell>
          <cell r="AO1157">
            <v>88</v>
          </cell>
          <cell r="AP1157">
            <v>0</v>
          </cell>
          <cell r="AQ1157">
            <v>0</v>
          </cell>
          <cell r="AR1157">
            <v>0</v>
          </cell>
          <cell r="AS1157">
            <v>0</v>
          </cell>
          <cell r="AT1157">
            <v>0</v>
          </cell>
          <cell r="AU1157">
            <v>0</v>
          </cell>
          <cell r="AV1157">
            <v>0</v>
          </cell>
          <cell r="AW1157">
            <v>0</v>
          </cell>
          <cell r="AX1157">
            <v>0</v>
          </cell>
          <cell r="AY1157">
            <v>0</v>
          </cell>
          <cell r="AZ1157">
            <v>0</v>
          </cell>
          <cell r="BA1157">
            <v>8</v>
          </cell>
          <cell r="BB1157">
            <v>0</v>
          </cell>
          <cell r="BC1157">
            <v>0</v>
          </cell>
          <cell r="BD1157">
            <v>0</v>
          </cell>
          <cell r="BE1157">
            <v>0</v>
          </cell>
          <cell r="BF1157">
            <v>0</v>
          </cell>
          <cell r="BG1157">
            <v>192</v>
          </cell>
          <cell r="BH1157">
            <v>1</v>
          </cell>
          <cell r="BI1157">
            <v>1</v>
          </cell>
          <cell r="BJ1157">
            <v>4</v>
          </cell>
          <cell r="BL1157">
            <v>1.5</v>
          </cell>
          <cell r="BM1157">
            <v>1.5</v>
          </cell>
          <cell r="BN1157">
            <v>1.5</v>
          </cell>
          <cell r="BO1157">
            <v>0</v>
          </cell>
          <cell r="BP1157">
            <v>1.5</v>
          </cell>
          <cell r="BQ1157">
            <v>0</v>
          </cell>
          <cell r="BR1157">
            <v>0</v>
          </cell>
          <cell r="BS1157">
            <v>3</v>
          </cell>
          <cell r="BT1157">
            <v>3</v>
          </cell>
          <cell r="BU1157">
            <v>3</v>
          </cell>
          <cell r="BV1157">
            <v>0</v>
          </cell>
          <cell r="BW1157">
            <v>4</v>
          </cell>
          <cell r="BX1157">
            <v>4</v>
          </cell>
          <cell r="BY1157">
            <v>4</v>
          </cell>
          <cell r="BZ1157">
            <v>4</v>
          </cell>
          <cell r="CA1157">
            <v>4</v>
          </cell>
          <cell r="CB1157">
            <v>4</v>
          </cell>
          <cell r="CC1157">
            <v>0</v>
          </cell>
          <cell r="CD1157">
            <v>0</v>
          </cell>
          <cell r="CE1157">
            <v>2</v>
          </cell>
          <cell r="CF1157">
            <v>2</v>
          </cell>
          <cell r="CG1157">
            <v>2</v>
          </cell>
          <cell r="CH1157">
            <v>2</v>
          </cell>
          <cell r="CI1157">
            <v>3</v>
          </cell>
          <cell r="CJ1157">
            <v>8</v>
          </cell>
          <cell r="CK1157">
            <v>4</v>
          </cell>
          <cell r="CL1157">
            <v>4</v>
          </cell>
          <cell r="CM1157">
            <v>4</v>
          </cell>
          <cell r="CR1157">
            <v>11</v>
          </cell>
          <cell r="CS1157">
            <v>12</v>
          </cell>
          <cell r="CT1157">
            <v>62</v>
          </cell>
          <cell r="CU1157">
            <v>8</v>
          </cell>
          <cell r="CV1157">
            <v>0</v>
          </cell>
          <cell r="CZ1157">
            <v>70</v>
          </cell>
        </row>
        <row r="1158">
          <cell r="C1158" t="str">
            <v>02396</v>
          </cell>
          <cell r="D1158" t="str">
            <v>Trương Hồng Gấm</v>
          </cell>
          <cell r="E1158" t="str">
            <v>Foaming</v>
          </cell>
          <cell r="F1158" t="str">
            <v>FOAMING Splitting</v>
          </cell>
          <cell r="G1158" t="str">
            <v>Worker</v>
          </cell>
          <cell r="H1158">
            <v>44048</v>
          </cell>
          <cell r="I1158">
            <v>8</v>
          </cell>
          <cell r="J1158">
            <v>8</v>
          </cell>
          <cell r="K1158">
            <v>8</v>
          </cell>
          <cell r="L1158" t="str">
            <v>CN</v>
          </cell>
          <cell r="M1158">
            <v>8</v>
          </cell>
          <cell r="N1158">
            <v>8</v>
          </cell>
          <cell r="O1158">
            <v>8</v>
          </cell>
          <cell r="P1158">
            <v>8</v>
          </cell>
          <cell r="Q1158">
            <v>8</v>
          </cell>
          <cell r="R1158">
            <v>8</v>
          </cell>
          <cell r="S1158" t="str">
            <v>CN</v>
          </cell>
          <cell r="T1158">
            <v>8</v>
          </cell>
          <cell r="U1158">
            <v>8</v>
          </cell>
          <cell r="V1158">
            <v>8</v>
          </cell>
          <cell r="W1158">
            <v>8</v>
          </cell>
          <cell r="X1158">
            <v>8</v>
          </cell>
          <cell r="Y1158">
            <v>8</v>
          </cell>
          <cell r="Z1158" t="str">
            <v>CN</v>
          </cell>
          <cell r="AA1158">
            <v>8</v>
          </cell>
          <cell r="AB1158">
            <v>8</v>
          </cell>
          <cell r="AC1158">
            <v>8</v>
          </cell>
          <cell r="AD1158">
            <v>8</v>
          </cell>
          <cell r="AE1158">
            <v>8</v>
          </cell>
          <cell r="AF1158">
            <v>8</v>
          </cell>
          <cell r="AG1158" t="str">
            <v>CN</v>
          </cell>
          <cell r="AH1158">
            <v>8</v>
          </cell>
          <cell r="AI1158">
            <v>8</v>
          </cell>
          <cell r="AJ1158">
            <v>8</v>
          </cell>
          <cell r="AN1158">
            <v>0</v>
          </cell>
          <cell r="AO1158">
            <v>192</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192</v>
          </cell>
          <cell r="BH1158">
            <v>0</v>
          </cell>
          <cell r="BI1158">
            <v>0</v>
          </cell>
          <cell r="BJ1158">
            <v>2.5</v>
          </cell>
          <cell r="BL1158">
            <v>4</v>
          </cell>
          <cell r="BM1158">
            <v>4</v>
          </cell>
          <cell r="BN1158">
            <v>4</v>
          </cell>
          <cell r="BO1158">
            <v>12</v>
          </cell>
          <cell r="BP1158">
            <v>0</v>
          </cell>
          <cell r="BQ1158">
            <v>4</v>
          </cell>
          <cell r="BR1158">
            <v>4</v>
          </cell>
          <cell r="BS1158">
            <v>4</v>
          </cell>
          <cell r="BT1158">
            <v>4</v>
          </cell>
          <cell r="BU1158">
            <v>4</v>
          </cell>
          <cell r="BV1158">
            <v>12</v>
          </cell>
          <cell r="BW1158">
            <v>4</v>
          </cell>
          <cell r="BX1158">
            <v>4</v>
          </cell>
          <cell r="BY1158">
            <v>4</v>
          </cell>
          <cell r="BZ1158">
            <v>4</v>
          </cell>
          <cell r="CA1158">
            <v>4</v>
          </cell>
          <cell r="CB1158">
            <v>4</v>
          </cell>
          <cell r="CC1158">
            <v>0</v>
          </cell>
          <cell r="CD1158">
            <v>4</v>
          </cell>
          <cell r="CE1158">
            <v>4</v>
          </cell>
          <cell r="CF1158">
            <v>4</v>
          </cell>
          <cell r="CG1158">
            <v>4</v>
          </cell>
          <cell r="CH1158">
            <v>4</v>
          </cell>
          <cell r="CI1158">
            <v>4</v>
          </cell>
          <cell r="CJ1158">
            <v>12</v>
          </cell>
          <cell r="CK1158">
            <v>0</v>
          </cell>
          <cell r="CL1158">
            <v>0</v>
          </cell>
          <cell r="CM1158">
            <v>4</v>
          </cell>
          <cell r="CR1158">
            <v>24</v>
          </cell>
          <cell r="CS1158">
            <v>0</v>
          </cell>
          <cell r="CT1158">
            <v>84</v>
          </cell>
          <cell r="CU1158">
            <v>36</v>
          </cell>
          <cell r="CV1158">
            <v>0</v>
          </cell>
          <cell r="CZ1158">
            <v>120</v>
          </cell>
        </row>
        <row r="1159">
          <cell r="C1159" t="str">
            <v>04849</v>
          </cell>
          <cell r="D1159" t="str">
            <v>Nguyễn Thị Hạnh</v>
          </cell>
          <cell r="E1159" t="str">
            <v>Purchasing</v>
          </cell>
          <cell r="F1159" t="str">
            <v>Purchasing</v>
          </cell>
          <cell r="G1159" t="str">
            <v>Staff</v>
          </cell>
          <cell r="H1159">
            <v>45957</v>
          </cell>
          <cell r="I1159" t="str">
            <v>WH</v>
          </cell>
          <cell r="J1159">
            <v>8</v>
          </cell>
          <cell r="K1159" t="str">
            <v>PO</v>
          </cell>
          <cell r="L1159" t="str">
            <v>CN</v>
          </cell>
          <cell r="M1159">
            <v>8</v>
          </cell>
          <cell r="N1159">
            <v>8</v>
          </cell>
          <cell r="O1159">
            <v>8</v>
          </cell>
          <cell r="P1159">
            <v>8</v>
          </cell>
          <cell r="Q1159">
            <v>8</v>
          </cell>
          <cell r="R1159" t="str">
            <v>PO</v>
          </cell>
          <cell r="S1159" t="str">
            <v>CN</v>
          </cell>
          <cell r="T1159">
            <v>8</v>
          </cell>
          <cell r="U1159">
            <v>8</v>
          </cell>
          <cell r="V1159">
            <v>8</v>
          </cell>
          <cell r="W1159">
            <v>8</v>
          </cell>
          <cell r="X1159">
            <v>8</v>
          </cell>
          <cell r="Y1159" t="str">
            <v>PO</v>
          </cell>
          <cell r="Z1159" t="str">
            <v>CN</v>
          </cell>
          <cell r="AA1159" t="str">
            <v>AL8</v>
          </cell>
          <cell r="AB1159">
            <v>8</v>
          </cell>
          <cell r="AC1159">
            <v>8</v>
          </cell>
          <cell r="AD1159">
            <v>8</v>
          </cell>
          <cell r="AE1159">
            <v>8</v>
          </cell>
          <cell r="AF1159" t="str">
            <v>PO</v>
          </cell>
          <cell r="AG1159" t="str">
            <v>CN</v>
          </cell>
          <cell r="AH1159">
            <v>8</v>
          </cell>
          <cell r="AI1159">
            <v>8</v>
          </cell>
          <cell r="AJ1159">
            <v>8</v>
          </cell>
          <cell r="AN1159">
            <v>0</v>
          </cell>
          <cell r="AO1159">
            <v>144</v>
          </cell>
          <cell r="AP1159">
            <v>0</v>
          </cell>
          <cell r="AQ1159">
            <v>0</v>
          </cell>
          <cell r="AR1159">
            <v>0</v>
          </cell>
          <cell r="AS1159">
            <v>0</v>
          </cell>
          <cell r="AT1159">
            <v>0</v>
          </cell>
          <cell r="AU1159">
            <v>0</v>
          </cell>
          <cell r="AV1159">
            <v>32</v>
          </cell>
          <cell r="AW1159">
            <v>0</v>
          </cell>
          <cell r="AX1159">
            <v>0</v>
          </cell>
          <cell r="AY1159">
            <v>0</v>
          </cell>
          <cell r="AZ1159">
            <v>0</v>
          </cell>
          <cell r="BA1159">
            <v>8</v>
          </cell>
          <cell r="BB1159">
            <v>0</v>
          </cell>
          <cell r="BC1159">
            <v>0</v>
          </cell>
          <cell r="BD1159">
            <v>8</v>
          </cell>
          <cell r="BE1159">
            <v>0</v>
          </cell>
          <cell r="BF1159">
            <v>0</v>
          </cell>
          <cell r="BG1159">
            <v>192</v>
          </cell>
          <cell r="BH1159">
            <v>1</v>
          </cell>
          <cell r="BI1159">
            <v>1</v>
          </cell>
          <cell r="BJ1159">
            <v>0.5</v>
          </cell>
          <cell r="BL1159">
            <v>0</v>
          </cell>
          <cell r="BM1159">
            <v>0</v>
          </cell>
          <cell r="BN1159">
            <v>0</v>
          </cell>
          <cell r="BO1159">
            <v>0</v>
          </cell>
          <cell r="BP1159">
            <v>1.25</v>
          </cell>
          <cell r="BQ1159">
            <v>0</v>
          </cell>
          <cell r="BR1159">
            <v>4</v>
          </cell>
          <cell r="BS1159">
            <v>4</v>
          </cell>
          <cell r="BT1159">
            <v>2.75</v>
          </cell>
          <cell r="BU1159">
            <v>0</v>
          </cell>
          <cell r="BV1159">
            <v>0</v>
          </cell>
          <cell r="BW1159">
            <v>4</v>
          </cell>
          <cell r="BX1159">
            <v>4</v>
          </cell>
          <cell r="BY1159">
            <v>4</v>
          </cell>
          <cell r="BZ1159">
            <v>0</v>
          </cell>
          <cell r="CA1159">
            <v>0</v>
          </cell>
          <cell r="CB1159">
            <v>0</v>
          </cell>
          <cell r="CC1159">
            <v>0</v>
          </cell>
          <cell r="CD1159">
            <v>0</v>
          </cell>
          <cell r="CE1159">
            <v>4</v>
          </cell>
          <cell r="CF1159">
            <v>4</v>
          </cell>
          <cell r="CG1159">
            <v>4</v>
          </cell>
          <cell r="CH1159">
            <v>0</v>
          </cell>
          <cell r="CI1159">
            <v>0</v>
          </cell>
          <cell r="CJ1159">
            <v>0</v>
          </cell>
          <cell r="CK1159">
            <v>0</v>
          </cell>
          <cell r="CL1159">
            <v>0</v>
          </cell>
          <cell r="CM1159">
            <v>0</v>
          </cell>
          <cell r="CR1159">
            <v>0</v>
          </cell>
          <cell r="CS1159">
            <v>0</v>
          </cell>
          <cell r="CT1159">
            <v>36</v>
          </cell>
          <cell r="CU1159">
            <v>0</v>
          </cell>
          <cell r="CV1159">
            <v>0</v>
          </cell>
          <cell r="CZ1159">
            <v>36</v>
          </cell>
        </row>
        <row r="1160">
          <cell r="C1160" t="str">
            <v>04850</v>
          </cell>
          <cell r="D1160" t="str">
            <v>Trương Thị Tuyết Nhung</v>
          </cell>
          <cell r="E1160" t="str">
            <v>QC</v>
          </cell>
          <cell r="F1160" t="str">
            <v>QC</v>
          </cell>
          <cell r="G1160" t="str">
            <v>Supervisor</v>
          </cell>
          <cell r="H1160">
            <v>45957</v>
          </cell>
          <cell r="I1160">
            <v>8</v>
          </cell>
          <cell r="J1160">
            <v>8</v>
          </cell>
          <cell r="K1160" t="str">
            <v>PO</v>
          </cell>
          <cell r="L1160" t="str">
            <v>CN</v>
          </cell>
          <cell r="M1160">
            <v>8</v>
          </cell>
          <cell r="N1160">
            <v>8</v>
          </cell>
          <cell r="O1160">
            <v>8</v>
          </cell>
          <cell r="P1160">
            <v>8</v>
          </cell>
          <cell r="Q1160" t="str">
            <v>PO</v>
          </cell>
          <cell r="R1160" t="str">
            <v>PO</v>
          </cell>
          <cell r="S1160" t="str">
            <v>CN</v>
          </cell>
          <cell r="T1160">
            <v>8</v>
          </cell>
          <cell r="U1160">
            <v>8</v>
          </cell>
          <cell r="V1160">
            <v>8</v>
          </cell>
          <cell r="W1160">
            <v>8</v>
          </cell>
          <cell r="X1160">
            <v>8</v>
          </cell>
          <cell r="Y1160" t="str">
            <v>PO</v>
          </cell>
          <cell r="Z1160" t="str">
            <v>CN</v>
          </cell>
          <cell r="AA1160">
            <v>8</v>
          </cell>
          <cell r="AB1160">
            <v>8</v>
          </cell>
          <cell r="AC1160">
            <v>8</v>
          </cell>
          <cell r="AD1160">
            <v>8</v>
          </cell>
          <cell r="AE1160">
            <v>8</v>
          </cell>
          <cell r="AF1160" t="str">
            <v>PO</v>
          </cell>
          <cell r="AG1160" t="str">
            <v>CN</v>
          </cell>
          <cell r="AH1160">
            <v>8</v>
          </cell>
          <cell r="AI1160">
            <v>8</v>
          </cell>
          <cell r="AJ1160">
            <v>8</v>
          </cell>
          <cell r="AN1160">
            <v>0</v>
          </cell>
          <cell r="AO1160">
            <v>152</v>
          </cell>
          <cell r="AP1160">
            <v>0</v>
          </cell>
          <cell r="AQ1160">
            <v>0</v>
          </cell>
          <cell r="AR1160">
            <v>0</v>
          </cell>
          <cell r="AS1160">
            <v>0</v>
          </cell>
          <cell r="AT1160">
            <v>0</v>
          </cell>
          <cell r="AU1160">
            <v>0</v>
          </cell>
          <cell r="AV1160">
            <v>40</v>
          </cell>
          <cell r="AW1160">
            <v>0</v>
          </cell>
          <cell r="AX1160">
            <v>0</v>
          </cell>
          <cell r="AY1160">
            <v>0</v>
          </cell>
          <cell r="AZ1160">
            <v>0</v>
          </cell>
          <cell r="BA1160">
            <v>0</v>
          </cell>
          <cell r="BB1160">
            <v>0</v>
          </cell>
          <cell r="BC1160">
            <v>0</v>
          </cell>
          <cell r="BD1160">
            <v>0</v>
          </cell>
          <cell r="BE1160">
            <v>0</v>
          </cell>
          <cell r="BF1160">
            <v>0</v>
          </cell>
          <cell r="BG1160">
            <v>192</v>
          </cell>
          <cell r="BH1160">
            <v>0</v>
          </cell>
          <cell r="BI1160">
            <v>0</v>
          </cell>
          <cell r="BJ1160">
            <v>0.5</v>
          </cell>
          <cell r="BL1160">
            <v>0</v>
          </cell>
          <cell r="BM1160">
            <v>0</v>
          </cell>
          <cell r="BN1160">
            <v>0</v>
          </cell>
          <cell r="BO1160">
            <v>0</v>
          </cell>
          <cell r="BP1160">
            <v>0</v>
          </cell>
          <cell r="BQ1160">
            <v>0</v>
          </cell>
          <cell r="BR1160">
            <v>0</v>
          </cell>
          <cell r="BS1160">
            <v>0</v>
          </cell>
          <cell r="BT1160">
            <v>0</v>
          </cell>
          <cell r="BU1160">
            <v>0</v>
          </cell>
          <cell r="BV1160">
            <v>0</v>
          </cell>
          <cell r="BW1160">
            <v>0</v>
          </cell>
          <cell r="BX1160">
            <v>0</v>
          </cell>
          <cell r="BY1160">
            <v>0</v>
          </cell>
          <cell r="BZ1160">
            <v>0</v>
          </cell>
          <cell r="CA1160">
            <v>0</v>
          </cell>
          <cell r="CB1160">
            <v>0</v>
          </cell>
          <cell r="CC1160">
            <v>0</v>
          </cell>
          <cell r="CD1160">
            <v>0</v>
          </cell>
          <cell r="CE1160">
            <v>0</v>
          </cell>
          <cell r="CF1160">
            <v>0</v>
          </cell>
          <cell r="CG1160">
            <v>0</v>
          </cell>
          <cell r="CH1160">
            <v>0</v>
          </cell>
          <cell r="CI1160">
            <v>0</v>
          </cell>
          <cell r="CJ1160">
            <v>0</v>
          </cell>
          <cell r="CK1160">
            <v>0</v>
          </cell>
          <cell r="CL1160">
            <v>0</v>
          </cell>
          <cell r="CM1160">
            <v>0</v>
          </cell>
          <cell r="CR1160">
            <v>0</v>
          </cell>
          <cell r="CS1160">
            <v>0</v>
          </cell>
          <cell r="CT1160">
            <v>0</v>
          </cell>
          <cell r="CU1160">
            <v>0</v>
          </cell>
          <cell r="CV1160">
            <v>0</v>
          </cell>
          <cell r="CZ1160">
            <v>0</v>
          </cell>
        </row>
        <row r="1161">
          <cell r="C1161" t="str">
            <v>04853</v>
          </cell>
          <cell r="D1161" t="str">
            <v>Hồ Thị Bích Loan</v>
          </cell>
          <cell r="E1161" t="str">
            <v>Production</v>
          </cell>
          <cell r="F1161" t="str">
            <v>Logo</v>
          </cell>
          <cell r="G1161" t="str">
            <v>Worker</v>
          </cell>
          <cell r="H1161">
            <v>45958</v>
          </cell>
          <cell r="I1161">
            <v>8</v>
          </cell>
          <cell r="J1161">
            <v>8</v>
          </cell>
          <cell r="K1161">
            <v>8</v>
          </cell>
          <cell r="L1161" t="str">
            <v>CN</v>
          </cell>
          <cell r="M1161" t="str">
            <v>Đ</v>
          </cell>
          <cell r="N1161" t="str">
            <v>Đ</v>
          </cell>
          <cell r="O1161" t="str">
            <v>Đ</v>
          </cell>
          <cell r="P1161" t="str">
            <v>Đ</v>
          </cell>
          <cell r="Q1161" t="str">
            <v>Đ</v>
          </cell>
          <cell r="R1161" t="str">
            <v>Đ</v>
          </cell>
          <cell r="S1161" t="str">
            <v>CN</v>
          </cell>
          <cell r="T1161">
            <v>8</v>
          </cell>
          <cell r="U1161" t="str">
            <v>AL8</v>
          </cell>
          <cell r="V1161">
            <v>8</v>
          </cell>
          <cell r="W1161">
            <v>8</v>
          </cell>
          <cell r="X1161">
            <v>8</v>
          </cell>
          <cell r="Y1161">
            <v>8</v>
          </cell>
          <cell r="Z1161" t="str">
            <v>CN</v>
          </cell>
          <cell r="AA1161">
            <v>8</v>
          </cell>
          <cell r="AB1161" t="str">
            <v>Đ</v>
          </cell>
          <cell r="AC1161" t="str">
            <v>Đ</v>
          </cell>
          <cell r="AD1161" t="str">
            <v>Đ</v>
          </cell>
          <cell r="AE1161" t="str">
            <v>Đ</v>
          </cell>
          <cell r="AF1161" t="str">
            <v>Đ</v>
          </cell>
          <cell r="AG1161" t="str">
            <v>CN</v>
          </cell>
          <cell r="AH1161">
            <v>8</v>
          </cell>
          <cell r="AI1161">
            <v>8</v>
          </cell>
          <cell r="AJ1161">
            <v>8</v>
          </cell>
          <cell r="AN1161">
            <v>88</v>
          </cell>
          <cell r="AO1161">
            <v>96</v>
          </cell>
          <cell r="AP1161">
            <v>0</v>
          </cell>
          <cell r="AQ1161">
            <v>0</v>
          </cell>
          <cell r="AR1161">
            <v>0</v>
          </cell>
          <cell r="AS1161">
            <v>0</v>
          </cell>
          <cell r="AT1161">
            <v>0</v>
          </cell>
          <cell r="AU1161">
            <v>0</v>
          </cell>
          <cell r="AV1161">
            <v>0</v>
          </cell>
          <cell r="AW1161">
            <v>0</v>
          </cell>
          <cell r="AX1161">
            <v>0</v>
          </cell>
          <cell r="AY1161">
            <v>0</v>
          </cell>
          <cell r="AZ1161">
            <v>0</v>
          </cell>
          <cell r="BA1161">
            <v>8</v>
          </cell>
          <cell r="BB1161">
            <v>0</v>
          </cell>
          <cell r="BC1161">
            <v>0</v>
          </cell>
          <cell r="BD1161">
            <v>0</v>
          </cell>
          <cell r="BE1161">
            <v>0</v>
          </cell>
          <cell r="BF1161">
            <v>0</v>
          </cell>
          <cell r="BG1161">
            <v>192</v>
          </cell>
          <cell r="BH1161">
            <v>1</v>
          </cell>
          <cell r="BI1161">
            <v>1</v>
          </cell>
          <cell r="BJ1161">
            <v>-1</v>
          </cell>
          <cell r="BL1161">
            <v>1.5</v>
          </cell>
          <cell r="BM1161">
            <v>1.5</v>
          </cell>
          <cell r="BN1161">
            <v>1.5</v>
          </cell>
          <cell r="BO1161">
            <v>0</v>
          </cell>
          <cell r="BP1161">
            <v>1.5</v>
          </cell>
          <cell r="BQ1161">
            <v>0</v>
          </cell>
          <cell r="BR1161">
            <v>0</v>
          </cell>
          <cell r="BS1161">
            <v>4</v>
          </cell>
          <cell r="BT1161">
            <v>0</v>
          </cell>
          <cell r="BU1161">
            <v>2.5</v>
          </cell>
          <cell r="BV1161">
            <v>0</v>
          </cell>
          <cell r="BW1161">
            <v>3</v>
          </cell>
          <cell r="BX1161">
            <v>0</v>
          </cell>
          <cell r="BY1161">
            <v>3</v>
          </cell>
          <cell r="BZ1161">
            <v>3</v>
          </cell>
          <cell r="CA1161">
            <v>3</v>
          </cell>
          <cell r="CB1161">
            <v>3</v>
          </cell>
          <cell r="CC1161">
            <v>8</v>
          </cell>
          <cell r="CD1161">
            <v>0</v>
          </cell>
          <cell r="CE1161">
            <v>4</v>
          </cell>
          <cell r="CF1161">
            <v>4</v>
          </cell>
          <cell r="CG1161">
            <v>4</v>
          </cell>
          <cell r="CH1161">
            <v>4</v>
          </cell>
          <cell r="CI1161">
            <v>4</v>
          </cell>
          <cell r="CJ1161">
            <v>0</v>
          </cell>
          <cell r="CK1161">
            <v>3</v>
          </cell>
          <cell r="CL1161">
            <v>3</v>
          </cell>
          <cell r="CM1161">
            <v>3</v>
          </cell>
          <cell r="CR1161">
            <v>0</v>
          </cell>
          <cell r="CS1161">
            <v>0</v>
          </cell>
          <cell r="CT1161">
            <v>56.5</v>
          </cell>
          <cell r="CU1161">
            <v>8</v>
          </cell>
          <cell r="CV1161">
            <v>0</v>
          </cell>
          <cell r="CZ1161">
            <v>64.5</v>
          </cell>
        </row>
        <row r="1162">
          <cell r="C1162" t="str">
            <v>04858</v>
          </cell>
          <cell r="D1162" t="str">
            <v>Đặng Thành Quân</v>
          </cell>
          <cell r="E1162" t="str">
            <v xml:space="preserve">EHS &amp; Facilities </v>
          </cell>
          <cell r="F1162" t="str">
            <v>Facility</v>
          </cell>
          <cell r="G1162" t="str">
            <v>Technician</v>
          </cell>
          <cell r="H1162">
            <v>45964</v>
          </cell>
          <cell r="I1162">
            <v>8</v>
          </cell>
          <cell r="J1162">
            <v>8</v>
          </cell>
          <cell r="K1162" t="str">
            <v>PO</v>
          </cell>
          <cell r="L1162" t="str">
            <v>CN</v>
          </cell>
          <cell r="M1162">
            <v>8</v>
          </cell>
          <cell r="N1162">
            <v>8</v>
          </cell>
          <cell r="O1162">
            <v>8</v>
          </cell>
          <cell r="P1162">
            <v>8</v>
          </cell>
          <cell r="Q1162">
            <v>8</v>
          </cell>
          <cell r="R1162" t="str">
            <v>PO</v>
          </cell>
          <cell r="S1162" t="str">
            <v>CN</v>
          </cell>
          <cell r="T1162">
            <v>8</v>
          </cell>
          <cell r="U1162">
            <v>8</v>
          </cell>
          <cell r="V1162">
            <v>8</v>
          </cell>
          <cell r="W1162">
            <v>8</v>
          </cell>
          <cell r="X1162">
            <v>8</v>
          </cell>
          <cell r="Y1162" t="str">
            <v>PO</v>
          </cell>
          <cell r="Z1162" t="str">
            <v>CN</v>
          </cell>
          <cell r="AA1162">
            <v>8</v>
          </cell>
          <cell r="AB1162" t="str">
            <v>AL8</v>
          </cell>
          <cell r="AC1162">
            <v>8</v>
          </cell>
          <cell r="AD1162">
            <v>8</v>
          </cell>
          <cell r="AE1162">
            <v>8</v>
          </cell>
          <cell r="AF1162" t="str">
            <v>PO</v>
          </cell>
          <cell r="AG1162" t="str">
            <v>CN</v>
          </cell>
          <cell r="AH1162">
            <v>8</v>
          </cell>
          <cell r="AI1162">
            <v>8</v>
          </cell>
          <cell r="AJ1162">
            <v>8</v>
          </cell>
          <cell r="AN1162">
            <v>0</v>
          </cell>
          <cell r="AO1162">
            <v>152</v>
          </cell>
          <cell r="AP1162">
            <v>0</v>
          </cell>
          <cell r="AQ1162">
            <v>0</v>
          </cell>
          <cell r="AR1162">
            <v>0</v>
          </cell>
          <cell r="AS1162">
            <v>0</v>
          </cell>
          <cell r="AT1162">
            <v>0</v>
          </cell>
          <cell r="AU1162">
            <v>0</v>
          </cell>
          <cell r="AV1162">
            <v>32</v>
          </cell>
          <cell r="AW1162">
            <v>0</v>
          </cell>
          <cell r="AX1162">
            <v>0</v>
          </cell>
          <cell r="AY1162">
            <v>0</v>
          </cell>
          <cell r="AZ1162">
            <v>0</v>
          </cell>
          <cell r="BA1162">
            <v>8</v>
          </cell>
          <cell r="BB1162">
            <v>0</v>
          </cell>
          <cell r="BC1162">
            <v>0</v>
          </cell>
          <cell r="BD1162">
            <v>0</v>
          </cell>
          <cell r="BE1162">
            <v>0</v>
          </cell>
          <cell r="BF1162">
            <v>0</v>
          </cell>
          <cell r="BG1162">
            <v>192</v>
          </cell>
          <cell r="BH1162">
            <v>1</v>
          </cell>
          <cell r="BI1162">
            <v>1</v>
          </cell>
          <cell r="BJ1162">
            <v>3</v>
          </cell>
          <cell r="BL1162">
            <v>0</v>
          </cell>
          <cell r="BM1162">
            <v>0</v>
          </cell>
          <cell r="BN1162">
            <v>0</v>
          </cell>
          <cell r="BO1162">
            <v>0</v>
          </cell>
          <cell r="BP1162">
            <v>0</v>
          </cell>
          <cell r="BQ1162">
            <v>0</v>
          </cell>
          <cell r="BR1162">
            <v>0</v>
          </cell>
          <cell r="BS1162">
            <v>0</v>
          </cell>
          <cell r="BT1162">
            <v>0</v>
          </cell>
          <cell r="BU1162">
            <v>0</v>
          </cell>
          <cell r="BV1162">
            <v>0</v>
          </cell>
          <cell r="BW1162">
            <v>0</v>
          </cell>
          <cell r="BX1162">
            <v>0</v>
          </cell>
          <cell r="BY1162">
            <v>0</v>
          </cell>
          <cell r="BZ1162">
            <v>0</v>
          </cell>
          <cell r="CA1162">
            <v>0</v>
          </cell>
          <cell r="CB1162">
            <v>0</v>
          </cell>
          <cell r="CC1162">
            <v>0</v>
          </cell>
          <cell r="CD1162">
            <v>0</v>
          </cell>
          <cell r="CE1162">
            <v>0</v>
          </cell>
          <cell r="CF1162">
            <v>0</v>
          </cell>
          <cell r="CG1162">
            <v>0</v>
          </cell>
          <cell r="CH1162">
            <v>0</v>
          </cell>
          <cell r="CI1162">
            <v>0</v>
          </cell>
          <cell r="CJ1162">
            <v>0</v>
          </cell>
          <cell r="CK1162">
            <v>0</v>
          </cell>
          <cell r="CL1162">
            <v>0</v>
          </cell>
          <cell r="CM1162">
            <v>0</v>
          </cell>
          <cell r="CR1162">
            <v>0</v>
          </cell>
          <cell r="CS1162">
            <v>0</v>
          </cell>
          <cell r="CT1162">
            <v>0</v>
          </cell>
          <cell r="CU1162">
            <v>0</v>
          </cell>
          <cell r="CV1162">
            <v>0</v>
          </cell>
          <cell r="CZ1162">
            <v>0</v>
          </cell>
        </row>
        <row r="1163">
          <cell r="C1163" t="str">
            <v>04861</v>
          </cell>
          <cell r="D1163" t="str">
            <v>Văn Khánh Duy</v>
          </cell>
          <cell r="E1163" t="str">
            <v>Production</v>
          </cell>
          <cell r="F1163" t="str">
            <v>Die cut</v>
          </cell>
          <cell r="G1163" t="str">
            <v>Worker</v>
          </cell>
          <cell r="H1163">
            <v>45971</v>
          </cell>
          <cell r="I1163" t="str">
            <v>CĐ</v>
          </cell>
          <cell r="J1163" t="str">
            <v>AL8</v>
          </cell>
          <cell r="K1163" t="str">
            <v>UP8</v>
          </cell>
          <cell r="L1163" t="str">
            <v>CN</v>
          </cell>
          <cell r="M1163">
            <v>8</v>
          </cell>
          <cell r="N1163">
            <v>8</v>
          </cell>
          <cell r="O1163">
            <v>8</v>
          </cell>
          <cell r="P1163">
            <v>8</v>
          </cell>
          <cell r="Q1163">
            <v>8</v>
          </cell>
          <cell r="R1163">
            <v>8</v>
          </cell>
          <cell r="S1163" t="str">
            <v>CN</v>
          </cell>
          <cell r="T1163">
            <v>8</v>
          </cell>
          <cell r="U1163">
            <v>8</v>
          </cell>
          <cell r="V1163">
            <v>8</v>
          </cell>
          <cell r="W1163">
            <v>8</v>
          </cell>
          <cell r="X1163">
            <v>8</v>
          </cell>
          <cell r="Y1163">
            <v>8</v>
          </cell>
          <cell r="Z1163" t="str">
            <v>CN</v>
          </cell>
          <cell r="AA1163" t="str">
            <v>AL8</v>
          </cell>
          <cell r="AB1163" t="str">
            <v>Đ</v>
          </cell>
          <cell r="AC1163" t="str">
            <v>Đ</v>
          </cell>
          <cell r="AD1163" t="str">
            <v>Đ</v>
          </cell>
          <cell r="AE1163" t="str">
            <v>Đ</v>
          </cell>
          <cell r="AF1163" t="str">
            <v>Đ</v>
          </cell>
          <cell r="AG1163" t="str">
            <v>CN</v>
          </cell>
          <cell r="AH1163">
            <v>8</v>
          </cell>
          <cell r="AI1163">
            <v>8</v>
          </cell>
          <cell r="AJ1163">
            <v>8</v>
          </cell>
          <cell r="AN1163">
            <v>40</v>
          </cell>
          <cell r="AO1163">
            <v>120</v>
          </cell>
          <cell r="AP1163">
            <v>0</v>
          </cell>
          <cell r="AQ1163">
            <v>0</v>
          </cell>
          <cell r="AR1163">
            <v>0</v>
          </cell>
          <cell r="AS1163">
            <v>8</v>
          </cell>
          <cell r="AT1163">
            <v>0</v>
          </cell>
          <cell r="AU1163">
            <v>0</v>
          </cell>
          <cell r="AV1163">
            <v>0</v>
          </cell>
          <cell r="AW1163">
            <v>0</v>
          </cell>
          <cell r="AX1163">
            <v>0</v>
          </cell>
          <cell r="AY1163">
            <v>0</v>
          </cell>
          <cell r="AZ1163">
            <v>8</v>
          </cell>
          <cell r="BA1163">
            <v>16</v>
          </cell>
          <cell r="BB1163">
            <v>0</v>
          </cell>
          <cell r="BC1163">
            <v>0</v>
          </cell>
          <cell r="BD1163">
            <v>0</v>
          </cell>
          <cell r="BE1163">
            <v>0</v>
          </cell>
          <cell r="BF1163">
            <v>0</v>
          </cell>
          <cell r="BG1163">
            <v>184</v>
          </cell>
          <cell r="BH1163">
            <v>2</v>
          </cell>
          <cell r="BI1163">
            <v>2</v>
          </cell>
          <cell r="BJ1163">
            <v>0</v>
          </cell>
          <cell r="BL1163">
            <v>0</v>
          </cell>
          <cell r="BM1163">
            <v>0</v>
          </cell>
          <cell r="BN1163">
            <v>0</v>
          </cell>
          <cell r="BO1163">
            <v>0</v>
          </cell>
          <cell r="BP1163">
            <v>0</v>
          </cell>
          <cell r="BQ1163">
            <v>0</v>
          </cell>
          <cell r="BR1163">
            <v>0</v>
          </cell>
          <cell r="BS1163">
            <v>0</v>
          </cell>
          <cell r="BT1163">
            <v>0</v>
          </cell>
          <cell r="BU1163">
            <v>0</v>
          </cell>
          <cell r="BV1163">
            <v>0</v>
          </cell>
          <cell r="BW1163">
            <v>3</v>
          </cell>
          <cell r="BX1163">
            <v>0</v>
          </cell>
          <cell r="BY1163">
            <v>3</v>
          </cell>
          <cell r="BZ1163">
            <v>3</v>
          </cell>
          <cell r="CA1163">
            <v>0</v>
          </cell>
          <cell r="CB1163">
            <v>0</v>
          </cell>
          <cell r="CC1163">
            <v>0</v>
          </cell>
          <cell r="CD1163">
            <v>0</v>
          </cell>
          <cell r="CE1163">
            <v>0</v>
          </cell>
          <cell r="CF1163">
            <v>4</v>
          </cell>
          <cell r="CG1163">
            <v>0</v>
          </cell>
          <cell r="CH1163">
            <v>4</v>
          </cell>
          <cell r="CI1163">
            <v>0</v>
          </cell>
          <cell r="CJ1163">
            <v>0</v>
          </cell>
          <cell r="CK1163">
            <v>0</v>
          </cell>
          <cell r="CL1163">
            <v>0</v>
          </cell>
          <cell r="CM1163">
            <v>0</v>
          </cell>
          <cell r="CR1163">
            <v>0</v>
          </cell>
          <cell r="CS1163">
            <v>0</v>
          </cell>
          <cell r="CT1163">
            <v>17</v>
          </cell>
          <cell r="CU1163">
            <v>0</v>
          </cell>
          <cell r="CV1163">
            <v>0</v>
          </cell>
          <cell r="CZ1163">
            <v>17</v>
          </cell>
        </row>
        <row r="1164">
          <cell r="C1164" t="str">
            <v>04867</v>
          </cell>
          <cell r="D1164" t="str">
            <v>Trịnh Phước An</v>
          </cell>
          <cell r="E1164" t="str">
            <v>Production</v>
          </cell>
          <cell r="F1164" t="str">
            <v>Die cut</v>
          </cell>
          <cell r="G1164" t="str">
            <v>Worker</v>
          </cell>
          <cell r="H1164">
            <v>45971</v>
          </cell>
          <cell r="I1164" t="str">
            <v>Đ</v>
          </cell>
          <cell r="J1164" t="str">
            <v>Đ</v>
          </cell>
          <cell r="K1164" t="str">
            <v>Đ</v>
          </cell>
          <cell r="L1164" t="str">
            <v>CN</v>
          </cell>
          <cell r="M1164">
            <v>8</v>
          </cell>
          <cell r="N1164">
            <v>8</v>
          </cell>
          <cell r="O1164">
            <v>8</v>
          </cell>
          <cell r="P1164" t="str">
            <v>AL8</v>
          </cell>
          <cell r="Q1164">
            <v>8</v>
          </cell>
          <cell r="R1164">
            <v>8</v>
          </cell>
          <cell r="S1164" t="str">
            <v>CN</v>
          </cell>
          <cell r="T1164" t="str">
            <v>Đ</v>
          </cell>
          <cell r="U1164" t="str">
            <v>Đ</v>
          </cell>
          <cell r="V1164" t="str">
            <v>Đ</v>
          </cell>
          <cell r="W1164" t="str">
            <v>Đ</v>
          </cell>
          <cell r="X1164" t="str">
            <v>Đ</v>
          </cell>
          <cell r="Y1164" t="str">
            <v>Đ</v>
          </cell>
          <cell r="Z1164" t="str">
            <v>CN</v>
          </cell>
          <cell r="AA1164">
            <v>8</v>
          </cell>
          <cell r="AB1164">
            <v>8</v>
          </cell>
          <cell r="AC1164">
            <v>8</v>
          </cell>
          <cell r="AD1164">
            <v>8</v>
          </cell>
          <cell r="AE1164">
            <v>8</v>
          </cell>
          <cell r="AF1164">
            <v>8</v>
          </cell>
          <cell r="AG1164" t="str">
            <v>CN</v>
          </cell>
          <cell r="AH1164" t="str">
            <v>Đ</v>
          </cell>
          <cell r="AI1164" t="str">
            <v>Đ</v>
          </cell>
          <cell r="AJ1164" t="str">
            <v>Đ</v>
          </cell>
          <cell r="AN1164">
            <v>96</v>
          </cell>
          <cell r="AO1164">
            <v>88</v>
          </cell>
          <cell r="AP1164">
            <v>0</v>
          </cell>
          <cell r="AQ1164">
            <v>0</v>
          </cell>
          <cell r="AR1164">
            <v>0</v>
          </cell>
          <cell r="AS1164">
            <v>0</v>
          </cell>
          <cell r="AT1164">
            <v>0</v>
          </cell>
          <cell r="AU1164">
            <v>0</v>
          </cell>
          <cell r="AV1164">
            <v>0</v>
          </cell>
          <cell r="AW1164">
            <v>0</v>
          </cell>
          <cell r="AX1164">
            <v>0</v>
          </cell>
          <cell r="AY1164">
            <v>0</v>
          </cell>
          <cell r="AZ1164">
            <v>0</v>
          </cell>
          <cell r="BA1164">
            <v>8</v>
          </cell>
          <cell r="BB1164">
            <v>0</v>
          </cell>
          <cell r="BC1164">
            <v>0</v>
          </cell>
          <cell r="BD1164">
            <v>0</v>
          </cell>
          <cell r="BE1164">
            <v>0</v>
          </cell>
          <cell r="BF1164">
            <v>0</v>
          </cell>
          <cell r="BG1164">
            <v>192</v>
          </cell>
          <cell r="BH1164">
            <v>1</v>
          </cell>
          <cell r="BI1164">
            <v>1</v>
          </cell>
          <cell r="BJ1164">
            <v>0</v>
          </cell>
          <cell r="BL1164">
            <v>1.5</v>
          </cell>
          <cell r="BM1164">
            <v>1.5</v>
          </cell>
          <cell r="BN1164">
            <v>1.5</v>
          </cell>
          <cell r="BO1164">
            <v>0</v>
          </cell>
          <cell r="BP1164">
            <v>1.5</v>
          </cell>
          <cell r="BQ1164">
            <v>0</v>
          </cell>
          <cell r="BR1164">
            <v>0</v>
          </cell>
          <cell r="BS1164">
            <v>0</v>
          </cell>
          <cell r="BT1164">
            <v>3</v>
          </cell>
          <cell r="BU1164">
            <v>3</v>
          </cell>
          <cell r="BV1164">
            <v>0</v>
          </cell>
          <cell r="BW1164">
            <v>4</v>
          </cell>
          <cell r="BX1164">
            <v>4</v>
          </cell>
          <cell r="BY1164">
            <v>4</v>
          </cell>
          <cell r="BZ1164">
            <v>4</v>
          </cell>
          <cell r="CA1164">
            <v>4</v>
          </cell>
          <cell r="CB1164">
            <v>4</v>
          </cell>
          <cell r="CC1164">
            <v>0</v>
          </cell>
          <cell r="CD1164">
            <v>3</v>
          </cell>
          <cell r="CE1164">
            <v>3</v>
          </cell>
          <cell r="CF1164">
            <v>3</v>
          </cell>
          <cell r="CG1164">
            <v>3</v>
          </cell>
          <cell r="CH1164">
            <v>3</v>
          </cell>
          <cell r="CI1164">
            <v>3</v>
          </cell>
          <cell r="CJ1164">
            <v>8</v>
          </cell>
          <cell r="CK1164">
            <v>4</v>
          </cell>
          <cell r="CL1164">
            <v>4</v>
          </cell>
          <cell r="CM1164">
            <v>4</v>
          </cell>
          <cell r="CR1164">
            <v>0</v>
          </cell>
          <cell r="CS1164">
            <v>0</v>
          </cell>
          <cell r="CT1164">
            <v>66</v>
          </cell>
          <cell r="CU1164">
            <v>8</v>
          </cell>
          <cell r="CV1164">
            <v>0</v>
          </cell>
          <cell r="CZ1164">
            <v>74</v>
          </cell>
        </row>
        <row r="1165">
          <cell r="C1165" t="str">
            <v>04868</v>
          </cell>
          <cell r="D1165" t="str">
            <v>Lê Tấn Vĩ</v>
          </cell>
          <cell r="E1165" t="str">
            <v>Production</v>
          </cell>
          <cell r="F1165" t="str">
            <v>Prefitting</v>
          </cell>
          <cell r="G1165" t="str">
            <v>Worker</v>
          </cell>
          <cell r="H1165">
            <v>45971</v>
          </cell>
          <cell r="I1165" t="str">
            <v>UP8</v>
          </cell>
          <cell r="J1165">
            <v>8</v>
          </cell>
          <cell r="K1165">
            <v>8</v>
          </cell>
          <cell r="L1165" t="str">
            <v>CN</v>
          </cell>
          <cell r="M1165" t="str">
            <v>AL8</v>
          </cell>
          <cell r="N1165" t="str">
            <v>Đ</v>
          </cell>
          <cell r="O1165" t="str">
            <v>Đ</v>
          </cell>
          <cell r="P1165" t="str">
            <v>Đ</v>
          </cell>
          <cell r="Q1165" t="str">
            <v>UP8</v>
          </cell>
          <cell r="R1165" t="str">
            <v>Đ</v>
          </cell>
          <cell r="S1165" t="str">
            <v>CN</v>
          </cell>
          <cell r="T1165">
            <v>8</v>
          </cell>
          <cell r="U1165">
            <v>8</v>
          </cell>
          <cell r="V1165">
            <v>8</v>
          </cell>
          <cell r="W1165">
            <v>8</v>
          </cell>
          <cell r="X1165">
            <v>8</v>
          </cell>
          <cell r="Y1165" t="str">
            <v>CN</v>
          </cell>
          <cell r="Z1165" t="str">
            <v>Đ</v>
          </cell>
          <cell r="AA1165" t="str">
            <v>Đ</v>
          </cell>
          <cell r="AB1165" t="str">
            <v>Đ</v>
          </cell>
          <cell r="AC1165" t="str">
            <v>Đ</v>
          </cell>
          <cell r="AD1165" t="str">
            <v>UP8</v>
          </cell>
          <cell r="AE1165" t="str">
            <v>Đ</v>
          </cell>
          <cell r="AF1165" t="str">
            <v>CN</v>
          </cell>
          <cell r="AG1165">
            <v>8</v>
          </cell>
          <cell r="AH1165">
            <v>8</v>
          </cell>
          <cell r="AI1165">
            <v>8</v>
          </cell>
          <cell r="AJ1165">
            <v>8</v>
          </cell>
          <cell r="AN1165">
            <v>72</v>
          </cell>
          <cell r="AO1165">
            <v>88</v>
          </cell>
          <cell r="AP1165">
            <v>0</v>
          </cell>
          <cell r="AQ1165">
            <v>0</v>
          </cell>
          <cell r="AR1165">
            <v>0</v>
          </cell>
          <cell r="AS1165">
            <v>24</v>
          </cell>
          <cell r="AT1165">
            <v>0</v>
          </cell>
          <cell r="AU1165">
            <v>0</v>
          </cell>
          <cell r="AV1165">
            <v>0</v>
          </cell>
          <cell r="AW1165">
            <v>0</v>
          </cell>
          <cell r="AX1165">
            <v>0</v>
          </cell>
          <cell r="AY1165">
            <v>0</v>
          </cell>
          <cell r="AZ1165">
            <v>0</v>
          </cell>
          <cell r="BA1165">
            <v>8</v>
          </cell>
          <cell r="BB1165">
            <v>0</v>
          </cell>
          <cell r="BC1165">
            <v>0</v>
          </cell>
          <cell r="BD1165">
            <v>0</v>
          </cell>
          <cell r="BE1165">
            <v>0</v>
          </cell>
          <cell r="BF1165">
            <v>0</v>
          </cell>
          <cell r="BG1165">
            <v>168</v>
          </cell>
          <cell r="BH1165">
            <v>1</v>
          </cell>
          <cell r="BI1165">
            <v>1</v>
          </cell>
          <cell r="BJ1165">
            <v>-1</v>
          </cell>
          <cell r="BL1165">
            <v>0</v>
          </cell>
          <cell r="BM1165">
            <v>0</v>
          </cell>
          <cell r="BN1165">
            <v>0</v>
          </cell>
          <cell r="BO1165">
            <v>0</v>
          </cell>
          <cell r="BP1165">
            <v>0</v>
          </cell>
          <cell r="BQ1165">
            <v>0</v>
          </cell>
          <cell r="BR1165">
            <v>0</v>
          </cell>
          <cell r="BS1165">
            <v>0</v>
          </cell>
          <cell r="BT1165">
            <v>0</v>
          </cell>
          <cell r="BU1165">
            <v>4</v>
          </cell>
          <cell r="BV1165">
            <v>0</v>
          </cell>
          <cell r="BW1165">
            <v>0</v>
          </cell>
          <cell r="BX1165">
            <v>0</v>
          </cell>
          <cell r="BY1165">
            <v>0</v>
          </cell>
          <cell r="BZ1165">
            <v>0</v>
          </cell>
          <cell r="CA1165">
            <v>4</v>
          </cell>
          <cell r="CB1165">
            <v>0</v>
          </cell>
          <cell r="CC1165">
            <v>4</v>
          </cell>
          <cell r="CD1165">
            <v>0</v>
          </cell>
          <cell r="CE1165">
            <v>0</v>
          </cell>
          <cell r="CF1165">
            <v>0</v>
          </cell>
          <cell r="CG1165">
            <v>0</v>
          </cell>
          <cell r="CH1165">
            <v>4</v>
          </cell>
          <cell r="CI1165">
            <v>0</v>
          </cell>
          <cell r="CJ1165">
            <v>4</v>
          </cell>
          <cell r="CK1165">
            <v>0</v>
          </cell>
          <cell r="CL1165">
            <v>0</v>
          </cell>
          <cell r="CM1165">
            <v>0</v>
          </cell>
          <cell r="CR1165">
            <v>0</v>
          </cell>
          <cell r="CS1165">
            <v>0</v>
          </cell>
          <cell r="CT1165">
            <v>20</v>
          </cell>
          <cell r="CU1165">
            <v>0</v>
          </cell>
          <cell r="CV1165">
            <v>0</v>
          </cell>
          <cell r="CZ1165">
            <v>20</v>
          </cell>
        </row>
        <row r="1166">
          <cell r="C1166" t="str">
            <v>04869</v>
          </cell>
          <cell r="D1166" t="str">
            <v>Trương Thị Ngân</v>
          </cell>
          <cell r="E1166" t="str">
            <v>Production</v>
          </cell>
          <cell r="F1166" t="str">
            <v>Prefitting</v>
          </cell>
          <cell r="G1166" t="str">
            <v>Worker</v>
          </cell>
          <cell r="H1166">
            <v>45971</v>
          </cell>
          <cell r="I1166">
            <v>8</v>
          </cell>
          <cell r="J1166">
            <v>8</v>
          </cell>
          <cell r="K1166">
            <v>8</v>
          </cell>
          <cell r="L1166" t="str">
            <v>CN</v>
          </cell>
          <cell r="M1166">
            <v>8</v>
          </cell>
          <cell r="N1166">
            <v>8</v>
          </cell>
          <cell r="O1166">
            <v>8</v>
          </cell>
          <cell r="P1166" t="str">
            <v>AL8</v>
          </cell>
          <cell r="Q1166">
            <v>8</v>
          </cell>
          <cell r="R1166">
            <v>8</v>
          </cell>
          <cell r="S1166" t="str">
            <v>CN</v>
          </cell>
          <cell r="T1166">
            <v>8</v>
          </cell>
          <cell r="U1166">
            <v>8</v>
          </cell>
          <cell r="V1166">
            <v>8</v>
          </cell>
          <cell r="W1166">
            <v>8</v>
          </cell>
          <cell r="X1166">
            <v>8</v>
          </cell>
          <cell r="Y1166">
            <v>8</v>
          </cell>
          <cell r="Z1166" t="str">
            <v>CN</v>
          </cell>
          <cell r="AA1166">
            <v>8</v>
          </cell>
          <cell r="AB1166">
            <v>8</v>
          </cell>
          <cell r="AC1166">
            <v>8</v>
          </cell>
          <cell r="AD1166">
            <v>8</v>
          </cell>
          <cell r="AE1166">
            <v>8</v>
          </cell>
          <cell r="AF1166">
            <v>8</v>
          </cell>
          <cell r="AG1166" t="str">
            <v>CN</v>
          </cell>
          <cell r="AH1166">
            <v>8</v>
          </cell>
          <cell r="AI1166">
            <v>8</v>
          </cell>
          <cell r="AJ1166">
            <v>8</v>
          </cell>
          <cell r="AN1166">
            <v>0</v>
          </cell>
          <cell r="AO1166">
            <v>184</v>
          </cell>
          <cell r="AP1166">
            <v>0</v>
          </cell>
          <cell r="AQ1166">
            <v>0</v>
          </cell>
          <cell r="AR1166">
            <v>0</v>
          </cell>
          <cell r="AS1166">
            <v>0</v>
          </cell>
          <cell r="AT1166">
            <v>0</v>
          </cell>
          <cell r="AU1166">
            <v>0</v>
          </cell>
          <cell r="AV1166">
            <v>0</v>
          </cell>
          <cell r="AW1166">
            <v>0</v>
          </cell>
          <cell r="AX1166">
            <v>0</v>
          </cell>
          <cell r="AY1166">
            <v>0</v>
          </cell>
          <cell r="AZ1166">
            <v>0</v>
          </cell>
          <cell r="BA1166">
            <v>8</v>
          </cell>
          <cell r="BB1166">
            <v>0</v>
          </cell>
          <cell r="BC1166">
            <v>0</v>
          </cell>
          <cell r="BD1166">
            <v>0</v>
          </cell>
          <cell r="BE1166">
            <v>0</v>
          </cell>
          <cell r="BF1166">
            <v>0</v>
          </cell>
          <cell r="BG1166">
            <v>192</v>
          </cell>
          <cell r="BH1166">
            <v>1</v>
          </cell>
          <cell r="BI1166">
            <v>1</v>
          </cell>
          <cell r="BJ1166">
            <v>-1</v>
          </cell>
          <cell r="BL1166">
            <v>0</v>
          </cell>
          <cell r="BM1166">
            <v>0</v>
          </cell>
          <cell r="BN1166">
            <v>0</v>
          </cell>
          <cell r="BO1166">
            <v>0</v>
          </cell>
          <cell r="BP1166">
            <v>0</v>
          </cell>
          <cell r="BQ1166">
            <v>0</v>
          </cell>
          <cell r="BR1166">
            <v>0</v>
          </cell>
          <cell r="BS1166">
            <v>0</v>
          </cell>
          <cell r="BT1166">
            <v>0</v>
          </cell>
          <cell r="BU1166">
            <v>0</v>
          </cell>
          <cell r="BV1166">
            <v>0</v>
          </cell>
          <cell r="BW1166">
            <v>0</v>
          </cell>
          <cell r="BX1166">
            <v>0</v>
          </cell>
          <cell r="BY1166">
            <v>0</v>
          </cell>
          <cell r="BZ1166">
            <v>0</v>
          </cell>
          <cell r="CA1166">
            <v>0</v>
          </cell>
          <cell r="CB1166">
            <v>0</v>
          </cell>
          <cell r="CC1166">
            <v>0</v>
          </cell>
          <cell r="CD1166">
            <v>0</v>
          </cell>
          <cell r="CE1166">
            <v>0</v>
          </cell>
          <cell r="CF1166">
            <v>0</v>
          </cell>
          <cell r="CG1166">
            <v>0</v>
          </cell>
          <cell r="CH1166">
            <v>0</v>
          </cell>
          <cell r="CI1166">
            <v>0</v>
          </cell>
          <cell r="CJ1166">
            <v>0</v>
          </cell>
          <cell r="CK1166">
            <v>0</v>
          </cell>
          <cell r="CL1166">
            <v>0</v>
          </cell>
          <cell r="CM1166">
            <v>0</v>
          </cell>
          <cell r="CR1166">
            <v>0</v>
          </cell>
          <cell r="CS1166">
            <v>0</v>
          </cell>
          <cell r="CT1166">
            <v>0</v>
          </cell>
          <cell r="CU1166">
            <v>0</v>
          </cell>
          <cell r="CV1166">
            <v>0</v>
          </cell>
          <cell r="CZ1166">
            <v>0</v>
          </cell>
        </row>
        <row r="1167">
          <cell r="C1167" t="str">
            <v>04870</v>
          </cell>
          <cell r="D1167" t="str">
            <v>Ngô Như Ý</v>
          </cell>
          <cell r="E1167" t="str">
            <v>Production</v>
          </cell>
          <cell r="F1167" t="str">
            <v>Logo</v>
          </cell>
          <cell r="G1167" t="str">
            <v>Worker</v>
          </cell>
          <cell r="H1167">
            <v>45971</v>
          </cell>
          <cell r="I1167">
            <v>8</v>
          </cell>
          <cell r="J1167" t="str">
            <v>UP8</v>
          </cell>
          <cell r="K1167" t="str">
            <v>UP8</v>
          </cell>
          <cell r="L1167" t="str">
            <v>CN</v>
          </cell>
          <cell r="M1167" t="str">
            <v>UP8</v>
          </cell>
          <cell r="N1167" t="str">
            <v>UP8</v>
          </cell>
          <cell r="O1167" t="str">
            <v>UP8</v>
          </cell>
          <cell r="P1167" t="str">
            <v>UP8</v>
          </cell>
          <cell r="Q1167" t="str">
            <v>UP8</v>
          </cell>
          <cell r="R1167" t="str">
            <v>UP8</v>
          </cell>
          <cell r="S1167" t="str">
            <v>CN</v>
          </cell>
          <cell r="T1167" t="str">
            <v>UP8</v>
          </cell>
          <cell r="U1167" t="str">
            <v>UP8</v>
          </cell>
          <cell r="V1167" t="str">
            <v>UP8</v>
          </cell>
          <cell r="W1167" t="str">
            <v>UP8</v>
          </cell>
          <cell r="X1167" t="str">
            <v>UP8</v>
          </cell>
          <cell r="Y1167" t="str">
            <v>UP8</v>
          </cell>
          <cell r="Z1167" t="str">
            <v>CN</v>
          </cell>
          <cell r="AA1167" t="str">
            <v>UP8</v>
          </cell>
          <cell r="AB1167" t="str">
            <v>UP8</v>
          </cell>
          <cell r="AC1167" t="str">
            <v>TV</v>
          </cell>
          <cell r="AD1167" t="str">
            <v>TV</v>
          </cell>
          <cell r="AE1167" t="str">
            <v>TV</v>
          </cell>
          <cell r="AF1167" t="str">
            <v>TV</v>
          </cell>
          <cell r="AG1167" t="str">
            <v>TV</v>
          </cell>
          <cell r="AH1167" t="str">
            <v>TV</v>
          </cell>
          <cell r="AI1167" t="str">
            <v>TV</v>
          </cell>
          <cell r="AJ1167" t="str">
            <v>TV</v>
          </cell>
          <cell r="AN1167">
            <v>0</v>
          </cell>
          <cell r="AO1167">
            <v>8</v>
          </cell>
          <cell r="AP1167">
            <v>0</v>
          </cell>
          <cell r="AQ1167">
            <v>0</v>
          </cell>
          <cell r="AR1167">
            <v>0</v>
          </cell>
          <cell r="AS1167">
            <v>128</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8</v>
          </cell>
          <cell r="BH1167">
            <v>0</v>
          </cell>
          <cell r="BI1167">
            <v>0</v>
          </cell>
          <cell r="BJ1167">
            <v>1</v>
          </cell>
          <cell r="BL1167">
            <v>0</v>
          </cell>
          <cell r="BM1167">
            <v>0</v>
          </cell>
          <cell r="BN1167">
            <v>0</v>
          </cell>
          <cell r="BO1167">
            <v>0</v>
          </cell>
          <cell r="BP1167">
            <v>0</v>
          </cell>
          <cell r="BQ1167">
            <v>0</v>
          </cell>
          <cell r="BR1167">
            <v>0</v>
          </cell>
          <cell r="BS1167">
            <v>0</v>
          </cell>
          <cell r="BT1167">
            <v>0</v>
          </cell>
          <cell r="BU1167">
            <v>0</v>
          </cell>
          <cell r="BV1167">
            <v>0</v>
          </cell>
          <cell r="BW1167">
            <v>0</v>
          </cell>
          <cell r="BX1167">
            <v>0</v>
          </cell>
          <cell r="BY1167">
            <v>0</v>
          </cell>
          <cell r="BZ1167">
            <v>0</v>
          </cell>
          <cell r="CA1167">
            <v>0</v>
          </cell>
          <cell r="CB1167">
            <v>0</v>
          </cell>
          <cell r="CC1167">
            <v>0</v>
          </cell>
          <cell r="CD1167">
            <v>0</v>
          </cell>
          <cell r="CE1167">
            <v>0</v>
          </cell>
          <cell r="CF1167">
            <v>0</v>
          </cell>
          <cell r="CG1167">
            <v>0</v>
          </cell>
          <cell r="CH1167">
            <v>0</v>
          </cell>
          <cell r="CI1167">
            <v>0</v>
          </cell>
          <cell r="CJ1167">
            <v>0</v>
          </cell>
          <cell r="CK1167">
            <v>0</v>
          </cell>
          <cell r="CL1167">
            <v>0</v>
          </cell>
          <cell r="CM1167">
            <v>0</v>
          </cell>
          <cell r="CR1167">
            <v>0</v>
          </cell>
          <cell r="CS1167">
            <v>0</v>
          </cell>
          <cell r="CT1167">
            <v>0</v>
          </cell>
          <cell r="CU1167">
            <v>0</v>
          </cell>
          <cell r="CV1167">
            <v>0</v>
          </cell>
          <cell r="CZ1167">
            <v>0</v>
          </cell>
        </row>
        <row r="1168">
          <cell r="C1168" t="str">
            <v>04872</v>
          </cell>
          <cell r="D1168" t="str">
            <v>Kim Thị Ngọc Lanh</v>
          </cell>
          <cell r="E1168" t="str">
            <v>Production</v>
          </cell>
          <cell r="F1168" t="str">
            <v>Die cut</v>
          </cell>
          <cell r="G1168" t="str">
            <v>Worker</v>
          </cell>
          <cell r="H1168">
            <v>45971</v>
          </cell>
          <cell r="I1168" t="str">
            <v>Đ</v>
          </cell>
          <cell r="J1168" t="str">
            <v>Đ</v>
          </cell>
          <cell r="K1168" t="str">
            <v>UP8</v>
          </cell>
          <cell r="L1168" t="str">
            <v>CN</v>
          </cell>
          <cell r="M1168" t="str">
            <v>UP8</v>
          </cell>
          <cell r="N1168" t="str">
            <v>UP8</v>
          </cell>
          <cell r="O1168">
            <v>8</v>
          </cell>
          <cell r="P1168">
            <v>8</v>
          </cell>
          <cell r="Q1168">
            <v>8</v>
          </cell>
          <cell r="R1168">
            <v>8</v>
          </cell>
          <cell r="S1168" t="str">
            <v>CN</v>
          </cell>
          <cell r="T1168">
            <v>8</v>
          </cell>
          <cell r="U1168">
            <v>8</v>
          </cell>
          <cell r="V1168">
            <v>8</v>
          </cell>
          <cell r="W1168">
            <v>8</v>
          </cell>
          <cell r="X1168">
            <v>8</v>
          </cell>
          <cell r="Y1168">
            <v>8</v>
          </cell>
          <cell r="Z1168" t="str">
            <v>CN</v>
          </cell>
          <cell r="AA1168" t="str">
            <v>UP7.37</v>
          </cell>
          <cell r="AB1168" t="str">
            <v>Đ</v>
          </cell>
          <cell r="AC1168" t="str">
            <v>Đ</v>
          </cell>
          <cell r="AD1168" t="str">
            <v>Đ</v>
          </cell>
          <cell r="AE1168" t="str">
            <v>Đ</v>
          </cell>
          <cell r="AF1168" t="str">
            <v>Đ</v>
          </cell>
          <cell r="AG1168" t="str">
            <v>CN</v>
          </cell>
          <cell r="AH1168" t="str">
            <v>Đ</v>
          </cell>
          <cell r="AI1168" t="str">
            <v>Đ</v>
          </cell>
          <cell r="AJ1168" t="str">
            <v>Đ</v>
          </cell>
          <cell r="AN1168">
            <v>80</v>
          </cell>
          <cell r="AO1168">
            <v>87.366666667000004</v>
          </cell>
          <cell r="AP1168">
            <v>0</v>
          </cell>
          <cell r="AQ1168">
            <v>0</v>
          </cell>
          <cell r="AR1168">
            <v>0</v>
          </cell>
          <cell r="AS1168">
            <v>24</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167.366666667</v>
          </cell>
          <cell r="BH1168">
            <v>0</v>
          </cell>
          <cell r="BI1168">
            <v>0</v>
          </cell>
          <cell r="BJ1168">
            <v>2</v>
          </cell>
          <cell r="BL1168">
            <v>0</v>
          </cell>
          <cell r="BM1168">
            <v>3</v>
          </cell>
          <cell r="BN1168">
            <v>0</v>
          </cell>
          <cell r="BO1168">
            <v>0</v>
          </cell>
          <cell r="BP1168">
            <v>0</v>
          </cell>
          <cell r="BQ1168">
            <v>0</v>
          </cell>
          <cell r="BR1168">
            <v>0</v>
          </cell>
          <cell r="BS1168">
            <v>0</v>
          </cell>
          <cell r="BT1168">
            <v>4</v>
          </cell>
          <cell r="BU1168">
            <v>0</v>
          </cell>
          <cell r="BV1168">
            <v>0</v>
          </cell>
          <cell r="BW1168">
            <v>0</v>
          </cell>
          <cell r="BX1168">
            <v>3</v>
          </cell>
          <cell r="BY1168">
            <v>3</v>
          </cell>
          <cell r="BZ1168">
            <v>3</v>
          </cell>
          <cell r="CA1168">
            <v>0</v>
          </cell>
          <cell r="CB1168">
            <v>3</v>
          </cell>
          <cell r="CC1168">
            <v>8</v>
          </cell>
          <cell r="CD1168">
            <v>0</v>
          </cell>
          <cell r="CE1168">
            <v>4</v>
          </cell>
          <cell r="CF1168">
            <v>4</v>
          </cell>
          <cell r="CG1168">
            <v>4</v>
          </cell>
          <cell r="CH1168">
            <v>0</v>
          </cell>
          <cell r="CI1168">
            <v>4</v>
          </cell>
          <cell r="CJ1168">
            <v>0</v>
          </cell>
          <cell r="CK1168">
            <v>0</v>
          </cell>
          <cell r="CL1168">
            <v>4</v>
          </cell>
          <cell r="CM1168">
            <v>4</v>
          </cell>
          <cell r="CR1168">
            <v>0</v>
          </cell>
          <cell r="CS1168">
            <v>0</v>
          </cell>
          <cell r="CT1168">
            <v>43</v>
          </cell>
          <cell r="CU1168">
            <v>8</v>
          </cell>
          <cell r="CV1168">
            <v>0</v>
          </cell>
          <cell r="CZ1168">
            <v>51</v>
          </cell>
        </row>
        <row r="1169">
          <cell r="C1169" t="str">
            <v>04873</v>
          </cell>
          <cell r="D1169" t="str">
            <v>Thạch Thâm</v>
          </cell>
          <cell r="E1169" t="str">
            <v>Production</v>
          </cell>
          <cell r="F1169" t="str">
            <v>Molding</v>
          </cell>
          <cell r="G1169" t="str">
            <v>Worker</v>
          </cell>
          <cell r="H1169">
            <v>45974</v>
          </cell>
          <cell r="I1169">
            <v>8</v>
          </cell>
          <cell r="J1169">
            <v>8</v>
          </cell>
          <cell r="K1169">
            <v>8</v>
          </cell>
          <cell r="L1169" t="str">
            <v>CN</v>
          </cell>
          <cell r="M1169">
            <v>8</v>
          </cell>
          <cell r="N1169">
            <v>8</v>
          </cell>
          <cell r="O1169" t="str">
            <v>AL4</v>
          </cell>
          <cell r="P1169" t="str">
            <v>AL8</v>
          </cell>
          <cell r="Q1169">
            <v>8</v>
          </cell>
          <cell r="R1169">
            <v>8</v>
          </cell>
          <cell r="S1169" t="str">
            <v>CN</v>
          </cell>
          <cell r="T1169">
            <v>8</v>
          </cell>
          <cell r="U1169">
            <v>8</v>
          </cell>
          <cell r="V1169">
            <v>8</v>
          </cell>
          <cell r="W1169">
            <v>8</v>
          </cell>
          <cell r="X1169">
            <v>8</v>
          </cell>
          <cell r="Y1169">
            <v>8</v>
          </cell>
          <cell r="Z1169" t="str">
            <v>CN</v>
          </cell>
          <cell r="AA1169">
            <v>8</v>
          </cell>
          <cell r="AB1169">
            <v>8</v>
          </cell>
          <cell r="AC1169">
            <v>8</v>
          </cell>
          <cell r="AD1169">
            <v>8</v>
          </cell>
          <cell r="AE1169">
            <v>8</v>
          </cell>
          <cell r="AF1169">
            <v>8</v>
          </cell>
          <cell r="AG1169" t="str">
            <v>CN</v>
          </cell>
          <cell r="AH1169">
            <v>8</v>
          </cell>
          <cell r="AI1169">
            <v>8</v>
          </cell>
          <cell r="AJ1169">
            <v>8</v>
          </cell>
          <cell r="AN1169">
            <v>0</v>
          </cell>
          <cell r="AO1169">
            <v>180</v>
          </cell>
          <cell r="AP1169">
            <v>4</v>
          </cell>
          <cell r="AQ1169">
            <v>0</v>
          </cell>
          <cell r="AR1169">
            <v>0</v>
          </cell>
          <cell r="AS1169">
            <v>0</v>
          </cell>
          <cell r="AT1169">
            <v>0</v>
          </cell>
          <cell r="AU1169">
            <v>0</v>
          </cell>
          <cell r="AV1169">
            <v>0</v>
          </cell>
          <cell r="AW1169">
            <v>0</v>
          </cell>
          <cell r="AX1169">
            <v>0</v>
          </cell>
          <cell r="AY1169">
            <v>0</v>
          </cell>
          <cell r="AZ1169">
            <v>0</v>
          </cell>
          <cell r="BA1169">
            <v>12</v>
          </cell>
          <cell r="BB1169">
            <v>0</v>
          </cell>
          <cell r="BC1169">
            <v>0</v>
          </cell>
          <cell r="BD1169">
            <v>0</v>
          </cell>
          <cell r="BE1169">
            <v>0</v>
          </cell>
          <cell r="BF1169">
            <v>0</v>
          </cell>
          <cell r="BG1169">
            <v>192</v>
          </cell>
          <cell r="BH1169">
            <v>1.5</v>
          </cell>
          <cell r="BI1169">
            <v>1.5</v>
          </cell>
          <cell r="BJ1169">
            <v>0.5</v>
          </cell>
          <cell r="BL1169">
            <v>0</v>
          </cell>
          <cell r="BM1169">
            <v>0</v>
          </cell>
          <cell r="BN1169">
            <v>0</v>
          </cell>
          <cell r="BO1169">
            <v>0</v>
          </cell>
          <cell r="BP1169">
            <v>0</v>
          </cell>
          <cell r="BQ1169">
            <v>0</v>
          </cell>
          <cell r="BR1169">
            <v>0</v>
          </cell>
          <cell r="BS1169">
            <v>0</v>
          </cell>
          <cell r="BT1169">
            <v>0</v>
          </cell>
          <cell r="BU1169">
            <v>0</v>
          </cell>
          <cell r="BV1169">
            <v>0</v>
          </cell>
          <cell r="BW1169">
            <v>0</v>
          </cell>
          <cell r="BX1169">
            <v>0</v>
          </cell>
          <cell r="BY1169">
            <v>0</v>
          </cell>
          <cell r="BZ1169">
            <v>4</v>
          </cell>
          <cell r="CA1169">
            <v>4</v>
          </cell>
          <cell r="CB1169">
            <v>4</v>
          </cell>
          <cell r="CC1169">
            <v>0</v>
          </cell>
          <cell r="CD1169">
            <v>0</v>
          </cell>
          <cell r="CE1169">
            <v>0</v>
          </cell>
          <cell r="CF1169">
            <v>0</v>
          </cell>
          <cell r="CG1169">
            <v>0</v>
          </cell>
          <cell r="CH1169">
            <v>0</v>
          </cell>
          <cell r="CI1169">
            <v>0</v>
          </cell>
          <cell r="CJ1169">
            <v>0</v>
          </cell>
          <cell r="CK1169">
            <v>0</v>
          </cell>
          <cell r="CL1169">
            <v>4</v>
          </cell>
          <cell r="CM1169">
            <v>0</v>
          </cell>
          <cell r="CR1169">
            <v>0</v>
          </cell>
          <cell r="CS1169">
            <v>0</v>
          </cell>
          <cell r="CT1169">
            <v>16</v>
          </cell>
          <cell r="CU1169">
            <v>0</v>
          </cell>
          <cell r="CV1169">
            <v>0</v>
          </cell>
          <cell r="CZ1169">
            <v>16</v>
          </cell>
        </row>
        <row r="1170">
          <cell r="C1170" t="str">
            <v>04874</v>
          </cell>
          <cell r="D1170" t="str">
            <v>Huỳnh Minh Triết</v>
          </cell>
          <cell r="E1170" t="str">
            <v>HR &amp; Admin</v>
          </cell>
          <cell r="F1170" t="str">
            <v>Admin</v>
          </cell>
          <cell r="G1170" t="str">
            <v>Senior Staff</v>
          </cell>
          <cell r="H1170">
            <v>45978</v>
          </cell>
          <cell r="I1170" t="str">
            <v>Đ</v>
          </cell>
          <cell r="J1170" t="str">
            <v>CN</v>
          </cell>
          <cell r="K1170" t="str">
            <v>Đ</v>
          </cell>
          <cell r="L1170" t="str">
            <v>Đ</v>
          </cell>
          <cell r="M1170" t="str">
            <v>Đ</v>
          </cell>
          <cell r="N1170" t="str">
            <v>Đ</v>
          </cell>
          <cell r="O1170" t="str">
            <v>Đ</v>
          </cell>
          <cell r="P1170" t="str">
            <v>Đ</v>
          </cell>
          <cell r="Q1170" t="str">
            <v>CN</v>
          </cell>
          <cell r="R1170">
            <v>8</v>
          </cell>
          <cell r="S1170">
            <v>8</v>
          </cell>
          <cell r="T1170">
            <v>8</v>
          </cell>
          <cell r="U1170">
            <v>8</v>
          </cell>
          <cell r="V1170">
            <v>8</v>
          </cell>
          <cell r="W1170">
            <v>8</v>
          </cell>
          <cell r="X1170" t="str">
            <v>CN</v>
          </cell>
          <cell r="Y1170">
            <v>8</v>
          </cell>
          <cell r="Z1170">
            <v>8</v>
          </cell>
          <cell r="AA1170">
            <v>8</v>
          </cell>
          <cell r="AB1170">
            <v>8</v>
          </cell>
          <cell r="AC1170">
            <v>8</v>
          </cell>
          <cell r="AD1170">
            <v>8</v>
          </cell>
          <cell r="AE1170" t="str">
            <v>CN</v>
          </cell>
          <cell r="AF1170" t="str">
            <v>Đ</v>
          </cell>
          <cell r="AG1170" t="str">
            <v>Đ</v>
          </cell>
          <cell r="AH1170" t="str">
            <v>Đ</v>
          </cell>
          <cell r="AI1170" t="str">
            <v>Đ</v>
          </cell>
          <cell r="AJ1170" t="str">
            <v>Đ</v>
          </cell>
          <cell r="AN1170">
            <v>96</v>
          </cell>
          <cell r="AO1170">
            <v>96</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192</v>
          </cell>
          <cell r="BH1170">
            <v>0</v>
          </cell>
          <cell r="BI1170">
            <v>0</v>
          </cell>
          <cell r="BJ1170">
            <v>3</v>
          </cell>
          <cell r="BL1170">
            <v>0</v>
          </cell>
          <cell r="BM1170">
            <v>0</v>
          </cell>
          <cell r="BN1170">
            <v>0</v>
          </cell>
          <cell r="BO1170">
            <v>0</v>
          </cell>
          <cell r="BP1170">
            <v>0</v>
          </cell>
          <cell r="BQ1170">
            <v>0</v>
          </cell>
          <cell r="BR1170">
            <v>0</v>
          </cell>
          <cell r="BS1170">
            <v>0</v>
          </cell>
          <cell r="BT1170">
            <v>0</v>
          </cell>
          <cell r="BU1170">
            <v>0</v>
          </cell>
          <cell r="BV1170">
            <v>0</v>
          </cell>
          <cell r="BW1170">
            <v>0</v>
          </cell>
          <cell r="BX1170">
            <v>0</v>
          </cell>
          <cell r="BY1170">
            <v>0</v>
          </cell>
          <cell r="BZ1170">
            <v>0</v>
          </cell>
          <cell r="CA1170">
            <v>0</v>
          </cell>
          <cell r="CB1170">
            <v>4</v>
          </cell>
          <cell r="CC1170">
            <v>0</v>
          </cell>
          <cell r="CD1170">
            <v>0</v>
          </cell>
          <cell r="CE1170">
            <v>0</v>
          </cell>
          <cell r="CF1170">
            <v>0</v>
          </cell>
          <cell r="CG1170">
            <v>0</v>
          </cell>
          <cell r="CH1170">
            <v>0</v>
          </cell>
          <cell r="CI1170">
            <v>4</v>
          </cell>
          <cell r="CJ1170">
            <v>0</v>
          </cell>
          <cell r="CK1170">
            <v>0</v>
          </cell>
          <cell r="CL1170">
            <v>0</v>
          </cell>
          <cell r="CM1170">
            <v>0</v>
          </cell>
          <cell r="CR1170">
            <v>0</v>
          </cell>
          <cell r="CS1170">
            <v>0</v>
          </cell>
          <cell r="CT1170">
            <v>8</v>
          </cell>
          <cell r="CU1170">
            <v>0</v>
          </cell>
          <cell r="CV1170">
            <v>0</v>
          </cell>
          <cell r="CZ1170">
            <v>8</v>
          </cell>
        </row>
        <row r="1171">
          <cell r="C1171" t="str">
            <v>04876</v>
          </cell>
          <cell r="D1171" t="str">
            <v>Nguyễn Hoàng Thái</v>
          </cell>
          <cell r="E1171" t="str">
            <v>Production</v>
          </cell>
          <cell r="F1171" t="str">
            <v>Lamination</v>
          </cell>
          <cell r="G1171" t="str">
            <v>Worker</v>
          </cell>
          <cell r="H1171">
            <v>45980</v>
          </cell>
          <cell r="I1171" t="str">
            <v>TV</v>
          </cell>
          <cell r="J1171" t="str">
            <v>TV</v>
          </cell>
          <cell r="K1171" t="str">
            <v>TV</v>
          </cell>
          <cell r="L1171" t="str">
            <v>TV</v>
          </cell>
          <cell r="M1171" t="str">
            <v>TV</v>
          </cell>
          <cell r="N1171" t="str">
            <v>TV</v>
          </cell>
          <cell r="O1171" t="str">
            <v>TV</v>
          </cell>
          <cell r="P1171" t="str">
            <v>TV</v>
          </cell>
          <cell r="Q1171" t="str">
            <v>TV</v>
          </cell>
          <cell r="R1171" t="str">
            <v>TV</v>
          </cell>
          <cell r="S1171" t="str">
            <v>TV</v>
          </cell>
          <cell r="T1171" t="str">
            <v>TV</v>
          </cell>
          <cell r="U1171" t="str">
            <v>TV</v>
          </cell>
          <cell r="V1171" t="str">
            <v>TV</v>
          </cell>
          <cell r="W1171" t="str">
            <v>TV</v>
          </cell>
          <cell r="X1171" t="str">
            <v>TV</v>
          </cell>
          <cell r="Y1171" t="str">
            <v>TV</v>
          </cell>
          <cell r="Z1171" t="str">
            <v>TV</v>
          </cell>
          <cell r="AA1171" t="str">
            <v>TV</v>
          </cell>
          <cell r="AB1171" t="str">
            <v>TV</v>
          </cell>
          <cell r="AC1171" t="str">
            <v>TV</v>
          </cell>
          <cell r="AD1171" t="str">
            <v>TV</v>
          </cell>
          <cell r="AE1171" t="str">
            <v>TV</v>
          </cell>
          <cell r="AF1171" t="str">
            <v>TV</v>
          </cell>
          <cell r="AG1171" t="str">
            <v>TV</v>
          </cell>
          <cell r="AH1171" t="str">
            <v>TV</v>
          </cell>
          <cell r="AI1171" t="str">
            <v>TV</v>
          </cell>
          <cell r="AJ1171" t="str">
            <v>TV</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3</v>
          </cell>
          <cell r="BL1171">
            <v>0</v>
          </cell>
          <cell r="BM1171">
            <v>0</v>
          </cell>
          <cell r="BN1171">
            <v>0</v>
          </cell>
          <cell r="BO1171">
            <v>0</v>
          </cell>
          <cell r="BP1171">
            <v>0</v>
          </cell>
          <cell r="BQ1171">
            <v>0</v>
          </cell>
          <cell r="BR1171">
            <v>0</v>
          </cell>
          <cell r="BS1171">
            <v>0</v>
          </cell>
          <cell r="BT1171">
            <v>0</v>
          </cell>
          <cell r="BU1171">
            <v>0</v>
          </cell>
          <cell r="BV1171">
            <v>0</v>
          </cell>
          <cell r="BW1171">
            <v>0</v>
          </cell>
          <cell r="BX1171">
            <v>0</v>
          </cell>
          <cell r="BY1171">
            <v>0</v>
          </cell>
          <cell r="BZ1171">
            <v>0</v>
          </cell>
          <cell r="CA1171">
            <v>0</v>
          </cell>
          <cell r="CB1171">
            <v>0</v>
          </cell>
          <cell r="CC1171">
            <v>0</v>
          </cell>
          <cell r="CD1171">
            <v>0</v>
          </cell>
          <cell r="CE1171">
            <v>0</v>
          </cell>
          <cell r="CF1171">
            <v>0</v>
          </cell>
          <cell r="CG1171">
            <v>0</v>
          </cell>
          <cell r="CH1171">
            <v>0</v>
          </cell>
          <cell r="CI1171">
            <v>0</v>
          </cell>
          <cell r="CJ1171">
            <v>0</v>
          </cell>
          <cell r="CK1171">
            <v>0</v>
          </cell>
          <cell r="CL1171">
            <v>0</v>
          </cell>
          <cell r="CM1171">
            <v>0</v>
          </cell>
          <cell r="CR1171">
            <v>0</v>
          </cell>
          <cell r="CS1171">
            <v>0</v>
          </cell>
          <cell r="CT1171">
            <v>0</v>
          </cell>
          <cell r="CU1171">
            <v>0</v>
          </cell>
          <cell r="CV1171">
            <v>0</v>
          </cell>
          <cell r="CZ1171">
            <v>0</v>
          </cell>
        </row>
        <row r="1172">
          <cell r="C1172" t="str">
            <v>04878</v>
          </cell>
          <cell r="D1172" t="str">
            <v>Dương Mỹ Duyên</v>
          </cell>
          <cell r="E1172" t="str">
            <v>Production</v>
          </cell>
          <cell r="F1172" t="str">
            <v>Packing</v>
          </cell>
          <cell r="G1172" t="str">
            <v>Worker</v>
          </cell>
          <cell r="H1172">
            <v>45980</v>
          </cell>
          <cell r="I1172" t="str">
            <v>Đ</v>
          </cell>
          <cell r="J1172" t="str">
            <v>Đ</v>
          </cell>
          <cell r="K1172" t="str">
            <v>Đ</v>
          </cell>
          <cell r="L1172" t="str">
            <v>CN</v>
          </cell>
          <cell r="M1172">
            <v>8</v>
          </cell>
          <cell r="N1172">
            <v>8</v>
          </cell>
          <cell r="O1172">
            <v>8</v>
          </cell>
          <cell r="P1172">
            <v>8</v>
          </cell>
          <cell r="Q1172">
            <v>8</v>
          </cell>
          <cell r="R1172">
            <v>8</v>
          </cell>
          <cell r="S1172" t="str">
            <v>CN</v>
          </cell>
          <cell r="T1172" t="str">
            <v>Đ</v>
          </cell>
          <cell r="U1172" t="str">
            <v>Đ</v>
          </cell>
          <cell r="V1172" t="str">
            <v>Đ</v>
          </cell>
          <cell r="W1172" t="str">
            <v>Đ</v>
          </cell>
          <cell r="X1172" t="str">
            <v>Đ</v>
          </cell>
          <cell r="Y1172" t="str">
            <v>Đ</v>
          </cell>
          <cell r="Z1172" t="str">
            <v>CN</v>
          </cell>
          <cell r="AA1172">
            <v>8</v>
          </cell>
          <cell r="AB1172">
            <v>8</v>
          </cell>
          <cell r="AC1172">
            <v>8</v>
          </cell>
          <cell r="AD1172">
            <v>8</v>
          </cell>
          <cell r="AE1172">
            <v>8</v>
          </cell>
          <cell r="AF1172">
            <v>8</v>
          </cell>
          <cell r="AG1172" t="str">
            <v>CN</v>
          </cell>
          <cell r="AH1172" t="str">
            <v>Đ</v>
          </cell>
          <cell r="AI1172" t="str">
            <v>Đ</v>
          </cell>
          <cell r="AJ1172" t="str">
            <v>Đ</v>
          </cell>
          <cell r="AN1172">
            <v>96</v>
          </cell>
          <cell r="AO1172">
            <v>96</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192</v>
          </cell>
          <cell r="BH1172">
            <v>0</v>
          </cell>
          <cell r="BI1172">
            <v>0</v>
          </cell>
          <cell r="BJ1172">
            <v>-2</v>
          </cell>
          <cell r="BL1172">
            <v>1.5</v>
          </cell>
          <cell r="BM1172">
            <v>1.5</v>
          </cell>
          <cell r="BN1172">
            <v>1.5</v>
          </cell>
          <cell r="BO1172">
            <v>0</v>
          </cell>
          <cell r="BP1172">
            <v>1.5</v>
          </cell>
          <cell r="BQ1172">
            <v>0</v>
          </cell>
          <cell r="BR1172">
            <v>0</v>
          </cell>
          <cell r="BS1172">
            <v>3</v>
          </cell>
          <cell r="BT1172">
            <v>3</v>
          </cell>
          <cell r="BU1172">
            <v>3</v>
          </cell>
          <cell r="BV1172">
            <v>0</v>
          </cell>
          <cell r="BW1172">
            <v>4</v>
          </cell>
          <cell r="BX1172">
            <v>4</v>
          </cell>
          <cell r="BY1172">
            <v>4</v>
          </cell>
          <cell r="BZ1172">
            <v>4</v>
          </cell>
          <cell r="CA1172">
            <v>4</v>
          </cell>
          <cell r="CB1172">
            <v>4</v>
          </cell>
          <cell r="CC1172">
            <v>0</v>
          </cell>
          <cell r="CD1172">
            <v>3</v>
          </cell>
          <cell r="CE1172">
            <v>3</v>
          </cell>
          <cell r="CF1172">
            <v>3</v>
          </cell>
          <cell r="CG1172">
            <v>3</v>
          </cell>
          <cell r="CH1172">
            <v>3</v>
          </cell>
          <cell r="CI1172">
            <v>3</v>
          </cell>
          <cell r="CJ1172">
            <v>8</v>
          </cell>
          <cell r="CK1172">
            <v>4</v>
          </cell>
          <cell r="CL1172">
            <v>4</v>
          </cell>
          <cell r="CM1172">
            <v>4</v>
          </cell>
          <cell r="CR1172">
            <v>0</v>
          </cell>
          <cell r="CS1172">
            <v>0</v>
          </cell>
          <cell r="CT1172">
            <v>69</v>
          </cell>
          <cell r="CU1172">
            <v>8</v>
          </cell>
          <cell r="CV1172">
            <v>0</v>
          </cell>
          <cell r="CZ1172">
            <v>77</v>
          </cell>
        </row>
        <row r="1173">
          <cell r="C1173" t="str">
            <v>04879</v>
          </cell>
          <cell r="D1173" t="str">
            <v>Thạch Thị Bé Nhi</v>
          </cell>
          <cell r="E1173" t="str">
            <v>Production</v>
          </cell>
          <cell r="F1173" t="str">
            <v>Packing</v>
          </cell>
          <cell r="G1173" t="str">
            <v>Worker</v>
          </cell>
          <cell r="H1173">
            <v>45980</v>
          </cell>
          <cell r="I1173" t="str">
            <v>Đ</v>
          </cell>
          <cell r="J1173" t="str">
            <v>Đ</v>
          </cell>
          <cell r="K1173" t="str">
            <v>Đ</v>
          </cell>
          <cell r="L1173" t="str">
            <v>CN</v>
          </cell>
          <cell r="M1173">
            <v>8</v>
          </cell>
          <cell r="N1173">
            <v>8</v>
          </cell>
          <cell r="O1173">
            <v>8</v>
          </cell>
          <cell r="P1173">
            <v>8</v>
          </cell>
          <cell r="Q1173">
            <v>8</v>
          </cell>
          <cell r="R1173">
            <v>8</v>
          </cell>
          <cell r="S1173" t="str">
            <v>CN</v>
          </cell>
          <cell r="T1173" t="str">
            <v>Đ</v>
          </cell>
          <cell r="U1173" t="str">
            <v>Đ</v>
          </cell>
          <cell r="V1173" t="str">
            <v>Đ</v>
          </cell>
          <cell r="W1173" t="str">
            <v>Đ</v>
          </cell>
          <cell r="X1173" t="str">
            <v>Đ</v>
          </cell>
          <cell r="Y1173" t="str">
            <v>Đ</v>
          </cell>
          <cell r="Z1173" t="str">
            <v>CN</v>
          </cell>
          <cell r="AA1173">
            <v>8</v>
          </cell>
          <cell r="AB1173">
            <v>8</v>
          </cell>
          <cell r="AC1173">
            <v>8</v>
          </cell>
          <cell r="AD1173">
            <v>8</v>
          </cell>
          <cell r="AE1173">
            <v>8</v>
          </cell>
          <cell r="AF1173">
            <v>8</v>
          </cell>
          <cell r="AG1173" t="str">
            <v>CN</v>
          </cell>
          <cell r="AH1173" t="str">
            <v>Đ</v>
          </cell>
          <cell r="AI1173" t="str">
            <v>Đ</v>
          </cell>
          <cell r="AJ1173" t="str">
            <v>Đ</v>
          </cell>
          <cell r="AN1173">
            <v>96</v>
          </cell>
          <cell r="AO1173">
            <v>96</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0</v>
          </cell>
          <cell r="BC1173">
            <v>0</v>
          </cell>
          <cell r="BD1173">
            <v>0</v>
          </cell>
          <cell r="BE1173">
            <v>0</v>
          </cell>
          <cell r="BF1173">
            <v>0</v>
          </cell>
          <cell r="BG1173">
            <v>192</v>
          </cell>
          <cell r="BH1173">
            <v>0</v>
          </cell>
          <cell r="BI1173">
            <v>0</v>
          </cell>
          <cell r="BJ1173">
            <v>0</v>
          </cell>
          <cell r="BL1173">
            <v>1.5</v>
          </cell>
          <cell r="BM1173">
            <v>1.5</v>
          </cell>
          <cell r="BN1173">
            <v>1.5</v>
          </cell>
          <cell r="BO1173">
            <v>0</v>
          </cell>
          <cell r="BP1173">
            <v>1.5</v>
          </cell>
          <cell r="BQ1173">
            <v>0</v>
          </cell>
          <cell r="BR1173">
            <v>0</v>
          </cell>
          <cell r="BS1173">
            <v>3</v>
          </cell>
          <cell r="BT1173">
            <v>2.5</v>
          </cell>
          <cell r="BU1173">
            <v>3</v>
          </cell>
          <cell r="BV1173">
            <v>0</v>
          </cell>
          <cell r="BW1173">
            <v>4</v>
          </cell>
          <cell r="BX1173">
            <v>4</v>
          </cell>
          <cell r="BY1173">
            <v>4</v>
          </cell>
          <cell r="BZ1173">
            <v>4</v>
          </cell>
          <cell r="CA1173">
            <v>4</v>
          </cell>
          <cell r="CB1173">
            <v>4</v>
          </cell>
          <cell r="CC1173">
            <v>0</v>
          </cell>
          <cell r="CD1173">
            <v>3</v>
          </cell>
          <cell r="CE1173">
            <v>3</v>
          </cell>
          <cell r="CF1173">
            <v>3</v>
          </cell>
          <cell r="CG1173">
            <v>3</v>
          </cell>
          <cell r="CH1173">
            <v>3</v>
          </cell>
          <cell r="CI1173">
            <v>3</v>
          </cell>
          <cell r="CJ1173">
            <v>8</v>
          </cell>
          <cell r="CK1173">
            <v>4</v>
          </cell>
          <cell r="CL1173">
            <v>4</v>
          </cell>
          <cell r="CM1173">
            <v>4</v>
          </cell>
          <cell r="CR1173">
            <v>0</v>
          </cell>
          <cell r="CS1173">
            <v>0</v>
          </cell>
          <cell r="CT1173">
            <v>68.5</v>
          </cell>
          <cell r="CU1173">
            <v>8</v>
          </cell>
          <cell r="CV1173">
            <v>0</v>
          </cell>
          <cell r="CZ1173">
            <v>76.5</v>
          </cell>
        </row>
        <row r="1174">
          <cell r="C1174" t="str">
            <v>04881</v>
          </cell>
          <cell r="D1174" t="str">
            <v>Thị Nga</v>
          </cell>
          <cell r="E1174" t="str">
            <v>Production</v>
          </cell>
          <cell r="F1174" t="str">
            <v>Packing</v>
          </cell>
          <cell r="G1174" t="str">
            <v>Worker</v>
          </cell>
          <cell r="H1174">
            <v>45980</v>
          </cell>
          <cell r="I1174" t="str">
            <v>Đ</v>
          </cell>
          <cell r="J1174" t="str">
            <v>Đ</v>
          </cell>
          <cell r="K1174" t="str">
            <v>Đ</v>
          </cell>
          <cell r="L1174" t="str">
            <v>CN</v>
          </cell>
          <cell r="M1174" t="str">
            <v>UP8</v>
          </cell>
          <cell r="N1174" t="str">
            <v>UP8</v>
          </cell>
          <cell r="O1174" t="str">
            <v>AL8</v>
          </cell>
          <cell r="P1174">
            <v>8</v>
          </cell>
          <cell r="Q1174">
            <v>8</v>
          </cell>
          <cell r="R1174">
            <v>8</v>
          </cell>
          <cell r="S1174" t="str">
            <v>CN</v>
          </cell>
          <cell r="T1174" t="str">
            <v>Đ</v>
          </cell>
          <cell r="U1174" t="str">
            <v>Đ</v>
          </cell>
          <cell r="V1174" t="str">
            <v>Đ</v>
          </cell>
          <cell r="W1174" t="str">
            <v>Đ</v>
          </cell>
          <cell r="X1174" t="str">
            <v>Đ</v>
          </cell>
          <cell r="Y1174" t="str">
            <v>Đ</v>
          </cell>
          <cell r="Z1174" t="str">
            <v>CN</v>
          </cell>
          <cell r="AA1174">
            <v>8</v>
          </cell>
          <cell r="AB1174">
            <v>8</v>
          </cell>
          <cell r="AC1174">
            <v>8</v>
          </cell>
          <cell r="AD1174">
            <v>8</v>
          </cell>
          <cell r="AE1174">
            <v>8</v>
          </cell>
          <cell r="AF1174">
            <v>8</v>
          </cell>
          <cell r="AG1174" t="str">
            <v>CN</v>
          </cell>
          <cell r="AH1174" t="str">
            <v>Đ</v>
          </cell>
          <cell r="AI1174" t="str">
            <v>Đ</v>
          </cell>
          <cell r="AJ1174" t="str">
            <v>Đ</v>
          </cell>
          <cell r="AN1174">
            <v>96</v>
          </cell>
          <cell r="AO1174">
            <v>72</v>
          </cell>
          <cell r="AP1174">
            <v>0</v>
          </cell>
          <cell r="AQ1174">
            <v>0</v>
          </cell>
          <cell r="AR1174">
            <v>0</v>
          </cell>
          <cell r="AS1174">
            <v>16</v>
          </cell>
          <cell r="AT1174">
            <v>0</v>
          </cell>
          <cell r="AU1174">
            <v>0</v>
          </cell>
          <cell r="AV1174">
            <v>0</v>
          </cell>
          <cell r="AW1174">
            <v>0</v>
          </cell>
          <cell r="AX1174">
            <v>0</v>
          </cell>
          <cell r="AY1174">
            <v>0</v>
          </cell>
          <cell r="AZ1174">
            <v>0</v>
          </cell>
          <cell r="BA1174">
            <v>8</v>
          </cell>
          <cell r="BB1174">
            <v>0</v>
          </cell>
          <cell r="BC1174">
            <v>0</v>
          </cell>
          <cell r="BD1174">
            <v>0</v>
          </cell>
          <cell r="BE1174">
            <v>0</v>
          </cell>
          <cell r="BF1174">
            <v>0</v>
          </cell>
          <cell r="BG1174">
            <v>176</v>
          </cell>
          <cell r="BH1174">
            <v>1</v>
          </cell>
          <cell r="BI1174">
            <v>1</v>
          </cell>
          <cell r="BJ1174">
            <v>-2.5</v>
          </cell>
          <cell r="BL1174">
            <v>1.5</v>
          </cell>
          <cell r="BM1174">
            <v>1.5</v>
          </cell>
          <cell r="BN1174">
            <v>0</v>
          </cell>
          <cell r="BO1174">
            <v>0</v>
          </cell>
          <cell r="BP1174">
            <v>0</v>
          </cell>
          <cell r="BQ1174">
            <v>0</v>
          </cell>
          <cell r="BR1174">
            <v>0</v>
          </cell>
          <cell r="BS1174">
            <v>1</v>
          </cell>
          <cell r="BT1174">
            <v>3</v>
          </cell>
          <cell r="BU1174">
            <v>3</v>
          </cell>
          <cell r="BV1174">
            <v>0</v>
          </cell>
          <cell r="BW1174">
            <v>4</v>
          </cell>
          <cell r="BX1174">
            <v>4</v>
          </cell>
          <cell r="BY1174">
            <v>4</v>
          </cell>
          <cell r="BZ1174">
            <v>4</v>
          </cell>
          <cell r="CA1174">
            <v>3</v>
          </cell>
          <cell r="CB1174">
            <v>4</v>
          </cell>
          <cell r="CC1174">
            <v>0</v>
          </cell>
          <cell r="CD1174">
            <v>3</v>
          </cell>
          <cell r="CE1174">
            <v>3</v>
          </cell>
          <cell r="CF1174">
            <v>3</v>
          </cell>
          <cell r="CG1174">
            <v>3</v>
          </cell>
          <cell r="CH1174">
            <v>3</v>
          </cell>
          <cell r="CI1174">
            <v>3</v>
          </cell>
          <cell r="CJ1174">
            <v>8</v>
          </cell>
          <cell r="CK1174">
            <v>4</v>
          </cell>
          <cell r="CL1174">
            <v>0</v>
          </cell>
          <cell r="CM1174">
            <v>4</v>
          </cell>
          <cell r="CR1174">
            <v>0</v>
          </cell>
          <cell r="CS1174">
            <v>0</v>
          </cell>
          <cell r="CT1174">
            <v>59</v>
          </cell>
          <cell r="CU1174">
            <v>8</v>
          </cell>
          <cell r="CV1174">
            <v>0</v>
          </cell>
          <cell r="CZ1174">
            <v>67</v>
          </cell>
        </row>
        <row r="1175">
          <cell r="C1175" t="str">
            <v>04882</v>
          </cell>
          <cell r="D1175" t="str">
            <v>H Thúy KCrăm</v>
          </cell>
          <cell r="E1175" t="str">
            <v>Production</v>
          </cell>
          <cell r="F1175" t="str">
            <v>Molding</v>
          </cell>
          <cell r="G1175" t="str">
            <v>Worker</v>
          </cell>
          <cell r="H1175">
            <v>45980</v>
          </cell>
          <cell r="I1175" t="str">
            <v>AL8</v>
          </cell>
          <cell r="J1175">
            <v>8</v>
          </cell>
          <cell r="K1175">
            <v>8</v>
          </cell>
          <cell r="L1175" t="str">
            <v>CN</v>
          </cell>
          <cell r="M1175" t="str">
            <v>AL4</v>
          </cell>
          <cell r="N1175">
            <v>8</v>
          </cell>
          <cell r="O1175">
            <v>8</v>
          </cell>
          <cell r="P1175">
            <v>8</v>
          </cell>
          <cell r="Q1175">
            <v>8</v>
          </cell>
          <cell r="R1175">
            <v>8</v>
          </cell>
          <cell r="S1175" t="str">
            <v>CN</v>
          </cell>
          <cell r="T1175">
            <v>8</v>
          </cell>
          <cell r="U1175">
            <v>8</v>
          </cell>
          <cell r="V1175">
            <v>8</v>
          </cell>
          <cell r="W1175">
            <v>8</v>
          </cell>
          <cell r="X1175">
            <v>8</v>
          </cell>
          <cell r="Y1175">
            <v>8</v>
          </cell>
          <cell r="Z1175" t="str">
            <v>CN</v>
          </cell>
          <cell r="AA1175">
            <v>8</v>
          </cell>
          <cell r="AB1175">
            <v>8</v>
          </cell>
          <cell r="AC1175">
            <v>8</v>
          </cell>
          <cell r="AD1175">
            <v>8</v>
          </cell>
          <cell r="AE1175">
            <v>8</v>
          </cell>
          <cell r="AF1175">
            <v>8</v>
          </cell>
          <cell r="AG1175" t="str">
            <v>CN</v>
          </cell>
          <cell r="AH1175">
            <v>8</v>
          </cell>
          <cell r="AI1175">
            <v>8</v>
          </cell>
          <cell r="AJ1175">
            <v>8</v>
          </cell>
          <cell r="AN1175">
            <v>0</v>
          </cell>
          <cell r="AO1175">
            <v>180</v>
          </cell>
          <cell r="AP1175">
            <v>4</v>
          </cell>
          <cell r="AQ1175">
            <v>0</v>
          </cell>
          <cell r="AR1175">
            <v>0</v>
          </cell>
          <cell r="AS1175">
            <v>0</v>
          </cell>
          <cell r="AT1175">
            <v>0</v>
          </cell>
          <cell r="AU1175">
            <v>0</v>
          </cell>
          <cell r="AV1175">
            <v>0</v>
          </cell>
          <cell r="AW1175">
            <v>0</v>
          </cell>
          <cell r="AX1175">
            <v>0</v>
          </cell>
          <cell r="AY1175">
            <v>0</v>
          </cell>
          <cell r="AZ1175">
            <v>0</v>
          </cell>
          <cell r="BA1175">
            <v>12</v>
          </cell>
          <cell r="BB1175">
            <v>0</v>
          </cell>
          <cell r="BC1175">
            <v>0</v>
          </cell>
          <cell r="BD1175">
            <v>0</v>
          </cell>
          <cell r="BE1175">
            <v>0</v>
          </cell>
          <cell r="BF1175">
            <v>0</v>
          </cell>
          <cell r="BG1175">
            <v>192</v>
          </cell>
          <cell r="BH1175">
            <v>1.5</v>
          </cell>
          <cell r="BI1175">
            <v>1.5</v>
          </cell>
          <cell r="BJ1175">
            <v>-0.5</v>
          </cell>
          <cell r="BL1175">
            <v>0</v>
          </cell>
          <cell r="BM1175">
            <v>0</v>
          </cell>
          <cell r="BN1175">
            <v>0</v>
          </cell>
          <cell r="BO1175">
            <v>0</v>
          </cell>
          <cell r="BP1175">
            <v>0</v>
          </cell>
          <cell r="BQ1175">
            <v>4</v>
          </cell>
          <cell r="BR1175">
            <v>0</v>
          </cell>
          <cell r="BS1175">
            <v>0</v>
          </cell>
          <cell r="BT1175">
            <v>0</v>
          </cell>
          <cell r="BU1175">
            <v>0</v>
          </cell>
          <cell r="BV1175">
            <v>0</v>
          </cell>
          <cell r="BW1175">
            <v>4</v>
          </cell>
          <cell r="BX1175">
            <v>0</v>
          </cell>
          <cell r="BY1175">
            <v>0</v>
          </cell>
          <cell r="BZ1175">
            <v>0</v>
          </cell>
          <cell r="CA1175">
            <v>4</v>
          </cell>
          <cell r="CB1175">
            <v>4</v>
          </cell>
          <cell r="CC1175">
            <v>0</v>
          </cell>
          <cell r="CD1175">
            <v>0</v>
          </cell>
          <cell r="CE1175">
            <v>0</v>
          </cell>
          <cell r="CF1175">
            <v>0</v>
          </cell>
          <cell r="CG1175">
            <v>0</v>
          </cell>
          <cell r="CH1175">
            <v>0</v>
          </cell>
          <cell r="CI1175">
            <v>4</v>
          </cell>
          <cell r="CJ1175">
            <v>0</v>
          </cell>
          <cell r="CK1175">
            <v>4</v>
          </cell>
          <cell r="CL1175">
            <v>0</v>
          </cell>
          <cell r="CM1175">
            <v>4</v>
          </cell>
          <cell r="CR1175">
            <v>0</v>
          </cell>
          <cell r="CS1175">
            <v>0</v>
          </cell>
          <cell r="CT1175">
            <v>28</v>
          </cell>
          <cell r="CU1175">
            <v>0</v>
          </cell>
          <cell r="CV1175">
            <v>0</v>
          </cell>
          <cell r="CZ1175">
            <v>28</v>
          </cell>
        </row>
        <row r="1176">
          <cell r="C1176" t="str">
            <v>04014</v>
          </cell>
          <cell r="D1176" t="str">
            <v>Triệu Thanh Hương</v>
          </cell>
          <cell r="E1176" t="str">
            <v>Production</v>
          </cell>
          <cell r="F1176" t="str">
            <v>Packing</v>
          </cell>
          <cell r="G1176" t="str">
            <v>Worker</v>
          </cell>
          <cell r="H1176">
            <v>45225</v>
          </cell>
          <cell r="I1176">
            <v>8</v>
          </cell>
          <cell r="J1176">
            <v>8</v>
          </cell>
          <cell r="K1176">
            <v>8</v>
          </cell>
          <cell r="L1176" t="str">
            <v>CN</v>
          </cell>
          <cell r="M1176">
            <v>8</v>
          </cell>
          <cell r="N1176" t="str">
            <v>AL8</v>
          </cell>
          <cell r="O1176">
            <v>8</v>
          </cell>
          <cell r="P1176">
            <v>8</v>
          </cell>
          <cell r="Q1176">
            <v>8</v>
          </cell>
          <cell r="R1176">
            <v>8</v>
          </cell>
          <cell r="S1176" t="str">
            <v>CN</v>
          </cell>
          <cell r="T1176">
            <v>8</v>
          </cell>
          <cell r="U1176">
            <v>8</v>
          </cell>
          <cell r="V1176">
            <v>8</v>
          </cell>
          <cell r="W1176" t="str">
            <v>BS</v>
          </cell>
          <cell r="X1176">
            <v>8</v>
          </cell>
          <cell r="Y1176">
            <v>8</v>
          </cell>
          <cell r="Z1176" t="str">
            <v>CN</v>
          </cell>
          <cell r="AA1176">
            <v>8</v>
          </cell>
          <cell r="AB1176" t="str">
            <v>AL4</v>
          </cell>
          <cell r="AC1176">
            <v>8</v>
          </cell>
          <cell r="AD1176">
            <v>8</v>
          </cell>
          <cell r="AE1176">
            <v>8</v>
          </cell>
          <cell r="AF1176">
            <v>8</v>
          </cell>
          <cell r="AG1176" t="str">
            <v>CN</v>
          </cell>
          <cell r="AH1176" t="str">
            <v>BS</v>
          </cell>
          <cell r="AI1176">
            <v>8</v>
          </cell>
          <cell r="AJ1176" t="str">
            <v>BS</v>
          </cell>
          <cell r="AN1176">
            <v>0</v>
          </cell>
          <cell r="AO1176">
            <v>156</v>
          </cell>
          <cell r="AP1176">
            <v>4</v>
          </cell>
          <cell r="AQ1176">
            <v>0</v>
          </cell>
          <cell r="AR1176">
            <v>0</v>
          </cell>
          <cell r="AS1176">
            <v>0</v>
          </cell>
          <cell r="AT1176">
            <v>0</v>
          </cell>
          <cell r="AU1176">
            <v>24</v>
          </cell>
          <cell r="AV1176">
            <v>0</v>
          </cell>
          <cell r="AW1176">
            <v>0</v>
          </cell>
          <cell r="AX1176">
            <v>0</v>
          </cell>
          <cell r="AY1176">
            <v>0</v>
          </cell>
          <cell r="AZ1176">
            <v>0</v>
          </cell>
          <cell r="BA1176">
            <v>12</v>
          </cell>
          <cell r="BB1176">
            <v>0</v>
          </cell>
          <cell r="BC1176">
            <v>0</v>
          </cell>
          <cell r="BD1176">
            <v>0</v>
          </cell>
          <cell r="BE1176">
            <v>0</v>
          </cell>
          <cell r="BF1176">
            <v>0</v>
          </cell>
          <cell r="BG1176">
            <v>192</v>
          </cell>
          <cell r="BH1176">
            <v>1.5</v>
          </cell>
          <cell r="BI1176">
            <v>1.5</v>
          </cell>
          <cell r="BJ1176">
            <v>0</v>
          </cell>
          <cell r="BL1176">
            <v>0</v>
          </cell>
          <cell r="BM1176">
            <v>0</v>
          </cell>
          <cell r="BN1176">
            <v>0</v>
          </cell>
          <cell r="BO1176">
            <v>0</v>
          </cell>
          <cell r="BP1176">
            <v>0</v>
          </cell>
          <cell r="BQ1176">
            <v>0</v>
          </cell>
          <cell r="BR1176">
            <v>0</v>
          </cell>
          <cell r="BS1176">
            <v>0</v>
          </cell>
          <cell r="BT1176">
            <v>0</v>
          </cell>
          <cell r="BU1176">
            <v>0</v>
          </cell>
          <cell r="BV1176">
            <v>0</v>
          </cell>
          <cell r="BW1176">
            <v>0</v>
          </cell>
          <cell r="BX1176">
            <v>0</v>
          </cell>
          <cell r="BY1176">
            <v>0</v>
          </cell>
          <cell r="BZ1176">
            <v>0</v>
          </cell>
          <cell r="CA1176">
            <v>3</v>
          </cell>
          <cell r="CB1176">
            <v>3</v>
          </cell>
          <cell r="CC1176">
            <v>8</v>
          </cell>
          <cell r="CD1176">
            <v>3</v>
          </cell>
          <cell r="CE1176">
            <v>2</v>
          </cell>
          <cell r="CF1176">
            <v>3</v>
          </cell>
          <cell r="CG1176">
            <v>3</v>
          </cell>
          <cell r="CH1176">
            <v>3</v>
          </cell>
          <cell r="CI1176">
            <v>3</v>
          </cell>
          <cell r="CJ1176">
            <v>8</v>
          </cell>
          <cell r="CK1176">
            <v>3</v>
          </cell>
          <cell r="CL1176">
            <v>3</v>
          </cell>
          <cell r="CM1176">
            <v>0</v>
          </cell>
          <cell r="CR1176">
            <v>12</v>
          </cell>
          <cell r="CS1176">
            <v>0</v>
          </cell>
          <cell r="CT1176">
            <v>29</v>
          </cell>
          <cell r="CU1176">
            <v>16</v>
          </cell>
          <cell r="CV1176">
            <v>0</v>
          </cell>
          <cell r="CZ1176">
            <v>45</v>
          </cell>
        </row>
        <row r="1177">
          <cell r="C1177" t="str">
            <v>04254</v>
          </cell>
          <cell r="D1177" t="str">
            <v>Thạch Thị Vươne</v>
          </cell>
          <cell r="E1177" t="str">
            <v>Production</v>
          </cell>
          <cell r="F1177" t="str">
            <v>Logo</v>
          </cell>
          <cell r="G1177" t="str">
            <v>Worker</v>
          </cell>
          <cell r="H1177">
            <v>45573</v>
          </cell>
          <cell r="I1177" t="str">
            <v>AL8</v>
          </cell>
          <cell r="J1177" t="str">
            <v>AL8</v>
          </cell>
          <cell r="K1177" t="str">
            <v>UP8</v>
          </cell>
          <cell r="L1177" t="str">
            <v>CN</v>
          </cell>
          <cell r="M1177" t="str">
            <v>UP8</v>
          </cell>
          <cell r="N1177" t="str">
            <v>UP8</v>
          </cell>
          <cell r="O1177" t="str">
            <v>UP8</v>
          </cell>
          <cell r="P1177" t="str">
            <v>UP8</v>
          </cell>
          <cell r="Q1177" t="str">
            <v>UP8</v>
          </cell>
          <cell r="R1177" t="str">
            <v>UP8</v>
          </cell>
          <cell r="S1177" t="str">
            <v>CN</v>
          </cell>
          <cell r="T1177" t="str">
            <v>UP8</v>
          </cell>
          <cell r="U1177" t="str">
            <v>UP8</v>
          </cell>
          <cell r="V1177" t="str">
            <v>UP8</v>
          </cell>
          <cell r="W1177" t="str">
            <v>UP8</v>
          </cell>
          <cell r="X1177" t="str">
            <v>UP8</v>
          </cell>
          <cell r="Y1177" t="str">
            <v>UP8</v>
          </cell>
          <cell r="Z1177" t="str">
            <v>CN</v>
          </cell>
          <cell r="AA1177" t="str">
            <v>UP8</v>
          </cell>
          <cell r="AB1177" t="str">
            <v>AL8</v>
          </cell>
          <cell r="AC1177" t="str">
            <v>TV</v>
          </cell>
          <cell r="AD1177" t="str">
            <v>TV</v>
          </cell>
          <cell r="AE1177" t="str">
            <v>TV</v>
          </cell>
          <cell r="AF1177" t="str">
            <v>TV</v>
          </cell>
          <cell r="AG1177" t="str">
            <v>TV</v>
          </cell>
          <cell r="AH1177" t="str">
            <v>TV</v>
          </cell>
          <cell r="AI1177" t="str">
            <v>TV</v>
          </cell>
          <cell r="AJ1177" t="str">
            <v>TV</v>
          </cell>
          <cell r="AN1177">
            <v>0</v>
          </cell>
          <cell r="AO1177">
            <v>0</v>
          </cell>
          <cell r="AP1177">
            <v>0</v>
          </cell>
          <cell r="AQ1177">
            <v>0</v>
          </cell>
          <cell r="AR1177">
            <v>0</v>
          </cell>
          <cell r="AS1177">
            <v>112</v>
          </cell>
          <cell r="AT1177">
            <v>0</v>
          </cell>
          <cell r="AU1177">
            <v>0</v>
          </cell>
          <cell r="AV1177">
            <v>0</v>
          </cell>
          <cell r="AW1177">
            <v>0</v>
          </cell>
          <cell r="AX1177">
            <v>0</v>
          </cell>
          <cell r="AY1177">
            <v>0</v>
          </cell>
          <cell r="AZ1177">
            <v>0</v>
          </cell>
          <cell r="BA1177">
            <v>24</v>
          </cell>
          <cell r="BB1177">
            <v>0</v>
          </cell>
          <cell r="BC1177">
            <v>0</v>
          </cell>
          <cell r="BD1177">
            <v>0</v>
          </cell>
          <cell r="BE1177">
            <v>0</v>
          </cell>
          <cell r="BF1177">
            <v>0</v>
          </cell>
          <cell r="BG1177">
            <v>24</v>
          </cell>
          <cell r="BH1177">
            <v>3</v>
          </cell>
          <cell r="BI1177">
            <v>3</v>
          </cell>
          <cell r="BJ1177">
            <v>0</v>
          </cell>
          <cell r="BL1177">
            <v>0</v>
          </cell>
          <cell r="BM1177">
            <v>0</v>
          </cell>
          <cell r="BN1177">
            <v>0</v>
          </cell>
          <cell r="BO1177">
            <v>0</v>
          </cell>
          <cell r="BP1177">
            <v>0</v>
          </cell>
          <cell r="BQ1177">
            <v>0</v>
          </cell>
          <cell r="BR1177">
            <v>0</v>
          </cell>
          <cell r="BS1177">
            <v>0</v>
          </cell>
          <cell r="BT1177">
            <v>0</v>
          </cell>
          <cell r="BU1177">
            <v>0</v>
          </cell>
          <cell r="BV1177">
            <v>0</v>
          </cell>
          <cell r="BW1177">
            <v>0</v>
          </cell>
          <cell r="BX1177">
            <v>0</v>
          </cell>
          <cell r="BY1177">
            <v>0</v>
          </cell>
          <cell r="BZ1177">
            <v>0</v>
          </cell>
          <cell r="CA1177">
            <v>0</v>
          </cell>
          <cell r="CB1177">
            <v>0</v>
          </cell>
          <cell r="CC1177">
            <v>0</v>
          </cell>
          <cell r="CD1177">
            <v>0</v>
          </cell>
          <cell r="CE1177">
            <v>0</v>
          </cell>
          <cell r="CF1177">
            <v>0</v>
          </cell>
          <cell r="CG1177">
            <v>0</v>
          </cell>
          <cell r="CH1177">
            <v>0</v>
          </cell>
          <cell r="CI1177">
            <v>0</v>
          </cell>
          <cell r="CJ1177">
            <v>0</v>
          </cell>
          <cell r="CK1177">
            <v>0</v>
          </cell>
          <cell r="CL1177">
            <v>0</v>
          </cell>
          <cell r="CM1177">
            <v>0</v>
          </cell>
          <cell r="CR1177">
            <v>0</v>
          </cell>
          <cell r="CS1177">
            <v>0</v>
          </cell>
          <cell r="CT1177">
            <v>0</v>
          </cell>
          <cell r="CU1177">
            <v>0</v>
          </cell>
          <cell r="CV1177">
            <v>0</v>
          </cell>
          <cell r="CZ1177">
            <v>0</v>
          </cell>
        </row>
        <row r="1178">
          <cell r="C1178" t="str">
            <v>00083</v>
          </cell>
          <cell r="D1178" t="str">
            <v>Đoàn Thị Thùy Dung</v>
          </cell>
          <cell r="E1178" t="str">
            <v>Production</v>
          </cell>
          <cell r="F1178" t="str">
            <v>Molding</v>
          </cell>
          <cell r="G1178" t="str">
            <v>Team Leader</v>
          </cell>
          <cell r="H1178">
            <v>41330</v>
          </cell>
          <cell r="I1178" t="str">
            <v>AL4</v>
          </cell>
          <cell r="J1178">
            <v>8</v>
          </cell>
          <cell r="K1178">
            <v>8</v>
          </cell>
          <cell r="L1178" t="str">
            <v>CN</v>
          </cell>
          <cell r="M1178">
            <v>8</v>
          </cell>
          <cell r="N1178">
            <v>8</v>
          </cell>
          <cell r="O1178">
            <v>8</v>
          </cell>
          <cell r="P1178">
            <v>8</v>
          </cell>
          <cell r="Q1178" t="str">
            <v>PO</v>
          </cell>
          <cell r="R1178">
            <v>8</v>
          </cell>
          <cell r="S1178" t="str">
            <v>CN</v>
          </cell>
          <cell r="T1178">
            <v>8</v>
          </cell>
          <cell r="U1178">
            <v>8</v>
          </cell>
          <cell r="V1178">
            <v>8</v>
          </cell>
          <cell r="W1178">
            <v>8</v>
          </cell>
          <cell r="X1178">
            <v>8</v>
          </cell>
          <cell r="Y1178">
            <v>8</v>
          </cell>
          <cell r="Z1178" t="str">
            <v>CN</v>
          </cell>
          <cell r="AA1178">
            <v>8</v>
          </cell>
          <cell r="AB1178">
            <v>8</v>
          </cell>
          <cell r="AC1178">
            <v>8</v>
          </cell>
          <cell r="AD1178">
            <v>8</v>
          </cell>
          <cell r="AE1178">
            <v>8</v>
          </cell>
          <cell r="AF1178">
            <v>8</v>
          </cell>
          <cell r="AG1178" t="str">
            <v>CN</v>
          </cell>
          <cell r="AH1178">
            <v>8</v>
          </cell>
          <cell r="AI1178">
            <v>8</v>
          </cell>
          <cell r="AJ1178">
            <v>8</v>
          </cell>
          <cell r="AN1178">
            <v>0</v>
          </cell>
          <cell r="AO1178">
            <v>180</v>
          </cell>
          <cell r="AP1178">
            <v>4</v>
          </cell>
          <cell r="AQ1178">
            <v>0</v>
          </cell>
          <cell r="AR1178">
            <v>0</v>
          </cell>
          <cell r="AS1178">
            <v>0</v>
          </cell>
          <cell r="AT1178">
            <v>0</v>
          </cell>
          <cell r="AU1178">
            <v>0</v>
          </cell>
          <cell r="AV1178">
            <v>8</v>
          </cell>
          <cell r="AW1178">
            <v>0</v>
          </cell>
          <cell r="AX1178">
            <v>0</v>
          </cell>
          <cell r="AY1178">
            <v>0</v>
          </cell>
          <cell r="AZ1178">
            <v>0</v>
          </cell>
          <cell r="BA1178">
            <v>4</v>
          </cell>
          <cell r="BB1178">
            <v>0</v>
          </cell>
          <cell r="BC1178">
            <v>0</v>
          </cell>
          <cell r="BD1178">
            <v>0</v>
          </cell>
          <cell r="BE1178">
            <v>0</v>
          </cell>
          <cell r="BF1178">
            <v>0</v>
          </cell>
          <cell r="BG1178">
            <v>192</v>
          </cell>
          <cell r="BH1178">
            <v>0.5</v>
          </cell>
          <cell r="BI1178">
            <v>0.5</v>
          </cell>
          <cell r="BJ1178">
            <v>6.5</v>
          </cell>
          <cell r="BL1178">
            <v>2</v>
          </cell>
          <cell r="BM1178">
            <v>1</v>
          </cell>
          <cell r="BN1178">
            <v>0</v>
          </cell>
          <cell r="BO1178">
            <v>0</v>
          </cell>
          <cell r="BP1178">
            <v>1</v>
          </cell>
          <cell r="BQ1178">
            <v>2</v>
          </cell>
          <cell r="BR1178">
            <v>0</v>
          </cell>
          <cell r="BS1178">
            <v>2</v>
          </cell>
          <cell r="BT1178">
            <v>0</v>
          </cell>
          <cell r="BU1178">
            <v>3</v>
          </cell>
          <cell r="BV1178">
            <v>0</v>
          </cell>
          <cell r="BW1178">
            <v>1</v>
          </cell>
          <cell r="BX1178">
            <v>2</v>
          </cell>
          <cell r="BY1178">
            <v>1.5</v>
          </cell>
          <cell r="BZ1178">
            <v>2</v>
          </cell>
          <cell r="CA1178">
            <v>0</v>
          </cell>
          <cell r="CB1178">
            <v>0</v>
          </cell>
          <cell r="CC1178">
            <v>0</v>
          </cell>
          <cell r="CD1178">
            <v>0</v>
          </cell>
          <cell r="CE1178">
            <v>0</v>
          </cell>
          <cell r="CF1178">
            <v>0</v>
          </cell>
          <cell r="CG1178">
            <v>0</v>
          </cell>
          <cell r="CH1178">
            <v>0</v>
          </cell>
          <cell r="CI1178">
            <v>1</v>
          </cell>
          <cell r="CJ1178">
            <v>0</v>
          </cell>
          <cell r="CK1178">
            <v>0</v>
          </cell>
          <cell r="CL1178">
            <v>0</v>
          </cell>
          <cell r="CM1178">
            <v>0</v>
          </cell>
          <cell r="CR1178">
            <v>13</v>
          </cell>
          <cell r="CS1178">
            <v>0</v>
          </cell>
          <cell r="CT1178">
            <v>18.5</v>
          </cell>
          <cell r="CU1178">
            <v>0</v>
          </cell>
          <cell r="CV1178">
            <v>0</v>
          </cell>
          <cell r="CZ1178">
            <v>18.5</v>
          </cell>
        </row>
        <row r="1179">
          <cell r="C1179" t="str">
            <v>01720</v>
          </cell>
          <cell r="D1179" t="str">
            <v>Nguyễn Thị Trúc Lệ</v>
          </cell>
          <cell r="E1179" t="str">
            <v>Technical Development</v>
          </cell>
          <cell r="F1179" t="str">
            <v>PD Sample</v>
          </cell>
          <cell r="G1179" t="str">
            <v>Group Leader</v>
          </cell>
          <cell r="H1179">
            <v>43573</v>
          </cell>
          <cell r="I1179">
            <v>8</v>
          </cell>
          <cell r="J1179">
            <v>8</v>
          </cell>
          <cell r="K1179" t="str">
            <v>PO</v>
          </cell>
          <cell r="L1179" t="str">
            <v>CN</v>
          </cell>
          <cell r="M1179">
            <v>8</v>
          </cell>
          <cell r="N1179">
            <v>8</v>
          </cell>
          <cell r="O1179">
            <v>8</v>
          </cell>
          <cell r="P1179">
            <v>8</v>
          </cell>
          <cell r="Q1179" t="str">
            <v>PO</v>
          </cell>
          <cell r="R1179" t="str">
            <v>PO</v>
          </cell>
          <cell r="S1179" t="str">
            <v>CN</v>
          </cell>
          <cell r="T1179">
            <v>8</v>
          </cell>
          <cell r="U1179">
            <v>8</v>
          </cell>
          <cell r="V1179">
            <v>8</v>
          </cell>
          <cell r="W1179">
            <v>8</v>
          </cell>
          <cell r="X1179">
            <v>8</v>
          </cell>
          <cell r="Y1179" t="str">
            <v>PO</v>
          </cell>
          <cell r="Z1179" t="str">
            <v>CN</v>
          </cell>
          <cell r="AA1179">
            <v>8</v>
          </cell>
          <cell r="AB1179">
            <v>8</v>
          </cell>
          <cell r="AC1179">
            <v>8</v>
          </cell>
          <cell r="AD1179">
            <v>8</v>
          </cell>
          <cell r="AE1179">
            <v>8</v>
          </cell>
          <cell r="AF1179" t="str">
            <v>PO</v>
          </cell>
          <cell r="AG1179" t="str">
            <v>CN</v>
          </cell>
          <cell r="AH1179">
            <v>8</v>
          </cell>
          <cell r="AI1179">
            <v>8</v>
          </cell>
          <cell r="AJ1179">
            <v>8</v>
          </cell>
          <cell r="AN1179">
            <v>0</v>
          </cell>
          <cell r="AO1179">
            <v>152</v>
          </cell>
          <cell r="AP1179">
            <v>0</v>
          </cell>
          <cell r="AQ1179">
            <v>0</v>
          </cell>
          <cell r="AR1179">
            <v>0</v>
          </cell>
          <cell r="AS1179">
            <v>0</v>
          </cell>
          <cell r="AT1179">
            <v>0</v>
          </cell>
          <cell r="AU1179">
            <v>0</v>
          </cell>
          <cell r="AV1179">
            <v>40</v>
          </cell>
          <cell r="AW1179">
            <v>0</v>
          </cell>
          <cell r="AX1179">
            <v>0</v>
          </cell>
          <cell r="AY1179">
            <v>0</v>
          </cell>
          <cell r="AZ1179">
            <v>0</v>
          </cell>
          <cell r="BA1179">
            <v>0</v>
          </cell>
          <cell r="BB1179">
            <v>0</v>
          </cell>
          <cell r="BC1179">
            <v>0</v>
          </cell>
          <cell r="BD1179">
            <v>0</v>
          </cell>
          <cell r="BE1179">
            <v>0</v>
          </cell>
          <cell r="BF1179">
            <v>0</v>
          </cell>
          <cell r="BG1179">
            <v>192</v>
          </cell>
          <cell r="BH1179">
            <v>0</v>
          </cell>
          <cell r="BI1179">
            <v>0</v>
          </cell>
          <cell r="BJ1179">
            <v>8</v>
          </cell>
          <cell r="BL1179">
            <v>0</v>
          </cell>
          <cell r="BM1179">
            <v>0</v>
          </cell>
          <cell r="BN1179">
            <v>0</v>
          </cell>
          <cell r="BO1179">
            <v>0</v>
          </cell>
          <cell r="BP1179">
            <v>0</v>
          </cell>
          <cell r="BQ1179">
            <v>0</v>
          </cell>
          <cell r="BR1179">
            <v>0</v>
          </cell>
          <cell r="BS1179">
            <v>0</v>
          </cell>
          <cell r="BT1179">
            <v>0</v>
          </cell>
          <cell r="BU1179">
            <v>0</v>
          </cell>
          <cell r="BV1179">
            <v>0</v>
          </cell>
          <cell r="BW1179">
            <v>0</v>
          </cell>
          <cell r="BX1179">
            <v>0</v>
          </cell>
          <cell r="BY1179">
            <v>0</v>
          </cell>
          <cell r="BZ1179">
            <v>0</v>
          </cell>
          <cell r="CA1179">
            <v>0</v>
          </cell>
          <cell r="CB1179">
            <v>0</v>
          </cell>
          <cell r="CC1179">
            <v>0</v>
          </cell>
          <cell r="CD1179">
            <v>0</v>
          </cell>
          <cell r="CE1179">
            <v>0</v>
          </cell>
          <cell r="CF1179">
            <v>0</v>
          </cell>
          <cell r="CG1179">
            <v>0</v>
          </cell>
          <cell r="CH1179">
            <v>0</v>
          </cell>
          <cell r="CI1179">
            <v>0</v>
          </cell>
          <cell r="CJ1179">
            <v>0</v>
          </cell>
          <cell r="CK1179">
            <v>0</v>
          </cell>
          <cell r="CL1179">
            <v>0</v>
          </cell>
          <cell r="CM1179">
            <v>0</v>
          </cell>
          <cell r="CR1179">
            <v>1</v>
          </cell>
          <cell r="CS1179">
            <v>0</v>
          </cell>
          <cell r="CT1179">
            <v>0</v>
          </cell>
          <cell r="CU1179">
            <v>0</v>
          </cell>
          <cell r="CV1179">
            <v>0</v>
          </cell>
          <cell r="CZ1179">
            <v>0</v>
          </cell>
        </row>
        <row r="1180">
          <cell r="C1180" t="str">
            <v>04885</v>
          </cell>
          <cell r="D1180" t="str">
            <v>Nguyễn Văn Luân</v>
          </cell>
          <cell r="E1180" t="str">
            <v>Production</v>
          </cell>
          <cell r="F1180" t="str">
            <v>Die cut</v>
          </cell>
          <cell r="G1180" t="str">
            <v>Worker</v>
          </cell>
          <cell r="H1180">
            <v>45987</v>
          </cell>
          <cell r="I1180" t="str">
            <v>Đ</v>
          </cell>
          <cell r="J1180" t="str">
            <v>Đ</v>
          </cell>
          <cell r="K1180" t="str">
            <v>Đ</v>
          </cell>
          <cell r="L1180" t="str">
            <v>CN</v>
          </cell>
          <cell r="M1180">
            <v>8</v>
          </cell>
          <cell r="N1180">
            <v>8</v>
          </cell>
          <cell r="O1180">
            <v>8</v>
          </cell>
          <cell r="P1180" t="str">
            <v>AL8</v>
          </cell>
          <cell r="Q1180">
            <v>8</v>
          </cell>
          <cell r="R1180">
            <v>8</v>
          </cell>
          <cell r="S1180" t="str">
            <v>CN</v>
          </cell>
          <cell r="T1180" t="str">
            <v>Đ</v>
          </cell>
          <cell r="U1180" t="str">
            <v>Đ</v>
          </cell>
          <cell r="V1180" t="str">
            <v>Đ</v>
          </cell>
          <cell r="W1180" t="str">
            <v>Đ</v>
          </cell>
          <cell r="X1180" t="str">
            <v>Đ</v>
          </cell>
          <cell r="Y1180" t="str">
            <v>Đ</v>
          </cell>
          <cell r="Z1180" t="str">
            <v>CN</v>
          </cell>
          <cell r="AA1180">
            <v>8</v>
          </cell>
          <cell r="AB1180">
            <v>8</v>
          </cell>
          <cell r="AC1180">
            <v>8</v>
          </cell>
          <cell r="AD1180">
            <v>8</v>
          </cell>
          <cell r="AE1180">
            <v>8</v>
          </cell>
          <cell r="AF1180">
            <v>8</v>
          </cell>
          <cell r="AG1180" t="str">
            <v>CN</v>
          </cell>
          <cell r="AH1180" t="str">
            <v>Đ</v>
          </cell>
          <cell r="AI1180" t="str">
            <v>AL8</v>
          </cell>
          <cell r="AJ1180" t="str">
            <v>AL8</v>
          </cell>
          <cell r="AN1180">
            <v>80</v>
          </cell>
          <cell r="AO1180">
            <v>88</v>
          </cell>
          <cell r="AP1180">
            <v>0</v>
          </cell>
          <cell r="AQ1180">
            <v>0</v>
          </cell>
          <cell r="AR1180">
            <v>0</v>
          </cell>
          <cell r="AS1180">
            <v>0</v>
          </cell>
          <cell r="AT1180">
            <v>0</v>
          </cell>
          <cell r="AU1180">
            <v>0</v>
          </cell>
          <cell r="AV1180">
            <v>0</v>
          </cell>
          <cell r="AW1180">
            <v>0</v>
          </cell>
          <cell r="AX1180">
            <v>0</v>
          </cell>
          <cell r="AY1180">
            <v>0</v>
          </cell>
          <cell r="AZ1180">
            <v>0</v>
          </cell>
          <cell r="BA1180">
            <v>24</v>
          </cell>
          <cell r="BB1180">
            <v>0</v>
          </cell>
          <cell r="BC1180">
            <v>0</v>
          </cell>
          <cell r="BD1180">
            <v>0</v>
          </cell>
          <cell r="BE1180">
            <v>0</v>
          </cell>
          <cell r="BF1180">
            <v>0</v>
          </cell>
          <cell r="BG1180">
            <v>192</v>
          </cell>
          <cell r="BH1180">
            <v>3</v>
          </cell>
          <cell r="BI1180">
            <v>3</v>
          </cell>
          <cell r="BJ1180">
            <v>1</v>
          </cell>
          <cell r="BL1180">
            <v>0</v>
          </cell>
          <cell r="BM1180">
            <v>0</v>
          </cell>
          <cell r="BN1180">
            <v>0</v>
          </cell>
          <cell r="BO1180">
            <v>0</v>
          </cell>
          <cell r="BP1180">
            <v>1.5</v>
          </cell>
          <cell r="BQ1180">
            <v>3</v>
          </cell>
          <cell r="BR1180">
            <v>0</v>
          </cell>
          <cell r="BS1180">
            <v>0</v>
          </cell>
          <cell r="BT1180">
            <v>3</v>
          </cell>
          <cell r="BU1180">
            <v>0</v>
          </cell>
          <cell r="BV1180">
            <v>0</v>
          </cell>
          <cell r="BW1180">
            <v>3</v>
          </cell>
          <cell r="BX1180">
            <v>4</v>
          </cell>
          <cell r="BY1180">
            <v>4</v>
          </cell>
          <cell r="BZ1180">
            <v>1.5</v>
          </cell>
          <cell r="CA1180">
            <v>4</v>
          </cell>
          <cell r="CB1180">
            <v>4</v>
          </cell>
          <cell r="CC1180">
            <v>0</v>
          </cell>
          <cell r="CD1180">
            <v>3</v>
          </cell>
          <cell r="CE1180">
            <v>3</v>
          </cell>
          <cell r="CF1180">
            <v>3</v>
          </cell>
          <cell r="CG1180">
            <v>3</v>
          </cell>
          <cell r="CH1180">
            <v>1.5</v>
          </cell>
          <cell r="CI1180">
            <v>1.5</v>
          </cell>
          <cell r="CJ1180">
            <v>8</v>
          </cell>
          <cell r="CK1180">
            <v>1.5</v>
          </cell>
          <cell r="CL1180">
            <v>0</v>
          </cell>
          <cell r="CM1180">
            <v>0</v>
          </cell>
          <cell r="CR1180">
            <v>0</v>
          </cell>
          <cell r="CS1180">
            <v>0</v>
          </cell>
          <cell r="CT1180">
            <v>44.5</v>
          </cell>
          <cell r="CU1180">
            <v>8</v>
          </cell>
          <cell r="CV1180">
            <v>0</v>
          </cell>
          <cell r="CZ1180">
            <v>52.5</v>
          </cell>
        </row>
        <row r="1181">
          <cell r="C1181" t="str">
            <v>04886</v>
          </cell>
          <cell r="D1181" t="str">
            <v>Thị Linh</v>
          </cell>
          <cell r="E1181" t="str">
            <v>Production</v>
          </cell>
          <cell r="F1181" t="str">
            <v>Packing</v>
          </cell>
          <cell r="G1181" t="str">
            <v>Worker</v>
          </cell>
          <cell r="H1181">
            <v>45987</v>
          </cell>
          <cell r="I1181">
            <v>8</v>
          </cell>
          <cell r="J1181">
            <v>8</v>
          </cell>
          <cell r="K1181">
            <v>8</v>
          </cell>
          <cell r="L1181" t="str">
            <v>CN</v>
          </cell>
          <cell r="M1181" t="str">
            <v>AL8</v>
          </cell>
          <cell r="N1181" t="str">
            <v>UP8</v>
          </cell>
          <cell r="O1181" t="str">
            <v>UP8</v>
          </cell>
          <cell r="P1181" t="str">
            <v>UP8</v>
          </cell>
          <cell r="Q1181" t="str">
            <v>UP8</v>
          </cell>
          <cell r="R1181" t="str">
            <v>UP8</v>
          </cell>
          <cell r="S1181" t="str">
            <v>CN</v>
          </cell>
          <cell r="T1181" t="str">
            <v>UP8</v>
          </cell>
          <cell r="U1181" t="str">
            <v>UP8</v>
          </cell>
          <cell r="V1181" t="str">
            <v>UP8</v>
          </cell>
          <cell r="W1181" t="str">
            <v>NP</v>
          </cell>
          <cell r="X1181" t="str">
            <v>NP</v>
          </cell>
          <cell r="Y1181" t="str">
            <v>NP</v>
          </cell>
          <cell r="Z1181" t="str">
            <v>CN</v>
          </cell>
          <cell r="AA1181" t="str">
            <v>NP</v>
          </cell>
          <cell r="AB1181" t="str">
            <v>NP</v>
          </cell>
          <cell r="AC1181" t="str">
            <v>TV</v>
          </cell>
          <cell r="AD1181" t="str">
            <v>TV</v>
          </cell>
          <cell r="AE1181" t="str">
            <v>TV</v>
          </cell>
          <cell r="AF1181" t="str">
            <v>TV</v>
          </cell>
          <cell r="AG1181" t="str">
            <v>TV</v>
          </cell>
          <cell r="AH1181" t="str">
            <v>TV</v>
          </cell>
          <cell r="AI1181" t="str">
            <v>TV</v>
          </cell>
          <cell r="AJ1181" t="str">
            <v>TV</v>
          </cell>
          <cell r="AN1181">
            <v>0</v>
          </cell>
          <cell r="AO1181">
            <v>24</v>
          </cell>
          <cell r="AP1181">
            <v>0</v>
          </cell>
          <cell r="AQ1181">
            <v>0</v>
          </cell>
          <cell r="AR1181">
            <v>0</v>
          </cell>
          <cell r="AS1181">
            <v>64</v>
          </cell>
          <cell r="AT1181">
            <v>5</v>
          </cell>
          <cell r="AU1181">
            <v>0</v>
          </cell>
          <cell r="AV1181">
            <v>0</v>
          </cell>
          <cell r="AW1181">
            <v>0</v>
          </cell>
          <cell r="AX1181">
            <v>0</v>
          </cell>
          <cell r="AY1181">
            <v>0</v>
          </cell>
          <cell r="AZ1181">
            <v>0</v>
          </cell>
          <cell r="BA1181">
            <v>8</v>
          </cell>
          <cell r="BB1181">
            <v>0</v>
          </cell>
          <cell r="BC1181">
            <v>0</v>
          </cell>
          <cell r="BD1181">
            <v>0</v>
          </cell>
          <cell r="BE1181">
            <v>0</v>
          </cell>
          <cell r="BF1181">
            <v>0</v>
          </cell>
          <cell r="BG1181">
            <v>32</v>
          </cell>
          <cell r="BH1181">
            <v>1</v>
          </cell>
          <cell r="BI1181">
            <v>1</v>
          </cell>
          <cell r="BJ1181">
            <v>-0.5</v>
          </cell>
          <cell r="BL1181">
            <v>0</v>
          </cell>
          <cell r="BM1181">
            <v>0</v>
          </cell>
          <cell r="BN1181">
            <v>2</v>
          </cell>
          <cell r="BO1181">
            <v>0</v>
          </cell>
          <cell r="BP1181">
            <v>0</v>
          </cell>
          <cell r="BQ1181">
            <v>0</v>
          </cell>
          <cell r="BR1181">
            <v>0</v>
          </cell>
          <cell r="BS1181">
            <v>0</v>
          </cell>
          <cell r="BT1181">
            <v>0</v>
          </cell>
          <cell r="BU1181">
            <v>0</v>
          </cell>
          <cell r="BV1181">
            <v>0</v>
          </cell>
          <cell r="BW1181">
            <v>0</v>
          </cell>
          <cell r="BX1181">
            <v>0</v>
          </cell>
          <cell r="BY1181">
            <v>0</v>
          </cell>
          <cell r="BZ1181">
            <v>0</v>
          </cell>
          <cell r="CA1181">
            <v>0</v>
          </cell>
          <cell r="CB1181">
            <v>0</v>
          </cell>
          <cell r="CC1181">
            <v>0</v>
          </cell>
          <cell r="CD1181">
            <v>0</v>
          </cell>
          <cell r="CE1181">
            <v>0</v>
          </cell>
          <cell r="CF1181">
            <v>0</v>
          </cell>
          <cell r="CG1181">
            <v>0</v>
          </cell>
          <cell r="CH1181">
            <v>0</v>
          </cell>
          <cell r="CI1181">
            <v>0</v>
          </cell>
          <cell r="CJ1181">
            <v>0</v>
          </cell>
          <cell r="CK1181">
            <v>0</v>
          </cell>
          <cell r="CL1181">
            <v>0</v>
          </cell>
          <cell r="CM1181">
            <v>0</v>
          </cell>
          <cell r="CR1181">
            <v>0</v>
          </cell>
          <cell r="CS1181">
            <v>0</v>
          </cell>
          <cell r="CT1181">
            <v>2</v>
          </cell>
          <cell r="CU1181">
            <v>0</v>
          </cell>
          <cell r="CV1181">
            <v>0</v>
          </cell>
          <cell r="CZ1181">
            <v>2</v>
          </cell>
        </row>
        <row r="1182">
          <cell r="C1182" t="str">
            <v>04887</v>
          </cell>
          <cell r="D1182" t="str">
            <v>Lê Thị Trúc Giang</v>
          </cell>
          <cell r="E1182" t="str">
            <v>Production</v>
          </cell>
          <cell r="F1182" t="str">
            <v>Logo</v>
          </cell>
          <cell r="G1182" t="str">
            <v>Worker</v>
          </cell>
          <cell r="H1182">
            <v>45987</v>
          </cell>
          <cell r="I1182">
            <v>8</v>
          </cell>
          <cell r="J1182">
            <v>8</v>
          </cell>
          <cell r="K1182">
            <v>8</v>
          </cell>
          <cell r="L1182" t="str">
            <v>CN</v>
          </cell>
          <cell r="M1182" t="str">
            <v>Đ</v>
          </cell>
          <cell r="N1182" t="str">
            <v>S</v>
          </cell>
          <cell r="O1182" t="str">
            <v>Đ</v>
          </cell>
          <cell r="P1182" t="str">
            <v>Đ</v>
          </cell>
          <cell r="Q1182" t="str">
            <v>Đ</v>
          </cell>
          <cell r="R1182" t="str">
            <v>Đ</v>
          </cell>
          <cell r="S1182" t="str">
            <v>CN</v>
          </cell>
          <cell r="T1182">
            <v>8</v>
          </cell>
          <cell r="U1182">
            <v>8</v>
          </cell>
          <cell r="V1182">
            <v>8</v>
          </cell>
          <cell r="W1182">
            <v>8</v>
          </cell>
          <cell r="X1182">
            <v>8</v>
          </cell>
          <cell r="Y1182">
            <v>8</v>
          </cell>
          <cell r="Z1182" t="str">
            <v>CN</v>
          </cell>
          <cell r="AA1182">
            <v>8</v>
          </cell>
          <cell r="AB1182" t="str">
            <v>Đ</v>
          </cell>
          <cell r="AC1182" t="str">
            <v>Đ</v>
          </cell>
          <cell r="AD1182" t="str">
            <v>Đ</v>
          </cell>
          <cell r="AE1182" t="str">
            <v>Đ</v>
          </cell>
          <cell r="AF1182" t="str">
            <v>Đ</v>
          </cell>
          <cell r="AG1182" t="str">
            <v>CN</v>
          </cell>
          <cell r="AH1182" t="str">
            <v>AL8</v>
          </cell>
          <cell r="AI1182">
            <v>8</v>
          </cell>
          <cell r="AJ1182">
            <v>8</v>
          </cell>
          <cell r="AN1182">
            <v>80</v>
          </cell>
          <cell r="AO1182">
            <v>96</v>
          </cell>
          <cell r="AP1182">
            <v>0</v>
          </cell>
          <cell r="AQ1182">
            <v>0</v>
          </cell>
          <cell r="AR1182">
            <v>0</v>
          </cell>
          <cell r="AS1182">
            <v>0</v>
          </cell>
          <cell r="AT1182">
            <v>0</v>
          </cell>
          <cell r="AU1182">
            <v>0</v>
          </cell>
          <cell r="AV1182">
            <v>0</v>
          </cell>
          <cell r="AW1182">
            <v>8</v>
          </cell>
          <cell r="AX1182">
            <v>0</v>
          </cell>
          <cell r="AY1182">
            <v>0</v>
          </cell>
          <cell r="AZ1182">
            <v>0</v>
          </cell>
          <cell r="BA1182">
            <v>8</v>
          </cell>
          <cell r="BB1182">
            <v>0</v>
          </cell>
          <cell r="BC1182">
            <v>0</v>
          </cell>
          <cell r="BD1182">
            <v>0</v>
          </cell>
          <cell r="BE1182">
            <v>0</v>
          </cell>
          <cell r="BF1182">
            <v>0</v>
          </cell>
          <cell r="BG1182">
            <v>192</v>
          </cell>
          <cell r="BH1182">
            <v>1</v>
          </cell>
          <cell r="BI1182">
            <v>1</v>
          </cell>
          <cell r="BJ1182">
            <v>0</v>
          </cell>
          <cell r="BL1182">
            <v>1.5</v>
          </cell>
          <cell r="BM1182">
            <v>1.5</v>
          </cell>
          <cell r="BN1182">
            <v>1.5</v>
          </cell>
          <cell r="BO1182">
            <v>0</v>
          </cell>
          <cell r="BP1182">
            <v>1.5</v>
          </cell>
          <cell r="BQ1182">
            <v>0</v>
          </cell>
          <cell r="BR1182">
            <v>0</v>
          </cell>
          <cell r="BS1182">
            <v>4</v>
          </cell>
          <cell r="BT1182">
            <v>4</v>
          </cell>
          <cell r="BU1182">
            <v>4</v>
          </cell>
          <cell r="BV1182">
            <v>0</v>
          </cell>
          <cell r="BW1182">
            <v>3</v>
          </cell>
          <cell r="BX1182">
            <v>3</v>
          </cell>
          <cell r="BY1182">
            <v>3</v>
          </cell>
          <cell r="BZ1182">
            <v>3</v>
          </cell>
          <cell r="CA1182">
            <v>3</v>
          </cell>
          <cell r="CB1182">
            <v>3</v>
          </cell>
          <cell r="CC1182">
            <v>8</v>
          </cell>
          <cell r="CD1182">
            <v>0</v>
          </cell>
          <cell r="CE1182">
            <v>4</v>
          </cell>
          <cell r="CF1182">
            <v>4</v>
          </cell>
          <cell r="CG1182">
            <v>0</v>
          </cell>
          <cell r="CH1182">
            <v>4</v>
          </cell>
          <cell r="CI1182">
            <v>4</v>
          </cell>
          <cell r="CJ1182">
            <v>0</v>
          </cell>
          <cell r="CK1182">
            <v>0</v>
          </cell>
          <cell r="CL1182">
            <v>3</v>
          </cell>
          <cell r="CM1182">
            <v>0</v>
          </cell>
          <cell r="CR1182">
            <v>0</v>
          </cell>
          <cell r="CS1182">
            <v>0</v>
          </cell>
          <cell r="CT1182">
            <v>55</v>
          </cell>
          <cell r="CU1182">
            <v>8</v>
          </cell>
          <cell r="CV1182">
            <v>0</v>
          </cell>
          <cell r="CZ1182">
            <v>63</v>
          </cell>
        </row>
        <row r="1183">
          <cell r="C1183" t="str">
            <v>04888</v>
          </cell>
          <cell r="D1183" t="str">
            <v>Phạm Lê Bích Trâm</v>
          </cell>
          <cell r="E1183" t="str">
            <v>Production</v>
          </cell>
          <cell r="F1183" t="str">
            <v>Logo</v>
          </cell>
          <cell r="G1183" t="str">
            <v>Worker</v>
          </cell>
          <cell r="H1183">
            <v>45987</v>
          </cell>
          <cell r="I1183">
            <v>8</v>
          </cell>
          <cell r="J1183">
            <v>8</v>
          </cell>
          <cell r="K1183">
            <v>8</v>
          </cell>
          <cell r="L1183" t="str">
            <v>CN</v>
          </cell>
          <cell r="M1183" t="str">
            <v>Đ</v>
          </cell>
          <cell r="N1183" t="str">
            <v>Đ</v>
          </cell>
          <cell r="O1183" t="str">
            <v>Đ</v>
          </cell>
          <cell r="P1183" t="str">
            <v>Đ</v>
          </cell>
          <cell r="Q1183" t="str">
            <v>Đ</v>
          </cell>
          <cell r="R1183" t="str">
            <v>Đ</v>
          </cell>
          <cell r="S1183" t="str">
            <v>CN</v>
          </cell>
          <cell r="T1183">
            <v>8</v>
          </cell>
          <cell r="U1183">
            <v>8</v>
          </cell>
          <cell r="V1183">
            <v>8</v>
          </cell>
          <cell r="W1183">
            <v>8</v>
          </cell>
          <cell r="X1183">
            <v>8</v>
          </cell>
          <cell r="Y1183">
            <v>8</v>
          </cell>
          <cell r="Z1183" t="str">
            <v>CN</v>
          </cell>
          <cell r="AA1183">
            <v>8</v>
          </cell>
          <cell r="AB1183" t="str">
            <v>Đ</v>
          </cell>
          <cell r="AC1183" t="str">
            <v>Đ</v>
          </cell>
          <cell r="AD1183" t="str">
            <v>Đ</v>
          </cell>
          <cell r="AE1183" t="str">
            <v>Đ</v>
          </cell>
          <cell r="AF1183" t="str">
            <v>Đ</v>
          </cell>
          <cell r="AG1183" t="str">
            <v>CN</v>
          </cell>
          <cell r="AH1183">
            <v>8</v>
          </cell>
          <cell r="AI1183">
            <v>8</v>
          </cell>
          <cell r="AJ1183">
            <v>8</v>
          </cell>
          <cell r="AN1183">
            <v>88</v>
          </cell>
          <cell r="AO1183">
            <v>104</v>
          </cell>
          <cell r="AP1183">
            <v>0</v>
          </cell>
          <cell r="AQ1183">
            <v>0</v>
          </cell>
          <cell r="AR1183">
            <v>0</v>
          </cell>
          <cell r="AS1183">
            <v>0</v>
          </cell>
          <cell r="AT1183">
            <v>0</v>
          </cell>
          <cell r="AU1183">
            <v>0</v>
          </cell>
          <cell r="AV1183">
            <v>0</v>
          </cell>
          <cell r="AW1183">
            <v>0</v>
          </cell>
          <cell r="AX1183">
            <v>0</v>
          </cell>
          <cell r="AY1183">
            <v>0</v>
          </cell>
          <cell r="AZ1183">
            <v>0</v>
          </cell>
          <cell r="BA1183">
            <v>0</v>
          </cell>
          <cell r="BB1183">
            <v>0</v>
          </cell>
          <cell r="BC1183">
            <v>0</v>
          </cell>
          <cell r="BD1183">
            <v>0</v>
          </cell>
          <cell r="BE1183">
            <v>0</v>
          </cell>
          <cell r="BF1183">
            <v>0</v>
          </cell>
          <cell r="BG1183">
            <v>192</v>
          </cell>
          <cell r="BH1183">
            <v>0</v>
          </cell>
          <cell r="BI1183">
            <v>0</v>
          </cell>
          <cell r="BJ1183">
            <v>4</v>
          </cell>
          <cell r="BL1183">
            <v>1.5</v>
          </cell>
          <cell r="BM1183">
            <v>1.5</v>
          </cell>
          <cell r="BN1183">
            <v>1.5</v>
          </cell>
          <cell r="BO1183">
            <v>0</v>
          </cell>
          <cell r="BP1183">
            <v>1.5</v>
          </cell>
          <cell r="BQ1183">
            <v>0</v>
          </cell>
          <cell r="BR1183">
            <v>0</v>
          </cell>
          <cell r="BS1183">
            <v>4</v>
          </cell>
          <cell r="BT1183">
            <v>4</v>
          </cell>
          <cell r="BU1183">
            <v>4</v>
          </cell>
          <cell r="BV1183">
            <v>0</v>
          </cell>
          <cell r="BW1183">
            <v>3</v>
          </cell>
          <cell r="BX1183">
            <v>3</v>
          </cell>
          <cell r="BY1183">
            <v>3</v>
          </cell>
          <cell r="BZ1183">
            <v>3</v>
          </cell>
          <cell r="CA1183">
            <v>3</v>
          </cell>
          <cell r="CB1183">
            <v>3</v>
          </cell>
          <cell r="CC1183">
            <v>8</v>
          </cell>
          <cell r="CD1183">
            <v>0</v>
          </cell>
          <cell r="CE1183">
            <v>4</v>
          </cell>
          <cell r="CF1183">
            <v>4</v>
          </cell>
          <cell r="CG1183">
            <v>4</v>
          </cell>
          <cell r="CH1183">
            <v>4</v>
          </cell>
          <cell r="CI1183">
            <v>4</v>
          </cell>
          <cell r="CJ1183">
            <v>0</v>
          </cell>
          <cell r="CK1183">
            <v>3</v>
          </cell>
          <cell r="CL1183">
            <v>3</v>
          </cell>
          <cell r="CM1183">
            <v>0</v>
          </cell>
          <cell r="CR1183">
            <v>0</v>
          </cell>
          <cell r="CS1183">
            <v>0</v>
          </cell>
          <cell r="CT1183">
            <v>62</v>
          </cell>
          <cell r="CU1183">
            <v>8</v>
          </cell>
          <cell r="CV1183">
            <v>0</v>
          </cell>
          <cell r="CZ1183">
            <v>70</v>
          </cell>
        </row>
        <row r="1184">
          <cell r="C1184" t="str">
            <v>04890</v>
          </cell>
          <cell r="D1184" t="str">
            <v>Nguyễn Chí Cường</v>
          </cell>
          <cell r="E1184" t="str">
            <v>HR &amp; Admin</v>
          </cell>
          <cell r="F1184" t="str">
            <v>Admin</v>
          </cell>
          <cell r="G1184" t="str">
            <v>Senior Staff</v>
          </cell>
          <cell r="H1184">
            <v>45987</v>
          </cell>
          <cell r="I1184" t="str">
            <v>CN</v>
          </cell>
          <cell r="J1184">
            <v>8</v>
          </cell>
          <cell r="K1184">
            <v>8</v>
          </cell>
          <cell r="L1184">
            <v>8</v>
          </cell>
          <cell r="M1184">
            <v>8</v>
          </cell>
          <cell r="N1184">
            <v>8</v>
          </cell>
          <cell r="O1184">
            <v>8</v>
          </cell>
          <cell r="P1184" t="str">
            <v>CN</v>
          </cell>
          <cell r="Q1184">
            <v>8</v>
          </cell>
          <cell r="R1184">
            <v>8</v>
          </cell>
          <cell r="S1184">
            <v>8</v>
          </cell>
          <cell r="T1184">
            <v>8</v>
          </cell>
          <cell r="U1184">
            <v>8</v>
          </cell>
          <cell r="V1184">
            <v>8</v>
          </cell>
          <cell r="W1184" t="str">
            <v>CN</v>
          </cell>
          <cell r="X1184">
            <v>8</v>
          </cell>
          <cell r="Y1184" t="str">
            <v>Đ</v>
          </cell>
          <cell r="Z1184" t="str">
            <v>Đ</v>
          </cell>
          <cell r="AA1184" t="str">
            <v>Đ</v>
          </cell>
          <cell r="AB1184" t="str">
            <v>Đ</v>
          </cell>
          <cell r="AC1184" t="str">
            <v>Đ</v>
          </cell>
          <cell r="AD1184" t="str">
            <v>CN</v>
          </cell>
          <cell r="AE1184">
            <v>8</v>
          </cell>
          <cell r="AF1184">
            <v>8</v>
          </cell>
          <cell r="AG1184">
            <v>8</v>
          </cell>
          <cell r="AH1184">
            <v>8</v>
          </cell>
          <cell r="AI1184">
            <v>8</v>
          </cell>
          <cell r="AJ1184">
            <v>8</v>
          </cell>
          <cell r="AN1184">
            <v>40</v>
          </cell>
          <cell r="AO1184">
            <v>152</v>
          </cell>
          <cell r="AP1184">
            <v>0</v>
          </cell>
          <cell r="AQ1184">
            <v>0</v>
          </cell>
          <cell r="AR1184">
            <v>0</v>
          </cell>
          <cell r="AS1184">
            <v>0</v>
          </cell>
          <cell r="AT1184">
            <v>0</v>
          </cell>
          <cell r="AU1184">
            <v>0</v>
          </cell>
          <cell r="AV1184">
            <v>0</v>
          </cell>
          <cell r="AW1184">
            <v>0</v>
          </cell>
          <cell r="AX1184">
            <v>0</v>
          </cell>
          <cell r="AY1184">
            <v>0</v>
          </cell>
          <cell r="AZ1184">
            <v>0</v>
          </cell>
          <cell r="BA1184">
            <v>0</v>
          </cell>
          <cell r="BB1184">
            <v>0</v>
          </cell>
          <cell r="BC1184">
            <v>0</v>
          </cell>
          <cell r="BD1184">
            <v>0</v>
          </cell>
          <cell r="BE1184">
            <v>0</v>
          </cell>
          <cell r="BF1184">
            <v>0</v>
          </cell>
          <cell r="BG1184">
            <v>192</v>
          </cell>
          <cell r="BH1184">
            <v>0</v>
          </cell>
          <cell r="BI1184">
            <v>0</v>
          </cell>
          <cell r="BJ1184">
            <v>4</v>
          </cell>
          <cell r="BL1184">
            <v>0</v>
          </cell>
          <cell r="BM1184">
            <v>0</v>
          </cell>
          <cell r="BN1184">
            <v>0</v>
          </cell>
          <cell r="BO1184">
            <v>0</v>
          </cell>
          <cell r="BP1184">
            <v>0</v>
          </cell>
          <cell r="BQ1184">
            <v>0</v>
          </cell>
          <cell r="BR1184">
            <v>0</v>
          </cell>
          <cell r="BS1184">
            <v>0</v>
          </cell>
          <cell r="BT1184">
            <v>0</v>
          </cell>
          <cell r="BU1184">
            <v>0</v>
          </cell>
          <cell r="BV1184">
            <v>0</v>
          </cell>
          <cell r="BW1184">
            <v>0</v>
          </cell>
          <cell r="BX1184">
            <v>0</v>
          </cell>
          <cell r="BY1184">
            <v>0</v>
          </cell>
          <cell r="BZ1184">
            <v>0</v>
          </cell>
          <cell r="CA1184">
            <v>0</v>
          </cell>
          <cell r="CB1184">
            <v>4</v>
          </cell>
          <cell r="CC1184">
            <v>0</v>
          </cell>
          <cell r="CD1184">
            <v>0</v>
          </cell>
          <cell r="CE1184">
            <v>0</v>
          </cell>
          <cell r="CF1184">
            <v>0</v>
          </cell>
          <cell r="CG1184">
            <v>0</v>
          </cell>
          <cell r="CH1184">
            <v>0</v>
          </cell>
          <cell r="CI1184">
            <v>4</v>
          </cell>
          <cell r="CJ1184">
            <v>0</v>
          </cell>
          <cell r="CK1184">
            <v>0</v>
          </cell>
          <cell r="CL1184">
            <v>0</v>
          </cell>
          <cell r="CM1184">
            <v>0</v>
          </cell>
          <cell r="CR1184">
            <v>0</v>
          </cell>
          <cell r="CS1184">
            <v>0</v>
          </cell>
          <cell r="CT1184">
            <v>8</v>
          </cell>
          <cell r="CU1184">
            <v>0</v>
          </cell>
          <cell r="CV1184">
            <v>0</v>
          </cell>
          <cell r="CZ1184">
            <v>8</v>
          </cell>
        </row>
        <row r="1185">
          <cell r="C1185" t="str">
            <v>04891</v>
          </cell>
          <cell r="D1185" t="str">
            <v>Nguyễn Thị Minh Hạ</v>
          </cell>
          <cell r="E1185" t="str">
            <v>CS</v>
          </cell>
          <cell r="F1185" t="str">
            <v>CS</v>
          </cell>
          <cell r="G1185" t="str">
            <v>Staff</v>
          </cell>
          <cell r="H1185">
            <v>45987</v>
          </cell>
          <cell r="I1185">
            <v>8</v>
          </cell>
          <cell r="J1185">
            <v>8</v>
          </cell>
          <cell r="K1185" t="str">
            <v>PO</v>
          </cell>
          <cell r="L1185" t="str">
            <v>CN</v>
          </cell>
          <cell r="M1185">
            <v>8</v>
          </cell>
          <cell r="N1185">
            <v>8</v>
          </cell>
          <cell r="O1185">
            <v>8</v>
          </cell>
          <cell r="P1185">
            <v>8</v>
          </cell>
          <cell r="Q1185">
            <v>8</v>
          </cell>
          <cell r="R1185" t="str">
            <v>PO</v>
          </cell>
          <cell r="S1185" t="str">
            <v>CN</v>
          </cell>
          <cell r="T1185">
            <v>8</v>
          </cell>
          <cell r="U1185">
            <v>8</v>
          </cell>
          <cell r="V1185">
            <v>8</v>
          </cell>
          <cell r="W1185">
            <v>8</v>
          </cell>
          <cell r="X1185">
            <v>8</v>
          </cell>
          <cell r="Y1185" t="str">
            <v>PO</v>
          </cell>
          <cell r="Z1185" t="str">
            <v>CN</v>
          </cell>
          <cell r="AA1185">
            <v>8</v>
          </cell>
          <cell r="AB1185">
            <v>8</v>
          </cell>
          <cell r="AC1185">
            <v>8</v>
          </cell>
          <cell r="AD1185">
            <v>8</v>
          </cell>
          <cell r="AE1185">
            <v>8</v>
          </cell>
          <cell r="AF1185" t="str">
            <v>PO</v>
          </cell>
          <cell r="AG1185" t="str">
            <v>CN</v>
          </cell>
          <cell r="AH1185">
            <v>8</v>
          </cell>
          <cell r="AI1185">
            <v>8</v>
          </cell>
          <cell r="AJ1185">
            <v>8</v>
          </cell>
          <cell r="AN1185">
            <v>0</v>
          </cell>
          <cell r="AO1185">
            <v>160</v>
          </cell>
          <cell r="AP1185">
            <v>0</v>
          </cell>
          <cell r="AQ1185">
            <v>0</v>
          </cell>
          <cell r="AR1185">
            <v>0</v>
          </cell>
          <cell r="AS1185">
            <v>0</v>
          </cell>
          <cell r="AT1185">
            <v>0</v>
          </cell>
          <cell r="AU1185">
            <v>0</v>
          </cell>
          <cell r="AV1185">
            <v>32</v>
          </cell>
          <cell r="AW1185">
            <v>0</v>
          </cell>
          <cell r="AX1185">
            <v>0</v>
          </cell>
          <cell r="AY1185">
            <v>0</v>
          </cell>
          <cell r="AZ1185">
            <v>0</v>
          </cell>
          <cell r="BA1185">
            <v>0</v>
          </cell>
          <cell r="BB1185">
            <v>0</v>
          </cell>
          <cell r="BC1185">
            <v>0</v>
          </cell>
          <cell r="BD1185">
            <v>0</v>
          </cell>
          <cell r="BE1185">
            <v>0</v>
          </cell>
          <cell r="BF1185">
            <v>0</v>
          </cell>
          <cell r="BG1185">
            <v>192</v>
          </cell>
          <cell r="BH1185">
            <v>0</v>
          </cell>
          <cell r="BI1185">
            <v>0</v>
          </cell>
          <cell r="BJ1185">
            <v>4</v>
          </cell>
          <cell r="BL1185">
            <v>0</v>
          </cell>
          <cell r="BM1185">
            <v>0</v>
          </cell>
          <cell r="BN1185">
            <v>0</v>
          </cell>
          <cell r="BO1185">
            <v>0</v>
          </cell>
          <cell r="BP1185">
            <v>2</v>
          </cell>
          <cell r="BQ1185">
            <v>0</v>
          </cell>
          <cell r="BR1185">
            <v>0</v>
          </cell>
          <cell r="BS1185">
            <v>1</v>
          </cell>
          <cell r="BT1185">
            <v>0</v>
          </cell>
          <cell r="BU1185">
            <v>0</v>
          </cell>
          <cell r="BV1185">
            <v>0</v>
          </cell>
          <cell r="BW1185">
            <v>0</v>
          </cell>
          <cell r="BX1185">
            <v>0</v>
          </cell>
          <cell r="BY1185">
            <v>0</v>
          </cell>
          <cell r="BZ1185">
            <v>1</v>
          </cell>
          <cell r="CA1185">
            <v>0</v>
          </cell>
          <cell r="CB1185">
            <v>0</v>
          </cell>
          <cell r="CC1185">
            <v>0</v>
          </cell>
          <cell r="CD1185">
            <v>0</v>
          </cell>
          <cell r="CE1185">
            <v>0</v>
          </cell>
          <cell r="CF1185">
            <v>0</v>
          </cell>
          <cell r="CG1185">
            <v>0</v>
          </cell>
          <cell r="CH1185">
            <v>0</v>
          </cell>
          <cell r="CI1185">
            <v>0</v>
          </cell>
          <cell r="CJ1185">
            <v>0</v>
          </cell>
          <cell r="CK1185">
            <v>0</v>
          </cell>
          <cell r="CL1185">
            <v>0</v>
          </cell>
          <cell r="CM1185">
            <v>0</v>
          </cell>
          <cell r="CR1185">
            <v>0</v>
          </cell>
          <cell r="CS1185">
            <v>0</v>
          </cell>
          <cell r="CT1185">
            <v>4</v>
          </cell>
          <cell r="CU1185">
            <v>0</v>
          </cell>
          <cell r="CV1185">
            <v>0</v>
          </cell>
          <cell r="CZ1185">
            <v>4</v>
          </cell>
        </row>
        <row r="1186">
          <cell r="C1186" t="str">
            <v>04892</v>
          </cell>
          <cell r="D1186" t="str">
            <v>Võ Minh Khôi</v>
          </cell>
          <cell r="E1186" t="str">
            <v>Production</v>
          </cell>
          <cell r="F1186" t="str">
            <v>Skiving</v>
          </cell>
          <cell r="G1186" t="str">
            <v>Worker</v>
          </cell>
          <cell r="H1186">
            <v>45992</v>
          </cell>
          <cell r="I1186">
            <v>8</v>
          </cell>
          <cell r="J1186">
            <v>8</v>
          </cell>
          <cell r="K1186">
            <v>8</v>
          </cell>
          <cell r="L1186" t="str">
            <v>CN</v>
          </cell>
          <cell r="M1186" t="str">
            <v>Đ</v>
          </cell>
          <cell r="N1186" t="str">
            <v>Đ</v>
          </cell>
          <cell r="O1186" t="str">
            <v>Đ</v>
          </cell>
          <cell r="P1186" t="str">
            <v>Đ</v>
          </cell>
          <cell r="Q1186" t="str">
            <v>Đ</v>
          </cell>
          <cell r="R1186" t="str">
            <v>Đ</v>
          </cell>
          <cell r="S1186" t="str">
            <v>CN</v>
          </cell>
          <cell r="T1186">
            <v>8</v>
          </cell>
          <cell r="U1186">
            <v>8</v>
          </cell>
          <cell r="V1186">
            <v>8</v>
          </cell>
          <cell r="W1186">
            <v>8</v>
          </cell>
          <cell r="X1186">
            <v>8</v>
          </cell>
          <cell r="Y1186">
            <v>8</v>
          </cell>
          <cell r="Z1186" t="str">
            <v>CN</v>
          </cell>
          <cell r="AA1186" t="str">
            <v>Đ</v>
          </cell>
          <cell r="AB1186" t="str">
            <v>Đ</v>
          </cell>
          <cell r="AC1186" t="str">
            <v>Đ</v>
          </cell>
          <cell r="AD1186" t="str">
            <v>Đ</v>
          </cell>
          <cell r="AE1186" t="str">
            <v>Đ</v>
          </cell>
          <cell r="AF1186" t="str">
            <v>Đ</v>
          </cell>
          <cell r="AG1186" t="str">
            <v>CN</v>
          </cell>
          <cell r="AH1186">
            <v>8</v>
          </cell>
          <cell r="AI1186">
            <v>8</v>
          </cell>
          <cell r="AJ1186">
            <v>8</v>
          </cell>
          <cell r="AN1186">
            <v>96</v>
          </cell>
          <cell r="AO1186">
            <v>96</v>
          </cell>
          <cell r="AP1186">
            <v>0</v>
          </cell>
          <cell r="AQ1186">
            <v>0</v>
          </cell>
          <cell r="AR1186">
            <v>0</v>
          </cell>
          <cell r="AS1186">
            <v>0</v>
          </cell>
          <cell r="AT1186">
            <v>0</v>
          </cell>
          <cell r="AU1186">
            <v>0</v>
          </cell>
          <cell r="AV1186">
            <v>0</v>
          </cell>
          <cell r="AW1186">
            <v>0</v>
          </cell>
          <cell r="AX1186">
            <v>0</v>
          </cell>
          <cell r="AY1186">
            <v>0</v>
          </cell>
          <cell r="AZ1186">
            <v>0</v>
          </cell>
          <cell r="BA1186">
            <v>0</v>
          </cell>
          <cell r="BB1186">
            <v>0</v>
          </cell>
          <cell r="BC1186">
            <v>0</v>
          </cell>
          <cell r="BD1186">
            <v>0</v>
          </cell>
          <cell r="BE1186">
            <v>0</v>
          </cell>
          <cell r="BF1186">
            <v>0</v>
          </cell>
          <cell r="BG1186">
            <v>192</v>
          </cell>
          <cell r="BH1186">
            <v>0</v>
          </cell>
          <cell r="BI1186">
            <v>0</v>
          </cell>
          <cell r="BJ1186">
            <v>2.5</v>
          </cell>
          <cell r="BL1186">
            <v>0</v>
          </cell>
          <cell r="BM1186">
            <v>0</v>
          </cell>
          <cell r="BN1186">
            <v>0</v>
          </cell>
          <cell r="BO1186">
            <v>0</v>
          </cell>
          <cell r="BP1186">
            <v>1.5</v>
          </cell>
          <cell r="BQ1186">
            <v>3</v>
          </cell>
          <cell r="BR1186">
            <v>0</v>
          </cell>
          <cell r="BS1186">
            <v>3</v>
          </cell>
          <cell r="BT1186">
            <v>0</v>
          </cell>
          <cell r="BU1186">
            <v>0</v>
          </cell>
          <cell r="BV1186">
            <v>0</v>
          </cell>
          <cell r="BW1186">
            <v>3</v>
          </cell>
          <cell r="BX1186">
            <v>3</v>
          </cell>
          <cell r="BY1186">
            <v>3</v>
          </cell>
          <cell r="BZ1186">
            <v>3</v>
          </cell>
          <cell r="CA1186">
            <v>3</v>
          </cell>
          <cell r="CB1186">
            <v>3</v>
          </cell>
          <cell r="CC1186">
            <v>8</v>
          </cell>
          <cell r="CD1186">
            <v>4</v>
          </cell>
          <cell r="CE1186">
            <v>4</v>
          </cell>
          <cell r="CF1186">
            <v>4</v>
          </cell>
          <cell r="CG1186">
            <v>4</v>
          </cell>
          <cell r="CH1186">
            <v>1.5</v>
          </cell>
          <cell r="CI1186">
            <v>1.5</v>
          </cell>
          <cell r="CJ1186">
            <v>0</v>
          </cell>
          <cell r="CK1186">
            <v>1.5</v>
          </cell>
          <cell r="CL1186">
            <v>1.5</v>
          </cell>
          <cell r="CM1186">
            <v>0</v>
          </cell>
          <cell r="CR1186">
            <v>0</v>
          </cell>
          <cell r="CS1186">
            <v>0</v>
          </cell>
          <cell r="CT1186">
            <v>47.5</v>
          </cell>
          <cell r="CU1186">
            <v>8</v>
          </cell>
          <cell r="CV1186">
            <v>0</v>
          </cell>
          <cell r="CZ1186">
            <v>55.5</v>
          </cell>
        </row>
        <row r="1187">
          <cell r="C1187" t="str">
            <v>04894</v>
          </cell>
          <cell r="D1187" t="str">
            <v>Trương Văn Rụng</v>
          </cell>
          <cell r="E1187" t="str">
            <v>Production</v>
          </cell>
          <cell r="F1187" t="str">
            <v>Die cut</v>
          </cell>
          <cell r="G1187" t="str">
            <v>Worker</v>
          </cell>
          <cell r="H1187">
            <v>45999</v>
          </cell>
          <cell r="I1187" t="str">
            <v>TV</v>
          </cell>
          <cell r="J1187" t="str">
            <v>TV</v>
          </cell>
          <cell r="K1187" t="str">
            <v>TV</v>
          </cell>
          <cell r="L1187" t="str">
            <v>TV</v>
          </cell>
          <cell r="M1187" t="str">
            <v>TV</v>
          </cell>
          <cell r="N1187" t="str">
            <v>TV</v>
          </cell>
          <cell r="O1187" t="str">
            <v>TV</v>
          </cell>
          <cell r="P1187" t="str">
            <v>TV</v>
          </cell>
          <cell r="Q1187" t="str">
            <v>TV</v>
          </cell>
          <cell r="R1187" t="str">
            <v>TV</v>
          </cell>
          <cell r="S1187" t="str">
            <v>TV</v>
          </cell>
          <cell r="T1187" t="str">
            <v>TV</v>
          </cell>
          <cell r="U1187" t="str">
            <v>TV</v>
          </cell>
          <cell r="V1187" t="str">
            <v>TV</v>
          </cell>
          <cell r="W1187" t="str">
            <v>TV</v>
          </cell>
          <cell r="X1187" t="str">
            <v>TV</v>
          </cell>
          <cell r="Y1187" t="str">
            <v>TV</v>
          </cell>
          <cell r="Z1187" t="str">
            <v>TV</v>
          </cell>
          <cell r="AA1187" t="str">
            <v>TV</v>
          </cell>
          <cell r="AB1187" t="str">
            <v>TV</v>
          </cell>
          <cell r="AC1187" t="str">
            <v>TV</v>
          </cell>
          <cell r="AD1187" t="str">
            <v>TV</v>
          </cell>
          <cell r="AE1187" t="str">
            <v>TV</v>
          </cell>
          <cell r="AF1187" t="str">
            <v>TV</v>
          </cell>
          <cell r="AG1187" t="str">
            <v>TV</v>
          </cell>
          <cell r="AH1187" t="str">
            <v>TV</v>
          </cell>
          <cell r="AI1187" t="str">
            <v>TV</v>
          </cell>
          <cell r="AJ1187" t="str">
            <v>TV</v>
          </cell>
          <cell r="AN1187">
            <v>0</v>
          </cell>
          <cell r="AO1187">
            <v>0</v>
          </cell>
          <cell r="AP1187">
            <v>0</v>
          </cell>
          <cell r="AQ1187">
            <v>0</v>
          </cell>
          <cell r="AR1187">
            <v>0</v>
          </cell>
          <cell r="AS1187">
            <v>0</v>
          </cell>
          <cell r="AT1187">
            <v>0</v>
          </cell>
          <cell r="AU1187">
            <v>0</v>
          </cell>
          <cell r="AV1187">
            <v>0</v>
          </cell>
          <cell r="AW1187">
            <v>0</v>
          </cell>
          <cell r="AX1187">
            <v>0</v>
          </cell>
          <cell r="AY1187">
            <v>0</v>
          </cell>
          <cell r="AZ1187">
            <v>0</v>
          </cell>
          <cell r="BA1187">
            <v>0</v>
          </cell>
          <cell r="BB1187">
            <v>0</v>
          </cell>
          <cell r="BC1187">
            <v>0</v>
          </cell>
          <cell r="BD1187">
            <v>0</v>
          </cell>
          <cell r="BE1187">
            <v>0</v>
          </cell>
          <cell r="BF1187">
            <v>0</v>
          </cell>
          <cell r="BG1187">
            <v>0</v>
          </cell>
          <cell r="BH1187">
            <v>0</v>
          </cell>
          <cell r="BI1187">
            <v>0</v>
          </cell>
          <cell r="BJ1187">
            <v>1</v>
          </cell>
          <cell r="BL1187">
            <v>0</v>
          </cell>
          <cell r="BM1187">
            <v>0</v>
          </cell>
          <cell r="BN1187">
            <v>0</v>
          </cell>
          <cell r="BO1187">
            <v>0</v>
          </cell>
          <cell r="BP1187">
            <v>0</v>
          </cell>
          <cell r="BQ1187">
            <v>0</v>
          </cell>
          <cell r="BR1187">
            <v>0</v>
          </cell>
          <cell r="BS1187">
            <v>0</v>
          </cell>
          <cell r="BT1187">
            <v>0</v>
          </cell>
          <cell r="BU1187">
            <v>0</v>
          </cell>
          <cell r="BV1187">
            <v>0</v>
          </cell>
          <cell r="BW1187">
            <v>0</v>
          </cell>
          <cell r="BX1187">
            <v>0</v>
          </cell>
          <cell r="BY1187">
            <v>0</v>
          </cell>
          <cell r="BZ1187">
            <v>0</v>
          </cell>
          <cell r="CA1187">
            <v>0</v>
          </cell>
          <cell r="CB1187">
            <v>0</v>
          </cell>
          <cell r="CC1187">
            <v>0</v>
          </cell>
          <cell r="CD1187">
            <v>0</v>
          </cell>
          <cell r="CE1187">
            <v>0</v>
          </cell>
          <cell r="CF1187">
            <v>0</v>
          </cell>
          <cell r="CG1187">
            <v>0</v>
          </cell>
          <cell r="CH1187">
            <v>0</v>
          </cell>
          <cell r="CI1187">
            <v>0</v>
          </cell>
          <cell r="CJ1187">
            <v>0</v>
          </cell>
          <cell r="CK1187">
            <v>0</v>
          </cell>
          <cell r="CL1187">
            <v>0</v>
          </cell>
          <cell r="CM1187">
            <v>0</v>
          </cell>
          <cell r="CR1187">
            <v>0</v>
          </cell>
          <cell r="CS1187">
            <v>0</v>
          </cell>
          <cell r="CT1187">
            <v>0</v>
          </cell>
          <cell r="CU1187">
            <v>0</v>
          </cell>
          <cell r="CV1187">
            <v>0</v>
          </cell>
          <cell r="CZ1187">
            <v>0</v>
          </cell>
        </row>
        <row r="1188">
          <cell r="C1188" t="str">
            <v>04896</v>
          </cell>
          <cell r="D1188" t="str">
            <v>Nguyễn Ngô Hòa Bình</v>
          </cell>
          <cell r="E1188" t="str">
            <v>Production</v>
          </cell>
          <cell r="F1188" t="str">
            <v>Molding</v>
          </cell>
          <cell r="G1188" t="str">
            <v>Worker</v>
          </cell>
          <cell r="H1188">
            <v>45999</v>
          </cell>
          <cell r="I1188">
            <v>8</v>
          </cell>
          <cell r="J1188">
            <v>8</v>
          </cell>
          <cell r="K1188">
            <v>8</v>
          </cell>
          <cell r="L1188" t="str">
            <v>CN</v>
          </cell>
          <cell r="M1188" t="str">
            <v>Đ</v>
          </cell>
          <cell r="N1188" t="str">
            <v>Đ</v>
          </cell>
          <cell r="O1188" t="str">
            <v>Đ</v>
          </cell>
          <cell r="P1188" t="str">
            <v>Đ</v>
          </cell>
          <cell r="Q1188" t="str">
            <v>Đ</v>
          </cell>
          <cell r="R1188" t="str">
            <v>Đ</v>
          </cell>
          <cell r="S1188" t="str">
            <v>CN</v>
          </cell>
          <cell r="T1188">
            <v>8</v>
          </cell>
          <cell r="U1188">
            <v>8</v>
          </cell>
          <cell r="V1188">
            <v>8</v>
          </cell>
          <cell r="W1188">
            <v>8</v>
          </cell>
          <cell r="X1188">
            <v>8</v>
          </cell>
          <cell r="Y1188">
            <v>8</v>
          </cell>
          <cell r="Z1188" t="str">
            <v>CN</v>
          </cell>
          <cell r="AA1188" t="str">
            <v>AL4</v>
          </cell>
          <cell r="AB1188" t="str">
            <v>Đ</v>
          </cell>
          <cell r="AC1188" t="str">
            <v>Đ</v>
          </cell>
          <cell r="AD1188" t="str">
            <v>Đ</v>
          </cell>
          <cell r="AE1188" t="str">
            <v>Đ</v>
          </cell>
          <cell r="AF1188" t="str">
            <v>Đ</v>
          </cell>
          <cell r="AG1188" t="str">
            <v>CN</v>
          </cell>
          <cell r="AH1188">
            <v>8</v>
          </cell>
          <cell r="AI1188">
            <v>8</v>
          </cell>
          <cell r="AJ1188">
            <v>8</v>
          </cell>
          <cell r="AN1188">
            <v>88</v>
          </cell>
          <cell r="AO1188">
            <v>100</v>
          </cell>
          <cell r="AP1188">
            <v>4</v>
          </cell>
          <cell r="AQ1188">
            <v>0</v>
          </cell>
          <cell r="AR1188">
            <v>0</v>
          </cell>
          <cell r="AS1188">
            <v>0</v>
          </cell>
          <cell r="AT1188">
            <v>0</v>
          </cell>
          <cell r="AU1188">
            <v>0</v>
          </cell>
          <cell r="AV1188">
            <v>0</v>
          </cell>
          <cell r="AW1188">
            <v>0</v>
          </cell>
          <cell r="AX1188">
            <v>0</v>
          </cell>
          <cell r="AY1188">
            <v>0</v>
          </cell>
          <cell r="AZ1188">
            <v>0</v>
          </cell>
          <cell r="BA1188">
            <v>4</v>
          </cell>
          <cell r="BB1188">
            <v>0</v>
          </cell>
          <cell r="BC1188">
            <v>0</v>
          </cell>
          <cell r="BD1188">
            <v>0</v>
          </cell>
          <cell r="BE1188">
            <v>0</v>
          </cell>
          <cell r="BF1188">
            <v>0</v>
          </cell>
          <cell r="BG1188">
            <v>192</v>
          </cell>
          <cell r="BH1188">
            <v>0.5</v>
          </cell>
          <cell r="BI1188">
            <v>0.5</v>
          </cell>
          <cell r="BJ1188">
            <v>2.5</v>
          </cell>
          <cell r="BL1188">
            <v>0</v>
          </cell>
          <cell r="BM1188">
            <v>0</v>
          </cell>
          <cell r="BN1188">
            <v>0</v>
          </cell>
          <cell r="BO1188">
            <v>0</v>
          </cell>
          <cell r="BP1188">
            <v>0</v>
          </cell>
          <cell r="BQ1188">
            <v>4</v>
          </cell>
          <cell r="BR1188">
            <v>0</v>
          </cell>
          <cell r="BS1188">
            <v>0</v>
          </cell>
          <cell r="BT1188">
            <v>4</v>
          </cell>
          <cell r="BU1188">
            <v>4</v>
          </cell>
          <cell r="BV1188">
            <v>0</v>
          </cell>
          <cell r="BW1188">
            <v>0</v>
          </cell>
          <cell r="BX1188">
            <v>4</v>
          </cell>
          <cell r="BY1188">
            <v>0</v>
          </cell>
          <cell r="BZ1188">
            <v>0</v>
          </cell>
          <cell r="CA1188">
            <v>0</v>
          </cell>
          <cell r="CB1188">
            <v>4</v>
          </cell>
          <cell r="CC1188">
            <v>0</v>
          </cell>
          <cell r="CD1188">
            <v>0</v>
          </cell>
          <cell r="CE1188">
            <v>0</v>
          </cell>
          <cell r="CF1188">
            <v>4</v>
          </cell>
          <cell r="CG1188">
            <v>0</v>
          </cell>
          <cell r="CH1188">
            <v>0</v>
          </cell>
          <cell r="CI1188">
            <v>0</v>
          </cell>
          <cell r="CJ1188">
            <v>0</v>
          </cell>
          <cell r="CK1188">
            <v>0</v>
          </cell>
          <cell r="CL1188">
            <v>0</v>
          </cell>
          <cell r="CM1188">
            <v>4</v>
          </cell>
          <cell r="CR1188">
            <v>0</v>
          </cell>
          <cell r="CS1188">
            <v>0</v>
          </cell>
          <cell r="CT1188">
            <v>28</v>
          </cell>
          <cell r="CU1188">
            <v>0</v>
          </cell>
          <cell r="CV1188">
            <v>0</v>
          </cell>
          <cell r="CZ1188">
            <v>28</v>
          </cell>
        </row>
        <row r="1189">
          <cell r="C1189" t="str">
            <v>04897</v>
          </cell>
          <cell r="D1189" t="str">
            <v>Huỳnh Minh Nhựt</v>
          </cell>
          <cell r="E1189" t="str">
            <v>Production</v>
          </cell>
          <cell r="F1189" t="str">
            <v>Die cut</v>
          </cell>
          <cell r="G1189" t="str">
            <v>Worker</v>
          </cell>
          <cell r="H1189">
            <v>45999</v>
          </cell>
          <cell r="I1189" t="str">
            <v>Đ</v>
          </cell>
          <cell r="J1189" t="str">
            <v>Đ</v>
          </cell>
          <cell r="K1189" t="str">
            <v>Đ</v>
          </cell>
          <cell r="L1189" t="str">
            <v>CN</v>
          </cell>
          <cell r="M1189">
            <v>8</v>
          </cell>
          <cell r="N1189">
            <v>8</v>
          </cell>
          <cell r="O1189">
            <v>8</v>
          </cell>
          <cell r="P1189">
            <v>8</v>
          </cell>
          <cell r="Q1189">
            <v>8</v>
          </cell>
          <cell r="R1189">
            <v>8</v>
          </cell>
          <cell r="S1189" t="str">
            <v>CN</v>
          </cell>
          <cell r="T1189" t="str">
            <v>Đ</v>
          </cell>
          <cell r="U1189" t="str">
            <v>Đ</v>
          </cell>
          <cell r="V1189" t="str">
            <v>AL8</v>
          </cell>
          <cell r="W1189" t="str">
            <v>Đ</v>
          </cell>
          <cell r="X1189" t="str">
            <v>Đ</v>
          </cell>
          <cell r="Y1189" t="str">
            <v>Đ</v>
          </cell>
          <cell r="Z1189" t="str">
            <v>CN</v>
          </cell>
          <cell r="AA1189">
            <v>8</v>
          </cell>
          <cell r="AB1189">
            <v>8</v>
          </cell>
          <cell r="AC1189">
            <v>8</v>
          </cell>
          <cell r="AD1189">
            <v>8</v>
          </cell>
          <cell r="AE1189">
            <v>8</v>
          </cell>
          <cell r="AF1189">
            <v>8</v>
          </cell>
          <cell r="AG1189" t="str">
            <v>CN</v>
          </cell>
          <cell r="AH1189" t="str">
            <v>Đ</v>
          </cell>
          <cell r="AI1189" t="str">
            <v>Đ</v>
          </cell>
          <cell r="AJ1189" t="str">
            <v>Đ</v>
          </cell>
          <cell r="AN1189">
            <v>88</v>
          </cell>
          <cell r="AO1189">
            <v>96</v>
          </cell>
          <cell r="AP1189">
            <v>0</v>
          </cell>
          <cell r="AQ1189">
            <v>0</v>
          </cell>
          <cell r="AR1189">
            <v>0</v>
          </cell>
          <cell r="AS1189">
            <v>0</v>
          </cell>
          <cell r="AT1189">
            <v>0</v>
          </cell>
          <cell r="AU1189">
            <v>0</v>
          </cell>
          <cell r="AV1189">
            <v>0</v>
          </cell>
          <cell r="AW1189">
            <v>0</v>
          </cell>
          <cell r="AX1189">
            <v>0</v>
          </cell>
          <cell r="AY1189">
            <v>0</v>
          </cell>
          <cell r="AZ1189">
            <v>0</v>
          </cell>
          <cell r="BA1189">
            <v>8</v>
          </cell>
          <cell r="BB1189">
            <v>0</v>
          </cell>
          <cell r="BC1189">
            <v>0</v>
          </cell>
          <cell r="BD1189">
            <v>0</v>
          </cell>
          <cell r="BE1189">
            <v>0</v>
          </cell>
          <cell r="BF1189">
            <v>0</v>
          </cell>
          <cell r="BG1189">
            <v>192</v>
          </cell>
          <cell r="BH1189">
            <v>1</v>
          </cell>
          <cell r="BI1189">
            <v>1</v>
          </cell>
          <cell r="BJ1189">
            <v>2</v>
          </cell>
          <cell r="BL1189">
            <v>1.5</v>
          </cell>
          <cell r="BM1189">
            <v>1.5</v>
          </cell>
          <cell r="BN1189">
            <v>1.5</v>
          </cell>
          <cell r="BO1189">
            <v>0</v>
          </cell>
          <cell r="BP1189">
            <v>1.5</v>
          </cell>
          <cell r="BQ1189">
            <v>0</v>
          </cell>
          <cell r="BR1189">
            <v>0</v>
          </cell>
          <cell r="BS1189">
            <v>3</v>
          </cell>
          <cell r="BT1189">
            <v>3</v>
          </cell>
          <cell r="BU1189">
            <v>3</v>
          </cell>
          <cell r="BV1189">
            <v>0</v>
          </cell>
          <cell r="BW1189">
            <v>4</v>
          </cell>
          <cell r="BX1189">
            <v>4</v>
          </cell>
          <cell r="BY1189">
            <v>0</v>
          </cell>
          <cell r="BZ1189">
            <v>4</v>
          </cell>
          <cell r="CA1189">
            <v>4</v>
          </cell>
          <cell r="CB1189">
            <v>4</v>
          </cell>
          <cell r="CC1189">
            <v>0</v>
          </cell>
          <cell r="CD1189">
            <v>3</v>
          </cell>
          <cell r="CE1189">
            <v>3</v>
          </cell>
          <cell r="CF1189">
            <v>3</v>
          </cell>
          <cell r="CG1189">
            <v>3</v>
          </cell>
          <cell r="CH1189">
            <v>3</v>
          </cell>
          <cell r="CI1189">
            <v>3</v>
          </cell>
          <cell r="CJ1189">
            <v>8</v>
          </cell>
          <cell r="CK1189">
            <v>4</v>
          </cell>
          <cell r="CL1189">
            <v>4</v>
          </cell>
          <cell r="CM1189">
            <v>4</v>
          </cell>
          <cell r="CR1189">
            <v>0</v>
          </cell>
          <cell r="CS1189">
            <v>0</v>
          </cell>
          <cell r="CT1189">
            <v>65</v>
          </cell>
          <cell r="CU1189">
            <v>8</v>
          </cell>
          <cell r="CV1189">
            <v>0</v>
          </cell>
          <cell r="CZ1189">
            <v>73</v>
          </cell>
        </row>
        <row r="1190">
          <cell r="C1190" t="str">
            <v>04898</v>
          </cell>
          <cell r="D1190" t="str">
            <v>Võ Thùy Nhiên</v>
          </cell>
          <cell r="E1190" t="str">
            <v>Production</v>
          </cell>
          <cell r="F1190" t="str">
            <v>Logo</v>
          </cell>
          <cell r="G1190" t="str">
            <v>Worker</v>
          </cell>
          <cell r="H1190">
            <v>45999</v>
          </cell>
          <cell r="I1190" t="str">
            <v>Đ</v>
          </cell>
          <cell r="J1190" t="str">
            <v>Đ</v>
          </cell>
          <cell r="K1190" t="str">
            <v>Đ</v>
          </cell>
          <cell r="L1190" t="str">
            <v>CN</v>
          </cell>
          <cell r="M1190">
            <v>8</v>
          </cell>
          <cell r="N1190">
            <v>8</v>
          </cell>
          <cell r="O1190">
            <v>8</v>
          </cell>
          <cell r="P1190">
            <v>8</v>
          </cell>
          <cell r="Q1190">
            <v>8</v>
          </cell>
          <cell r="R1190">
            <v>8</v>
          </cell>
          <cell r="S1190" t="str">
            <v>CN</v>
          </cell>
          <cell r="T1190" t="str">
            <v>Đ</v>
          </cell>
          <cell r="U1190" t="str">
            <v>Đ</v>
          </cell>
          <cell r="V1190" t="str">
            <v>AL8</v>
          </cell>
          <cell r="W1190" t="str">
            <v>Đ</v>
          </cell>
          <cell r="X1190" t="str">
            <v>Đ</v>
          </cell>
          <cell r="Y1190" t="str">
            <v>Đ</v>
          </cell>
          <cell r="Z1190" t="str">
            <v>CN</v>
          </cell>
          <cell r="AA1190">
            <v>8</v>
          </cell>
          <cell r="AB1190">
            <v>8</v>
          </cell>
          <cell r="AC1190">
            <v>8</v>
          </cell>
          <cell r="AD1190">
            <v>8</v>
          </cell>
          <cell r="AE1190">
            <v>8</v>
          </cell>
          <cell r="AF1190">
            <v>8</v>
          </cell>
          <cell r="AG1190" t="str">
            <v>CN</v>
          </cell>
          <cell r="AH1190" t="str">
            <v>Đ</v>
          </cell>
          <cell r="AI1190" t="str">
            <v>Đ</v>
          </cell>
          <cell r="AJ1190" t="str">
            <v>Đ</v>
          </cell>
          <cell r="AN1190">
            <v>88</v>
          </cell>
          <cell r="AO1190">
            <v>96</v>
          </cell>
          <cell r="AP1190">
            <v>0</v>
          </cell>
          <cell r="AQ1190">
            <v>0</v>
          </cell>
          <cell r="AR1190">
            <v>0</v>
          </cell>
          <cell r="AS1190">
            <v>0</v>
          </cell>
          <cell r="AT1190">
            <v>0</v>
          </cell>
          <cell r="AU1190">
            <v>0</v>
          </cell>
          <cell r="AV1190">
            <v>0</v>
          </cell>
          <cell r="AW1190">
            <v>0</v>
          </cell>
          <cell r="AX1190">
            <v>0</v>
          </cell>
          <cell r="AY1190">
            <v>0</v>
          </cell>
          <cell r="AZ1190">
            <v>0</v>
          </cell>
          <cell r="BA1190">
            <v>8</v>
          </cell>
          <cell r="BB1190">
            <v>0</v>
          </cell>
          <cell r="BC1190">
            <v>0</v>
          </cell>
          <cell r="BD1190">
            <v>0</v>
          </cell>
          <cell r="BE1190">
            <v>0</v>
          </cell>
          <cell r="BF1190">
            <v>0</v>
          </cell>
          <cell r="BG1190">
            <v>192</v>
          </cell>
          <cell r="BH1190">
            <v>1</v>
          </cell>
          <cell r="BI1190">
            <v>1</v>
          </cell>
          <cell r="BJ1190">
            <v>2</v>
          </cell>
          <cell r="BL1190">
            <v>1.5</v>
          </cell>
          <cell r="BM1190">
            <v>1.5</v>
          </cell>
          <cell r="BN1190">
            <v>1.5</v>
          </cell>
          <cell r="BO1190">
            <v>0</v>
          </cell>
          <cell r="BP1190">
            <v>1.5</v>
          </cell>
          <cell r="BQ1190">
            <v>0</v>
          </cell>
          <cell r="BR1190">
            <v>0</v>
          </cell>
          <cell r="BS1190">
            <v>3</v>
          </cell>
          <cell r="BT1190">
            <v>3</v>
          </cell>
          <cell r="BU1190">
            <v>3</v>
          </cell>
          <cell r="BV1190">
            <v>0</v>
          </cell>
          <cell r="BW1190">
            <v>4</v>
          </cell>
          <cell r="BX1190">
            <v>4</v>
          </cell>
          <cell r="BY1190">
            <v>0</v>
          </cell>
          <cell r="BZ1190">
            <v>4</v>
          </cell>
          <cell r="CA1190">
            <v>4</v>
          </cell>
          <cell r="CB1190">
            <v>4</v>
          </cell>
          <cell r="CC1190">
            <v>0</v>
          </cell>
          <cell r="CD1190">
            <v>3</v>
          </cell>
          <cell r="CE1190">
            <v>3</v>
          </cell>
          <cell r="CF1190">
            <v>3</v>
          </cell>
          <cell r="CG1190">
            <v>3</v>
          </cell>
          <cell r="CH1190">
            <v>3</v>
          </cell>
          <cell r="CI1190">
            <v>3</v>
          </cell>
          <cell r="CJ1190">
            <v>8</v>
          </cell>
          <cell r="CK1190">
            <v>4</v>
          </cell>
          <cell r="CL1190">
            <v>4</v>
          </cell>
          <cell r="CM1190">
            <v>4</v>
          </cell>
          <cell r="CR1190">
            <v>0</v>
          </cell>
          <cell r="CS1190">
            <v>0</v>
          </cell>
          <cell r="CT1190">
            <v>65</v>
          </cell>
          <cell r="CU1190">
            <v>8</v>
          </cell>
          <cell r="CV1190">
            <v>0</v>
          </cell>
          <cell r="CZ1190">
            <v>73</v>
          </cell>
        </row>
        <row r="1191">
          <cell r="C1191" t="str">
            <v>04900</v>
          </cell>
          <cell r="D1191" t="str">
            <v>Lê Văn Tú</v>
          </cell>
          <cell r="E1191" t="str">
            <v>Production</v>
          </cell>
          <cell r="F1191" t="str">
            <v>Molding</v>
          </cell>
          <cell r="G1191" t="str">
            <v>Worker</v>
          </cell>
          <cell r="H1191">
            <v>45999</v>
          </cell>
          <cell r="I1191">
            <v>8</v>
          </cell>
          <cell r="J1191">
            <v>8</v>
          </cell>
          <cell r="K1191">
            <v>8</v>
          </cell>
          <cell r="L1191" t="str">
            <v>CN</v>
          </cell>
          <cell r="M1191">
            <v>8</v>
          </cell>
          <cell r="N1191" t="str">
            <v>UP8</v>
          </cell>
          <cell r="O1191" t="str">
            <v>UP8</v>
          </cell>
          <cell r="P1191" t="str">
            <v>UP8</v>
          </cell>
          <cell r="Q1191" t="str">
            <v>UP8</v>
          </cell>
          <cell r="R1191" t="str">
            <v>UP8</v>
          </cell>
          <cell r="S1191" t="str">
            <v>CN</v>
          </cell>
          <cell r="T1191" t="str">
            <v>UP8</v>
          </cell>
          <cell r="U1191" t="str">
            <v>UP8</v>
          </cell>
          <cell r="V1191" t="str">
            <v>UP8</v>
          </cell>
          <cell r="W1191" t="str">
            <v>NP</v>
          </cell>
          <cell r="X1191" t="str">
            <v>NP</v>
          </cell>
          <cell r="Y1191" t="str">
            <v>NP</v>
          </cell>
          <cell r="Z1191" t="str">
            <v>CN</v>
          </cell>
          <cell r="AA1191" t="str">
            <v>NP</v>
          </cell>
          <cell r="AB1191" t="str">
            <v>NP</v>
          </cell>
          <cell r="AC1191" t="str">
            <v>TV</v>
          </cell>
          <cell r="AD1191" t="str">
            <v>TV</v>
          </cell>
          <cell r="AE1191" t="str">
            <v>TV</v>
          </cell>
          <cell r="AF1191" t="str">
            <v>TV</v>
          </cell>
          <cell r="AG1191" t="str">
            <v>TV</v>
          </cell>
          <cell r="AH1191" t="str">
            <v>TV</v>
          </cell>
          <cell r="AI1191" t="str">
            <v>TV</v>
          </cell>
          <cell r="AJ1191" t="str">
            <v>TV</v>
          </cell>
          <cell r="AN1191">
            <v>0</v>
          </cell>
          <cell r="AO1191">
            <v>32</v>
          </cell>
          <cell r="AP1191">
            <v>0</v>
          </cell>
          <cell r="AQ1191">
            <v>0</v>
          </cell>
          <cell r="AR1191">
            <v>0</v>
          </cell>
          <cell r="AS1191">
            <v>64</v>
          </cell>
          <cell r="AT1191">
            <v>5</v>
          </cell>
          <cell r="AU1191">
            <v>0</v>
          </cell>
          <cell r="AV1191">
            <v>0</v>
          </cell>
          <cell r="AW1191">
            <v>0</v>
          </cell>
          <cell r="AX1191">
            <v>0</v>
          </cell>
          <cell r="AY1191">
            <v>0</v>
          </cell>
          <cell r="AZ1191">
            <v>0</v>
          </cell>
          <cell r="BA1191">
            <v>0</v>
          </cell>
          <cell r="BB1191">
            <v>0</v>
          </cell>
          <cell r="BC1191">
            <v>0</v>
          </cell>
          <cell r="BD1191">
            <v>0</v>
          </cell>
          <cell r="BE1191">
            <v>0</v>
          </cell>
          <cell r="BF1191">
            <v>0</v>
          </cell>
          <cell r="BG1191">
            <v>32</v>
          </cell>
          <cell r="BH1191">
            <v>0</v>
          </cell>
          <cell r="BI1191">
            <v>0</v>
          </cell>
          <cell r="BJ1191">
            <v>1</v>
          </cell>
          <cell r="BL1191">
            <v>0</v>
          </cell>
          <cell r="BM1191">
            <v>0</v>
          </cell>
          <cell r="BN1191">
            <v>0</v>
          </cell>
          <cell r="BO1191">
            <v>0</v>
          </cell>
          <cell r="BP1191">
            <v>0</v>
          </cell>
          <cell r="BQ1191">
            <v>0</v>
          </cell>
          <cell r="BR1191">
            <v>0</v>
          </cell>
          <cell r="BS1191">
            <v>0</v>
          </cell>
          <cell r="BT1191">
            <v>0</v>
          </cell>
          <cell r="BU1191">
            <v>0</v>
          </cell>
          <cell r="BV1191">
            <v>0</v>
          </cell>
          <cell r="BW1191">
            <v>0</v>
          </cell>
          <cell r="BX1191">
            <v>0</v>
          </cell>
          <cell r="BY1191">
            <v>0</v>
          </cell>
          <cell r="BZ1191">
            <v>0</v>
          </cell>
          <cell r="CA1191">
            <v>0</v>
          </cell>
          <cell r="CB1191">
            <v>0</v>
          </cell>
          <cell r="CC1191">
            <v>0</v>
          </cell>
          <cell r="CD1191">
            <v>0</v>
          </cell>
          <cell r="CE1191">
            <v>0</v>
          </cell>
          <cell r="CF1191">
            <v>0</v>
          </cell>
          <cell r="CG1191">
            <v>0</v>
          </cell>
          <cell r="CH1191">
            <v>0</v>
          </cell>
          <cell r="CI1191">
            <v>0</v>
          </cell>
          <cell r="CJ1191">
            <v>0</v>
          </cell>
          <cell r="CK1191">
            <v>0</v>
          </cell>
          <cell r="CL1191">
            <v>0</v>
          </cell>
          <cell r="CM1191">
            <v>0</v>
          </cell>
          <cell r="CR1191">
            <v>0</v>
          </cell>
          <cell r="CS1191">
            <v>0</v>
          </cell>
          <cell r="CT1191">
            <v>0</v>
          </cell>
          <cell r="CU1191">
            <v>0</v>
          </cell>
          <cell r="CV1191">
            <v>0</v>
          </cell>
          <cell r="CZ1191">
            <v>0</v>
          </cell>
        </row>
        <row r="1192">
          <cell r="C1192" t="str">
            <v>04901</v>
          </cell>
          <cell r="D1192" t="str">
            <v>Hồ Diễm My</v>
          </cell>
          <cell r="E1192" t="str">
            <v>Production</v>
          </cell>
          <cell r="F1192" t="str">
            <v>Die cut</v>
          </cell>
          <cell r="G1192" t="str">
            <v>Worker</v>
          </cell>
          <cell r="H1192">
            <v>45999</v>
          </cell>
          <cell r="I1192">
            <v>8</v>
          </cell>
          <cell r="J1192">
            <v>8</v>
          </cell>
          <cell r="K1192">
            <v>8</v>
          </cell>
          <cell r="L1192" t="str">
            <v>CN</v>
          </cell>
          <cell r="M1192" t="str">
            <v>AL8</v>
          </cell>
          <cell r="N1192" t="str">
            <v>Đ</v>
          </cell>
          <cell r="O1192" t="str">
            <v>Đ</v>
          </cell>
          <cell r="P1192" t="str">
            <v>Đ</v>
          </cell>
          <cell r="Q1192" t="str">
            <v>Đ</v>
          </cell>
          <cell r="R1192" t="str">
            <v>Đ</v>
          </cell>
          <cell r="S1192" t="str">
            <v>CN</v>
          </cell>
          <cell r="T1192">
            <v>8</v>
          </cell>
          <cell r="U1192" t="str">
            <v>AL4</v>
          </cell>
          <cell r="V1192">
            <v>8</v>
          </cell>
          <cell r="W1192">
            <v>8</v>
          </cell>
          <cell r="X1192">
            <v>8</v>
          </cell>
          <cell r="Y1192">
            <v>8</v>
          </cell>
          <cell r="Z1192" t="str">
            <v>CN</v>
          </cell>
          <cell r="AA1192">
            <v>8</v>
          </cell>
          <cell r="AB1192" t="str">
            <v>Đ</v>
          </cell>
          <cell r="AC1192" t="str">
            <v>Đ</v>
          </cell>
          <cell r="AD1192" t="str">
            <v>Đ</v>
          </cell>
          <cell r="AE1192" t="str">
            <v>Đ</v>
          </cell>
          <cell r="AF1192" t="str">
            <v>Đ</v>
          </cell>
          <cell r="AG1192" t="str">
            <v>CN</v>
          </cell>
          <cell r="AH1192">
            <v>8</v>
          </cell>
          <cell r="AI1192">
            <v>8</v>
          </cell>
          <cell r="AJ1192">
            <v>8</v>
          </cell>
          <cell r="AN1192">
            <v>80</v>
          </cell>
          <cell r="AO1192">
            <v>100</v>
          </cell>
          <cell r="AP1192">
            <v>4</v>
          </cell>
          <cell r="AQ1192">
            <v>0</v>
          </cell>
          <cell r="AR1192">
            <v>0</v>
          </cell>
          <cell r="AS1192">
            <v>0</v>
          </cell>
          <cell r="AT1192">
            <v>0</v>
          </cell>
          <cell r="AU1192">
            <v>0</v>
          </cell>
          <cell r="AV1192">
            <v>0</v>
          </cell>
          <cell r="AW1192">
            <v>0</v>
          </cell>
          <cell r="AX1192">
            <v>0</v>
          </cell>
          <cell r="AY1192">
            <v>0</v>
          </cell>
          <cell r="AZ1192">
            <v>0</v>
          </cell>
          <cell r="BA1192">
            <v>12</v>
          </cell>
          <cell r="BB1192">
            <v>0</v>
          </cell>
          <cell r="BC1192">
            <v>0</v>
          </cell>
          <cell r="BD1192">
            <v>0</v>
          </cell>
          <cell r="BE1192">
            <v>0</v>
          </cell>
          <cell r="BF1192">
            <v>0</v>
          </cell>
          <cell r="BG1192">
            <v>192</v>
          </cell>
          <cell r="BH1192">
            <v>1.5</v>
          </cell>
          <cell r="BI1192">
            <v>1.5</v>
          </cell>
          <cell r="BJ1192">
            <v>1.5</v>
          </cell>
          <cell r="BL1192">
            <v>1.5</v>
          </cell>
          <cell r="BM1192">
            <v>1.5</v>
          </cell>
          <cell r="BN1192">
            <v>0</v>
          </cell>
          <cell r="BO1192">
            <v>0</v>
          </cell>
          <cell r="BP1192">
            <v>0</v>
          </cell>
          <cell r="BQ1192">
            <v>0</v>
          </cell>
          <cell r="BR1192">
            <v>0</v>
          </cell>
          <cell r="BS1192">
            <v>4</v>
          </cell>
          <cell r="BT1192">
            <v>4</v>
          </cell>
          <cell r="BU1192">
            <v>4</v>
          </cell>
          <cell r="BV1192">
            <v>0</v>
          </cell>
          <cell r="BW1192">
            <v>3</v>
          </cell>
          <cell r="BX1192">
            <v>0</v>
          </cell>
          <cell r="BY1192">
            <v>3</v>
          </cell>
          <cell r="BZ1192">
            <v>3</v>
          </cell>
          <cell r="CA1192">
            <v>3</v>
          </cell>
          <cell r="CB1192">
            <v>3</v>
          </cell>
          <cell r="CC1192">
            <v>8</v>
          </cell>
          <cell r="CD1192">
            <v>0</v>
          </cell>
          <cell r="CE1192">
            <v>4</v>
          </cell>
          <cell r="CF1192">
            <v>4</v>
          </cell>
          <cell r="CG1192">
            <v>4</v>
          </cell>
          <cell r="CH1192">
            <v>0</v>
          </cell>
          <cell r="CI1192">
            <v>4</v>
          </cell>
          <cell r="CJ1192">
            <v>0</v>
          </cell>
          <cell r="CK1192">
            <v>3</v>
          </cell>
          <cell r="CL1192">
            <v>0</v>
          </cell>
          <cell r="CM1192">
            <v>0</v>
          </cell>
          <cell r="CR1192">
            <v>0</v>
          </cell>
          <cell r="CS1192">
            <v>0</v>
          </cell>
          <cell r="CT1192">
            <v>49</v>
          </cell>
          <cell r="CU1192">
            <v>8</v>
          </cell>
          <cell r="CV1192">
            <v>0</v>
          </cell>
          <cell r="CZ1192">
            <v>57</v>
          </cell>
        </row>
        <row r="1193">
          <cell r="C1193" t="str">
            <v>04902</v>
          </cell>
          <cell r="D1193" t="str">
            <v>Dương Thị Hạnh</v>
          </cell>
          <cell r="E1193" t="str">
            <v>Production</v>
          </cell>
          <cell r="F1193" t="str">
            <v>Logo</v>
          </cell>
          <cell r="G1193" t="str">
            <v>Worker</v>
          </cell>
          <cell r="H1193">
            <v>45999</v>
          </cell>
          <cell r="I1193" t="str">
            <v>Đ</v>
          </cell>
          <cell r="J1193" t="str">
            <v>Đ</v>
          </cell>
          <cell r="K1193" t="str">
            <v>Đ</v>
          </cell>
          <cell r="L1193" t="str">
            <v>CN</v>
          </cell>
          <cell r="M1193">
            <v>8</v>
          </cell>
          <cell r="N1193">
            <v>8</v>
          </cell>
          <cell r="O1193">
            <v>8</v>
          </cell>
          <cell r="P1193">
            <v>8</v>
          </cell>
          <cell r="Q1193" t="str">
            <v>AL8</v>
          </cell>
          <cell r="R1193" t="str">
            <v>SWD</v>
          </cell>
          <cell r="S1193" t="str">
            <v>CN</v>
          </cell>
          <cell r="T1193" t="str">
            <v>AL8</v>
          </cell>
          <cell r="U1193" t="str">
            <v>Đ</v>
          </cell>
          <cell r="V1193" t="str">
            <v>Đ</v>
          </cell>
          <cell r="W1193" t="str">
            <v>Đ</v>
          </cell>
          <cell r="X1193" t="str">
            <v>Đ</v>
          </cell>
          <cell r="Y1193" t="str">
            <v>Đ</v>
          </cell>
          <cell r="Z1193" t="str">
            <v>CN</v>
          </cell>
          <cell r="AA1193">
            <v>8</v>
          </cell>
          <cell r="AB1193">
            <v>8</v>
          </cell>
          <cell r="AC1193">
            <v>8</v>
          </cell>
          <cell r="AD1193">
            <v>8</v>
          </cell>
          <cell r="AE1193">
            <v>8</v>
          </cell>
          <cell r="AF1193">
            <v>8</v>
          </cell>
          <cell r="AG1193" t="str">
            <v>CN</v>
          </cell>
          <cell r="AH1193" t="str">
            <v>Đ</v>
          </cell>
          <cell r="AI1193" t="str">
            <v>Đ</v>
          </cell>
          <cell r="AJ1193" t="str">
            <v>UP8</v>
          </cell>
          <cell r="AN1193">
            <v>80</v>
          </cell>
          <cell r="AO1193">
            <v>80</v>
          </cell>
          <cell r="AP1193">
            <v>0</v>
          </cell>
          <cell r="AQ1193">
            <v>0</v>
          </cell>
          <cell r="AR1193">
            <v>0</v>
          </cell>
          <cell r="AS1193">
            <v>16</v>
          </cell>
          <cell r="AT1193">
            <v>0</v>
          </cell>
          <cell r="AU1193">
            <v>0</v>
          </cell>
          <cell r="AV1193">
            <v>0</v>
          </cell>
          <cell r="AW1193">
            <v>0</v>
          </cell>
          <cell r="AX1193">
            <v>0</v>
          </cell>
          <cell r="AY1193">
            <v>0</v>
          </cell>
          <cell r="AZ1193">
            <v>0</v>
          </cell>
          <cell r="BA1193">
            <v>16</v>
          </cell>
          <cell r="BB1193">
            <v>0</v>
          </cell>
          <cell r="BC1193">
            <v>0</v>
          </cell>
          <cell r="BD1193">
            <v>0</v>
          </cell>
          <cell r="BE1193">
            <v>0</v>
          </cell>
          <cell r="BF1193">
            <v>0</v>
          </cell>
          <cell r="BG1193">
            <v>176</v>
          </cell>
          <cell r="BH1193">
            <v>2</v>
          </cell>
          <cell r="BI1193">
            <v>2</v>
          </cell>
          <cell r="BJ1193">
            <v>0</v>
          </cell>
          <cell r="BL1193">
            <v>1.5</v>
          </cell>
          <cell r="BM1193">
            <v>1.5</v>
          </cell>
          <cell r="BN1193">
            <v>1.5</v>
          </cell>
          <cell r="BO1193">
            <v>0</v>
          </cell>
          <cell r="BP1193">
            <v>1.5</v>
          </cell>
          <cell r="BQ1193">
            <v>0</v>
          </cell>
          <cell r="BR1193">
            <v>0</v>
          </cell>
          <cell r="BS1193">
            <v>3</v>
          </cell>
          <cell r="BT1193">
            <v>0</v>
          </cell>
          <cell r="BU1193">
            <v>0</v>
          </cell>
          <cell r="BV1193">
            <v>0</v>
          </cell>
          <cell r="BW1193">
            <v>0</v>
          </cell>
          <cell r="BX1193">
            <v>4</v>
          </cell>
          <cell r="BY1193">
            <v>4</v>
          </cell>
          <cell r="BZ1193">
            <v>4</v>
          </cell>
          <cell r="CA1193">
            <v>4</v>
          </cell>
          <cell r="CB1193">
            <v>4</v>
          </cell>
          <cell r="CC1193">
            <v>0</v>
          </cell>
          <cell r="CD1193">
            <v>0</v>
          </cell>
          <cell r="CE1193">
            <v>3</v>
          </cell>
          <cell r="CF1193">
            <v>3</v>
          </cell>
          <cell r="CG1193">
            <v>3</v>
          </cell>
          <cell r="CH1193">
            <v>3</v>
          </cell>
          <cell r="CI1193">
            <v>3</v>
          </cell>
          <cell r="CJ1193">
            <v>8</v>
          </cell>
          <cell r="CK1193">
            <v>0</v>
          </cell>
          <cell r="CL1193">
            <v>4</v>
          </cell>
          <cell r="CM1193">
            <v>0</v>
          </cell>
          <cell r="CR1193">
            <v>0</v>
          </cell>
          <cell r="CS1193">
            <v>0</v>
          </cell>
          <cell r="CT1193">
            <v>48</v>
          </cell>
          <cell r="CU1193">
            <v>8</v>
          </cell>
          <cell r="CV1193">
            <v>0</v>
          </cell>
          <cell r="CZ1193">
            <v>56</v>
          </cell>
        </row>
        <row r="1194">
          <cell r="C1194" t="str">
            <v>04903</v>
          </cell>
          <cell r="D1194" t="str">
            <v>Lương Thị Mỹ Tiên</v>
          </cell>
          <cell r="E1194" t="str">
            <v>Lab</v>
          </cell>
          <cell r="F1194" t="str">
            <v>Lab</v>
          </cell>
          <cell r="G1194" t="str">
            <v xml:space="preserve"> Technician</v>
          </cell>
          <cell r="H1194">
            <v>45999</v>
          </cell>
          <cell r="I1194">
            <v>8</v>
          </cell>
          <cell r="J1194">
            <v>8</v>
          </cell>
          <cell r="K1194" t="str">
            <v>PO</v>
          </cell>
          <cell r="L1194" t="str">
            <v>CN</v>
          </cell>
          <cell r="M1194">
            <v>8</v>
          </cell>
          <cell r="N1194">
            <v>8</v>
          </cell>
          <cell r="O1194">
            <v>8</v>
          </cell>
          <cell r="P1194">
            <v>8</v>
          </cell>
          <cell r="Q1194">
            <v>8</v>
          </cell>
          <cell r="R1194" t="str">
            <v>PO</v>
          </cell>
          <cell r="S1194" t="str">
            <v>CN</v>
          </cell>
          <cell r="T1194">
            <v>8</v>
          </cell>
          <cell r="U1194">
            <v>8</v>
          </cell>
          <cell r="V1194">
            <v>8</v>
          </cell>
          <cell r="W1194">
            <v>8</v>
          </cell>
          <cell r="X1194" t="str">
            <v>AL8</v>
          </cell>
          <cell r="Y1194" t="str">
            <v>PO</v>
          </cell>
          <cell r="Z1194" t="str">
            <v>CN</v>
          </cell>
          <cell r="AA1194">
            <v>8</v>
          </cell>
          <cell r="AB1194">
            <v>8</v>
          </cell>
          <cell r="AC1194">
            <v>8</v>
          </cell>
          <cell r="AD1194">
            <v>8</v>
          </cell>
          <cell r="AE1194">
            <v>8</v>
          </cell>
          <cell r="AF1194" t="str">
            <v>PO</v>
          </cell>
          <cell r="AG1194" t="str">
            <v>CN</v>
          </cell>
          <cell r="AH1194">
            <v>8</v>
          </cell>
          <cell r="AI1194" t="str">
            <v>AL8</v>
          </cell>
          <cell r="AJ1194">
            <v>8</v>
          </cell>
          <cell r="AN1194">
            <v>0</v>
          </cell>
          <cell r="AO1194">
            <v>144</v>
          </cell>
          <cell r="AP1194">
            <v>0</v>
          </cell>
          <cell r="AQ1194">
            <v>0</v>
          </cell>
          <cell r="AR1194">
            <v>0</v>
          </cell>
          <cell r="AS1194">
            <v>0</v>
          </cell>
          <cell r="AT1194">
            <v>0</v>
          </cell>
          <cell r="AU1194">
            <v>0</v>
          </cell>
          <cell r="AV1194">
            <v>32</v>
          </cell>
          <cell r="AW1194">
            <v>0</v>
          </cell>
          <cell r="AX1194">
            <v>0</v>
          </cell>
          <cell r="AY1194">
            <v>0</v>
          </cell>
          <cell r="AZ1194">
            <v>0</v>
          </cell>
          <cell r="BA1194">
            <v>16</v>
          </cell>
          <cell r="BB1194">
            <v>0</v>
          </cell>
          <cell r="BC1194">
            <v>0</v>
          </cell>
          <cell r="BD1194">
            <v>0</v>
          </cell>
          <cell r="BE1194">
            <v>0</v>
          </cell>
          <cell r="BF1194">
            <v>0</v>
          </cell>
          <cell r="BG1194">
            <v>192</v>
          </cell>
          <cell r="BH1194">
            <v>2</v>
          </cell>
          <cell r="BI1194">
            <v>2</v>
          </cell>
          <cell r="BJ1194">
            <v>1</v>
          </cell>
          <cell r="BL1194">
            <v>0</v>
          </cell>
          <cell r="BM1194">
            <v>0</v>
          </cell>
          <cell r="BN1194">
            <v>0</v>
          </cell>
          <cell r="BO1194">
            <v>0</v>
          </cell>
          <cell r="BP1194">
            <v>0</v>
          </cell>
          <cell r="BQ1194">
            <v>0</v>
          </cell>
          <cell r="BR1194">
            <v>1</v>
          </cell>
          <cell r="BS1194">
            <v>1</v>
          </cell>
          <cell r="BT1194">
            <v>0</v>
          </cell>
          <cell r="BU1194">
            <v>0</v>
          </cell>
          <cell r="BV1194">
            <v>0</v>
          </cell>
          <cell r="BW1194">
            <v>0</v>
          </cell>
          <cell r="BX1194">
            <v>0</v>
          </cell>
          <cell r="BY1194">
            <v>0</v>
          </cell>
          <cell r="BZ1194">
            <v>0</v>
          </cell>
          <cell r="CA1194">
            <v>0</v>
          </cell>
          <cell r="CB1194">
            <v>0</v>
          </cell>
          <cell r="CC1194">
            <v>0</v>
          </cell>
          <cell r="CD1194">
            <v>0</v>
          </cell>
          <cell r="CE1194">
            <v>0</v>
          </cell>
          <cell r="CF1194">
            <v>1</v>
          </cell>
          <cell r="CG1194">
            <v>2</v>
          </cell>
          <cell r="CH1194">
            <v>0</v>
          </cell>
          <cell r="CI1194">
            <v>0</v>
          </cell>
          <cell r="CJ1194">
            <v>0</v>
          </cell>
          <cell r="CK1194">
            <v>0</v>
          </cell>
          <cell r="CL1194">
            <v>0</v>
          </cell>
          <cell r="CM1194">
            <v>0</v>
          </cell>
          <cell r="CR1194">
            <v>0</v>
          </cell>
          <cell r="CS1194">
            <v>0</v>
          </cell>
          <cell r="CT1194">
            <v>5</v>
          </cell>
          <cell r="CU1194">
            <v>0</v>
          </cell>
          <cell r="CV1194">
            <v>0</v>
          </cell>
          <cell r="CZ1194">
            <v>5</v>
          </cell>
        </row>
        <row r="1195">
          <cell r="C1195" t="str">
            <v>04905</v>
          </cell>
          <cell r="D1195" t="str">
            <v>Đỗ Văn Hiếu</v>
          </cell>
          <cell r="E1195" t="str">
            <v>Production</v>
          </cell>
          <cell r="F1195" t="str">
            <v>Die cut</v>
          </cell>
          <cell r="G1195" t="str">
            <v>Worker</v>
          </cell>
          <cell r="H1195">
            <v>46006</v>
          </cell>
          <cell r="I1195">
            <v>8</v>
          </cell>
          <cell r="J1195">
            <v>8</v>
          </cell>
          <cell r="K1195">
            <v>8</v>
          </cell>
          <cell r="L1195" t="str">
            <v>CN</v>
          </cell>
          <cell r="M1195">
            <v>8</v>
          </cell>
          <cell r="N1195">
            <v>8</v>
          </cell>
          <cell r="O1195">
            <v>8</v>
          </cell>
          <cell r="P1195" t="str">
            <v>AL8</v>
          </cell>
          <cell r="Q1195">
            <v>8</v>
          </cell>
          <cell r="R1195">
            <v>8</v>
          </cell>
          <cell r="S1195" t="str">
            <v>CN</v>
          </cell>
          <cell r="T1195" t="str">
            <v>Đ</v>
          </cell>
          <cell r="U1195" t="str">
            <v>Đ</v>
          </cell>
          <cell r="V1195" t="str">
            <v>Đ</v>
          </cell>
          <cell r="W1195" t="str">
            <v>Đ</v>
          </cell>
          <cell r="X1195" t="str">
            <v>Đ</v>
          </cell>
          <cell r="Y1195" t="str">
            <v>Đ</v>
          </cell>
          <cell r="Z1195" t="str">
            <v>CN</v>
          </cell>
          <cell r="AA1195" t="str">
            <v>UP7.7</v>
          </cell>
          <cell r="AB1195">
            <v>8</v>
          </cell>
          <cell r="AC1195">
            <v>8</v>
          </cell>
          <cell r="AD1195">
            <v>8</v>
          </cell>
          <cell r="AE1195">
            <v>8</v>
          </cell>
          <cell r="AF1195" t="str">
            <v>AL4</v>
          </cell>
          <cell r="AG1195" t="str">
            <v>CN</v>
          </cell>
          <cell r="AH1195">
            <v>8</v>
          </cell>
          <cell r="AI1195">
            <v>8</v>
          </cell>
          <cell r="AJ1195">
            <v>8</v>
          </cell>
          <cell r="AN1195">
            <v>48</v>
          </cell>
          <cell r="AO1195">
            <v>131.69999999999999</v>
          </cell>
          <cell r="AP1195">
            <v>4</v>
          </cell>
          <cell r="AQ1195">
            <v>0</v>
          </cell>
          <cell r="AR1195">
            <v>0</v>
          </cell>
          <cell r="AS1195">
            <v>0</v>
          </cell>
          <cell r="AT1195">
            <v>0</v>
          </cell>
          <cell r="AU1195">
            <v>0</v>
          </cell>
          <cell r="AV1195">
            <v>0</v>
          </cell>
          <cell r="AW1195">
            <v>0</v>
          </cell>
          <cell r="AX1195">
            <v>0</v>
          </cell>
          <cell r="AY1195">
            <v>0</v>
          </cell>
          <cell r="AZ1195">
            <v>0</v>
          </cell>
          <cell r="BA1195">
            <v>12</v>
          </cell>
          <cell r="BB1195">
            <v>0</v>
          </cell>
          <cell r="BC1195">
            <v>0</v>
          </cell>
          <cell r="BD1195">
            <v>0</v>
          </cell>
          <cell r="BE1195">
            <v>0</v>
          </cell>
          <cell r="BF1195">
            <v>0</v>
          </cell>
          <cell r="BG1195">
            <v>191.7</v>
          </cell>
          <cell r="BH1195">
            <v>1.5</v>
          </cell>
          <cell r="BI1195">
            <v>1.5</v>
          </cell>
          <cell r="BJ1195">
            <v>1.5</v>
          </cell>
          <cell r="BL1195">
            <v>0</v>
          </cell>
          <cell r="BM1195">
            <v>0</v>
          </cell>
          <cell r="BN1195">
            <v>0</v>
          </cell>
          <cell r="BO1195">
            <v>0</v>
          </cell>
          <cell r="BP1195">
            <v>0</v>
          </cell>
          <cell r="BQ1195">
            <v>0</v>
          </cell>
          <cell r="BR1195">
            <v>0</v>
          </cell>
          <cell r="BS1195">
            <v>0</v>
          </cell>
          <cell r="BT1195">
            <v>3</v>
          </cell>
          <cell r="BU1195">
            <v>0</v>
          </cell>
          <cell r="BV1195">
            <v>0</v>
          </cell>
          <cell r="BW1195">
            <v>3</v>
          </cell>
          <cell r="BX1195">
            <v>0</v>
          </cell>
          <cell r="BY1195">
            <v>4</v>
          </cell>
          <cell r="BZ1195">
            <v>4</v>
          </cell>
          <cell r="CA1195">
            <v>4</v>
          </cell>
          <cell r="CB1195">
            <v>4</v>
          </cell>
          <cell r="CC1195">
            <v>0</v>
          </cell>
          <cell r="CD1195">
            <v>0</v>
          </cell>
          <cell r="CE1195">
            <v>4</v>
          </cell>
          <cell r="CF1195">
            <v>4</v>
          </cell>
          <cell r="CG1195">
            <v>4</v>
          </cell>
          <cell r="CH1195">
            <v>4</v>
          </cell>
          <cell r="CI1195">
            <v>4</v>
          </cell>
          <cell r="CJ1195">
            <v>8</v>
          </cell>
          <cell r="CK1195">
            <v>0</v>
          </cell>
          <cell r="CL1195">
            <v>3</v>
          </cell>
          <cell r="CM1195">
            <v>0</v>
          </cell>
          <cell r="CR1195">
            <v>0</v>
          </cell>
          <cell r="CS1195">
            <v>0</v>
          </cell>
          <cell r="CT1195">
            <v>45</v>
          </cell>
          <cell r="CU1195">
            <v>8</v>
          </cell>
          <cell r="CV1195">
            <v>0</v>
          </cell>
          <cell r="CZ1195">
            <v>53</v>
          </cell>
        </row>
        <row r="1196">
          <cell r="C1196" t="str">
            <v>04906</v>
          </cell>
          <cell r="D1196" t="str">
            <v>Nguyễn Văn Lợi</v>
          </cell>
          <cell r="E1196" t="str">
            <v>Production</v>
          </cell>
          <cell r="F1196" t="str">
            <v>Die cut</v>
          </cell>
          <cell r="G1196" t="str">
            <v>Worker</v>
          </cell>
          <cell r="H1196">
            <v>46006</v>
          </cell>
          <cell r="I1196" t="str">
            <v>AL4Đ</v>
          </cell>
          <cell r="J1196" t="str">
            <v>AL8</v>
          </cell>
          <cell r="K1196" t="str">
            <v>Đ</v>
          </cell>
          <cell r="L1196" t="str">
            <v>CN</v>
          </cell>
          <cell r="M1196">
            <v>8</v>
          </cell>
          <cell r="N1196">
            <v>8</v>
          </cell>
          <cell r="O1196">
            <v>8</v>
          </cell>
          <cell r="P1196">
            <v>8</v>
          </cell>
          <cell r="Q1196">
            <v>8</v>
          </cell>
          <cell r="R1196">
            <v>8</v>
          </cell>
          <cell r="S1196" t="str">
            <v>CN</v>
          </cell>
          <cell r="T1196">
            <v>8</v>
          </cell>
          <cell r="U1196">
            <v>8</v>
          </cell>
          <cell r="V1196">
            <v>8</v>
          </cell>
          <cell r="W1196">
            <v>8</v>
          </cell>
          <cell r="X1196">
            <v>8</v>
          </cell>
          <cell r="Y1196">
            <v>8</v>
          </cell>
          <cell r="Z1196" t="str">
            <v>CN</v>
          </cell>
          <cell r="AA1196">
            <v>8</v>
          </cell>
          <cell r="AB1196" t="str">
            <v>Đ</v>
          </cell>
          <cell r="AC1196" t="str">
            <v>Đ</v>
          </cell>
          <cell r="AD1196" t="str">
            <v>Đ</v>
          </cell>
          <cell r="AE1196" t="str">
            <v>Đ</v>
          </cell>
          <cell r="AF1196" t="str">
            <v>Đ</v>
          </cell>
          <cell r="AG1196" t="str">
            <v>CN</v>
          </cell>
          <cell r="AH1196" t="str">
            <v>Đ</v>
          </cell>
          <cell r="AI1196" t="str">
            <v>Đ</v>
          </cell>
          <cell r="AJ1196" t="str">
            <v>Đ</v>
          </cell>
          <cell r="AN1196">
            <v>76</v>
          </cell>
          <cell r="AO1196">
            <v>104</v>
          </cell>
          <cell r="AP1196">
            <v>0</v>
          </cell>
          <cell r="AQ1196">
            <v>0</v>
          </cell>
          <cell r="AR1196">
            <v>0</v>
          </cell>
          <cell r="AS1196">
            <v>0</v>
          </cell>
          <cell r="AT1196">
            <v>0</v>
          </cell>
          <cell r="AU1196">
            <v>0</v>
          </cell>
          <cell r="AV1196">
            <v>0</v>
          </cell>
          <cell r="AW1196">
            <v>0</v>
          </cell>
          <cell r="AX1196">
            <v>0</v>
          </cell>
          <cell r="AY1196">
            <v>0</v>
          </cell>
          <cell r="AZ1196">
            <v>0</v>
          </cell>
          <cell r="BA1196">
            <v>12</v>
          </cell>
          <cell r="BB1196">
            <v>0</v>
          </cell>
          <cell r="BC1196">
            <v>0</v>
          </cell>
          <cell r="BD1196">
            <v>0</v>
          </cell>
          <cell r="BE1196">
            <v>0</v>
          </cell>
          <cell r="BF1196">
            <v>0</v>
          </cell>
          <cell r="BG1196">
            <v>192</v>
          </cell>
          <cell r="BH1196">
            <v>1.5</v>
          </cell>
          <cell r="BI1196">
            <v>1.5</v>
          </cell>
          <cell r="BJ1196">
            <v>1.5</v>
          </cell>
          <cell r="BL1196">
            <v>0</v>
          </cell>
          <cell r="BM1196">
            <v>0</v>
          </cell>
          <cell r="BN1196">
            <v>0</v>
          </cell>
          <cell r="BO1196">
            <v>0</v>
          </cell>
          <cell r="BP1196">
            <v>0</v>
          </cell>
          <cell r="BQ1196">
            <v>4</v>
          </cell>
          <cell r="BR1196">
            <v>0</v>
          </cell>
          <cell r="BS1196">
            <v>0</v>
          </cell>
          <cell r="BT1196">
            <v>0</v>
          </cell>
          <cell r="BU1196">
            <v>0</v>
          </cell>
          <cell r="BV1196">
            <v>0</v>
          </cell>
          <cell r="BW1196">
            <v>0</v>
          </cell>
          <cell r="BX1196">
            <v>3</v>
          </cell>
          <cell r="BY1196">
            <v>0</v>
          </cell>
          <cell r="BZ1196">
            <v>3</v>
          </cell>
          <cell r="CA1196">
            <v>3</v>
          </cell>
          <cell r="CB1196">
            <v>0</v>
          </cell>
          <cell r="CC1196">
            <v>8</v>
          </cell>
          <cell r="CD1196">
            <v>0</v>
          </cell>
          <cell r="CE1196">
            <v>4</v>
          </cell>
          <cell r="CF1196">
            <v>4</v>
          </cell>
          <cell r="CG1196">
            <v>0</v>
          </cell>
          <cell r="CH1196">
            <v>4</v>
          </cell>
          <cell r="CI1196">
            <v>4</v>
          </cell>
          <cell r="CJ1196">
            <v>0</v>
          </cell>
          <cell r="CK1196">
            <v>4</v>
          </cell>
          <cell r="CL1196">
            <v>0</v>
          </cell>
          <cell r="CM1196">
            <v>4</v>
          </cell>
          <cell r="CR1196">
            <v>0</v>
          </cell>
          <cell r="CS1196">
            <v>0</v>
          </cell>
          <cell r="CT1196">
            <v>37</v>
          </cell>
          <cell r="CU1196">
            <v>8</v>
          </cell>
          <cell r="CV1196">
            <v>0</v>
          </cell>
          <cell r="CZ1196">
            <v>45</v>
          </cell>
        </row>
        <row r="1197">
          <cell r="C1197" t="str">
            <v>04908</v>
          </cell>
          <cell r="D1197" t="str">
            <v>Trần Nguyễn Thanh Hào</v>
          </cell>
          <cell r="E1197" t="str">
            <v>Production</v>
          </cell>
          <cell r="F1197" t="str">
            <v>Logo</v>
          </cell>
          <cell r="G1197" t="str">
            <v>Worker</v>
          </cell>
          <cell r="H1197">
            <v>46006</v>
          </cell>
          <cell r="I1197" t="str">
            <v>Đ</v>
          </cell>
          <cell r="J1197" t="str">
            <v>Đ</v>
          </cell>
          <cell r="K1197" t="str">
            <v>Đ</v>
          </cell>
          <cell r="L1197" t="str">
            <v>CN</v>
          </cell>
          <cell r="M1197">
            <v>8</v>
          </cell>
          <cell r="N1197">
            <v>8</v>
          </cell>
          <cell r="O1197">
            <v>8</v>
          </cell>
          <cell r="P1197">
            <v>8</v>
          </cell>
          <cell r="Q1197">
            <v>8</v>
          </cell>
          <cell r="R1197">
            <v>8</v>
          </cell>
          <cell r="S1197" t="str">
            <v>CN</v>
          </cell>
          <cell r="T1197" t="str">
            <v>AL8</v>
          </cell>
          <cell r="U1197" t="str">
            <v>AL8</v>
          </cell>
          <cell r="V1197" t="str">
            <v>Đ</v>
          </cell>
          <cell r="W1197" t="str">
            <v>Đ</v>
          </cell>
          <cell r="X1197" t="str">
            <v>Đ</v>
          </cell>
          <cell r="Y1197" t="str">
            <v>Đ</v>
          </cell>
          <cell r="Z1197" t="str">
            <v>CN</v>
          </cell>
          <cell r="AA1197">
            <v>8</v>
          </cell>
          <cell r="AB1197">
            <v>8</v>
          </cell>
          <cell r="AC1197">
            <v>8</v>
          </cell>
          <cell r="AD1197">
            <v>8</v>
          </cell>
          <cell r="AE1197">
            <v>8</v>
          </cell>
          <cell r="AF1197">
            <v>8</v>
          </cell>
          <cell r="AG1197" t="str">
            <v>CN</v>
          </cell>
          <cell r="AH1197" t="str">
            <v>Đ</v>
          </cell>
          <cell r="AI1197" t="str">
            <v>Đ</v>
          </cell>
          <cell r="AJ1197" t="str">
            <v>Đ</v>
          </cell>
          <cell r="AN1197">
            <v>80</v>
          </cell>
          <cell r="AO1197">
            <v>96</v>
          </cell>
          <cell r="AP1197">
            <v>0</v>
          </cell>
          <cell r="AQ1197">
            <v>0</v>
          </cell>
          <cell r="AR1197">
            <v>0</v>
          </cell>
          <cell r="AS1197">
            <v>0</v>
          </cell>
          <cell r="AT1197">
            <v>0</v>
          </cell>
          <cell r="AU1197">
            <v>0</v>
          </cell>
          <cell r="AV1197">
            <v>0</v>
          </cell>
          <cell r="AW1197">
            <v>0</v>
          </cell>
          <cell r="AX1197">
            <v>0</v>
          </cell>
          <cell r="AY1197">
            <v>0</v>
          </cell>
          <cell r="AZ1197">
            <v>0</v>
          </cell>
          <cell r="BA1197">
            <v>16</v>
          </cell>
          <cell r="BB1197">
            <v>0</v>
          </cell>
          <cell r="BC1197">
            <v>0</v>
          </cell>
          <cell r="BD1197">
            <v>0</v>
          </cell>
          <cell r="BE1197">
            <v>0</v>
          </cell>
          <cell r="BF1197">
            <v>0</v>
          </cell>
          <cell r="BG1197">
            <v>192</v>
          </cell>
          <cell r="BH1197">
            <v>2</v>
          </cell>
          <cell r="BI1197">
            <v>2</v>
          </cell>
          <cell r="BJ1197">
            <v>0</v>
          </cell>
          <cell r="BL1197">
            <v>1.5</v>
          </cell>
          <cell r="BM1197">
            <v>1.5</v>
          </cell>
          <cell r="BN1197">
            <v>1.5</v>
          </cell>
          <cell r="BO1197">
            <v>0</v>
          </cell>
          <cell r="BP1197">
            <v>1.5</v>
          </cell>
          <cell r="BQ1197">
            <v>0</v>
          </cell>
          <cell r="BR1197">
            <v>0</v>
          </cell>
          <cell r="BS1197">
            <v>3</v>
          </cell>
          <cell r="BT1197">
            <v>3</v>
          </cell>
          <cell r="BU1197">
            <v>3</v>
          </cell>
          <cell r="BV1197">
            <v>0</v>
          </cell>
          <cell r="BW1197">
            <v>0</v>
          </cell>
          <cell r="BX1197">
            <v>0</v>
          </cell>
          <cell r="BY1197">
            <v>4</v>
          </cell>
          <cell r="BZ1197">
            <v>4</v>
          </cell>
          <cell r="CA1197">
            <v>4</v>
          </cell>
          <cell r="CB1197">
            <v>4</v>
          </cell>
          <cell r="CC1197">
            <v>0</v>
          </cell>
          <cell r="CD1197">
            <v>3</v>
          </cell>
          <cell r="CE1197">
            <v>3</v>
          </cell>
          <cell r="CF1197">
            <v>3</v>
          </cell>
          <cell r="CG1197">
            <v>3</v>
          </cell>
          <cell r="CH1197">
            <v>3</v>
          </cell>
          <cell r="CI1197">
            <v>3</v>
          </cell>
          <cell r="CJ1197">
            <v>8</v>
          </cell>
          <cell r="CK1197">
            <v>4</v>
          </cell>
          <cell r="CL1197">
            <v>4</v>
          </cell>
          <cell r="CM1197">
            <v>4</v>
          </cell>
          <cell r="CR1197">
            <v>0</v>
          </cell>
          <cell r="CS1197">
            <v>0</v>
          </cell>
          <cell r="CT1197">
            <v>61</v>
          </cell>
          <cell r="CU1197">
            <v>8</v>
          </cell>
          <cell r="CV1197">
            <v>0</v>
          </cell>
          <cell r="CZ1197">
            <v>69</v>
          </cell>
        </row>
        <row r="1198">
          <cell r="C1198" t="str">
            <v>04909</v>
          </cell>
          <cell r="D1198" t="str">
            <v>Hồ Vũ Bão</v>
          </cell>
          <cell r="E1198" t="str">
            <v>Production</v>
          </cell>
          <cell r="F1198" t="str">
            <v>Molding</v>
          </cell>
          <cell r="G1198" t="str">
            <v>Worker</v>
          </cell>
          <cell r="H1198">
            <v>46006</v>
          </cell>
          <cell r="I1198" t="str">
            <v>Đ</v>
          </cell>
          <cell r="J1198" t="str">
            <v>AL8</v>
          </cell>
          <cell r="K1198" t="str">
            <v>AL8</v>
          </cell>
          <cell r="L1198" t="str">
            <v>CN</v>
          </cell>
          <cell r="M1198" t="str">
            <v>PL</v>
          </cell>
          <cell r="N1198" t="str">
            <v>PL</v>
          </cell>
          <cell r="O1198" t="str">
            <v>PL</v>
          </cell>
          <cell r="P1198" t="str">
            <v>PL</v>
          </cell>
          <cell r="Q1198" t="str">
            <v>PL</v>
          </cell>
          <cell r="R1198" t="str">
            <v>PL</v>
          </cell>
          <cell r="S1198" t="str">
            <v>CN</v>
          </cell>
          <cell r="T1198" t="str">
            <v>PL</v>
          </cell>
          <cell r="U1198" t="str">
            <v>Đ</v>
          </cell>
          <cell r="V1198" t="str">
            <v>Đ</v>
          </cell>
          <cell r="W1198" t="str">
            <v>Đ</v>
          </cell>
          <cell r="X1198" t="str">
            <v>Đ</v>
          </cell>
          <cell r="Y1198" t="str">
            <v>Đ</v>
          </cell>
          <cell r="Z1198" t="str">
            <v>CN</v>
          </cell>
          <cell r="AA1198" t="str">
            <v>AL4</v>
          </cell>
          <cell r="AB1198">
            <v>8</v>
          </cell>
          <cell r="AC1198">
            <v>8</v>
          </cell>
          <cell r="AD1198">
            <v>8</v>
          </cell>
          <cell r="AE1198">
            <v>8</v>
          </cell>
          <cell r="AF1198">
            <v>8</v>
          </cell>
          <cell r="AG1198" t="str">
            <v>CN</v>
          </cell>
          <cell r="AH1198" t="str">
            <v>AL4Đ</v>
          </cell>
          <cell r="AI1198" t="str">
            <v>UP8</v>
          </cell>
          <cell r="AJ1198" t="str">
            <v>SL</v>
          </cell>
          <cell r="AN1198">
            <v>52</v>
          </cell>
          <cell r="AO1198">
            <v>44</v>
          </cell>
          <cell r="AP1198">
            <v>4</v>
          </cell>
          <cell r="AQ1198">
            <v>1</v>
          </cell>
          <cell r="AR1198">
            <v>0</v>
          </cell>
          <cell r="AS1198">
            <v>8</v>
          </cell>
          <cell r="AT1198">
            <v>0</v>
          </cell>
          <cell r="AU1198">
            <v>0</v>
          </cell>
          <cell r="AV1198">
            <v>0</v>
          </cell>
          <cell r="AW1198">
            <v>0</v>
          </cell>
          <cell r="AX1198">
            <v>0</v>
          </cell>
          <cell r="AY1198">
            <v>56</v>
          </cell>
          <cell r="AZ1198">
            <v>0</v>
          </cell>
          <cell r="BA1198">
            <v>24</v>
          </cell>
          <cell r="BB1198">
            <v>0</v>
          </cell>
          <cell r="BC1198">
            <v>0</v>
          </cell>
          <cell r="BD1198">
            <v>0</v>
          </cell>
          <cell r="BE1198">
            <v>0</v>
          </cell>
          <cell r="BF1198">
            <v>0</v>
          </cell>
          <cell r="BG1198">
            <v>120</v>
          </cell>
          <cell r="BH1198">
            <v>3</v>
          </cell>
          <cell r="BI1198">
            <v>3</v>
          </cell>
          <cell r="BJ1198">
            <v>0</v>
          </cell>
          <cell r="BL1198">
            <v>0</v>
          </cell>
          <cell r="BM1198">
            <v>0</v>
          </cell>
          <cell r="BN1198">
            <v>0</v>
          </cell>
          <cell r="BO1198">
            <v>0</v>
          </cell>
          <cell r="BP1198">
            <v>0</v>
          </cell>
          <cell r="BQ1198">
            <v>0</v>
          </cell>
          <cell r="BR1198">
            <v>0</v>
          </cell>
          <cell r="BS1198">
            <v>0</v>
          </cell>
          <cell r="BT1198">
            <v>0</v>
          </cell>
          <cell r="BU1198">
            <v>0</v>
          </cell>
          <cell r="BV1198">
            <v>0</v>
          </cell>
          <cell r="BW1198">
            <v>0</v>
          </cell>
          <cell r="BX1198">
            <v>0</v>
          </cell>
          <cell r="BY1198">
            <v>0</v>
          </cell>
          <cell r="BZ1198">
            <v>4</v>
          </cell>
          <cell r="CA1198">
            <v>4</v>
          </cell>
          <cell r="CB1198">
            <v>4</v>
          </cell>
          <cell r="CC1198">
            <v>0</v>
          </cell>
          <cell r="CD1198">
            <v>2</v>
          </cell>
          <cell r="CE1198">
            <v>0</v>
          </cell>
          <cell r="CF1198">
            <v>0</v>
          </cell>
          <cell r="CG1198">
            <v>0</v>
          </cell>
          <cell r="CH1198">
            <v>0</v>
          </cell>
          <cell r="CI1198">
            <v>0</v>
          </cell>
          <cell r="CJ1198">
            <v>0</v>
          </cell>
          <cell r="CK1198">
            <v>0</v>
          </cell>
          <cell r="CL1198">
            <v>0</v>
          </cell>
          <cell r="CM1198">
            <v>0</v>
          </cell>
          <cell r="CR1198">
            <v>0</v>
          </cell>
          <cell r="CS1198">
            <v>0</v>
          </cell>
          <cell r="CT1198">
            <v>14</v>
          </cell>
          <cell r="CU1198">
            <v>0</v>
          </cell>
          <cell r="CV1198">
            <v>0</v>
          </cell>
          <cell r="CZ1198">
            <v>14</v>
          </cell>
        </row>
        <row r="1199">
          <cell r="C1199" t="str">
            <v>04912</v>
          </cell>
          <cell r="D1199" t="str">
            <v>Lê Ngọc Như</v>
          </cell>
          <cell r="E1199" t="str">
            <v>QC</v>
          </cell>
          <cell r="F1199" t="str">
            <v>QC</v>
          </cell>
          <cell r="G1199" t="str">
            <v xml:space="preserve">Junior Staff </v>
          </cell>
          <cell r="H1199">
            <v>46007</v>
          </cell>
          <cell r="I1199">
            <v>8</v>
          </cell>
          <cell r="J1199">
            <v>8</v>
          </cell>
          <cell r="K1199" t="str">
            <v>PO</v>
          </cell>
          <cell r="L1199" t="str">
            <v>CN</v>
          </cell>
          <cell r="M1199">
            <v>8</v>
          </cell>
          <cell r="N1199">
            <v>8</v>
          </cell>
          <cell r="O1199">
            <v>8</v>
          </cell>
          <cell r="P1199">
            <v>8</v>
          </cell>
          <cell r="Q1199">
            <v>8</v>
          </cell>
          <cell r="R1199" t="str">
            <v>PO</v>
          </cell>
          <cell r="S1199" t="str">
            <v>CN</v>
          </cell>
          <cell r="T1199">
            <v>8</v>
          </cell>
          <cell r="U1199">
            <v>8</v>
          </cell>
          <cell r="V1199">
            <v>8</v>
          </cell>
          <cell r="W1199">
            <v>8</v>
          </cell>
          <cell r="X1199">
            <v>8</v>
          </cell>
          <cell r="Y1199" t="str">
            <v>PO</v>
          </cell>
          <cell r="Z1199" t="str">
            <v>CN</v>
          </cell>
          <cell r="AA1199">
            <v>8</v>
          </cell>
          <cell r="AB1199">
            <v>8</v>
          </cell>
          <cell r="AC1199">
            <v>8</v>
          </cell>
          <cell r="AD1199">
            <v>8</v>
          </cell>
          <cell r="AE1199">
            <v>8</v>
          </cell>
          <cell r="AF1199" t="str">
            <v>PO</v>
          </cell>
          <cell r="AG1199" t="str">
            <v>CN</v>
          </cell>
          <cell r="AH1199">
            <v>8</v>
          </cell>
          <cell r="AI1199">
            <v>8</v>
          </cell>
          <cell r="AJ1199">
            <v>8</v>
          </cell>
          <cell r="AN1199">
            <v>0</v>
          </cell>
          <cell r="AO1199">
            <v>160</v>
          </cell>
          <cell r="AP1199">
            <v>0</v>
          </cell>
          <cell r="AQ1199">
            <v>0</v>
          </cell>
          <cell r="AR1199">
            <v>0</v>
          </cell>
          <cell r="AS1199">
            <v>0</v>
          </cell>
          <cell r="AT1199">
            <v>0</v>
          </cell>
          <cell r="AU1199">
            <v>0</v>
          </cell>
          <cell r="AV1199">
            <v>32</v>
          </cell>
          <cell r="AW1199">
            <v>0</v>
          </cell>
          <cell r="AX1199">
            <v>0</v>
          </cell>
          <cell r="AY1199">
            <v>0</v>
          </cell>
          <cell r="AZ1199">
            <v>0</v>
          </cell>
          <cell r="BA1199">
            <v>0</v>
          </cell>
          <cell r="BB1199">
            <v>0</v>
          </cell>
          <cell r="BC1199">
            <v>0</v>
          </cell>
          <cell r="BD1199">
            <v>0</v>
          </cell>
          <cell r="BE1199">
            <v>0</v>
          </cell>
          <cell r="BF1199">
            <v>0</v>
          </cell>
          <cell r="BG1199">
            <v>192</v>
          </cell>
          <cell r="BH1199">
            <v>0</v>
          </cell>
          <cell r="BI1199">
            <v>0</v>
          </cell>
          <cell r="BJ1199">
            <v>3</v>
          </cell>
          <cell r="BL1199">
            <v>0</v>
          </cell>
          <cell r="BM1199">
            <v>0</v>
          </cell>
          <cell r="BN1199">
            <v>0</v>
          </cell>
          <cell r="BO1199">
            <v>0</v>
          </cell>
          <cell r="BP1199">
            <v>0</v>
          </cell>
          <cell r="BQ1199">
            <v>0</v>
          </cell>
          <cell r="BR1199">
            <v>0</v>
          </cell>
          <cell r="BS1199">
            <v>0</v>
          </cell>
          <cell r="BT1199">
            <v>0</v>
          </cell>
          <cell r="BU1199">
            <v>0</v>
          </cell>
          <cell r="BV1199">
            <v>0</v>
          </cell>
          <cell r="BW1199">
            <v>0</v>
          </cell>
          <cell r="BX1199">
            <v>0</v>
          </cell>
          <cell r="BY1199">
            <v>0</v>
          </cell>
          <cell r="BZ1199">
            <v>0</v>
          </cell>
          <cell r="CA1199">
            <v>0</v>
          </cell>
          <cell r="CB1199">
            <v>0</v>
          </cell>
          <cell r="CC1199">
            <v>0</v>
          </cell>
          <cell r="CD1199">
            <v>0</v>
          </cell>
          <cell r="CE1199">
            <v>0</v>
          </cell>
          <cell r="CF1199">
            <v>0</v>
          </cell>
          <cell r="CG1199">
            <v>0</v>
          </cell>
          <cell r="CH1199">
            <v>0</v>
          </cell>
          <cell r="CI1199">
            <v>0</v>
          </cell>
          <cell r="CJ1199">
            <v>0</v>
          </cell>
          <cell r="CK1199">
            <v>0</v>
          </cell>
          <cell r="CL1199">
            <v>0</v>
          </cell>
          <cell r="CM1199">
            <v>0</v>
          </cell>
          <cell r="CR1199">
            <v>0</v>
          </cell>
          <cell r="CS1199">
            <v>0</v>
          </cell>
          <cell r="CT1199">
            <v>0</v>
          </cell>
          <cell r="CU1199">
            <v>0</v>
          </cell>
          <cell r="CV1199">
            <v>0</v>
          </cell>
          <cell r="CZ1199">
            <v>0</v>
          </cell>
        </row>
        <row r="1200">
          <cell r="C1200" t="str">
            <v>04915</v>
          </cell>
          <cell r="D1200" t="str">
            <v>Nguyễn Thị Kiều Trang</v>
          </cell>
          <cell r="E1200" t="str">
            <v>Production</v>
          </cell>
          <cell r="F1200" t="str">
            <v>Packing</v>
          </cell>
          <cell r="G1200" t="str">
            <v>Worker</v>
          </cell>
          <cell r="H1200">
            <v>46010</v>
          </cell>
          <cell r="I1200">
            <v>8</v>
          </cell>
          <cell r="J1200">
            <v>8</v>
          </cell>
          <cell r="K1200">
            <v>8</v>
          </cell>
          <cell r="L1200" t="str">
            <v>CN</v>
          </cell>
          <cell r="M1200" t="str">
            <v>Đ</v>
          </cell>
          <cell r="N1200" t="str">
            <v>Đ</v>
          </cell>
          <cell r="O1200" t="str">
            <v>Đ</v>
          </cell>
          <cell r="P1200" t="str">
            <v>Đ</v>
          </cell>
          <cell r="Q1200" t="str">
            <v>Đ</v>
          </cell>
          <cell r="R1200" t="str">
            <v>Đ</v>
          </cell>
          <cell r="S1200" t="str">
            <v>CN</v>
          </cell>
          <cell r="T1200">
            <v>8</v>
          </cell>
          <cell r="U1200" t="str">
            <v>SL</v>
          </cell>
          <cell r="V1200">
            <v>8</v>
          </cell>
          <cell r="W1200">
            <v>8</v>
          </cell>
          <cell r="X1200">
            <v>8</v>
          </cell>
          <cell r="Y1200">
            <v>8</v>
          </cell>
          <cell r="Z1200" t="str">
            <v>CN</v>
          </cell>
          <cell r="AA1200" t="str">
            <v>AL8</v>
          </cell>
          <cell r="AB1200" t="str">
            <v>Đ</v>
          </cell>
          <cell r="AC1200" t="str">
            <v>Đ</v>
          </cell>
          <cell r="AD1200" t="str">
            <v>Đ</v>
          </cell>
          <cell r="AE1200" t="str">
            <v>Đ</v>
          </cell>
          <cell r="AF1200" t="str">
            <v>Đ</v>
          </cell>
          <cell r="AG1200" t="str">
            <v>CN</v>
          </cell>
          <cell r="AH1200">
            <v>8</v>
          </cell>
          <cell r="AI1200">
            <v>8</v>
          </cell>
          <cell r="AJ1200">
            <v>8</v>
          </cell>
          <cell r="AN1200">
            <v>88</v>
          </cell>
          <cell r="AO1200">
            <v>88</v>
          </cell>
          <cell r="AP1200">
            <v>0</v>
          </cell>
          <cell r="AQ1200">
            <v>1</v>
          </cell>
          <cell r="AR1200">
            <v>0</v>
          </cell>
          <cell r="AS1200">
            <v>0</v>
          </cell>
          <cell r="AT1200">
            <v>0</v>
          </cell>
          <cell r="AU1200">
            <v>0</v>
          </cell>
          <cell r="AV1200">
            <v>0</v>
          </cell>
          <cell r="AW1200">
            <v>0</v>
          </cell>
          <cell r="AX1200">
            <v>0</v>
          </cell>
          <cell r="AY1200">
            <v>0</v>
          </cell>
          <cell r="AZ1200">
            <v>0</v>
          </cell>
          <cell r="BA1200">
            <v>8</v>
          </cell>
          <cell r="BB1200">
            <v>0</v>
          </cell>
          <cell r="BC1200">
            <v>0</v>
          </cell>
          <cell r="BD1200">
            <v>0</v>
          </cell>
          <cell r="BE1200">
            <v>0</v>
          </cell>
          <cell r="BF1200">
            <v>0</v>
          </cell>
          <cell r="BG1200">
            <v>184</v>
          </cell>
          <cell r="BH1200">
            <v>1</v>
          </cell>
          <cell r="BI1200">
            <v>1</v>
          </cell>
          <cell r="BJ1200">
            <v>2</v>
          </cell>
          <cell r="BL1200">
            <v>0</v>
          </cell>
          <cell r="BM1200">
            <v>1.5</v>
          </cell>
          <cell r="BN1200">
            <v>0</v>
          </cell>
          <cell r="BO1200">
            <v>0</v>
          </cell>
          <cell r="BP1200">
            <v>1.5</v>
          </cell>
          <cell r="BQ1200">
            <v>0</v>
          </cell>
          <cell r="BR1200">
            <v>0</v>
          </cell>
          <cell r="BS1200">
            <v>4</v>
          </cell>
          <cell r="BT1200">
            <v>4</v>
          </cell>
          <cell r="BU1200">
            <v>4</v>
          </cell>
          <cell r="BV1200">
            <v>0</v>
          </cell>
          <cell r="BW1200">
            <v>3</v>
          </cell>
          <cell r="BX1200">
            <v>0</v>
          </cell>
          <cell r="BY1200">
            <v>3</v>
          </cell>
          <cell r="BZ1200">
            <v>3</v>
          </cell>
          <cell r="CA1200">
            <v>3</v>
          </cell>
          <cell r="CB1200">
            <v>0</v>
          </cell>
          <cell r="CC1200">
            <v>8</v>
          </cell>
          <cell r="CD1200">
            <v>0</v>
          </cell>
          <cell r="CE1200">
            <v>4</v>
          </cell>
          <cell r="CF1200">
            <v>4</v>
          </cell>
          <cell r="CG1200">
            <v>4</v>
          </cell>
          <cell r="CH1200">
            <v>4</v>
          </cell>
          <cell r="CI1200">
            <v>4</v>
          </cell>
          <cell r="CJ1200">
            <v>0</v>
          </cell>
          <cell r="CK1200">
            <v>3</v>
          </cell>
          <cell r="CL1200">
            <v>0</v>
          </cell>
          <cell r="CM1200">
            <v>3</v>
          </cell>
          <cell r="CR1200">
            <v>0</v>
          </cell>
          <cell r="CS1200">
            <v>0</v>
          </cell>
          <cell r="CT1200">
            <v>53</v>
          </cell>
          <cell r="CU1200">
            <v>8</v>
          </cell>
          <cell r="CV1200">
            <v>0</v>
          </cell>
          <cell r="CZ1200">
            <v>61</v>
          </cell>
        </row>
        <row r="1201">
          <cell r="C1201" t="str">
            <v>04916</v>
          </cell>
          <cell r="D1201" t="str">
            <v>Trần Thị Thúy Kiều Nga</v>
          </cell>
          <cell r="E1201" t="str">
            <v>Production</v>
          </cell>
          <cell r="F1201" t="str">
            <v>Die cut</v>
          </cell>
          <cell r="G1201" t="str">
            <v>Worker</v>
          </cell>
          <cell r="H1201">
            <v>46010</v>
          </cell>
          <cell r="I1201" t="str">
            <v>Đ</v>
          </cell>
          <cell r="J1201" t="str">
            <v>Đ</v>
          </cell>
          <cell r="K1201" t="str">
            <v>Đ</v>
          </cell>
          <cell r="L1201" t="str">
            <v>CN</v>
          </cell>
          <cell r="M1201">
            <v>8</v>
          </cell>
          <cell r="N1201">
            <v>8</v>
          </cell>
          <cell r="O1201">
            <v>8</v>
          </cell>
          <cell r="P1201">
            <v>8</v>
          </cell>
          <cell r="Q1201">
            <v>8</v>
          </cell>
          <cell r="R1201" t="str">
            <v>AL8</v>
          </cell>
          <cell r="S1201" t="str">
            <v>CN</v>
          </cell>
          <cell r="T1201" t="str">
            <v>Đ</v>
          </cell>
          <cell r="U1201" t="str">
            <v>Đ</v>
          </cell>
          <cell r="V1201" t="str">
            <v>Đ</v>
          </cell>
          <cell r="W1201" t="str">
            <v>Đ</v>
          </cell>
          <cell r="X1201" t="str">
            <v>Đ</v>
          </cell>
          <cell r="Y1201" t="str">
            <v>Đ</v>
          </cell>
          <cell r="Z1201" t="str">
            <v>CN</v>
          </cell>
          <cell r="AA1201">
            <v>8</v>
          </cell>
          <cell r="AB1201">
            <v>8</v>
          </cell>
          <cell r="AC1201">
            <v>8</v>
          </cell>
          <cell r="AD1201">
            <v>8</v>
          </cell>
          <cell r="AE1201">
            <v>8</v>
          </cell>
          <cell r="AF1201">
            <v>8</v>
          </cell>
          <cell r="AG1201" t="str">
            <v>CN</v>
          </cell>
          <cell r="AH1201" t="str">
            <v>Đ</v>
          </cell>
          <cell r="AI1201" t="str">
            <v>Đ</v>
          </cell>
          <cell r="AJ1201" t="str">
            <v>Đ</v>
          </cell>
          <cell r="AN1201">
            <v>96</v>
          </cell>
          <cell r="AO1201">
            <v>88</v>
          </cell>
          <cell r="AP1201">
            <v>0</v>
          </cell>
          <cell r="AQ1201">
            <v>0</v>
          </cell>
          <cell r="AR1201">
            <v>0</v>
          </cell>
          <cell r="AS1201">
            <v>0</v>
          </cell>
          <cell r="AT1201">
            <v>0</v>
          </cell>
          <cell r="AU1201">
            <v>0</v>
          </cell>
          <cell r="AV1201">
            <v>0</v>
          </cell>
          <cell r="AW1201">
            <v>0</v>
          </cell>
          <cell r="AX1201">
            <v>0</v>
          </cell>
          <cell r="AY1201">
            <v>0</v>
          </cell>
          <cell r="AZ1201">
            <v>0</v>
          </cell>
          <cell r="BA1201">
            <v>8</v>
          </cell>
          <cell r="BB1201">
            <v>0</v>
          </cell>
          <cell r="BC1201">
            <v>0</v>
          </cell>
          <cell r="BD1201">
            <v>0</v>
          </cell>
          <cell r="BE1201">
            <v>0</v>
          </cell>
          <cell r="BF1201">
            <v>0</v>
          </cell>
          <cell r="BG1201">
            <v>192</v>
          </cell>
          <cell r="BH1201">
            <v>1</v>
          </cell>
          <cell r="BI1201">
            <v>1</v>
          </cell>
          <cell r="BJ1201">
            <v>2</v>
          </cell>
          <cell r="BL1201">
            <v>0</v>
          </cell>
          <cell r="BM1201">
            <v>1.5</v>
          </cell>
          <cell r="BN1201">
            <v>1.5</v>
          </cell>
          <cell r="BO1201">
            <v>0</v>
          </cell>
          <cell r="BP1201">
            <v>1.5</v>
          </cell>
          <cell r="BQ1201">
            <v>3</v>
          </cell>
          <cell r="BR1201">
            <v>0</v>
          </cell>
          <cell r="BS1201">
            <v>3</v>
          </cell>
          <cell r="BT1201">
            <v>3</v>
          </cell>
          <cell r="BU1201">
            <v>0</v>
          </cell>
          <cell r="BV1201">
            <v>0</v>
          </cell>
          <cell r="BW1201">
            <v>3</v>
          </cell>
          <cell r="BX1201">
            <v>3</v>
          </cell>
          <cell r="BY1201">
            <v>4</v>
          </cell>
          <cell r="BZ1201">
            <v>4</v>
          </cell>
          <cell r="CA1201">
            <v>4</v>
          </cell>
          <cell r="CB1201">
            <v>4</v>
          </cell>
          <cell r="CC1201">
            <v>0</v>
          </cell>
          <cell r="CD1201">
            <v>3</v>
          </cell>
          <cell r="CE1201">
            <v>3</v>
          </cell>
          <cell r="CF1201">
            <v>3</v>
          </cell>
          <cell r="CG1201">
            <v>3</v>
          </cell>
          <cell r="CH1201">
            <v>3</v>
          </cell>
          <cell r="CI1201">
            <v>3</v>
          </cell>
          <cell r="CJ1201">
            <v>8</v>
          </cell>
          <cell r="CK1201">
            <v>4</v>
          </cell>
          <cell r="CL1201">
            <v>4</v>
          </cell>
          <cell r="CM1201">
            <v>4</v>
          </cell>
          <cell r="CR1201">
            <v>0</v>
          </cell>
          <cell r="CS1201">
            <v>0</v>
          </cell>
          <cell r="CT1201">
            <v>65.5</v>
          </cell>
          <cell r="CU1201">
            <v>8</v>
          </cell>
          <cell r="CV1201">
            <v>0</v>
          </cell>
          <cell r="CZ1201">
            <v>73.5</v>
          </cell>
        </row>
        <row r="1202">
          <cell r="C1202" t="str">
            <v>04917</v>
          </cell>
          <cell r="D1202" t="str">
            <v>Nguyễn Quốc Vỉnh</v>
          </cell>
          <cell r="E1202" t="str">
            <v>Production</v>
          </cell>
          <cell r="F1202" t="str">
            <v>Lamination</v>
          </cell>
          <cell r="G1202" t="str">
            <v>Worker</v>
          </cell>
          <cell r="H1202">
            <v>46010</v>
          </cell>
          <cell r="I1202">
            <v>8</v>
          </cell>
          <cell r="J1202">
            <v>8</v>
          </cell>
          <cell r="K1202">
            <v>8</v>
          </cell>
          <cell r="L1202" t="str">
            <v>CN</v>
          </cell>
          <cell r="M1202" t="str">
            <v>Đ</v>
          </cell>
          <cell r="N1202" t="str">
            <v>Đ</v>
          </cell>
          <cell r="O1202" t="str">
            <v>Đ</v>
          </cell>
          <cell r="P1202" t="str">
            <v>Đ</v>
          </cell>
          <cell r="Q1202" t="str">
            <v>Đ</v>
          </cell>
          <cell r="R1202" t="str">
            <v>Đ</v>
          </cell>
          <cell r="S1202" t="str">
            <v>CN</v>
          </cell>
          <cell r="T1202">
            <v>8</v>
          </cell>
          <cell r="U1202">
            <v>8</v>
          </cell>
          <cell r="V1202">
            <v>8</v>
          </cell>
          <cell r="W1202">
            <v>8</v>
          </cell>
          <cell r="X1202">
            <v>8</v>
          </cell>
          <cell r="Y1202" t="str">
            <v>Đ</v>
          </cell>
          <cell r="Z1202" t="str">
            <v>CN</v>
          </cell>
          <cell r="AA1202" t="str">
            <v>AL8</v>
          </cell>
          <cell r="AB1202" t="str">
            <v>AL8</v>
          </cell>
          <cell r="AC1202" t="str">
            <v>SL</v>
          </cell>
          <cell r="AD1202" t="str">
            <v>SL</v>
          </cell>
          <cell r="AE1202" t="str">
            <v>Đ</v>
          </cell>
          <cell r="AF1202" t="str">
            <v>Đ</v>
          </cell>
          <cell r="AG1202" t="str">
            <v>CN</v>
          </cell>
          <cell r="AH1202">
            <v>8</v>
          </cell>
          <cell r="AI1202">
            <v>8</v>
          </cell>
          <cell r="AJ1202" t="str">
            <v>UP4</v>
          </cell>
          <cell r="AN1202">
            <v>72</v>
          </cell>
          <cell r="AO1202">
            <v>84</v>
          </cell>
          <cell r="AP1202">
            <v>0</v>
          </cell>
          <cell r="AQ1202">
            <v>2</v>
          </cell>
          <cell r="AR1202">
            <v>4</v>
          </cell>
          <cell r="AS1202">
            <v>4</v>
          </cell>
          <cell r="AT1202">
            <v>0</v>
          </cell>
          <cell r="AU1202">
            <v>0</v>
          </cell>
          <cell r="AV1202">
            <v>0</v>
          </cell>
          <cell r="AW1202">
            <v>0</v>
          </cell>
          <cell r="AX1202">
            <v>0</v>
          </cell>
          <cell r="AY1202">
            <v>0</v>
          </cell>
          <cell r="AZ1202">
            <v>0</v>
          </cell>
          <cell r="BA1202">
            <v>16</v>
          </cell>
          <cell r="BB1202">
            <v>0</v>
          </cell>
          <cell r="BC1202">
            <v>0</v>
          </cell>
          <cell r="BD1202">
            <v>0</v>
          </cell>
          <cell r="BE1202">
            <v>0</v>
          </cell>
          <cell r="BF1202">
            <v>0</v>
          </cell>
          <cell r="BG1202">
            <v>172</v>
          </cell>
          <cell r="BH1202">
            <v>2</v>
          </cell>
          <cell r="BI1202">
            <v>2</v>
          </cell>
          <cell r="BJ1202">
            <v>0</v>
          </cell>
          <cell r="BL1202">
            <v>0</v>
          </cell>
          <cell r="BM1202">
            <v>0</v>
          </cell>
          <cell r="BN1202">
            <v>0</v>
          </cell>
          <cell r="BO1202">
            <v>0</v>
          </cell>
          <cell r="BP1202">
            <v>0</v>
          </cell>
          <cell r="BQ1202">
            <v>0</v>
          </cell>
          <cell r="BR1202">
            <v>0</v>
          </cell>
          <cell r="BS1202">
            <v>0</v>
          </cell>
          <cell r="BT1202">
            <v>0</v>
          </cell>
          <cell r="BU1202">
            <v>4</v>
          </cell>
          <cell r="BV1202">
            <v>0</v>
          </cell>
          <cell r="BW1202">
            <v>0</v>
          </cell>
          <cell r="BX1202">
            <v>0</v>
          </cell>
          <cell r="BY1202">
            <v>0</v>
          </cell>
          <cell r="BZ1202">
            <v>0</v>
          </cell>
          <cell r="CA1202">
            <v>4</v>
          </cell>
          <cell r="CB1202">
            <v>4</v>
          </cell>
          <cell r="CC1202">
            <v>0</v>
          </cell>
          <cell r="CD1202">
            <v>0</v>
          </cell>
          <cell r="CE1202">
            <v>0</v>
          </cell>
          <cell r="CF1202">
            <v>0</v>
          </cell>
          <cell r="CG1202">
            <v>0</v>
          </cell>
          <cell r="CH1202">
            <v>4</v>
          </cell>
          <cell r="CI1202">
            <v>4</v>
          </cell>
          <cell r="CJ1202">
            <v>0</v>
          </cell>
          <cell r="CK1202">
            <v>4</v>
          </cell>
          <cell r="CL1202">
            <v>0</v>
          </cell>
          <cell r="CM1202">
            <v>0</v>
          </cell>
          <cell r="CR1202">
            <v>0</v>
          </cell>
          <cell r="CS1202">
            <v>0</v>
          </cell>
          <cell r="CT1202">
            <v>24</v>
          </cell>
          <cell r="CU1202">
            <v>0</v>
          </cell>
          <cell r="CV1202">
            <v>0</v>
          </cell>
          <cell r="CZ1202">
            <v>24</v>
          </cell>
        </row>
        <row r="1203">
          <cell r="C1203" t="str">
            <v>03785</v>
          </cell>
          <cell r="D1203" t="str">
            <v>Ngô Thị Lượng</v>
          </cell>
          <cell r="E1203" t="str">
            <v>Foaming</v>
          </cell>
          <cell r="F1203" t="str">
            <v>FOAMING Splitting</v>
          </cell>
          <cell r="G1203" t="str">
            <v>Worker</v>
          </cell>
          <cell r="H1203">
            <v>44999</v>
          </cell>
          <cell r="I1203" t="str">
            <v>UP8</v>
          </cell>
          <cell r="J1203" t="str">
            <v>UP8</v>
          </cell>
          <cell r="K1203" t="str">
            <v>UP8</v>
          </cell>
          <cell r="L1203" t="str">
            <v>CN</v>
          </cell>
          <cell r="M1203" t="str">
            <v>UP8</v>
          </cell>
          <cell r="N1203" t="str">
            <v>UP8</v>
          </cell>
          <cell r="O1203" t="str">
            <v>UP8</v>
          </cell>
          <cell r="P1203" t="str">
            <v>UP8</v>
          </cell>
          <cell r="Q1203" t="str">
            <v>UP8</v>
          </cell>
          <cell r="R1203" t="str">
            <v>UP8</v>
          </cell>
          <cell r="S1203" t="str">
            <v>CN</v>
          </cell>
          <cell r="T1203" t="str">
            <v>UP8</v>
          </cell>
          <cell r="U1203" t="str">
            <v>UP8</v>
          </cell>
          <cell r="V1203" t="str">
            <v>UP8</v>
          </cell>
          <cell r="W1203" t="str">
            <v>UP8</v>
          </cell>
          <cell r="X1203" t="str">
            <v>UP8</v>
          </cell>
          <cell r="Y1203" t="str">
            <v>UP8</v>
          </cell>
          <cell r="Z1203" t="str">
            <v>CN</v>
          </cell>
          <cell r="AA1203" t="str">
            <v>UP8</v>
          </cell>
          <cell r="AB1203" t="str">
            <v>UP8</v>
          </cell>
          <cell r="AC1203" t="str">
            <v>TV</v>
          </cell>
          <cell r="AD1203" t="str">
            <v>TV</v>
          </cell>
          <cell r="AE1203" t="str">
            <v>TV</v>
          </cell>
          <cell r="AF1203" t="str">
            <v>TV</v>
          </cell>
          <cell r="AG1203" t="str">
            <v>TV</v>
          </cell>
          <cell r="AH1203" t="str">
            <v>TV</v>
          </cell>
          <cell r="AI1203" t="str">
            <v>TV</v>
          </cell>
          <cell r="AJ1203" t="str">
            <v>TV</v>
          </cell>
          <cell r="AN1203">
            <v>0</v>
          </cell>
          <cell r="AO1203">
            <v>0</v>
          </cell>
          <cell r="AP1203">
            <v>0</v>
          </cell>
          <cell r="AQ1203">
            <v>0</v>
          </cell>
          <cell r="AR1203">
            <v>0</v>
          </cell>
          <cell r="AS1203">
            <v>136</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8</v>
          </cell>
          <cell r="BL1203">
            <v>0</v>
          </cell>
          <cell r="BM1203">
            <v>0</v>
          </cell>
          <cell r="BN1203">
            <v>0</v>
          </cell>
          <cell r="BO1203">
            <v>0</v>
          </cell>
          <cell r="BP1203">
            <v>0</v>
          </cell>
          <cell r="BQ1203">
            <v>0</v>
          </cell>
          <cell r="BR1203">
            <v>0</v>
          </cell>
          <cell r="BS1203">
            <v>0</v>
          </cell>
          <cell r="BT1203">
            <v>0</v>
          </cell>
          <cell r="BU1203">
            <v>0</v>
          </cell>
          <cell r="BV1203">
            <v>0</v>
          </cell>
          <cell r="BW1203">
            <v>0</v>
          </cell>
          <cell r="BX1203">
            <v>0</v>
          </cell>
          <cell r="BY1203">
            <v>0</v>
          </cell>
          <cell r="BZ1203">
            <v>0</v>
          </cell>
          <cell r="CA1203">
            <v>0</v>
          </cell>
          <cell r="CB1203">
            <v>0</v>
          </cell>
          <cell r="CC1203">
            <v>0</v>
          </cell>
          <cell r="CD1203">
            <v>0</v>
          </cell>
          <cell r="CE1203">
            <v>0</v>
          </cell>
          <cell r="CF1203">
            <v>0</v>
          </cell>
          <cell r="CG1203">
            <v>0</v>
          </cell>
          <cell r="CH1203">
            <v>0</v>
          </cell>
          <cell r="CI1203">
            <v>0</v>
          </cell>
          <cell r="CJ1203">
            <v>0</v>
          </cell>
          <cell r="CK1203">
            <v>0</v>
          </cell>
          <cell r="CL1203">
            <v>0</v>
          </cell>
          <cell r="CM1203">
            <v>0</v>
          </cell>
          <cell r="CR1203">
            <v>0</v>
          </cell>
          <cell r="CS1203">
            <v>0</v>
          </cell>
          <cell r="CT1203">
            <v>0</v>
          </cell>
          <cell r="CU1203">
            <v>0</v>
          </cell>
          <cell r="CV1203">
            <v>0</v>
          </cell>
          <cell r="CZ1203">
            <v>0</v>
          </cell>
        </row>
        <row r="1204">
          <cell r="C1204" t="str">
            <v>02496</v>
          </cell>
          <cell r="D1204" t="str">
            <v>Lâm Thị Cẩm Tiên</v>
          </cell>
          <cell r="E1204" t="str">
            <v>Production</v>
          </cell>
          <cell r="F1204" t="str">
            <v>Logo</v>
          </cell>
          <cell r="G1204" t="str">
            <v>Worker</v>
          </cell>
          <cell r="H1204">
            <v>44081</v>
          </cell>
          <cell r="I1204">
            <v>8</v>
          </cell>
          <cell r="J1204">
            <v>8</v>
          </cell>
          <cell r="K1204">
            <v>8</v>
          </cell>
          <cell r="L1204" t="str">
            <v>CN</v>
          </cell>
          <cell r="M1204" t="str">
            <v>Đ</v>
          </cell>
          <cell r="N1204" t="str">
            <v>Đ</v>
          </cell>
          <cell r="O1204" t="str">
            <v>Đ</v>
          </cell>
          <cell r="P1204" t="str">
            <v>Đ</v>
          </cell>
          <cell r="Q1204" t="str">
            <v>Đ</v>
          </cell>
          <cell r="R1204" t="str">
            <v>Đ</v>
          </cell>
          <cell r="S1204" t="str">
            <v>CN</v>
          </cell>
          <cell r="T1204">
            <v>8</v>
          </cell>
          <cell r="U1204">
            <v>8</v>
          </cell>
          <cell r="V1204">
            <v>8</v>
          </cell>
          <cell r="W1204">
            <v>8</v>
          </cell>
          <cell r="X1204" t="str">
            <v>AL8</v>
          </cell>
          <cell r="Y1204">
            <v>8</v>
          </cell>
          <cell r="Z1204" t="str">
            <v>CN</v>
          </cell>
          <cell r="AA1204" t="str">
            <v>Đ</v>
          </cell>
          <cell r="AB1204" t="str">
            <v>Đ</v>
          </cell>
          <cell r="AC1204" t="str">
            <v>Đ</v>
          </cell>
          <cell r="AD1204" t="str">
            <v>Đ</v>
          </cell>
          <cell r="AE1204" t="str">
            <v>Đ</v>
          </cell>
          <cell r="AF1204" t="str">
            <v>Đ</v>
          </cell>
          <cell r="AG1204" t="str">
            <v>CN</v>
          </cell>
          <cell r="AH1204">
            <v>8</v>
          </cell>
          <cell r="AI1204">
            <v>8</v>
          </cell>
          <cell r="AJ1204">
            <v>8</v>
          </cell>
          <cell r="AN1204">
            <v>96</v>
          </cell>
          <cell r="AO1204">
            <v>88</v>
          </cell>
          <cell r="AP1204">
            <v>0</v>
          </cell>
          <cell r="AQ1204">
            <v>0</v>
          </cell>
          <cell r="AR1204">
            <v>0</v>
          </cell>
          <cell r="AS1204">
            <v>0</v>
          </cell>
          <cell r="AT1204">
            <v>0</v>
          </cell>
          <cell r="AU1204">
            <v>0</v>
          </cell>
          <cell r="AV1204">
            <v>0</v>
          </cell>
          <cell r="AW1204">
            <v>0</v>
          </cell>
          <cell r="AX1204">
            <v>0</v>
          </cell>
          <cell r="AY1204">
            <v>0</v>
          </cell>
          <cell r="AZ1204">
            <v>0</v>
          </cell>
          <cell r="BA1204">
            <v>8</v>
          </cell>
          <cell r="BB1204">
            <v>0</v>
          </cell>
          <cell r="BC1204">
            <v>0</v>
          </cell>
          <cell r="BD1204">
            <v>0</v>
          </cell>
          <cell r="BE1204">
            <v>0</v>
          </cell>
          <cell r="BF1204">
            <v>0</v>
          </cell>
          <cell r="BG1204">
            <v>192</v>
          </cell>
          <cell r="BH1204">
            <v>1</v>
          </cell>
          <cell r="BI1204">
            <v>1</v>
          </cell>
          <cell r="BJ1204">
            <v>6.5</v>
          </cell>
          <cell r="BL1204">
            <v>1.5</v>
          </cell>
          <cell r="BM1204">
            <v>0</v>
          </cell>
          <cell r="BN1204">
            <v>1.5</v>
          </cell>
          <cell r="BO1204">
            <v>0</v>
          </cell>
          <cell r="BP1204">
            <v>1.5</v>
          </cell>
          <cell r="BQ1204">
            <v>0</v>
          </cell>
          <cell r="BR1204">
            <v>0</v>
          </cell>
          <cell r="BS1204">
            <v>4</v>
          </cell>
          <cell r="BT1204">
            <v>3</v>
          </cell>
          <cell r="BU1204">
            <v>3</v>
          </cell>
          <cell r="BV1204">
            <v>0</v>
          </cell>
          <cell r="BW1204">
            <v>3</v>
          </cell>
          <cell r="BX1204">
            <v>3</v>
          </cell>
          <cell r="BY1204">
            <v>3</v>
          </cell>
          <cell r="BZ1204">
            <v>3</v>
          </cell>
          <cell r="CA1204">
            <v>0</v>
          </cell>
          <cell r="CB1204">
            <v>3</v>
          </cell>
          <cell r="CC1204">
            <v>8</v>
          </cell>
          <cell r="CD1204">
            <v>4</v>
          </cell>
          <cell r="CE1204">
            <v>4</v>
          </cell>
          <cell r="CF1204">
            <v>4</v>
          </cell>
          <cell r="CG1204">
            <v>4</v>
          </cell>
          <cell r="CH1204">
            <v>4</v>
          </cell>
          <cell r="CI1204">
            <v>4</v>
          </cell>
          <cell r="CJ1204">
            <v>0</v>
          </cell>
          <cell r="CK1204">
            <v>3</v>
          </cell>
          <cell r="CL1204">
            <v>3</v>
          </cell>
          <cell r="CM1204">
            <v>3</v>
          </cell>
          <cell r="CR1204">
            <v>11</v>
          </cell>
          <cell r="CS1204">
            <v>12</v>
          </cell>
          <cell r="CT1204">
            <v>62.5</v>
          </cell>
          <cell r="CU1204">
            <v>8</v>
          </cell>
          <cell r="CV1204">
            <v>0</v>
          </cell>
          <cell r="CZ1204">
            <v>70.5</v>
          </cell>
        </row>
        <row r="1205">
          <cell r="C1205" t="str">
            <v>00512</v>
          </cell>
          <cell r="D1205" t="str">
            <v>Nguyễn Thị Diễm Thúy</v>
          </cell>
          <cell r="E1205" t="str">
            <v>Production</v>
          </cell>
          <cell r="F1205" t="str">
            <v>Prefitting</v>
          </cell>
          <cell r="G1205" t="str">
            <v>Worker</v>
          </cell>
          <cell r="H1205">
            <v>42065</v>
          </cell>
          <cell r="I1205">
            <v>8</v>
          </cell>
          <cell r="J1205">
            <v>8</v>
          </cell>
          <cell r="K1205">
            <v>8</v>
          </cell>
          <cell r="L1205" t="str">
            <v>CN</v>
          </cell>
          <cell r="M1205">
            <v>8</v>
          </cell>
          <cell r="N1205">
            <v>8</v>
          </cell>
          <cell r="O1205">
            <v>8</v>
          </cell>
          <cell r="P1205">
            <v>8</v>
          </cell>
          <cell r="Q1205">
            <v>8</v>
          </cell>
          <cell r="R1205" t="str">
            <v>AL8</v>
          </cell>
          <cell r="S1205" t="str">
            <v>CN</v>
          </cell>
          <cell r="T1205">
            <v>8</v>
          </cell>
          <cell r="U1205">
            <v>8</v>
          </cell>
          <cell r="V1205">
            <v>8</v>
          </cell>
          <cell r="W1205">
            <v>8</v>
          </cell>
          <cell r="X1205">
            <v>8</v>
          </cell>
          <cell r="Y1205">
            <v>8</v>
          </cell>
          <cell r="Z1205" t="str">
            <v>CN</v>
          </cell>
          <cell r="AA1205">
            <v>8</v>
          </cell>
          <cell r="AB1205">
            <v>8</v>
          </cell>
          <cell r="AC1205">
            <v>8</v>
          </cell>
          <cell r="AD1205">
            <v>8</v>
          </cell>
          <cell r="AE1205">
            <v>8</v>
          </cell>
          <cell r="AF1205">
            <v>8</v>
          </cell>
          <cell r="AG1205" t="str">
            <v>CN</v>
          </cell>
          <cell r="AH1205">
            <v>8</v>
          </cell>
          <cell r="AI1205" t="str">
            <v>AL8</v>
          </cell>
          <cell r="AJ1205">
            <v>8</v>
          </cell>
          <cell r="AN1205">
            <v>0</v>
          </cell>
          <cell r="AO1205">
            <v>176</v>
          </cell>
          <cell r="AP1205">
            <v>0</v>
          </cell>
          <cell r="AQ1205">
            <v>0</v>
          </cell>
          <cell r="AR1205">
            <v>0</v>
          </cell>
          <cell r="AS1205">
            <v>0</v>
          </cell>
          <cell r="AT1205">
            <v>0</v>
          </cell>
          <cell r="AU1205">
            <v>0</v>
          </cell>
          <cell r="AV1205">
            <v>0</v>
          </cell>
          <cell r="AW1205">
            <v>0</v>
          </cell>
          <cell r="AX1205">
            <v>0</v>
          </cell>
          <cell r="AY1205">
            <v>0</v>
          </cell>
          <cell r="AZ1205">
            <v>0</v>
          </cell>
          <cell r="BA1205">
            <v>16</v>
          </cell>
          <cell r="BB1205">
            <v>0</v>
          </cell>
          <cell r="BC1205">
            <v>0</v>
          </cell>
          <cell r="BD1205">
            <v>0</v>
          </cell>
          <cell r="BE1205">
            <v>0</v>
          </cell>
          <cell r="BF1205">
            <v>0</v>
          </cell>
          <cell r="BG1205">
            <v>192</v>
          </cell>
          <cell r="BH1205">
            <v>2</v>
          </cell>
          <cell r="BI1205">
            <v>2</v>
          </cell>
          <cell r="BJ1205">
            <v>6</v>
          </cell>
          <cell r="BL1205">
            <v>0</v>
          </cell>
          <cell r="BM1205">
            <v>0</v>
          </cell>
          <cell r="BN1205">
            <v>0</v>
          </cell>
          <cell r="BO1205">
            <v>0</v>
          </cell>
          <cell r="BP1205">
            <v>0</v>
          </cell>
          <cell r="BQ1205">
            <v>0</v>
          </cell>
          <cell r="BR1205">
            <v>0</v>
          </cell>
          <cell r="BS1205">
            <v>0</v>
          </cell>
          <cell r="BT1205">
            <v>0</v>
          </cell>
          <cell r="BU1205">
            <v>0</v>
          </cell>
          <cell r="BV1205">
            <v>0</v>
          </cell>
          <cell r="BW1205">
            <v>0</v>
          </cell>
          <cell r="BX1205">
            <v>0</v>
          </cell>
          <cell r="BY1205">
            <v>0</v>
          </cell>
          <cell r="BZ1205">
            <v>0</v>
          </cell>
          <cell r="CA1205">
            <v>0</v>
          </cell>
          <cell r="CB1205">
            <v>0</v>
          </cell>
          <cell r="CC1205">
            <v>0</v>
          </cell>
          <cell r="CD1205">
            <v>0</v>
          </cell>
          <cell r="CE1205">
            <v>0</v>
          </cell>
          <cell r="CF1205">
            <v>0</v>
          </cell>
          <cell r="CG1205">
            <v>0</v>
          </cell>
          <cell r="CH1205">
            <v>0</v>
          </cell>
          <cell r="CI1205">
            <v>0</v>
          </cell>
          <cell r="CJ1205">
            <v>0</v>
          </cell>
          <cell r="CK1205">
            <v>0</v>
          </cell>
          <cell r="CL1205">
            <v>0</v>
          </cell>
          <cell r="CM1205">
            <v>0</v>
          </cell>
          <cell r="CR1205">
            <v>0</v>
          </cell>
          <cell r="CS1205">
            <v>0</v>
          </cell>
          <cell r="CT1205">
            <v>0</v>
          </cell>
          <cell r="CU1205">
            <v>0</v>
          </cell>
          <cell r="CV1205">
            <v>0</v>
          </cell>
          <cell r="CZ1205">
            <v>0</v>
          </cell>
        </row>
        <row r="1206">
          <cell r="C1206" t="str">
            <v>04920</v>
          </cell>
          <cell r="D1206" t="str">
            <v>Trần Văn Nghĩa</v>
          </cell>
          <cell r="E1206" t="str">
            <v>Production</v>
          </cell>
          <cell r="F1206" t="str">
            <v>Lamination</v>
          </cell>
          <cell r="G1206" t="str">
            <v>Worker</v>
          </cell>
          <cell r="H1206">
            <v>46027</v>
          </cell>
          <cell r="I1206">
            <v>8</v>
          </cell>
          <cell r="J1206">
            <v>8</v>
          </cell>
          <cell r="K1206">
            <v>8</v>
          </cell>
          <cell r="L1206" t="str">
            <v>CN</v>
          </cell>
          <cell r="M1206">
            <v>8</v>
          </cell>
          <cell r="N1206">
            <v>8</v>
          </cell>
          <cell r="O1206">
            <v>8</v>
          </cell>
          <cell r="P1206">
            <v>8</v>
          </cell>
          <cell r="Q1206">
            <v>8</v>
          </cell>
          <cell r="R1206" t="str">
            <v>AL4</v>
          </cell>
          <cell r="S1206" t="str">
            <v>CN</v>
          </cell>
          <cell r="T1206" t="str">
            <v>Đ</v>
          </cell>
          <cell r="U1206" t="str">
            <v>Đ</v>
          </cell>
          <cell r="V1206" t="str">
            <v>Đ</v>
          </cell>
          <cell r="W1206" t="str">
            <v>Đ</v>
          </cell>
          <cell r="X1206" t="str">
            <v>Đ</v>
          </cell>
          <cell r="Y1206" t="str">
            <v>Đ</v>
          </cell>
          <cell r="Z1206" t="str">
            <v>CN</v>
          </cell>
          <cell r="AA1206" t="str">
            <v>Đ</v>
          </cell>
          <cell r="AB1206" t="str">
            <v>Đ</v>
          </cell>
          <cell r="AC1206" t="str">
            <v>Đ</v>
          </cell>
          <cell r="AD1206" t="str">
            <v>Đ</v>
          </cell>
          <cell r="AE1206" t="str">
            <v>CN</v>
          </cell>
          <cell r="AF1206">
            <v>8</v>
          </cell>
          <cell r="AG1206" t="str">
            <v>Đ</v>
          </cell>
          <cell r="AH1206" t="str">
            <v>Đ</v>
          </cell>
          <cell r="AI1206" t="str">
            <v>Đ</v>
          </cell>
          <cell r="AJ1206" t="str">
            <v>Đ</v>
          </cell>
          <cell r="AN1206">
            <v>112</v>
          </cell>
          <cell r="AO1206">
            <v>76</v>
          </cell>
          <cell r="AP1206">
            <v>4</v>
          </cell>
          <cell r="AQ1206">
            <v>0</v>
          </cell>
          <cell r="AR1206">
            <v>0</v>
          </cell>
          <cell r="AS1206">
            <v>0</v>
          </cell>
          <cell r="AT1206">
            <v>0</v>
          </cell>
          <cell r="AU1206">
            <v>0</v>
          </cell>
          <cell r="AV1206">
            <v>0</v>
          </cell>
          <cell r="AW1206">
            <v>0</v>
          </cell>
          <cell r="AX1206">
            <v>0</v>
          </cell>
          <cell r="AY1206">
            <v>0</v>
          </cell>
          <cell r="AZ1206">
            <v>0</v>
          </cell>
          <cell r="BA1206">
            <v>4</v>
          </cell>
          <cell r="BB1206">
            <v>0</v>
          </cell>
          <cell r="BC1206">
            <v>0</v>
          </cell>
          <cell r="BD1206">
            <v>0</v>
          </cell>
          <cell r="BE1206">
            <v>0</v>
          </cell>
          <cell r="BF1206">
            <v>0</v>
          </cell>
          <cell r="BG1206">
            <v>192</v>
          </cell>
          <cell r="BH1206">
            <v>0.5</v>
          </cell>
          <cell r="BI1206">
            <v>0.5</v>
          </cell>
          <cell r="BJ1206">
            <v>4.5</v>
          </cell>
          <cell r="BL1206">
            <v>0</v>
          </cell>
          <cell r="BM1206">
            <v>0</v>
          </cell>
          <cell r="BN1206">
            <v>0</v>
          </cell>
          <cell r="BO1206">
            <v>0</v>
          </cell>
          <cell r="BP1206">
            <v>0</v>
          </cell>
          <cell r="BQ1206">
            <v>0</v>
          </cell>
          <cell r="BR1206">
            <v>4</v>
          </cell>
          <cell r="BS1206">
            <v>0</v>
          </cell>
          <cell r="BT1206">
            <v>4</v>
          </cell>
          <cell r="BU1206">
            <v>0</v>
          </cell>
          <cell r="BV1206">
            <v>0</v>
          </cell>
          <cell r="BW1206">
            <v>0</v>
          </cell>
          <cell r="BX1206">
            <v>0</v>
          </cell>
          <cell r="BY1206">
            <v>0</v>
          </cell>
          <cell r="BZ1206">
            <v>0</v>
          </cell>
          <cell r="CA1206">
            <v>4</v>
          </cell>
          <cell r="CB1206">
            <v>4</v>
          </cell>
          <cell r="CC1206">
            <v>0</v>
          </cell>
          <cell r="CD1206">
            <v>0</v>
          </cell>
          <cell r="CE1206">
            <v>0</v>
          </cell>
          <cell r="CF1206">
            <v>4</v>
          </cell>
          <cell r="CG1206">
            <v>0</v>
          </cell>
          <cell r="CH1206">
            <v>0</v>
          </cell>
          <cell r="CI1206">
            <v>4</v>
          </cell>
          <cell r="CJ1206">
            <v>4</v>
          </cell>
          <cell r="CK1206">
            <v>0</v>
          </cell>
          <cell r="CL1206">
            <v>0</v>
          </cell>
          <cell r="CM1206">
            <v>4</v>
          </cell>
          <cell r="CR1206">
            <v>0</v>
          </cell>
          <cell r="CS1206">
            <v>0</v>
          </cell>
          <cell r="CT1206">
            <v>32</v>
          </cell>
          <cell r="CU1206">
            <v>0</v>
          </cell>
          <cell r="CV1206">
            <v>0</v>
          </cell>
          <cell r="CZ1206">
            <v>32</v>
          </cell>
        </row>
        <row r="1207">
          <cell r="C1207" t="str">
            <v>04921</v>
          </cell>
          <cell r="D1207" t="str">
            <v>Huỳnh Hữu Trí</v>
          </cell>
          <cell r="E1207" t="str">
            <v>Production</v>
          </cell>
          <cell r="F1207" t="str">
            <v>Lamination</v>
          </cell>
          <cell r="G1207" t="str">
            <v>Worker</v>
          </cell>
          <cell r="H1207">
            <v>46027</v>
          </cell>
          <cell r="I1207">
            <v>8</v>
          </cell>
          <cell r="J1207">
            <v>8</v>
          </cell>
          <cell r="K1207" t="str">
            <v>AL8</v>
          </cell>
          <cell r="L1207" t="str">
            <v>CN</v>
          </cell>
          <cell r="M1207" t="str">
            <v>Đ</v>
          </cell>
          <cell r="N1207" t="str">
            <v>Đ</v>
          </cell>
          <cell r="O1207" t="str">
            <v>Đ</v>
          </cell>
          <cell r="P1207" t="str">
            <v>Đ</v>
          </cell>
          <cell r="Q1207" t="str">
            <v>Đ</v>
          </cell>
          <cell r="R1207" t="str">
            <v>Đ</v>
          </cell>
          <cell r="S1207" t="str">
            <v>CN</v>
          </cell>
          <cell r="T1207">
            <v>8</v>
          </cell>
          <cell r="U1207">
            <v>8</v>
          </cell>
          <cell r="V1207">
            <v>8</v>
          </cell>
          <cell r="W1207">
            <v>8</v>
          </cell>
          <cell r="X1207">
            <v>8</v>
          </cell>
          <cell r="Y1207">
            <v>8</v>
          </cell>
          <cell r="Z1207" t="str">
            <v>CN</v>
          </cell>
          <cell r="AA1207">
            <v>8</v>
          </cell>
          <cell r="AB1207">
            <v>8</v>
          </cell>
          <cell r="AC1207">
            <v>8</v>
          </cell>
          <cell r="AD1207">
            <v>8</v>
          </cell>
          <cell r="AE1207" t="str">
            <v>Đ</v>
          </cell>
          <cell r="AF1207" t="str">
            <v>Đ</v>
          </cell>
          <cell r="AG1207" t="str">
            <v>CN</v>
          </cell>
          <cell r="AH1207">
            <v>8</v>
          </cell>
          <cell r="AI1207">
            <v>8</v>
          </cell>
          <cell r="AJ1207">
            <v>8</v>
          </cell>
          <cell r="AN1207">
            <v>64</v>
          </cell>
          <cell r="AO1207">
            <v>120</v>
          </cell>
          <cell r="AP1207">
            <v>0</v>
          </cell>
          <cell r="AQ1207">
            <v>0</v>
          </cell>
          <cell r="AR1207">
            <v>0</v>
          </cell>
          <cell r="AS1207">
            <v>0</v>
          </cell>
          <cell r="AT1207">
            <v>0</v>
          </cell>
          <cell r="AU1207">
            <v>0</v>
          </cell>
          <cell r="AV1207">
            <v>0</v>
          </cell>
          <cell r="AW1207">
            <v>0</v>
          </cell>
          <cell r="AX1207">
            <v>0</v>
          </cell>
          <cell r="AY1207">
            <v>0</v>
          </cell>
          <cell r="AZ1207">
            <v>0</v>
          </cell>
          <cell r="BA1207">
            <v>8</v>
          </cell>
          <cell r="BB1207">
            <v>0</v>
          </cell>
          <cell r="BC1207">
            <v>0</v>
          </cell>
          <cell r="BD1207">
            <v>0</v>
          </cell>
          <cell r="BE1207">
            <v>0</v>
          </cell>
          <cell r="BF1207">
            <v>0</v>
          </cell>
          <cell r="BG1207">
            <v>192</v>
          </cell>
          <cell r="BH1207">
            <v>1</v>
          </cell>
          <cell r="BI1207">
            <v>1</v>
          </cell>
          <cell r="BJ1207">
            <v>4</v>
          </cell>
          <cell r="BL1207">
            <v>0</v>
          </cell>
          <cell r="BM1207">
            <v>4</v>
          </cell>
          <cell r="BN1207">
            <v>0</v>
          </cell>
          <cell r="BO1207">
            <v>0</v>
          </cell>
          <cell r="BP1207">
            <v>4</v>
          </cell>
          <cell r="BQ1207">
            <v>0</v>
          </cell>
          <cell r="BR1207">
            <v>0</v>
          </cell>
          <cell r="BS1207">
            <v>0</v>
          </cell>
          <cell r="BT1207">
            <v>0</v>
          </cell>
          <cell r="BU1207">
            <v>0</v>
          </cell>
          <cell r="BV1207">
            <v>0</v>
          </cell>
          <cell r="BW1207">
            <v>4</v>
          </cell>
          <cell r="BX1207">
            <v>4</v>
          </cell>
          <cell r="BY1207">
            <v>0</v>
          </cell>
          <cell r="BZ1207">
            <v>0</v>
          </cell>
          <cell r="CA1207">
            <v>4</v>
          </cell>
          <cell r="CB1207">
            <v>0</v>
          </cell>
          <cell r="CC1207">
            <v>0</v>
          </cell>
          <cell r="CD1207">
            <v>4</v>
          </cell>
          <cell r="CE1207">
            <v>0</v>
          </cell>
          <cell r="CF1207">
            <v>0</v>
          </cell>
          <cell r="CG1207">
            <v>0</v>
          </cell>
          <cell r="CH1207">
            <v>4</v>
          </cell>
          <cell r="CI1207">
            <v>4</v>
          </cell>
          <cell r="CJ1207">
            <v>0</v>
          </cell>
          <cell r="CK1207">
            <v>0</v>
          </cell>
          <cell r="CL1207">
            <v>4</v>
          </cell>
          <cell r="CM1207">
            <v>0</v>
          </cell>
          <cell r="CR1207">
            <v>0</v>
          </cell>
          <cell r="CS1207">
            <v>0</v>
          </cell>
          <cell r="CT1207">
            <v>36</v>
          </cell>
          <cell r="CU1207">
            <v>0</v>
          </cell>
          <cell r="CV1207">
            <v>0</v>
          </cell>
          <cell r="CZ1207">
            <v>36</v>
          </cell>
        </row>
        <row r="1208">
          <cell r="C1208" t="str">
            <v>04922</v>
          </cell>
          <cell r="D1208" t="str">
            <v>Trần Văn Lợi</v>
          </cell>
          <cell r="E1208" t="str">
            <v>Production</v>
          </cell>
          <cell r="F1208" t="str">
            <v>Die cut</v>
          </cell>
          <cell r="G1208" t="str">
            <v>Worker</v>
          </cell>
          <cell r="H1208">
            <v>46027</v>
          </cell>
          <cell r="I1208">
            <v>8</v>
          </cell>
          <cell r="J1208" t="str">
            <v>AL8</v>
          </cell>
          <cell r="K1208" t="str">
            <v>AL8</v>
          </cell>
          <cell r="L1208" t="str">
            <v>CN</v>
          </cell>
          <cell r="M1208" t="str">
            <v>Đ</v>
          </cell>
          <cell r="N1208" t="str">
            <v>Đ</v>
          </cell>
          <cell r="O1208" t="str">
            <v>Đ</v>
          </cell>
          <cell r="P1208" t="str">
            <v>Đ</v>
          </cell>
          <cell r="Q1208" t="str">
            <v>Đ</v>
          </cell>
          <cell r="R1208" t="str">
            <v>Đ</v>
          </cell>
          <cell r="S1208" t="str">
            <v>CN</v>
          </cell>
          <cell r="T1208">
            <v>8</v>
          </cell>
          <cell r="U1208">
            <v>8</v>
          </cell>
          <cell r="V1208">
            <v>8</v>
          </cell>
          <cell r="W1208">
            <v>8</v>
          </cell>
          <cell r="X1208">
            <v>8</v>
          </cell>
          <cell r="Y1208">
            <v>8</v>
          </cell>
          <cell r="Z1208" t="str">
            <v>CN</v>
          </cell>
          <cell r="AA1208" t="str">
            <v>AL4</v>
          </cell>
          <cell r="AB1208" t="str">
            <v>Đ</v>
          </cell>
          <cell r="AC1208" t="str">
            <v>Đ</v>
          </cell>
          <cell r="AD1208" t="str">
            <v>Đ</v>
          </cell>
          <cell r="AE1208" t="str">
            <v>Đ</v>
          </cell>
          <cell r="AF1208" t="str">
            <v>Đ</v>
          </cell>
          <cell r="AG1208" t="str">
            <v>CN</v>
          </cell>
          <cell r="AH1208">
            <v>8</v>
          </cell>
          <cell r="AI1208">
            <v>8</v>
          </cell>
          <cell r="AJ1208">
            <v>8</v>
          </cell>
          <cell r="AN1208">
            <v>88</v>
          </cell>
          <cell r="AO1208">
            <v>84</v>
          </cell>
          <cell r="AP1208">
            <v>4</v>
          </cell>
          <cell r="AQ1208">
            <v>0</v>
          </cell>
          <cell r="AR1208">
            <v>0</v>
          </cell>
          <cell r="AS1208">
            <v>0</v>
          </cell>
          <cell r="AT1208">
            <v>0</v>
          </cell>
          <cell r="AU1208">
            <v>0</v>
          </cell>
          <cell r="AV1208">
            <v>0</v>
          </cell>
          <cell r="AW1208">
            <v>0</v>
          </cell>
          <cell r="AX1208">
            <v>0</v>
          </cell>
          <cell r="AY1208">
            <v>0</v>
          </cell>
          <cell r="AZ1208">
            <v>0</v>
          </cell>
          <cell r="BA1208">
            <v>20</v>
          </cell>
          <cell r="BB1208">
            <v>0</v>
          </cell>
          <cell r="BC1208">
            <v>0</v>
          </cell>
          <cell r="BD1208">
            <v>0</v>
          </cell>
          <cell r="BE1208">
            <v>0</v>
          </cell>
          <cell r="BF1208">
            <v>0</v>
          </cell>
          <cell r="BG1208">
            <v>192</v>
          </cell>
          <cell r="BH1208">
            <v>2.5</v>
          </cell>
          <cell r="BI1208">
            <v>2.5</v>
          </cell>
          <cell r="BJ1208">
            <v>1.5</v>
          </cell>
          <cell r="BL1208">
            <v>1.5</v>
          </cell>
          <cell r="BM1208">
            <v>0</v>
          </cell>
          <cell r="BN1208">
            <v>0</v>
          </cell>
          <cell r="BO1208">
            <v>0</v>
          </cell>
          <cell r="BP1208">
            <v>1.5</v>
          </cell>
          <cell r="BQ1208">
            <v>0</v>
          </cell>
          <cell r="BR1208">
            <v>0</v>
          </cell>
          <cell r="BS1208">
            <v>4</v>
          </cell>
          <cell r="BT1208">
            <v>0</v>
          </cell>
          <cell r="BU1208">
            <v>4</v>
          </cell>
          <cell r="BV1208">
            <v>0</v>
          </cell>
          <cell r="BW1208">
            <v>3</v>
          </cell>
          <cell r="BX1208">
            <v>2</v>
          </cell>
          <cell r="BY1208">
            <v>3</v>
          </cell>
          <cell r="BZ1208">
            <v>3</v>
          </cell>
          <cell r="CA1208">
            <v>0</v>
          </cell>
          <cell r="CB1208">
            <v>3</v>
          </cell>
          <cell r="CC1208">
            <v>8</v>
          </cell>
          <cell r="CD1208">
            <v>0</v>
          </cell>
          <cell r="CE1208">
            <v>4</v>
          </cell>
          <cell r="CF1208">
            <v>4</v>
          </cell>
          <cell r="CG1208">
            <v>4</v>
          </cell>
          <cell r="CH1208">
            <v>4</v>
          </cell>
          <cell r="CI1208">
            <v>3</v>
          </cell>
          <cell r="CJ1208">
            <v>0</v>
          </cell>
          <cell r="CK1208">
            <v>0</v>
          </cell>
          <cell r="CL1208">
            <v>0</v>
          </cell>
          <cell r="CM1208">
            <v>3</v>
          </cell>
          <cell r="CR1208">
            <v>0</v>
          </cell>
          <cell r="CS1208">
            <v>0</v>
          </cell>
          <cell r="CT1208">
            <v>47</v>
          </cell>
          <cell r="CU1208">
            <v>8</v>
          </cell>
          <cell r="CV1208">
            <v>0</v>
          </cell>
          <cell r="CZ1208">
            <v>55</v>
          </cell>
        </row>
        <row r="1209">
          <cell r="C1209" t="str">
            <v>04925</v>
          </cell>
          <cell r="D1209" t="str">
            <v>Nghiêm Thị Thiên Trúc</v>
          </cell>
          <cell r="E1209" t="str">
            <v>QC</v>
          </cell>
          <cell r="F1209" t="str">
            <v>QC</v>
          </cell>
          <cell r="G1209" t="str">
            <v>Supervisor</v>
          </cell>
          <cell r="H1209">
            <v>46027</v>
          </cell>
          <cell r="I1209">
            <v>8</v>
          </cell>
          <cell r="J1209">
            <v>8</v>
          </cell>
          <cell r="K1209" t="str">
            <v>PO</v>
          </cell>
          <cell r="L1209" t="str">
            <v>CN</v>
          </cell>
          <cell r="M1209">
            <v>8</v>
          </cell>
          <cell r="N1209">
            <v>8</v>
          </cell>
          <cell r="O1209">
            <v>8</v>
          </cell>
          <cell r="P1209">
            <v>8</v>
          </cell>
          <cell r="Q1209" t="str">
            <v>PO</v>
          </cell>
          <cell r="R1209" t="str">
            <v>PO</v>
          </cell>
          <cell r="S1209" t="str">
            <v>CN</v>
          </cell>
          <cell r="T1209">
            <v>8</v>
          </cell>
          <cell r="U1209">
            <v>8</v>
          </cell>
          <cell r="V1209">
            <v>8</v>
          </cell>
          <cell r="W1209">
            <v>8</v>
          </cell>
          <cell r="X1209">
            <v>8</v>
          </cell>
          <cell r="Y1209" t="str">
            <v>PO</v>
          </cell>
          <cell r="Z1209" t="str">
            <v>CN</v>
          </cell>
          <cell r="AA1209">
            <v>8</v>
          </cell>
          <cell r="AB1209">
            <v>8</v>
          </cell>
          <cell r="AC1209">
            <v>8</v>
          </cell>
          <cell r="AD1209">
            <v>8</v>
          </cell>
          <cell r="AE1209">
            <v>8</v>
          </cell>
          <cell r="AF1209" t="str">
            <v>PO</v>
          </cell>
          <cell r="AG1209" t="str">
            <v>CN</v>
          </cell>
          <cell r="AH1209">
            <v>8</v>
          </cell>
          <cell r="AI1209">
            <v>8</v>
          </cell>
          <cell r="AJ1209">
            <v>8</v>
          </cell>
          <cell r="AN1209">
            <v>0</v>
          </cell>
          <cell r="AO1209">
            <v>152</v>
          </cell>
          <cell r="AP1209">
            <v>0</v>
          </cell>
          <cell r="AQ1209">
            <v>0</v>
          </cell>
          <cell r="AR1209">
            <v>0</v>
          </cell>
          <cell r="AS1209">
            <v>0</v>
          </cell>
          <cell r="AT1209">
            <v>0</v>
          </cell>
          <cell r="AU1209">
            <v>0</v>
          </cell>
          <cell r="AV1209">
            <v>40</v>
          </cell>
          <cell r="AW1209">
            <v>0</v>
          </cell>
          <cell r="AX1209">
            <v>0</v>
          </cell>
          <cell r="AY1209">
            <v>0</v>
          </cell>
          <cell r="AZ1209">
            <v>0</v>
          </cell>
          <cell r="BA1209">
            <v>0</v>
          </cell>
          <cell r="BB1209">
            <v>0</v>
          </cell>
          <cell r="BC1209">
            <v>0</v>
          </cell>
          <cell r="BD1209">
            <v>0</v>
          </cell>
          <cell r="BE1209">
            <v>0</v>
          </cell>
          <cell r="BF1209">
            <v>0</v>
          </cell>
          <cell r="BG1209">
            <v>192</v>
          </cell>
          <cell r="BH1209">
            <v>0</v>
          </cell>
          <cell r="BI1209">
            <v>0</v>
          </cell>
          <cell r="BJ1209">
            <v>4</v>
          </cell>
          <cell r="BL1209">
            <v>1</v>
          </cell>
          <cell r="BM1209">
            <v>1.75</v>
          </cell>
          <cell r="BN1209">
            <v>0</v>
          </cell>
          <cell r="BO1209">
            <v>0</v>
          </cell>
          <cell r="BP1209">
            <v>1.5</v>
          </cell>
          <cell r="BQ1209">
            <v>0</v>
          </cell>
          <cell r="BR1209">
            <v>0</v>
          </cell>
          <cell r="BS1209">
            <v>0</v>
          </cell>
          <cell r="BT1209">
            <v>0</v>
          </cell>
          <cell r="BU1209">
            <v>0</v>
          </cell>
          <cell r="BV1209">
            <v>0</v>
          </cell>
          <cell r="BW1209">
            <v>0</v>
          </cell>
          <cell r="BX1209">
            <v>0</v>
          </cell>
          <cell r="BY1209">
            <v>0.5</v>
          </cell>
          <cell r="BZ1209">
            <v>0.5</v>
          </cell>
          <cell r="CA1209">
            <v>0</v>
          </cell>
          <cell r="CB1209">
            <v>0</v>
          </cell>
          <cell r="CC1209">
            <v>0</v>
          </cell>
          <cell r="CD1209">
            <v>0</v>
          </cell>
          <cell r="CE1209">
            <v>0</v>
          </cell>
          <cell r="CF1209">
            <v>0</v>
          </cell>
          <cell r="CG1209">
            <v>0</v>
          </cell>
          <cell r="CH1209">
            <v>0</v>
          </cell>
          <cell r="CI1209">
            <v>0</v>
          </cell>
          <cell r="CJ1209">
            <v>0</v>
          </cell>
          <cell r="CK1209">
            <v>0</v>
          </cell>
          <cell r="CL1209">
            <v>0</v>
          </cell>
          <cell r="CM1209">
            <v>0</v>
          </cell>
          <cell r="CR1209">
            <v>0</v>
          </cell>
          <cell r="CS1209">
            <v>0</v>
          </cell>
          <cell r="CT1209">
            <v>5.25</v>
          </cell>
          <cell r="CU1209">
            <v>0</v>
          </cell>
          <cell r="CV1209">
            <v>0</v>
          </cell>
          <cell r="CZ1209">
            <v>5.25</v>
          </cell>
        </row>
        <row r="1210">
          <cell r="C1210" t="str">
            <v>04926</v>
          </cell>
          <cell r="D1210" t="str">
            <v>Phan Hải Giang</v>
          </cell>
          <cell r="E1210" t="str">
            <v>Foaming</v>
          </cell>
          <cell r="F1210" t="str">
            <v>FOAMING Production control</v>
          </cell>
          <cell r="G1210" t="str">
            <v>Staff</v>
          </cell>
          <cell r="H1210">
            <v>46027</v>
          </cell>
          <cell r="I1210">
            <v>8</v>
          </cell>
          <cell r="J1210">
            <v>8</v>
          </cell>
          <cell r="K1210" t="str">
            <v>PO</v>
          </cell>
          <cell r="L1210" t="str">
            <v>CN</v>
          </cell>
          <cell r="M1210">
            <v>8</v>
          </cell>
          <cell r="N1210">
            <v>8</v>
          </cell>
          <cell r="O1210">
            <v>8</v>
          </cell>
          <cell r="P1210">
            <v>8</v>
          </cell>
          <cell r="Q1210">
            <v>8</v>
          </cell>
          <cell r="R1210" t="str">
            <v>PO</v>
          </cell>
          <cell r="S1210" t="str">
            <v>CN</v>
          </cell>
          <cell r="T1210">
            <v>8</v>
          </cell>
          <cell r="U1210">
            <v>8</v>
          </cell>
          <cell r="V1210">
            <v>8</v>
          </cell>
          <cell r="W1210">
            <v>8</v>
          </cell>
          <cell r="X1210">
            <v>8</v>
          </cell>
          <cell r="Y1210" t="str">
            <v>PO</v>
          </cell>
          <cell r="Z1210" t="str">
            <v>CN</v>
          </cell>
          <cell r="AA1210">
            <v>8</v>
          </cell>
          <cell r="AB1210">
            <v>8</v>
          </cell>
          <cell r="AC1210">
            <v>8</v>
          </cell>
          <cell r="AD1210">
            <v>8</v>
          </cell>
          <cell r="AE1210">
            <v>8</v>
          </cell>
          <cell r="AF1210" t="str">
            <v>PO</v>
          </cell>
          <cell r="AG1210" t="str">
            <v>CN</v>
          </cell>
          <cell r="AH1210" t="str">
            <v>AL8</v>
          </cell>
          <cell r="AI1210">
            <v>8</v>
          </cell>
          <cell r="AJ1210">
            <v>8</v>
          </cell>
          <cell r="AN1210">
            <v>0</v>
          </cell>
          <cell r="AO1210">
            <v>152</v>
          </cell>
          <cell r="AP1210">
            <v>0</v>
          </cell>
          <cell r="AQ1210">
            <v>0</v>
          </cell>
          <cell r="AR1210">
            <v>0</v>
          </cell>
          <cell r="AS1210">
            <v>0</v>
          </cell>
          <cell r="AT1210">
            <v>0</v>
          </cell>
          <cell r="AU1210">
            <v>0</v>
          </cell>
          <cell r="AV1210">
            <v>32</v>
          </cell>
          <cell r="AW1210">
            <v>0</v>
          </cell>
          <cell r="AX1210">
            <v>0</v>
          </cell>
          <cell r="AY1210">
            <v>0</v>
          </cell>
          <cell r="AZ1210">
            <v>0</v>
          </cell>
          <cell r="BA1210">
            <v>8</v>
          </cell>
          <cell r="BB1210">
            <v>0</v>
          </cell>
          <cell r="BC1210">
            <v>0</v>
          </cell>
          <cell r="BD1210">
            <v>0</v>
          </cell>
          <cell r="BE1210">
            <v>0</v>
          </cell>
          <cell r="BF1210">
            <v>0</v>
          </cell>
          <cell r="BG1210">
            <v>192</v>
          </cell>
          <cell r="BH1210">
            <v>1</v>
          </cell>
          <cell r="BI1210">
            <v>1</v>
          </cell>
          <cell r="BJ1210">
            <v>3</v>
          </cell>
          <cell r="BL1210">
            <v>0</v>
          </cell>
          <cell r="BM1210">
            <v>0</v>
          </cell>
          <cell r="BN1210">
            <v>0</v>
          </cell>
          <cell r="BO1210">
            <v>0</v>
          </cell>
          <cell r="BP1210">
            <v>2</v>
          </cell>
          <cell r="BQ1210">
            <v>0</v>
          </cell>
          <cell r="BR1210">
            <v>0</v>
          </cell>
          <cell r="BS1210">
            <v>0</v>
          </cell>
          <cell r="BT1210">
            <v>0</v>
          </cell>
          <cell r="BU1210">
            <v>0</v>
          </cell>
          <cell r="BV1210">
            <v>0</v>
          </cell>
          <cell r="BW1210">
            <v>0</v>
          </cell>
          <cell r="BX1210">
            <v>0</v>
          </cell>
          <cell r="BY1210">
            <v>0</v>
          </cell>
          <cell r="BZ1210">
            <v>0</v>
          </cell>
          <cell r="CA1210">
            <v>0</v>
          </cell>
          <cell r="CB1210">
            <v>0</v>
          </cell>
          <cell r="CC1210">
            <v>0</v>
          </cell>
          <cell r="CD1210">
            <v>0</v>
          </cell>
          <cell r="CE1210">
            <v>0</v>
          </cell>
          <cell r="CF1210">
            <v>0</v>
          </cell>
          <cell r="CG1210">
            <v>0</v>
          </cell>
          <cell r="CH1210">
            <v>0</v>
          </cell>
          <cell r="CI1210">
            <v>0</v>
          </cell>
          <cell r="CJ1210">
            <v>0</v>
          </cell>
          <cell r="CK1210">
            <v>0</v>
          </cell>
          <cell r="CL1210">
            <v>0</v>
          </cell>
          <cell r="CM1210">
            <v>0</v>
          </cell>
          <cell r="CR1210">
            <v>0</v>
          </cell>
          <cell r="CS1210">
            <v>0</v>
          </cell>
          <cell r="CT1210">
            <v>2</v>
          </cell>
          <cell r="CU1210">
            <v>0</v>
          </cell>
          <cell r="CV1210">
            <v>0</v>
          </cell>
          <cell r="CZ1210">
            <v>2</v>
          </cell>
        </row>
        <row r="1211">
          <cell r="C1211" t="str">
            <v>04929</v>
          </cell>
          <cell r="D1211" t="str">
            <v>Lê Thành Lợi</v>
          </cell>
          <cell r="E1211" t="str">
            <v>Production</v>
          </cell>
          <cell r="F1211" t="str">
            <v>Molding</v>
          </cell>
          <cell r="G1211" t="str">
            <v>Group Leader</v>
          </cell>
          <cell r="H1211">
            <v>46030</v>
          </cell>
          <cell r="I1211">
            <v>8</v>
          </cell>
          <cell r="J1211" t="str">
            <v>AL4</v>
          </cell>
          <cell r="K1211">
            <v>8</v>
          </cell>
          <cell r="L1211" t="str">
            <v>CN</v>
          </cell>
          <cell r="M1211" t="str">
            <v>Đ</v>
          </cell>
          <cell r="N1211" t="str">
            <v>Đ</v>
          </cell>
          <cell r="O1211" t="str">
            <v>Đ</v>
          </cell>
          <cell r="P1211" t="str">
            <v>Đ</v>
          </cell>
          <cell r="Q1211" t="str">
            <v>Đ</v>
          </cell>
          <cell r="R1211" t="str">
            <v>Đ</v>
          </cell>
          <cell r="S1211" t="str">
            <v>CN</v>
          </cell>
          <cell r="T1211">
            <v>8</v>
          </cell>
          <cell r="U1211">
            <v>8</v>
          </cell>
          <cell r="V1211">
            <v>8</v>
          </cell>
          <cell r="W1211">
            <v>8</v>
          </cell>
          <cell r="X1211">
            <v>8</v>
          </cell>
          <cell r="Y1211">
            <v>8</v>
          </cell>
          <cell r="Z1211" t="str">
            <v>CN</v>
          </cell>
          <cell r="AA1211">
            <v>8</v>
          </cell>
          <cell r="AB1211" t="str">
            <v>Đ</v>
          </cell>
          <cell r="AC1211" t="str">
            <v>Đ</v>
          </cell>
          <cell r="AD1211" t="str">
            <v>Đ</v>
          </cell>
          <cell r="AE1211" t="str">
            <v>Đ</v>
          </cell>
          <cell r="AF1211" t="str">
            <v>Đ</v>
          </cell>
          <cell r="AG1211" t="str">
            <v>CN</v>
          </cell>
          <cell r="AH1211">
            <v>8</v>
          </cell>
          <cell r="AI1211">
            <v>8</v>
          </cell>
          <cell r="AJ1211">
            <v>8</v>
          </cell>
          <cell r="AN1211">
            <v>88</v>
          </cell>
          <cell r="AO1211">
            <v>100</v>
          </cell>
          <cell r="AP1211">
            <v>4</v>
          </cell>
          <cell r="AQ1211">
            <v>0</v>
          </cell>
          <cell r="AR1211">
            <v>0</v>
          </cell>
          <cell r="AS1211">
            <v>0</v>
          </cell>
          <cell r="AT1211">
            <v>0</v>
          </cell>
          <cell r="AU1211">
            <v>0</v>
          </cell>
          <cell r="AV1211">
            <v>0</v>
          </cell>
          <cell r="AW1211">
            <v>0</v>
          </cell>
          <cell r="AX1211">
            <v>0</v>
          </cell>
          <cell r="AY1211">
            <v>0</v>
          </cell>
          <cell r="AZ1211">
            <v>0</v>
          </cell>
          <cell r="BA1211">
            <v>4</v>
          </cell>
          <cell r="BB1211">
            <v>0</v>
          </cell>
          <cell r="BC1211">
            <v>0</v>
          </cell>
          <cell r="BD1211">
            <v>0</v>
          </cell>
          <cell r="BE1211">
            <v>0</v>
          </cell>
          <cell r="BF1211">
            <v>0</v>
          </cell>
          <cell r="BG1211">
            <v>192</v>
          </cell>
          <cell r="BH1211">
            <v>0.5</v>
          </cell>
          <cell r="BI1211">
            <v>0.5</v>
          </cell>
          <cell r="BJ1211">
            <v>3.5</v>
          </cell>
          <cell r="BL1211">
            <v>0</v>
          </cell>
          <cell r="BM1211">
            <v>2</v>
          </cell>
          <cell r="BN1211">
            <v>0</v>
          </cell>
          <cell r="BO1211">
            <v>0</v>
          </cell>
          <cell r="BP1211">
            <v>4</v>
          </cell>
          <cell r="BQ1211">
            <v>4</v>
          </cell>
          <cell r="BR1211">
            <v>2</v>
          </cell>
          <cell r="BS1211">
            <v>0</v>
          </cell>
          <cell r="BT1211">
            <v>0</v>
          </cell>
          <cell r="BU1211">
            <v>0</v>
          </cell>
          <cell r="BV1211">
            <v>0</v>
          </cell>
          <cell r="BW1211">
            <v>4</v>
          </cell>
          <cell r="BX1211">
            <v>4</v>
          </cell>
          <cell r="BY1211">
            <v>2</v>
          </cell>
          <cell r="BZ1211">
            <v>2</v>
          </cell>
          <cell r="CA1211">
            <v>0</v>
          </cell>
          <cell r="CB1211">
            <v>0</v>
          </cell>
          <cell r="CC1211">
            <v>0</v>
          </cell>
          <cell r="CD1211">
            <v>0</v>
          </cell>
          <cell r="CE1211">
            <v>2</v>
          </cell>
          <cell r="CF1211">
            <v>2</v>
          </cell>
          <cell r="CG1211">
            <v>4</v>
          </cell>
          <cell r="CH1211">
            <v>4</v>
          </cell>
          <cell r="CI1211">
            <v>4</v>
          </cell>
          <cell r="CJ1211">
            <v>0</v>
          </cell>
          <cell r="CK1211">
            <v>3</v>
          </cell>
          <cell r="CL1211">
            <v>3</v>
          </cell>
          <cell r="CM1211">
            <v>4</v>
          </cell>
          <cell r="CR1211">
            <v>0</v>
          </cell>
          <cell r="CS1211">
            <v>0</v>
          </cell>
          <cell r="CT1211">
            <v>50</v>
          </cell>
          <cell r="CU1211">
            <v>0</v>
          </cell>
          <cell r="CV1211">
            <v>0</v>
          </cell>
          <cell r="CZ1211">
            <v>50</v>
          </cell>
        </row>
        <row r="1212">
          <cell r="C1212" t="str">
            <v>04930</v>
          </cell>
          <cell r="D1212" t="str">
            <v>Nguyễn Ngọc Thạch</v>
          </cell>
          <cell r="E1212" t="str">
            <v xml:space="preserve">EHS &amp; Facilities </v>
          </cell>
          <cell r="F1212" t="str">
            <v>Maintenance</v>
          </cell>
          <cell r="G1212" t="str">
            <v>Technician</v>
          </cell>
          <cell r="H1212">
            <v>46035</v>
          </cell>
          <cell r="I1212">
            <v>8</v>
          </cell>
          <cell r="J1212">
            <v>8</v>
          </cell>
          <cell r="K1212" t="str">
            <v>CN</v>
          </cell>
          <cell r="L1212">
            <v>8</v>
          </cell>
          <cell r="M1212">
            <v>8</v>
          </cell>
          <cell r="N1212" t="str">
            <v>UP8</v>
          </cell>
          <cell r="O1212" t="str">
            <v>UP8</v>
          </cell>
          <cell r="P1212" t="str">
            <v>UP8</v>
          </cell>
          <cell r="Q1212" t="str">
            <v>UP8</v>
          </cell>
          <cell r="R1212" t="str">
            <v>CN</v>
          </cell>
          <cell r="S1212" t="str">
            <v>UP8</v>
          </cell>
          <cell r="T1212" t="str">
            <v>UP8</v>
          </cell>
          <cell r="U1212" t="str">
            <v>UP8</v>
          </cell>
          <cell r="V1212" t="str">
            <v>UP8</v>
          </cell>
          <cell r="W1212" t="str">
            <v>UP8</v>
          </cell>
          <cell r="X1212" t="str">
            <v>UP8</v>
          </cell>
          <cell r="Y1212" t="str">
            <v>CN</v>
          </cell>
          <cell r="Z1212" t="str">
            <v>AL8</v>
          </cell>
          <cell r="AA1212" t="str">
            <v>AL8</v>
          </cell>
          <cell r="AB1212" t="str">
            <v>AL8</v>
          </cell>
          <cell r="AC1212" t="str">
            <v>TV</v>
          </cell>
          <cell r="AD1212" t="str">
            <v>TV</v>
          </cell>
          <cell r="AE1212" t="str">
            <v>TV</v>
          </cell>
          <cell r="AF1212" t="str">
            <v>CN</v>
          </cell>
          <cell r="AG1212" t="str">
            <v>TV</v>
          </cell>
          <cell r="AH1212" t="str">
            <v>TV</v>
          </cell>
          <cell r="AI1212" t="str">
            <v>TV</v>
          </cell>
          <cell r="AJ1212" t="str">
            <v>TV</v>
          </cell>
          <cell r="AN1212">
            <v>0</v>
          </cell>
          <cell r="AO1212">
            <v>32</v>
          </cell>
          <cell r="AP1212">
            <v>0</v>
          </cell>
          <cell r="AQ1212">
            <v>0</v>
          </cell>
          <cell r="AR1212">
            <v>0</v>
          </cell>
          <cell r="AS1212">
            <v>80</v>
          </cell>
          <cell r="AT1212">
            <v>0</v>
          </cell>
          <cell r="AU1212">
            <v>0</v>
          </cell>
          <cell r="AV1212">
            <v>0</v>
          </cell>
          <cell r="AW1212">
            <v>0</v>
          </cell>
          <cell r="AX1212">
            <v>0</v>
          </cell>
          <cell r="AY1212">
            <v>0</v>
          </cell>
          <cell r="AZ1212">
            <v>0</v>
          </cell>
          <cell r="BA1212">
            <v>24</v>
          </cell>
          <cell r="BB1212">
            <v>0</v>
          </cell>
          <cell r="BC1212">
            <v>0</v>
          </cell>
          <cell r="BD1212">
            <v>0</v>
          </cell>
          <cell r="BE1212">
            <v>0</v>
          </cell>
          <cell r="BF1212">
            <v>0</v>
          </cell>
          <cell r="BG1212">
            <v>56</v>
          </cell>
          <cell r="BH1212">
            <v>3</v>
          </cell>
          <cell r="BI1212">
            <v>3</v>
          </cell>
          <cell r="BJ1212">
            <v>0</v>
          </cell>
          <cell r="BL1212">
            <v>0</v>
          </cell>
          <cell r="BM1212">
            <v>4</v>
          </cell>
          <cell r="BN1212">
            <v>0</v>
          </cell>
          <cell r="BO1212">
            <v>0</v>
          </cell>
          <cell r="BP1212">
            <v>4</v>
          </cell>
          <cell r="BQ1212">
            <v>0</v>
          </cell>
          <cell r="BR1212">
            <v>0</v>
          </cell>
          <cell r="BS1212">
            <v>0</v>
          </cell>
          <cell r="BT1212">
            <v>0</v>
          </cell>
          <cell r="BU1212">
            <v>0</v>
          </cell>
          <cell r="BV1212">
            <v>0</v>
          </cell>
          <cell r="BW1212">
            <v>0</v>
          </cell>
          <cell r="BX1212">
            <v>0</v>
          </cell>
          <cell r="BY1212">
            <v>0</v>
          </cell>
          <cell r="BZ1212">
            <v>0</v>
          </cell>
          <cell r="CA1212">
            <v>0</v>
          </cell>
          <cell r="CB1212">
            <v>0</v>
          </cell>
          <cell r="CC1212">
            <v>0</v>
          </cell>
          <cell r="CD1212">
            <v>0</v>
          </cell>
          <cell r="CE1212">
            <v>0</v>
          </cell>
          <cell r="CF1212">
            <v>0</v>
          </cell>
          <cell r="CG1212">
            <v>0</v>
          </cell>
          <cell r="CH1212">
            <v>0</v>
          </cell>
          <cell r="CI1212">
            <v>0</v>
          </cell>
          <cell r="CJ1212">
            <v>0</v>
          </cell>
          <cell r="CK1212">
            <v>0</v>
          </cell>
          <cell r="CL1212">
            <v>0</v>
          </cell>
          <cell r="CM1212">
            <v>0</v>
          </cell>
          <cell r="CR1212">
            <v>0</v>
          </cell>
          <cell r="CS1212">
            <v>0</v>
          </cell>
          <cell r="CT1212">
            <v>8</v>
          </cell>
          <cell r="CU1212">
            <v>0</v>
          </cell>
          <cell r="CV1212">
            <v>0</v>
          </cell>
          <cell r="CZ1212">
            <v>8</v>
          </cell>
        </row>
        <row r="1213">
          <cell r="C1213" t="str">
            <v>04932</v>
          </cell>
          <cell r="D1213" t="str">
            <v>Trần Văn Hiền</v>
          </cell>
          <cell r="E1213" t="str">
            <v>QC</v>
          </cell>
          <cell r="F1213" t="str">
            <v>QC</v>
          </cell>
          <cell r="G1213" t="str">
            <v>Worker</v>
          </cell>
          <cell r="H1213">
            <v>46041</v>
          </cell>
          <cell r="I1213">
            <v>8</v>
          </cell>
          <cell r="J1213">
            <v>8</v>
          </cell>
          <cell r="K1213">
            <v>8</v>
          </cell>
          <cell r="L1213" t="str">
            <v>CN</v>
          </cell>
          <cell r="M1213">
            <v>8</v>
          </cell>
          <cell r="N1213">
            <v>8</v>
          </cell>
          <cell r="O1213">
            <v>8</v>
          </cell>
          <cell r="P1213">
            <v>8</v>
          </cell>
          <cell r="Q1213">
            <v>8</v>
          </cell>
          <cell r="R1213">
            <v>8</v>
          </cell>
          <cell r="S1213" t="str">
            <v>CN</v>
          </cell>
          <cell r="T1213">
            <v>8</v>
          </cell>
          <cell r="U1213">
            <v>8</v>
          </cell>
          <cell r="V1213">
            <v>8</v>
          </cell>
          <cell r="W1213">
            <v>8</v>
          </cell>
          <cell r="X1213">
            <v>8</v>
          </cell>
          <cell r="Y1213">
            <v>8</v>
          </cell>
          <cell r="Z1213" t="str">
            <v>CN</v>
          </cell>
          <cell r="AA1213">
            <v>8</v>
          </cell>
          <cell r="AB1213">
            <v>8</v>
          </cell>
          <cell r="AC1213">
            <v>8</v>
          </cell>
          <cell r="AD1213">
            <v>8</v>
          </cell>
          <cell r="AE1213" t="str">
            <v>AL4</v>
          </cell>
          <cell r="AF1213">
            <v>8</v>
          </cell>
          <cell r="AG1213" t="str">
            <v>CN</v>
          </cell>
          <cell r="AH1213">
            <v>8</v>
          </cell>
          <cell r="AI1213">
            <v>8</v>
          </cell>
          <cell r="AJ1213">
            <v>8</v>
          </cell>
          <cell r="AN1213">
            <v>0</v>
          </cell>
          <cell r="AO1213">
            <v>188</v>
          </cell>
          <cell r="AP1213">
            <v>4</v>
          </cell>
          <cell r="AQ1213">
            <v>0</v>
          </cell>
          <cell r="AR1213">
            <v>0</v>
          </cell>
          <cell r="AS1213">
            <v>0</v>
          </cell>
          <cell r="AT1213">
            <v>0</v>
          </cell>
          <cell r="AU1213">
            <v>0</v>
          </cell>
          <cell r="AV1213">
            <v>0</v>
          </cell>
          <cell r="AW1213">
            <v>0</v>
          </cell>
          <cell r="AX1213">
            <v>0</v>
          </cell>
          <cell r="AY1213">
            <v>0</v>
          </cell>
          <cell r="AZ1213">
            <v>0</v>
          </cell>
          <cell r="BA1213">
            <v>4</v>
          </cell>
          <cell r="BB1213">
            <v>0</v>
          </cell>
          <cell r="BC1213">
            <v>0</v>
          </cell>
          <cell r="BD1213">
            <v>0</v>
          </cell>
          <cell r="BE1213">
            <v>0</v>
          </cell>
          <cell r="BF1213">
            <v>0</v>
          </cell>
          <cell r="BG1213">
            <v>192</v>
          </cell>
          <cell r="BH1213">
            <v>0.5</v>
          </cell>
          <cell r="BI1213">
            <v>0.5</v>
          </cell>
          <cell r="BJ1213">
            <v>1.5</v>
          </cell>
          <cell r="BL1213">
            <v>2</v>
          </cell>
          <cell r="BM1213">
            <v>2</v>
          </cell>
          <cell r="BN1213">
            <v>2</v>
          </cell>
          <cell r="BO1213">
            <v>0</v>
          </cell>
          <cell r="BP1213">
            <v>3</v>
          </cell>
          <cell r="BQ1213">
            <v>2</v>
          </cell>
          <cell r="BR1213">
            <v>2</v>
          </cell>
          <cell r="BS1213">
            <v>0</v>
          </cell>
          <cell r="BT1213">
            <v>2</v>
          </cell>
          <cell r="BU1213">
            <v>1</v>
          </cell>
          <cell r="BV1213">
            <v>0</v>
          </cell>
          <cell r="BW1213">
            <v>2</v>
          </cell>
          <cell r="BX1213">
            <v>2</v>
          </cell>
          <cell r="BY1213">
            <v>2</v>
          </cell>
          <cell r="BZ1213">
            <v>1</v>
          </cell>
          <cell r="CA1213">
            <v>2</v>
          </cell>
          <cell r="CB1213">
            <v>0</v>
          </cell>
          <cell r="CC1213">
            <v>0</v>
          </cell>
          <cell r="CD1213">
            <v>2</v>
          </cell>
          <cell r="CE1213">
            <v>2</v>
          </cell>
          <cell r="CF1213">
            <v>2</v>
          </cell>
          <cell r="CG1213">
            <v>2</v>
          </cell>
          <cell r="CH1213">
            <v>3</v>
          </cell>
          <cell r="CI1213">
            <v>2</v>
          </cell>
          <cell r="CJ1213">
            <v>8</v>
          </cell>
          <cell r="CK1213">
            <v>3</v>
          </cell>
          <cell r="CL1213">
            <v>2</v>
          </cell>
          <cell r="CM1213">
            <v>2</v>
          </cell>
          <cell r="CR1213">
            <v>0</v>
          </cell>
          <cell r="CS1213">
            <v>0</v>
          </cell>
          <cell r="CT1213">
            <v>45</v>
          </cell>
          <cell r="CU1213">
            <v>8</v>
          </cell>
          <cell r="CV1213">
            <v>0</v>
          </cell>
          <cell r="CZ1213">
            <v>53</v>
          </cell>
        </row>
        <row r="1214">
          <cell r="C1214" t="str">
            <v>04934</v>
          </cell>
          <cell r="D1214" t="str">
            <v>Phạm Hoàng Sơn</v>
          </cell>
          <cell r="E1214" t="str">
            <v>QC</v>
          </cell>
          <cell r="F1214" t="str">
            <v>QC</v>
          </cell>
          <cell r="G1214" t="str">
            <v>Worker</v>
          </cell>
          <cell r="H1214">
            <v>46041</v>
          </cell>
          <cell r="I1214">
            <v>8</v>
          </cell>
          <cell r="J1214">
            <v>8</v>
          </cell>
          <cell r="K1214">
            <v>8</v>
          </cell>
          <cell r="L1214" t="str">
            <v>CN</v>
          </cell>
          <cell r="M1214">
            <v>8</v>
          </cell>
          <cell r="N1214">
            <v>8</v>
          </cell>
          <cell r="O1214" t="str">
            <v>AL8</v>
          </cell>
          <cell r="P1214" t="str">
            <v>AL8</v>
          </cell>
          <cell r="Q1214" t="str">
            <v>UP8</v>
          </cell>
          <cell r="R1214" t="str">
            <v>UP8</v>
          </cell>
          <cell r="S1214" t="str">
            <v>CN</v>
          </cell>
          <cell r="T1214" t="str">
            <v>UP8</v>
          </cell>
          <cell r="U1214" t="str">
            <v>UP8</v>
          </cell>
          <cell r="V1214" t="str">
            <v>UP8</v>
          </cell>
          <cell r="W1214" t="str">
            <v>UP8</v>
          </cell>
          <cell r="X1214" t="str">
            <v>UP8</v>
          </cell>
          <cell r="Y1214" t="str">
            <v>UP8</v>
          </cell>
          <cell r="Z1214" t="str">
            <v>CN</v>
          </cell>
          <cell r="AA1214" t="str">
            <v>UP8</v>
          </cell>
          <cell r="AB1214" t="str">
            <v>UP8</v>
          </cell>
          <cell r="AC1214" t="str">
            <v>TV</v>
          </cell>
          <cell r="AD1214" t="str">
            <v>TV</v>
          </cell>
          <cell r="AE1214" t="str">
            <v>TV</v>
          </cell>
          <cell r="AF1214" t="str">
            <v>TV</v>
          </cell>
          <cell r="AG1214" t="str">
            <v>TV</v>
          </cell>
          <cell r="AH1214" t="str">
            <v>TV</v>
          </cell>
          <cell r="AI1214" t="str">
            <v>TV</v>
          </cell>
          <cell r="AJ1214" t="str">
            <v>TV</v>
          </cell>
          <cell r="AN1214">
            <v>0</v>
          </cell>
          <cell r="AO1214">
            <v>40</v>
          </cell>
          <cell r="AP1214">
            <v>0</v>
          </cell>
          <cell r="AQ1214">
            <v>0</v>
          </cell>
          <cell r="AR1214">
            <v>0</v>
          </cell>
          <cell r="AS1214">
            <v>80</v>
          </cell>
          <cell r="AT1214">
            <v>0</v>
          </cell>
          <cell r="AU1214">
            <v>0</v>
          </cell>
          <cell r="AV1214">
            <v>0</v>
          </cell>
          <cell r="AW1214">
            <v>0</v>
          </cell>
          <cell r="AX1214">
            <v>0</v>
          </cell>
          <cell r="AY1214">
            <v>0</v>
          </cell>
          <cell r="AZ1214">
            <v>0</v>
          </cell>
          <cell r="BA1214">
            <v>16</v>
          </cell>
          <cell r="BB1214">
            <v>0</v>
          </cell>
          <cell r="BC1214">
            <v>0</v>
          </cell>
          <cell r="BD1214">
            <v>0</v>
          </cell>
          <cell r="BE1214">
            <v>0</v>
          </cell>
          <cell r="BF1214">
            <v>0</v>
          </cell>
          <cell r="BG1214">
            <v>56</v>
          </cell>
          <cell r="BH1214">
            <v>2</v>
          </cell>
          <cell r="BI1214">
            <v>2</v>
          </cell>
          <cell r="BJ1214">
            <v>-1</v>
          </cell>
          <cell r="BL1214">
            <v>0</v>
          </cell>
          <cell r="BM1214">
            <v>0</v>
          </cell>
          <cell r="BN1214">
            <v>4</v>
          </cell>
          <cell r="BO1214">
            <v>0</v>
          </cell>
          <cell r="BP1214">
            <v>0</v>
          </cell>
          <cell r="BQ1214">
            <v>0</v>
          </cell>
          <cell r="BR1214">
            <v>0</v>
          </cell>
          <cell r="BS1214">
            <v>0</v>
          </cell>
          <cell r="BT1214">
            <v>0</v>
          </cell>
          <cell r="BU1214">
            <v>0</v>
          </cell>
          <cell r="BV1214">
            <v>0</v>
          </cell>
          <cell r="BW1214">
            <v>0</v>
          </cell>
          <cell r="BX1214">
            <v>0</v>
          </cell>
          <cell r="BY1214">
            <v>0</v>
          </cell>
          <cell r="BZ1214">
            <v>0</v>
          </cell>
          <cell r="CA1214">
            <v>0</v>
          </cell>
          <cell r="CB1214">
            <v>0</v>
          </cell>
          <cell r="CC1214">
            <v>0</v>
          </cell>
          <cell r="CD1214">
            <v>0</v>
          </cell>
          <cell r="CE1214">
            <v>0</v>
          </cell>
          <cell r="CF1214">
            <v>0</v>
          </cell>
          <cell r="CG1214">
            <v>0</v>
          </cell>
          <cell r="CH1214">
            <v>0</v>
          </cell>
          <cell r="CI1214">
            <v>0</v>
          </cell>
          <cell r="CJ1214">
            <v>0</v>
          </cell>
          <cell r="CK1214">
            <v>0</v>
          </cell>
          <cell r="CL1214">
            <v>0</v>
          </cell>
          <cell r="CM1214">
            <v>0</v>
          </cell>
          <cell r="CR1214">
            <v>0</v>
          </cell>
          <cell r="CS1214">
            <v>0</v>
          </cell>
          <cell r="CT1214">
            <v>4</v>
          </cell>
          <cell r="CU1214">
            <v>0</v>
          </cell>
          <cell r="CV1214">
            <v>0</v>
          </cell>
          <cell r="CZ1214">
            <v>4</v>
          </cell>
        </row>
        <row r="1215">
          <cell r="C1215" t="str">
            <v>04935</v>
          </cell>
          <cell r="D1215" t="str">
            <v>Ngô Minh Thư</v>
          </cell>
          <cell r="E1215" t="str">
            <v>Technical Development</v>
          </cell>
          <cell r="F1215" t="str">
            <v>PD Sample</v>
          </cell>
          <cell r="G1215" t="str">
            <v>Worker</v>
          </cell>
          <cell r="H1215">
            <v>46041</v>
          </cell>
          <cell r="I1215">
            <v>8</v>
          </cell>
          <cell r="J1215">
            <v>8</v>
          </cell>
          <cell r="K1215">
            <v>8</v>
          </cell>
          <cell r="L1215" t="str">
            <v>CN</v>
          </cell>
          <cell r="M1215">
            <v>8</v>
          </cell>
          <cell r="N1215">
            <v>8</v>
          </cell>
          <cell r="O1215">
            <v>8</v>
          </cell>
          <cell r="P1215">
            <v>8</v>
          </cell>
          <cell r="Q1215">
            <v>8</v>
          </cell>
          <cell r="R1215">
            <v>8</v>
          </cell>
          <cell r="S1215" t="str">
            <v>CN</v>
          </cell>
          <cell r="T1215" t="str">
            <v>AL8</v>
          </cell>
          <cell r="U1215">
            <v>8</v>
          </cell>
          <cell r="V1215">
            <v>8</v>
          </cell>
          <cell r="W1215">
            <v>8</v>
          </cell>
          <cell r="X1215">
            <v>8</v>
          </cell>
          <cell r="Y1215">
            <v>8</v>
          </cell>
          <cell r="Z1215" t="str">
            <v>CN</v>
          </cell>
          <cell r="AA1215">
            <v>8</v>
          </cell>
          <cell r="AB1215">
            <v>8</v>
          </cell>
          <cell r="AC1215">
            <v>8</v>
          </cell>
          <cell r="AD1215">
            <v>8</v>
          </cell>
          <cell r="AE1215">
            <v>8</v>
          </cell>
          <cell r="AF1215">
            <v>8</v>
          </cell>
          <cell r="AG1215" t="str">
            <v>CN</v>
          </cell>
          <cell r="AH1215">
            <v>8</v>
          </cell>
          <cell r="AI1215">
            <v>8</v>
          </cell>
          <cell r="AJ1215">
            <v>8</v>
          </cell>
          <cell r="AN1215">
            <v>0</v>
          </cell>
          <cell r="AO1215">
            <v>184</v>
          </cell>
          <cell r="AP1215">
            <v>0</v>
          </cell>
          <cell r="AQ1215">
            <v>0</v>
          </cell>
          <cell r="AR1215">
            <v>0</v>
          </cell>
          <cell r="AS1215">
            <v>0</v>
          </cell>
          <cell r="AT1215">
            <v>0</v>
          </cell>
          <cell r="AU1215">
            <v>0</v>
          </cell>
          <cell r="AV1215">
            <v>0</v>
          </cell>
          <cell r="AW1215">
            <v>0</v>
          </cell>
          <cell r="AX1215">
            <v>0</v>
          </cell>
          <cell r="AY1215">
            <v>0</v>
          </cell>
          <cell r="AZ1215">
            <v>0</v>
          </cell>
          <cell r="BA1215">
            <v>8</v>
          </cell>
          <cell r="BB1215">
            <v>0</v>
          </cell>
          <cell r="BC1215">
            <v>0</v>
          </cell>
          <cell r="BD1215">
            <v>0</v>
          </cell>
          <cell r="BE1215">
            <v>0</v>
          </cell>
          <cell r="BF1215">
            <v>0</v>
          </cell>
          <cell r="BG1215">
            <v>192</v>
          </cell>
          <cell r="BH1215">
            <v>1</v>
          </cell>
          <cell r="BI1215">
            <v>1</v>
          </cell>
          <cell r="BJ1215">
            <v>1</v>
          </cell>
          <cell r="BL1215">
            <v>3</v>
          </cell>
          <cell r="BM1215">
            <v>3</v>
          </cell>
          <cell r="BN1215">
            <v>0</v>
          </cell>
          <cell r="BO1215">
            <v>0</v>
          </cell>
          <cell r="BP1215">
            <v>3</v>
          </cell>
          <cell r="BQ1215">
            <v>3</v>
          </cell>
          <cell r="BR1215">
            <v>3</v>
          </cell>
          <cell r="BS1215">
            <v>3</v>
          </cell>
          <cell r="BT1215">
            <v>0</v>
          </cell>
          <cell r="BU1215">
            <v>0</v>
          </cell>
          <cell r="BV1215">
            <v>0</v>
          </cell>
          <cell r="BW1215">
            <v>0</v>
          </cell>
          <cell r="BX1215">
            <v>3</v>
          </cell>
          <cell r="BY1215">
            <v>3</v>
          </cell>
          <cell r="BZ1215">
            <v>3</v>
          </cell>
          <cell r="CA1215">
            <v>0</v>
          </cell>
          <cell r="CB1215">
            <v>0</v>
          </cell>
          <cell r="CC1215">
            <v>0</v>
          </cell>
          <cell r="CD1215">
            <v>3</v>
          </cell>
          <cell r="CE1215">
            <v>3</v>
          </cell>
          <cell r="CF1215">
            <v>0</v>
          </cell>
          <cell r="CG1215">
            <v>3</v>
          </cell>
          <cell r="CH1215">
            <v>3</v>
          </cell>
          <cell r="CI1215">
            <v>0</v>
          </cell>
          <cell r="CJ1215">
            <v>0</v>
          </cell>
          <cell r="CK1215">
            <v>0</v>
          </cell>
          <cell r="CL1215">
            <v>0</v>
          </cell>
          <cell r="CM1215">
            <v>0</v>
          </cell>
          <cell r="CR1215">
            <v>0</v>
          </cell>
          <cell r="CS1215">
            <v>0</v>
          </cell>
          <cell r="CT1215">
            <v>39</v>
          </cell>
          <cell r="CU1215">
            <v>0</v>
          </cell>
          <cell r="CV1215">
            <v>0</v>
          </cell>
          <cell r="CZ1215">
            <v>39</v>
          </cell>
        </row>
        <row r="1216">
          <cell r="C1216" t="str">
            <v>04936</v>
          </cell>
          <cell r="D1216" t="str">
            <v>Võ Minh Hiền</v>
          </cell>
          <cell r="E1216" t="str">
            <v>Production</v>
          </cell>
          <cell r="F1216" t="str">
            <v>Lamination</v>
          </cell>
          <cell r="G1216" t="str">
            <v>Worker</v>
          </cell>
          <cell r="H1216">
            <v>46041</v>
          </cell>
          <cell r="I1216">
            <v>8</v>
          </cell>
          <cell r="J1216" t="str">
            <v>UP8</v>
          </cell>
          <cell r="K1216" t="str">
            <v>UP8</v>
          </cell>
          <cell r="L1216" t="str">
            <v>CN</v>
          </cell>
          <cell r="M1216" t="str">
            <v>UP8</v>
          </cell>
          <cell r="N1216" t="str">
            <v>UP8</v>
          </cell>
          <cell r="O1216" t="str">
            <v>UP8</v>
          </cell>
          <cell r="P1216" t="str">
            <v>UP8</v>
          </cell>
          <cell r="Q1216" t="str">
            <v>UP8</v>
          </cell>
          <cell r="R1216" t="str">
            <v>UP8</v>
          </cell>
          <cell r="S1216" t="str">
            <v>CN</v>
          </cell>
          <cell r="T1216" t="str">
            <v>UP8</v>
          </cell>
          <cell r="U1216" t="str">
            <v>UP8</v>
          </cell>
          <cell r="V1216" t="str">
            <v>UP8</v>
          </cell>
          <cell r="W1216" t="str">
            <v>NP</v>
          </cell>
          <cell r="X1216" t="str">
            <v>NP</v>
          </cell>
          <cell r="Y1216" t="str">
            <v>NP</v>
          </cell>
          <cell r="Z1216" t="str">
            <v>CN</v>
          </cell>
          <cell r="AA1216" t="str">
            <v>NP</v>
          </cell>
          <cell r="AB1216" t="str">
            <v>NP</v>
          </cell>
          <cell r="AC1216" t="str">
            <v>TV</v>
          </cell>
          <cell r="AD1216" t="str">
            <v>TV</v>
          </cell>
          <cell r="AE1216" t="str">
            <v>TV</v>
          </cell>
          <cell r="AF1216" t="str">
            <v>TV</v>
          </cell>
          <cell r="AG1216" t="str">
            <v>TV</v>
          </cell>
          <cell r="AH1216" t="str">
            <v>TV</v>
          </cell>
          <cell r="AI1216" t="str">
            <v>TV</v>
          </cell>
          <cell r="AJ1216" t="str">
            <v>TV</v>
          </cell>
          <cell r="AN1216">
            <v>0</v>
          </cell>
          <cell r="AO1216">
            <v>8</v>
          </cell>
          <cell r="AP1216">
            <v>0</v>
          </cell>
          <cell r="AQ1216">
            <v>0</v>
          </cell>
          <cell r="AR1216">
            <v>0</v>
          </cell>
          <cell r="AS1216">
            <v>88</v>
          </cell>
          <cell r="AT1216">
            <v>5</v>
          </cell>
          <cell r="AU1216">
            <v>0</v>
          </cell>
          <cell r="AV1216">
            <v>0</v>
          </cell>
          <cell r="AW1216">
            <v>0</v>
          </cell>
          <cell r="AX1216">
            <v>0</v>
          </cell>
          <cell r="AY1216">
            <v>0</v>
          </cell>
          <cell r="AZ1216">
            <v>0</v>
          </cell>
          <cell r="BA1216">
            <v>0</v>
          </cell>
          <cell r="BB1216">
            <v>0</v>
          </cell>
          <cell r="BC1216">
            <v>0</v>
          </cell>
          <cell r="BD1216">
            <v>0</v>
          </cell>
          <cell r="BE1216">
            <v>0</v>
          </cell>
          <cell r="BF1216">
            <v>0</v>
          </cell>
          <cell r="BG1216">
            <v>8</v>
          </cell>
          <cell r="BH1216">
            <v>0</v>
          </cell>
          <cell r="BI1216">
            <v>0</v>
          </cell>
          <cell r="BJ1216">
            <v>1.5</v>
          </cell>
          <cell r="BL1216">
            <v>0</v>
          </cell>
          <cell r="BM1216">
            <v>0</v>
          </cell>
          <cell r="BN1216">
            <v>0</v>
          </cell>
          <cell r="BO1216">
            <v>0</v>
          </cell>
          <cell r="BP1216">
            <v>0</v>
          </cell>
          <cell r="BQ1216">
            <v>0</v>
          </cell>
          <cell r="BR1216">
            <v>0</v>
          </cell>
          <cell r="BS1216">
            <v>0</v>
          </cell>
          <cell r="BT1216">
            <v>0</v>
          </cell>
          <cell r="BU1216">
            <v>0</v>
          </cell>
          <cell r="BV1216">
            <v>0</v>
          </cell>
          <cell r="BW1216">
            <v>0</v>
          </cell>
          <cell r="BX1216">
            <v>0</v>
          </cell>
          <cell r="BY1216">
            <v>0</v>
          </cell>
          <cell r="BZ1216">
            <v>0</v>
          </cell>
          <cell r="CA1216">
            <v>0</v>
          </cell>
          <cell r="CB1216">
            <v>0</v>
          </cell>
          <cell r="CC1216">
            <v>0</v>
          </cell>
          <cell r="CD1216">
            <v>0</v>
          </cell>
          <cell r="CE1216">
            <v>0</v>
          </cell>
          <cell r="CF1216">
            <v>0</v>
          </cell>
          <cell r="CG1216">
            <v>0</v>
          </cell>
          <cell r="CH1216">
            <v>0</v>
          </cell>
          <cell r="CI1216">
            <v>0</v>
          </cell>
          <cell r="CJ1216">
            <v>0</v>
          </cell>
          <cell r="CK1216">
            <v>0</v>
          </cell>
          <cell r="CL1216">
            <v>0</v>
          </cell>
          <cell r="CM1216">
            <v>0</v>
          </cell>
          <cell r="CR1216">
            <v>0</v>
          </cell>
          <cell r="CS1216">
            <v>0</v>
          </cell>
          <cell r="CT1216">
            <v>0</v>
          </cell>
          <cell r="CU1216">
            <v>0</v>
          </cell>
          <cell r="CV1216">
            <v>0</v>
          </cell>
          <cell r="CZ1216">
            <v>0</v>
          </cell>
        </row>
        <row r="1217">
          <cell r="C1217" t="str">
            <v>04937</v>
          </cell>
          <cell r="D1217" t="str">
            <v>Lê Thanh Huy</v>
          </cell>
          <cell r="E1217" t="str">
            <v>Production</v>
          </cell>
          <cell r="F1217" t="str">
            <v>Lamination</v>
          </cell>
          <cell r="G1217" t="str">
            <v>Worker</v>
          </cell>
          <cell r="H1217">
            <v>46041</v>
          </cell>
          <cell r="I1217">
            <v>8</v>
          </cell>
          <cell r="J1217" t="str">
            <v>SWD</v>
          </cell>
          <cell r="K1217" t="str">
            <v>SWD</v>
          </cell>
          <cell r="L1217" t="str">
            <v>CN</v>
          </cell>
          <cell r="M1217">
            <v>8</v>
          </cell>
          <cell r="N1217">
            <v>8</v>
          </cell>
          <cell r="O1217">
            <v>8</v>
          </cell>
          <cell r="P1217">
            <v>8</v>
          </cell>
          <cell r="Q1217">
            <v>8</v>
          </cell>
          <cell r="R1217">
            <v>8</v>
          </cell>
          <cell r="S1217" t="str">
            <v>CN</v>
          </cell>
          <cell r="T1217" t="str">
            <v>AL8</v>
          </cell>
          <cell r="U1217" t="str">
            <v>UP8</v>
          </cell>
          <cell r="V1217" t="str">
            <v>UP8</v>
          </cell>
          <cell r="W1217" t="str">
            <v>UP8</v>
          </cell>
          <cell r="X1217">
            <v>8</v>
          </cell>
          <cell r="Y1217">
            <v>8</v>
          </cell>
          <cell r="Z1217" t="str">
            <v>CN</v>
          </cell>
          <cell r="AA1217">
            <v>8</v>
          </cell>
          <cell r="AB1217">
            <v>8</v>
          </cell>
          <cell r="AC1217">
            <v>8</v>
          </cell>
          <cell r="AD1217">
            <v>8</v>
          </cell>
          <cell r="AE1217">
            <v>8</v>
          </cell>
          <cell r="AF1217">
            <v>8</v>
          </cell>
          <cell r="AG1217" t="str">
            <v>CN</v>
          </cell>
          <cell r="AH1217" t="str">
            <v>UP8</v>
          </cell>
          <cell r="AI1217" t="str">
            <v>UP8</v>
          </cell>
          <cell r="AJ1217" t="str">
            <v>UP8</v>
          </cell>
          <cell r="AN1217">
            <v>0</v>
          </cell>
          <cell r="AO1217">
            <v>120</v>
          </cell>
          <cell r="AP1217">
            <v>0</v>
          </cell>
          <cell r="AQ1217">
            <v>0</v>
          </cell>
          <cell r="AR1217">
            <v>0</v>
          </cell>
          <cell r="AS1217">
            <v>64</v>
          </cell>
          <cell r="AT1217">
            <v>0</v>
          </cell>
          <cell r="AU1217">
            <v>0</v>
          </cell>
          <cell r="AV1217">
            <v>0</v>
          </cell>
          <cell r="AW1217">
            <v>0</v>
          </cell>
          <cell r="AX1217">
            <v>0</v>
          </cell>
          <cell r="AY1217">
            <v>0</v>
          </cell>
          <cell r="AZ1217">
            <v>0</v>
          </cell>
          <cell r="BA1217">
            <v>8</v>
          </cell>
          <cell r="BB1217">
            <v>0</v>
          </cell>
          <cell r="BC1217">
            <v>0</v>
          </cell>
          <cell r="BD1217">
            <v>0</v>
          </cell>
          <cell r="BE1217">
            <v>0</v>
          </cell>
          <cell r="BF1217">
            <v>0</v>
          </cell>
          <cell r="BG1217">
            <v>128</v>
          </cell>
          <cell r="BH1217">
            <v>1</v>
          </cell>
          <cell r="BI1217">
            <v>1</v>
          </cell>
          <cell r="BJ1217">
            <v>1.5</v>
          </cell>
          <cell r="BL1217">
            <v>0</v>
          </cell>
          <cell r="BM1217">
            <v>0</v>
          </cell>
          <cell r="BN1217">
            <v>0</v>
          </cell>
          <cell r="BO1217">
            <v>0</v>
          </cell>
          <cell r="BP1217">
            <v>3</v>
          </cell>
          <cell r="BQ1217">
            <v>3</v>
          </cell>
          <cell r="BR1217">
            <v>3</v>
          </cell>
          <cell r="BS1217">
            <v>0</v>
          </cell>
          <cell r="BT1217">
            <v>0</v>
          </cell>
          <cell r="BU1217">
            <v>0</v>
          </cell>
          <cell r="BV1217">
            <v>0</v>
          </cell>
          <cell r="BW1217">
            <v>0</v>
          </cell>
          <cell r="BX1217">
            <v>0</v>
          </cell>
          <cell r="BY1217">
            <v>0</v>
          </cell>
          <cell r="BZ1217">
            <v>0</v>
          </cell>
          <cell r="CA1217">
            <v>0</v>
          </cell>
          <cell r="CB1217">
            <v>0</v>
          </cell>
          <cell r="CC1217">
            <v>0</v>
          </cell>
          <cell r="CD1217">
            <v>0</v>
          </cell>
          <cell r="CE1217">
            <v>0</v>
          </cell>
          <cell r="CF1217">
            <v>0</v>
          </cell>
          <cell r="CG1217">
            <v>0</v>
          </cell>
          <cell r="CH1217">
            <v>0</v>
          </cell>
          <cell r="CI1217">
            <v>0</v>
          </cell>
          <cell r="CJ1217">
            <v>0</v>
          </cell>
          <cell r="CK1217">
            <v>0</v>
          </cell>
          <cell r="CL1217">
            <v>0</v>
          </cell>
          <cell r="CM1217">
            <v>0</v>
          </cell>
          <cell r="CR1217">
            <v>0</v>
          </cell>
          <cell r="CS1217">
            <v>0</v>
          </cell>
          <cell r="CT1217">
            <v>9</v>
          </cell>
          <cell r="CU1217">
            <v>0</v>
          </cell>
          <cell r="CV1217">
            <v>0</v>
          </cell>
          <cell r="CZ1217">
            <v>9</v>
          </cell>
        </row>
        <row r="1218">
          <cell r="C1218" t="str">
            <v>04938</v>
          </cell>
          <cell r="D1218" t="str">
            <v>Đỗ Minh Toàn</v>
          </cell>
          <cell r="E1218" t="str">
            <v>Production</v>
          </cell>
          <cell r="F1218" t="str">
            <v>Packing</v>
          </cell>
          <cell r="G1218" t="str">
            <v>Worker</v>
          </cell>
          <cell r="H1218">
            <v>46041</v>
          </cell>
          <cell r="I1218">
            <v>8</v>
          </cell>
          <cell r="J1218">
            <v>8</v>
          </cell>
          <cell r="K1218">
            <v>8</v>
          </cell>
          <cell r="L1218" t="str">
            <v>CN</v>
          </cell>
          <cell r="M1218" t="str">
            <v>Đ</v>
          </cell>
          <cell r="N1218" t="str">
            <v>Đ</v>
          </cell>
          <cell r="O1218" t="str">
            <v>Đ</v>
          </cell>
          <cell r="P1218" t="str">
            <v>Đ</v>
          </cell>
          <cell r="Q1218" t="str">
            <v>Đ</v>
          </cell>
          <cell r="R1218" t="str">
            <v>Đ</v>
          </cell>
          <cell r="S1218" t="str">
            <v>CN</v>
          </cell>
          <cell r="T1218">
            <v>8</v>
          </cell>
          <cell r="U1218">
            <v>8</v>
          </cell>
          <cell r="V1218">
            <v>8</v>
          </cell>
          <cell r="W1218">
            <v>8</v>
          </cell>
          <cell r="X1218">
            <v>8</v>
          </cell>
          <cell r="Y1218">
            <v>8</v>
          </cell>
          <cell r="Z1218" t="str">
            <v>CN</v>
          </cell>
          <cell r="AA1218" t="str">
            <v>Đ</v>
          </cell>
          <cell r="AB1218" t="str">
            <v>Đ</v>
          </cell>
          <cell r="AC1218" t="str">
            <v>Đ</v>
          </cell>
          <cell r="AD1218" t="str">
            <v>Đ</v>
          </cell>
          <cell r="AE1218" t="str">
            <v>Đ</v>
          </cell>
          <cell r="AF1218" t="str">
            <v>Đ</v>
          </cell>
          <cell r="AG1218" t="str">
            <v>CN</v>
          </cell>
          <cell r="AH1218">
            <v>8</v>
          </cell>
          <cell r="AI1218">
            <v>8</v>
          </cell>
          <cell r="AJ1218">
            <v>8</v>
          </cell>
          <cell r="AN1218">
            <v>96</v>
          </cell>
          <cell r="AO1218">
            <v>96</v>
          </cell>
          <cell r="AP1218">
            <v>0</v>
          </cell>
          <cell r="AQ1218">
            <v>0</v>
          </cell>
          <cell r="AR1218">
            <v>0</v>
          </cell>
          <cell r="AS1218">
            <v>0</v>
          </cell>
          <cell r="AT1218">
            <v>0</v>
          </cell>
          <cell r="AU1218">
            <v>0</v>
          </cell>
          <cell r="AV1218">
            <v>0</v>
          </cell>
          <cell r="AW1218">
            <v>0</v>
          </cell>
          <cell r="AX1218">
            <v>0</v>
          </cell>
          <cell r="AY1218">
            <v>0</v>
          </cell>
          <cell r="AZ1218">
            <v>0</v>
          </cell>
          <cell r="BA1218">
            <v>0</v>
          </cell>
          <cell r="BB1218">
            <v>0</v>
          </cell>
          <cell r="BC1218">
            <v>0</v>
          </cell>
          <cell r="BD1218">
            <v>0</v>
          </cell>
          <cell r="BE1218">
            <v>0</v>
          </cell>
          <cell r="BF1218">
            <v>0</v>
          </cell>
          <cell r="BG1218">
            <v>192</v>
          </cell>
          <cell r="BH1218">
            <v>0</v>
          </cell>
          <cell r="BI1218">
            <v>0</v>
          </cell>
          <cell r="BJ1218">
            <v>2</v>
          </cell>
          <cell r="BL1218">
            <v>0</v>
          </cell>
          <cell r="BM1218">
            <v>1.5</v>
          </cell>
          <cell r="BN1218">
            <v>1.5</v>
          </cell>
          <cell r="BO1218">
            <v>0</v>
          </cell>
          <cell r="BP1218">
            <v>1.5</v>
          </cell>
          <cell r="BQ1218">
            <v>0</v>
          </cell>
          <cell r="BR1218">
            <v>1.5</v>
          </cell>
          <cell r="BS1218">
            <v>1.5</v>
          </cell>
          <cell r="BT1218">
            <v>1.5</v>
          </cell>
          <cell r="BU1218">
            <v>1.5</v>
          </cell>
          <cell r="BV1218">
            <v>0</v>
          </cell>
          <cell r="BW1218">
            <v>1.5</v>
          </cell>
          <cell r="BX1218">
            <v>1.5</v>
          </cell>
          <cell r="BY1218">
            <v>2.5</v>
          </cell>
          <cell r="BZ1218">
            <v>3</v>
          </cell>
          <cell r="CA1218">
            <v>3</v>
          </cell>
          <cell r="CB1218">
            <v>3</v>
          </cell>
          <cell r="CC1218">
            <v>8</v>
          </cell>
          <cell r="CD1218">
            <v>4</v>
          </cell>
          <cell r="CE1218">
            <v>4</v>
          </cell>
          <cell r="CF1218">
            <v>4</v>
          </cell>
          <cell r="CG1218">
            <v>4</v>
          </cell>
          <cell r="CH1218">
            <v>4</v>
          </cell>
          <cell r="CI1218">
            <v>4</v>
          </cell>
          <cell r="CJ1218">
            <v>0</v>
          </cell>
          <cell r="CK1218">
            <v>3</v>
          </cell>
          <cell r="CL1218">
            <v>3</v>
          </cell>
          <cell r="CM1218">
            <v>3</v>
          </cell>
          <cell r="CR1218">
            <v>0</v>
          </cell>
          <cell r="CS1218">
            <v>0</v>
          </cell>
          <cell r="CT1218">
            <v>58</v>
          </cell>
          <cell r="CU1218">
            <v>8</v>
          </cell>
          <cell r="CV1218">
            <v>0</v>
          </cell>
          <cell r="CZ1218">
            <v>66</v>
          </cell>
        </row>
        <row r="1219">
          <cell r="C1219" t="str">
            <v>02601</v>
          </cell>
          <cell r="D1219" t="str">
            <v>Trần Thị Ái Nhàn</v>
          </cell>
          <cell r="E1219" t="str">
            <v>HR &amp; Admin</v>
          </cell>
          <cell r="F1219" t="str">
            <v>HR</v>
          </cell>
          <cell r="G1219" t="str">
            <v>Associate Specialist</v>
          </cell>
          <cell r="H1219">
            <v>44116</v>
          </cell>
          <cell r="I1219">
            <v>8</v>
          </cell>
          <cell r="J1219">
            <v>8</v>
          </cell>
          <cell r="K1219" t="str">
            <v>PO</v>
          </cell>
          <cell r="L1219" t="str">
            <v>CN</v>
          </cell>
          <cell r="M1219">
            <v>8</v>
          </cell>
          <cell r="N1219">
            <v>8</v>
          </cell>
          <cell r="O1219">
            <v>8</v>
          </cell>
          <cell r="P1219">
            <v>8</v>
          </cell>
          <cell r="Q1219" t="str">
            <v>PO</v>
          </cell>
          <cell r="R1219" t="str">
            <v>PO</v>
          </cell>
          <cell r="S1219" t="str">
            <v>CN</v>
          </cell>
          <cell r="T1219">
            <v>8</v>
          </cell>
          <cell r="U1219">
            <v>8</v>
          </cell>
          <cell r="V1219">
            <v>8</v>
          </cell>
          <cell r="W1219">
            <v>8</v>
          </cell>
          <cell r="X1219">
            <v>8</v>
          </cell>
          <cell r="Y1219" t="str">
            <v>PO</v>
          </cell>
          <cell r="Z1219" t="str">
            <v>CN</v>
          </cell>
          <cell r="AA1219">
            <v>8</v>
          </cell>
          <cell r="AB1219">
            <v>8</v>
          </cell>
          <cell r="AC1219">
            <v>8</v>
          </cell>
          <cell r="AD1219">
            <v>8</v>
          </cell>
          <cell r="AE1219">
            <v>8</v>
          </cell>
          <cell r="AF1219" t="str">
            <v>PO</v>
          </cell>
          <cell r="AG1219" t="str">
            <v>CN</v>
          </cell>
          <cell r="AH1219">
            <v>8</v>
          </cell>
          <cell r="AI1219">
            <v>8</v>
          </cell>
          <cell r="AJ1219">
            <v>8</v>
          </cell>
          <cell r="AN1219">
            <v>0</v>
          </cell>
          <cell r="AO1219">
            <v>152</v>
          </cell>
          <cell r="AP1219">
            <v>0</v>
          </cell>
          <cell r="AQ1219">
            <v>0</v>
          </cell>
          <cell r="AR1219">
            <v>0</v>
          </cell>
          <cell r="AS1219">
            <v>0</v>
          </cell>
          <cell r="AT1219">
            <v>0</v>
          </cell>
          <cell r="AU1219">
            <v>0</v>
          </cell>
          <cell r="AV1219">
            <v>40</v>
          </cell>
          <cell r="AW1219">
            <v>0</v>
          </cell>
          <cell r="AX1219">
            <v>0</v>
          </cell>
          <cell r="AY1219">
            <v>0</v>
          </cell>
          <cell r="AZ1219">
            <v>0</v>
          </cell>
          <cell r="BA1219">
            <v>0</v>
          </cell>
          <cell r="BB1219">
            <v>0</v>
          </cell>
          <cell r="BC1219">
            <v>0</v>
          </cell>
          <cell r="BD1219">
            <v>0</v>
          </cell>
          <cell r="BE1219">
            <v>0</v>
          </cell>
          <cell r="BF1219">
            <v>0</v>
          </cell>
          <cell r="BG1219">
            <v>192</v>
          </cell>
          <cell r="BH1219">
            <v>0</v>
          </cell>
          <cell r="BI1219">
            <v>0</v>
          </cell>
          <cell r="BJ1219">
            <v>8</v>
          </cell>
          <cell r="BL1219">
            <v>0</v>
          </cell>
          <cell r="BM1219">
            <v>0</v>
          </cell>
          <cell r="BN1219">
            <v>0</v>
          </cell>
          <cell r="BO1219">
            <v>0</v>
          </cell>
          <cell r="BP1219">
            <v>0</v>
          </cell>
          <cell r="BQ1219">
            <v>0</v>
          </cell>
          <cell r="BR1219">
            <v>0</v>
          </cell>
          <cell r="BS1219">
            <v>4</v>
          </cell>
          <cell r="BT1219">
            <v>0</v>
          </cell>
          <cell r="BU1219">
            <v>0</v>
          </cell>
          <cell r="BV1219">
            <v>0</v>
          </cell>
          <cell r="BW1219">
            <v>0</v>
          </cell>
          <cell r="BX1219">
            <v>0</v>
          </cell>
          <cell r="BY1219">
            <v>0</v>
          </cell>
          <cell r="BZ1219">
            <v>0</v>
          </cell>
          <cell r="CA1219">
            <v>0</v>
          </cell>
          <cell r="CB1219">
            <v>0</v>
          </cell>
          <cell r="CC1219">
            <v>0</v>
          </cell>
          <cell r="CD1219">
            <v>0</v>
          </cell>
          <cell r="CE1219">
            <v>0</v>
          </cell>
          <cell r="CF1219">
            <v>0</v>
          </cell>
          <cell r="CG1219">
            <v>0</v>
          </cell>
          <cell r="CH1219">
            <v>0</v>
          </cell>
          <cell r="CI1219">
            <v>0</v>
          </cell>
          <cell r="CJ1219">
            <v>0</v>
          </cell>
          <cell r="CK1219">
            <v>0</v>
          </cell>
          <cell r="CL1219">
            <v>0</v>
          </cell>
          <cell r="CM1219">
            <v>0</v>
          </cell>
          <cell r="CR1219">
            <v>14.5</v>
          </cell>
          <cell r="CS1219">
            <v>0</v>
          </cell>
          <cell r="CT1219">
            <v>4</v>
          </cell>
          <cell r="CU1219">
            <v>0</v>
          </cell>
          <cell r="CV1219">
            <v>0</v>
          </cell>
          <cell r="CZ1219">
            <v>4</v>
          </cell>
        </row>
        <row r="1220">
          <cell r="C1220" t="str">
            <v>04940</v>
          </cell>
          <cell r="D1220" t="str">
            <v>Hồ Thị Anh Thư</v>
          </cell>
          <cell r="E1220" t="str">
            <v>QC</v>
          </cell>
          <cell r="F1220" t="str">
            <v>QC</v>
          </cell>
          <cell r="G1220" t="str">
            <v xml:space="preserve">Staff </v>
          </cell>
          <cell r="H1220">
            <v>46048</v>
          </cell>
          <cell r="I1220">
            <v>8</v>
          </cell>
          <cell r="J1220">
            <v>8</v>
          </cell>
          <cell r="K1220" t="str">
            <v>PO</v>
          </cell>
          <cell r="L1220" t="str">
            <v>CN</v>
          </cell>
          <cell r="M1220">
            <v>8</v>
          </cell>
          <cell r="N1220">
            <v>8</v>
          </cell>
          <cell r="O1220">
            <v>8</v>
          </cell>
          <cell r="P1220">
            <v>8</v>
          </cell>
          <cell r="Q1220">
            <v>8</v>
          </cell>
          <cell r="R1220" t="str">
            <v>PO</v>
          </cell>
          <cell r="S1220" t="str">
            <v>CN</v>
          </cell>
          <cell r="T1220">
            <v>8</v>
          </cell>
          <cell r="U1220">
            <v>8</v>
          </cell>
          <cell r="V1220">
            <v>8</v>
          </cell>
          <cell r="W1220">
            <v>8</v>
          </cell>
          <cell r="X1220" t="str">
            <v>UP8</v>
          </cell>
          <cell r="Y1220" t="str">
            <v>PO</v>
          </cell>
          <cell r="Z1220" t="str">
            <v>CN</v>
          </cell>
          <cell r="AA1220">
            <v>8</v>
          </cell>
          <cell r="AB1220">
            <v>8</v>
          </cell>
          <cell r="AC1220">
            <v>8</v>
          </cell>
          <cell r="AD1220">
            <v>8</v>
          </cell>
          <cell r="AE1220">
            <v>8</v>
          </cell>
          <cell r="AF1220" t="str">
            <v>PO</v>
          </cell>
          <cell r="AG1220" t="str">
            <v>CN</v>
          </cell>
          <cell r="AH1220">
            <v>8</v>
          </cell>
          <cell r="AI1220">
            <v>8</v>
          </cell>
          <cell r="AJ1220">
            <v>8</v>
          </cell>
          <cell r="AN1220">
            <v>0</v>
          </cell>
          <cell r="AO1220">
            <v>152</v>
          </cell>
          <cell r="AP1220">
            <v>0</v>
          </cell>
          <cell r="AQ1220">
            <v>0</v>
          </cell>
          <cell r="AR1220">
            <v>0</v>
          </cell>
          <cell r="AS1220">
            <v>8</v>
          </cell>
          <cell r="AT1220">
            <v>0</v>
          </cell>
          <cell r="AU1220">
            <v>0</v>
          </cell>
          <cell r="AV1220">
            <v>32</v>
          </cell>
          <cell r="AW1220">
            <v>0</v>
          </cell>
          <cell r="AX1220">
            <v>0</v>
          </cell>
          <cell r="AY1220">
            <v>0</v>
          </cell>
          <cell r="AZ1220">
            <v>0</v>
          </cell>
          <cell r="BA1220">
            <v>0</v>
          </cell>
          <cell r="BB1220">
            <v>0</v>
          </cell>
          <cell r="BC1220">
            <v>0</v>
          </cell>
          <cell r="BD1220">
            <v>0</v>
          </cell>
          <cell r="BE1220">
            <v>0</v>
          </cell>
          <cell r="BF1220">
            <v>0</v>
          </cell>
          <cell r="BG1220">
            <v>184</v>
          </cell>
          <cell r="BH1220">
            <v>0</v>
          </cell>
          <cell r="BI1220">
            <v>0</v>
          </cell>
          <cell r="BJ1220">
            <v>2</v>
          </cell>
          <cell r="BL1220">
            <v>0</v>
          </cell>
          <cell r="BM1220">
            <v>0</v>
          </cell>
          <cell r="BN1220">
            <v>0</v>
          </cell>
          <cell r="BO1220">
            <v>0</v>
          </cell>
          <cell r="BP1220">
            <v>3</v>
          </cell>
          <cell r="BQ1220">
            <v>0</v>
          </cell>
          <cell r="BR1220">
            <v>0.5</v>
          </cell>
          <cell r="BS1220">
            <v>0</v>
          </cell>
          <cell r="BT1220">
            <v>0</v>
          </cell>
          <cell r="BU1220">
            <v>0</v>
          </cell>
          <cell r="BV1220">
            <v>0</v>
          </cell>
          <cell r="BW1220">
            <v>1</v>
          </cell>
          <cell r="BX1220">
            <v>0</v>
          </cell>
          <cell r="BY1220">
            <v>0.75</v>
          </cell>
          <cell r="BZ1220">
            <v>0</v>
          </cell>
          <cell r="CA1220">
            <v>0</v>
          </cell>
          <cell r="CB1220">
            <v>0</v>
          </cell>
          <cell r="CC1220">
            <v>0</v>
          </cell>
          <cell r="CD1220">
            <v>0</v>
          </cell>
          <cell r="CE1220">
            <v>0</v>
          </cell>
          <cell r="CF1220">
            <v>0.5</v>
          </cell>
          <cell r="CG1220">
            <v>1.5</v>
          </cell>
          <cell r="CH1220">
            <v>1.5</v>
          </cell>
          <cell r="CI1220">
            <v>0</v>
          </cell>
          <cell r="CJ1220">
            <v>0</v>
          </cell>
          <cell r="CK1220">
            <v>0.5</v>
          </cell>
          <cell r="CL1220">
            <v>0</v>
          </cell>
          <cell r="CM1220">
            <v>0</v>
          </cell>
          <cell r="CR1220">
            <v>0</v>
          </cell>
          <cell r="CS1220">
            <v>0</v>
          </cell>
          <cell r="CT1220">
            <v>9.25</v>
          </cell>
          <cell r="CU1220">
            <v>0</v>
          </cell>
          <cell r="CV1220">
            <v>0</v>
          </cell>
          <cell r="CZ1220">
            <v>9.25</v>
          </cell>
        </row>
        <row r="1221">
          <cell r="C1221" t="str">
            <v>04942</v>
          </cell>
          <cell r="D1221" t="str">
            <v>Danh Quốc Tủy</v>
          </cell>
          <cell r="E1221" t="str">
            <v>Production</v>
          </cell>
          <cell r="F1221" t="str">
            <v>Packing</v>
          </cell>
          <cell r="G1221" t="str">
            <v>Worker</v>
          </cell>
          <cell r="H1221">
            <v>46051</v>
          </cell>
          <cell r="I1221">
            <v>8</v>
          </cell>
          <cell r="J1221" t="str">
            <v>UP8</v>
          </cell>
          <cell r="K1221">
            <v>8</v>
          </cell>
          <cell r="L1221" t="str">
            <v>CN</v>
          </cell>
          <cell r="M1221" t="str">
            <v>Đ</v>
          </cell>
          <cell r="N1221" t="str">
            <v>Đ</v>
          </cell>
          <cell r="O1221" t="str">
            <v>Đ</v>
          </cell>
          <cell r="P1221" t="str">
            <v>Đ</v>
          </cell>
          <cell r="Q1221" t="str">
            <v>Đ</v>
          </cell>
          <cell r="R1221" t="str">
            <v>Đ</v>
          </cell>
          <cell r="S1221" t="str">
            <v>CN</v>
          </cell>
          <cell r="T1221">
            <v>8</v>
          </cell>
          <cell r="U1221">
            <v>8</v>
          </cell>
          <cell r="V1221" t="str">
            <v>AL8</v>
          </cell>
          <cell r="W1221">
            <v>8</v>
          </cell>
          <cell r="X1221">
            <v>8</v>
          </cell>
          <cell r="Y1221">
            <v>8</v>
          </cell>
          <cell r="Z1221" t="str">
            <v>CN</v>
          </cell>
          <cell r="AA1221" t="str">
            <v>Đ</v>
          </cell>
          <cell r="AB1221" t="str">
            <v>Đ</v>
          </cell>
          <cell r="AC1221" t="str">
            <v>Đ</v>
          </cell>
          <cell r="AD1221" t="str">
            <v>Đ</v>
          </cell>
          <cell r="AE1221" t="str">
            <v>Đ</v>
          </cell>
          <cell r="AF1221" t="str">
            <v>Đ</v>
          </cell>
          <cell r="AG1221" t="str">
            <v>CN</v>
          </cell>
          <cell r="AH1221">
            <v>8</v>
          </cell>
          <cell r="AI1221" t="str">
            <v>AL8</v>
          </cell>
          <cell r="AJ1221" t="str">
            <v>UP8</v>
          </cell>
          <cell r="AN1221">
            <v>96</v>
          </cell>
          <cell r="AO1221">
            <v>64</v>
          </cell>
          <cell r="AP1221">
            <v>0</v>
          </cell>
          <cell r="AQ1221">
            <v>0</v>
          </cell>
          <cell r="AR1221">
            <v>0</v>
          </cell>
          <cell r="AS1221">
            <v>16</v>
          </cell>
          <cell r="AT1221">
            <v>0</v>
          </cell>
          <cell r="AU1221">
            <v>0</v>
          </cell>
          <cell r="AV1221">
            <v>0</v>
          </cell>
          <cell r="AW1221">
            <v>0</v>
          </cell>
          <cell r="AX1221">
            <v>0</v>
          </cell>
          <cell r="AY1221">
            <v>0</v>
          </cell>
          <cell r="AZ1221">
            <v>0</v>
          </cell>
          <cell r="BA1221">
            <v>16</v>
          </cell>
          <cell r="BB1221">
            <v>0</v>
          </cell>
          <cell r="BC1221">
            <v>0</v>
          </cell>
          <cell r="BD1221">
            <v>0</v>
          </cell>
          <cell r="BE1221">
            <v>0</v>
          </cell>
          <cell r="BF1221">
            <v>0</v>
          </cell>
          <cell r="BG1221">
            <v>176</v>
          </cell>
          <cell r="BH1221">
            <v>2</v>
          </cell>
          <cell r="BI1221">
            <v>2</v>
          </cell>
          <cell r="BJ1221">
            <v>0</v>
          </cell>
          <cell r="BL1221">
            <v>0</v>
          </cell>
          <cell r="BM1221">
            <v>0</v>
          </cell>
          <cell r="BN1221">
            <v>0</v>
          </cell>
          <cell r="BO1221">
            <v>0</v>
          </cell>
          <cell r="BP1221">
            <v>1.5</v>
          </cell>
          <cell r="BQ1221">
            <v>3</v>
          </cell>
          <cell r="BR1221">
            <v>0</v>
          </cell>
          <cell r="BS1221">
            <v>0</v>
          </cell>
          <cell r="BT1221">
            <v>0</v>
          </cell>
          <cell r="BU1221">
            <v>0</v>
          </cell>
          <cell r="BV1221">
            <v>0</v>
          </cell>
          <cell r="BW1221">
            <v>3</v>
          </cell>
          <cell r="BX1221">
            <v>3</v>
          </cell>
          <cell r="BY1221">
            <v>0</v>
          </cell>
          <cell r="BZ1221">
            <v>3</v>
          </cell>
          <cell r="CA1221">
            <v>3</v>
          </cell>
          <cell r="CB1221">
            <v>3</v>
          </cell>
          <cell r="CC1221">
            <v>8</v>
          </cell>
          <cell r="CD1221">
            <v>0</v>
          </cell>
          <cell r="CE1221">
            <v>4</v>
          </cell>
          <cell r="CF1221">
            <v>4</v>
          </cell>
          <cell r="CG1221">
            <v>4</v>
          </cell>
          <cell r="CH1221">
            <v>1.5</v>
          </cell>
          <cell r="CI1221">
            <v>1.5</v>
          </cell>
          <cell r="CJ1221">
            <v>0</v>
          </cell>
          <cell r="CK1221">
            <v>0</v>
          </cell>
          <cell r="CL1221">
            <v>0</v>
          </cell>
          <cell r="CM1221">
            <v>0</v>
          </cell>
          <cell r="CR1221">
            <v>0</v>
          </cell>
          <cell r="CS1221">
            <v>0</v>
          </cell>
          <cell r="CT1221">
            <v>34.5</v>
          </cell>
          <cell r="CU1221">
            <v>8</v>
          </cell>
          <cell r="CV1221">
            <v>0</v>
          </cell>
          <cell r="CZ1221">
            <v>42.5</v>
          </cell>
        </row>
        <row r="1222">
          <cell r="C1222" t="str">
            <v>04943</v>
          </cell>
          <cell r="D1222" t="str">
            <v>Đặng Thị Ngọc Thủy</v>
          </cell>
          <cell r="E1222" t="str">
            <v>Production</v>
          </cell>
          <cell r="F1222" t="str">
            <v>Logo</v>
          </cell>
          <cell r="G1222" t="str">
            <v>Worker</v>
          </cell>
          <cell r="H1222">
            <v>46051</v>
          </cell>
          <cell r="I1222" t="str">
            <v>Đ</v>
          </cell>
          <cell r="J1222" t="str">
            <v>Đ</v>
          </cell>
          <cell r="K1222" t="str">
            <v>Đ</v>
          </cell>
          <cell r="L1222" t="str">
            <v>CN</v>
          </cell>
          <cell r="M1222">
            <v>8</v>
          </cell>
          <cell r="N1222">
            <v>8</v>
          </cell>
          <cell r="O1222">
            <v>8</v>
          </cell>
          <cell r="P1222">
            <v>8</v>
          </cell>
          <cell r="Q1222">
            <v>8</v>
          </cell>
          <cell r="R1222">
            <v>8</v>
          </cell>
          <cell r="S1222" t="str">
            <v>CN</v>
          </cell>
          <cell r="T1222" t="str">
            <v>Đ</v>
          </cell>
          <cell r="U1222" t="str">
            <v>Đ</v>
          </cell>
          <cell r="V1222" t="str">
            <v>AL8</v>
          </cell>
          <cell r="W1222" t="str">
            <v>Đ</v>
          </cell>
          <cell r="X1222" t="str">
            <v>AL8</v>
          </cell>
          <cell r="Y1222" t="str">
            <v>Đ</v>
          </cell>
          <cell r="Z1222" t="str">
            <v>CN</v>
          </cell>
          <cell r="AA1222">
            <v>8</v>
          </cell>
          <cell r="AB1222">
            <v>8</v>
          </cell>
          <cell r="AC1222">
            <v>8</v>
          </cell>
          <cell r="AD1222">
            <v>8</v>
          </cell>
          <cell r="AE1222">
            <v>8</v>
          </cell>
          <cell r="AF1222">
            <v>8</v>
          </cell>
          <cell r="AG1222" t="str">
            <v>CN</v>
          </cell>
          <cell r="AH1222" t="str">
            <v>Đ</v>
          </cell>
          <cell r="AI1222" t="str">
            <v>Đ</v>
          </cell>
          <cell r="AJ1222" t="str">
            <v>Đ</v>
          </cell>
          <cell r="AN1222">
            <v>80</v>
          </cell>
          <cell r="AO1222">
            <v>96</v>
          </cell>
          <cell r="AP1222">
            <v>0</v>
          </cell>
          <cell r="AQ1222">
            <v>0</v>
          </cell>
          <cell r="AR1222">
            <v>0</v>
          </cell>
          <cell r="AS1222">
            <v>0</v>
          </cell>
          <cell r="AT1222">
            <v>0</v>
          </cell>
          <cell r="AU1222">
            <v>0</v>
          </cell>
          <cell r="AV1222">
            <v>0</v>
          </cell>
          <cell r="AW1222">
            <v>0</v>
          </cell>
          <cell r="AX1222">
            <v>0</v>
          </cell>
          <cell r="AY1222">
            <v>0</v>
          </cell>
          <cell r="AZ1222">
            <v>0</v>
          </cell>
          <cell r="BA1222">
            <v>16</v>
          </cell>
          <cell r="BB1222">
            <v>0</v>
          </cell>
          <cell r="BC1222">
            <v>0</v>
          </cell>
          <cell r="BD1222">
            <v>0</v>
          </cell>
          <cell r="BE1222">
            <v>0</v>
          </cell>
          <cell r="BF1222">
            <v>0</v>
          </cell>
          <cell r="BG1222">
            <v>192</v>
          </cell>
          <cell r="BH1222">
            <v>2</v>
          </cell>
          <cell r="BI1222">
            <v>2</v>
          </cell>
          <cell r="BJ1222">
            <v>0</v>
          </cell>
          <cell r="BL1222">
            <v>1.5</v>
          </cell>
          <cell r="BM1222">
            <v>1.5</v>
          </cell>
          <cell r="BN1222">
            <v>1.5</v>
          </cell>
          <cell r="BO1222">
            <v>0</v>
          </cell>
          <cell r="BP1222">
            <v>1.5</v>
          </cell>
          <cell r="BQ1222">
            <v>0</v>
          </cell>
          <cell r="BR1222">
            <v>0</v>
          </cell>
          <cell r="BS1222">
            <v>3</v>
          </cell>
          <cell r="BT1222">
            <v>3</v>
          </cell>
          <cell r="BU1222">
            <v>3</v>
          </cell>
          <cell r="BV1222">
            <v>0</v>
          </cell>
          <cell r="BW1222">
            <v>4</v>
          </cell>
          <cell r="BX1222">
            <v>4</v>
          </cell>
          <cell r="BY1222">
            <v>0</v>
          </cell>
          <cell r="BZ1222">
            <v>4</v>
          </cell>
          <cell r="CA1222">
            <v>0</v>
          </cell>
          <cell r="CB1222">
            <v>4</v>
          </cell>
          <cell r="CC1222">
            <v>0</v>
          </cell>
          <cell r="CD1222">
            <v>3</v>
          </cell>
          <cell r="CE1222">
            <v>3</v>
          </cell>
          <cell r="CF1222">
            <v>3</v>
          </cell>
          <cell r="CG1222">
            <v>3</v>
          </cell>
          <cell r="CH1222">
            <v>3</v>
          </cell>
          <cell r="CI1222">
            <v>3</v>
          </cell>
          <cell r="CJ1222">
            <v>8</v>
          </cell>
          <cell r="CK1222">
            <v>4</v>
          </cell>
          <cell r="CL1222">
            <v>4</v>
          </cell>
          <cell r="CM1222">
            <v>4</v>
          </cell>
          <cell r="CR1222">
            <v>0</v>
          </cell>
          <cell r="CS1222">
            <v>0</v>
          </cell>
          <cell r="CT1222">
            <v>61</v>
          </cell>
          <cell r="CU1222">
            <v>8</v>
          </cell>
          <cell r="CV1222">
            <v>0</v>
          </cell>
          <cell r="CZ1222">
            <v>69</v>
          </cell>
        </row>
        <row r="1223">
          <cell r="C1223" t="str">
            <v>04946</v>
          </cell>
          <cell r="D1223" t="str">
            <v>Dư Kim Ngọc</v>
          </cell>
          <cell r="E1223" t="str">
            <v>Production</v>
          </cell>
          <cell r="F1223" t="str">
            <v>Logo</v>
          </cell>
          <cell r="G1223" t="str">
            <v>Worker</v>
          </cell>
          <cell r="H1223">
            <v>46051</v>
          </cell>
          <cell r="I1223">
            <v>8</v>
          </cell>
          <cell r="J1223">
            <v>8</v>
          </cell>
          <cell r="K1223">
            <v>8</v>
          </cell>
          <cell r="L1223" t="str">
            <v>CN</v>
          </cell>
          <cell r="M1223">
            <v>8</v>
          </cell>
          <cell r="N1223" t="str">
            <v>Đ</v>
          </cell>
          <cell r="O1223" t="str">
            <v>Đ</v>
          </cell>
          <cell r="P1223" t="str">
            <v>Đ</v>
          </cell>
          <cell r="Q1223" t="str">
            <v>Đ</v>
          </cell>
          <cell r="R1223" t="str">
            <v>Đ</v>
          </cell>
          <cell r="S1223" t="str">
            <v>CN</v>
          </cell>
          <cell r="T1223">
            <v>8</v>
          </cell>
          <cell r="U1223">
            <v>8</v>
          </cell>
          <cell r="V1223">
            <v>8</v>
          </cell>
          <cell r="W1223">
            <v>8</v>
          </cell>
          <cell r="X1223">
            <v>8</v>
          </cell>
          <cell r="Y1223">
            <v>8</v>
          </cell>
          <cell r="Z1223" t="str">
            <v>CN</v>
          </cell>
          <cell r="AA1223">
            <v>8</v>
          </cell>
          <cell r="AB1223" t="str">
            <v>Đ</v>
          </cell>
          <cell r="AC1223" t="str">
            <v>Đ</v>
          </cell>
          <cell r="AD1223" t="str">
            <v>Đ</v>
          </cell>
          <cell r="AE1223" t="str">
            <v>Đ</v>
          </cell>
          <cell r="AF1223" t="str">
            <v>Đ</v>
          </cell>
          <cell r="AG1223" t="str">
            <v>CN</v>
          </cell>
          <cell r="AH1223">
            <v>8</v>
          </cell>
          <cell r="AI1223">
            <v>8</v>
          </cell>
          <cell r="AJ1223">
            <v>8</v>
          </cell>
          <cell r="AN1223">
            <v>80</v>
          </cell>
          <cell r="AO1223">
            <v>112</v>
          </cell>
          <cell r="AP1223">
            <v>0</v>
          </cell>
          <cell r="AQ1223">
            <v>0</v>
          </cell>
          <cell r="AR1223">
            <v>0</v>
          </cell>
          <cell r="AS1223">
            <v>0</v>
          </cell>
          <cell r="AT1223">
            <v>0</v>
          </cell>
          <cell r="AU1223">
            <v>0</v>
          </cell>
          <cell r="AV1223">
            <v>0</v>
          </cell>
          <cell r="AW1223">
            <v>0</v>
          </cell>
          <cell r="AX1223">
            <v>0</v>
          </cell>
          <cell r="AY1223">
            <v>0</v>
          </cell>
          <cell r="AZ1223">
            <v>0</v>
          </cell>
          <cell r="BA1223">
            <v>0</v>
          </cell>
          <cell r="BB1223">
            <v>0</v>
          </cell>
          <cell r="BC1223">
            <v>0</v>
          </cell>
          <cell r="BD1223">
            <v>0</v>
          </cell>
          <cell r="BE1223">
            <v>0</v>
          </cell>
          <cell r="BF1223">
            <v>0</v>
          </cell>
          <cell r="BG1223">
            <v>192</v>
          </cell>
          <cell r="BH1223">
            <v>0</v>
          </cell>
          <cell r="BI1223">
            <v>0</v>
          </cell>
          <cell r="BJ1223">
            <v>2</v>
          </cell>
          <cell r="BL1223">
            <v>1.5</v>
          </cell>
          <cell r="BM1223">
            <v>1.5</v>
          </cell>
          <cell r="BN1223">
            <v>1.5</v>
          </cell>
          <cell r="BO1223">
            <v>0</v>
          </cell>
          <cell r="BP1223">
            <v>0</v>
          </cell>
          <cell r="BQ1223">
            <v>0</v>
          </cell>
          <cell r="BR1223">
            <v>0</v>
          </cell>
          <cell r="BS1223">
            <v>4</v>
          </cell>
          <cell r="BT1223">
            <v>0</v>
          </cell>
          <cell r="BU1223">
            <v>4</v>
          </cell>
          <cell r="BV1223">
            <v>0</v>
          </cell>
          <cell r="BW1223">
            <v>3</v>
          </cell>
          <cell r="BX1223">
            <v>3</v>
          </cell>
          <cell r="BY1223">
            <v>3</v>
          </cell>
          <cell r="BZ1223">
            <v>3</v>
          </cell>
          <cell r="CA1223">
            <v>3</v>
          </cell>
          <cell r="CB1223">
            <v>3</v>
          </cell>
          <cell r="CC1223">
            <v>8</v>
          </cell>
          <cell r="CD1223">
            <v>0</v>
          </cell>
          <cell r="CE1223">
            <v>4</v>
          </cell>
          <cell r="CF1223">
            <v>4</v>
          </cell>
          <cell r="CG1223">
            <v>4</v>
          </cell>
          <cell r="CH1223">
            <v>4</v>
          </cell>
          <cell r="CI1223">
            <v>4</v>
          </cell>
          <cell r="CJ1223">
            <v>0</v>
          </cell>
          <cell r="CK1223">
            <v>3</v>
          </cell>
          <cell r="CL1223">
            <v>3</v>
          </cell>
          <cell r="CM1223">
            <v>3</v>
          </cell>
          <cell r="CR1223">
            <v>0</v>
          </cell>
          <cell r="CS1223">
            <v>0</v>
          </cell>
          <cell r="CT1223">
            <v>59.5</v>
          </cell>
          <cell r="CU1223">
            <v>8</v>
          </cell>
          <cell r="CV1223">
            <v>0</v>
          </cell>
          <cell r="CZ1223">
            <v>67.5</v>
          </cell>
        </row>
        <row r="1224">
          <cell r="C1224" t="str">
            <v>04948</v>
          </cell>
          <cell r="D1224" t="str">
            <v>Nguyễn Hoàng Thanh Trúc</v>
          </cell>
          <cell r="E1224" t="str">
            <v>Production</v>
          </cell>
          <cell r="F1224" t="str">
            <v>Molding</v>
          </cell>
          <cell r="G1224" t="str">
            <v>Worker</v>
          </cell>
          <cell r="H1224">
            <v>46058</v>
          </cell>
          <cell r="I1224">
            <v>8</v>
          </cell>
          <cell r="J1224">
            <v>8</v>
          </cell>
          <cell r="K1224">
            <v>8</v>
          </cell>
          <cell r="L1224" t="str">
            <v>CN</v>
          </cell>
          <cell r="M1224">
            <v>8</v>
          </cell>
          <cell r="N1224" t="str">
            <v>Đ</v>
          </cell>
          <cell r="O1224" t="str">
            <v>Đ</v>
          </cell>
          <cell r="P1224" t="str">
            <v>Đ</v>
          </cell>
          <cell r="Q1224" t="str">
            <v>Đ</v>
          </cell>
          <cell r="R1224" t="str">
            <v>Đ</v>
          </cell>
          <cell r="S1224" t="str">
            <v>CN</v>
          </cell>
          <cell r="T1224">
            <v>8</v>
          </cell>
          <cell r="U1224">
            <v>8</v>
          </cell>
          <cell r="V1224" t="str">
            <v>AL4</v>
          </cell>
          <cell r="W1224">
            <v>8</v>
          </cell>
          <cell r="X1224">
            <v>8</v>
          </cell>
          <cell r="Y1224">
            <v>8</v>
          </cell>
          <cell r="Z1224" t="str">
            <v>CN</v>
          </cell>
          <cell r="AA1224" t="str">
            <v>AL4</v>
          </cell>
          <cell r="AB1224" t="str">
            <v>Đ</v>
          </cell>
          <cell r="AC1224" t="str">
            <v>Đ</v>
          </cell>
          <cell r="AD1224" t="str">
            <v>Đ</v>
          </cell>
          <cell r="AE1224" t="str">
            <v>Đ</v>
          </cell>
          <cell r="AF1224" t="str">
            <v>Đ</v>
          </cell>
          <cell r="AG1224" t="str">
            <v>CN</v>
          </cell>
          <cell r="AH1224" t="str">
            <v>AL8</v>
          </cell>
          <cell r="AI1224">
            <v>8</v>
          </cell>
          <cell r="AJ1224">
            <v>8</v>
          </cell>
          <cell r="AN1224">
            <v>80</v>
          </cell>
          <cell r="AO1224">
            <v>96</v>
          </cell>
          <cell r="AP1224">
            <v>8</v>
          </cell>
          <cell r="AQ1224">
            <v>0</v>
          </cell>
          <cell r="AR1224">
            <v>0</v>
          </cell>
          <cell r="AS1224">
            <v>0</v>
          </cell>
          <cell r="AT1224">
            <v>0</v>
          </cell>
          <cell r="AU1224">
            <v>0</v>
          </cell>
          <cell r="AV1224">
            <v>0</v>
          </cell>
          <cell r="AW1224">
            <v>0</v>
          </cell>
          <cell r="AX1224">
            <v>0</v>
          </cell>
          <cell r="AY1224">
            <v>0</v>
          </cell>
          <cell r="AZ1224">
            <v>0</v>
          </cell>
          <cell r="BA1224">
            <v>16</v>
          </cell>
          <cell r="BB1224">
            <v>0</v>
          </cell>
          <cell r="BC1224">
            <v>0</v>
          </cell>
          <cell r="BD1224">
            <v>0</v>
          </cell>
          <cell r="BE1224">
            <v>0</v>
          </cell>
          <cell r="BF1224">
            <v>0</v>
          </cell>
          <cell r="BG1224">
            <v>192</v>
          </cell>
          <cell r="BH1224">
            <v>2</v>
          </cell>
          <cell r="BI1224">
            <v>2</v>
          </cell>
          <cell r="BJ1224">
            <v>1</v>
          </cell>
          <cell r="BL1224">
            <v>0</v>
          </cell>
          <cell r="BM1224">
            <v>0</v>
          </cell>
          <cell r="BN1224">
            <v>0</v>
          </cell>
          <cell r="BO1224">
            <v>0</v>
          </cell>
          <cell r="BP1224">
            <v>0</v>
          </cell>
          <cell r="BQ1224">
            <v>0</v>
          </cell>
          <cell r="BR1224">
            <v>0</v>
          </cell>
          <cell r="BS1224">
            <v>0</v>
          </cell>
          <cell r="BT1224">
            <v>4</v>
          </cell>
          <cell r="BU1224">
            <v>0</v>
          </cell>
          <cell r="BV1224">
            <v>0</v>
          </cell>
          <cell r="BW1224">
            <v>0</v>
          </cell>
          <cell r="BX1224">
            <v>0</v>
          </cell>
          <cell r="BY1224">
            <v>0</v>
          </cell>
          <cell r="BZ1224">
            <v>0</v>
          </cell>
          <cell r="CA1224">
            <v>4</v>
          </cell>
          <cell r="CB1224">
            <v>0</v>
          </cell>
          <cell r="CC1224">
            <v>0</v>
          </cell>
          <cell r="CD1224">
            <v>0</v>
          </cell>
          <cell r="CE1224">
            <v>0</v>
          </cell>
          <cell r="CF1224">
            <v>0</v>
          </cell>
          <cell r="CG1224">
            <v>0</v>
          </cell>
          <cell r="CH1224">
            <v>0</v>
          </cell>
          <cell r="CI1224">
            <v>0</v>
          </cell>
          <cell r="CJ1224">
            <v>0</v>
          </cell>
          <cell r="CK1224">
            <v>0</v>
          </cell>
          <cell r="CL1224">
            <v>0</v>
          </cell>
          <cell r="CM1224">
            <v>0</v>
          </cell>
          <cell r="CR1224">
            <v>0</v>
          </cell>
          <cell r="CS1224">
            <v>0</v>
          </cell>
          <cell r="CT1224">
            <v>8</v>
          </cell>
          <cell r="CU1224">
            <v>0</v>
          </cell>
          <cell r="CV1224">
            <v>0</v>
          </cell>
          <cell r="CZ1224">
            <v>8</v>
          </cell>
        </row>
        <row r="1225">
          <cell r="C1225" t="str">
            <v>03920</v>
          </cell>
          <cell r="D1225" t="str">
            <v>Bành Thị Diễm Thúy</v>
          </cell>
          <cell r="E1225" t="str">
            <v>Production</v>
          </cell>
          <cell r="F1225" t="str">
            <v>Die Cut</v>
          </cell>
          <cell r="G1225" t="str">
            <v>Worker</v>
          </cell>
          <cell r="H1225">
            <v>45160</v>
          </cell>
          <cell r="I1225" t="str">
            <v>UP8</v>
          </cell>
          <cell r="J1225" t="str">
            <v>UP8</v>
          </cell>
          <cell r="K1225" t="str">
            <v>UP8</v>
          </cell>
          <cell r="L1225" t="str">
            <v>UP8</v>
          </cell>
          <cell r="M1225" t="str">
            <v>UP8</v>
          </cell>
          <cell r="N1225" t="str">
            <v>UP8</v>
          </cell>
          <cell r="O1225" t="str">
            <v>UP8</v>
          </cell>
          <cell r="P1225">
            <v>8</v>
          </cell>
          <cell r="Q1225">
            <v>8</v>
          </cell>
          <cell r="R1225">
            <v>8</v>
          </cell>
          <cell r="S1225" t="str">
            <v>CN</v>
          </cell>
          <cell r="T1225">
            <v>8</v>
          </cell>
          <cell r="U1225">
            <v>8</v>
          </cell>
          <cell r="V1225">
            <v>8</v>
          </cell>
          <cell r="W1225">
            <v>8</v>
          </cell>
          <cell r="X1225">
            <v>8</v>
          </cell>
          <cell r="Y1225">
            <v>8</v>
          </cell>
          <cell r="Z1225" t="str">
            <v>CN</v>
          </cell>
          <cell r="AA1225">
            <v>8</v>
          </cell>
          <cell r="AB1225">
            <v>8</v>
          </cell>
          <cell r="AC1225">
            <v>8</v>
          </cell>
          <cell r="AD1225">
            <v>8</v>
          </cell>
          <cell r="AE1225">
            <v>8</v>
          </cell>
          <cell r="AF1225">
            <v>8</v>
          </cell>
          <cell r="AG1225" t="str">
            <v>CN</v>
          </cell>
          <cell r="AH1225">
            <v>8</v>
          </cell>
          <cell r="AI1225">
            <v>8</v>
          </cell>
          <cell r="AJ1225">
            <v>8</v>
          </cell>
          <cell r="AN1225">
            <v>0</v>
          </cell>
          <cell r="AO1225">
            <v>144</v>
          </cell>
          <cell r="AP1225">
            <v>0</v>
          </cell>
          <cell r="AQ1225">
            <v>0</v>
          </cell>
          <cell r="AR1225">
            <v>0</v>
          </cell>
          <cell r="AS1225">
            <v>56</v>
          </cell>
          <cell r="AT1225">
            <v>0</v>
          </cell>
          <cell r="AU1225">
            <v>0</v>
          </cell>
          <cell r="AV1225">
            <v>0</v>
          </cell>
          <cell r="AW1225">
            <v>0</v>
          </cell>
          <cell r="AX1225">
            <v>0</v>
          </cell>
          <cell r="AY1225">
            <v>0</v>
          </cell>
          <cell r="AZ1225">
            <v>0</v>
          </cell>
          <cell r="BA1225">
            <v>0</v>
          </cell>
          <cell r="BB1225">
            <v>0</v>
          </cell>
          <cell r="BC1225">
            <v>0</v>
          </cell>
          <cell r="BD1225">
            <v>0</v>
          </cell>
          <cell r="BE1225">
            <v>0</v>
          </cell>
          <cell r="BF1225">
            <v>0</v>
          </cell>
          <cell r="BG1225">
            <v>144</v>
          </cell>
          <cell r="BH1225">
            <v>0</v>
          </cell>
          <cell r="BI1225">
            <v>0</v>
          </cell>
          <cell r="BJ1225">
            <v>8</v>
          </cell>
          <cell r="BL1225">
            <v>0</v>
          </cell>
          <cell r="BM1225">
            <v>0</v>
          </cell>
          <cell r="BN1225">
            <v>0</v>
          </cell>
          <cell r="BO1225">
            <v>0</v>
          </cell>
          <cell r="BP1225">
            <v>0</v>
          </cell>
          <cell r="BQ1225">
            <v>0</v>
          </cell>
          <cell r="BR1225">
            <v>0</v>
          </cell>
          <cell r="BS1225">
            <v>0</v>
          </cell>
          <cell r="BT1225">
            <v>0</v>
          </cell>
          <cell r="BU1225">
            <v>0</v>
          </cell>
          <cell r="BV1225">
            <v>0</v>
          </cell>
          <cell r="BW1225">
            <v>0</v>
          </cell>
          <cell r="BX1225">
            <v>0</v>
          </cell>
          <cell r="BY1225">
            <v>0</v>
          </cell>
          <cell r="BZ1225">
            <v>0</v>
          </cell>
          <cell r="CA1225">
            <v>0</v>
          </cell>
          <cell r="CB1225">
            <v>0</v>
          </cell>
          <cell r="CC1225">
            <v>0</v>
          </cell>
          <cell r="CD1225">
            <v>0</v>
          </cell>
          <cell r="CE1225">
            <v>0</v>
          </cell>
          <cell r="CF1225">
            <v>0</v>
          </cell>
          <cell r="CG1225">
            <v>0</v>
          </cell>
          <cell r="CH1225">
            <v>0</v>
          </cell>
          <cell r="CI1225">
            <v>0</v>
          </cell>
          <cell r="CJ1225">
            <v>0</v>
          </cell>
          <cell r="CK1225">
            <v>0</v>
          </cell>
          <cell r="CL1225">
            <v>0</v>
          </cell>
          <cell r="CM1225">
            <v>0</v>
          </cell>
          <cell r="CR1225">
            <v>0</v>
          </cell>
          <cell r="CS1225">
            <v>0</v>
          </cell>
          <cell r="CT1225">
            <v>0</v>
          </cell>
          <cell r="CU1225">
            <v>0</v>
          </cell>
          <cell r="CV1225">
            <v>0</v>
          </cell>
          <cell r="CZ1225">
            <v>0</v>
          </cell>
        </row>
        <row r="1226">
          <cell r="C1226" t="str">
            <v>04015</v>
          </cell>
          <cell r="D1226" t="str">
            <v>Ngô Thảo Ly</v>
          </cell>
          <cell r="E1226" t="str">
            <v>Production</v>
          </cell>
          <cell r="F1226" t="str">
            <v>Logo</v>
          </cell>
          <cell r="G1226" t="str">
            <v>Worker</v>
          </cell>
          <cell r="H1226">
            <v>45225</v>
          </cell>
          <cell r="I1226" t="str">
            <v>UP8</v>
          </cell>
          <cell r="J1226" t="str">
            <v>UP8</v>
          </cell>
          <cell r="K1226" t="str">
            <v>UP8</v>
          </cell>
          <cell r="L1226" t="str">
            <v>UP8</v>
          </cell>
          <cell r="M1226" t="str">
            <v>UP8</v>
          </cell>
          <cell r="N1226" t="str">
            <v>AL8</v>
          </cell>
          <cell r="O1226" t="str">
            <v>AL8</v>
          </cell>
          <cell r="P1226" t="str">
            <v>AL8</v>
          </cell>
          <cell r="Q1226" t="str">
            <v>AL8</v>
          </cell>
          <cell r="R1226" t="str">
            <v>AL8</v>
          </cell>
          <cell r="S1226" t="str">
            <v>CN</v>
          </cell>
          <cell r="T1226">
            <v>8</v>
          </cell>
          <cell r="U1226">
            <v>8</v>
          </cell>
          <cell r="V1226">
            <v>8</v>
          </cell>
          <cell r="W1226">
            <v>8</v>
          </cell>
          <cell r="X1226">
            <v>8</v>
          </cell>
          <cell r="Y1226">
            <v>8</v>
          </cell>
          <cell r="Z1226" t="str">
            <v>CN</v>
          </cell>
          <cell r="AA1226">
            <v>8</v>
          </cell>
          <cell r="AB1226">
            <v>8</v>
          </cell>
          <cell r="AC1226">
            <v>8</v>
          </cell>
          <cell r="AD1226" t="str">
            <v>UP4</v>
          </cell>
          <cell r="AE1226" t="str">
            <v>UP8</v>
          </cell>
          <cell r="AF1226">
            <v>8</v>
          </cell>
          <cell r="AG1226" t="str">
            <v>CN</v>
          </cell>
          <cell r="AH1226">
            <v>8</v>
          </cell>
          <cell r="AI1226" t="str">
            <v>UP4</v>
          </cell>
          <cell r="AJ1226" t="str">
            <v>UP8</v>
          </cell>
          <cell r="AN1226">
            <v>0</v>
          </cell>
          <cell r="AO1226">
            <v>96</v>
          </cell>
          <cell r="AP1226">
            <v>0</v>
          </cell>
          <cell r="AQ1226">
            <v>0</v>
          </cell>
          <cell r="AR1226">
            <v>8</v>
          </cell>
          <cell r="AS1226">
            <v>64</v>
          </cell>
          <cell r="AT1226">
            <v>0</v>
          </cell>
          <cell r="AU1226">
            <v>0</v>
          </cell>
          <cell r="AV1226">
            <v>0</v>
          </cell>
          <cell r="AW1226">
            <v>0</v>
          </cell>
          <cell r="AX1226">
            <v>0</v>
          </cell>
          <cell r="AY1226">
            <v>0</v>
          </cell>
          <cell r="AZ1226">
            <v>0</v>
          </cell>
          <cell r="BA1226">
            <v>40</v>
          </cell>
          <cell r="BB1226">
            <v>0</v>
          </cell>
          <cell r="BC1226">
            <v>0</v>
          </cell>
          <cell r="BD1226">
            <v>0</v>
          </cell>
          <cell r="BE1226">
            <v>0</v>
          </cell>
          <cell r="BF1226">
            <v>0</v>
          </cell>
          <cell r="BG1226">
            <v>136</v>
          </cell>
          <cell r="BH1226">
            <v>5</v>
          </cell>
          <cell r="BI1226">
            <v>5</v>
          </cell>
          <cell r="BJ1226">
            <v>0</v>
          </cell>
          <cell r="BL1226">
            <v>0</v>
          </cell>
          <cell r="BM1226">
            <v>0</v>
          </cell>
          <cell r="BN1226">
            <v>0</v>
          </cell>
          <cell r="BO1226">
            <v>0</v>
          </cell>
          <cell r="BP1226">
            <v>0</v>
          </cell>
          <cell r="BQ1226">
            <v>0</v>
          </cell>
          <cell r="BR1226">
            <v>0</v>
          </cell>
          <cell r="BS1226">
            <v>0</v>
          </cell>
          <cell r="BT1226">
            <v>0</v>
          </cell>
          <cell r="BU1226">
            <v>0</v>
          </cell>
          <cell r="BV1226">
            <v>0</v>
          </cell>
          <cell r="BW1226">
            <v>0</v>
          </cell>
          <cell r="BX1226">
            <v>0</v>
          </cell>
          <cell r="BY1226">
            <v>0</v>
          </cell>
          <cell r="BZ1226">
            <v>0</v>
          </cell>
          <cell r="CA1226">
            <v>0</v>
          </cell>
          <cell r="CB1226">
            <v>0</v>
          </cell>
          <cell r="CC1226">
            <v>0</v>
          </cell>
          <cell r="CD1226">
            <v>0</v>
          </cell>
          <cell r="CE1226">
            <v>0</v>
          </cell>
          <cell r="CF1226">
            <v>0</v>
          </cell>
          <cell r="CG1226">
            <v>0</v>
          </cell>
          <cell r="CH1226">
            <v>0</v>
          </cell>
          <cell r="CI1226">
            <v>0</v>
          </cell>
          <cell r="CJ1226">
            <v>0</v>
          </cell>
          <cell r="CK1226">
            <v>3</v>
          </cell>
          <cell r="CL1226">
            <v>0</v>
          </cell>
          <cell r="CM1226">
            <v>0</v>
          </cell>
          <cell r="CR1226">
            <v>3</v>
          </cell>
          <cell r="CS1226">
            <v>0</v>
          </cell>
          <cell r="CT1226">
            <v>3</v>
          </cell>
          <cell r="CU1226">
            <v>0</v>
          </cell>
          <cell r="CV1226">
            <v>0</v>
          </cell>
          <cell r="CZ1226">
            <v>3</v>
          </cell>
        </row>
        <row r="1227">
          <cell r="C1227" t="str">
            <v>04949</v>
          </cell>
          <cell r="D1227" t="str">
            <v>Huỳnh Thanh Việt</v>
          </cell>
          <cell r="E1227" t="str">
            <v>Production</v>
          </cell>
          <cell r="F1227" t="str">
            <v>Lamination</v>
          </cell>
          <cell r="G1227" t="str">
            <v>Worker</v>
          </cell>
          <cell r="H1227">
            <v>46083</v>
          </cell>
          <cell r="I1227" t="str">
            <v>X</v>
          </cell>
          <cell r="J1227" t="str">
            <v>X</v>
          </cell>
          <cell r="K1227" t="str">
            <v>X</v>
          </cell>
          <cell r="L1227" t="str">
            <v>X</v>
          </cell>
          <cell r="M1227">
            <v>8</v>
          </cell>
          <cell r="N1227">
            <v>8</v>
          </cell>
          <cell r="O1227">
            <v>8</v>
          </cell>
          <cell r="P1227">
            <v>8</v>
          </cell>
          <cell r="Q1227">
            <v>8</v>
          </cell>
          <cell r="R1227">
            <v>8</v>
          </cell>
          <cell r="S1227" t="str">
            <v>CN</v>
          </cell>
          <cell r="T1227" t="str">
            <v>Đ</v>
          </cell>
          <cell r="U1227" t="str">
            <v>Đ</v>
          </cell>
          <cell r="V1227" t="str">
            <v>Đ</v>
          </cell>
          <cell r="W1227" t="str">
            <v>Đ</v>
          </cell>
          <cell r="X1227" t="str">
            <v>Đ</v>
          </cell>
          <cell r="Y1227" t="str">
            <v>Đ</v>
          </cell>
          <cell r="Z1227" t="str">
            <v>CN</v>
          </cell>
          <cell r="AA1227" t="str">
            <v>Đ</v>
          </cell>
          <cell r="AB1227" t="str">
            <v>Đ</v>
          </cell>
          <cell r="AC1227" t="str">
            <v>Đ</v>
          </cell>
          <cell r="AD1227" t="str">
            <v>Đ</v>
          </cell>
          <cell r="AE1227" t="str">
            <v>CN</v>
          </cell>
          <cell r="AF1227">
            <v>8</v>
          </cell>
          <cell r="AG1227" t="str">
            <v>Đ</v>
          </cell>
          <cell r="AH1227" t="str">
            <v>Đ</v>
          </cell>
          <cell r="AI1227" t="str">
            <v>Đ</v>
          </cell>
          <cell r="AJ1227" t="str">
            <v>Đ</v>
          </cell>
          <cell r="AN1227">
            <v>112</v>
          </cell>
          <cell r="AO1227">
            <v>56</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0</v>
          </cell>
          <cell r="BD1227">
            <v>0</v>
          </cell>
          <cell r="BE1227">
            <v>0</v>
          </cell>
          <cell r="BF1227">
            <v>0</v>
          </cell>
          <cell r="BG1227">
            <v>168</v>
          </cell>
          <cell r="BH1227">
            <v>0</v>
          </cell>
          <cell r="BI1227">
            <v>0</v>
          </cell>
          <cell r="BJ1227">
            <v>2.5</v>
          </cell>
          <cell r="BL1227">
            <v>0</v>
          </cell>
          <cell r="BM1227">
            <v>0</v>
          </cell>
          <cell r="BN1227">
            <v>0</v>
          </cell>
          <cell r="BO1227">
            <v>0</v>
          </cell>
          <cell r="BP1227">
            <v>0</v>
          </cell>
          <cell r="BQ1227">
            <v>0</v>
          </cell>
          <cell r="BR1227">
            <v>4</v>
          </cell>
          <cell r="BS1227">
            <v>0</v>
          </cell>
          <cell r="BT1227">
            <v>4</v>
          </cell>
          <cell r="BU1227">
            <v>0</v>
          </cell>
          <cell r="BV1227">
            <v>0</v>
          </cell>
          <cell r="BW1227">
            <v>0</v>
          </cell>
          <cell r="BX1227">
            <v>0</v>
          </cell>
          <cell r="BY1227">
            <v>4</v>
          </cell>
          <cell r="BZ1227">
            <v>0</v>
          </cell>
          <cell r="CA1227">
            <v>0</v>
          </cell>
          <cell r="CB1227">
            <v>4</v>
          </cell>
          <cell r="CC1227">
            <v>0</v>
          </cell>
          <cell r="CD1227">
            <v>0</v>
          </cell>
          <cell r="CE1227">
            <v>0</v>
          </cell>
          <cell r="CF1227">
            <v>4</v>
          </cell>
          <cell r="CG1227">
            <v>0</v>
          </cell>
          <cell r="CH1227">
            <v>0</v>
          </cell>
          <cell r="CI1227">
            <v>4</v>
          </cell>
          <cell r="CJ1227">
            <v>4</v>
          </cell>
          <cell r="CK1227">
            <v>0</v>
          </cell>
          <cell r="CL1227">
            <v>0</v>
          </cell>
          <cell r="CM1227">
            <v>4</v>
          </cell>
          <cell r="CR1227">
            <v>0</v>
          </cell>
          <cell r="CS1227">
            <v>0</v>
          </cell>
          <cell r="CT1227">
            <v>32</v>
          </cell>
          <cell r="CU1227">
            <v>0</v>
          </cell>
          <cell r="CV1227">
            <v>0</v>
          </cell>
          <cell r="CZ1227">
            <v>32</v>
          </cell>
        </row>
        <row r="1228">
          <cell r="C1228" t="str">
            <v>04950</v>
          </cell>
          <cell r="D1228" t="str">
            <v>Huỳnh Tấn Phát</v>
          </cell>
          <cell r="E1228" t="str">
            <v>Production</v>
          </cell>
          <cell r="F1228" t="str">
            <v>Prefitting</v>
          </cell>
          <cell r="G1228" t="str">
            <v>Worker</v>
          </cell>
          <cell r="H1228">
            <v>46083</v>
          </cell>
          <cell r="I1228" t="str">
            <v>X</v>
          </cell>
          <cell r="J1228" t="str">
            <v>X</v>
          </cell>
          <cell r="K1228" t="str">
            <v>X</v>
          </cell>
          <cell r="L1228" t="str">
            <v>X</v>
          </cell>
          <cell r="M1228">
            <v>8</v>
          </cell>
          <cell r="N1228">
            <v>8</v>
          </cell>
          <cell r="O1228">
            <v>8</v>
          </cell>
          <cell r="P1228">
            <v>8</v>
          </cell>
          <cell r="Q1228">
            <v>8</v>
          </cell>
          <cell r="R1228">
            <v>8</v>
          </cell>
          <cell r="S1228" t="str">
            <v>CN</v>
          </cell>
          <cell r="T1228">
            <v>8</v>
          </cell>
          <cell r="U1228">
            <v>8</v>
          </cell>
          <cell r="V1228">
            <v>8</v>
          </cell>
          <cell r="W1228">
            <v>8</v>
          </cell>
          <cell r="X1228">
            <v>8</v>
          </cell>
          <cell r="Y1228">
            <v>8</v>
          </cell>
          <cell r="Z1228" t="str">
            <v>CN</v>
          </cell>
          <cell r="AA1228">
            <v>8</v>
          </cell>
          <cell r="AB1228">
            <v>8</v>
          </cell>
          <cell r="AC1228">
            <v>8</v>
          </cell>
          <cell r="AD1228">
            <v>8</v>
          </cell>
          <cell r="AE1228">
            <v>8</v>
          </cell>
          <cell r="AF1228">
            <v>8</v>
          </cell>
          <cell r="AG1228" t="str">
            <v>CN</v>
          </cell>
          <cell r="AH1228" t="str">
            <v>Đ</v>
          </cell>
          <cell r="AI1228" t="str">
            <v>Đ</v>
          </cell>
          <cell r="AJ1228" t="str">
            <v>Đ</v>
          </cell>
          <cell r="AN1228">
            <v>24</v>
          </cell>
          <cell r="AO1228">
            <v>144</v>
          </cell>
          <cell r="AP1228">
            <v>0</v>
          </cell>
          <cell r="AQ1228">
            <v>0</v>
          </cell>
          <cell r="AR1228">
            <v>0</v>
          </cell>
          <cell r="AS1228">
            <v>0</v>
          </cell>
          <cell r="AT1228">
            <v>0</v>
          </cell>
          <cell r="AU1228">
            <v>0</v>
          </cell>
          <cell r="AV1228">
            <v>0</v>
          </cell>
          <cell r="AW1228">
            <v>0</v>
          </cell>
          <cell r="AX1228">
            <v>0</v>
          </cell>
          <cell r="AY1228">
            <v>0</v>
          </cell>
          <cell r="AZ1228">
            <v>0</v>
          </cell>
          <cell r="BA1228">
            <v>0</v>
          </cell>
          <cell r="BB1228">
            <v>0</v>
          </cell>
          <cell r="BC1228">
            <v>0</v>
          </cell>
          <cell r="BD1228">
            <v>0</v>
          </cell>
          <cell r="BE1228">
            <v>0</v>
          </cell>
          <cell r="BF1228">
            <v>0</v>
          </cell>
          <cell r="BG1228">
            <v>168</v>
          </cell>
          <cell r="BH1228">
            <v>0</v>
          </cell>
          <cell r="BI1228">
            <v>0</v>
          </cell>
          <cell r="BJ1228">
            <v>2</v>
          </cell>
          <cell r="BL1228">
            <v>0</v>
          </cell>
          <cell r="BM1228">
            <v>0</v>
          </cell>
          <cell r="BN1228">
            <v>0</v>
          </cell>
          <cell r="BO1228">
            <v>0</v>
          </cell>
          <cell r="BP1228">
            <v>0</v>
          </cell>
          <cell r="BQ1228">
            <v>0</v>
          </cell>
          <cell r="BR1228">
            <v>0</v>
          </cell>
          <cell r="BS1228">
            <v>0</v>
          </cell>
          <cell r="BT1228">
            <v>0</v>
          </cell>
          <cell r="BU1228">
            <v>0</v>
          </cell>
          <cell r="BV1228">
            <v>0</v>
          </cell>
          <cell r="BW1228">
            <v>0</v>
          </cell>
          <cell r="BX1228">
            <v>0</v>
          </cell>
          <cell r="BY1228">
            <v>0</v>
          </cell>
          <cell r="BZ1228">
            <v>0</v>
          </cell>
          <cell r="CA1228">
            <v>0</v>
          </cell>
          <cell r="CB1228">
            <v>0</v>
          </cell>
          <cell r="CC1228">
            <v>0</v>
          </cell>
          <cell r="CD1228">
            <v>0</v>
          </cell>
          <cell r="CE1228">
            <v>0</v>
          </cell>
          <cell r="CF1228">
            <v>0</v>
          </cell>
          <cell r="CG1228">
            <v>0</v>
          </cell>
          <cell r="CH1228">
            <v>0</v>
          </cell>
          <cell r="CI1228">
            <v>0</v>
          </cell>
          <cell r="CJ1228">
            <v>0</v>
          </cell>
          <cell r="CK1228">
            <v>0</v>
          </cell>
          <cell r="CL1228">
            <v>0</v>
          </cell>
          <cell r="CM1228">
            <v>0</v>
          </cell>
          <cell r="CR1228">
            <v>0</v>
          </cell>
          <cell r="CS1228">
            <v>0</v>
          </cell>
          <cell r="CT1228">
            <v>0</v>
          </cell>
          <cell r="CU1228">
            <v>0</v>
          </cell>
          <cell r="CV1228">
            <v>0</v>
          </cell>
          <cell r="CZ1228">
            <v>0</v>
          </cell>
        </row>
        <row r="1229">
          <cell r="C1229" t="str">
            <v>04951</v>
          </cell>
          <cell r="D1229" t="str">
            <v>Nguyễn Văn Phước</v>
          </cell>
          <cell r="E1229" t="str">
            <v>Production</v>
          </cell>
          <cell r="F1229" t="str">
            <v>Prefitting</v>
          </cell>
          <cell r="G1229" t="str">
            <v>Worker</v>
          </cell>
          <cell r="H1229">
            <v>46083</v>
          </cell>
          <cell r="I1229" t="str">
            <v>X</v>
          </cell>
          <cell r="J1229" t="str">
            <v>X</v>
          </cell>
          <cell r="K1229" t="str">
            <v>X</v>
          </cell>
          <cell r="L1229" t="str">
            <v>X</v>
          </cell>
          <cell r="M1229">
            <v>8</v>
          </cell>
          <cell r="N1229">
            <v>8</v>
          </cell>
          <cell r="O1229">
            <v>8</v>
          </cell>
          <cell r="P1229">
            <v>8</v>
          </cell>
          <cell r="Q1229">
            <v>8</v>
          </cell>
          <cell r="R1229">
            <v>8</v>
          </cell>
          <cell r="S1229" t="str">
            <v>CN</v>
          </cell>
          <cell r="T1229">
            <v>8</v>
          </cell>
          <cell r="U1229">
            <v>8</v>
          </cell>
          <cell r="V1229">
            <v>8</v>
          </cell>
          <cell r="W1229">
            <v>8</v>
          </cell>
          <cell r="X1229">
            <v>8</v>
          </cell>
          <cell r="Y1229">
            <v>8</v>
          </cell>
          <cell r="Z1229" t="str">
            <v>CN</v>
          </cell>
          <cell r="AA1229">
            <v>8</v>
          </cell>
          <cell r="AB1229">
            <v>8</v>
          </cell>
          <cell r="AC1229">
            <v>8</v>
          </cell>
          <cell r="AD1229">
            <v>8</v>
          </cell>
          <cell r="AE1229">
            <v>8</v>
          </cell>
          <cell r="AF1229">
            <v>8</v>
          </cell>
          <cell r="AG1229" t="str">
            <v>CN</v>
          </cell>
          <cell r="AH1229" t="str">
            <v>Đ</v>
          </cell>
          <cell r="AI1229" t="str">
            <v>Đ</v>
          </cell>
          <cell r="AJ1229" t="str">
            <v>Đ</v>
          </cell>
          <cell r="AN1229">
            <v>24</v>
          </cell>
          <cell r="AO1229">
            <v>144</v>
          </cell>
          <cell r="AP1229">
            <v>0</v>
          </cell>
          <cell r="AQ1229">
            <v>0</v>
          </cell>
          <cell r="AR1229">
            <v>0</v>
          </cell>
          <cell r="AS1229">
            <v>0</v>
          </cell>
          <cell r="AT1229">
            <v>0</v>
          </cell>
          <cell r="AU1229">
            <v>0</v>
          </cell>
          <cell r="AV1229">
            <v>0</v>
          </cell>
          <cell r="AW1229">
            <v>0</v>
          </cell>
          <cell r="AX1229">
            <v>0</v>
          </cell>
          <cell r="AY1229">
            <v>0</v>
          </cell>
          <cell r="AZ1229">
            <v>0</v>
          </cell>
          <cell r="BA1229">
            <v>0</v>
          </cell>
          <cell r="BB1229">
            <v>0</v>
          </cell>
          <cell r="BC1229">
            <v>0</v>
          </cell>
          <cell r="BD1229">
            <v>0</v>
          </cell>
          <cell r="BE1229">
            <v>0</v>
          </cell>
          <cell r="BF1229">
            <v>0</v>
          </cell>
          <cell r="BG1229">
            <v>168</v>
          </cell>
          <cell r="BH1229">
            <v>0</v>
          </cell>
          <cell r="BI1229">
            <v>0</v>
          </cell>
          <cell r="BJ1229">
            <v>2</v>
          </cell>
          <cell r="BL1229">
            <v>0</v>
          </cell>
          <cell r="BM1229">
            <v>0</v>
          </cell>
          <cell r="BN1229">
            <v>0</v>
          </cell>
          <cell r="BO1229">
            <v>0</v>
          </cell>
          <cell r="BP1229">
            <v>0</v>
          </cell>
          <cell r="BQ1229">
            <v>0</v>
          </cell>
          <cell r="BR1229">
            <v>0</v>
          </cell>
          <cell r="BS1229">
            <v>0</v>
          </cell>
          <cell r="BT1229">
            <v>0</v>
          </cell>
          <cell r="BU1229">
            <v>0</v>
          </cell>
          <cell r="BV1229">
            <v>0</v>
          </cell>
          <cell r="BW1229">
            <v>0</v>
          </cell>
          <cell r="BX1229">
            <v>0</v>
          </cell>
          <cell r="BY1229">
            <v>0</v>
          </cell>
          <cell r="BZ1229">
            <v>0</v>
          </cell>
          <cell r="CA1229">
            <v>0</v>
          </cell>
          <cell r="CB1229">
            <v>0</v>
          </cell>
          <cell r="CC1229">
            <v>0</v>
          </cell>
          <cell r="CD1229">
            <v>0</v>
          </cell>
          <cell r="CE1229">
            <v>0</v>
          </cell>
          <cell r="CF1229">
            <v>0</v>
          </cell>
          <cell r="CG1229">
            <v>0</v>
          </cell>
          <cell r="CH1229">
            <v>0</v>
          </cell>
          <cell r="CI1229">
            <v>0</v>
          </cell>
          <cell r="CJ1229">
            <v>0</v>
          </cell>
          <cell r="CK1229">
            <v>0</v>
          </cell>
          <cell r="CL1229">
            <v>0</v>
          </cell>
          <cell r="CM1229">
            <v>0</v>
          </cell>
          <cell r="CR1229">
            <v>0</v>
          </cell>
          <cell r="CS1229">
            <v>0</v>
          </cell>
          <cell r="CT1229">
            <v>0</v>
          </cell>
          <cell r="CU1229">
            <v>0</v>
          </cell>
          <cell r="CV1229">
            <v>0</v>
          </cell>
          <cell r="CZ1229">
            <v>0</v>
          </cell>
        </row>
        <row r="1230">
          <cell r="C1230" t="str">
            <v>04952</v>
          </cell>
          <cell r="D1230" t="str">
            <v>Trần Hồng Tiền</v>
          </cell>
          <cell r="E1230" t="str">
            <v>Production</v>
          </cell>
          <cell r="F1230" t="str">
            <v>Prefitting</v>
          </cell>
          <cell r="G1230" t="str">
            <v>Worker</v>
          </cell>
          <cell r="H1230">
            <v>46083</v>
          </cell>
          <cell r="I1230" t="str">
            <v>X</v>
          </cell>
          <cell r="J1230" t="str">
            <v>X</v>
          </cell>
          <cell r="K1230" t="str">
            <v>X</v>
          </cell>
          <cell r="L1230" t="str">
            <v>X</v>
          </cell>
          <cell r="M1230">
            <v>8</v>
          </cell>
          <cell r="N1230">
            <v>8</v>
          </cell>
          <cell r="O1230">
            <v>8</v>
          </cell>
          <cell r="P1230">
            <v>8</v>
          </cell>
          <cell r="Q1230">
            <v>8</v>
          </cell>
          <cell r="R1230">
            <v>8</v>
          </cell>
          <cell r="S1230" t="str">
            <v>CN</v>
          </cell>
          <cell r="T1230" t="str">
            <v>Đ</v>
          </cell>
          <cell r="U1230" t="str">
            <v>Đ</v>
          </cell>
          <cell r="V1230" t="str">
            <v>Đ</v>
          </cell>
          <cell r="W1230" t="str">
            <v>Đ</v>
          </cell>
          <cell r="X1230" t="str">
            <v>Đ</v>
          </cell>
          <cell r="Y1230" t="str">
            <v>Đ</v>
          </cell>
          <cell r="Z1230" t="str">
            <v>CN</v>
          </cell>
          <cell r="AA1230">
            <v>8</v>
          </cell>
          <cell r="AB1230">
            <v>8</v>
          </cell>
          <cell r="AC1230" t="str">
            <v>CN</v>
          </cell>
          <cell r="AD1230" t="str">
            <v>Đ</v>
          </cell>
          <cell r="AE1230" t="str">
            <v>Đ</v>
          </cell>
          <cell r="AF1230" t="str">
            <v>Đ</v>
          </cell>
          <cell r="AG1230" t="str">
            <v>Đ</v>
          </cell>
          <cell r="AH1230" t="str">
            <v>Đ</v>
          </cell>
          <cell r="AI1230" t="str">
            <v>Đ</v>
          </cell>
          <cell r="AJ1230" t="str">
            <v>CN</v>
          </cell>
          <cell r="AN1230">
            <v>96</v>
          </cell>
          <cell r="AO1230">
            <v>64</v>
          </cell>
          <cell r="AP1230">
            <v>0</v>
          </cell>
          <cell r="AQ1230">
            <v>0</v>
          </cell>
          <cell r="AR1230">
            <v>0</v>
          </cell>
          <cell r="AS1230">
            <v>0</v>
          </cell>
          <cell r="AT1230">
            <v>0</v>
          </cell>
          <cell r="AU1230">
            <v>0</v>
          </cell>
          <cell r="AV1230">
            <v>0</v>
          </cell>
          <cell r="AW1230">
            <v>0</v>
          </cell>
          <cell r="AX1230">
            <v>0</v>
          </cell>
          <cell r="AY1230">
            <v>0</v>
          </cell>
          <cell r="AZ1230">
            <v>0</v>
          </cell>
          <cell r="BA1230">
            <v>0</v>
          </cell>
          <cell r="BB1230">
            <v>0</v>
          </cell>
          <cell r="BC1230">
            <v>0</v>
          </cell>
          <cell r="BD1230">
            <v>0</v>
          </cell>
          <cell r="BE1230">
            <v>0</v>
          </cell>
          <cell r="BF1230">
            <v>0</v>
          </cell>
          <cell r="BG1230">
            <v>160</v>
          </cell>
          <cell r="BH1230">
            <v>0</v>
          </cell>
          <cell r="BI1230">
            <v>0</v>
          </cell>
          <cell r="BJ1230">
            <v>2</v>
          </cell>
          <cell r="BL1230">
            <v>0</v>
          </cell>
          <cell r="BM1230">
            <v>0</v>
          </cell>
          <cell r="BN1230">
            <v>0</v>
          </cell>
          <cell r="BO1230">
            <v>0</v>
          </cell>
          <cell r="BP1230">
            <v>0</v>
          </cell>
          <cell r="BQ1230">
            <v>0</v>
          </cell>
          <cell r="BR1230">
            <v>0</v>
          </cell>
          <cell r="BS1230">
            <v>0</v>
          </cell>
          <cell r="BT1230">
            <v>0</v>
          </cell>
          <cell r="BU1230">
            <v>0</v>
          </cell>
          <cell r="BV1230">
            <v>0</v>
          </cell>
          <cell r="BW1230">
            <v>0</v>
          </cell>
          <cell r="BX1230">
            <v>0</v>
          </cell>
          <cell r="BY1230">
            <v>0</v>
          </cell>
          <cell r="BZ1230">
            <v>0</v>
          </cell>
          <cell r="CA1230">
            <v>0</v>
          </cell>
          <cell r="CB1230">
            <v>4</v>
          </cell>
          <cell r="CC1230">
            <v>0</v>
          </cell>
          <cell r="CD1230">
            <v>0</v>
          </cell>
          <cell r="CE1230">
            <v>0</v>
          </cell>
          <cell r="CF1230">
            <v>0</v>
          </cell>
          <cell r="CG1230">
            <v>4</v>
          </cell>
          <cell r="CH1230">
            <v>4</v>
          </cell>
          <cell r="CI1230">
            <v>4</v>
          </cell>
          <cell r="CJ1230">
            <v>4</v>
          </cell>
          <cell r="CK1230">
            <v>0</v>
          </cell>
          <cell r="CL1230">
            <v>4</v>
          </cell>
          <cell r="CM1230">
            <v>0</v>
          </cell>
          <cell r="CR1230">
            <v>0</v>
          </cell>
          <cell r="CS1230">
            <v>0</v>
          </cell>
          <cell r="CT1230">
            <v>24</v>
          </cell>
          <cell r="CU1230">
            <v>0</v>
          </cell>
          <cell r="CV1230">
            <v>0</v>
          </cell>
          <cell r="CZ1230">
            <v>24</v>
          </cell>
        </row>
        <row r="1231">
          <cell r="C1231" t="str">
            <v>04953</v>
          </cell>
          <cell r="D1231" t="str">
            <v>Lâm Việt Thắng</v>
          </cell>
          <cell r="E1231" t="str">
            <v>Production</v>
          </cell>
          <cell r="F1231" t="str">
            <v>Lamination</v>
          </cell>
          <cell r="G1231" t="str">
            <v>Worker</v>
          </cell>
          <cell r="H1231">
            <v>46083</v>
          </cell>
          <cell r="I1231" t="str">
            <v>X</v>
          </cell>
          <cell r="J1231" t="str">
            <v>X</v>
          </cell>
          <cell r="K1231" t="str">
            <v>X</v>
          </cell>
          <cell r="L1231" t="str">
            <v>X</v>
          </cell>
          <cell r="M1231">
            <v>8</v>
          </cell>
          <cell r="N1231" t="str">
            <v>Đ</v>
          </cell>
          <cell r="O1231" t="str">
            <v>Đ</v>
          </cell>
          <cell r="P1231" t="str">
            <v>Đ</v>
          </cell>
          <cell r="Q1231" t="str">
            <v>Đ</v>
          </cell>
          <cell r="R1231" t="str">
            <v>Đ</v>
          </cell>
          <cell r="S1231" t="str">
            <v>CN</v>
          </cell>
          <cell r="T1231">
            <v>8</v>
          </cell>
          <cell r="U1231">
            <v>8</v>
          </cell>
          <cell r="V1231">
            <v>8</v>
          </cell>
          <cell r="W1231">
            <v>8</v>
          </cell>
          <cell r="X1231">
            <v>8</v>
          </cell>
          <cell r="Y1231">
            <v>8</v>
          </cell>
          <cell r="Z1231" t="str">
            <v>CN</v>
          </cell>
          <cell r="AA1231">
            <v>8</v>
          </cell>
          <cell r="AB1231">
            <v>8</v>
          </cell>
          <cell r="AC1231">
            <v>8</v>
          </cell>
          <cell r="AD1231">
            <v>8</v>
          </cell>
          <cell r="AE1231" t="str">
            <v>Đ</v>
          </cell>
          <cell r="AF1231" t="str">
            <v>Đ</v>
          </cell>
          <cell r="AG1231" t="str">
            <v>CN</v>
          </cell>
          <cell r="AH1231">
            <v>8</v>
          </cell>
          <cell r="AI1231">
            <v>8</v>
          </cell>
          <cell r="AJ1231">
            <v>8</v>
          </cell>
          <cell r="AN1231">
            <v>56</v>
          </cell>
          <cell r="AO1231">
            <v>112</v>
          </cell>
          <cell r="AP1231">
            <v>0</v>
          </cell>
          <cell r="AQ1231">
            <v>0</v>
          </cell>
          <cell r="AR1231">
            <v>0</v>
          </cell>
          <cell r="AS1231">
            <v>0</v>
          </cell>
          <cell r="AT1231">
            <v>0</v>
          </cell>
          <cell r="AU1231">
            <v>0</v>
          </cell>
          <cell r="AV1231">
            <v>0</v>
          </cell>
          <cell r="AW1231">
            <v>0</v>
          </cell>
          <cell r="AX1231">
            <v>0</v>
          </cell>
          <cell r="AY1231">
            <v>0</v>
          </cell>
          <cell r="AZ1231">
            <v>0</v>
          </cell>
          <cell r="BA1231">
            <v>0</v>
          </cell>
          <cell r="BB1231">
            <v>0</v>
          </cell>
          <cell r="BC1231">
            <v>0</v>
          </cell>
          <cell r="BD1231">
            <v>0</v>
          </cell>
          <cell r="BE1231">
            <v>0</v>
          </cell>
          <cell r="BF1231">
            <v>0</v>
          </cell>
          <cell r="BG1231">
            <v>168</v>
          </cell>
          <cell r="BH1231">
            <v>0</v>
          </cell>
          <cell r="BI1231">
            <v>0</v>
          </cell>
          <cell r="BJ1231">
            <v>2.5</v>
          </cell>
          <cell r="BL1231">
            <v>0</v>
          </cell>
          <cell r="BM1231">
            <v>0</v>
          </cell>
          <cell r="BN1231">
            <v>0</v>
          </cell>
          <cell r="BO1231">
            <v>0</v>
          </cell>
          <cell r="BP1231">
            <v>0</v>
          </cell>
          <cell r="BQ1231">
            <v>0</v>
          </cell>
          <cell r="BR1231">
            <v>0</v>
          </cell>
          <cell r="BS1231">
            <v>0</v>
          </cell>
          <cell r="BT1231">
            <v>0</v>
          </cell>
          <cell r="BU1231">
            <v>4</v>
          </cell>
          <cell r="BV1231">
            <v>0</v>
          </cell>
          <cell r="BW1231">
            <v>0</v>
          </cell>
          <cell r="BX1231">
            <v>0</v>
          </cell>
          <cell r="BY1231">
            <v>0</v>
          </cell>
          <cell r="BZ1231">
            <v>0</v>
          </cell>
          <cell r="CA1231">
            <v>4</v>
          </cell>
          <cell r="CB1231">
            <v>0</v>
          </cell>
          <cell r="CC1231">
            <v>0</v>
          </cell>
          <cell r="CD1231">
            <v>0</v>
          </cell>
          <cell r="CE1231">
            <v>0</v>
          </cell>
          <cell r="CF1231">
            <v>0</v>
          </cell>
          <cell r="CG1231">
            <v>0</v>
          </cell>
          <cell r="CH1231">
            <v>4</v>
          </cell>
          <cell r="CI1231">
            <v>4</v>
          </cell>
          <cell r="CJ1231">
            <v>0</v>
          </cell>
          <cell r="CK1231">
            <v>4</v>
          </cell>
          <cell r="CL1231">
            <v>0</v>
          </cell>
          <cell r="CM1231">
            <v>0</v>
          </cell>
          <cell r="CR1231">
            <v>0</v>
          </cell>
          <cell r="CS1231">
            <v>0</v>
          </cell>
          <cell r="CT1231">
            <v>20</v>
          </cell>
          <cell r="CU1231">
            <v>0</v>
          </cell>
          <cell r="CV1231">
            <v>0</v>
          </cell>
          <cell r="CZ1231">
            <v>20</v>
          </cell>
        </row>
        <row r="1232">
          <cell r="C1232" t="str">
            <v>04954</v>
          </cell>
          <cell r="D1232" t="str">
            <v>Đỗ Hoàng Trong</v>
          </cell>
          <cell r="E1232" t="str">
            <v>Production</v>
          </cell>
          <cell r="F1232" t="str">
            <v>Lamination</v>
          </cell>
          <cell r="G1232" t="str">
            <v>Worker</v>
          </cell>
          <cell r="H1232">
            <v>46083</v>
          </cell>
          <cell r="I1232" t="str">
            <v>X</v>
          </cell>
          <cell r="J1232" t="str">
            <v>X</v>
          </cell>
          <cell r="K1232" t="str">
            <v>X</v>
          </cell>
          <cell r="L1232" t="str">
            <v>X</v>
          </cell>
          <cell r="M1232">
            <v>8</v>
          </cell>
          <cell r="N1232">
            <v>8</v>
          </cell>
          <cell r="O1232">
            <v>8</v>
          </cell>
          <cell r="P1232">
            <v>8</v>
          </cell>
          <cell r="Q1232">
            <v>8</v>
          </cell>
          <cell r="R1232">
            <v>8</v>
          </cell>
          <cell r="S1232" t="str">
            <v>CN</v>
          </cell>
          <cell r="T1232">
            <v>8</v>
          </cell>
          <cell r="U1232">
            <v>8</v>
          </cell>
          <cell r="V1232">
            <v>8</v>
          </cell>
          <cell r="W1232">
            <v>8</v>
          </cell>
          <cell r="X1232">
            <v>8</v>
          </cell>
          <cell r="Y1232">
            <v>8</v>
          </cell>
          <cell r="Z1232" t="str">
            <v>CN</v>
          </cell>
          <cell r="AA1232">
            <v>8</v>
          </cell>
          <cell r="AB1232" t="str">
            <v>UP4</v>
          </cell>
          <cell r="AC1232">
            <v>8</v>
          </cell>
          <cell r="AD1232">
            <v>8</v>
          </cell>
          <cell r="AE1232">
            <v>8</v>
          </cell>
          <cell r="AF1232" t="str">
            <v>CN</v>
          </cell>
          <cell r="AG1232">
            <v>8</v>
          </cell>
          <cell r="AH1232">
            <v>8</v>
          </cell>
          <cell r="AI1232">
            <v>8</v>
          </cell>
          <cell r="AJ1232">
            <v>8</v>
          </cell>
          <cell r="AN1232">
            <v>0</v>
          </cell>
          <cell r="AO1232">
            <v>164</v>
          </cell>
          <cell r="AP1232">
            <v>0</v>
          </cell>
          <cell r="AQ1232">
            <v>0</v>
          </cell>
          <cell r="AR1232">
            <v>4</v>
          </cell>
          <cell r="AS1232">
            <v>4</v>
          </cell>
          <cell r="AT1232">
            <v>0</v>
          </cell>
          <cell r="AU1232">
            <v>0</v>
          </cell>
          <cell r="AV1232">
            <v>0</v>
          </cell>
          <cell r="AW1232">
            <v>0</v>
          </cell>
          <cell r="AX1232">
            <v>0</v>
          </cell>
          <cell r="AY1232">
            <v>0</v>
          </cell>
          <cell r="AZ1232">
            <v>0</v>
          </cell>
          <cell r="BA1232">
            <v>0</v>
          </cell>
          <cell r="BB1232">
            <v>0</v>
          </cell>
          <cell r="BC1232">
            <v>0</v>
          </cell>
          <cell r="BD1232">
            <v>0</v>
          </cell>
          <cell r="BE1232">
            <v>0</v>
          </cell>
          <cell r="BF1232">
            <v>0</v>
          </cell>
          <cell r="BG1232">
            <v>164</v>
          </cell>
          <cell r="BH1232">
            <v>0</v>
          </cell>
          <cell r="BI1232">
            <v>0</v>
          </cell>
          <cell r="BJ1232">
            <v>2.5</v>
          </cell>
          <cell r="BL1232">
            <v>0</v>
          </cell>
          <cell r="BM1232">
            <v>0</v>
          </cell>
          <cell r="BN1232">
            <v>0</v>
          </cell>
          <cell r="BO1232">
            <v>0</v>
          </cell>
          <cell r="BP1232">
            <v>0</v>
          </cell>
          <cell r="BQ1232">
            <v>0</v>
          </cell>
          <cell r="BR1232">
            <v>0</v>
          </cell>
          <cell r="BS1232">
            <v>0</v>
          </cell>
          <cell r="BT1232">
            <v>0</v>
          </cell>
          <cell r="BU1232">
            <v>4</v>
          </cell>
          <cell r="BV1232">
            <v>0</v>
          </cell>
          <cell r="BW1232">
            <v>0</v>
          </cell>
          <cell r="BX1232">
            <v>0</v>
          </cell>
          <cell r="BY1232">
            <v>4</v>
          </cell>
          <cell r="BZ1232">
            <v>0</v>
          </cell>
          <cell r="CA1232">
            <v>4</v>
          </cell>
          <cell r="CB1232">
            <v>0</v>
          </cell>
          <cell r="CC1232">
            <v>0</v>
          </cell>
          <cell r="CD1232">
            <v>0</v>
          </cell>
          <cell r="CE1232">
            <v>0</v>
          </cell>
          <cell r="CF1232">
            <v>0</v>
          </cell>
          <cell r="CG1232">
            <v>4</v>
          </cell>
          <cell r="CH1232">
            <v>4</v>
          </cell>
          <cell r="CI1232">
            <v>0</v>
          </cell>
          <cell r="CJ1232">
            <v>4</v>
          </cell>
          <cell r="CK1232">
            <v>0</v>
          </cell>
          <cell r="CL1232">
            <v>0</v>
          </cell>
          <cell r="CM1232">
            <v>4</v>
          </cell>
          <cell r="CR1232">
            <v>0</v>
          </cell>
          <cell r="CS1232">
            <v>0</v>
          </cell>
          <cell r="CT1232">
            <v>28</v>
          </cell>
          <cell r="CU1232">
            <v>0</v>
          </cell>
          <cell r="CV1232">
            <v>0</v>
          </cell>
          <cell r="CZ1232">
            <v>28</v>
          </cell>
        </row>
        <row r="1233">
          <cell r="C1233" t="str">
            <v>04955</v>
          </cell>
          <cell r="D1233" t="str">
            <v>Phan Tấn Đạt</v>
          </cell>
          <cell r="E1233" t="str">
            <v>Production</v>
          </cell>
          <cell r="F1233" t="str">
            <v>Prefitting</v>
          </cell>
          <cell r="G1233" t="str">
            <v>Worker</v>
          </cell>
          <cell r="H1233">
            <v>46083</v>
          </cell>
          <cell r="I1233" t="str">
            <v>X</v>
          </cell>
          <cell r="J1233" t="str">
            <v>X</v>
          </cell>
          <cell r="K1233" t="str">
            <v>X</v>
          </cell>
          <cell r="L1233" t="str">
            <v>X</v>
          </cell>
          <cell r="M1233">
            <v>8</v>
          </cell>
          <cell r="N1233">
            <v>8</v>
          </cell>
          <cell r="O1233">
            <v>8</v>
          </cell>
          <cell r="P1233">
            <v>8</v>
          </cell>
          <cell r="Q1233">
            <v>8</v>
          </cell>
          <cell r="R1233">
            <v>8</v>
          </cell>
          <cell r="S1233" t="str">
            <v>CN</v>
          </cell>
          <cell r="T1233">
            <v>8</v>
          </cell>
          <cell r="U1233">
            <v>8</v>
          </cell>
          <cell r="V1233">
            <v>8</v>
          </cell>
          <cell r="W1233">
            <v>8</v>
          </cell>
          <cell r="X1233">
            <v>8</v>
          </cell>
          <cell r="Y1233">
            <v>8</v>
          </cell>
          <cell r="Z1233" t="str">
            <v>CN</v>
          </cell>
          <cell r="AA1233">
            <v>8</v>
          </cell>
          <cell r="AB1233">
            <v>8</v>
          </cell>
          <cell r="AC1233">
            <v>8</v>
          </cell>
          <cell r="AD1233">
            <v>8</v>
          </cell>
          <cell r="AE1233">
            <v>8</v>
          </cell>
          <cell r="AF1233">
            <v>8</v>
          </cell>
          <cell r="AG1233" t="str">
            <v>CN</v>
          </cell>
          <cell r="AH1233">
            <v>8</v>
          </cell>
          <cell r="AI1233">
            <v>8</v>
          </cell>
          <cell r="AJ1233">
            <v>8</v>
          </cell>
          <cell r="AN1233">
            <v>0</v>
          </cell>
          <cell r="AO1233">
            <v>168</v>
          </cell>
          <cell r="AP1233">
            <v>0</v>
          </cell>
          <cell r="AQ1233">
            <v>0</v>
          </cell>
          <cell r="AR1233">
            <v>0</v>
          </cell>
          <cell r="AS1233">
            <v>0</v>
          </cell>
          <cell r="AT1233">
            <v>0</v>
          </cell>
          <cell r="AU1233">
            <v>0</v>
          </cell>
          <cell r="AV1233">
            <v>0</v>
          </cell>
          <cell r="AW1233">
            <v>0</v>
          </cell>
          <cell r="AX1233">
            <v>0</v>
          </cell>
          <cell r="AY1233">
            <v>0</v>
          </cell>
          <cell r="AZ1233">
            <v>0</v>
          </cell>
          <cell r="BA1233">
            <v>0</v>
          </cell>
          <cell r="BB1233">
            <v>0</v>
          </cell>
          <cell r="BC1233">
            <v>0</v>
          </cell>
          <cell r="BD1233">
            <v>0</v>
          </cell>
          <cell r="BE1233">
            <v>0</v>
          </cell>
          <cell r="BF1233">
            <v>0</v>
          </cell>
          <cell r="BG1233">
            <v>168</v>
          </cell>
          <cell r="BH1233">
            <v>0</v>
          </cell>
          <cell r="BI1233">
            <v>0</v>
          </cell>
          <cell r="BJ1233">
            <v>2</v>
          </cell>
          <cell r="BL1233">
            <v>0</v>
          </cell>
          <cell r="BM1233">
            <v>0</v>
          </cell>
          <cell r="BN1233">
            <v>0</v>
          </cell>
          <cell r="BO1233">
            <v>0</v>
          </cell>
          <cell r="BP1233">
            <v>0</v>
          </cell>
          <cell r="BQ1233">
            <v>0</v>
          </cell>
          <cell r="BR1233">
            <v>0</v>
          </cell>
          <cell r="BS1233">
            <v>0</v>
          </cell>
          <cell r="BT1233">
            <v>0</v>
          </cell>
          <cell r="BU1233">
            <v>0</v>
          </cell>
          <cell r="BV1233">
            <v>0</v>
          </cell>
          <cell r="BW1233">
            <v>0</v>
          </cell>
          <cell r="BX1233">
            <v>0</v>
          </cell>
          <cell r="BY1233">
            <v>0</v>
          </cell>
          <cell r="BZ1233">
            <v>0</v>
          </cell>
          <cell r="CA1233">
            <v>0</v>
          </cell>
          <cell r="CB1233">
            <v>0</v>
          </cell>
          <cell r="CC1233">
            <v>0</v>
          </cell>
          <cell r="CD1233">
            <v>0</v>
          </cell>
          <cell r="CE1233">
            <v>0</v>
          </cell>
          <cell r="CF1233">
            <v>0</v>
          </cell>
          <cell r="CG1233">
            <v>0</v>
          </cell>
          <cell r="CH1233">
            <v>0</v>
          </cell>
          <cell r="CI1233">
            <v>0</v>
          </cell>
          <cell r="CJ1233">
            <v>0</v>
          </cell>
          <cell r="CK1233">
            <v>0</v>
          </cell>
          <cell r="CL1233">
            <v>0</v>
          </cell>
          <cell r="CM1233">
            <v>0</v>
          </cell>
          <cell r="CR1233">
            <v>0</v>
          </cell>
          <cell r="CS1233">
            <v>0</v>
          </cell>
          <cell r="CT1233">
            <v>0</v>
          </cell>
          <cell r="CU1233">
            <v>0</v>
          </cell>
          <cell r="CV1233">
            <v>0</v>
          </cell>
          <cell r="CZ1233">
            <v>0</v>
          </cell>
        </row>
        <row r="1234">
          <cell r="C1234" t="str">
            <v>04956</v>
          </cell>
          <cell r="D1234" t="str">
            <v xml:space="preserve">Đoàn Văn Lợi </v>
          </cell>
          <cell r="E1234" t="str">
            <v>Production</v>
          </cell>
          <cell r="F1234" t="str">
            <v>Prefitting</v>
          </cell>
          <cell r="G1234" t="str">
            <v>Worker</v>
          </cell>
          <cell r="H1234">
            <v>46083</v>
          </cell>
          <cell r="I1234" t="str">
            <v>X</v>
          </cell>
          <cell r="J1234" t="str">
            <v>X</v>
          </cell>
          <cell r="K1234" t="str">
            <v>X</v>
          </cell>
          <cell r="L1234" t="str">
            <v>X</v>
          </cell>
          <cell r="M1234">
            <v>8</v>
          </cell>
          <cell r="N1234">
            <v>8</v>
          </cell>
          <cell r="O1234">
            <v>8</v>
          </cell>
          <cell r="P1234">
            <v>8</v>
          </cell>
          <cell r="Q1234">
            <v>8</v>
          </cell>
          <cell r="R1234">
            <v>8</v>
          </cell>
          <cell r="S1234" t="str">
            <v>CN</v>
          </cell>
          <cell r="T1234" t="str">
            <v>Đ</v>
          </cell>
          <cell r="U1234" t="str">
            <v>Đ</v>
          </cell>
          <cell r="V1234" t="str">
            <v>Đ</v>
          </cell>
          <cell r="W1234" t="str">
            <v>Đ</v>
          </cell>
          <cell r="X1234" t="str">
            <v>Đ</v>
          </cell>
          <cell r="Y1234" t="str">
            <v>Đ</v>
          </cell>
          <cell r="Z1234" t="str">
            <v>CN</v>
          </cell>
          <cell r="AA1234" t="str">
            <v>Đ</v>
          </cell>
          <cell r="AB1234" t="str">
            <v>Đ</v>
          </cell>
          <cell r="AC1234" t="str">
            <v>Đ</v>
          </cell>
          <cell r="AD1234" t="str">
            <v>Đ</v>
          </cell>
          <cell r="AE1234" t="str">
            <v>Đ</v>
          </cell>
          <cell r="AF1234" t="str">
            <v>CN</v>
          </cell>
          <cell r="AG1234">
            <v>8</v>
          </cell>
          <cell r="AH1234">
            <v>8</v>
          </cell>
          <cell r="AI1234">
            <v>8</v>
          </cell>
          <cell r="AJ1234">
            <v>8</v>
          </cell>
          <cell r="AN1234">
            <v>88</v>
          </cell>
          <cell r="AO1234">
            <v>80</v>
          </cell>
          <cell r="AP1234">
            <v>0</v>
          </cell>
          <cell r="AQ1234">
            <v>0</v>
          </cell>
          <cell r="AR1234">
            <v>0</v>
          </cell>
          <cell r="AS1234">
            <v>0</v>
          </cell>
          <cell r="AT1234">
            <v>0</v>
          </cell>
          <cell r="AU1234">
            <v>0</v>
          </cell>
          <cell r="AV1234">
            <v>0</v>
          </cell>
          <cell r="AW1234">
            <v>0</v>
          </cell>
          <cell r="AX1234">
            <v>0</v>
          </cell>
          <cell r="AY1234">
            <v>0</v>
          </cell>
          <cell r="AZ1234">
            <v>0</v>
          </cell>
          <cell r="BA1234">
            <v>0</v>
          </cell>
          <cell r="BB1234">
            <v>0</v>
          </cell>
          <cell r="BC1234">
            <v>0</v>
          </cell>
          <cell r="BD1234">
            <v>0</v>
          </cell>
          <cell r="BE1234">
            <v>0</v>
          </cell>
          <cell r="BF1234">
            <v>0</v>
          </cell>
          <cell r="BG1234">
            <v>168</v>
          </cell>
          <cell r="BH1234">
            <v>0</v>
          </cell>
          <cell r="BI1234">
            <v>0</v>
          </cell>
          <cell r="BJ1234">
            <v>2</v>
          </cell>
          <cell r="BL1234">
            <v>0</v>
          </cell>
          <cell r="BM1234">
            <v>0</v>
          </cell>
          <cell r="BN1234">
            <v>0</v>
          </cell>
          <cell r="BO1234">
            <v>0</v>
          </cell>
          <cell r="BP1234">
            <v>0</v>
          </cell>
          <cell r="BQ1234">
            <v>0</v>
          </cell>
          <cell r="BR1234">
            <v>0</v>
          </cell>
          <cell r="BS1234">
            <v>0</v>
          </cell>
          <cell r="BT1234">
            <v>0</v>
          </cell>
          <cell r="BU1234">
            <v>0</v>
          </cell>
          <cell r="BV1234">
            <v>0</v>
          </cell>
          <cell r="BW1234">
            <v>0</v>
          </cell>
          <cell r="BX1234">
            <v>0</v>
          </cell>
          <cell r="BY1234">
            <v>0</v>
          </cell>
          <cell r="BZ1234">
            <v>0</v>
          </cell>
          <cell r="CA1234">
            <v>0</v>
          </cell>
          <cell r="CB1234">
            <v>4</v>
          </cell>
          <cell r="CC1234">
            <v>0</v>
          </cell>
          <cell r="CD1234">
            <v>0</v>
          </cell>
          <cell r="CE1234">
            <v>0</v>
          </cell>
          <cell r="CF1234">
            <v>0</v>
          </cell>
          <cell r="CG1234">
            <v>0</v>
          </cell>
          <cell r="CH1234">
            <v>4</v>
          </cell>
          <cell r="CI1234">
            <v>0</v>
          </cell>
          <cell r="CJ1234">
            <v>4</v>
          </cell>
          <cell r="CK1234">
            <v>0</v>
          </cell>
          <cell r="CL1234">
            <v>0</v>
          </cell>
          <cell r="CM1234">
            <v>0</v>
          </cell>
          <cell r="CR1234">
            <v>0</v>
          </cell>
          <cell r="CS1234">
            <v>0</v>
          </cell>
          <cell r="CT1234">
            <v>12</v>
          </cell>
          <cell r="CU1234">
            <v>0</v>
          </cell>
          <cell r="CV1234">
            <v>0</v>
          </cell>
          <cell r="CZ1234">
            <v>12</v>
          </cell>
        </row>
        <row r="1235">
          <cell r="C1235" t="str">
            <v>04957</v>
          </cell>
          <cell r="D1235" t="str">
            <v>Nguyễn Văn Bảo</v>
          </cell>
          <cell r="E1235" t="str">
            <v>Production</v>
          </cell>
          <cell r="F1235" t="str">
            <v>Die cut</v>
          </cell>
          <cell r="G1235" t="str">
            <v>Worker</v>
          </cell>
          <cell r="H1235">
            <v>46083</v>
          </cell>
          <cell r="I1235" t="str">
            <v>X</v>
          </cell>
          <cell r="J1235" t="str">
            <v>X</v>
          </cell>
          <cell r="K1235" t="str">
            <v>X</v>
          </cell>
          <cell r="L1235" t="str">
            <v>X</v>
          </cell>
          <cell r="M1235">
            <v>8</v>
          </cell>
          <cell r="N1235" t="str">
            <v>Đ</v>
          </cell>
          <cell r="O1235" t="str">
            <v>Đ</v>
          </cell>
          <cell r="P1235" t="str">
            <v>Đ</v>
          </cell>
          <cell r="Q1235" t="str">
            <v>Đ</v>
          </cell>
          <cell r="R1235" t="str">
            <v>Đ</v>
          </cell>
          <cell r="S1235" t="str">
            <v>CN</v>
          </cell>
          <cell r="T1235">
            <v>8</v>
          </cell>
          <cell r="U1235">
            <v>8</v>
          </cell>
          <cell r="V1235">
            <v>8</v>
          </cell>
          <cell r="W1235">
            <v>8</v>
          </cell>
          <cell r="X1235">
            <v>8</v>
          </cell>
          <cell r="Y1235">
            <v>8</v>
          </cell>
          <cell r="Z1235" t="str">
            <v>CN</v>
          </cell>
          <cell r="AA1235">
            <v>8</v>
          </cell>
          <cell r="AB1235" t="str">
            <v>Đ</v>
          </cell>
          <cell r="AC1235" t="str">
            <v>Đ</v>
          </cell>
          <cell r="AD1235" t="str">
            <v>Đ</v>
          </cell>
          <cell r="AE1235" t="str">
            <v>Đ</v>
          </cell>
          <cell r="AF1235" t="str">
            <v>Đ</v>
          </cell>
          <cell r="AG1235" t="str">
            <v>CN</v>
          </cell>
          <cell r="AH1235">
            <v>8</v>
          </cell>
          <cell r="AI1235">
            <v>8</v>
          </cell>
          <cell r="AJ1235">
            <v>8</v>
          </cell>
          <cell r="AN1235">
            <v>80</v>
          </cell>
          <cell r="AO1235">
            <v>88</v>
          </cell>
          <cell r="AP1235">
            <v>0</v>
          </cell>
          <cell r="AQ1235">
            <v>0</v>
          </cell>
          <cell r="AR1235">
            <v>0</v>
          </cell>
          <cell r="AS1235">
            <v>0</v>
          </cell>
          <cell r="AT1235">
            <v>0</v>
          </cell>
          <cell r="AU1235">
            <v>0</v>
          </cell>
          <cell r="AV1235">
            <v>0</v>
          </cell>
          <cell r="AW1235">
            <v>0</v>
          </cell>
          <cell r="AX1235">
            <v>0</v>
          </cell>
          <cell r="AY1235">
            <v>0</v>
          </cell>
          <cell r="AZ1235">
            <v>0</v>
          </cell>
          <cell r="BA1235">
            <v>0</v>
          </cell>
          <cell r="BB1235">
            <v>0</v>
          </cell>
          <cell r="BC1235">
            <v>0</v>
          </cell>
          <cell r="BD1235">
            <v>0</v>
          </cell>
          <cell r="BE1235">
            <v>0</v>
          </cell>
          <cell r="BF1235">
            <v>0</v>
          </cell>
          <cell r="BG1235">
            <v>168</v>
          </cell>
          <cell r="BH1235">
            <v>0</v>
          </cell>
          <cell r="BI1235">
            <v>0</v>
          </cell>
          <cell r="BJ1235">
            <v>2</v>
          </cell>
          <cell r="BL1235">
            <v>0</v>
          </cell>
          <cell r="BM1235">
            <v>0</v>
          </cell>
          <cell r="BN1235">
            <v>0</v>
          </cell>
          <cell r="BO1235">
            <v>0</v>
          </cell>
          <cell r="BP1235">
            <v>0</v>
          </cell>
          <cell r="BQ1235">
            <v>0</v>
          </cell>
          <cell r="BR1235">
            <v>0</v>
          </cell>
          <cell r="BS1235">
            <v>4</v>
          </cell>
          <cell r="BT1235">
            <v>4</v>
          </cell>
          <cell r="BU1235">
            <v>4</v>
          </cell>
          <cell r="BV1235">
            <v>0</v>
          </cell>
          <cell r="BW1235">
            <v>3</v>
          </cell>
          <cell r="BX1235">
            <v>2</v>
          </cell>
          <cell r="BY1235">
            <v>3</v>
          </cell>
          <cell r="BZ1235">
            <v>0</v>
          </cell>
          <cell r="CA1235">
            <v>3</v>
          </cell>
          <cell r="CB1235">
            <v>3</v>
          </cell>
          <cell r="CC1235">
            <v>8</v>
          </cell>
          <cell r="CD1235">
            <v>0</v>
          </cell>
          <cell r="CE1235">
            <v>4</v>
          </cell>
          <cell r="CF1235">
            <v>4</v>
          </cell>
          <cell r="CG1235">
            <v>4</v>
          </cell>
          <cell r="CH1235">
            <v>4</v>
          </cell>
          <cell r="CI1235">
            <v>0</v>
          </cell>
          <cell r="CJ1235">
            <v>0</v>
          </cell>
          <cell r="CK1235">
            <v>3</v>
          </cell>
          <cell r="CL1235">
            <v>3</v>
          </cell>
          <cell r="CM1235">
            <v>3</v>
          </cell>
          <cell r="CR1235">
            <v>0</v>
          </cell>
          <cell r="CS1235">
            <v>0</v>
          </cell>
          <cell r="CT1235">
            <v>51</v>
          </cell>
          <cell r="CU1235">
            <v>8</v>
          </cell>
          <cell r="CV1235">
            <v>0</v>
          </cell>
          <cell r="CZ1235">
            <v>59</v>
          </cell>
        </row>
        <row r="1236">
          <cell r="C1236" t="str">
            <v>04958</v>
          </cell>
          <cell r="D1236" t="str">
            <v>Trần Minh Nhí</v>
          </cell>
          <cell r="E1236" t="str">
            <v>Production</v>
          </cell>
          <cell r="F1236" t="str">
            <v>Die cut</v>
          </cell>
          <cell r="G1236" t="str">
            <v>Worker</v>
          </cell>
          <cell r="H1236">
            <v>46083</v>
          </cell>
          <cell r="I1236" t="str">
            <v>X</v>
          </cell>
          <cell r="J1236" t="str">
            <v>X</v>
          </cell>
          <cell r="K1236" t="str">
            <v>X</v>
          </cell>
          <cell r="L1236" t="str">
            <v>X</v>
          </cell>
          <cell r="M1236">
            <v>8</v>
          </cell>
          <cell r="N1236">
            <v>8</v>
          </cell>
          <cell r="O1236">
            <v>8</v>
          </cell>
          <cell r="P1236">
            <v>8</v>
          </cell>
          <cell r="Q1236">
            <v>8</v>
          </cell>
          <cell r="R1236">
            <v>8</v>
          </cell>
          <cell r="S1236" t="str">
            <v>CN</v>
          </cell>
          <cell r="T1236" t="str">
            <v>Đ</v>
          </cell>
          <cell r="U1236" t="str">
            <v>Đ</v>
          </cell>
          <cell r="V1236" t="str">
            <v>Đ</v>
          </cell>
          <cell r="W1236" t="str">
            <v>Đ</v>
          </cell>
          <cell r="X1236" t="str">
            <v>Đ</v>
          </cell>
          <cell r="Y1236" t="str">
            <v>Đ</v>
          </cell>
          <cell r="Z1236" t="str">
            <v>CN</v>
          </cell>
          <cell r="AA1236">
            <v>8</v>
          </cell>
          <cell r="AB1236">
            <v>8</v>
          </cell>
          <cell r="AC1236">
            <v>8</v>
          </cell>
          <cell r="AD1236">
            <v>8</v>
          </cell>
          <cell r="AE1236">
            <v>8</v>
          </cell>
          <cell r="AF1236">
            <v>8</v>
          </cell>
          <cell r="AG1236" t="str">
            <v>CN</v>
          </cell>
          <cell r="AH1236">
            <v>8</v>
          </cell>
          <cell r="AI1236">
            <v>8</v>
          </cell>
          <cell r="AJ1236">
            <v>8</v>
          </cell>
          <cell r="AN1236">
            <v>48</v>
          </cell>
          <cell r="AO1236">
            <v>120</v>
          </cell>
          <cell r="AP1236">
            <v>0</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168</v>
          </cell>
          <cell r="BH1236">
            <v>0</v>
          </cell>
          <cell r="BI1236">
            <v>0</v>
          </cell>
          <cell r="BJ1236">
            <v>2</v>
          </cell>
          <cell r="BL1236">
            <v>0</v>
          </cell>
          <cell r="BM1236">
            <v>0</v>
          </cell>
          <cell r="BN1236">
            <v>0</v>
          </cell>
          <cell r="BO1236">
            <v>0</v>
          </cell>
          <cell r="BP1236">
            <v>0</v>
          </cell>
          <cell r="BQ1236">
            <v>0</v>
          </cell>
          <cell r="BR1236">
            <v>0</v>
          </cell>
          <cell r="BS1236">
            <v>0</v>
          </cell>
          <cell r="BT1236">
            <v>0</v>
          </cell>
          <cell r="BU1236">
            <v>0</v>
          </cell>
          <cell r="BV1236">
            <v>0</v>
          </cell>
          <cell r="BW1236">
            <v>0</v>
          </cell>
          <cell r="BX1236">
            <v>0</v>
          </cell>
          <cell r="BY1236">
            <v>0</v>
          </cell>
          <cell r="BZ1236">
            <v>0</v>
          </cell>
          <cell r="CA1236">
            <v>4</v>
          </cell>
          <cell r="CB1236">
            <v>4</v>
          </cell>
          <cell r="CC1236">
            <v>0</v>
          </cell>
          <cell r="CD1236">
            <v>4</v>
          </cell>
          <cell r="CE1236">
            <v>0</v>
          </cell>
          <cell r="CF1236">
            <v>0</v>
          </cell>
          <cell r="CG1236">
            <v>4</v>
          </cell>
          <cell r="CH1236">
            <v>4</v>
          </cell>
          <cell r="CI1236">
            <v>4</v>
          </cell>
          <cell r="CJ1236">
            <v>0</v>
          </cell>
          <cell r="CK1236">
            <v>0</v>
          </cell>
          <cell r="CL1236">
            <v>0</v>
          </cell>
          <cell r="CM1236">
            <v>0</v>
          </cell>
          <cell r="CR1236">
            <v>0</v>
          </cell>
          <cell r="CS1236">
            <v>0</v>
          </cell>
          <cell r="CT1236">
            <v>24</v>
          </cell>
          <cell r="CU1236">
            <v>0</v>
          </cell>
          <cell r="CV1236">
            <v>0</v>
          </cell>
          <cell r="CZ1236">
            <v>24</v>
          </cell>
        </row>
        <row r="1237">
          <cell r="C1237" t="str">
            <v>04959</v>
          </cell>
          <cell r="D1237" t="str">
            <v>Nguyễn Phi Học</v>
          </cell>
          <cell r="E1237" t="str">
            <v>Production</v>
          </cell>
          <cell r="F1237" t="str">
            <v>Skiving</v>
          </cell>
          <cell r="G1237" t="str">
            <v>Worker</v>
          </cell>
          <cell r="H1237">
            <v>46083</v>
          </cell>
          <cell r="I1237" t="str">
            <v>X</v>
          </cell>
          <cell r="J1237" t="str">
            <v>X</v>
          </cell>
          <cell r="K1237" t="str">
            <v>X</v>
          </cell>
          <cell r="L1237" t="str">
            <v>X</v>
          </cell>
          <cell r="M1237">
            <v>8</v>
          </cell>
          <cell r="N1237">
            <v>8</v>
          </cell>
          <cell r="O1237">
            <v>8</v>
          </cell>
          <cell r="P1237">
            <v>8</v>
          </cell>
          <cell r="Q1237">
            <v>8</v>
          </cell>
          <cell r="R1237">
            <v>8</v>
          </cell>
          <cell r="S1237" t="str">
            <v>CN</v>
          </cell>
          <cell r="T1237" t="str">
            <v>Đ</v>
          </cell>
          <cell r="U1237" t="str">
            <v>Đ</v>
          </cell>
          <cell r="V1237" t="str">
            <v>Đ</v>
          </cell>
          <cell r="W1237" t="str">
            <v>Đ</v>
          </cell>
          <cell r="X1237" t="str">
            <v>UP8</v>
          </cell>
          <cell r="Y1237" t="str">
            <v>Đ</v>
          </cell>
          <cell r="Z1237" t="str">
            <v>CN</v>
          </cell>
          <cell r="AA1237">
            <v>8</v>
          </cell>
          <cell r="AB1237">
            <v>8</v>
          </cell>
          <cell r="AC1237">
            <v>8</v>
          </cell>
          <cell r="AD1237">
            <v>8</v>
          </cell>
          <cell r="AE1237">
            <v>8</v>
          </cell>
          <cell r="AF1237">
            <v>8</v>
          </cell>
          <cell r="AG1237" t="str">
            <v>CN</v>
          </cell>
          <cell r="AH1237" t="str">
            <v>Đ</v>
          </cell>
          <cell r="AI1237" t="str">
            <v>Đ</v>
          </cell>
          <cell r="AJ1237" t="str">
            <v>Đ</v>
          </cell>
          <cell r="AN1237">
            <v>64</v>
          </cell>
          <cell r="AO1237">
            <v>96</v>
          </cell>
          <cell r="AP1237">
            <v>0</v>
          </cell>
          <cell r="AQ1237">
            <v>0</v>
          </cell>
          <cell r="AR1237">
            <v>0</v>
          </cell>
          <cell r="AS1237">
            <v>8</v>
          </cell>
          <cell r="AT1237">
            <v>0</v>
          </cell>
          <cell r="AU1237">
            <v>0</v>
          </cell>
          <cell r="AV1237">
            <v>0</v>
          </cell>
          <cell r="AW1237">
            <v>0</v>
          </cell>
          <cell r="AX1237">
            <v>0</v>
          </cell>
          <cell r="AY1237">
            <v>0</v>
          </cell>
          <cell r="AZ1237">
            <v>0</v>
          </cell>
          <cell r="BA1237">
            <v>0</v>
          </cell>
          <cell r="BB1237">
            <v>0</v>
          </cell>
          <cell r="BC1237">
            <v>0</v>
          </cell>
          <cell r="BD1237">
            <v>0</v>
          </cell>
          <cell r="BE1237">
            <v>0</v>
          </cell>
          <cell r="BF1237">
            <v>0</v>
          </cell>
          <cell r="BG1237">
            <v>160</v>
          </cell>
          <cell r="BH1237">
            <v>0</v>
          </cell>
          <cell r="BI1237">
            <v>0</v>
          </cell>
          <cell r="BJ1237">
            <v>2.5</v>
          </cell>
          <cell r="BL1237">
            <v>0</v>
          </cell>
          <cell r="BM1237">
            <v>0</v>
          </cell>
          <cell r="BN1237">
            <v>0</v>
          </cell>
          <cell r="BO1237">
            <v>0</v>
          </cell>
          <cell r="BP1237">
            <v>0</v>
          </cell>
          <cell r="BQ1237">
            <v>0</v>
          </cell>
          <cell r="BR1237">
            <v>0</v>
          </cell>
          <cell r="BS1237">
            <v>0</v>
          </cell>
          <cell r="BT1237">
            <v>0</v>
          </cell>
          <cell r="BU1237">
            <v>0</v>
          </cell>
          <cell r="BV1237">
            <v>0</v>
          </cell>
          <cell r="BW1237">
            <v>3</v>
          </cell>
          <cell r="BX1237">
            <v>4</v>
          </cell>
          <cell r="BY1237">
            <v>4</v>
          </cell>
          <cell r="BZ1237">
            <v>4</v>
          </cell>
          <cell r="CA1237">
            <v>0</v>
          </cell>
          <cell r="CB1237">
            <v>4</v>
          </cell>
          <cell r="CC1237">
            <v>0</v>
          </cell>
          <cell r="CD1237">
            <v>3</v>
          </cell>
          <cell r="CE1237">
            <v>3</v>
          </cell>
          <cell r="CF1237">
            <v>3</v>
          </cell>
          <cell r="CG1237">
            <v>3</v>
          </cell>
          <cell r="CH1237">
            <v>1.5</v>
          </cell>
          <cell r="CI1237">
            <v>1.5</v>
          </cell>
          <cell r="CJ1237">
            <v>8</v>
          </cell>
          <cell r="CK1237">
            <v>1.5</v>
          </cell>
          <cell r="CL1237">
            <v>4</v>
          </cell>
          <cell r="CM1237">
            <v>1.5</v>
          </cell>
          <cell r="CR1237">
            <v>0</v>
          </cell>
          <cell r="CS1237">
            <v>0</v>
          </cell>
          <cell r="CT1237">
            <v>41</v>
          </cell>
          <cell r="CU1237">
            <v>8</v>
          </cell>
          <cell r="CV1237">
            <v>0</v>
          </cell>
          <cell r="CZ1237">
            <v>49</v>
          </cell>
        </row>
        <row r="1238">
          <cell r="C1238" t="str">
            <v>04960</v>
          </cell>
          <cell r="D1238" t="str">
            <v xml:space="preserve">Nguyễn Thị Nguyệt </v>
          </cell>
          <cell r="E1238" t="str">
            <v>QC</v>
          </cell>
          <cell r="F1238" t="str">
            <v>QC</v>
          </cell>
          <cell r="G1238" t="str">
            <v>Worker</v>
          </cell>
          <cell r="H1238">
            <v>46083</v>
          </cell>
          <cell r="I1238" t="str">
            <v>X</v>
          </cell>
          <cell r="J1238" t="str">
            <v>X</v>
          </cell>
          <cell r="K1238" t="str">
            <v>X</v>
          </cell>
          <cell r="L1238" t="str">
            <v>X</v>
          </cell>
          <cell r="M1238">
            <v>8</v>
          </cell>
          <cell r="N1238" t="str">
            <v>UP8</v>
          </cell>
          <cell r="O1238" t="str">
            <v>UP8</v>
          </cell>
          <cell r="P1238" t="str">
            <v>UP8</v>
          </cell>
          <cell r="Q1238" t="str">
            <v>UP8</v>
          </cell>
          <cell r="R1238" t="str">
            <v>UP8</v>
          </cell>
          <cell r="S1238" t="str">
            <v>CN</v>
          </cell>
          <cell r="T1238" t="str">
            <v>UP8</v>
          </cell>
          <cell r="U1238" t="str">
            <v>UP8</v>
          </cell>
          <cell r="V1238" t="str">
            <v>UP8</v>
          </cell>
          <cell r="W1238" t="str">
            <v>NP</v>
          </cell>
          <cell r="X1238" t="str">
            <v>NP</v>
          </cell>
          <cell r="Y1238" t="str">
            <v>NP</v>
          </cell>
          <cell r="Z1238" t="str">
            <v>CN</v>
          </cell>
          <cell r="AA1238" t="str">
            <v>NP</v>
          </cell>
          <cell r="AB1238" t="str">
            <v>NP</v>
          </cell>
          <cell r="AC1238" t="str">
            <v>TV</v>
          </cell>
          <cell r="AD1238" t="str">
            <v>TV</v>
          </cell>
          <cell r="AE1238" t="str">
            <v>TV</v>
          </cell>
          <cell r="AF1238" t="str">
            <v>TV</v>
          </cell>
          <cell r="AG1238" t="str">
            <v>TV</v>
          </cell>
          <cell r="AH1238" t="str">
            <v>TV</v>
          </cell>
          <cell r="AI1238" t="str">
            <v>TV</v>
          </cell>
          <cell r="AJ1238" t="str">
            <v>TV</v>
          </cell>
          <cell r="AN1238">
            <v>0</v>
          </cell>
          <cell r="AO1238">
            <v>8</v>
          </cell>
          <cell r="AP1238">
            <v>0</v>
          </cell>
          <cell r="AQ1238">
            <v>0</v>
          </cell>
          <cell r="AR1238">
            <v>0</v>
          </cell>
          <cell r="AS1238">
            <v>64</v>
          </cell>
          <cell r="AT1238">
            <v>5</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8</v>
          </cell>
          <cell r="BH1238">
            <v>0</v>
          </cell>
          <cell r="BI1238">
            <v>0</v>
          </cell>
          <cell r="BJ1238">
            <v>1</v>
          </cell>
          <cell r="BL1238">
            <v>0</v>
          </cell>
          <cell r="BM1238">
            <v>0</v>
          </cell>
          <cell r="BN1238">
            <v>0</v>
          </cell>
          <cell r="BO1238">
            <v>0</v>
          </cell>
          <cell r="BP1238">
            <v>0</v>
          </cell>
          <cell r="BQ1238">
            <v>0</v>
          </cell>
          <cell r="BR1238">
            <v>0</v>
          </cell>
          <cell r="BS1238">
            <v>0</v>
          </cell>
          <cell r="BT1238">
            <v>0</v>
          </cell>
          <cell r="BU1238">
            <v>0</v>
          </cell>
          <cell r="BV1238">
            <v>0</v>
          </cell>
          <cell r="BW1238">
            <v>0</v>
          </cell>
          <cell r="BX1238">
            <v>0</v>
          </cell>
          <cell r="BY1238">
            <v>0</v>
          </cell>
          <cell r="BZ1238">
            <v>0</v>
          </cell>
          <cell r="CA1238">
            <v>0</v>
          </cell>
          <cell r="CB1238">
            <v>0</v>
          </cell>
          <cell r="CC1238">
            <v>0</v>
          </cell>
          <cell r="CD1238">
            <v>0</v>
          </cell>
          <cell r="CE1238">
            <v>0</v>
          </cell>
          <cell r="CF1238">
            <v>0</v>
          </cell>
          <cell r="CG1238">
            <v>0</v>
          </cell>
          <cell r="CH1238">
            <v>0</v>
          </cell>
          <cell r="CI1238">
            <v>0</v>
          </cell>
          <cell r="CJ1238">
            <v>0</v>
          </cell>
          <cell r="CK1238">
            <v>0</v>
          </cell>
          <cell r="CL1238">
            <v>0</v>
          </cell>
          <cell r="CM1238">
            <v>0</v>
          </cell>
          <cell r="CR1238">
            <v>0</v>
          </cell>
          <cell r="CS1238">
            <v>0</v>
          </cell>
          <cell r="CT1238">
            <v>0</v>
          </cell>
          <cell r="CU1238">
            <v>0</v>
          </cell>
          <cell r="CV1238">
            <v>0</v>
          </cell>
          <cell r="CZ1238">
            <v>0</v>
          </cell>
        </row>
        <row r="1239">
          <cell r="C1239" t="str">
            <v>04961</v>
          </cell>
          <cell r="D1239" t="str">
            <v>Triệu Thị Luyến</v>
          </cell>
          <cell r="E1239" t="str">
            <v>Production</v>
          </cell>
          <cell r="F1239" t="str">
            <v>Die cut</v>
          </cell>
          <cell r="G1239" t="str">
            <v>Worker</v>
          </cell>
          <cell r="H1239">
            <v>46083</v>
          </cell>
          <cell r="I1239" t="str">
            <v>X</v>
          </cell>
          <cell r="J1239" t="str">
            <v>X</v>
          </cell>
          <cell r="K1239" t="str">
            <v>X</v>
          </cell>
          <cell r="L1239" t="str">
            <v>X</v>
          </cell>
          <cell r="M1239">
            <v>8</v>
          </cell>
          <cell r="N1239" t="str">
            <v>Đ</v>
          </cell>
          <cell r="O1239" t="str">
            <v>Đ</v>
          </cell>
          <cell r="P1239" t="str">
            <v>Đ</v>
          </cell>
          <cell r="Q1239" t="str">
            <v>Đ</v>
          </cell>
          <cell r="R1239" t="str">
            <v>NP</v>
          </cell>
          <cell r="S1239" t="str">
            <v>CN</v>
          </cell>
          <cell r="T1239">
            <v>8</v>
          </cell>
          <cell r="U1239" t="str">
            <v>UP8</v>
          </cell>
          <cell r="V1239" t="str">
            <v>UP8</v>
          </cell>
          <cell r="W1239" t="str">
            <v>UP8</v>
          </cell>
          <cell r="X1239" t="str">
            <v>UP8</v>
          </cell>
          <cell r="Y1239" t="str">
            <v>UP8</v>
          </cell>
          <cell r="Z1239" t="str">
            <v>CN</v>
          </cell>
          <cell r="AA1239" t="str">
            <v>NP</v>
          </cell>
          <cell r="AB1239" t="str">
            <v>NP</v>
          </cell>
          <cell r="AC1239" t="str">
            <v>NP</v>
          </cell>
          <cell r="AD1239" t="str">
            <v>TV</v>
          </cell>
          <cell r="AE1239" t="str">
            <v>TV</v>
          </cell>
          <cell r="AF1239" t="str">
            <v>TV</v>
          </cell>
          <cell r="AG1239" t="str">
            <v>TV</v>
          </cell>
          <cell r="AH1239" t="str">
            <v>TV</v>
          </cell>
          <cell r="AI1239" t="str">
            <v>TV</v>
          </cell>
          <cell r="AJ1239" t="str">
            <v>TV</v>
          </cell>
          <cell r="AN1239">
            <v>32</v>
          </cell>
          <cell r="AO1239">
            <v>16</v>
          </cell>
          <cell r="AP1239">
            <v>0</v>
          </cell>
          <cell r="AQ1239">
            <v>0</v>
          </cell>
          <cell r="AR1239">
            <v>0</v>
          </cell>
          <cell r="AS1239">
            <v>40</v>
          </cell>
          <cell r="AT1239">
            <v>4</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48</v>
          </cell>
          <cell r="BH1239">
            <v>0</v>
          </cell>
          <cell r="BI1239">
            <v>0</v>
          </cell>
          <cell r="BJ1239">
            <v>1</v>
          </cell>
          <cell r="BL1239">
            <v>0</v>
          </cell>
          <cell r="BM1239">
            <v>0</v>
          </cell>
          <cell r="BN1239">
            <v>0</v>
          </cell>
          <cell r="BO1239">
            <v>0</v>
          </cell>
          <cell r="BP1239">
            <v>0</v>
          </cell>
          <cell r="BQ1239">
            <v>0</v>
          </cell>
          <cell r="BR1239">
            <v>0</v>
          </cell>
          <cell r="BS1239">
            <v>4</v>
          </cell>
          <cell r="BT1239">
            <v>4</v>
          </cell>
          <cell r="BU1239">
            <v>0</v>
          </cell>
          <cell r="BV1239">
            <v>0</v>
          </cell>
          <cell r="BW1239">
            <v>3</v>
          </cell>
          <cell r="BX1239">
            <v>0</v>
          </cell>
          <cell r="BY1239">
            <v>0</v>
          </cell>
          <cell r="BZ1239">
            <v>0</v>
          </cell>
          <cell r="CA1239">
            <v>0</v>
          </cell>
          <cell r="CB1239">
            <v>0</v>
          </cell>
          <cell r="CC1239">
            <v>0</v>
          </cell>
          <cell r="CD1239">
            <v>0</v>
          </cell>
          <cell r="CE1239">
            <v>0</v>
          </cell>
          <cell r="CF1239">
            <v>0</v>
          </cell>
          <cell r="CG1239">
            <v>0</v>
          </cell>
          <cell r="CH1239">
            <v>0</v>
          </cell>
          <cell r="CI1239">
            <v>0</v>
          </cell>
          <cell r="CJ1239">
            <v>0</v>
          </cell>
          <cell r="CK1239">
            <v>0</v>
          </cell>
          <cell r="CL1239">
            <v>0</v>
          </cell>
          <cell r="CM1239">
            <v>0</v>
          </cell>
          <cell r="CR1239">
            <v>0</v>
          </cell>
          <cell r="CS1239">
            <v>0</v>
          </cell>
          <cell r="CT1239">
            <v>11</v>
          </cell>
          <cell r="CU1239">
            <v>0</v>
          </cell>
          <cell r="CV1239">
            <v>0</v>
          </cell>
          <cell r="CZ1239">
            <v>11</v>
          </cell>
        </row>
        <row r="1240">
          <cell r="C1240" t="str">
            <v>04962</v>
          </cell>
          <cell r="D1240" t="str">
            <v>Triệu Văn Vũ</v>
          </cell>
          <cell r="E1240" t="str">
            <v>Production</v>
          </cell>
          <cell r="F1240" t="str">
            <v>Die cut</v>
          </cell>
          <cell r="G1240" t="str">
            <v>Worker</v>
          </cell>
          <cell r="H1240">
            <v>46083</v>
          </cell>
          <cell r="I1240" t="str">
            <v>X</v>
          </cell>
          <cell r="J1240" t="str">
            <v>X</v>
          </cell>
          <cell r="K1240" t="str">
            <v>X</v>
          </cell>
          <cell r="L1240" t="str">
            <v>X</v>
          </cell>
          <cell r="M1240">
            <v>8</v>
          </cell>
          <cell r="N1240">
            <v>8</v>
          </cell>
          <cell r="O1240" t="str">
            <v>Đ</v>
          </cell>
          <cell r="P1240" t="str">
            <v>Đ</v>
          </cell>
          <cell r="Q1240" t="str">
            <v>Đ</v>
          </cell>
          <cell r="R1240" t="str">
            <v>Đ</v>
          </cell>
          <cell r="S1240" t="str">
            <v>CN</v>
          </cell>
          <cell r="T1240">
            <v>8</v>
          </cell>
          <cell r="U1240">
            <v>8</v>
          </cell>
          <cell r="V1240">
            <v>8</v>
          </cell>
          <cell r="W1240">
            <v>8</v>
          </cell>
          <cell r="X1240">
            <v>8</v>
          </cell>
          <cell r="Y1240">
            <v>8</v>
          </cell>
          <cell r="Z1240" t="str">
            <v>CN</v>
          </cell>
          <cell r="AA1240">
            <v>8</v>
          </cell>
          <cell r="AB1240">
            <v>8</v>
          </cell>
          <cell r="AC1240">
            <v>8</v>
          </cell>
          <cell r="AD1240">
            <v>8</v>
          </cell>
          <cell r="AE1240">
            <v>8</v>
          </cell>
          <cell r="AF1240">
            <v>8</v>
          </cell>
          <cell r="AG1240" t="str">
            <v>CN</v>
          </cell>
          <cell r="AH1240" t="str">
            <v>Đ</v>
          </cell>
          <cell r="AI1240" t="str">
            <v>Đ</v>
          </cell>
          <cell r="AJ1240" t="str">
            <v>Đ</v>
          </cell>
          <cell r="AN1240">
            <v>56</v>
          </cell>
          <cell r="AO1240">
            <v>112</v>
          </cell>
          <cell r="AP1240">
            <v>0</v>
          </cell>
          <cell r="AQ1240">
            <v>0</v>
          </cell>
          <cell r="AR1240">
            <v>0</v>
          </cell>
          <cell r="AS1240">
            <v>0</v>
          </cell>
          <cell r="AT1240">
            <v>0</v>
          </cell>
          <cell r="AU1240">
            <v>0</v>
          </cell>
          <cell r="AV1240">
            <v>0</v>
          </cell>
          <cell r="AW1240">
            <v>0</v>
          </cell>
          <cell r="AX1240">
            <v>0</v>
          </cell>
          <cell r="AY1240">
            <v>0</v>
          </cell>
          <cell r="AZ1240">
            <v>0</v>
          </cell>
          <cell r="BA1240">
            <v>0</v>
          </cell>
          <cell r="BB1240">
            <v>0</v>
          </cell>
          <cell r="BC1240">
            <v>0</v>
          </cell>
          <cell r="BD1240">
            <v>0</v>
          </cell>
          <cell r="BE1240">
            <v>0</v>
          </cell>
          <cell r="BF1240">
            <v>0</v>
          </cell>
          <cell r="BG1240">
            <v>168</v>
          </cell>
          <cell r="BH1240">
            <v>0</v>
          </cell>
          <cell r="BI1240">
            <v>0</v>
          </cell>
          <cell r="BJ1240">
            <v>2</v>
          </cell>
          <cell r="BL1240">
            <v>0</v>
          </cell>
          <cell r="BM1240">
            <v>0</v>
          </cell>
          <cell r="BN1240">
            <v>0</v>
          </cell>
          <cell r="BO1240">
            <v>0</v>
          </cell>
          <cell r="BP1240">
            <v>0</v>
          </cell>
          <cell r="BQ1240">
            <v>0</v>
          </cell>
          <cell r="BR1240">
            <v>0</v>
          </cell>
          <cell r="BS1240">
            <v>0</v>
          </cell>
          <cell r="BT1240">
            <v>0</v>
          </cell>
          <cell r="BU1240">
            <v>0</v>
          </cell>
          <cell r="BV1240">
            <v>0</v>
          </cell>
          <cell r="BW1240">
            <v>0</v>
          </cell>
          <cell r="BX1240">
            <v>0</v>
          </cell>
          <cell r="BY1240">
            <v>0</v>
          </cell>
          <cell r="BZ1240">
            <v>0</v>
          </cell>
          <cell r="CA1240">
            <v>0</v>
          </cell>
          <cell r="CB1240">
            <v>3</v>
          </cell>
          <cell r="CC1240">
            <v>8</v>
          </cell>
          <cell r="CD1240">
            <v>0</v>
          </cell>
          <cell r="CE1240">
            <v>3</v>
          </cell>
          <cell r="CF1240">
            <v>0</v>
          </cell>
          <cell r="CG1240">
            <v>3</v>
          </cell>
          <cell r="CH1240">
            <v>3</v>
          </cell>
          <cell r="CI1240">
            <v>0</v>
          </cell>
          <cell r="CJ1240">
            <v>8</v>
          </cell>
          <cell r="CK1240">
            <v>4</v>
          </cell>
          <cell r="CL1240">
            <v>0</v>
          </cell>
          <cell r="CM1240">
            <v>4</v>
          </cell>
          <cell r="CR1240">
            <v>0</v>
          </cell>
          <cell r="CS1240">
            <v>0</v>
          </cell>
          <cell r="CT1240">
            <v>20</v>
          </cell>
          <cell r="CU1240">
            <v>16</v>
          </cell>
          <cell r="CV1240">
            <v>0</v>
          </cell>
          <cell r="CZ1240">
            <v>36</v>
          </cell>
        </row>
        <row r="1241">
          <cell r="C1241" t="str">
            <v>04963</v>
          </cell>
          <cell r="D1241" t="str">
            <v>Danh Tài</v>
          </cell>
          <cell r="E1241" t="str">
            <v>Production</v>
          </cell>
          <cell r="F1241" t="str">
            <v>Die cut</v>
          </cell>
          <cell r="G1241" t="str">
            <v>Worker</v>
          </cell>
          <cell r="H1241">
            <v>46083</v>
          </cell>
          <cell r="I1241" t="str">
            <v>X</v>
          </cell>
          <cell r="J1241" t="str">
            <v>X</v>
          </cell>
          <cell r="K1241" t="str">
            <v>X</v>
          </cell>
          <cell r="L1241" t="str">
            <v>X</v>
          </cell>
          <cell r="M1241">
            <v>8</v>
          </cell>
          <cell r="N1241" t="str">
            <v>Đ</v>
          </cell>
          <cell r="O1241" t="str">
            <v>Đ</v>
          </cell>
          <cell r="P1241" t="str">
            <v>Đ</v>
          </cell>
          <cell r="Q1241" t="str">
            <v>Đ</v>
          </cell>
          <cell r="R1241" t="str">
            <v>Đ</v>
          </cell>
          <cell r="S1241" t="str">
            <v>CN</v>
          </cell>
          <cell r="T1241">
            <v>8</v>
          </cell>
          <cell r="U1241">
            <v>8</v>
          </cell>
          <cell r="V1241" t="str">
            <v>UP8</v>
          </cell>
          <cell r="W1241">
            <v>8</v>
          </cell>
          <cell r="X1241" t="str">
            <v>UP4</v>
          </cell>
          <cell r="Y1241">
            <v>8</v>
          </cell>
          <cell r="Z1241" t="str">
            <v>CN</v>
          </cell>
          <cell r="AA1241">
            <v>8</v>
          </cell>
          <cell r="AB1241" t="str">
            <v>Đ</v>
          </cell>
          <cell r="AC1241" t="str">
            <v>Đ</v>
          </cell>
          <cell r="AD1241" t="str">
            <v>Đ</v>
          </cell>
          <cell r="AE1241" t="str">
            <v>TV</v>
          </cell>
          <cell r="AF1241" t="str">
            <v>TV</v>
          </cell>
          <cell r="AG1241" t="str">
            <v>TV</v>
          </cell>
          <cell r="AH1241" t="str">
            <v>TV</v>
          </cell>
          <cell r="AI1241" t="str">
            <v>TV</v>
          </cell>
          <cell r="AJ1241" t="str">
            <v>TV</v>
          </cell>
          <cell r="AN1241">
            <v>64</v>
          </cell>
          <cell r="AO1241">
            <v>52</v>
          </cell>
          <cell r="AP1241">
            <v>0</v>
          </cell>
          <cell r="AQ1241">
            <v>0</v>
          </cell>
          <cell r="AR1241">
            <v>4</v>
          </cell>
          <cell r="AS1241">
            <v>12</v>
          </cell>
          <cell r="AT1241">
            <v>0</v>
          </cell>
          <cell r="AU1241">
            <v>0</v>
          </cell>
          <cell r="AV1241">
            <v>0</v>
          </cell>
          <cell r="AW1241">
            <v>0</v>
          </cell>
          <cell r="AX1241">
            <v>0</v>
          </cell>
          <cell r="AY1241">
            <v>0</v>
          </cell>
          <cell r="AZ1241">
            <v>0</v>
          </cell>
          <cell r="BA1241">
            <v>0</v>
          </cell>
          <cell r="BB1241">
            <v>0</v>
          </cell>
          <cell r="BC1241">
            <v>0</v>
          </cell>
          <cell r="BD1241">
            <v>0</v>
          </cell>
          <cell r="BE1241">
            <v>0</v>
          </cell>
          <cell r="BF1241">
            <v>0</v>
          </cell>
          <cell r="BG1241">
            <v>116</v>
          </cell>
          <cell r="BH1241">
            <v>0</v>
          </cell>
          <cell r="BI1241">
            <v>0</v>
          </cell>
          <cell r="BJ1241">
            <v>1</v>
          </cell>
          <cell r="BL1241">
            <v>0</v>
          </cell>
          <cell r="BM1241">
            <v>0</v>
          </cell>
          <cell r="BN1241">
            <v>0</v>
          </cell>
          <cell r="BO1241">
            <v>0</v>
          </cell>
          <cell r="BP1241">
            <v>0</v>
          </cell>
          <cell r="BQ1241">
            <v>0</v>
          </cell>
          <cell r="BR1241">
            <v>0</v>
          </cell>
          <cell r="BS1241">
            <v>4</v>
          </cell>
          <cell r="BT1241">
            <v>4</v>
          </cell>
          <cell r="BU1241">
            <v>4</v>
          </cell>
          <cell r="BV1241">
            <v>0</v>
          </cell>
          <cell r="BW1241">
            <v>3</v>
          </cell>
          <cell r="BX1241">
            <v>3</v>
          </cell>
          <cell r="BY1241">
            <v>0</v>
          </cell>
          <cell r="BZ1241">
            <v>3</v>
          </cell>
          <cell r="CA1241">
            <v>2</v>
          </cell>
          <cell r="CB1241">
            <v>3</v>
          </cell>
          <cell r="CC1241">
            <v>0</v>
          </cell>
          <cell r="CD1241">
            <v>0</v>
          </cell>
          <cell r="CE1241">
            <v>4</v>
          </cell>
          <cell r="CF1241">
            <v>4</v>
          </cell>
          <cell r="CG1241">
            <v>4</v>
          </cell>
          <cell r="CH1241">
            <v>0</v>
          </cell>
          <cell r="CI1241">
            <v>0</v>
          </cell>
          <cell r="CJ1241">
            <v>0</v>
          </cell>
          <cell r="CK1241">
            <v>0</v>
          </cell>
          <cell r="CL1241">
            <v>0</v>
          </cell>
          <cell r="CM1241">
            <v>0</v>
          </cell>
          <cell r="CR1241">
            <v>0</v>
          </cell>
          <cell r="CS1241">
            <v>0</v>
          </cell>
          <cell r="CT1241">
            <v>38</v>
          </cell>
          <cell r="CU1241">
            <v>0</v>
          </cell>
          <cell r="CV1241">
            <v>0</v>
          </cell>
          <cell r="CZ1241">
            <v>38</v>
          </cell>
        </row>
        <row r="1242">
          <cell r="C1242" t="str">
            <v>04964</v>
          </cell>
          <cell r="D1242" t="str">
            <v>Nguyễn Văn Đen</v>
          </cell>
          <cell r="E1242" t="str">
            <v>Production</v>
          </cell>
          <cell r="F1242" t="str">
            <v>Die cut</v>
          </cell>
          <cell r="G1242" t="str">
            <v>Worker</v>
          </cell>
          <cell r="H1242">
            <v>46083</v>
          </cell>
          <cell r="I1242" t="str">
            <v>X</v>
          </cell>
          <cell r="J1242" t="str">
            <v>X</v>
          </cell>
          <cell r="K1242" t="str">
            <v>X</v>
          </cell>
          <cell r="L1242" t="str">
            <v>X</v>
          </cell>
          <cell r="M1242">
            <v>8</v>
          </cell>
          <cell r="N1242" t="str">
            <v>Đ</v>
          </cell>
          <cell r="O1242" t="str">
            <v>Đ</v>
          </cell>
          <cell r="P1242" t="str">
            <v>Đ</v>
          </cell>
          <cell r="Q1242" t="str">
            <v>Đ</v>
          </cell>
          <cell r="R1242" t="str">
            <v>Đ</v>
          </cell>
          <cell r="S1242" t="str">
            <v>CN</v>
          </cell>
          <cell r="T1242">
            <v>8</v>
          </cell>
          <cell r="U1242">
            <v>8</v>
          </cell>
          <cell r="V1242">
            <v>8</v>
          </cell>
          <cell r="W1242">
            <v>8</v>
          </cell>
          <cell r="X1242">
            <v>8</v>
          </cell>
          <cell r="Y1242">
            <v>8</v>
          </cell>
          <cell r="Z1242" t="str">
            <v>CN</v>
          </cell>
          <cell r="AA1242" t="str">
            <v>UP4</v>
          </cell>
          <cell r="AB1242" t="str">
            <v>Đ</v>
          </cell>
          <cell r="AC1242" t="str">
            <v>Đ</v>
          </cell>
          <cell r="AD1242" t="str">
            <v>Đ</v>
          </cell>
          <cell r="AE1242" t="str">
            <v>Đ</v>
          </cell>
          <cell r="AF1242" t="str">
            <v>Đ</v>
          </cell>
          <cell r="AG1242" t="str">
            <v>CN</v>
          </cell>
          <cell r="AH1242" t="str">
            <v>UP8</v>
          </cell>
          <cell r="AI1242" t="str">
            <v>UP8</v>
          </cell>
          <cell r="AJ1242" t="str">
            <v>UP8</v>
          </cell>
          <cell r="AN1242">
            <v>80</v>
          </cell>
          <cell r="AO1242">
            <v>60</v>
          </cell>
          <cell r="AP1242">
            <v>0</v>
          </cell>
          <cell r="AQ1242">
            <v>0</v>
          </cell>
          <cell r="AR1242">
            <v>4</v>
          </cell>
          <cell r="AS1242">
            <v>28</v>
          </cell>
          <cell r="AT1242">
            <v>0</v>
          </cell>
          <cell r="AU1242">
            <v>0</v>
          </cell>
          <cell r="AV1242">
            <v>0</v>
          </cell>
          <cell r="AW1242">
            <v>0</v>
          </cell>
          <cell r="AX1242">
            <v>0</v>
          </cell>
          <cell r="AY1242">
            <v>0</v>
          </cell>
          <cell r="AZ1242">
            <v>0</v>
          </cell>
          <cell r="BA1242">
            <v>0</v>
          </cell>
          <cell r="BB1242">
            <v>0</v>
          </cell>
          <cell r="BC1242">
            <v>0</v>
          </cell>
          <cell r="BD1242">
            <v>0</v>
          </cell>
          <cell r="BE1242">
            <v>0</v>
          </cell>
          <cell r="BF1242">
            <v>0</v>
          </cell>
          <cell r="BG1242">
            <v>140</v>
          </cell>
          <cell r="BH1242">
            <v>0</v>
          </cell>
          <cell r="BI1242">
            <v>0</v>
          </cell>
          <cell r="BJ1242">
            <v>1</v>
          </cell>
          <cell r="BL1242">
            <v>0</v>
          </cell>
          <cell r="BM1242">
            <v>0</v>
          </cell>
          <cell r="BN1242">
            <v>0</v>
          </cell>
          <cell r="BO1242">
            <v>0</v>
          </cell>
          <cell r="BP1242">
            <v>0</v>
          </cell>
          <cell r="BQ1242">
            <v>0</v>
          </cell>
          <cell r="BR1242">
            <v>0</v>
          </cell>
          <cell r="BS1242">
            <v>4</v>
          </cell>
          <cell r="BT1242">
            <v>4</v>
          </cell>
          <cell r="BU1242">
            <v>4</v>
          </cell>
          <cell r="BV1242">
            <v>0</v>
          </cell>
          <cell r="BW1242">
            <v>3</v>
          </cell>
          <cell r="BX1242">
            <v>3</v>
          </cell>
          <cell r="BY1242">
            <v>3</v>
          </cell>
          <cell r="BZ1242">
            <v>3</v>
          </cell>
          <cell r="CA1242">
            <v>3</v>
          </cell>
          <cell r="CB1242">
            <v>3</v>
          </cell>
          <cell r="CC1242">
            <v>0</v>
          </cell>
          <cell r="CD1242">
            <v>0</v>
          </cell>
          <cell r="CE1242">
            <v>4</v>
          </cell>
          <cell r="CF1242">
            <v>4</v>
          </cell>
          <cell r="CG1242">
            <v>4</v>
          </cell>
          <cell r="CH1242">
            <v>4</v>
          </cell>
          <cell r="CI1242">
            <v>4</v>
          </cell>
          <cell r="CJ1242">
            <v>0</v>
          </cell>
          <cell r="CK1242">
            <v>0</v>
          </cell>
          <cell r="CL1242">
            <v>0</v>
          </cell>
          <cell r="CM1242">
            <v>0</v>
          </cell>
          <cell r="CR1242">
            <v>0</v>
          </cell>
          <cell r="CS1242">
            <v>0</v>
          </cell>
          <cell r="CT1242">
            <v>50</v>
          </cell>
          <cell r="CU1242">
            <v>0</v>
          </cell>
          <cell r="CV1242">
            <v>0</v>
          </cell>
          <cell r="CZ1242">
            <v>50</v>
          </cell>
        </row>
        <row r="1243">
          <cell r="C1243" t="str">
            <v>04965</v>
          </cell>
          <cell r="D1243" t="str">
            <v>Lê Huyền Trang</v>
          </cell>
          <cell r="E1243" t="str">
            <v>Production</v>
          </cell>
          <cell r="F1243" t="str">
            <v>Molding</v>
          </cell>
          <cell r="G1243" t="str">
            <v>Worker</v>
          </cell>
          <cell r="H1243">
            <v>46083</v>
          </cell>
          <cell r="I1243" t="str">
            <v>X</v>
          </cell>
          <cell r="J1243" t="str">
            <v>X</v>
          </cell>
          <cell r="K1243" t="str">
            <v>X</v>
          </cell>
          <cell r="L1243" t="str">
            <v>X</v>
          </cell>
          <cell r="M1243">
            <v>8</v>
          </cell>
          <cell r="N1243">
            <v>8</v>
          </cell>
          <cell r="O1243">
            <v>8</v>
          </cell>
          <cell r="P1243">
            <v>8</v>
          </cell>
          <cell r="Q1243">
            <v>8</v>
          </cell>
          <cell r="R1243">
            <v>8</v>
          </cell>
          <cell r="S1243" t="str">
            <v>CN</v>
          </cell>
          <cell r="T1243" t="str">
            <v>Đ</v>
          </cell>
          <cell r="U1243" t="str">
            <v>Đ</v>
          </cell>
          <cell r="V1243" t="str">
            <v>Đ</v>
          </cell>
          <cell r="W1243" t="str">
            <v>Đ</v>
          </cell>
          <cell r="X1243" t="str">
            <v>Đ</v>
          </cell>
          <cell r="Y1243" t="str">
            <v>Đ</v>
          </cell>
          <cell r="Z1243" t="str">
            <v>CN</v>
          </cell>
          <cell r="AA1243">
            <v>4</v>
          </cell>
          <cell r="AB1243" t="str">
            <v>NP</v>
          </cell>
          <cell r="AC1243">
            <v>8</v>
          </cell>
          <cell r="AD1243">
            <v>8</v>
          </cell>
          <cell r="AE1243">
            <v>8</v>
          </cell>
          <cell r="AF1243" t="str">
            <v>TV</v>
          </cell>
          <cell r="AG1243" t="str">
            <v>TV</v>
          </cell>
          <cell r="AH1243" t="str">
            <v>TV</v>
          </cell>
          <cell r="AI1243" t="str">
            <v>TV</v>
          </cell>
          <cell r="AJ1243" t="str">
            <v>TV</v>
          </cell>
          <cell r="AN1243">
            <v>48</v>
          </cell>
          <cell r="AO1243">
            <v>76</v>
          </cell>
          <cell r="AP1243">
            <v>0</v>
          </cell>
          <cell r="AQ1243">
            <v>0</v>
          </cell>
          <cell r="AR1243">
            <v>0</v>
          </cell>
          <cell r="AS1243">
            <v>0</v>
          </cell>
          <cell r="AT1243">
            <v>1</v>
          </cell>
          <cell r="AU1243">
            <v>0</v>
          </cell>
          <cell r="AV1243">
            <v>0</v>
          </cell>
          <cell r="AW1243">
            <v>0</v>
          </cell>
          <cell r="AX1243">
            <v>0</v>
          </cell>
          <cell r="AY1243">
            <v>0</v>
          </cell>
          <cell r="AZ1243">
            <v>0</v>
          </cell>
          <cell r="BA1243">
            <v>0</v>
          </cell>
          <cell r="BB1243">
            <v>0</v>
          </cell>
          <cell r="BC1243">
            <v>0</v>
          </cell>
          <cell r="BD1243">
            <v>0</v>
          </cell>
          <cell r="BE1243">
            <v>0</v>
          </cell>
          <cell r="BF1243">
            <v>0</v>
          </cell>
          <cell r="BG1243">
            <v>124</v>
          </cell>
          <cell r="BH1243">
            <v>0</v>
          </cell>
          <cell r="BI1243">
            <v>0</v>
          </cell>
          <cell r="BJ1243">
            <v>1</v>
          </cell>
          <cell r="BL1243">
            <v>0</v>
          </cell>
          <cell r="BM1243">
            <v>0</v>
          </cell>
          <cell r="BN1243">
            <v>0</v>
          </cell>
          <cell r="BO1243">
            <v>0</v>
          </cell>
          <cell r="BP1243">
            <v>0</v>
          </cell>
          <cell r="BQ1243">
            <v>0</v>
          </cell>
          <cell r="BR1243">
            <v>0</v>
          </cell>
          <cell r="BS1243">
            <v>0</v>
          </cell>
          <cell r="BT1243">
            <v>0</v>
          </cell>
          <cell r="BU1243">
            <v>0</v>
          </cell>
          <cell r="BV1243">
            <v>0</v>
          </cell>
          <cell r="BW1243">
            <v>0</v>
          </cell>
          <cell r="BX1243">
            <v>0</v>
          </cell>
          <cell r="BY1243">
            <v>0</v>
          </cell>
          <cell r="BZ1243">
            <v>0</v>
          </cell>
          <cell r="CA1243">
            <v>0</v>
          </cell>
          <cell r="CB1243">
            <v>0</v>
          </cell>
          <cell r="CC1243">
            <v>0</v>
          </cell>
          <cell r="CD1243">
            <v>0</v>
          </cell>
          <cell r="CE1243">
            <v>0</v>
          </cell>
          <cell r="CF1243">
            <v>0</v>
          </cell>
          <cell r="CG1243">
            <v>0</v>
          </cell>
          <cell r="CH1243">
            <v>0</v>
          </cell>
          <cell r="CI1243">
            <v>0</v>
          </cell>
          <cell r="CJ1243">
            <v>0</v>
          </cell>
          <cell r="CK1243">
            <v>0</v>
          </cell>
          <cell r="CL1243">
            <v>0</v>
          </cell>
          <cell r="CM1243">
            <v>0</v>
          </cell>
          <cell r="CR1243">
            <v>0</v>
          </cell>
          <cell r="CS1243">
            <v>0</v>
          </cell>
          <cell r="CT1243">
            <v>0</v>
          </cell>
          <cell r="CU1243">
            <v>0</v>
          </cell>
          <cell r="CV1243">
            <v>0</v>
          </cell>
          <cell r="CZ1243">
            <v>0</v>
          </cell>
        </row>
        <row r="1244">
          <cell r="C1244" t="str">
            <v>04966</v>
          </cell>
          <cell r="D1244" t="str">
            <v>Phạm Thị Xuân Nương</v>
          </cell>
          <cell r="E1244" t="str">
            <v>Production</v>
          </cell>
          <cell r="F1244" t="str">
            <v>Logo</v>
          </cell>
          <cell r="G1244" t="str">
            <v>Worker</v>
          </cell>
          <cell r="H1244">
            <v>46083</v>
          </cell>
          <cell r="I1244" t="str">
            <v>X</v>
          </cell>
          <cell r="J1244" t="str">
            <v>X</v>
          </cell>
          <cell r="K1244" t="str">
            <v>X</v>
          </cell>
          <cell r="L1244" t="str">
            <v>X</v>
          </cell>
          <cell r="M1244">
            <v>8</v>
          </cell>
          <cell r="N1244" t="str">
            <v>Đ</v>
          </cell>
          <cell r="O1244" t="str">
            <v>Đ</v>
          </cell>
          <cell r="P1244" t="str">
            <v>Đ</v>
          </cell>
          <cell r="Q1244" t="str">
            <v>Đ</v>
          </cell>
          <cell r="R1244" t="str">
            <v>Đ</v>
          </cell>
          <cell r="S1244" t="str">
            <v>CN</v>
          </cell>
          <cell r="T1244">
            <v>8</v>
          </cell>
          <cell r="U1244">
            <v>8</v>
          </cell>
          <cell r="V1244">
            <v>8</v>
          </cell>
          <cell r="W1244">
            <v>8</v>
          </cell>
          <cell r="X1244">
            <v>8</v>
          </cell>
          <cell r="Y1244">
            <v>8</v>
          </cell>
          <cell r="Z1244" t="str">
            <v>CN</v>
          </cell>
          <cell r="AA1244">
            <v>8</v>
          </cell>
          <cell r="AB1244" t="str">
            <v>Đ</v>
          </cell>
          <cell r="AC1244" t="str">
            <v>Đ</v>
          </cell>
          <cell r="AD1244" t="str">
            <v>Đ</v>
          </cell>
          <cell r="AE1244" t="str">
            <v>Đ</v>
          </cell>
          <cell r="AF1244" t="str">
            <v>Đ</v>
          </cell>
          <cell r="AG1244" t="str">
            <v>CN</v>
          </cell>
          <cell r="AH1244">
            <v>8</v>
          </cell>
          <cell r="AI1244">
            <v>8</v>
          </cell>
          <cell r="AJ1244">
            <v>8</v>
          </cell>
          <cell r="AN1244">
            <v>80</v>
          </cell>
          <cell r="AO1244">
            <v>88</v>
          </cell>
          <cell r="AP1244">
            <v>0</v>
          </cell>
          <cell r="AQ1244">
            <v>0</v>
          </cell>
          <cell r="AR1244">
            <v>0</v>
          </cell>
          <cell r="AS1244">
            <v>0</v>
          </cell>
          <cell r="AT1244">
            <v>0</v>
          </cell>
          <cell r="AU1244">
            <v>0</v>
          </cell>
          <cell r="AV1244">
            <v>0</v>
          </cell>
          <cell r="AW1244">
            <v>0</v>
          </cell>
          <cell r="AX1244">
            <v>0</v>
          </cell>
          <cell r="AY1244">
            <v>0</v>
          </cell>
          <cell r="AZ1244">
            <v>0</v>
          </cell>
          <cell r="BA1244">
            <v>0</v>
          </cell>
          <cell r="BB1244">
            <v>0</v>
          </cell>
          <cell r="BC1244">
            <v>0</v>
          </cell>
          <cell r="BD1244">
            <v>0</v>
          </cell>
          <cell r="BE1244">
            <v>0</v>
          </cell>
          <cell r="BF1244">
            <v>0</v>
          </cell>
          <cell r="BG1244">
            <v>168</v>
          </cell>
          <cell r="BH1244">
            <v>0</v>
          </cell>
          <cell r="BI1244">
            <v>0</v>
          </cell>
          <cell r="BJ1244">
            <v>2</v>
          </cell>
          <cell r="BL1244">
            <v>0</v>
          </cell>
          <cell r="BM1244">
            <v>0</v>
          </cell>
          <cell r="BN1244">
            <v>0</v>
          </cell>
          <cell r="BO1244">
            <v>0</v>
          </cell>
          <cell r="BP1244">
            <v>0</v>
          </cell>
          <cell r="BQ1244">
            <v>0</v>
          </cell>
          <cell r="BR1244">
            <v>0</v>
          </cell>
          <cell r="BS1244">
            <v>4</v>
          </cell>
          <cell r="BT1244">
            <v>3</v>
          </cell>
          <cell r="BU1244">
            <v>4</v>
          </cell>
          <cell r="BV1244">
            <v>0</v>
          </cell>
          <cell r="BW1244">
            <v>3</v>
          </cell>
          <cell r="BX1244">
            <v>3</v>
          </cell>
          <cell r="BY1244">
            <v>3</v>
          </cell>
          <cell r="BZ1244">
            <v>3</v>
          </cell>
          <cell r="CA1244">
            <v>3</v>
          </cell>
          <cell r="CB1244">
            <v>3</v>
          </cell>
          <cell r="CC1244">
            <v>8</v>
          </cell>
          <cell r="CD1244">
            <v>0</v>
          </cell>
          <cell r="CE1244">
            <v>4</v>
          </cell>
          <cell r="CF1244">
            <v>4</v>
          </cell>
          <cell r="CG1244">
            <v>4</v>
          </cell>
          <cell r="CH1244">
            <v>4</v>
          </cell>
          <cell r="CI1244">
            <v>4</v>
          </cell>
          <cell r="CJ1244">
            <v>0</v>
          </cell>
          <cell r="CK1244">
            <v>3</v>
          </cell>
          <cell r="CL1244">
            <v>3</v>
          </cell>
          <cell r="CM1244">
            <v>3</v>
          </cell>
          <cell r="CR1244">
            <v>0</v>
          </cell>
          <cell r="CS1244">
            <v>0</v>
          </cell>
          <cell r="CT1244">
            <v>58</v>
          </cell>
          <cell r="CU1244">
            <v>8</v>
          </cell>
          <cell r="CV1244">
            <v>0</v>
          </cell>
          <cell r="CZ1244">
            <v>66</v>
          </cell>
        </row>
        <row r="1245">
          <cell r="C1245" t="str">
            <v>04967</v>
          </cell>
          <cell r="D1245" t="str">
            <v>Trần Thị Huyền Trân</v>
          </cell>
          <cell r="E1245" t="str">
            <v>Production</v>
          </cell>
          <cell r="F1245" t="str">
            <v>Die cut</v>
          </cell>
          <cell r="G1245" t="str">
            <v>Worker</v>
          </cell>
          <cell r="H1245">
            <v>46083</v>
          </cell>
          <cell r="I1245" t="str">
            <v>X</v>
          </cell>
          <cell r="J1245" t="str">
            <v>X</v>
          </cell>
          <cell r="K1245" t="str">
            <v>X</v>
          </cell>
          <cell r="L1245" t="str">
            <v>X</v>
          </cell>
          <cell r="M1245">
            <v>8</v>
          </cell>
          <cell r="N1245" t="str">
            <v>Đ</v>
          </cell>
          <cell r="O1245" t="str">
            <v>Đ</v>
          </cell>
          <cell r="P1245" t="str">
            <v>Đ</v>
          </cell>
          <cell r="Q1245" t="str">
            <v>Đ</v>
          </cell>
          <cell r="R1245" t="str">
            <v>Đ</v>
          </cell>
          <cell r="S1245" t="str">
            <v>CN</v>
          </cell>
          <cell r="T1245">
            <v>8</v>
          </cell>
          <cell r="U1245">
            <v>8</v>
          </cell>
          <cell r="V1245">
            <v>8</v>
          </cell>
          <cell r="W1245">
            <v>8</v>
          </cell>
          <cell r="X1245">
            <v>8</v>
          </cell>
          <cell r="Y1245">
            <v>8</v>
          </cell>
          <cell r="Z1245" t="str">
            <v>CN</v>
          </cell>
          <cell r="AA1245">
            <v>8</v>
          </cell>
          <cell r="AB1245" t="str">
            <v>Đ</v>
          </cell>
          <cell r="AC1245" t="str">
            <v>Đ</v>
          </cell>
          <cell r="AD1245" t="str">
            <v>Đ</v>
          </cell>
          <cell r="AE1245" t="str">
            <v>Đ</v>
          </cell>
          <cell r="AF1245" t="str">
            <v>Đ</v>
          </cell>
          <cell r="AG1245" t="str">
            <v>CN</v>
          </cell>
          <cell r="AH1245">
            <v>8</v>
          </cell>
          <cell r="AI1245">
            <v>8</v>
          </cell>
          <cell r="AJ1245">
            <v>8</v>
          </cell>
          <cell r="AN1245">
            <v>80</v>
          </cell>
          <cell r="AO1245">
            <v>88</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168</v>
          </cell>
          <cell r="BH1245">
            <v>0</v>
          </cell>
          <cell r="BI1245">
            <v>0</v>
          </cell>
          <cell r="BJ1245">
            <v>2</v>
          </cell>
          <cell r="BL1245">
            <v>0</v>
          </cell>
          <cell r="BM1245">
            <v>0</v>
          </cell>
          <cell r="BN1245">
            <v>0</v>
          </cell>
          <cell r="BO1245">
            <v>0</v>
          </cell>
          <cell r="BP1245">
            <v>0</v>
          </cell>
          <cell r="BQ1245">
            <v>0</v>
          </cell>
          <cell r="BR1245">
            <v>0</v>
          </cell>
          <cell r="BS1245">
            <v>4</v>
          </cell>
          <cell r="BT1245">
            <v>4</v>
          </cell>
          <cell r="BU1245">
            <v>0</v>
          </cell>
          <cell r="BV1245">
            <v>0</v>
          </cell>
          <cell r="BW1245">
            <v>3</v>
          </cell>
          <cell r="BX1245">
            <v>3</v>
          </cell>
          <cell r="BY1245">
            <v>0</v>
          </cell>
          <cell r="BZ1245">
            <v>2</v>
          </cell>
          <cell r="CA1245">
            <v>3</v>
          </cell>
          <cell r="CB1245">
            <v>0</v>
          </cell>
          <cell r="CC1245">
            <v>0</v>
          </cell>
          <cell r="CD1245">
            <v>0</v>
          </cell>
          <cell r="CE1245">
            <v>4</v>
          </cell>
          <cell r="CF1245">
            <v>4</v>
          </cell>
          <cell r="CG1245">
            <v>4</v>
          </cell>
          <cell r="CH1245">
            <v>0</v>
          </cell>
          <cell r="CI1245">
            <v>4</v>
          </cell>
          <cell r="CJ1245">
            <v>0</v>
          </cell>
          <cell r="CK1245">
            <v>3</v>
          </cell>
          <cell r="CL1245">
            <v>3</v>
          </cell>
          <cell r="CM1245">
            <v>3</v>
          </cell>
          <cell r="CR1245">
            <v>0</v>
          </cell>
          <cell r="CS1245">
            <v>0</v>
          </cell>
          <cell r="CT1245">
            <v>44</v>
          </cell>
          <cell r="CU1245">
            <v>0</v>
          </cell>
          <cell r="CV1245">
            <v>0</v>
          </cell>
          <cell r="CZ1245">
            <v>44</v>
          </cell>
        </row>
        <row r="1246">
          <cell r="C1246" t="str">
            <v>04968</v>
          </cell>
          <cell r="D1246" t="str">
            <v>Nguyễn Thị Ngọc Tuyết</v>
          </cell>
          <cell r="E1246" t="str">
            <v>Production</v>
          </cell>
          <cell r="F1246" t="str">
            <v>Logo</v>
          </cell>
          <cell r="G1246" t="str">
            <v>Worker</v>
          </cell>
          <cell r="H1246">
            <v>46083</v>
          </cell>
          <cell r="I1246" t="str">
            <v>X</v>
          </cell>
          <cell r="J1246" t="str">
            <v>X</v>
          </cell>
          <cell r="K1246" t="str">
            <v>X</v>
          </cell>
          <cell r="L1246" t="str">
            <v>X</v>
          </cell>
          <cell r="M1246">
            <v>8</v>
          </cell>
          <cell r="N1246">
            <v>8</v>
          </cell>
          <cell r="O1246" t="str">
            <v>UP8</v>
          </cell>
          <cell r="P1246" t="str">
            <v>UP8</v>
          </cell>
          <cell r="Q1246" t="str">
            <v>UP8</v>
          </cell>
          <cell r="R1246" t="str">
            <v>UP8</v>
          </cell>
          <cell r="S1246" t="str">
            <v>CN</v>
          </cell>
          <cell r="T1246" t="str">
            <v>UP8</v>
          </cell>
          <cell r="U1246" t="str">
            <v>UP8</v>
          </cell>
          <cell r="V1246" t="str">
            <v>UP8</v>
          </cell>
          <cell r="W1246" t="str">
            <v>NP</v>
          </cell>
          <cell r="X1246" t="str">
            <v>NP</v>
          </cell>
          <cell r="Y1246" t="str">
            <v>NP</v>
          </cell>
          <cell r="Z1246" t="str">
            <v>CN</v>
          </cell>
          <cell r="AA1246" t="str">
            <v>NP</v>
          </cell>
          <cell r="AB1246" t="str">
            <v>NP</v>
          </cell>
          <cell r="AC1246" t="str">
            <v>TV</v>
          </cell>
          <cell r="AD1246" t="str">
            <v>TV</v>
          </cell>
          <cell r="AE1246" t="str">
            <v>TV</v>
          </cell>
          <cell r="AF1246" t="str">
            <v>TV</v>
          </cell>
          <cell r="AG1246" t="str">
            <v>TV</v>
          </cell>
          <cell r="AH1246" t="str">
            <v>TV</v>
          </cell>
          <cell r="AI1246" t="str">
            <v>TV</v>
          </cell>
          <cell r="AJ1246" t="str">
            <v>TV</v>
          </cell>
          <cell r="AN1246">
            <v>0</v>
          </cell>
          <cell r="AO1246">
            <v>16</v>
          </cell>
          <cell r="AP1246">
            <v>0</v>
          </cell>
          <cell r="AQ1246">
            <v>0</v>
          </cell>
          <cell r="AR1246">
            <v>0</v>
          </cell>
          <cell r="AS1246">
            <v>56</v>
          </cell>
          <cell r="AT1246">
            <v>5</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16</v>
          </cell>
          <cell r="BH1246">
            <v>0</v>
          </cell>
          <cell r="BI1246">
            <v>0</v>
          </cell>
          <cell r="BJ1246">
            <v>1</v>
          </cell>
          <cell r="BL1246">
            <v>0</v>
          </cell>
          <cell r="BM1246">
            <v>0</v>
          </cell>
          <cell r="BN1246">
            <v>0</v>
          </cell>
          <cell r="BO1246">
            <v>0</v>
          </cell>
          <cell r="BP1246">
            <v>0</v>
          </cell>
          <cell r="BQ1246">
            <v>0</v>
          </cell>
          <cell r="BR1246">
            <v>0</v>
          </cell>
          <cell r="BS1246">
            <v>0</v>
          </cell>
          <cell r="BT1246">
            <v>0</v>
          </cell>
          <cell r="BU1246">
            <v>0</v>
          </cell>
          <cell r="BV1246">
            <v>0</v>
          </cell>
          <cell r="BW1246">
            <v>0</v>
          </cell>
          <cell r="BX1246">
            <v>0</v>
          </cell>
          <cell r="BY1246">
            <v>0</v>
          </cell>
          <cell r="BZ1246">
            <v>0</v>
          </cell>
          <cell r="CA1246">
            <v>0</v>
          </cell>
          <cell r="CB1246">
            <v>0</v>
          </cell>
          <cell r="CC1246">
            <v>0</v>
          </cell>
          <cell r="CD1246">
            <v>0</v>
          </cell>
          <cell r="CE1246">
            <v>0</v>
          </cell>
          <cell r="CF1246">
            <v>0</v>
          </cell>
          <cell r="CG1246">
            <v>0</v>
          </cell>
          <cell r="CH1246">
            <v>0</v>
          </cell>
          <cell r="CI1246">
            <v>0</v>
          </cell>
          <cell r="CJ1246">
            <v>0</v>
          </cell>
          <cell r="CK1246">
            <v>0</v>
          </cell>
          <cell r="CL1246">
            <v>0</v>
          </cell>
          <cell r="CM1246">
            <v>0</v>
          </cell>
          <cell r="CR1246">
            <v>0</v>
          </cell>
          <cell r="CS1246">
            <v>0</v>
          </cell>
          <cell r="CT1246">
            <v>0</v>
          </cell>
          <cell r="CU1246">
            <v>0</v>
          </cell>
          <cell r="CV1246">
            <v>0</v>
          </cell>
          <cell r="CZ1246">
            <v>0</v>
          </cell>
        </row>
        <row r="1247">
          <cell r="C1247" t="str">
            <v>04969</v>
          </cell>
          <cell r="D1247" t="str">
            <v>Trần Nguyễn Huỳnh Anh</v>
          </cell>
          <cell r="E1247" t="str">
            <v>Production</v>
          </cell>
          <cell r="F1247" t="str">
            <v>Logo</v>
          </cell>
          <cell r="G1247" t="str">
            <v>Worker</v>
          </cell>
          <cell r="H1247">
            <v>46083</v>
          </cell>
          <cell r="I1247" t="str">
            <v>X</v>
          </cell>
          <cell r="J1247" t="str">
            <v>X</v>
          </cell>
          <cell r="K1247" t="str">
            <v>X</v>
          </cell>
          <cell r="L1247" t="str">
            <v>X</v>
          </cell>
          <cell r="M1247">
            <v>8</v>
          </cell>
          <cell r="N1247" t="str">
            <v>Đ</v>
          </cell>
          <cell r="O1247" t="str">
            <v>Đ</v>
          </cell>
          <cell r="P1247" t="str">
            <v>Đ</v>
          </cell>
          <cell r="Q1247" t="str">
            <v>UP8</v>
          </cell>
          <cell r="R1247" t="str">
            <v>UP8</v>
          </cell>
          <cell r="S1247" t="str">
            <v>CN</v>
          </cell>
          <cell r="T1247">
            <v>8</v>
          </cell>
          <cell r="U1247">
            <v>8</v>
          </cell>
          <cell r="V1247">
            <v>8</v>
          </cell>
          <cell r="W1247">
            <v>8</v>
          </cell>
          <cell r="X1247">
            <v>8</v>
          </cell>
          <cell r="Y1247" t="str">
            <v>UP8</v>
          </cell>
          <cell r="Z1247" t="str">
            <v>CN</v>
          </cell>
          <cell r="AA1247">
            <v>8</v>
          </cell>
          <cell r="AB1247" t="str">
            <v>Đ</v>
          </cell>
          <cell r="AC1247" t="str">
            <v>Đ</v>
          </cell>
          <cell r="AD1247" t="str">
            <v>Đ</v>
          </cell>
          <cell r="AE1247" t="str">
            <v>Đ</v>
          </cell>
          <cell r="AF1247" t="str">
            <v>UP8</v>
          </cell>
          <cell r="AG1247" t="str">
            <v>CN</v>
          </cell>
          <cell r="AH1247">
            <v>8</v>
          </cell>
          <cell r="AI1247">
            <v>8</v>
          </cell>
          <cell r="AJ1247">
            <v>8</v>
          </cell>
          <cell r="AN1247">
            <v>56</v>
          </cell>
          <cell r="AO1247">
            <v>80</v>
          </cell>
          <cell r="AP1247">
            <v>0</v>
          </cell>
          <cell r="AQ1247">
            <v>0</v>
          </cell>
          <cell r="AR1247">
            <v>0</v>
          </cell>
          <cell r="AS1247">
            <v>32</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136</v>
          </cell>
          <cell r="BH1247">
            <v>0</v>
          </cell>
          <cell r="BI1247">
            <v>0</v>
          </cell>
          <cell r="BJ1247">
            <v>2</v>
          </cell>
          <cell r="BL1247">
            <v>0</v>
          </cell>
          <cell r="BM1247">
            <v>0</v>
          </cell>
          <cell r="BN1247">
            <v>0</v>
          </cell>
          <cell r="BO1247">
            <v>0</v>
          </cell>
          <cell r="BP1247">
            <v>0</v>
          </cell>
          <cell r="BQ1247">
            <v>0</v>
          </cell>
          <cell r="BR1247">
            <v>0</v>
          </cell>
          <cell r="BS1247">
            <v>4</v>
          </cell>
          <cell r="BT1247">
            <v>0</v>
          </cell>
          <cell r="BU1247">
            <v>0</v>
          </cell>
          <cell r="BV1247">
            <v>0</v>
          </cell>
          <cell r="BW1247">
            <v>3</v>
          </cell>
          <cell r="BX1247">
            <v>3</v>
          </cell>
          <cell r="BY1247">
            <v>3</v>
          </cell>
          <cell r="BZ1247">
            <v>3</v>
          </cell>
          <cell r="CA1247">
            <v>3</v>
          </cell>
          <cell r="CB1247">
            <v>0</v>
          </cell>
          <cell r="CC1247">
            <v>0</v>
          </cell>
          <cell r="CD1247">
            <v>0</v>
          </cell>
          <cell r="CE1247">
            <v>4</v>
          </cell>
          <cell r="CF1247">
            <v>4</v>
          </cell>
          <cell r="CG1247">
            <v>4</v>
          </cell>
          <cell r="CH1247">
            <v>4</v>
          </cell>
          <cell r="CI1247">
            <v>0</v>
          </cell>
          <cell r="CJ1247">
            <v>0</v>
          </cell>
          <cell r="CK1247">
            <v>3</v>
          </cell>
          <cell r="CL1247">
            <v>3</v>
          </cell>
          <cell r="CM1247">
            <v>3</v>
          </cell>
          <cell r="CR1247">
            <v>0</v>
          </cell>
          <cell r="CS1247">
            <v>0</v>
          </cell>
          <cell r="CT1247">
            <v>44</v>
          </cell>
          <cell r="CU1247">
            <v>0</v>
          </cell>
          <cell r="CV1247">
            <v>0</v>
          </cell>
          <cell r="CZ1247">
            <v>44</v>
          </cell>
        </row>
        <row r="1248">
          <cell r="C1248" t="str">
            <v>04970</v>
          </cell>
          <cell r="D1248" t="str">
            <v>Nguyễn Thị Bích</v>
          </cell>
          <cell r="E1248" t="str">
            <v>Production</v>
          </cell>
          <cell r="F1248" t="str">
            <v>Logo</v>
          </cell>
          <cell r="G1248" t="str">
            <v>Worker</v>
          </cell>
          <cell r="H1248">
            <v>46083</v>
          </cell>
          <cell r="I1248" t="str">
            <v>X</v>
          </cell>
          <cell r="J1248" t="str">
            <v>X</v>
          </cell>
          <cell r="K1248" t="str">
            <v>X</v>
          </cell>
          <cell r="L1248" t="str">
            <v>X</v>
          </cell>
          <cell r="M1248">
            <v>8</v>
          </cell>
          <cell r="N1248" t="str">
            <v>Đ</v>
          </cell>
          <cell r="O1248" t="str">
            <v>Đ</v>
          </cell>
          <cell r="P1248" t="str">
            <v>Đ</v>
          </cell>
          <cell r="Q1248" t="str">
            <v>Đ</v>
          </cell>
          <cell r="R1248" t="str">
            <v>Đ</v>
          </cell>
          <cell r="S1248" t="str">
            <v>CN</v>
          </cell>
          <cell r="T1248">
            <v>8</v>
          </cell>
          <cell r="U1248">
            <v>8</v>
          </cell>
          <cell r="V1248">
            <v>8</v>
          </cell>
          <cell r="W1248">
            <v>8</v>
          </cell>
          <cell r="X1248">
            <v>8</v>
          </cell>
          <cell r="Y1248">
            <v>8</v>
          </cell>
          <cell r="Z1248" t="str">
            <v>CN</v>
          </cell>
          <cell r="AA1248">
            <v>8</v>
          </cell>
          <cell r="AB1248" t="str">
            <v>Đ</v>
          </cell>
          <cell r="AC1248" t="str">
            <v>Đ</v>
          </cell>
          <cell r="AD1248" t="str">
            <v>Đ</v>
          </cell>
          <cell r="AE1248" t="str">
            <v>Đ</v>
          </cell>
          <cell r="AF1248" t="str">
            <v>Đ</v>
          </cell>
          <cell r="AG1248" t="str">
            <v>CN</v>
          </cell>
          <cell r="AH1248">
            <v>8</v>
          </cell>
          <cell r="AI1248" t="str">
            <v>TV</v>
          </cell>
          <cell r="AJ1248" t="str">
            <v>TV</v>
          </cell>
          <cell r="AN1248">
            <v>80</v>
          </cell>
          <cell r="AO1248">
            <v>72</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152</v>
          </cell>
          <cell r="BH1248">
            <v>0</v>
          </cell>
          <cell r="BI1248">
            <v>0</v>
          </cell>
          <cell r="BJ1248">
            <v>1</v>
          </cell>
          <cell r="BL1248">
            <v>0</v>
          </cell>
          <cell r="BM1248">
            <v>0</v>
          </cell>
          <cell r="BN1248">
            <v>0</v>
          </cell>
          <cell r="BO1248">
            <v>0</v>
          </cell>
          <cell r="BP1248">
            <v>0</v>
          </cell>
          <cell r="BQ1248">
            <v>0</v>
          </cell>
          <cell r="BR1248">
            <v>0</v>
          </cell>
          <cell r="BS1248">
            <v>4</v>
          </cell>
          <cell r="BT1248">
            <v>0</v>
          </cell>
          <cell r="BU1248">
            <v>4</v>
          </cell>
          <cell r="BV1248">
            <v>0</v>
          </cell>
          <cell r="BW1248">
            <v>0</v>
          </cell>
          <cell r="BX1248">
            <v>3</v>
          </cell>
          <cell r="BY1248">
            <v>3</v>
          </cell>
          <cell r="BZ1248">
            <v>3</v>
          </cell>
          <cell r="CA1248">
            <v>3</v>
          </cell>
          <cell r="CB1248">
            <v>3</v>
          </cell>
          <cell r="CC1248">
            <v>8</v>
          </cell>
          <cell r="CD1248">
            <v>0</v>
          </cell>
          <cell r="CE1248">
            <v>0</v>
          </cell>
          <cell r="CF1248">
            <v>4</v>
          </cell>
          <cell r="CG1248">
            <v>4</v>
          </cell>
          <cell r="CH1248">
            <v>0</v>
          </cell>
          <cell r="CI1248">
            <v>4</v>
          </cell>
          <cell r="CJ1248">
            <v>0</v>
          </cell>
          <cell r="CK1248">
            <v>0</v>
          </cell>
          <cell r="CL1248">
            <v>0</v>
          </cell>
          <cell r="CM1248">
            <v>0</v>
          </cell>
          <cell r="CR1248">
            <v>0</v>
          </cell>
          <cell r="CS1248">
            <v>0</v>
          </cell>
          <cell r="CT1248">
            <v>35</v>
          </cell>
          <cell r="CU1248">
            <v>8</v>
          </cell>
          <cell r="CV1248">
            <v>0</v>
          </cell>
          <cell r="CZ1248">
            <v>43</v>
          </cell>
        </row>
        <row r="1249">
          <cell r="C1249" t="str">
            <v>04971</v>
          </cell>
          <cell r="D1249" t="str">
            <v>Phạm Nguyễn Ngọc Tây</v>
          </cell>
          <cell r="E1249" t="str">
            <v>Production</v>
          </cell>
          <cell r="F1249" t="str">
            <v>Molding</v>
          </cell>
          <cell r="G1249" t="str">
            <v>Worker</v>
          </cell>
          <cell r="H1249">
            <v>46083</v>
          </cell>
          <cell r="I1249" t="str">
            <v>X</v>
          </cell>
          <cell r="J1249" t="str">
            <v>X</v>
          </cell>
          <cell r="K1249" t="str">
            <v>X</v>
          </cell>
          <cell r="L1249" t="str">
            <v>X</v>
          </cell>
          <cell r="M1249">
            <v>8</v>
          </cell>
          <cell r="N1249">
            <v>8</v>
          </cell>
          <cell r="O1249">
            <v>8</v>
          </cell>
          <cell r="P1249">
            <v>8</v>
          </cell>
          <cell r="Q1249">
            <v>8</v>
          </cell>
          <cell r="R1249">
            <v>8</v>
          </cell>
          <cell r="S1249" t="str">
            <v>CN</v>
          </cell>
          <cell r="T1249" t="str">
            <v>Đ</v>
          </cell>
          <cell r="U1249" t="str">
            <v>Đ</v>
          </cell>
          <cell r="V1249" t="str">
            <v>Đ</v>
          </cell>
          <cell r="W1249" t="str">
            <v>Đ</v>
          </cell>
          <cell r="X1249" t="str">
            <v>Đ</v>
          </cell>
          <cell r="Y1249" t="str">
            <v>Đ</v>
          </cell>
          <cell r="Z1249" t="str">
            <v>CN</v>
          </cell>
          <cell r="AA1249">
            <v>8</v>
          </cell>
          <cell r="AB1249">
            <v>8</v>
          </cell>
          <cell r="AC1249">
            <v>8</v>
          </cell>
          <cell r="AD1249">
            <v>8</v>
          </cell>
          <cell r="AE1249">
            <v>8</v>
          </cell>
          <cell r="AF1249">
            <v>8</v>
          </cell>
          <cell r="AG1249" t="str">
            <v>CN</v>
          </cell>
          <cell r="AH1249" t="str">
            <v>Đ</v>
          </cell>
          <cell r="AI1249" t="str">
            <v>Đ</v>
          </cell>
          <cell r="AJ1249" t="str">
            <v>Đ</v>
          </cell>
          <cell r="AN1249">
            <v>72</v>
          </cell>
          <cell r="AO1249">
            <v>96</v>
          </cell>
          <cell r="AP1249">
            <v>0</v>
          </cell>
          <cell r="AQ1249">
            <v>0</v>
          </cell>
          <cell r="AR1249">
            <v>0</v>
          </cell>
          <cell r="AS1249">
            <v>0</v>
          </cell>
          <cell r="AT1249">
            <v>0</v>
          </cell>
          <cell r="AU1249">
            <v>0</v>
          </cell>
          <cell r="AV1249">
            <v>0</v>
          </cell>
          <cell r="AW1249">
            <v>0</v>
          </cell>
          <cell r="AX1249">
            <v>0</v>
          </cell>
          <cell r="AY1249">
            <v>0</v>
          </cell>
          <cell r="AZ1249">
            <v>0</v>
          </cell>
          <cell r="BA1249">
            <v>0</v>
          </cell>
          <cell r="BB1249">
            <v>0</v>
          </cell>
          <cell r="BC1249">
            <v>0</v>
          </cell>
          <cell r="BD1249">
            <v>0</v>
          </cell>
          <cell r="BE1249">
            <v>0</v>
          </cell>
          <cell r="BF1249">
            <v>0</v>
          </cell>
          <cell r="BG1249">
            <v>168</v>
          </cell>
          <cell r="BH1249">
            <v>0</v>
          </cell>
          <cell r="BI1249">
            <v>0</v>
          </cell>
          <cell r="BJ1249">
            <v>2</v>
          </cell>
          <cell r="BL1249">
            <v>0</v>
          </cell>
          <cell r="BM1249">
            <v>0</v>
          </cell>
          <cell r="BN1249">
            <v>0</v>
          </cell>
          <cell r="BO1249">
            <v>0</v>
          </cell>
          <cell r="BP1249">
            <v>0</v>
          </cell>
          <cell r="BQ1249">
            <v>0</v>
          </cell>
          <cell r="BR1249">
            <v>0</v>
          </cell>
          <cell r="BS1249">
            <v>0</v>
          </cell>
          <cell r="BT1249">
            <v>0</v>
          </cell>
          <cell r="BU1249">
            <v>0</v>
          </cell>
          <cell r="BV1249">
            <v>0</v>
          </cell>
          <cell r="BW1249">
            <v>0</v>
          </cell>
          <cell r="BX1249">
            <v>0</v>
          </cell>
          <cell r="BY1249">
            <v>0</v>
          </cell>
          <cell r="BZ1249">
            <v>0</v>
          </cell>
          <cell r="CA1249">
            <v>0</v>
          </cell>
          <cell r="CB1249">
            <v>0</v>
          </cell>
          <cell r="CC1249">
            <v>0</v>
          </cell>
          <cell r="CD1249">
            <v>0</v>
          </cell>
          <cell r="CE1249">
            <v>0</v>
          </cell>
          <cell r="CF1249">
            <v>0</v>
          </cell>
          <cell r="CG1249">
            <v>0</v>
          </cell>
          <cell r="CH1249">
            <v>0</v>
          </cell>
          <cell r="CI1249">
            <v>0</v>
          </cell>
          <cell r="CJ1249">
            <v>0</v>
          </cell>
          <cell r="CK1249">
            <v>0</v>
          </cell>
          <cell r="CL1249">
            <v>0</v>
          </cell>
          <cell r="CM1249">
            <v>0</v>
          </cell>
          <cell r="CR1249">
            <v>0</v>
          </cell>
          <cell r="CS1249">
            <v>0</v>
          </cell>
          <cell r="CT1249">
            <v>0</v>
          </cell>
          <cell r="CU1249">
            <v>0</v>
          </cell>
          <cell r="CV1249">
            <v>0</v>
          </cell>
          <cell r="CZ1249">
            <v>0</v>
          </cell>
        </row>
        <row r="1250">
          <cell r="C1250" t="str">
            <v>04972</v>
          </cell>
          <cell r="D1250" t="str">
            <v>Lâm Trường Giang</v>
          </cell>
          <cell r="E1250" t="str">
            <v>Production</v>
          </cell>
          <cell r="F1250" t="str">
            <v>Molding</v>
          </cell>
          <cell r="G1250" t="str">
            <v>Worker</v>
          </cell>
          <cell r="H1250">
            <v>46083</v>
          </cell>
          <cell r="I1250" t="str">
            <v>X</v>
          </cell>
          <cell r="J1250" t="str">
            <v>X</v>
          </cell>
          <cell r="K1250" t="str">
            <v>X</v>
          </cell>
          <cell r="L1250" t="str">
            <v>X</v>
          </cell>
          <cell r="M1250">
            <v>8</v>
          </cell>
          <cell r="N1250">
            <v>8</v>
          </cell>
          <cell r="O1250" t="str">
            <v>UP8</v>
          </cell>
          <cell r="P1250" t="str">
            <v>UP8</v>
          </cell>
          <cell r="Q1250" t="str">
            <v>UP8</v>
          </cell>
          <cell r="R1250" t="str">
            <v>UP8</v>
          </cell>
          <cell r="S1250" t="str">
            <v>CN</v>
          </cell>
          <cell r="T1250" t="str">
            <v>UP8</v>
          </cell>
          <cell r="U1250" t="str">
            <v>UP8</v>
          </cell>
          <cell r="V1250" t="str">
            <v>UP8</v>
          </cell>
          <cell r="W1250" t="str">
            <v>NP</v>
          </cell>
          <cell r="X1250" t="str">
            <v>NP</v>
          </cell>
          <cell r="Y1250" t="str">
            <v>NP</v>
          </cell>
          <cell r="Z1250" t="str">
            <v>CN</v>
          </cell>
          <cell r="AA1250" t="str">
            <v>NP</v>
          </cell>
          <cell r="AB1250" t="str">
            <v>NP</v>
          </cell>
          <cell r="AC1250" t="str">
            <v>TV</v>
          </cell>
          <cell r="AD1250" t="str">
            <v>TV</v>
          </cell>
          <cell r="AE1250" t="str">
            <v>TV</v>
          </cell>
          <cell r="AF1250" t="str">
            <v>TV</v>
          </cell>
          <cell r="AG1250" t="str">
            <v>TV</v>
          </cell>
          <cell r="AH1250" t="str">
            <v>TV</v>
          </cell>
          <cell r="AI1250" t="str">
            <v>TV</v>
          </cell>
          <cell r="AJ1250" t="str">
            <v>TV</v>
          </cell>
          <cell r="AN1250">
            <v>0</v>
          </cell>
          <cell r="AO1250">
            <v>16</v>
          </cell>
          <cell r="AP1250">
            <v>0</v>
          </cell>
          <cell r="AQ1250">
            <v>0</v>
          </cell>
          <cell r="AR1250">
            <v>0</v>
          </cell>
          <cell r="AS1250">
            <v>56</v>
          </cell>
          <cell r="AT1250">
            <v>5</v>
          </cell>
          <cell r="AU1250">
            <v>0</v>
          </cell>
          <cell r="AV1250">
            <v>0</v>
          </cell>
          <cell r="AW1250">
            <v>0</v>
          </cell>
          <cell r="AX1250">
            <v>0</v>
          </cell>
          <cell r="AY1250">
            <v>0</v>
          </cell>
          <cell r="AZ1250">
            <v>0</v>
          </cell>
          <cell r="BA1250">
            <v>0</v>
          </cell>
          <cell r="BB1250">
            <v>0</v>
          </cell>
          <cell r="BC1250">
            <v>0</v>
          </cell>
          <cell r="BD1250">
            <v>0</v>
          </cell>
          <cell r="BE1250">
            <v>0</v>
          </cell>
          <cell r="BF1250">
            <v>0</v>
          </cell>
          <cell r="BG1250">
            <v>16</v>
          </cell>
          <cell r="BH1250">
            <v>0</v>
          </cell>
          <cell r="BI1250">
            <v>0</v>
          </cell>
          <cell r="BJ1250">
            <v>1</v>
          </cell>
          <cell r="BL1250">
            <v>0</v>
          </cell>
          <cell r="BM1250">
            <v>0</v>
          </cell>
          <cell r="BN1250">
            <v>0</v>
          </cell>
          <cell r="BO1250">
            <v>0</v>
          </cell>
          <cell r="BP1250">
            <v>0</v>
          </cell>
          <cell r="BQ1250">
            <v>0</v>
          </cell>
          <cell r="BR1250">
            <v>0</v>
          </cell>
          <cell r="BS1250">
            <v>0</v>
          </cell>
          <cell r="BT1250">
            <v>0</v>
          </cell>
          <cell r="BU1250">
            <v>0</v>
          </cell>
          <cell r="BV1250">
            <v>0</v>
          </cell>
          <cell r="BW1250">
            <v>0</v>
          </cell>
          <cell r="BX1250">
            <v>0</v>
          </cell>
          <cell r="BY1250">
            <v>0</v>
          </cell>
          <cell r="BZ1250">
            <v>0</v>
          </cell>
          <cell r="CA1250">
            <v>0</v>
          </cell>
          <cell r="CB1250">
            <v>0</v>
          </cell>
          <cell r="CC1250">
            <v>0</v>
          </cell>
          <cell r="CD1250">
            <v>0</v>
          </cell>
          <cell r="CE1250">
            <v>0</v>
          </cell>
          <cell r="CF1250">
            <v>0</v>
          </cell>
          <cell r="CG1250">
            <v>0</v>
          </cell>
          <cell r="CH1250">
            <v>0</v>
          </cell>
          <cell r="CI1250">
            <v>0</v>
          </cell>
          <cell r="CJ1250">
            <v>0</v>
          </cell>
          <cell r="CK1250">
            <v>0</v>
          </cell>
          <cell r="CL1250">
            <v>0</v>
          </cell>
          <cell r="CM1250">
            <v>0</v>
          </cell>
          <cell r="CR1250">
            <v>0</v>
          </cell>
          <cell r="CS1250">
            <v>0</v>
          </cell>
          <cell r="CT1250">
            <v>0</v>
          </cell>
          <cell r="CU1250">
            <v>0</v>
          </cell>
          <cell r="CV1250">
            <v>0</v>
          </cell>
          <cell r="CZ1250">
            <v>0</v>
          </cell>
        </row>
        <row r="1251">
          <cell r="C1251" t="str">
            <v>04973</v>
          </cell>
          <cell r="D1251" t="str">
            <v>Huỳnh Sỹ Anh</v>
          </cell>
          <cell r="E1251" t="str">
            <v>Production</v>
          </cell>
          <cell r="F1251" t="str">
            <v>Molding</v>
          </cell>
          <cell r="G1251" t="str">
            <v>Worker</v>
          </cell>
          <cell r="H1251">
            <v>46083</v>
          </cell>
          <cell r="I1251" t="str">
            <v>X</v>
          </cell>
          <cell r="J1251" t="str">
            <v>X</v>
          </cell>
          <cell r="K1251" t="str">
            <v>X</v>
          </cell>
          <cell r="L1251" t="str">
            <v>X</v>
          </cell>
          <cell r="M1251">
            <v>8</v>
          </cell>
          <cell r="N1251" t="str">
            <v>Đ</v>
          </cell>
          <cell r="O1251" t="str">
            <v>Đ</v>
          </cell>
          <cell r="P1251" t="str">
            <v>Đ</v>
          </cell>
          <cell r="Q1251" t="str">
            <v>Đ</v>
          </cell>
          <cell r="R1251" t="str">
            <v>Đ</v>
          </cell>
          <cell r="S1251" t="str">
            <v>CN</v>
          </cell>
          <cell r="T1251">
            <v>8</v>
          </cell>
          <cell r="U1251">
            <v>8</v>
          </cell>
          <cell r="V1251">
            <v>8</v>
          </cell>
          <cell r="W1251">
            <v>8</v>
          </cell>
          <cell r="X1251">
            <v>8</v>
          </cell>
          <cell r="Y1251">
            <v>8</v>
          </cell>
          <cell r="Z1251" t="str">
            <v>CN</v>
          </cell>
          <cell r="AA1251">
            <v>8</v>
          </cell>
          <cell r="AB1251" t="str">
            <v>Đ</v>
          </cell>
          <cell r="AC1251" t="str">
            <v>Đ</v>
          </cell>
          <cell r="AD1251" t="str">
            <v>Đ</v>
          </cell>
          <cell r="AE1251" t="str">
            <v>Đ</v>
          </cell>
          <cell r="AF1251" t="str">
            <v>Đ</v>
          </cell>
          <cell r="AG1251" t="str">
            <v>CN</v>
          </cell>
          <cell r="AH1251">
            <v>8</v>
          </cell>
          <cell r="AI1251" t="str">
            <v>UP8</v>
          </cell>
          <cell r="AJ1251">
            <v>8</v>
          </cell>
          <cell r="AN1251">
            <v>80</v>
          </cell>
          <cell r="AO1251">
            <v>80</v>
          </cell>
          <cell r="AP1251">
            <v>0</v>
          </cell>
          <cell r="AQ1251">
            <v>0</v>
          </cell>
          <cell r="AR1251">
            <v>0</v>
          </cell>
          <cell r="AS1251">
            <v>8</v>
          </cell>
          <cell r="AT1251">
            <v>0</v>
          </cell>
          <cell r="AU1251">
            <v>0</v>
          </cell>
          <cell r="AV1251">
            <v>0</v>
          </cell>
          <cell r="AW1251">
            <v>0</v>
          </cell>
          <cell r="AX1251">
            <v>0</v>
          </cell>
          <cell r="AY1251">
            <v>0</v>
          </cell>
          <cell r="AZ1251">
            <v>0</v>
          </cell>
          <cell r="BA1251">
            <v>0</v>
          </cell>
          <cell r="BB1251">
            <v>0</v>
          </cell>
          <cell r="BC1251">
            <v>0</v>
          </cell>
          <cell r="BD1251">
            <v>0</v>
          </cell>
          <cell r="BE1251">
            <v>0</v>
          </cell>
          <cell r="BF1251">
            <v>0</v>
          </cell>
          <cell r="BG1251">
            <v>160</v>
          </cell>
          <cell r="BH1251">
            <v>0</v>
          </cell>
          <cell r="BI1251">
            <v>0</v>
          </cell>
          <cell r="BJ1251">
            <v>2</v>
          </cell>
          <cell r="BL1251">
            <v>0</v>
          </cell>
          <cell r="BM1251">
            <v>0</v>
          </cell>
          <cell r="BN1251">
            <v>0</v>
          </cell>
          <cell r="BO1251">
            <v>0</v>
          </cell>
          <cell r="BP1251">
            <v>0</v>
          </cell>
          <cell r="BQ1251">
            <v>0</v>
          </cell>
          <cell r="BR1251">
            <v>0</v>
          </cell>
          <cell r="BS1251">
            <v>0</v>
          </cell>
          <cell r="BT1251">
            <v>0</v>
          </cell>
          <cell r="BU1251">
            <v>0</v>
          </cell>
          <cell r="BV1251">
            <v>0</v>
          </cell>
          <cell r="BW1251">
            <v>0</v>
          </cell>
          <cell r="BX1251">
            <v>0</v>
          </cell>
          <cell r="BY1251">
            <v>0</v>
          </cell>
          <cell r="BZ1251">
            <v>0</v>
          </cell>
          <cell r="CA1251">
            <v>0</v>
          </cell>
          <cell r="CB1251">
            <v>0</v>
          </cell>
          <cell r="CC1251">
            <v>0</v>
          </cell>
          <cell r="CD1251">
            <v>0</v>
          </cell>
          <cell r="CE1251">
            <v>0</v>
          </cell>
          <cell r="CF1251">
            <v>0</v>
          </cell>
          <cell r="CG1251">
            <v>0</v>
          </cell>
          <cell r="CH1251">
            <v>0</v>
          </cell>
          <cell r="CI1251">
            <v>0</v>
          </cell>
          <cell r="CJ1251">
            <v>0</v>
          </cell>
          <cell r="CK1251">
            <v>0</v>
          </cell>
          <cell r="CL1251">
            <v>0</v>
          </cell>
          <cell r="CM1251">
            <v>0</v>
          </cell>
          <cell r="CR1251">
            <v>0</v>
          </cell>
          <cell r="CS1251">
            <v>0</v>
          </cell>
          <cell r="CT1251">
            <v>0</v>
          </cell>
          <cell r="CU1251">
            <v>0</v>
          </cell>
          <cell r="CV1251">
            <v>0</v>
          </cell>
          <cell r="CZ1251">
            <v>0</v>
          </cell>
        </row>
        <row r="1252">
          <cell r="C1252" t="str">
            <v>04974</v>
          </cell>
          <cell r="D1252" t="str">
            <v>Lê Đắc Đức</v>
          </cell>
          <cell r="E1252" t="str">
            <v>Foaming</v>
          </cell>
          <cell r="F1252" t="str">
            <v>FOAMING Splitting</v>
          </cell>
          <cell r="G1252" t="str">
            <v>Worker</v>
          </cell>
          <cell r="H1252">
            <v>46083</v>
          </cell>
          <cell r="I1252" t="str">
            <v>X</v>
          </cell>
          <cell r="J1252" t="str">
            <v>X</v>
          </cell>
          <cell r="K1252" t="str">
            <v>X</v>
          </cell>
          <cell r="L1252" t="str">
            <v>X</v>
          </cell>
          <cell r="M1252">
            <v>8</v>
          </cell>
          <cell r="N1252">
            <v>8</v>
          </cell>
          <cell r="O1252">
            <v>8</v>
          </cell>
          <cell r="P1252">
            <v>8</v>
          </cell>
          <cell r="Q1252">
            <v>8</v>
          </cell>
          <cell r="R1252">
            <v>8</v>
          </cell>
          <cell r="S1252" t="str">
            <v>CN</v>
          </cell>
          <cell r="T1252">
            <v>8</v>
          </cell>
          <cell r="U1252">
            <v>8</v>
          </cell>
          <cell r="V1252">
            <v>8</v>
          </cell>
          <cell r="W1252">
            <v>8</v>
          </cell>
          <cell r="X1252">
            <v>8</v>
          </cell>
          <cell r="Y1252">
            <v>8</v>
          </cell>
          <cell r="Z1252" t="str">
            <v>CN</v>
          </cell>
          <cell r="AA1252" t="str">
            <v>Đ</v>
          </cell>
          <cell r="AB1252" t="str">
            <v>Đ</v>
          </cell>
          <cell r="AC1252" t="str">
            <v>Đ</v>
          </cell>
          <cell r="AD1252" t="str">
            <v>Đ</v>
          </cell>
          <cell r="AE1252" t="str">
            <v>Đ</v>
          </cell>
          <cell r="AF1252" t="str">
            <v>Đ</v>
          </cell>
          <cell r="AG1252" t="str">
            <v>CN</v>
          </cell>
          <cell r="AH1252" t="str">
            <v>Đ</v>
          </cell>
          <cell r="AI1252" t="str">
            <v>Đ</v>
          </cell>
          <cell r="AJ1252" t="str">
            <v>Đ</v>
          </cell>
          <cell r="AN1252">
            <v>72</v>
          </cell>
          <cell r="AO1252">
            <v>96</v>
          </cell>
          <cell r="AP1252">
            <v>0</v>
          </cell>
          <cell r="AQ1252">
            <v>0</v>
          </cell>
          <cell r="AR1252">
            <v>0</v>
          </cell>
          <cell r="AS1252">
            <v>0</v>
          </cell>
          <cell r="AT1252">
            <v>0</v>
          </cell>
          <cell r="AU1252">
            <v>0</v>
          </cell>
          <cell r="AV1252">
            <v>0</v>
          </cell>
          <cell r="AW1252">
            <v>0</v>
          </cell>
          <cell r="AX1252">
            <v>0</v>
          </cell>
          <cell r="AY1252">
            <v>0</v>
          </cell>
          <cell r="AZ1252">
            <v>0</v>
          </cell>
          <cell r="BA1252">
            <v>0</v>
          </cell>
          <cell r="BB1252">
            <v>0</v>
          </cell>
          <cell r="BC1252">
            <v>0</v>
          </cell>
          <cell r="BD1252">
            <v>0</v>
          </cell>
          <cell r="BE1252">
            <v>0</v>
          </cell>
          <cell r="BF1252">
            <v>0</v>
          </cell>
          <cell r="BG1252">
            <v>168</v>
          </cell>
          <cell r="BH1252">
            <v>0</v>
          </cell>
          <cell r="BI1252">
            <v>0</v>
          </cell>
          <cell r="BJ1252">
            <v>2</v>
          </cell>
          <cell r="BL1252">
            <v>0</v>
          </cell>
          <cell r="BM1252">
            <v>0</v>
          </cell>
          <cell r="BN1252">
            <v>0</v>
          </cell>
          <cell r="BO1252">
            <v>0</v>
          </cell>
          <cell r="BP1252">
            <v>0</v>
          </cell>
          <cell r="BQ1252">
            <v>0</v>
          </cell>
          <cell r="BR1252">
            <v>0</v>
          </cell>
          <cell r="BS1252">
            <v>0</v>
          </cell>
          <cell r="BT1252">
            <v>0</v>
          </cell>
          <cell r="BU1252">
            <v>0</v>
          </cell>
          <cell r="BV1252">
            <v>0</v>
          </cell>
          <cell r="BW1252">
            <v>4</v>
          </cell>
          <cell r="BX1252">
            <v>4</v>
          </cell>
          <cell r="BY1252">
            <v>4</v>
          </cell>
          <cell r="BZ1252">
            <v>4</v>
          </cell>
          <cell r="CA1252">
            <v>4</v>
          </cell>
          <cell r="CB1252">
            <v>4</v>
          </cell>
          <cell r="CC1252" t="str">
            <v>12Đ</v>
          </cell>
          <cell r="CD1252">
            <v>4</v>
          </cell>
          <cell r="CE1252">
            <v>4</v>
          </cell>
          <cell r="CF1252">
            <v>4</v>
          </cell>
          <cell r="CG1252">
            <v>0</v>
          </cell>
          <cell r="CH1252">
            <v>4</v>
          </cell>
          <cell r="CI1252">
            <v>4</v>
          </cell>
          <cell r="CJ1252">
            <v>0</v>
          </cell>
          <cell r="CK1252">
            <v>4</v>
          </cell>
          <cell r="CL1252">
            <v>0</v>
          </cell>
          <cell r="CM1252">
            <v>4</v>
          </cell>
          <cell r="CR1252">
            <v>0</v>
          </cell>
          <cell r="CS1252">
            <v>0</v>
          </cell>
          <cell r="CT1252">
            <v>52</v>
          </cell>
          <cell r="CU1252">
            <v>4</v>
          </cell>
          <cell r="CV1252">
            <v>8</v>
          </cell>
          <cell r="CZ1252">
            <v>64</v>
          </cell>
        </row>
        <row r="1253">
          <cell r="C1253" t="str">
            <v>04975</v>
          </cell>
          <cell r="D1253" t="str">
            <v>Lê Bá Thế Anh</v>
          </cell>
          <cell r="E1253" t="str">
            <v>Foaming</v>
          </cell>
          <cell r="F1253" t="str">
            <v>FOAMING Rectangular</v>
          </cell>
          <cell r="G1253" t="str">
            <v>Worker</v>
          </cell>
          <cell r="H1253">
            <v>46083</v>
          </cell>
          <cell r="I1253" t="str">
            <v>X</v>
          </cell>
          <cell r="J1253" t="str">
            <v>X</v>
          </cell>
          <cell r="K1253" t="str">
            <v>X</v>
          </cell>
          <cell r="L1253" t="str">
            <v>X</v>
          </cell>
          <cell r="M1253">
            <v>8</v>
          </cell>
          <cell r="N1253">
            <v>8</v>
          </cell>
          <cell r="O1253">
            <v>8</v>
          </cell>
          <cell r="P1253">
            <v>8</v>
          </cell>
          <cell r="Q1253">
            <v>8</v>
          </cell>
          <cell r="R1253">
            <v>8</v>
          </cell>
          <cell r="S1253" t="str">
            <v>CN</v>
          </cell>
          <cell r="T1253" t="str">
            <v>Đ</v>
          </cell>
          <cell r="U1253" t="str">
            <v>Đ</v>
          </cell>
          <cell r="V1253" t="str">
            <v>Đ</v>
          </cell>
          <cell r="W1253" t="str">
            <v>Đ</v>
          </cell>
          <cell r="X1253" t="str">
            <v>Đ</v>
          </cell>
          <cell r="Y1253" t="str">
            <v>Đ</v>
          </cell>
          <cell r="Z1253" t="str">
            <v>CN</v>
          </cell>
          <cell r="AA1253">
            <v>8</v>
          </cell>
          <cell r="AB1253">
            <v>8</v>
          </cell>
          <cell r="AC1253">
            <v>8</v>
          </cell>
          <cell r="AD1253">
            <v>8</v>
          </cell>
          <cell r="AE1253">
            <v>8</v>
          </cell>
          <cell r="AF1253">
            <v>8</v>
          </cell>
          <cell r="AG1253" t="str">
            <v>CN</v>
          </cell>
          <cell r="AH1253">
            <v>8</v>
          </cell>
          <cell r="AI1253">
            <v>8</v>
          </cell>
          <cell r="AJ1253">
            <v>8</v>
          </cell>
          <cell r="AN1253">
            <v>48</v>
          </cell>
          <cell r="AO1253">
            <v>120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168</v>
          </cell>
          <cell r="BH1253">
            <v>0</v>
          </cell>
          <cell r="BI1253">
            <v>0</v>
          </cell>
          <cell r="BJ1253">
            <v>2.5</v>
          </cell>
          <cell r="BL1253">
            <v>0</v>
          </cell>
          <cell r="BM1253">
            <v>0</v>
          </cell>
          <cell r="BN1253">
            <v>0</v>
          </cell>
          <cell r="BO1253">
            <v>0</v>
          </cell>
          <cell r="BP1253">
            <v>0</v>
          </cell>
          <cell r="BQ1253">
            <v>0</v>
          </cell>
          <cell r="BR1253">
            <v>0</v>
          </cell>
          <cell r="BS1253">
            <v>4</v>
          </cell>
          <cell r="BT1253">
            <v>4</v>
          </cell>
          <cell r="BU1253">
            <v>4</v>
          </cell>
          <cell r="BV1253" t="str">
            <v>12Đ</v>
          </cell>
          <cell r="BW1253">
            <v>4</v>
          </cell>
          <cell r="BX1253">
            <v>4</v>
          </cell>
          <cell r="BY1253">
            <v>4</v>
          </cell>
          <cell r="BZ1253">
            <v>4</v>
          </cell>
          <cell r="CA1253">
            <v>4</v>
          </cell>
          <cell r="CB1253">
            <v>4</v>
          </cell>
          <cell r="CC1253">
            <v>0</v>
          </cell>
          <cell r="CD1253">
            <v>4</v>
          </cell>
          <cell r="CE1253">
            <v>4</v>
          </cell>
          <cell r="CF1253">
            <v>4</v>
          </cell>
          <cell r="CG1253">
            <v>4</v>
          </cell>
          <cell r="CH1253">
            <v>4</v>
          </cell>
          <cell r="CI1253">
            <v>4</v>
          </cell>
          <cell r="CJ1253">
            <v>12</v>
          </cell>
          <cell r="CK1253">
            <v>4</v>
          </cell>
          <cell r="CL1253">
            <v>4</v>
          </cell>
          <cell r="CM1253">
            <v>4</v>
          </cell>
          <cell r="CR1253">
            <v>0</v>
          </cell>
          <cell r="CS1253">
            <v>0</v>
          </cell>
          <cell r="CT1253">
            <v>72</v>
          </cell>
          <cell r="CU1253">
            <v>16</v>
          </cell>
          <cell r="CV1253">
            <v>8</v>
          </cell>
          <cell r="CZ1253">
            <v>96</v>
          </cell>
        </row>
        <row r="1254">
          <cell r="C1254" t="str">
            <v>04976</v>
          </cell>
          <cell r="D1254" t="str">
            <v>Huỳnh Đức Trung</v>
          </cell>
          <cell r="E1254" t="str">
            <v>Foaming</v>
          </cell>
          <cell r="F1254" t="str">
            <v>FOAMING Rectangular</v>
          </cell>
          <cell r="G1254" t="str">
            <v>Worker</v>
          </cell>
          <cell r="H1254">
            <v>46083</v>
          </cell>
          <cell r="I1254" t="str">
            <v>X</v>
          </cell>
          <cell r="J1254" t="str">
            <v>X</v>
          </cell>
          <cell r="K1254" t="str">
            <v>X</v>
          </cell>
          <cell r="L1254" t="str">
            <v>X</v>
          </cell>
          <cell r="M1254">
            <v>8</v>
          </cell>
          <cell r="N1254">
            <v>8</v>
          </cell>
          <cell r="O1254">
            <v>8</v>
          </cell>
          <cell r="P1254">
            <v>8</v>
          </cell>
          <cell r="Q1254">
            <v>8</v>
          </cell>
          <cell r="R1254">
            <v>8</v>
          </cell>
          <cell r="S1254" t="str">
            <v>CN</v>
          </cell>
          <cell r="T1254">
            <v>8</v>
          </cell>
          <cell r="U1254">
            <v>8</v>
          </cell>
          <cell r="V1254">
            <v>8</v>
          </cell>
          <cell r="W1254">
            <v>8</v>
          </cell>
          <cell r="X1254">
            <v>8</v>
          </cell>
          <cell r="Y1254">
            <v>8</v>
          </cell>
          <cell r="Z1254" t="str">
            <v>CN</v>
          </cell>
          <cell r="AA1254" t="str">
            <v>Đ</v>
          </cell>
          <cell r="AB1254" t="str">
            <v>Đ</v>
          </cell>
          <cell r="AC1254" t="str">
            <v>Đ</v>
          </cell>
          <cell r="AD1254" t="str">
            <v>Đ</v>
          </cell>
          <cell r="AE1254" t="str">
            <v>Đ</v>
          </cell>
          <cell r="AF1254" t="str">
            <v>Đ</v>
          </cell>
          <cell r="AG1254" t="str">
            <v>CN</v>
          </cell>
          <cell r="AH1254" t="str">
            <v>Đ</v>
          </cell>
          <cell r="AI1254" t="str">
            <v>Đ</v>
          </cell>
          <cell r="AJ1254" t="str">
            <v>Đ</v>
          </cell>
          <cell r="AN1254">
            <v>72</v>
          </cell>
          <cell r="AO1254">
            <v>96</v>
          </cell>
          <cell r="AP1254">
            <v>0</v>
          </cell>
          <cell r="AQ1254">
            <v>0</v>
          </cell>
          <cell r="AR1254">
            <v>0</v>
          </cell>
          <cell r="AS1254">
            <v>0</v>
          </cell>
          <cell r="AT1254">
            <v>0</v>
          </cell>
          <cell r="AU1254">
            <v>0</v>
          </cell>
          <cell r="AV1254">
            <v>0</v>
          </cell>
          <cell r="AW1254">
            <v>0</v>
          </cell>
          <cell r="AX1254">
            <v>0</v>
          </cell>
          <cell r="AY1254">
            <v>0</v>
          </cell>
          <cell r="AZ1254">
            <v>0</v>
          </cell>
          <cell r="BA1254">
            <v>0</v>
          </cell>
          <cell r="BB1254">
            <v>0</v>
          </cell>
          <cell r="BC1254">
            <v>0</v>
          </cell>
          <cell r="BD1254">
            <v>0</v>
          </cell>
          <cell r="BE1254">
            <v>0</v>
          </cell>
          <cell r="BF1254">
            <v>0</v>
          </cell>
          <cell r="BG1254">
            <v>168</v>
          </cell>
          <cell r="BH1254">
            <v>0</v>
          </cell>
          <cell r="BI1254">
            <v>0</v>
          </cell>
          <cell r="BJ1254">
            <v>2.5</v>
          </cell>
          <cell r="BL1254">
            <v>0</v>
          </cell>
          <cell r="BM1254">
            <v>0</v>
          </cell>
          <cell r="BN1254">
            <v>0</v>
          </cell>
          <cell r="BO1254">
            <v>0</v>
          </cell>
          <cell r="BP1254">
            <v>0</v>
          </cell>
          <cell r="BQ1254">
            <v>0</v>
          </cell>
          <cell r="BR1254">
            <v>0</v>
          </cell>
          <cell r="BS1254">
            <v>4</v>
          </cell>
          <cell r="BT1254">
            <v>4</v>
          </cell>
          <cell r="BU1254">
            <v>4</v>
          </cell>
          <cell r="BV1254">
            <v>0</v>
          </cell>
          <cell r="BW1254">
            <v>4</v>
          </cell>
          <cell r="BX1254">
            <v>4</v>
          </cell>
          <cell r="BY1254">
            <v>4</v>
          </cell>
          <cell r="BZ1254">
            <v>4</v>
          </cell>
          <cell r="CA1254">
            <v>0</v>
          </cell>
          <cell r="CB1254">
            <v>4</v>
          </cell>
          <cell r="CC1254" t="str">
            <v>12Đ</v>
          </cell>
          <cell r="CD1254">
            <v>4</v>
          </cell>
          <cell r="CE1254">
            <v>4</v>
          </cell>
          <cell r="CF1254">
            <v>4</v>
          </cell>
          <cell r="CG1254">
            <v>4</v>
          </cell>
          <cell r="CH1254">
            <v>4</v>
          </cell>
          <cell r="CI1254">
            <v>4</v>
          </cell>
          <cell r="CJ1254" t="str">
            <v>10Đ</v>
          </cell>
          <cell r="CK1254">
            <v>0</v>
          </cell>
          <cell r="CL1254">
            <v>4</v>
          </cell>
          <cell r="CM1254">
            <v>4</v>
          </cell>
          <cell r="CR1254">
            <v>0</v>
          </cell>
          <cell r="CS1254">
            <v>0</v>
          </cell>
          <cell r="CT1254">
            <v>64</v>
          </cell>
          <cell r="CU1254">
            <v>6</v>
          </cell>
          <cell r="CV1254">
            <v>16</v>
          </cell>
          <cell r="CZ1254">
            <v>86</v>
          </cell>
        </row>
        <row r="1255">
          <cell r="C1255" t="str">
            <v>04977</v>
          </cell>
          <cell r="D1255" t="str">
            <v>Võ Thị Kim Tài</v>
          </cell>
          <cell r="E1255" t="str">
            <v>Production</v>
          </cell>
          <cell r="F1255" t="str">
            <v>Logo</v>
          </cell>
          <cell r="G1255" t="str">
            <v>Worker</v>
          </cell>
          <cell r="H1255">
            <v>46083</v>
          </cell>
          <cell r="I1255" t="str">
            <v>X</v>
          </cell>
          <cell r="J1255" t="str">
            <v>X</v>
          </cell>
          <cell r="K1255" t="str">
            <v>X</v>
          </cell>
          <cell r="L1255" t="str">
            <v>X</v>
          </cell>
          <cell r="M1255">
            <v>8</v>
          </cell>
          <cell r="N1255">
            <v>8</v>
          </cell>
          <cell r="O1255">
            <v>8</v>
          </cell>
          <cell r="P1255">
            <v>8</v>
          </cell>
          <cell r="Q1255">
            <v>8</v>
          </cell>
          <cell r="R1255">
            <v>8</v>
          </cell>
          <cell r="S1255" t="str">
            <v>CN</v>
          </cell>
          <cell r="T1255" t="str">
            <v>Đ</v>
          </cell>
          <cell r="U1255" t="str">
            <v>Đ</v>
          </cell>
          <cell r="V1255" t="str">
            <v>Đ</v>
          </cell>
          <cell r="W1255" t="str">
            <v>Đ</v>
          </cell>
          <cell r="X1255" t="str">
            <v>Đ</v>
          </cell>
          <cell r="Y1255" t="str">
            <v>Đ</v>
          </cell>
          <cell r="Z1255" t="str">
            <v>CN</v>
          </cell>
          <cell r="AA1255">
            <v>8</v>
          </cell>
          <cell r="AB1255">
            <v>8</v>
          </cell>
          <cell r="AC1255">
            <v>8</v>
          </cell>
          <cell r="AD1255">
            <v>8</v>
          </cell>
          <cell r="AE1255" t="str">
            <v>UP8</v>
          </cell>
          <cell r="AF1255">
            <v>8</v>
          </cell>
          <cell r="AG1255" t="str">
            <v>CN</v>
          </cell>
          <cell r="AH1255" t="str">
            <v>Đ</v>
          </cell>
          <cell r="AI1255" t="str">
            <v>Đ</v>
          </cell>
          <cell r="AJ1255" t="str">
            <v>Đ</v>
          </cell>
          <cell r="AN1255">
            <v>72</v>
          </cell>
          <cell r="AO1255">
            <v>88</v>
          </cell>
          <cell r="AP1255">
            <v>0</v>
          </cell>
          <cell r="AQ1255">
            <v>0</v>
          </cell>
          <cell r="AR1255">
            <v>0</v>
          </cell>
          <cell r="AS1255">
            <v>8</v>
          </cell>
          <cell r="AT1255">
            <v>0</v>
          </cell>
          <cell r="AU1255">
            <v>0</v>
          </cell>
          <cell r="AV1255">
            <v>0</v>
          </cell>
          <cell r="AW1255">
            <v>0</v>
          </cell>
          <cell r="AX1255">
            <v>0</v>
          </cell>
          <cell r="AY1255">
            <v>0</v>
          </cell>
          <cell r="AZ1255">
            <v>0</v>
          </cell>
          <cell r="BA1255">
            <v>0</v>
          </cell>
          <cell r="BB1255">
            <v>0</v>
          </cell>
          <cell r="BC1255">
            <v>0</v>
          </cell>
          <cell r="BD1255">
            <v>0</v>
          </cell>
          <cell r="BE1255">
            <v>0</v>
          </cell>
          <cell r="BF1255">
            <v>0</v>
          </cell>
          <cell r="BG1255">
            <v>160</v>
          </cell>
          <cell r="BH1255">
            <v>0</v>
          </cell>
          <cell r="BI1255">
            <v>0</v>
          </cell>
          <cell r="BJ1255">
            <v>2</v>
          </cell>
          <cell r="BL1255">
            <v>0</v>
          </cell>
          <cell r="BM1255">
            <v>0</v>
          </cell>
          <cell r="BN1255">
            <v>0</v>
          </cell>
          <cell r="BO1255">
            <v>0</v>
          </cell>
          <cell r="BP1255">
            <v>0</v>
          </cell>
          <cell r="BQ1255">
            <v>0</v>
          </cell>
          <cell r="BR1255">
            <v>0</v>
          </cell>
          <cell r="BS1255">
            <v>0</v>
          </cell>
          <cell r="BT1255">
            <v>0</v>
          </cell>
          <cell r="BU1255">
            <v>0</v>
          </cell>
          <cell r="BV1255">
            <v>0</v>
          </cell>
          <cell r="BW1255">
            <v>0</v>
          </cell>
          <cell r="BX1255">
            <v>0</v>
          </cell>
          <cell r="BY1255">
            <v>0</v>
          </cell>
          <cell r="BZ1255">
            <v>0</v>
          </cell>
          <cell r="CA1255">
            <v>4</v>
          </cell>
          <cell r="CB1255">
            <v>0</v>
          </cell>
          <cell r="CC1255">
            <v>0</v>
          </cell>
          <cell r="CD1255">
            <v>0</v>
          </cell>
          <cell r="CE1255">
            <v>0</v>
          </cell>
          <cell r="CF1255">
            <v>0</v>
          </cell>
          <cell r="CG1255">
            <v>0</v>
          </cell>
          <cell r="CH1255">
            <v>0</v>
          </cell>
          <cell r="CI1255">
            <v>0</v>
          </cell>
          <cell r="CJ1255">
            <v>0</v>
          </cell>
          <cell r="CK1255">
            <v>0</v>
          </cell>
          <cell r="CL1255">
            <v>1.5</v>
          </cell>
          <cell r="CM1255">
            <v>1.5</v>
          </cell>
          <cell r="CR1255">
            <v>0</v>
          </cell>
          <cell r="CS1255">
            <v>0</v>
          </cell>
          <cell r="CT1255">
            <v>7</v>
          </cell>
          <cell r="CU1255">
            <v>0</v>
          </cell>
          <cell r="CV1255">
            <v>0</v>
          </cell>
          <cell r="CZ1255">
            <v>7</v>
          </cell>
        </row>
        <row r="1256">
          <cell r="C1256" t="str">
            <v>04978</v>
          </cell>
          <cell r="D1256" t="str">
            <v>Hà Thị Thiện</v>
          </cell>
          <cell r="E1256" t="str">
            <v>Production</v>
          </cell>
          <cell r="F1256" t="str">
            <v>Packing</v>
          </cell>
          <cell r="G1256" t="str">
            <v>Worker</v>
          </cell>
          <cell r="H1256">
            <v>46083</v>
          </cell>
          <cell r="I1256" t="str">
            <v>X</v>
          </cell>
          <cell r="J1256" t="str">
            <v>X</v>
          </cell>
          <cell r="K1256" t="str">
            <v>X</v>
          </cell>
          <cell r="L1256" t="str">
            <v>X</v>
          </cell>
          <cell r="M1256">
            <v>8</v>
          </cell>
          <cell r="N1256">
            <v>8</v>
          </cell>
          <cell r="O1256" t="str">
            <v>UP8</v>
          </cell>
          <cell r="P1256" t="str">
            <v>UP8</v>
          </cell>
          <cell r="Q1256" t="str">
            <v>UP8</v>
          </cell>
          <cell r="R1256" t="str">
            <v>UP8</v>
          </cell>
          <cell r="S1256" t="str">
            <v>CN</v>
          </cell>
          <cell r="T1256" t="str">
            <v>UP8</v>
          </cell>
          <cell r="U1256" t="str">
            <v>UP8</v>
          </cell>
          <cell r="V1256" t="str">
            <v>UP8</v>
          </cell>
          <cell r="W1256" t="str">
            <v>NP</v>
          </cell>
          <cell r="X1256" t="str">
            <v>NP</v>
          </cell>
          <cell r="Y1256" t="str">
            <v>NP</v>
          </cell>
          <cell r="Z1256" t="str">
            <v>CN</v>
          </cell>
          <cell r="AA1256" t="str">
            <v>NP</v>
          </cell>
          <cell r="AB1256" t="str">
            <v>NP</v>
          </cell>
          <cell r="AC1256" t="str">
            <v>TV</v>
          </cell>
          <cell r="AD1256" t="str">
            <v>TV</v>
          </cell>
          <cell r="AE1256" t="str">
            <v>TV</v>
          </cell>
          <cell r="AF1256" t="str">
            <v>TV</v>
          </cell>
          <cell r="AG1256" t="str">
            <v>TV</v>
          </cell>
          <cell r="AH1256" t="str">
            <v>TV</v>
          </cell>
          <cell r="AI1256" t="str">
            <v>TV</v>
          </cell>
          <cell r="AJ1256" t="str">
            <v>TV</v>
          </cell>
          <cell r="AN1256">
            <v>0</v>
          </cell>
          <cell r="AO1256">
            <v>16</v>
          </cell>
          <cell r="AP1256">
            <v>0</v>
          </cell>
          <cell r="AQ1256">
            <v>0</v>
          </cell>
          <cell r="AR1256">
            <v>0</v>
          </cell>
          <cell r="AS1256">
            <v>56</v>
          </cell>
          <cell r="AT1256">
            <v>5</v>
          </cell>
          <cell r="AU1256">
            <v>0</v>
          </cell>
          <cell r="AV1256">
            <v>0</v>
          </cell>
          <cell r="AW1256">
            <v>0</v>
          </cell>
          <cell r="AX1256">
            <v>0</v>
          </cell>
          <cell r="AY1256">
            <v>0</v>
          </cell>
          <cell r="AZ1256">
            <v>0</v>
          </cell>
          <cell r="BA1256">
            <v>0</v>
          </cell>
          <cell r="BB1256">
            <v>0</v>
          </cell>
          <cell r="BC1256">
            <v>0</v>
          </cell>
          <cell r="BD1256">
            <v>0</v>
          </cell>
          <cell r="BE1256">
            <v>0</v>
          </cell>
          <cell r="BF1256">
            <v>0</v>
          </cell>
          <cell r="BG1256">
            <v>16</v>
          </cell>
          <cell r="BH1256">
            <v>0</v>
          </cell>
          <cell r="BI1256">
            <v>0</v>
          </cell>
          <cell r="BJ1256">
            <v>1</v>
          </cell>
          <cell r="BL1256">
            <v>0</v>
          </cell>
          <cell r="BM1256">
            <v>0</v>
          </cell>
          <cell r="BN1256">
            <v>0</v>
          </cell>
          <cell r="BO1256">
            <v>0</v>
          </cell>
          <cell r="BP1256">
            <v>0</v>
          </cell>
          <cell r="BQ1256">
            <v>0</v>
          </cell>
          <cell r="BR1256">
            <v>0</v>
          </cell>
          <cell r="BS1256">
            <v>0</v>
          </cell>
          <cell r="BT1256">
            <v>0</v>
          </cell>
          <cell r="BU1256">
            <v>0</v>
          </cell>
          <cell r="BV1256">
            <v>0</v>
          </cell>
          <cell r="BW1256">
            <v>0</v>
          </cell>
          <cell r="BX1256">
            <v>0</v>
          </cell>
          <cell r="BY1256">
            <v>0</v>
          </cell>
          <cell r="BZ1256">
            <v>0</v>
          </cell>
          <cell r="CA1256">
            <v>0</v>
          </cell>
          <cell r="CB1256">
            <v>0</v>
          </cell>
          <cell r="CC1256">
            <v>0</v>
          </cell>
          <cell r="CD1256">
            <v>0</v>
          </cell>
          <cell r="CE1256">
            <v>0</v>
          </cell>
          <cell r="CF1256">
            <v>0</v>
          </cell>
          <cell r="CG1256">
            <v>0</v>
          </cell>
          <cell r="CH1256">
            <v>0</v>
          </cell>
          <cell r="CI1256">
            <v>0</v>
          </cell>
          <cell r="CJ1256">
            <v>0</v>
          </cell>
          <cell r="CK1256">
            <v>0</v>
          </cell>
          <cell r="CL1256">
            <v>0</v>
          </cell>
          <cell r="CM1256">
            <v>0</v>
          </cell>
          <cell r="CR1256">
            <v>0</v>
          </cell>
          <cell r="CS1256">
            <v>0</v>
          </cell>
          <cell r="CT1256">
            <v>0</v>
          </cell>
          <cell r="CU1256">
            <v>0</v>
          </cell>
          <cell r="CV1256">
            <v>0</v>
          </cell>
          <cell r="CZ1256">
            <v>0</v>
          </cell>
        </row>
        <row r="1257">
          <cell r="C1257" t="str">
            <v>04979</v>
          </cell>
          <cell r="D1257" t="str">
            <v>Nguyễn Thị Diễm My</v>
          </cell>
          <cell r="E1257" t="str">
            <v>Production</v>
          </cell>
          <cell r="F1257" t="str">
            <v>Packing</v>
          </cell>
          <cell r="G1257" t="str">
            <v>Worker</v>
          </cell>
          <cell r="H1257">
            <v>46083</v>
          </cell>
          <cell r="I1257" t="str">
            <v>X</v>
          </cell>
          <cell r="J1257" t="str">
            <v>X</v>
          </cell>
          <cell r="K1257" t="str">
            <v>X</v>
          </cell>
          <cell r="L1257" t="str">
            <v>X</v>
          </cell>
          <cell r="M1257">
            <v>8</v>
          </cell>
          <cell r="N1257">
            <v>8</v>
          </cell>
          <cell r="O1257">
            <v>8</v>
          </cell>
          <cell r="P1257">
            <v>8</v>
          </cell>
          <cell r="Q1257">
            <v>8</v>
          </cell>
          <cell r="R1257">
            <v>8</v>
          </cell>
          <cell r="S1257" t="str">
            <v>CN</v>
          </cell>
          <cell r="T1257" t="str">
            <v>Đ</v>
          </cell>
          <cell r="U1257" t="str">
            <v>Đ</v>
          </cell>
          <cell r="V1257" t="str">
            <v>Đ</v>
          </cell>
          <cell r="W1257" t="str">
            <v>Đ</v>
          </cell>
          <cell r="X1257" t="str">
            <v>Đ</v>
          </cell>
          <cell r="Y1257" t="str">
            <v>Đ</v>
          </cell>
          <cell r="Z1257" t="str">
            <v>CN</v>
          </cell>
          <cell r="AA1257">
            <v>8</v>
          </cell>
          <cell r="AB1257" t="str">
            <v>UP8</v>
          </cell>
          <cell r="AC1257" t="str">
            <v>UP8</v>
          </cell>
          <cell r="AD1257" t="str">
            <v>UP8</v>
          </cell>
          <cell r="AE1257" t="str">
            <v>UP8</v>
          </cell>
          <cell r="AF1257">
            <v>8</v>
          </cell>
          <cell r="AG1257" t="str">
            <v>CN</v>
          </cell>
          <cell r="AH1257" t="str">
            <v>Đ</v>
          </cell>
          <cell r="AI1257" t="str">
            <v>Đ</v>
          </cell>
          <cell r="AJ1257" t="str">
            <v>Đ</v>
          </cell>
          <cell r="AN1257">
            <v>72</v>
          </cell>
          <cell r="AO1257">
            <v>64</v>
          </cell>
          <cell r="AP1257">
            <v>0</v>
          </cell>
          <cell r="AQ1257">
            <v>0</v>
          </cell>
          <cell r="AR1257">
            <v>0</v>
          </cell>
          <cell r="AS1257">
            <v>32</v>
          </cell>
          <cell r="AT1257">
            <v>0</v>
          </cell>
          <cell r="AU1257">
            <v>0</v>
          </cell>
          <cell r="AV1257">
            <v>0</v>
          </cell>
          <cell r="AW1257">
            <v>0</v>
          </cell>
          <cell r="AX1257">
            <v>0</v>
          </cell>
          <cell r="AY1257">
            <v>0</v>
          </cell>
          <cell r="AZ1257">
            <v>0</v>
          </cell>
          <cell r="BA1257">
            <v>0</v>
          </cell>
          <cell r="BB1257">
            <v>0</v>
          </cell>
          <cell r="BC1257">
            <v>0</v>
          </cell>
          <cell r="BD1257">
            <v>0</v>
          </cell>
          <cell r="BE1257">
            <v>0</v>
          </cell>
          <cell r="BF1257">
            <v>0</v>
          </cell>
          <cell r="BG1257">
            <v>136</v>
          </cell>
          <cell r="BH1257">
            <v>0</v>
          </cell>
          <cell r="BI1257">
            <v>0</v>
          </cell>
          <cell r="BJ1257">
            <v>2</v>
          </cell>
          <cell r="BL1257">
            <v>0</v>
          </cell>
          <cell r="BM1257">
            <v>0</v>
          </cell>
          <cell r="BN1257">
            <v>0</v>
          </cell>
          <cell r="BO1257">
            <v>0</v>
          </cell>
          <cell r="BP1257">
            <v>0</v>
          </cell>
          <cell r="BQ1257">
            <v>0</v>
          </cell>
          <cell r="BR1257">
            <v>0</v>
          </cell>
          <cell r="BS1257">
            <v>0</v>
          </cell>
          <cell r="BT1257">
            <v>0</v>
          </cell>
          <cell r="BU1257">
            <v>0</v>
          </cell>
          <cell r="BV1257">
            <v>0</v>
          </cell>
          <cell r="BW1257">
            <v>0</v>
          </cell>
          <cell r="BX1257">
            <v>0</v>
          </cell>
          <cell r="BY1257">
            <v>0</v>
          </cell>
          <cell r="BZ1257">
            <v>0</v>
          </cell>
          <cell r="CA1257">
            <v>0</v>
          </cell>
          <cell r="CB1257">
            <v>0</v>
          </cell>
          <cell r="CC1257">
            <v>0</v>
          </cell>
          <cell r="CD1257">
            <v>0</v>
          </cell>
          <cell r="CE1257">
            <v>0</v>
          </cell>
          <cell r="CF1257">
            <v>0</v>
          </cell>
          <cell r="CG1257">
            <v>0</v>
          </cell>
          <cell r="CH1257">
            <v>0</v>
          </cell>
          <cell r="CI1257">
            <v>0</v>
          </cell>
          <cell r="CJ1257">
            <v>0</v>
          </cell>
          <cell r="CK1257">
            <v>0</v>
          </cell>
          <cell r="CL1257">
            <v>0</v>
          </cell>
          <cell r="CM1257">
            <v>0</v>
          </cell>
          <cell r="CR1257">
            <v>0</v>
          </cell>
          <cell r="CS1257">
            <v>0</v>
          </cell>
          <cell r="CT1257">
            <v>0</v>
          </cell>
          <cell r="CU1257">
            <v>0</v>
          </cell>
          <cell r="CV1257">
            <v>0</v>
          </cell>
          <cell r="CZ1257">
            <v>0</v>
          </cell>
        </row>
        <row r="1258">
          <cell r="C1258" t="str">
            <v>04980</v>
          </cell>
          <cell r="D1258" t="str">
            <v>Lê Thị Ngọc Thư</v>
          </cell>
          <cell r="E1258" t="str">
            <v>Production</v>
          </cell>
          <cell r="F1258" t="str">
            <v>Logo</v>
          </cell>
          <cell r="G1258" t="str">
            <v>Worker</v>
          </cell>
          <cell r="H1258">
            <v>46083</v>
          </cell>
          <cell r="I1258" t="str">
            <v>X</v>
          </cell>
          <cell r="J1258" t="str">
            <v>X</v>
          </cell>
          <cell r="K1258" t="str">
            <v>X</v>
          </cell>
          <cell r="L1258" t="str">
            <v>X</v>
          </cell>
          <cell r="M1258">
            <v>8</v>
          </cell>
          <cell r="N1258">
            <v>8</v>
          </cell>
          <cell r="O1258">
            <v>8</v>
          </cell>
          <cell r="P1258">
            <v>8</v>
          </cell>
          <cell r="Q1258">
            <v>8</v>
          </cell>
          <cell r="R1258">
            <v>8</v>
          </cell>
          <cell r="S1258" t="str">
            <v>CN</v>
          </cell>
          <cell r="T1258" t="str">
            <v>Đ</v>
          </cell>
          <cell r="U1258" t="str">
            <v>Đ</v>
          </cell>
          <cell r="V1258" t="str">
            <v>Đ</v>
          </cell>
          <cell r="W1258" t="str">
            <v>Đ</v>
          </cell>
          <cell r="X1258" t="str">
            <v>Đ</v>
          </cell>
          <cell r="Y1258" t="str">
            <v>UP8</v>
          </cell>
          <cell r="Z1258" t="str">
            <v>CN</v>
          </cell>
          <cell r="AA1258">
            <v>8</v>
          </cell>
          <cell r="AB1258">
            <v>8</v>
          </cell>
          <cell r="AC1258">
            <v>8</v>
          </cell>
          <cell r="AD1258" t="str">
            <v>UP8</v>
          </cell>
          <cell r="AE1258" t="str">
            <v>UP8</v>
          </cell>
          <cell r="AF1258" t="str">
            <v>UP8</v>
          </cell>
          <cell r="AG1258" t="str">
            <v>CN</v>
          </cell>
          <cell r="AH1258" t="str">
            <v>UP8</v>
          </cell>
          <cell r="AI1258" t="str">
            <v>UP8</v>
          </cell>
          <cell r="AJ1258" t="str">
            <v>UP8</v>
          </cell>
          <cell r="AN1258">
            <v>40</v>
          </cell>
          <cell r="AO1258">
            <v>72</v>
          </cell>
          <cell r="AP1258">
            <v>0</v>
          </cell>
          <cell r="AQ1258">
            <v>0</v>
          </cell>
          <cell r="AR1258">
            <v>0</v>
          </cell>
          <cell r="AS1258">
            <v>56</v>
          </cell>
          <cell r="AT1258">
            <v>0</v>
          </cell>
          <cell r="AU1258">
            <v>0</v>
          </cell>
          <cell r="AV1258">
            <v>0</v>
          </cell>
          <cell r="AW1258">
            <v>0</v>
          </cell>
          <cell r="AX1258">
            <v>0</v>
          </cell>
          <cell r="AY1258">
            <v>0</v>
          </cell>
          <cell r="AZ1258">
            <v>0</v>
          </cell>
          <cell r="BA1258">
            <v>0</v>
          </cell>
          <cell r="BB1258">
            <v>0</v>
          </cell>
          <cell r="BC1258">
            <v>0</v>
          </cell>
          <cell r="BD1258">
            <v>0</v>
          </cell>
          <cell r="BE1258">
            <v>0</v>
          </cell>
          <cell r="BF1258">
            <v>0</v>
          </cell>
          <cell r="BG1258">
            <v>112</v>
          </cell>
          <cell r="BH1258">
            <v>0</v>
          </cell>
          <cell r="BI1258">
            <v>0</v>
          </cell>
          <cell r="BJ1258">
            <v>2</v>
          </cell>
          <cell r="BL1258">
            <v>0</v>
          </cell>
          <cell r="BM1258">
            <v>0</v>
          </cell>
          <cell r="BN1258">
            <v>0</v>
          </cell>
          <cell r="BO1258">
            <v>0</v>
          </cell>
          <cell r="BP1258">
            <v>0</v>
          </cell>
          <cell r="BQ1258">
            <v>0</v>
          </cell>
          <cell r="BR1258">
            <v>0</v>
          </cell>
          <cell r="BS1258">
            <v>0</v>
          </cell>
          <cell r="BT1258">
            <v>0</v>
          </cell>
          <cell r="BU1258">
            <v>0</v>
          </cell>
          <cell r="BV1258">
            <v>0</v>
          </cell>
          <cell r="BW1258">
            <v>0</v>
          </cell>
          <cell r="BX1258">
            <v>0</v>
          </cell>
          <cell r="BY1258">
            <v>0</v>
          </cell>
          <cell r="BZ1258">
            <v>0</v>
          </cell>
          <cell r="CA1258">
            <v>0</v>
          </cell>
          <cell r="CB1258">
            <v>0</v>
          </cell>
          <cell r="CC1258">
            <v>0</v>
          </cell>
          <cell r="CD1258">
            <v>0</v>
          </cell>
          <cell r="CE1258">
            <v>0</v>
          </cell>
          <cell r="CF1258">
            <v>0</v>
          </cell>
          <cell r="CG1258">
            <v>0</v>
          </cell>
          <cell r="CH1258">
            <v>0</v>
          </cell>
          <cell r="CI1258">
            <v>0</v>
          </cell>
          <cell r="CJ1258">
            <v>0</v>
          </cell>
          <cell r="CK1258">
            <v>0</v>
          </cell>
          <cell r="CL1258">
            <v>0</v>
          </cell>
          <cell r="CM1258">
            <v>0</v>
          </cell>
          <cell r="CR1258">
            <v>0</v>
          </cell>
          <cell r="CS1258">
            <v>0</v>
          </cell>
          <cell r="CT1258">
            <v>0</v>
          </cell>
          <cell r="CU1258">
            <v>0</v>
          </cell>
          <cell r="CV1258">
            <v>0</v>
          </cell>
          <cell r="CZ1258">
            <v>0</v>
          </cell>
        </row>
        <row r="1259">
          <cell r="C1259" t="str">
            <v>04981</v>
          </cell>
          <cell r="D1259" t="str">
            <v>Trần Thanh Phúc</v>
          </cell>
          <cell r="E1259" t="str">
            <v>Foaming</v>
          </cell>
          <cell r="F1259" t="str">
            <v>FOAMING Splitting</v>
          </cell>
          <cell r="G1259" t="str">
            <v>Worker</v>
          </cell>
          <cell r="H1259">
            <v>46083</v>
          </cell>
          <cell r="I1259" t="str">
            <v>X</v>
          </cell>
          <cell r="J1259" t="str">
            <v>X</v>
          </cell>
          <cell r="K1259" t="str">
            <v>X</v>
          </cell>
          <cell r="L1259" t="str">
            <v>X</v>
          </cell>
          <cell r="M1259">
            <v>8</v>
          </cell>
          <cell r="N1259">
            <v>8</v>
          </cell>
          <cell r="O1259">
            <v>8</v>
          </cell>
          <cell r="P1259">
            <v>8</v>
          </cell>
          <cell r="Q1259">
            <v>8</v>
          </cell>
          <cell r="R1259">
            <v>8</v>
          </cell>
          <cell r="S1259" t="str">
            <v>CN</v>
          </cell>
          <cell r="T1259">
            <v>8</v>
          </cell>
          <cell r="U1259">
            <v>8</v>
          </cell>
          <cell r="V1259">
            <v>8</v>
          </cell>
          <cell r="W1259">
            <v>8</v>
          </cell>
          <cell r="X1259">
            <v>8</v>
          </cell>
          <cell r="Y1259">
            <v>8</v>
          </cell>
          <cell r="Z1259" t="str">
            <v>CN</v>
          </cell>
          <cell r="AA1259" t="str">
            <v>Đ</v>
          </cell>
          <cell r="AB1259" t="str">
            <v>Đ</v>
          </cell>
          <cell r="AC1259" t="str">
            <v>Đ</v>
          </cell>
          <cell r="AD1259" t="str">
            <v>Đ</v>
          </cell>
          <cell r="AE1259" t="str">
            <v>Đ</v>
          </cell>
          <cell r="AF1259" t="str">
            <v>Đ</v>
          </cell>
          <cell r="AG1259" t="str">
            <v>CN</v>
          </cell>
          <cell r="AH1259" t="str">
            <v>Đ</v>
          </cell>
          <cell r="AI1259" t="str">
            <v>Đ</v>
          </cell>
          <cell r="AJ1259" t="str">
            <v>Đ</v>
          </cell>
          <cell r="AN1259">
            <v>72</v>
          </cell>
          <cell r="AO1259">
            <v>96</v>
          </cell>
          <cell r="AP1259">
            <v>0</v>
          </cell>
          <cell r="AQ1259">
            <v>0</v>
          </cell>
          <cell r="AR1259">
            <v>0</v>
          </cell>
          <cell r="AS1259">
            <v>0</v>
          </cell>
          <cell r="AT1259">
            <v>0</v>
          </cell>
          <cell r="AU1259">
            <v>0</v>
          </cell>
          <cell r="AV1259">
            <v>0</v>
          </cell>
          <cell r="AW1259">
            <v>0</v>
          </cell>
          <cell r="AX1259">
            <v>0</v>
          </cell>
          <cell r="AY1259">
            <v>0</v>
          </cell>
          <cell r="AZ1259">
            <v>0</v>
          </cell>
          <cell r="BA1259">
            <v>0</v>
          </cell>
          <cell r="BB1259">
            <v>0</v>
          </cell>
          <cell r="BC1259">
            <v>0</v>
          </cell>
          <cell r="BD1259">
            <v>0</v>
          </cell>
          <cell r="BE1259">
            <v>0</v>
          </cell>
          <cell r="BF1259">
            <v>0</v>
          </cell>
          <cell r="BG1259">
            <v>168</v>
          </cell>
          <cell r="BH1259">
            <v>0</v>
          </cell>
          <cell r="BI1259">
            <v>0</v>
          </cell>
          <cell r="BJ1259">
            <v>2</v>
          </cell>
          <cell r="BL1259">
            <v>0</v>
          </cell>
          <cell r="BM1259">
            <v>0</v>
          </cell>
          <cell r="BN1259">
            <v>0</v>
          </cell>
          <cell r="BO1259">
            <v>0</v>
          </cell>
          <cell r="BP1259">
            <v>0</v>
          </cell>
          <cell r="BQ1259">
            <v>0</v>
          </cell>
          <cell r="BR1259">
            <v>0</v>
          </cell>
          <cell r="BS1259">
            <v>0</v>
          </cell>
          <cell r="BT1259">
            <v>0</v>
          </cell>
          <cell r="BU1259">
            <v>0</v>
          </cell>
          <cell r="BV1259">
            <v>12</v>
          </cell>
          <cell r="BW1259">
            <v>4</v>
          </cell>
          <cell r="BX1259">
            <v>4</v>
          </cell>
          <cell r="BY1259">
            <v>4</v>
          </cell>
          <cell r="BZ1259">
            <v>4</v>
          </cell>
          <cell r="CA1259">
            <v>4</v>
          </cell>
          <cell r="CB1259">
            <v>4</v>
          </cell>
          <cell r="CC1259" t="str">
            <v>12Đ</v>
          </cell>
          <cell r="CD1259">
            <v>4</v>
          </cell>
          <cell r="CE1259">
            <v>4</v>
          </cell>
          <cell r="CF1259">
            <v>4</v>
          </cell>
          <cell r="CG1259">
            <v>4</v>
          </cell>
          <cell r="CH1259">
            <v>4</v>
          </cell>
          <cell r="CI1259">
            <v>4</v>
          </cell>
          <cell r="CJ1259" t="str">
            <v>12Đ</v>
          </cell>
          <cell r="CK1259">
            <v>4</v>
          </cell>
          <cell r="CL1259">
            <v>0</v>
          </cell>
          <cell r="CM1259">
            <v>4</v>
          </cell>
          <cell r="CR1259">
            <v>0</v>
          </cell>
          <cell r="CS1259">
            <v>0</v>
          </cell>
          <cell r="CT1259">
            <v>56</v>
          </cell>
          <cell r="CU1259">
            <v>20</v>
          </cell>
          <cell r="CV1259">
            <v>16</v>
          </cell>
          <cell r="CZ1259">
            <v>92</v>
          </cell>
        </row>
        <row r="1260">
          <cell r="C1260" t="str">
            <v>04982</v>
          </cell>
          <cell r="D1260" t="str">
            <v>Đoàn  Quốc Lập</v>
          </cell>
          <cell r="E1260" t="str">
            <v>Foaming</v>
          </cell>
          <cell r="F1260" t="str">
            <v>FOAMING Rectangular</v>
          </cell>
          <cell r="G1260" t="str">
            <v>Worker</v>
          </cell>
          <cell r="H1260">
            <v>46083</v>
          </cell>
          <cell r="I1260" t="str">
            <v>X</v>
          </cell>
          <cell r="J1260" t="str">
            <v>X</v>
          </cell>
          <cell r="K1260" t="str">
            <v>X</v>
          </cell>
          <cell r="L1260" t="str">
            <v>X</v>
          </cell>
          <cell r="M1260">
            <v>8</v>
          </cell>
          <cell r="N1260">
            <v>8</v>
          </cell>
          <cell r="O1260">
            <v>8</v>
          </cell>
          <cell r="P1260">
            <v>8</v>
          </cell>
          <cell r="Q1260">
            <v>8</v>
          </cell>
          <cell r="R1260">
            <v>8</v>
          </cell>
          <cell r="S1260" t="str">
            <v>CN</v>
          </cell>
          <cell r="T1260">
            <v>8</v>
          </cell>
          <cell r="U1260">
            <v>8</v>
          </cell>
          <cell r="V1260" t="str">
            <v>UP4</v>
          </cell>
          <cell r="W1260">
            <v>8</v>
          </cell>
          <cell r="X1260">
            <v>8</v>
          </cell>
          <cell r="Y1260">
            <v>8</v>
          </cell>
          <cell r="Z1260" t="str">
            <v>CN</v>
          </cell>
          <cell r="AA1260">
            <v>8</v>
          </cell>
          <cell r="AB1260">
            <v>8</v>
          </cell>
          <cell r="AC1260">
            <v>8</v>
          </cell>
          <cell r="AD1260">
            <v>8</v>
          </cell>
          <cell r="AE1260">
            <v>8</v>
          </cell>
          <cell r="AF1260">
            <v>8</v>
          </cell>
          <cell r="AG1260" t="str">
            <v>CN</v>
          </cell>
          <cell r="AH1260" t="str">
            <v>UP8</v>
          </cell>
          <cell r="AI1260">
            <v>8</v>
          </cell>
          <cell r="AJ1260">
            <v>8</v>
          </cell>
          <cell r="AN1260">
            <v>0</v>
          </cell>
          <cell r="AO1260">
            <v>156</v>
          </cell>
          <cell r="AP1260">
            <v>0</v>
          </cell>
          <cell r="AQ1260">
            <v>0</v>
          </cell>
          <cell r="AR1260">
            <v>4</v>
          </cell>
          <cell r="AS1260">
            <v>12</v>
          </cell>
          <cell r="AT1260">
            <v>0</v>
          </cell>
          <cell r="AU1260">
            <v>0</v>
          </cell>
          <cell r="AV1260">
            <v>0</v>
          </cell>
          <cell r="AW1260">
            <v>0</v>
          </cell>
          <cell r="AX1260">
            <v>0</v>
          </cell>
          <cell r="AY1260">
            <v>0</v>
          </cell>
          <cell r="AZ1260">
            <v>0</v>
          </cell>
          <cell r="BA1260">
            <v>0</v>
          </cell>
          <cell r="BB1260">
            <v>0</v>
          </cell>
          <cell r="BC1260">
            <v>0</v>
          </cell>
          <cell r="BD1260">
            <v>0</v>
          </cell>
          <cell r="BE1260">
            <v>0</v>
          </cell>
          <cell r="BF1260">
            <v>0</v>
          </cell>
          <cell r="BG1260">
            <v>156</v>
          </cell>
          <cell r="BH1260">
            <v>0</v>
          </cell>
          <cell r="BI1260">
            <v>0</v>
          </cell>
          <cell r="BJ1260">
            <v>2.5</v>
          </cell>
          <cell r="BL1260">
            <v>0</v>
          </cell>
          <cell r="BM1260">
            <v>0</v>
          </cell>
          <cell r="BN1260">
            <v>0</v>
          </cell>
          <cell r="BO1260">
            <v>0</v>
          </cell>
          <cell r="BP1260">
            <v>0</v>
          </cell>
          <cell r="BQ1260">
            <v>2</v>
          </cell>
          <cell r="BR1260">
            <v>2</v>
          </cell>
          <cell r="BS1260">
            <v>2</v>
          </cell>
          <cell r="BT1260">
            <v>2</v>
          </cell>
          <cell r="BU1260">
            <v>2</v>
          </cell>
          <cell r="BV1260">
            <v>0</v>
          </cell>
          <cell r="BW1260">
            <v>4</v>
          </cell>
          <cell r="BX1260">
            <v>4</v>
          </cell>
          <cell r="BY1260">
            <v>0</v>
          </cell>
          <cell r="BZ1260">
            <v>4</v>
          </cell>
          <cell r="CA1260">
            <v>4</v>
          </cell>
          <cell r="CB1260">
            <v>4</v>
          </cell>
          <cell r="CC1260">
            <v>0</v>
          </cell>
          <cell r="CD1260">
            <v>3</v>
          </cell>
          <cell r="CE1260">
            <v>3</v>
          </cell>
          <cell r="CF1260">
            <v>3</v>
          </cell>
          <cell r="CG1260">
            <v>3</v>
          </cell>
          <cell r="CH1260">
            <v>3</v>
          </cell>
          <cell r="CI1260">
            <v>1</v>
          </cell>
          <cell r="CJ1260">
            <v>0</v>
          </cell>
          <cell r="CK1260">
            <v>0</v>
          </cell>
          <cell r="CL1260">
            <v>4</v>
          </cell>
          <cell r="CM1260">
            <v>4</v>
          </cell>
          <cell r="CR1260">
            <v>0</v>
          </cell>
          <cell r="CS1260">
            <v>0</v>
          </cell>
          <cell r="CT1260">
            <v>54</v>
          </cell>
          <cell r="CU1260">
            <v>0</v>
          </cell>
          <cell r="CV1260">
            <v>0</v>
          </cell>
          <cell r="CZ1260">
            <v>54</v>
          </cell>
        </row>
        <row r="1261">
          <cell r="C1261" t="str">
            <v>04983</v>
          </cell>
          <cell r="D1261" t="str">
            <v>Lê Hà Gia Phát</v>
          </cell>
          <cell r="E1261" t="str">
            <v>Foaming</v>
          </cell>
          <cell r="F1261" t="str">
            <v>FOAMING Rectangular</v>
          </cell>
          <cell r="G1261" t="str">
            <v>Worker</v>
          </cell>
          <cell r="H1261">
            <v>46083</v>
          </cell>
          <cell r="I1261" t="str">
            <v>X</v>
          </cell>
          <cell r="J1261" t="str">
            <v>X</v>
          </cell>
          <cell r="K1261" t="str">
            <v>X</v>
          </cell>
          <cell r="L1261" t="str">
            <v>X</v>
          </cell>
          <cell r="M1261">
            <v>8</v>
          </cell>
          <cell r="N1261">
            <v>8</v>
          </cell>
          <cell r="O1261">
            <v>8</v>
          </cell>
          <cell r="P1261">
            <v>8</v>
          </cell>
          <cell r="Q1261">
            <v>8</v>
          </cell>
          <cell r="R1261">
            <v>8</v>
          </cell>
          <cell r="S1261" t="str">
            <v>CN</v>
          </cell>
          <cell r="T1261">
            <v>8</v>
          </cell>
          <cell r="U1261">
            <v>8</v>
          </cell>
          <cell r="V1261">
            <v>8</v>
          </cell>
          <cell r="W1261">
            <v>8</v>
          </cell>
          <cell r="X1261">
            <v>8</v>
          </cell>
          <cell r="Y1261">
            <v>8</v>
          </cell>
          <cell r="Z1261" t="str">
            <v>CN</v>
          </cell>
          <cell r="AA1261">
            <v>8</v>
          </cell>
          <cell r="AB1261">
            <v>8</v>
          </cell>
          <cell r="AC1261">
            <v>8</v>
          </cell>
          <cell r="AD1261">
            <v>8</v>
          </cell>
          <cell r="AE1261">
            <v>8</v>
          </cell>
          <cell r="AF1261">
            <v>8</v>
          </cell>
          <cell r="AG1261" t="str">
            <v>CN</v>
          </cell>
          <cell r="AH1261">
            <v>8</v>
          </cell>
          <cell r="AI1261">
            <v>8</v>
          </cell>
          <cell r="AJ1261">
            <v>8</v>
          </cell>
          <cell r="AN1261">
            <v>0</v>
          </cell>
          <cell r="AO1261">
            <v>168</v>
          </cell>
          <cell r="AP1261">
            <v>0</v>
          </cell>
          <cell r="AQ1261">
            <v>0</v>
          </cell>
          <cell r="AR1261">
            <v>0</v>
          </cell>
          <cell r="AS1261">
            <v>0</v>
          </cell>
          <cell r="AT1261">
            <v>0</v>
          </cell>
          <cell r="AU1261">
            <v>0</v>
          </cell>
          <cell r="AV1261">
            <v>0</v>
          </cell>
          <cell r="AW1261">
            <v>0</v>
          </cell>
          <cell r="AX1261">
            <v>0</v>
          </cell>
          <cell r="AY1261">
            <v>0</v>
          </cell>
          <cell r="AZ1261">
            <v>0</v>
          </cell>
          <cell r="BA1261">
            <v>0</v>
          </cell>
          <cell r="BB1261">
            <v>0</v>
          </cell>
          <cell r="BC1261">
            <v>0</v>
          </cell>
          <cell r="BD1261">
            <v>0</v>
          </cell>
          <cell r="BE1261">
            <v>0</v>
          </cell>
          <cell r="BF1261">
            <v>0</v>
          </cell>
          <cell r="BG1261">
            <v>168</v>
          </cell>
          <cell r="BH1261">
            <v>0</v>
          </cell>
          <cell r="BI1261">
            <v>0</v>
          </cell>
          <cell r="BJ1261">
            <v>2.5</v>
          </cell>
          <cell r="BL1261">
            <v>0</v>
          </cell>
          <cell r="BM1261">
            <v>0</v>
          </cell>
          <cell r="BN1261">
            <v>0</v>
          </cell>
          <cell r="BO1261">
            <v>0</v>
          </cell>
          <cell r="BP1261">
            <v>0</v>
          </cell>
          <cell r="BQ1261">
            <v>4</v>
          </cell>
          <cell r="BR1261">
            <v>4</v>
          </cell>
          <cell r="BS1261">
            <v>4</v>
          </cell>
          <cell r="BT1261">
            <v>4</v>
          </cell>
          <cell r="BU1261">
            <v>4</v>
          </cell>
          <cell r="BV1261">
            <v>11.5</v>
          </cell>
          <cell r="BW1261">
            <v>4</v>
          </cell>
          <cell r="BX1261">
            <v>4</v>
          </cell>
          <cell r="BY1261">
            <v>4</v>
          </cell>
          <cell r="BZ1261">
            <v>4</v>
          </cell>
          <cell r="CA1261">
            <v>4</v>
          </cell>
          <cell r="CB1261">
            <v>4</v>
          </cell>
          <cell r="CC1261">
            <v>0</v>
          </cell>
          <cell r="CD1261">
            <v>4</v>
          </cell>
          <cell r="CE1261">
            <v>4</v>
          </cell>
          <cell r="CF1261">
            <v>4</v>
          </cell>
          <cell r="CG1261">
            <v>4</v>
          </cell>
          <cell r="CH1261">
            <v>4</v>
          </cell>
          <cell r="CI1261">
            <v>4</v>
          </cell>
          <cell r="CJ1261">
            <v>12</v>
          </cell>
          <cell r="CK1261">
            <v>4</v>
          </cell>
          <cell r="CL1261">
            <v>4</v>
          </cell>
          <cell r="CM1261">
            <v>4</v>
          </cell>
          <cell r="CR1261">
            <v>0</v>
          </cell>
          <cell r="CS1261">
            <v>0</v>
          </cell>
          <cell r="CT1261">
            <v>80</v>
          </cell>
          <cell r="CU1261">
            <v>23.5</v>
          </cell>
          <cell r="CV1261">
            <v>0</v>
          </cell>
          <cell r="CZ1261">
            <v>103.5</v>
          </cell>
        </row>
        <row r="1262">
          <cell r="C1262" t="str">
            <v>04984</v>
          </cell>
          <cell r="D1262" t="str">
            <v>Phan Văn Phú</v>
          </cell>
          <cell r="E1262" t="str">
            <v>Foaming</v>
          </cell>
          <cell r="F1262" t="str">
            <v>FOAMING Rectangular</v>
          </cell>
          <cell r="G1262" t="str">
            <v>Worker</v>
          </cell>
          <cell r="H1262">
            <v>46083</v>
          </cell>
          <cell r="I1262" t="str">
            <v>X</v>
          </cell>
          <cell r="J1262" t="str">
            <v>X</v>
          </cell>
          <cell r="K1262" t="str">
            <v>X</v>
          </cell>
          <cell r="L1262" t="str">
            <v>X</v>
          </cell>
          <cell r="M1262">
            <v>8</v>
          </cell>
          <cell r="N1262">
            <v>8</v>
          </cell>
          <cell r="O1262">
            <v>8</v>
          </cell>
          <cell r="P1262">
            <v>8</v>
          </cell>
          <cell r="Q1262">
            <v>8</v>
          </cell>
          <cell r="R1262">
            <v>8</v>
          </cell>
          <cell r="S1262" t="str">
            <v>CN</v>
          </cell>
          <cell r="T1262">
            <v>8</v>
          </cell>
          <cell r="U1262">
            <v>8</v>
          </cell>
          <cell r="V1262">
            <v>8</v>
          </cell>
          <cell r="W1262">
            <v>8</v>
          </cell>
          <cell r="X1262">
            <v>8</v>
          </cell>
          <cell r="Y1262">
            <v>8</v>
          </cell>
          <cell r="Z1262" t="str">
            <v>CN</v>
          </cell>
          <cell r="AA1262">
            <v>5.983333333</v>
          </cell>
          <cell r="AB1262" t="str">
            <v>NP</v>
          </cell>
          <cell r="AC1262" t="str">
            <v>NP</v>
          </cell>
          <cell r="AD1262" t="str">
            <v>NP</v>
          </cell>
          <cell r="AE1262" t="str">
            <v>NP</v>
          </cell>
          <cell r="AF1262" t="str">
            <v>NP</v>
          </cell>
          <cell r="AG1262" t="str">
            <v>CN</v>
          </cell>
          <cell r="AH1262" t="str">
            <v>TV</v>
          </cell>
          <cell r="AI1262" t="str">
            <v>TV</v>
          </cell>
          <cell r="AJ1262" t="str">
            <v>TV</v>
          </cell>
          <cell r="AN1262">
            <v>0</v>
          </cell>
          <cell r="AO1262">
            <v>101.983333333</v>
          </cell>
          <cell r="AP1262">
            <v>0</v>
          </cell>
          <cell r="AQ1262">
            <v>0</v>
          </cell>
          <cell r="AR1262">
            <v>0</v>
          </cell>
          <cell r="AS1262">
            <v>0</v>
          </cell>
          <cell r="AT1262">
            <v>5</v>
          </cell>
          <cell r="AU1262">
            <v>0</v>
          </cell>
          <cell r="AV1262">
            <v>0</v>
          </cell>
          <cell r="AW1262">
            <v>0</v>
          </cell>
          <cell r="AX1262">
            <v>0</v>
          </cell>
          <cell r="AY1262">
            <v>0</v>
          </cell>
          <cell r="AZ1262">
            <v>0</v>
          </cell>
          <cell r="BA1262">
            <v>0</v>
          </cell>
          <cell r="BB1262">
            <v>0</v>
          </cell>
          <cell r="BC1262">
            <v>0</v>
          </cell>
          <cell r="BD1262">
            <v>0</v>
          </cell>
          <cell r="BE1262">
            <v>0</v>
          </cell>
          <cell r="BF1262">
            <v>0</v>
          </cell>
          <cell r="BG1262">
            <v>101.983333333</v>
          </cell>
          <cell r="BH1262">
            <v>0</v>
          </cell>
          <cell r="BI1262">
            <v>0</v>
          </cell>
          <cell r="BJ1262">
            <v>1.5</v>
          </cell>
          <cell r="BL1262">
            <v>0</v>
          </cell>
          <cell r="BM1262">
            <v>0</v>
          </cell>
          <cell r="BN1262">
            <v>0</v>
          </cell>
          <cell r="BO1262">
            <v>0</v>
          </cell>
          <cell r="BP1262">
            <v>0</v>
          </cell>
          <cell r="BQ1262">
            <v>0</v>
          </cell>
          <cell r="BR1262">
            <v>0</v>
          </cell>
          <cell r="BS1262">
            <v>4</v>
          </cell>
          <cell r="BT1262">
            <v>4</v>
          </cell>
          <cell r="BU1262">
            <v>4</v>
          </cell>
          <cell r="BV1262">
            <v>12</v>
          </cell>
          <cell r="BW1262">
            <v>4</v>
          </cell>
          <cell r="BX1262">
            <v>4</v>
          </cell>
          <cell r="BY1262">
            <v>4</v>
          </cell>
          <cell r="BZ1262">
            <v>4</v>
          </cell>
          <cell r="CA1262">
            <v>4</v>
          </cell>
          <cell r="CB1262">
            <v>4</v>
          </cell>
          <cell r="CC1262">
            <v>0</v>
          </cell>
          <cell r="CD1262">
            <v>0</v>
          </cell>
          <cell r="CE1262">
            <v>0</v>
          </cell>
          <cell r="CF1262">
            <v>0</v>
          </cell>
          <cell r="CG1262">
            <v>0</v>
          </cell>
          <cell r="CH1262">
            <v>0</v>
          </cell>
          <cell r="CI1262">
            <v>0</v>
          </cell>
          <cell r="CJ1262">
            <v>0</v>
          </cell>
          <cell r="CK1262">
            <v>0</v>
          </cell>
          <cell r="CL1262">
            <v>0</v>
          </cell>
          <cell r="CM1262">
            <v>0</v>
          </cell>
          <cell r="CR1262">
            <v>0</v>
          </cell>
          <cell r="CS1262">
            <v>0</v>
          </cell>
          <cell r="CT1262">
            <v>36</v>
          </cell>
          <cell r="CU1262">
            <v>12</v>
          </cell>
          <cell r="CV1262">
            <v>0</v>
          </cell>
          <cell r="CZ1262">
            <v>48</v>
          </cell>
        </row>
        <row r="1263">
          <cell r="C1263" t="str">
            <v>04985</v>
          </cell>
          <cell r="D1263" t="str">
            <v>Lê Thị Thúy Ngân</v>
          </cell>
          <cell r="E1263" t="str">
            <v>Production</v>
          </cell>
          <cell r="F1263" t="str">
            <v>Logo</v>
          </cell>
          <cell r="G1263" t="str">
            <v>Worker</v>
          </cell>
          <cell r="H1263">
            <v>46083</v>
          </cell>
          <cell r="I1263" t="str">
            <v>X</v>
          </cell>
          <cell r="J1263" t="str">
            <v>X</v>
          </cell>
          <cell r="K1263" t="str">
            <v>X</v>
          </cell>
          <cell r="L1263" t="str">
            <v>X</v>
          </cell>
          <cell r="M1263">
            <v>8</v>
          </cell>
          <cell r="N1263">
            <v>8</v>
          </cell>
          <cell r="O1263" t="str">
            <v>UP8</v>
          </cell>
          <cell r="P1263" t="str">
            <v>Đ</v>
          </cell>
          <cell r="Q1263" t="str">
            <v>Đ</v>
          </cell>
          <cell r="R1263" t="str">
            <v>UP8</v>
          </cell>
          <cell r="S1263" t="str">
            <v>CN</v>
          </cell>
          <cell r="T1263" t="str">
            <v>UP8</v>
          </cell>
          <cell r="U1263" t="str">
            <v>UP8</v>
          </cell>
          <cell r="V1263" t="str">
            <v>UP8</v>
          </cell>
          <cell r="W1263" t="str">
            <v>NP</v>
          </cell>
          <cell r="X1263" t="str">
            <v>NP</v>
          </cell>
          <cell r="Y1263" t="str">
            <v>NP</v>
          </cell>
          <cell r="Z1263" t="str">
            <v>CN</v>
          </cell>
          <cell r="AA1263" t="str">
            <v>NP</v>
          </cell>
          <cell r="AB1263" t="str">
            <v>NP</v>
          </cell>
          <cell r="AC1263" t="str">
            <v>TV</v>
          </cell>
          <cell r="AD1263" t="str">
            <v>TV</v>
          </cell>
          <cell r="AE1263" t="str">
            <v>TV</v>
          </cell>
          <cell r="AF1263" t="str">
            <v>TV</v>
          </cell>
          <cell r="AG1263" t="str">
            <v>TV</v>
          </cell>
          <cell r="AH1263" t="str">
            <v>TV</v>
          </cell>
          <cell r="AI1263" t="str">
            <v>TV</v>
          </cell>
          <cell r="AJ1263" t="str">
            <v>TV</v>
          </cell>
          <cell r="AN1263">
            <v>16</v>
          </cell>
          <cell r="AO1263">
            <v>16</v>
          </cell>
          <cell r="AP1263">
            <v>0</v>
          </cell>
          <cell r="AQ1263">
            <v>0</v>
          </cell>
          <cell r="AR1263">
            <v>0</v>
          </cell>
          <cell r="AS1263">
            <v>40</v>
          </cell>
          <cell r="AT1263">
            <v>5</v>
          </cell>
          <cell r="AU1263">
            <v>0</v>
          </cell>
          <cell r="AV1263">
            <v>0</v>
          </cell>
          <cell r="AW1263">
            <v>0</v>
          </cell>
          <cell r="AX1263">
            <v>0</v>
          </cell>
          <cell r="AY1263">
            <v>0</v>
          </cell>
          <cell r="AZ1263">
            <v>0</v>
          </cell>
          <cell r="BA1263">
            <v>0</v>
          </cell>
          <cell r="BB1263">
            <v>0</v>
          </cell>
          <cell r="BC1263">
            <v>0</v>
          </cell>
          <cell r="BD1263">
            <v>0</v>
          </cell>
          <cell r="BE1263">
            <v>0</v>
          </cell>
          <cell r="BF1263">
            <v>0</v>
          </cell>
          <cell r="BG1263">
            <v>32</v>
          </cell>
          <cell r="BH1263">
            <v>0</v>
          </cell>
          <cell r="BI1263">
            <v>0</v>
          </cell>
          <cell r="BJ1263">
            <v>1</v>
          </cell>
          <cell r="BL1263">
            <v>0</v>
          </cell>
          <cell r="BM1263">
            <v>0</v>
          </cell>
          <cell r="BN1263">
            <v>0</v>
          </cell>
          <cell r="BO1263">
            <v>0</v>
          </cell>
          <cell r="BP1263">
            <v>0</v>
          </cell>
          <cell r="BQ1263">
            <v>0</v>
          </cell>
          <cell r="BR1263">
            <v>0</v>
          </cell>
          <cell r="BS1263">
            <v>0</v>
          </cell>
          <cell r="BT1263">
            <v>0</v>
          </cell>
          <cell r="BU1263">
            <v>0</v>
          </cell>
          <cell r="BV1263">
            <v>0</v>
          </cell>
          <cell r="BW1263">
            <v>0</v>
          </cell>
          <cell r="BX1263">
            <v>0</v>
          </cell>
          <cell r="BY1263">
            <v>0</v>
          </cell>
          <cell r="BZ1263">
            <v>0</v>
          </cell>
          <cell r="CA1263">
            <v>0</v>
          </cell>
          <cell r="CB1263">
            <v>0</v>
          </cell>
          <cell r="CC1263">
            <v>0</v>
          </cell>
          <cell r="CD1263">
            <v>0</v>
          </cell>
          <cell r="CE1263">
            <v>0</v>
          </cell>
          <cell r="CF1263">
            <v>0</v>
          </cell>
          <cell r="CG1263">
            <v>0</v>
          </cell>
          <cell r="CH1263">
            <v>0</v>
          </cell>
          <cell r="CI1263">
            <v>0</v>
          </cell>
          <cell r="CJ1263">
            <v>0</v>
          </cell>
          <cell r="CK1263">
            <v>0</v>
          </cell>
          <cell r="CL1263">
            <v>0</v>
          </cell>
          <cell r="CM1263">
            <v>0</v>
          </cell>
          <cell r="CR1263">
            <v>0</v>
          </cell>
          <cell r="CS1263">
            <v>0</v>
          </cell>
          <cell r="CT1263">
            <v>0</v>
          </cell>
          <cell r="CU1263">
            <v>0</v>
          </cell>
          <cell r="CV1263">
            <v>0</v>
          </cell>
          <cell r="CZ1263">
            <v>0</v>
          </cell>
        </row>
        <row r="1264">
          <cell r="C1264" t="str">
            <v>04986</v>
          </cell>
          <cell r="D1264" t="str">
            <v>Nguyễn Hồng Tiền</v>
          </cell>
          <cell r="E1264" t="str">
            <v>Production</v>
          </cell>
          <cell r="F1264" t="str">
            <v>Molding</v>
          </cell>
          <cell r="G1264" t="str">
            <v>Worker</v>
          </cell>
          <cell r="H1264">
            <v>46086</v>
          </cell>
          <cell r="I1264" t="str">
            <v>X</v>
          </cell>
          <cell r="J1264" t="str">
            <v>X</v>
          </cell>
          <cell r="K1264" t="str">
            <v>X</v>
          </cell>
          <cell r="L1264" t="str">
            <v>X</v>
          </cell>
          <cell r="M1264" t="str">
            <v>X</v>
          </cell>
          <cell r="N1264" t="str">
            <v>X</v>
          </cell>
          <cell r="O1264" t="str">
            <v>X</v>
          </cell>
          <cell r="P1264">
            <v>8</v>
          </cell>
          <cell r="Q1264">
            <v>8</v>
          </cell>
          <cell r="R1264">
            <v>8</v>
          </cell>
          <cell r="S1264" t="str">
            <v>CN</v>
          </cell>
          <cell r="T1264">
            <v>8</v>
          </cell>
          <cell r="U1264">
            <v>8</v>
          </cell>
          <cell r="V1264">
            <v>8</v>
          </cell>
          <cell r="W1264">
            <v>8</v>
          </cell>
          <cell r="X1264">
            <v>8</v>
          </cell>
          <cell r="Y1264" t="str">
            <v>UP8</v>
          </cell>
          <cell r="Z1264" t="str">
            <v>CN</v>
          </cell>
          <cell r="AA1264">
            <v>8</v>
          </cell>
          <cell r="AB1264">
            <v>8</v>
          </cell>
          <cell r="AC1264" t="str">
            <v>UP8</v>
          </cell>
          <cell r="AD1264" t="str">
            <v>UP8</v>
          </cell>
          <cell r="AE1264" t="str">
            <v>UP8</v>
          </cell>
          <cell r="AF1264" t="str">
            <v>NP</v>
          </cell>
          <cell r="AG1264" t="str">
            <v>CN</v>
          </cell>
          <cell r="AH1264" t="str">
            <v>NP</v>
          </cell>
          <cell r="AI1264" t="str">
            <v>NP</v>
          </cell>
          <cell r="AJ1264" t="str">
            <v>NP</v>
          </cell>
          <cell r="AN1264">
            <v>0</v>
          </cell>
          <cell r="AO1264">
            <v>80</v>
          </cell>
          <cell r="AP1264">
            <v>0</v>
          </cell>
          <cell r="AQ1264">
            <v>0</v>
          </cell>
          <cell r="AR1264">
            <v>0</v>
          </cell>
          <cell r="AS1264">
            <v>32</v>
          </cell>
          <cell r="AT1264">
            <v>4</v>
          </cell>
          <cell r="AU1264">
            <v>0</v>
          </cell>
          <cell r="AV1264">
            <v>0</v>
          </cell>
          <cell r="AW1264">
            <v>0</v>
          </cell>
          <cell r="AX1264">
            <v>0</v>
          </cell>
          <cell r="AY1264">
            <v>0</v>
          </cell>
          <cell r="AZ1264">
            <v>0</v>
          </cell>
          <cell r="BA1264">
            <v>0</v>
          </cell>
          <cell r="BB1264">
            <v>0</v>
          </cell>
          <cell r="BC1264">
            <v>0</v>
          </cell>
          <cell r="BD1264">
            <v>0</v>
          </cell>
          <cell r="BE1264">
            <v>0</v>
          </cell>
          <cell r="BF1264">
            <v>0</v>
          </cell>
          <cell r="BG1264">
            <v>80</v>
          </cell>
          <cell r="BH1264">
            <v>0</v>
          </cell>
          <cell r="BI1264">
            <v>0</v>
          </cell>
          <cell r="BJ1264">
            <v>2</v>
          </cell>
          <cell r="BL1264">
            <v>0</v>
          </cell>
          <cell r="BM1264">
            <v>0</v>
          </cell>
          <cell r="BN1264">
            <v>0</v>
          </cell>
          <cell r="BO1264">
            <v>0</v>
          </cell>
          <cell r="BP1264">
            <v>0</v>
          </cell>
          <cell r="BQ1264">
            <v>0</v>
          </cell>
          <cell r="BR1264">
            <v>0</v>
          </cell>
          <cell r="BS1264">
            <v>0</v>
          </cell>
          <cell r="BT1264">
            <v>0</v>
          </cell>
          <cell r="BU1264">
            <v>0</v>
          </cell>
          <cell r="BV1264">
            <v>0</v>
          </cell>
          <cell r="BW1264">
            <v>0</v>
          </cell>
          <cell r="BX1264">
            <v>0</v>
          </cell>
          <cell r="BY1264">
            <v>0</v>
          </cell>
          <cell r="BZ1264">
            <v>0</v>
          </cell>
          <cell r="CA1264">
            <v>0</v>
          </cell>
          <cell r="CB1264">
            <v>0</v>
          </cell>
          <cell r="CC1264">
            <v>0</v>
          </cell>
          <cell r="CD1264">
            <v>0</v>
          </cell>
          <cell r="CE1264">
            <v>0</v>
          </cell>
          <cell r="CF1264">
            <v>0</v>
          </cell>
          <cell r="CG1264">
            <v>0</v>
          </cell>
          <cell r="CH1264">
            <v>0</v>
          </cell>
          <cell r="CI1264">
            <v>0</v>
          </cell>
          <cell r="CJ1264">
            <v>0</v>
          </cell>
          <cell r="CK1264">
            <v>0</v>
          </cell>
          <cell r="CL1264">
            <v>0</v>
          </cell>
          <cell r="CM1264">
            <v>0</v>
          </cell>
          <cell r="CR1264">
            <v>0</v>
          </cell>
          <cell r="CS1264">
            <v>0</v>
          </cell>
          <cell r="CT1264">
            <v>0</v>
          </cell>
          <cell r="CU1264">
            <v>0</v>
          </cell>
          <cell r="CV1264">
            <v>0</v>
          </cell>
          <cell r="CZ1264">
            <v>0</v>
          </cell>
        </row>
        <row r="1265">
          <cell r="C1265" t="str">
            <v>04987</v>
          </cell>
          <cell r="D1265" t="str">
            <v>Đỗ Thị Lam</v>
          </cell>
          <cell r="E1265" t="str">
            <v>Production</v>
          </cell>
          <cell r="F1265" t="str">
            <v>Logo</v>
          </cell>
          <cell r="G1265" t="str">
            <v>Worker</v>
          </cell>
          <cell r="H1265">
            <v>46086</v>
          </cell>
          <cell r="I1265" t="str">
            <v>X</v>
          </cell>
          <cell r="J1265" t="str">
            <v>X</v>
          </cell>
          <cell r="K1265" t="str">
            <v>X</v>
          </cell>
          <cell r="L1265" t="str">
            <v>X</v>
          </cell>
          <cell r="M1265" t="str">
            <v>X</v>
          </cell>
          <cell r="N1265" t="str">
            <v>X</v>
          </cell>
          <cell r="O1265" t="str">
            <v>X</v>
          </cell>
          <cell r="P1265">
            <v>8</v>
          </cell>
          <cell r="Q1265" t="str">
            <v>UP8</v>
          </cell>
          <cell r="R1265" t="str">
            <v>UP8</v>
          </cell>
          <cell r="S1265" t="str">
            <v>CN</v>
          </cell>
          <cell r="T1265" t="str">
            <v>UP8</v>
          </cell>
          <cell r="U1265" t="str">
            <v>UP8</v>
          </cell>
          <cell r="V1265" t="str">
            <v>UP8</v>
          </cell>
          <cell r="W1265" t="str">
            <v>NP</v>
          </cell>
          <cell r="X1265" t="str">
            <v>NP</v>
          </cell>
          <cell r="Y1265" t="str">
            <v>NP</v>
          </cell>
          <cell r="Z1265" t="str">
            <v>CN</v>
          </cell>
          <cell r="AA1265" t="str">
            <v>NP</v>
          </cell>
          <cell r="AB1265" t="str">
            <v>NP</v>
          </cell>
          <cell r="AC1265" t="str">
            <v>TV</v>
          </cell>
          <cell r="AD1265" t="str">
            <v>TV</v>
          </cell>
          <cell r="AE1265" t="str">
            <v>TV</v>
          </cell>
          <cell r="AF1265" t="str">
            <v>TV</v>
          </cell>
          <cell r="AG1265" t="str">
            <v>TV</v>
          </cell>
          <cell r="AH1265" t="str">
            <v>TV</v>
          </cell>
          <cell r="AI1265" t="str">
            <v>TV</v>
          </cell>
          <cell r="AJ1265" t="str">
            <v>TV</v>
          </cell>
          <cell r="AN1265">
            <v>0</v>
          </cell>
          <cell r="AO1265">
            <v>8</v>
          </cell>
          <cell r="AP1265">
            <v>0</v>
          </cell>
          <cell r="AQ1265">
            <v>0</v>
          </cell>
          <cell r="AR1265">
            <v>0</v>
          </cell>
          <cell r="AS1265">
            <v>40</v>
          </cell>
          <cell r="AT1265">
            <v>5</v>
          </cell>
          <cell r="AU1265">
            <v>0</v>
          </cell>
          <cell r="AV1265">
            <v>0</v>
          </cell>
          <cell r="AW1265">
            <v>0</v>
          </cell>
          <cell r="AX1265">
            <v>0</v>
          </cell>
          <cell r="AY1265">
            <v>0</v>
          </cell>
          <cell r="AZ1265">
            <v>0</v>
          </cell>
          <cell r="BA1265">
            <v>0</v>
          </cell>
          <cell r="BB1265">
            <v>0</v>
          </cell>
          <cell r="BC1265">
            <v>0</v>
          </cell>
          <cell r="BD1265">
            <v>0</v>
          </cell>
          <cell r="BE1265">
            <v>0</v>
          </cell>
          <cell r="BF1265">
            <v>0</v>
          </cell>
          <cell r="BG1265">
            <v>8</v>
          </cell>
          <cell r="BH1265">
            <v>0</v>
          </cell>
          <cell r="BI1265">
            <v>0</v>
          </cell>
          <cell r="BJ1265">
            <v>1</v>
          </cell>
          <cell r="BL1265">
            <v>0</v>
          </cell>
          <cell r="BM1265">
            <v>0</v>
          </cell>
          <cell r="BN1265">
            <v>0</v>
          </cell>
          <cell r="BO1265">
            <v>0</v>
          </cell>
          <cell r="BP1265">
            <v>0</v>
          </cell>
          <cell r="BQ1265">
            <v>0</v>
          </cell>
          <cell r="BR1265">
            <v>0</v>
          </cell>
          <cell r="BS1265">
            <v>0</v>
          </cell>
          <cell r="BT1265">
            <v>0</v>
          </cell>
          <cell r="BU1265">
            <v>0</v>
          </cell>
          <cell r="BV1265">
            <v>0</v>
          </cell>
          <cell r="BW1265">
            <v>0</v>
          </cell>
          <cell r="BX1265">
            <v>0</v>
          </cell>
          <cell r="BY1265">
            <v>0</v>
          </cell>
          <cell r="BZ1265">
            <v>0</v>
          </cell>
          <cell r="CA1265">
            <v>0</v>
          </cell>
          <cell r="CB1265">
            <v>0</v>
          </cell>
          <cell r="CC1265">
            <v>0</v>
          </cell>
          <cell r="CD1265">
            <v>0</v>
          </cell>
          <cell r="CE1265">
            <v>0</v>
          </cell>
          <cell r="CF1265">
            <v>0</v>
          </cell>
          <cell r="CG1265">
            <v>0</v>
          </cell>
          <cell r="CH1265">
            <v>0</v>
          </cell>
          <cell r="CI1265">
            <v>0</v>
          </cell>
          <cell r="CJ1265">
            <v>0</v>
          </cell>
          <cell r="CK1265">
            <v>0</v>
          </cell>
          <cell r="CL1265">
            <v>0</v>
          </cell>
          <cell r="CM1265">
            <v>0</v>
          </cell>
          <cell r="CR1265">
            <v>0</v>
          </cell>
          <cell r="CS1265">
            <v>0</v>
          </cell>
          <cell r="CT1265">
            <v>0</v>
          </cell>
          <cell r="CU1265">
            <v>0</v>
          </cell>
          <cell r="CV1265">
            <v>0</v>
          </cell>
          <cell r="CZ1265">
            <v>0</v>
          </cell>
        </row>
        <row r="1266">
          <cell r="C1266" t="str">
            <v>04988</v>
          </cell>
          <cell r="D1266" t="str">
            <v>Huỳnh Thanh Quân</v>
          </cell>
          <cell r="E1266" t="str">
            <v>Production</v>
          </cell>
          <cell r="F1266" t="str">
            <v>Logo</v>
          </cell>
          <cell r="G1266" t="str">
            <v>Worker</v>
          </cell>
          <cell r="H1266">
            <v>46086</v>
          </cell>
          <cell r="I1266" t="str">
            <v>X</v>
          </cell>
          <cell r="J1266" t="str">
            <v>X</v>
          </cell>
          <cell r="K1266" t="str">
            <v>X</v>
          </cell>
          <cell r="L1266" t="str">
            <v>X</v>
          </cell>
          <cell r="M1266" t="str">
            <v>X</v>
          </cell>
          <cell r="N1266" t="str">
            <v>X</v>
          </cell>
          <cell r="O1266" t="str">
            <v>X</v>
          </cell>
          <cell r="P1266">
            <v>8</v>
          </cell>
          <cell r="Q1266" t="str">
            <v>UP8</v>
          </cell>
          <cell r="R1266" t="str">
            <v>UP8</v>
          </cell>
          <cell r="S1266" t="str">
            <v>CN</v>
          </cell>
          <cell r="T1266" t="str">
            <v>UP8</v>
          </cell>
          <cell r="U1266" t="str">
            <v>UP8</v>
          </cell>
          <cell r="V1266" t="str">
            <v>UP8</v>
          </cell>
          <cell r="W1266" t="str">
            <v>NP</v>
          </cell>
          <cell r="X1266" t="str">
            <v>NP</v>
          </cell>
          <cell r="Y1266" t="str">
            <v>NP</v>
          </cell>
          <cell r="Z1266" t="str">
            <v>CN</v>
          </cell>
          <cell r="AA1266" t="str">
            <v>NP</v>
          </cell>
          <cell r="AB1266" t="str">
            <v>NP</v>
          </cell>
          <cell r="AC1266" t="str">
            <v>TV</v>
          </cell>
          <cell r="AD1266" t="str">
            <v>TV</v>
          </cell>
          <cell r="AE1266" t="str">
            <v>TV</v>
          </cell>
          <cell r="AF1266" t="str">
            <v>TV</v>
          </cell>
          <cell r="AG1266" t="str">
            <v>TV</v>
          </cell>
          <cell r="AH1266" t="str">
            <v>TV</v>
          </cell>
          <cell r="AI1266" t="str">
            <v>TV</v>
          </cell>
          <cell r="AJ1266" t="str">
            <v>TV</v>
          </cell>
          <cell r="AN1266">
            <v>0</v>
          </cell>
          <cell r="AO1266">
            <v>8</v>
          </cell>
          <cell r="AP1266">
            <v>0</v>
          </cell>
          <cell r="AQ1266">
            <v>0</v>
          </cell>
          <cell r="AR1266">
            <v>0</v>
          </cell>
          <cell r="AS1266">
            <v>40</v>
          </cell>
          <cell r="AT1266">
            <v>5</v>
          </cell>
          <cell r="AU1266">
            <v>0</v>
          </cell>
          <cell r="AV1266">
            <v>0</v>
          </cell>
          <cell r="AW1266">
            <v>0</v>
          </cell>
          <cell r="AX1266">
            <v>0</v>
          </cell>
          <cell r="AY1266">
            <v>0</v>
          </cell>
          <cell r="AZ1266">
            <v>0</v>
          </cell>
          <cell r="BA1266">
            <v>0</v>
          </cell>
          <cell r="BB1266">
            <v>0</v>
          </cell>
          <cell r="BC1266">
            <v>0</v>
          </cell>
          <cell r="BD1266">
            <v>0</v>
          </cell>
          <cell r="BE1266">
            <v>0</v>
          </cell>
          <cell r="BF1266">
            <v>0</v>
          </cell>
          <cell r="BG1266">
            <v>8</v>
          </cell>
          <cell r="BH1266">
            <v>0</v>
          </cell>
          <cell r="BI1266">
            <v>0</v>
          </cell>
          <cell r="BJ1266">
            <v>1</v>
          </cell>
          <cell r="BL1266">
            <v>0</v>
          </cell>
          <cell r="BM1266">
            <v>0</v>
          </cell>
          <cell r="BN1266">
            <v>0</v>
          </cell>
          <cell r="BO1266">
            <v>0</v>
          </cell>
          <cell r="BP1266">
            <v>0</v>
          </cell>
          <cell r="BQ1266">
            <v>0</v>
          </cell>
          <cell r="BR1266">
            <v>0</v>
          </cell>
          <cell r="BS1266">
            <v>0</v>
          </cell>
          <cell r="BT1266">
            <v>0</v>
          </cell>
          <cell r="BU1266">
            <v>0</v>
          </cell>
          <cell r="BV1266">
            <v>0</v>
          </cell>
          <cell r="BW1266">
            <v>0</v>
          </cell>
          <cell r="BX1266">
            <v>0</v>
          </cell>
          <cell r="BY1266">
            <v>0</v>
          </cell>
          <cell r="BZ1266">
            <v>0</v>
          </cell>
          <cell r="CA1266">
            <v>0</v>
          </cell>
          <cell r="CB1266">
            <v>0</v>
          </cell>
          <cell r="CC1266">
            <v>0</v>
          </cell>
          <cell r="CD1266">
            <v>0</v>
          </cell>
          <cell r="CE1266">
            <v>0</v>
          </cell>
          <cell r="CF1266">
            <v>0</v>
          </cell>
          <cell r="CG1266">
            <v>0</v>
          </cell>
          <cell r="CH1266">
            <v>0</v>
          </cell>
          <cell r="CI1266">
            <v>0</v>
          </cell>
          <cell r="CJ1266">
            <v>0</v>
          </cell>
          <cell r="CK1266">
            <v>0</v>
          </cell>
          <cell r="CL1266">
            <v>0</v>
          </cell>
          <cell r="CM1266">
            <v>0</v>
          </cell>
          <cell r="CR1266">
            <v>0</v>
          </cell>
          <cell r="CS1266">
            <v>0</v>
          </cell>
          <cell r="CT1266">
            <v>0</v>
          </cell>
          <cell r="CU1266">
            <v>0</v>
          </cell>
          <cell r="CV1266">
            <v>0</v>
          </cell>
          <cell r="CZ1266">
            <v>0</v>
          </cell>
        </row>
        <row r="1267">
          <cell r="C1267" t="str">
            <v>04989</v>
          </cell>
          <cell r="D1267" t="str">
            <v>Trần Hữu Duy</v>
          </cell>
          <cell r="E1267" t="str">
            <v>Production</v>
          </cell>
          <cell r="F1267" t="str">
            <v>Molding</v>
          </cell>
          <cell r="G1267" t="str">
            <v>Worker</v>
          </cell>
          <cell r="H1267">
            <v>46086</v>
          </cell>
          <cell r="I1267" t="str">
            <v>X</v>
          </cell>
          <cell r="J1267" t="str">
            <v>X</v>
          </cell>
          <cell r="K1267" t="str">
            <v>X</v>
          </cell>
          <cell r="L1267" t="str">
            <v>X</v>
          </cell>
          <cell r="M1267" t="str">
            <v>X</v>
          </cell>
          <cell r="N1267" t="str">
            <v>X</v>
          </cell>
          <cell r="O1267" t="str">
            <v>X</v>
          </cell>
          <cell r="P1267">
            <v>8</v>
          </cell>
          <cell r="Q1267">
            <v>8</v>
          </cell>
          <cell r="R1267" t="str">
            <v>UP8</v>
          </cell>
          <cell r="S1267" t="str">
            <v>CN</v>
          </cell>
          <cell r="T1267" t="str">
            <v>UP8</v>
          </cell>
          <cell r="U1267" t="str">
            <v>UP8</v>
          </cell>
          <cell r="V1267" t="str">
            <v>UP8</v>
          </cell>
          <cell r="W1267" t="str">
            <v>NP</v>
          </cell>
          <cell r="X1267" t="str">
            <v>NP</v>
          </cell>
          <cell r="Y1267" t="str">
            <v>NP</v>
          </cell>
          <cell r="Z1267" t="str">
            <v>CN</v>
          </cell>
          <cell r="AA1267" t="str">
            <v>NP</v>
          </cell>
          <cell r="AB1267" t="str">
            <v>NP</v>
          </cell>
          <cell r="AC1267" t="str">
            <v>TV</v>
          </cell>
          <cell r="AD1267" t="str">
            <v>TV</v>
          </cell>
          <cell r="AE1267" t="str">
            <v>TV</v>
          </cell>
          <cell r="AF1267" t="str">
            <v>TV</v>
          </cell>
          <cell r="AG1267" t="str">
            <v>TV</v>
          </cell>
          <cell r="AH1267" t="str">
            <v>TV</v>
          </cell>
          <cell r="AI1267" t="str">
            <v>TV</v>
          </cell>
          <cell r="AJ1267" t="str">
            <v>TV</v>
          </cell>
          <cell r="AN1267">
            <v>0</v>
          </cell>
          <cell r="AO1267">
            <v>16</v>
          </cell>
          <cell r="AP1267">
            <v>0</v>
          </cell>
          <cell r="AQ1267">
            <v>0</v>
          </cell>
          <cell r="AR1267">
            <v>0</v>
          </cell>
          <cell r="AS1267">
            <v>32</v>
          </cell>
          <cell r="AT1267">
            <v>5</v>
          </cell>
          <cell r="AU1267">
            <v>0</v>
          </cell>
          <cell r="AV1267">
            <v>0</v>
          </cell>
          <cell r="AW1267">
            <v>0</v>
          </cell>
          <cell r="AX1267">
            <v>0</v>
          </cell>
          <cell r="AY1267">
            <v>0</v>
          </cell>
          <cell r="AZ1267">
            <v>0</v>
          </cell>
          <cell r="BA1267">
            <v>0</v>
          </cell>
          <cell r="BB1267">
            <v>0</v>
          </cell>
          <cell r="BC1267">
            <v>0</v>
          </cell>
          <cell r="BD1267">
            <v>0</v>
          </cell>
          <cell r="BE1267">
            <v>0</v>
          </cell>
          <cell r="BF1267">
            <v>0</v>
          </cell>
          <cell r="BG1267">
            <v>16</v>
          </cell>
          <cell r="BH1267">
            <v>0</v>
          </cell>
          <cell r="BI1267">
            <v>0</v>
          </cell>
          <cell r="BJ1267">
            <v>1</v>
          </cell>
          <cell r="BL1267">
            <v>0</v>
          </cell>
          <cell r="BM1267">
            <v>0</v>
          </cell>
          <cell r="BN1267">
            <v>0</v>
          </cell>
          <cell r="BO1267">
            <v>0</v>
          </cell>
          <cell r="BP1267">
            <v>0</v>
          </cell>
          <cell r="BQ1267">
            <v>0</v>
          </cell>
          <cell r="BR1267">
            <v>0</v>
          </cell>
          <cell r="BS1267">
            <v>0</v>
          </cell>
          <cell r="BT1267">
            <v>0</v>
          </cell>
          <cell r="BU1267">
            <v>0</v>
          </cell>
          <cell r="BV1267">
            <v>0</v>
          </cell>
          <cell r="BW1267">
            <v>0</v>
          </cell>
          <cell r="BX1267">
            <v>0</v>
          </cell>
          <cell r="BY1267">
            <v>0</v>
          </cell>
          <cell r="BZ1267">
            <v>0</v>
          </cell>
          <cell r="CA1267">
            <v>0</v>
          </cell>
          <cell r="CB1267">
            <v>0</v>
          </cell>
          <cell r="CC1267">
            <v>0</v>
          </cell>
          <cell r="CD1267">
            <v>0</v>
          </cell>
          <cell r="CE1267">
            <v>0</v>
          </cell>
          <cell r="CF1267">
            <v>0</v>
          </cell>
          <cell r="CG1267">
            <v>0</v>
          </cell>
          <cell r="CH1267">
            <v>0</v>
          </cell>
          <cell r="CI1267">
            <v>0</v>
          </cell>
          <cell r="CJ1267">
            <v>0</v>
          </cell>
          <cell r="CK1267">
            <v>0</v>
          </cell>
          <cell r="CL1267">
            <v>0</v>
          </cell>
          <cell r="CM1267">
            <v>0</v>
          </cell>
          <cell r="CR1267">
            <v>0</v>
          </cell>
          <cell r="CS1267">
            <v>0</v>
          </cell>
          <cell r="CT1267">
            <v>0</v>
          </cell>
          <cell r="CU1267">
            <v>0</v>
          </cell>
          <cell r="CV1267">
            <v>0</v>
          </cell>
          <cell r="CZ1267">
            <v>0</v>
          </cell>
        </row>
        <row r="1268">
          <cell r="C1268" t="str">
            <v>04990</v>
          </cell>
          <cell r="D1268" t="str">
            <v>Sầm Văn Tiến</v>
          </cell>
          <cell r="E1268" t="str">
            <v>Production</v>
          </cell>
          <cell r="F1268" t="str">
            <v>Molding</v>
          </cell>
          <cell r="G1268" t="str">
            <v>Worker</v>
          </cell>
          <cell r="H1268">
            <v>46086</v>
          </cell>
          <cell r="I1268" t="str">
            <v>X</v>
          </cell>
          <cell r="J1268" t="str">
            <v>X</v>
          </cell>
          <cell r="K1268" t="str">
            <v>X</v>
          </cell>
          <cell r="L1268" t="str">
            <v>X</v>
          </cell>
          <cell r="M1268" t="str">
            <v>X</v>
          </cell>
          <cell r="N1268" t="str">
            <v>X</v>
          </cell>
          <cell r="O1268" t="str">
            <v>X</v>
          </cell>
          <cell r="P1268">
            <v>8</v>
          </cell>
          <cell r="Q1268">
            <v>8</v>
          </cell>
          <cell r="R1268">
            <v>8</v>
          </cell>
          <cell r="S1268" t="str">
            <v>CN</v>
          </cell>
          <cell r="T1268" t="str">
            <v>Đ</v>
          </cell>
          <cell r="U1268" t="str">
            <v>Đ</v>
          </cell>
          <cell r="V1268" t="str">
            <v>Đ</v>
          </cell>
          <cell r="W1268" t="str">
            <v>Đ</v>
          </cell>
          <cell r="X1268" t="str">
            <v>Đ</v>
          </cell>
          <cell r="Y1268" t="str">
            <v>Đ</v>
          </cell>
          <cell r="Z1268" t="str">
            <v>CN</v>
          </cell>
          <cell r="AA1268">
            <v>8</v>
          </cell>
          <cell r="AB1268">
            <v>8</v>
          </cell>
          <cell r="AC1268">
            <v>8</v>
          </cell>
          <cell r="AD1268">
            <v>8</v>
          </cell>
          <cell r="AE1268">
            <v>8</v>
          </cell>
          <cell r="AF1268">
            <v>8</v>
          </cell>
          <cell r="AG1268" t="str">
            <v>CN</v>
          </cell>
          <cell r="AH1268" t="str">
            <v>Đ</v>
          </cell>
          <cell r="AI1268" t="str">
            <v>UP8</v>
          </cell>
          <cell r="AJ1268" t="str">
            <v>UP8</v>
          </cell>
          <cell r="AN1268">
            <v>56</v>
          </cell>
          <cell r="AO1268">
            <v>72</v>
          </cell>
          <cell r="AP1268">
            <v>0</v>
          </cell>
          <cell r="AQ1268">
            <v>0</v>
          </cell>
          <cell r="AR1268">
            <v>0</v>
          </cell>
          <cell r="AS1268">
            <v>16</v>
          </cell>
          <cell r="AT1268">
            <v>0</v>
          </cell>
          <cell r="AU1268">
            <v>0</v>
          </cell>
          <cell r="AV1268">
            <v>0</v>
          </cell>
          <cell r="AW1268">
            <v>0</v>
          </cell>
          <cell r="AX1268">
            <v>0</v>
          </cell>
          <cell r="AY1268">
            <v>0</v>
          </cell>
          <cell r="AZ1268">
            <v>0</v>
          </cell>
          <cell r="BA1268">
            <v>0</v>
          </cell>
          <cell r="BB1268">
            <v>0</v>
          </cell>
          <cell r="BC1268">
            <v>0</v>
          </cell>
          <cell r="BD1268">
            <v>0</v>
          </cell>
          <cell r="BE1268">
            <v>0</v>
          </cell>
          <cell r="BF1268">
            <v>0</v>
          </cell>
          <cell r="BG1268">
            <v>128</v>
          </cell>
          <cell r="BH1268">
            <v>0</v>
          </cell>
          <cell r="BI1268">
            <v>0</v>
          </cell>
          <cell r="BJ1268">
            <v>2</v>
          </cell>
          <cell r="BL1268">
            <v>0</v>
          </cell>
          <cell r="BM1268">
            <v>0</v>
          </cell>
          <cell r="BN1268">
            <v>0</v>
          </cell>
          <cell r="BO1268">
            <v>0</v>
          </cell>
          <cell r="BP1268">
            <v>0</v>
          </cell>
          <cell r="BQ1268">
            <v>0</v>
          </cell>
          <cell r="BR1268">
            <v>0</v>
          </cell>
          <cell r="BS1268">
            <v>0</v>
          </cell>
          <cell r="BT1268">
            <v>0</v>
          </cell>
          <cell r="BU1268">
            <v>0</v>
          </cell>
          <cell r="BV1268">
            <v>0</v>
          </cell>
          <cell r="BW1268">
            <v>0</v>
          </cell>
          <cell r="BX1268">
            <v>0</v>
          </cell>
          <cell r="BY1268">
            <v>0</v>
          </cell>
          <cell r="BZ1268">
            <v>0</v>
          </cell>
          <cell r="CA1268">
            <v>0</v>
          </cell>
          <cell r="CB1268">
            <v>0</v>
          </cell>
          <cell r="CC1268">
            <v>0</v>
          </cell>
          <cell r="CD1268">
            <v>0</v>
          </cell>
          <cell r="CE1268">
            <v>0</v>
          </cell>
          <cell r="CF1268">
            <v>0</v>
          </cell>
          <cell r="CG1268">
            <v>0</v>
          </cell>
          <cell r="CH1268">
            <v>0</v>
          </cell>
          <cell r="CI1268">
            <v>0</v>
          </cell>
          <cell r="CJ1268">
            <v>0</v>
          </cell>
          <cell r="CK1268">
            <v>0</v>
          </cell>
          <cell r="CL1268">
            <v>0</v>
          </cell>
          <cell r="CM1268">
            <v>0</v>
          </cell>
          <cell r="CR1268">
            <v>0</v>
          </cell>
          <cell r="CS1268">
            <v>0</v>
          </cell>
          <cell r="CT1268">
            <v>0</v>
          </cell>
          <cell r="CU1268">
            <v>0</v>
          </cell>
          <cell r="CV1268">
            <v>0</v>
          </cell>
          <cell r="CZ1268">
            <v>0</v>
          </cell>
        </row>
        <row r="1269">
          <cell r="C1269" t="str">
            <v>04991</v>
          </cell>
          <cell r="D1269" t="str">
            <v xml:space="preserve">Lê Thị Cẩm Nhiều </v>
          </cell>
          <cell r="E1269" t="str">
            <v>Production</v>
          </cell>
          <cell r="F1269" t="str">
            <v>Packing</v>
          </cell>
          <cell r="G1269" t="str">
            <v>Worker</v>
          </cell>
          <cell r="H1269">
            <v>46086</v>
          </cell>
          <cell r="I1269" t="str">
            <v>X</v>
          </cell>
          <cell r="J1269" t="str">
            <v>X</v>
          </cell>
          <cell r="K1269" t="str">
            <v>X</v>
          </cell>
          <cell r="L1269" t="str">
            <v>X</v>
          </cell>
          <cell r="M1269" t="str">
            <v>X</v>
          </cell>
          <cell r="N1269" t="str">
            <v>X</v>
          </cell>
          <cell r="O1269" t="str">
            <v>X</v>
          </cell>
          <cell r="P1269">
            <v>8</v>
          </cell>
          <cell r="Q1269">
            <v>8</v>
          </cell>
          <cell r="R1269">
            <v>8</v>
          </cell>
          <cell r="S1269" t="str">
            <v>CN</v>
          </cell>
          <cell r="T1269">
            <v>8</v>
          </cell>
          <cell r="U1269">
            <v>8</v>
          </cell>
          <cell r="V1269">
            <v>8</v>
          </cell>
          <cell r="W1269">
            <v>8</v>
          </cell>
          <cell r="X1269">
            <v>8</v>
          </cell>
          <cell r="Y1269">
            <v>8</v>
          </cell>
          <cell r="Z1269" t="str">
            <v>CN</v>
          </cell>
          <cell r="AA1269" t="str">
            <v>Đ</v>
          </cell>
          <cell r="AB1269" t="str">
            <v>Đ</v>
          </cell>
          <cell r="AC1269" t="str">
            <v>Đ</v>
          </cell>
          <cell r="AD1269" t="str">
            <v>Đ</v>
          </cell>
          <cell r="AE1269" t="str">
            <v>Đ</v>
          </cell>
          <cell r="AF1269" t="str">
            <v>Đ</v>
          </cell>
          <cell r="AG1269" t="str">
            <v>CN</v>
          </cell>
          <cell r="AH1269">
            <v>8</v>
          </cell>
          <cell r="AI1269">
            <v>8</v>
          </cell>
          <cell r="AJ1269">
            <v>8</v>
          </cell>
          <cell r="AN1269">
            <v>48</v>
          </cell>
          <cell r="AO1269">
            <v>96</v>
          </cell>
          <cell r="AP1269">
            <v>0</v>
          </cell>
          <cell r="AQ1269">
            <v>0</v>
          </cell>
          <cell r="AR1269">
            <v>0</v>
          </cell>
          <cell r="AS1269">
            <v>0</v>
          </cell>
          <cell r="AT1269">
            <v>0</v>
          </cell>
          <cell r="AU1269">
            <v>0</v>
          </cell>
          <cell r="AV1269">
            <v>0</v>
          </cell>
          <cell r="AW1269">
            <v>0</v>
          </cell>
          <cell r="AX1269">
            <v>0</v>
          </cell>
          <cell r="AY1269">
            <v>0</v>
          </cell>
          <cell r="AZ1269">
            <v>0</v>
          </cell>
          <cell r="BA1269">
            <v>0</v>
          </cell>
          <cell r="BB1269">
            <v>0</v>
          </cell>
          <cell r="BC1269">
            <v>0</v>
          </cell>
          <cell r="BD1269">
            <v>0</v>
          </cell>
          <cell r="BE1269">
            <v>0</v>
          </cell>
          <cell r="BF1269">
            <v>0</v>
          </cell>
          <cell r="BG1269">
            <v>144</v>
          </cell>
          <cell r="BH1269">
            <v>0</v>
          </cell>
          <cell r="BI1269">
            <v>0</v>
          </cell>
          <cell r="BJ1269">
            <v>2</v>
          </cell>
          <cell r="BL1269">
            <v>0</v>
          </cell>
          <cell r="BM1269">
            <v>0</v>
          </cell>
          <cell r="BN1269">
            <v>0</v>
          </cell>
          <cell r="BO1269">
            <v>0</v>
          </cell>
          <cell r="BP1269">
            <v>0</v>
          </cell>
          <cell r="BQ1269">
            <v>0</v>
          </cell>
          <cell r="BR1269">
            <v>0</v>
          </cell>
          <cell r="BS1269">
            <v>0</v>
          </cell>
          <cell r="BT1269">
            <v>0</v>
          </cell>
          <cell r="BU1269">
            <v>0</v>
          </cell>
          <cell r="BV1269">
            <v>0</v>
          </cell>
          <cell r="BW1269">
            <v>0</v>
          </cell>
          <cell r="BX1269">
            <v>0</v>
          </cell>
          <cell r="BY1269">
            <v>0</v>
          </cell>
          <cell r="BZ1269">
            <v>0</v>
          </cell>
          <cell r="CA1269">
            <v>0</v>
          </cell>
          <cell r="CB1269">
            <v>0</v>
          </cell>
          <cell r="CC1269">
            <v>0</v>
          </cell>
          <cell r="CD1269">
            <v>0</v>
          </cell>
          <cell r="CE1269">
            <v>0</v>
          </cell>
          <cell r="CF1269">
            <v>0</v>
          </cell>
          <cell r="CG1269">
            <v>4</v>
          </cell>
          <cell r="CH1269">
            <v>4</v>
          </cell>
          <cell r="CI1269">
            <v>4</v>
          </cell>
          <cell r="CJ1269">
            <v>0</v>
          </cell>
          <cell r="CK1269">
            <v>0</v>
          </cell>
          <cell r="CL1269">
            <v>3</v>
          </cell>
          <cell r="CM1269">
            <v>3</v>
          </cell>
          <cell r="CR1269">
            <v>0</v>
          </cell>
          <cell r="CS1269">
            <v>0</v>
          </cell>
          <cell r="CT1269">
            <v>18</v>
          </cell>
          <cell r="CU1269">
            <v>0</v>
          </cell>
          <cell r="CV1269">
            <v>0</v>
          </cell>
          <cell r="CZ1269">
            <v>18</v>
          </cell>
        </row>
        <row r="1270">
          <cell r="C1270" t="str">
            <v>04992</v>
          </cell>
          <cell r="D1270" t="str">
            <v>Nguyễn Thị Hoàng Oanh</v>
          </cell>
          <cell r="E1270" t="str">
            <v>Production</v>
          </cell>
          <cell r="F1270" t="str">
            <v>Packing</v>
          </cell>
          <cell r="G1270" t="str">
            <v>Worker</v>
          </cell>
          <cell r="H1270">
            <v>46086</v>
          </cell>
          <cell r="I1270" t="str">
            <v>X</v>
          </cell>
          <cell r="J1270" t="str">
            <v>X</v>
          </cell>
          <cell r="K1270" t="str">
            <v>X</v>
          </cell>
          <cell r="L1270" t="str">
            <v>X</v>
          </cell>
          <cell r="M1270" t="str">
            <v>X</v>
          </cell>
          <cell r="N1270" t="str">
            <v>X</v>
          </cell>
          <cell r="O1270" t="str">
            <v>X</v>
          </cell>
          <cell r="P1270">
            <v>8</v>
          </cell>
          <cell r="Q1270">
            <v>8</v>
          </cell>
          <cell r="R1270">
            <v>8</v>
          </cell>
          <cell r="S1270" t="str">
            <v>CN</v>
          </cell>
          <cell r="T1270">
            <v>8</v>
          </cell>
          <cell r="U1270">
            <v>8</v>
          </cell>
          <cell r="V1270">
            <v>8</v>
          </cell>
          <cell r="W1270">
            <v>8</v>
          </cell>
          <cell r="X1270">
            <v>8</v>
          </cell>
          <cell r="Y1270">
            <v>8</v>
          </cell>
          <cell r="Z1270" t="str">
            <v>CN</v>
          </cell>
          <cell r="AA1270" t="str">
            <v>UP8</v>
          </cell>
          <cell r="AB1270" t="str">
            <v>Đ</v>
          </cell>
          <cell r="AC1270" t="str">
            <v>Đ</v>
          </cell>
          <cell r="AD1270" t="str">
            <v>Đ</v>
          </cell>
          <cell r="AE1270" t="str">
            <v>Đ</v>
          </cell>
          <cell r="AF1270" t="str">
            <v>Đ</v>
          </cell>
          <cell r="AG1270" t="str">
            <v>CN</v>
          </cell>
          <cell r="AH1270">
            <v>8</v>
          </cell>
          <cell r="AI1270">
            <v>8</v>
          </cell>
          <cell r="AJ1270">
            <v>8</v>
          </cell>
          <cell r="AN1270">
            <v>40</v>
          </cell>
          <cell r="AO1270">
            <v>96</v>
          </cell>
          <cell r="AP1270">
            <v>0</v>
          </cell>
          <cell r="AQ1270">
            <v>0</v>
          </cell>
          <cell r="AR1270">
            <v>0</v>
          </cell>
          <cell r="AS1270">
            <v>8</v>
          </cell>
          <cell r="AT1270">
            <v>0</v>
          </cell>
          <cell r="AU1270">
            <v>0</v>
          </cell>
          <cell r="AV1270">
            <v>0</v>
          </cell>
          <cell r="AW1270">
            <v>0</v>
          </cell>
          <cell r="AX1270">
            <v>0</v>
          </cell>
          <cell r="AY1270">
            <v>0</v>
          </cell>
          <cell r="AZ1270">
            <v>0</v>
          </cell>
          <cell r="BA1270">
            <v>0</v>
          </cell>
          <cell r="BB1270">
            <v>0</v>
          </cell>
          <cell r="BC1270">
            <v>0</v>
          </cell>
          <cell r="BD1270">
            <v>0</v>
          </cell>
          <cell r="BE1270">
            <v>0</v>
          </cell>
          <cell r="BF1270">
            <v>0</v>
          </cell>
          <cell r="BG1270">
            <v>136</v>
          </cell>
          <cell r="BH1270">
            <v>0</v>
          </cell>
          <cell r="BI1270">
            <v>0</v>
          </cell>
          <cell r="BJ1270">
            <v>2</v>
          </cell>
          <cell r="BL1270">
            <v>0</v>
          </cell>
          <cell r="BM1270">
            <v>0</v>
          </cell>
          <cell r="BN1270">
            <v>0</v>
          </cell>
          <cell r="BO1270">
            <v>0</v>
          </cell>
          <cell r="BP1270">
            <v>0</v>
          </cell>
          <cell r="BQ1270">
            <v>0</v>
          </cell>
          <cell r="BR1270">
            <v>0</v>
          </cell>
          <cell r="BS1270">
            <v>0</v>
          </cell>
          <cell r="BT1270">
            <v>0</v>
          </cell>
          <cell r="BU1270">
            <v>0</v>
          </cell>
          <cell r="BV1270">
            <v>0</v>
          </cell>
          <cell r="BW1270">
            <v>0</v>
          </cell>
          <cell r="BX1270">
            <v>0</v>
          </cell>
          <cell r="BY1270">
            <v>3</v>
          </cell>
          <cell r="BZ1270">
            <v>3</v>
          </cell>
          <cell r="CA1270">
            <v>3</v>
          </cell>
          <cell r="CB1270">
            <v>3</v>
          </cell>
          <cell r="CC1270">
            <v>8</v>
          </cell>
          <cell r="CD1270">
            <v>0</v>
          </cell>
          <cell r="CE1270">
            <v>0</v>
          </cell>
          <cell r="CF1270">
            <v>0</v>
          </cell>
          <cell r="CG1270">
            <v>0</v>
          </cell>
          <cell r="CH1270">
            <v>0</v>
          </cell>
          <cell r="CI1270">
            <v>0</v>
          </cell>
          <cell r="CJ1270">
            <v>0</v>
          </cell>
          <cell r="CK1270">
            <v>3</v>
          </cell>
          <cell r="CL1270">
            <v>3</v>
          </cell>
          <cell r="CM1270">
            <v>3</v>
          </cell>
          <cell r="CR1270">
            <v>0</v>
          </cell>
          <cell r="CS1270">
            <v>0</v>
          </cell>
          <cell r="CT1270">
            <v>21</v>
          </cell>
          <cell r="CU1270">
            <v>8</v>
          </cell>
          <cell r="CV1270">
            <v>0</v>
          </cell>
          <cell r="CZ1270">
            <v>29</v>
          </cell>
        </row>
        <row r="1271">
          <cell r="C1271" t="str">
            <v>04993</v>
          </cell>
          <cell r="D1271" t="str">
            <v>Võ Văn Long</v>
          </cell>
          <cell r="E1271" t="str">
            <v>Foaming</v>
          </cell>
          <cell r="F1271" t="str">
            <v>FOAMING Splitting</v>
          </cell>
          <cell r="G1271" t="str">
            <v>Worker</v>
          </cell>
          <cell r="H1271">
            <v>46086</v>
          </cell>
          <cell r="I1271" t="str">
            <v>X</v>
          </cell>
          <cell r="J1271" t="str">
            <v>X</v>
          </cell>
          <cell r="K1271" t="str">
            <v>X</v>
          </cell>
          <cell r="L1271" t="str">
            <v>X</v>
          </cell>
          <cell r="M1271" t="str">
            <v>X</v>
          </cell>
          <cell r="N1271" t="str">
            <v>X</v>
          </cell>
          <cell r="O1271" t="str">
            <v>X</v>
          </cell>
          <cell r="P1271">
            <v>8</v>
          </cell>
          <cell r="Q1271">
            <v>8</v>
          </cell>
          <cell r="R1271">
            <v>8</v>
          </cell>
          <cell r="S1271" t="str">
            <v>CN</v>
          </cell>
          <cell r="T1271">
            <v>8</v>
          </cell>
          <cell r="U1271">
            <v>8</v>
          </cell>
          <cell r="V1271">
            <v>8</v>
          </cell>
          <cell r="W1271">
            <v>8</v>
          </cell>
          <cell r="X1271">
            <v>8</v>
          </cell>
          <cell r="Y1271" t="str">
            <v>UP4</v>
          </cell>
          <cell r="Z1271" t="str">
            <v>CN</v>
          </cell>
          <cell r="AA1271">
            <v>8</v>
          </cell>
          <cell r="AB1271">
            <v>8</v>
          </cell>
          <cell r="AC1271">
            <v>8</v>
          </cell>
          <cell r="AD1271">
            <v>8</v>
          </cell>
          <cell r="AE1271">
            <v>8</v>
          </cell>
          <cell r="AF1271">
            <v>8</v>
          </cell>
          <cell r="AG1271" t="str">
            <v>CN</v>
          </cell>
          <cell r="AH1271">
            <v>8</v>
          </cell>
          <cell r="AI1271">
            <v>8</v>
          </cell>
          <cell r="AJ1271">
            <v>8</v>
          </cell>
          <cell r="AN1271">
            <v>0</v>
          </cell>
          <cell r="AO1271">
            <v>140</v>
          </cell>
          <cell r="AP1271">
            <v>0</v>
          </cell>
          <cell r="AQ1271">
            <v>0</v>
          </cell>
          <cell r="AR1271">
            <v>4</v>
          </cell>
          <cell r="AS1271">
            <v>4</v>
          </cell>
          <cell r="AT1271">
            <v>0</v>
          </cell>
          <cell r="AU1271">
            <v>0</v>
          </cell>
          <cell r="AV1271">
            <v>0</v>
          </cell>
          <cell r="AW1271">
            <v>0</v>
          </cell>
          <cell r="AX1271">
            <v>0</v>
          </cell>
          <cell r="AY1271">
            <v>0</v>
          </cell>
          <cell r="AZ1271">
            <v>0</v>
          </cell>
          <cell r="BA1271">
            <v>0</v>
          </cell>
          <cell r="BB1271">
            <v>0</v>
          </cell>
          <cell r="BC1271">
            <v>0</v>
          </cell>
          <cell r="BD1271">
            <v>0</v>
          </cell>
          <cell r="BE1271">
            <v>0</v>
          </cell>
          <cell r="BF1271">
            <v>0</v>
          </cell>
          <cell r="BG1271">
            <v>140</v>
          </cell>
          <cell r="BH1271">
            <v>0</v>
          </cell>
          <cell r="BI1271">
            <v>0</v>
          </cell>
          <cell r="BJ1271">
            <v>2</v>
          </cell>
          <cell r="BL1271">
            <v>0</v>
          </cell>
          <cell r="BM1271">
            <v>0</v>
          </cell>
          <cell r="BN1271">
            <v>0</v>
          </cell>
          <cell r="BO1271">
            <v>0</v>
          </cell>
          <cell r="BP1271">
            <v>0</v>
          </cell>
          <cell r="BQ1271">
            <v>0</v>
          </cell>
          <cell r="BR1271">
            <v>0</v>
          </cell>
          <cell r="BS1271">
            <v>0</v>
          </cell>
          <cell r="BT1271">
            <v>0</v>
          </cell>
          <cell r="BU1271">
            <v>0</v>
          </cell>
          <cell r="BV1271">
            <v>0</v>
          </cell>
          <cell r="BW1271">
            <v>4</v>
          </cell>
          <cell r="BX1271">
            <v>4</v>
          </cell>
          <cell r="BY1271">
            <v>4</v>
          </cell>
          <cell r="BZ1271">
            <v>4</v>
          </cell>
          <cell r="CA1271">
            <v>4</v>
          </cell>
          <cell r="CB1271">
            <v>0</v>
          </cell>
          <cell r="CC1271">
            <v>0</v>
          </cell>
          <cell r="CD1271">
            <v>4</v>
          </cell>
          <cell r="CE1271">
            <v>4</v>
          </cell>
          <cell r="CF1271">
            <v>4</v>
          </cell>
          <cell r="CG1271">
            <v>4</v>
          </cell>
          <cell r="CH1271">
            <v>4</v>
          </cell>
          <cell r="CI1271">
            <v>4</v>
          </cell>
          <cell r="CJ1271">
            <v>12</v>
          </cell>
          <cell r="CK1271">
            <v>0</v>
          </cell>
          <cell r="CL1271">
            <v>0</v>
          </cell>
          <cell r="CM1271">
            <v>4</v>
          </cell>
          <cell r="CR1271">
            <v>0</v>
          </cell>
          <cell r="CS1271">
            <v>0</v>
          </cell>
          <cell r="CT1271">
            <v>48</v>
          </cell>
          <cell r="CU1271">
            <v>12</v>
          </cell>
          <cell r="CV1271">
            <v>0</v>
          </cell>
          <cell r="CZ1271">
            <v>60</v>
          </cell>
        </row>
        <row r="1272">
          <cell r="C1272" t="str">
            <v>04994</v>
          </cell>
          <cell r="D1272" t="str">
            <v>Trần Thị Đầm</v>
          </cell>
          <cell r="E1272" t="str">
            <v>Production</v>
          </cell>
          <cell r="F1272" t="str">
            <v>Packing</v>
          </cell>
          <cell r="G1272" t="str">
            <v>Worker</v>
          </cell>
          <cell r="H1272">
            <v>46086</v>
          </cell>
          <cell r="I1272" t="str">
            <v>X</v>
          </cell>
          <cell r="J1272" t="str">
            <v>X</v>
          </cell>
          <cell r="K1272" t="str">
            <v>X</v>
          </cell>
          <cell r="L1272" t="str">
            <v>X</v>
          </cell>
          <cell r="M1272" t="str">
            <v>X</v>
          </cell>
          <cell r="N1272" t="str">
            <v>X</v>
          </cell>
          <cell r="O1272" t="str">
            <v>X</v>
          </cell>
          <cell r="P1272">
            <v>8</v>
          </cell>
          <cell r="Q1272">
            <v>8</v>
          </cell>
          <cell r="R1272">
            <v>8</v>
          </cell>
          <cell r="S1272" t="str">
            <v>CN</v>
          </cell>
          <cell r="T1272" t="str">
            <v>Đ</v>
          </cell>
          <cell r="U1272" t="str">
            <v>Đ</v>
          </cell>
          <cell r="V1272" t="str">
            <v>4Đ</v>
          </cell>
          <cell r="W1272" t="str">
            <v>UP8</v>
          </cell>
          <cell r="X1272" t="str">
            <v>NP</v>
          </cell>
          <cell r="Y1272" t="str">
            <v>NP</v>
          </cell>
          <cell r="Z1272" t="str">
            <v>CN</v>
          </cell>
          <cell r="AA1272" t="str">
            <v>NP</v>
          </cell>
          <cell r="AB1272" t="str">
            <v>NP</v>
          </cell>
          <cell r="AC1272" t="str">
            <v>NP</v>
          </cell>
          <cell r="AD1272" t="str">
            <v>TV</v>
          </cell>
          <cell r="AE1272" t="str">
            <v>TV</v>
          </cell>
          <cell r="AF1272" t="str">
            <v>TV</v>
          </cell>
          <cell r="AG1272" t="str">
            <v>TV</v>
          </cell>
          <cell r="AH1272" t="str">
            <v>TV</v>
          </cell>
          <cell r="AI1272" t="str">
            <v>TV</v>
          </cell>
          <cell r="AJ1272" t="str">
            <v>TV</v>
          </cell>
          <cell r="AN1272">
            <v>20</v>
          </cell>
          <cell r="AO1272">
            <v>24</v>
          </cell>
          <cell r="AP1272">
            <v>0</v>
          </cell>
          <cell r="AQ1272">
            <v>0</v>
          </cell>
          <cell r="AR1272">
            <v>0</v>
          </cell>
          <cell r="AS1272">
            <v>8</v>
          </cell>
          <cell r="AT1272">
            <v>5</v>
          </cell>
          <cell r="AU1272">
            <v>0</v>
          </cell>
          <cell r="AV1272">
            <v>0</v>
          </cell>
          <cell r="AW1272">
            <v>0</v>
          </cell>
          <cell r="AX1272">
            <v>0</v>
          </cell>
          <cell r="AY1272">
            <v>0</v>
          </cell>
          <cell r="AZ1272">
            <v>0</v>
          </cell>
          <cell r="BA1272">
            <v>0</v>
          </cell>
          <cell r="BB1272">
            <v>0</v>
          </cell>
          <cell r="BC1272">
            <v>0</v>
          </cell>
          <cell r="BD1272">
            <v>0</v>
          </cell>
          <cell r="BE1272">
            <v>0</v>
          </cell>
          <cell r="BF1272">
            <v>0</v>
          </cell>
          <cell r="BG1272">
            <v>44</v>
          </cell>
          <cell r="BH1272">
            <v>0</v>
          </cell>
          <cell r="BI1272">
            <v>0</v>
          </cell>
          <cell r="BJ1272">
            <v>1</v>
          </cell>
          <cell r="BL1272">
            <v>0</v>
          </cell>
          <cell r="BM1272">
            <v>0</v>
          </cell>
          <cell r="BN1272">
            <v>0</v>
          </cell>
          <cell r="BO1272">
            <v>0</v>
          </cell>
          <cell r="BP1272">
            <v>0</v>
          </cell>
          <cell r="BQ1272">
            <v>0</v>
          </cell>
          <cell r="BR1272">
            <v>0</v>
          </cell>
          <cell r="BS1272">
            <v>0</v>
          </cell>
          <cell r="BT1272">
            <v>0</v>
          </cell>
          <cell r="BU1272">
            <v>0</v>
          </cell>
          <cell r="BV1272">
            <v>0</v>
          </cell>
          <cell r="BW1272">
            <v>3</v>
          </cell>
          <cell r="BX1272">
            <v>4</v>
          </cell>
          <cell r="BY1272">
            <v>4</v>
          </cell>
          <cell r="BZ1272">
            <v>0</v>
          </cell>
          <cell r="CA1272">
            <v>0</v>
          </cell>
          <cell r="CB1272">
            <v>0</v>
          </cell>
          <cell r="CC1272">
            <v>0</v>
          </cell>
          <cell r="CD1272">
            <v>0</v>
          </cell>
          <cell r="CE1272">
            <v>0</v>
          </cell>
          <cell r="CF1272">
            <v>0</v>
          </cell>
          <cell r="CG1272">
            <v>0</v>
          </cell>
          <cell r="CH1272">
            <v>0</v>
          </cell>
          <cell r="CI1272">
            <v>0</v>
          </cell>
          <cell r="CJ1272">
            <v>0</v>
          </cell>
          <cell r="CK1272">
            <v>0</v>
          </cell>
          <cell r="CL1272">
            <v>0</v>
          </cell>
          <cell r="CM1272">
            <v>0</v>
          </cell>
          <cell r="CR1272">
            <v>0</v>
          </cell>
          <cell r="CS1272">
            <v>0</v>
          </cell>
          <cell r="CT1272">
            <v>11</v>
          </cell>
          <cell r="CU1272">
            <v>0</v>
          </cell>
          <cell r="CV1272">
            <v>0</v>
          </cell>
          <cell r="CZ1272">
            <v>11</v>
          </cell>
        </row>
        <row r="1273">
          <cell r="C1273" t="str">
            <v>04995</v>
          </cell>
          <cell r="D1273" t="str">
            <v>Lương Kim Lâm</v>
          </cell>
          <cell r="E1273" t="str">
            <v>Production</v>
          </cell>
          <cell r="F1273" t="str">
            <v>Die cut</v>
          </cell>
          <cell r="G1273" t="str">
            <v>Worker</v>
          </cell>
          <cell r="H1273">
            <v>46086</v>
          </cell>
          <cell r="I1273" t="str">
            <v>X</v>
          </cell>
          <cell r="J1273" t="str">
            <v>X</v>
          </cell>
          <cell r="K1273" t="str">
            <v>X</v>
          </cell>
          <cell r="L1273" t="str">
            <v>X</v>
          </cell>
          <cell r="M1273" t="str">
            <v>X</v>
          </cell>
          <cell r="N1273" t="str">
            <v>X</v>
          </cell>
          <cell r="O1273" t="str">
            <v>X</v>
          </cell>
          <cell r="P1273">
            <v>8</v>
          </cell>
          <cell r="Q1273">
            <v>8</v>
          </cell>
          <cell r="R1273">
            <v>8</v>
          </cell>
          <cell r="S1273" t="str">
            <v>CN</v>
          </cell>
          <cell r="T1273" t="str">
            <v>Đ</v>
          </cell>
          <cell r="U1273" t="str">
            <v>Đ</v>
          </cell>
          <cell r="V1273" t="str">
            <v>Đ</v>
          </cell>
          <cell r="W1273" t="str">
            <v>Đ</v>
          </cell>
          <cell r="X1273" t="str">
            <v>Đ</v>
          </cell>
          <cell r="Y1273" t="str">
            <v>Đ</v>
          </cell>
          <cell r="Z1273" t="str">
            <v>CN</v>
          </cell>
          <cell r="AA1273">
            <v>8</v>
          </cell>
          <cell r="AB1273">
            <v>8</v>
          </cell>
          <cell r="AC1273">
            <v>8</v>
          </cell>
          <cell r="AD1273">
            <v>8</v>
          </cell>
          <cell r="AE1273">
            <v>8</v>
          </cell>
          <cell r="AF1273">
            <v>8</v>
          </cell>
          <cell r="AG1273" t="str">
            <v>CN</v>
          </cell>
          <cell r="AH1273" t="str">
            <v>Đ</v>
          </cell>
          <cell r="AI1273" t="str">
            <v>Đ</v>
          </cell>
          <cell r="AJ1273" t="str">
            <v>Đ</v>
          </cell>
          <cell r="AN1273">
            <v>72</v>
          </cell>
          <cell r="AO1273">
            <v>72</v>
          </cell>
          <cell r="AP1273">
            <v>0</v>
          </cell>
          <cell r="AQ1273">
            <v>0</v>
          </cell>
          <cell r="AR1273">
            <v>0</v>
          </cell>
          <cell r="AS1273">
            <v>0</v>
          </cell>
          <cell r="AT1273">
            <v>0</v>
          </cell>
          <cell r="AU1273">
            <v>0</v>
          </cell>
          <cell r="AV1273">
            <v>0</v>
          </cell>
          <cell r="AW1273">
            <v>0</v>
          </cell>
          <cell r="AX1273">
            <v>0</v>
          </cell>
          <cell r="AY1273">
            <v>0</v>
          </cell>
          <cell r="AZ1273">
            <v>0</v>
          </cell>
          <cell r="BA1273">
            <v>0</v>
          </cell>
          <cell r="BB1273">
            <v>0</v>
          </cell>
          <cell r="BC1273">
            <v>0</v>
          </cell>
          <cell r="BD1273">
            <v>0</v>
          </cell>
          <cell r="BE1273">
            <v>0</v>
          </cell>
          <cell r="BF1273">
            <v>0</v>
          </cell>
          <cell r="BG1273">
            <v>144</v>
          </cell>
          <cell r="BH1273">
            <v>0</v>
          </cell>
          <cell r="BI1273">
            <v>0</v>
          </cell>
          <cell r="BJ1273">
            <v>2</v>
          </cell>
          <cell r="BL1273">
            <v>0</v>
          </cell>
          <cell r="BM1273">
            <v>0</v>
          </cell>
          <cell r="BN1273">
            <v>0</v>
          </cell>
          <cell r="BO1273">
            <v>0</v>
          </cell>
          <cell r="BP1273">
            <v>0</v>
          </cell>
          <cell r="BQ1273">
            <v>0</v>
          </cell>
          <cell r="BR1273">
            <v>0</v>
          </cell>
          <cell r="BS1273">
            <v>0</v>
          </cell>
          <cell r="BT1273">
            <v>0</v>
          </cell>
          <cell r="BU1273">
            <v>0</v>
          </cell>
          <cell r="BV1273">
            <v>0</v>
          </cell>
          <cell r="BW1273">
            <v>4</v>
          </cell>
          <cell r="BX1273">
            <v>4</v>
          </cell>
          <cell r="BY1273">
            <v>4</v>
          </cell>
          <cell r="BZ1273">
            <v>4</v>
          </cell>
          <cell r="CA1273">
            <v>4</v>
          </cell>
          <cell r="CB1273">
            <v>4</v>
          </cell>
          <cell r="CC1273">
            <v>0</v>
          </cell>
          <cell r="CD1273">
            <v>3</v>
          </cell>
          <cell r="CE1273">
            <v>3</v>
          </cell>
          <cell r="CF1273">
            <v>3</v>
          </cell>
          <cell r="CG1273">
            <v>3</v>
          </cell>
          <cell r="CH1273">
            <v>3</v>
          </cell>
          <cell r="CI1273">
            <v>3</v>
          </cell>
          <cell r="CJ1273">
            <v>8</v>
          </cell>
          <cell r="CK1273">
            <v>4</v>
          </cell>
          <cell r="CL1273">
            <v>4</v>
          </cell>
          <cell r="CM1273">
            <v>4</v>
          </cell>
          <cell r="CR1273">
            <v>0</v>
          </cell>
          <cell r="CS1273">
            <v>0</v>
          </cell>
          <cell r="CT1273">
            <v>54</v>
          </cell>
          <cell r="CU1273">
            <v>8</v>
          </cell>
          <cell r="CV1273">
            <v>0</v>
          </cell>
          <cell r="CZ1273">
            <v>62</v>
          </cell>
        </row>
        <row r="1274">
          <cell r="C1274" t="str">
            <v>04996</v>
          </cell>
          <cell r="D1274" t="str">
            <v>Nguyễn Hữu Tình</v>
          </cell>
          <cell r="E1274" t="str">
            <v>Foaming</v>
          </cell>
          <cell r="F1274" t="str">
            <v>FOAMING Splitting</v>
          </cell>
          <cell r="G1274" t="str">
            <v>Worker</v>
          </cell>
          <cell r="H1274">
            <v>46086</v>
          </cell>
          <cell r="I1274" t="str">
            <v>X</v>
          </cell>
          <cell r="J1274" t="str">
            <v>X</v>
          </cell>
          <cell r="K1274" t="str">
            <v>X</v>
          </cell>
          <cell r="L1274" t="str">
            <v>X</v>
          </cell>
          <cell r="M1274" t="str">
            <v>X</v>
          </cell>
          <cell r="N1274" t="str">
            <v>X</v>
          </cell>
          <cell r="O1274" t="str">
            <v>X</v>
          </cell>
          <cell r="P1274">
            <v>8</v>
          </cell>
          <cell r="Q1274">
            <v>8</v>
          </cell>
          <cell r="R1274">
            <v>8</v>
          </cell>
          <cell r="S1274" t="str">
            <v>CN</v>
          </cell>
          <cell r="T1274">
            <v>8</v>
          </cell>
          <cell r="U1274" t="str">
            <v>UP8</v>
          </cell>
          <cell r="V1274">
            <v>8</v>
          </cell>
          <cell r="W1274" t="str">
            <v>NP</v>
          </cell>
          <cell r="X1274">
            <v>8</v>
          </cell>
          <cell r="Y1274" t="str">
            <v>NP</v>
          </cell>
          <cell r="Z1274" t="str">
            <v>CN</v>
          </cell>
          <cell r="AA1274" t="str">
            <v>NP</v>
          </cell>
          <cell r="AB1274" t="str">
            <v>NP</v>
          </cell>
          <cell r="AC1274" t="str">
            <v>NP</v>
          </cell>
          <cell r="AD1274" t="str">
            <v>TV</v>
          </cell>
          <cell r="AE1274" t="str">
            <v>TV</v>
          </cell>
          <cell r="AF1274" t="str">
            <v>TV</v>
          </cell>
          <cell r="AG1274" t="str">
            <v>TV</v>
          </cell>
          <cell r="AH1274" t="str">
            <v>TV</v>
          </cell>
          <cell r="AI1274" t="str">
            <v>TV</v>
          </cell>
          <cell r="AJ1274" t="str">
            <v>TV</v>
          </cell>
          <cell r="AN1274">
            <v>0</v>
          </cell>
          <cell r="AO1274">
            <v>48</v>
          </cell>
          <cell r="AP1274">
            <v>0</v>
          </cell>
          <cell r="AQ1274">
            <v>0</v>
          </cell>
          <cell r="AR1274">
            <v>0</v>
          </cell>
          <cell r="AS1274">
            <v>8</v>
          </cell>
          <cell r="AT1274">
            <v>5</v>
          </cell>
          <cell r="AU1274">
            <v>0</v>
          </cell>
          <cell r="AV1274">
            <v>0</v>
          </cell>
          <cell r="AW1274">
            <v>0</v>
          </cell>
          <cell r="AX1274">
            <v>0</v>
          </cell>
          <cell r="AY1274">
            <v>0</v>
          </cell>
          <cell r="AZ1274">
            <v>0</v>
          </cell>
          <cell r="BA1274">
            <v>0</v>
          </cell>
          <cell r="BB1274">
            <v>0</v>
          </cell>
          <cell r="BC1274">
            <v>0</v>
          </cell>
          <cell r="BD1274">
            <v>0</v>
          </cell>
          <cell r="BE1274">
            <v>0</v>
          </cell>
          <cell r="BF1274">
            <v>0</v>
          </cell>
          <cell r="BG1274">
            <v>48</v>
          </cell>
          <cell r="BH1274">
            <v>0</v>
          </cell>
          <cell r="BI1274">
            <v>0</v>
          </cell>
          <cell r="BJ1274">
            <v>1</v>
          </cell>
          <cell r="BL1274">
            <v>0</v>
          </cell>
          <cell r="BM1274">
            <v>0</v>
          </cell>
          <cell r="BN1274">
            <v>0</v>
          </cell>
          <cell r="BO1274">
            <v>0</v>
          </cell>
          <cell r="BP1274">
            <v>0</v>
          </cell>
          <cell r="BQ1274">
            <v>0</v>
          </cell>
          <cell r="BR1274">
            <v>0</v>
          </cell>
          <cell r="BS1274">
            <v>0</v>
          </cell>
          <cell r="BT1274">
            <v>0</v>
          </cell>
          <cell r="BU1274">
            <v>0</v>
          </cell>
          <cell r="BV1274">
            <v>12</v>
          </cell>
          <cell r="BW1274">
            <v>4</v>
          </cell>
          <cell r="BX1274">
            <v>0</v>
          </cell>
          <cell r="BY1274">
            <v>4</v>
          </cell>
          <cell r="BZ1274">
            <v>0</v>
          </cell>
          <cell r="CA1274">
            <v>4</v>
          </cell>
          <cell r="CB1274">
            <v>0</v>
          </cell>
          <cell r="CC1274">
            <v>0</v>
          </cell>
          <cell r="CD1274">
            <v>0</v>
          </cell>
          <cell r="CE1274">
            <v>0</v>
          </cell>
          <cell r="CF1274">
            <v>0</v>
          </cell>
          <cell r="CG1274">
            <v>0</v>
          </cell>
          <cell r="CH1274">
            <v>0</v>
          </cell>
          <cell r="CI1274">
            <v>0</v>
          </cell>
          <cell r="CJ1274">
            <v>0</v>
          </cell>
          <cell r="CK1274">
            <v>0</v>
          </cell>
          <cell r="CL1274">
            <v>0</v>
          </cell>
          <cell r="CM1274">
            <v>0</v>
          </cell>
          <cell r="CR1274">
            <v>0</v>
          </cell>
          <cell r="CS1274">
            <v>0</v>
          </cell>
          <cell r="CT1274">
            <v>12</v>
          </cell>
          <cell r="CU1274">
            <v>12</v>
          </cell>
          <cell r="CV1274">
            <v>0</v>
          </cell>
          <cell r="CZ1274">
            <v>24</v>
          </cell>
        </row>
        <row r="1275">
          <cell r="C1275" t="str">
            <v>04997</v>
          </cell>
          <cell r="D1275" t="str">
            <v>Nguyễn Thị Mỹ Linh</v>
          </cell>
          <cell r="E1275" t="str">
            <v>Production</v>
          </cell>
          <cell r="F1275" t="str">
            <v>Logo</v>
          </cell>
          <cell r="G1275" t="str">
            <v>Worker</v>
          </cell>
          <cell r="H1275">
            <v>46086</v>
          </cell>
          <cell r="I1275" t="str">
            <v>X</v>
          </cell>
          <cell r="J1275" t="str">
            <v>X</v>
          </cell>
          <cell r="K1275" t="str">
            <v>X</v>
          </cell>
          <cell r="L1275" t="str">
            <v>X</v>
          </cell>
          <cell r="M1275" t="str">
            <v>X</v>
          </cell>
          <cell r="N1275" t="str">
            <v>X</v>
          </cell>
          <cell r="O1275" t="str">
            <v>X</v>
          </cell>
          <cell r="P1275">
            <v>8</v>
          </cell>
          <cell r="Q1275">
            <v>8</v>
          </cell>
          <cell r="R1275">
            <v>8</v>
          </cell>
          <cell r="S1275" t="str">
            <v>CN</v>
          </cell>
          <cell r="T1275" t="str">
            <v>Đ</v>
          </cell>
          <cell r="U1275" t="str">
            <v>Đ</v>
          </cell>
          <cell r="V1275" t="str">
            <v>Đ</v>
          </cell>
          <cell r="W1275" t="str">
            <v>Đ</v>
          </cell>
          <cell r="X1275" t="str">
            <v>Đ</v>
          </cell>
          <cell r="Y1275" t="str">
            <v>Đ</v>
          </cell>
          <cell r="Z1275" t="str">
            <v>CN</v>
          </cell>
          <cell r="AA1275">
            <v>8</v>
          </cell>
          <cell r="AB1275" t="str">
            <v>NP</v>
          </cell>
          <cell r="AC1275" t="str">
            <v>NP</v>
          </cell>
          <cell r="AD1275" t="str">
            <v>NP</v>
          </cell>
          <cell r="AE1275" t="str">
            <v>NP</v>
          </cell>
          <cell r="AF1275" t="str">
            <v>NP</v>
          </cell>
          <cell r="AG1275" t="str">
            <v>CN</v>
          </cell>
          <cell r="AH1275" t="str">
            <v>TV</v>
          </cell>
          <cell r="AI1275" t="str">
            <v>TV</v>
          </cell>
          <cell r="AJ1275" t="str">
            <v>TV</v>
          </cell>
          <cell r="AN1275">
            <v>48</v>
          </cell>
          <cell r="AO1275">
            <v>32</v>
          </cell>
          <cell r="AP1275">
            <v>0</v>
          </cell>
          <cell r="AQ1275">
            <v>0</v>
          </cell>
          <cell r="AR1275">
            <v>0</v>
          </cell>
          <cell r="AS1275">
            <v>0</v>
          </cell>
          <cell r="AT1275">
            <v>5</v>
          </cell>
          <cell r="AU1275">
            <v>0</v>
          </cell>
          <cell r="AV1275">
            <v>0</v>
          </cell>
          <cell r="AW1275">
            <v>0</v>
          </cell>
          <cell r="AX1275">
            <v>0</v>
          </cell>
          <cell r="AY1275">
            <v>0</v>
          </cell>
          <cell r="AZ1275">
            <v>0</v>
          </cell>
          <cell r="BA1275">
            <v>0</v>
          </cell>
          <cell r="BB1275">
            <v>0</v>
          </cell>
          <cell r="BC1275">
            <v>0</v>
          </cell>
          <cell r="BD1275">
            <v>0</v>
          </cell>
          <cell r="BE1275">
            <v>0</v>
          </cell>
          <cell r="BF1275">
            <v>0</v>
          </cell>
          <cell r="BG1275">
            <v>80</v>
          </cell>
          <cell r="BH1275">
            <v>0</v>
          </cell>
          <cell r="BI1275">
            <v>0</v>
          </cell>
          <cell r="BJ1275">
            <v>1</v>
          </cell>
          <cell r="BL1275">
            <v>0</v>
          </cell>
          <cell r="BM1275">
            <v>0</v>
          </cell>
          <cell r="BN1275">
            <v>0</v>
          </cell>
          <cell r="BO1275">
            <v>0</v>
          </cell>
          <cell r="BP1275">
            <v>0</v>
          </cell>
          <cell r="BQ1275">
            <v>0</v>
          </cell>
          <cell r="BR1275">
            <v>0</v>
          </cell>
          <cell r="BS1275">
            <v>0</v>
          </cell>
          <cell r="BT1275">
            <v>0</v>
          </cell>
          <cell r="BU1275">
            <v>0</v>
          </cell>
          <cell r="BV1275">
            <v>0</v>
          </cell>
          <cell r="BW1275">
            <v>4</v>
          </cell>
          <cell r="BX1275">
            <v>4</v>
          </cell>
          <cell r="BY1275">
            <v>4</v>
          </cell>
          <cell r="BZ1275">
            <v>4</v>
          </cell>
          <cell r="CA1275">
            <v>4</v>
          </cell>
          <cell r="CB1275">
            <v>4</v>
          </cell>
          <cell r="CC1275">
            <v>0</v>
          </cell>
          <cell r="CD1275">
            <v>3</v>
          </cell>
          <cell r="CE1275">
            <v>0</v>
          </cell>
          <cell r="CF1275">
            <v>0</v>
          </cell>
          <cell r="CG1275">
            <v>0</v>
          </cell>
          <cell r="CH1275">
            <v>0</v>
          </cell>
          <cell r="CI1275">
            <v>0</v>
          </cell>
          <cell r="CJ1275">
            <v>0</v>
          </cell>
          <cell r="CK1275">
            <v>0</v>
          </cell>
          <cell r="CL1275">
            <v>0</v>
          </cell>
          <cell r="CM1275">
            <v>0</v>
          </cell>
          <cell r="CR1275">
            <v>0</v>
          </cell>
          <cell r="CS1275">
            <v>0</v>
          </cell>
          <cell r="CT1275">
            <v>27</v>
          </cell>
          <cell r="CU1275">
            <v>0</v>
          </cell>
          <cell r="CV1275">
            <v>0</v>
          </cell>
          <cell r="CZ1275">
            <v>27</v>
          </cell>
        </row>
        <row r="1276">
          <cell r="C1276" t="str">
            <v>04998</v>
          </cell>
          <cell r="D1276" t="str">
            <v>Phan Nguyễn Liêm</v>
          </cell>
          <cell r="E1276" t="str">
            <v>Production</v>
          </cell>
          <cell r="F1276" t="str">
            <v>Die cut</v>
          </cell>
          <cell r="G1276" t="str">
            <v>Worker</v>
          </cell>
          <cell r="H1276">
            <v>46086</v>
          </cell>
          <cell r="I1276" t="str">
            <v>X</v>
          </cell>
          <cell r="J1276" t="str">
            <v>X</v>
          </cell>
          <cell r="K1276" t="str">
            <v>X</v>
          </cell>
          <cell r="L1276" t="str">
            <v>X</v>
          </cell>
          <cell r="M1276" t="str">
            <v>X</v>
          </cell>
          <cell r="N1276" t="str">
            <v>X</v>
          </cell>
          <cell r="O1276" t="str">
            <v>X</v>
          </cell>
          <cell r="P1276">
            <v>8</v>
          </cell>
          <cell r="Q1276">
            <v>8</v>
          </cell>
          <cell r="R1276">
            <v>8</v>
          </cell>
          <cell r="S1276" t="str">
            <v>CN</v>
          </cell>
          <cell r="T1276">
            <v>8</v>
          </cell>
          <cell r="U1276">
            <v>8</v>
          </cell>
          <cell r="V1276">
            <v>8</v>
          </cell>
          <cell r="W1276">
            <v>8</v>
          </cell>
          <cell r="X1276">
            <v>8</v>
          </cell>
          <cell r="Y1276">
            <v>8</v>
          </cell>
          <cell r="Z1276" t="str">
            <v>CN</v>
          </cell>
          <cell r="AA1276">
            <v>8</v>
          </cell>
          <cell r="AB1276" t="str">
            <v>Đ</v>
          </cell>
          <cell r="AC1276" t="str">
            <v>Đ</v>
          </cell>
          <cell r="AD1276" t="str">
            <v>Đ</v>
          </cell>
          <cell r="AE1276" t="str">
            <v>Đ</v>
          </cell>
          <cell r="AF1276" t="str">
            <v>Đ</v>
          </cell>
          <cell r="AG1276" t="str">
            <v>CN</v>
          </cell>
          <cell r="AH1276" t="str">
            <v>UP4</v>
          </cell>
          <cell r="AI1276">
            <v>8</v>
          </cell>
          <cell r="AJ1276">
            <v>8</v>
          </cell>
          <cell r="AN1276">
            <v>40</v>
          </cell>
          <cell r="AO1276">
            <v>100</v>
          </cell>
          <cell r="AP1276">
            <v>0</v>
          </cell>
          <cell r="AQ1276">
            <v>0</v>
          </cell>
          <cell r="AR1276">
            <v>4</v>
          </cell>
          <cell r="AS1276">
            <v>4</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140</v>
          </cell>
          <cell r="BH1276">
            <v>0</v>
          </cell>
          <cell r="BI1276">
            <v>0</v>
          </cell>
          <cell r="BJ1276">
            <v>2</v>
          </cell>
          <cell r="BL1276">
            <v>0</v>
          </cell>
          <cell r="BM1276">
            <v>0</v>
          </cell>
          <cell r="BN1276">
            <v>0</v>
          </cell>
          <cell r="BO1276">
            <v>0</v>
          </cell>
          <cell r="BP1276">
            <v>0</v>
          </cell>
          <cell r="BQ1276">
            <v>0</v>
          </cell>
          <cell r="BR1276">
            <v>0</v>
          </cell>
          <cell r="BS1276">
            <v>0</v>
          </cell>
          <cell r="BT1276">
            <v>0</v>
          </cell>
          <cell r="BU1276">
            <v>0</v>
          </cell>
          <cell r="BV1276">
            <v>0</v>
          </cell>
          <cell r="BW1276">
            <v>0</v>
          </cell>
          <cell r="BX1276">
            <v>0</v>
          </cell>
          <cell r="BY1276">
            <v>3</v>
          </cell>
          <cell r="BZ1276">
            <v>3</v>
          </cell>
          <cell r="CA1276">
            <v>3</v>
          </cell>
          <cell r="CB1276">
            <v>2</v>
          </cell>
          <cell r="CC1276">
            <v>0</v>
          </cell>
          <cell r="CD1276">
            <v>0</v>
          </cell>
          <cell r="CE1276">
            <v>4</v>
          </cell>
          <cell r="CF1276">
            <v>4</v>
          </cell>
          <cell r="CG1276">
            <v>4</v>
          </cell>
          <cell r="CH1276">
            <v>4</v>
          </cell>
          <cell r="CI1276">
            <v>4</v>
          </cell>
          <cell r="CJ1276">
            <v>0</v>
          </cell>
          <cell r="CK1276">
            <v>2</v>
          </cell>
          <cell r="CL1276">
            <v>3</v>
          </cell>
          <cell r="CM1276">
            <v>3</v>
          </cell>
          <cell r="CR1276">
            <v>0</v>
          </cell>
          <cell r="CS1276">
            <v>0</v>
          </cell>
          <cell r="CT1276">
            <v>39</v>
          </cell>
          <cell r="CU1276">
            <v>0</v>
          </cell>
          <cell r="CV1276">
            <v>0</v>
          </cell>
          <cell r="CZ1276">
            <v>39</v>
          </cell>
        </row>
        <row r="1277">
          <cell r="C1277" t="str">
            <v>04999</v>
          </cell>
          <cell r="D1277" t="str">
            <v>Nguyễn Công Điền</v>
          </cell>
          <cell r="E1277" t="str">
            <v>Warehouse</v>
          </cell>
          <cell r="F1277" t="str">
            <v>Warehouse</v>
          </cell>
          <cell r="G1277" t="str">
            <v>Worker</v>
          </cell>
          <cell r="H1277">
            <v>46086</v>
          </cell>
          <cell r="I1277" t="str">
            <v>X</v>
          </cell>
          <cell r="J1277" t="str">
            <v>X</v>
          </cell>
          <cell r="K1277" t="str">
            <v>X</v>
          </cell>
          <cell r="L1277" t="str">
            <v>X</v>
          </cell>
          <cell r="M1277" t="str">
            <v>X</v>
          </cell>
          <cell r="N1277" t="str">
            <v>X</v>
          </cell>
          <cell r="O1277" t="str">
            <v>X</v>
          </cell>
          <cell r="P1277">
            <v>8</v>
          </cell>
          <cell r="Q1277" t="str">
            <v>UP8</v>
          </cell>
          <cell r="R1277" t="str">
            <v>UP8</v>
          </cell>
          <cell r="S1277" t="str">
            <v>CN</v>
          </cell>
          <cell r="T1277" t="str">
            <v>UP8</v>
          </cell>
          <cell r="U1277" t="str">
            <v>UP8</v>
          </cell>
          <cell r="V1277" t="str">
            <v>UP8</v>
          </cell>
          <cell r="W1277" t="str">
            <v>NP</v>
          </cell>
          <cell r="X1277" t="str">
            <v>NP</v>
          </cell>
          <cell r="Y1277" t="str">
            <v>NP</v>
          </cell>
          <cell r="Z1277" t="str">
            <v>CN</v>
          </cell>
          <cell r="AA1277" t="str">
            <v>NP</v>
          </cell>
          <cell r="AB1277" t="str">
            <v>NP</v>
          </cell>
          <cell r="AC1277" t="str">
            <v>TV</v>
          </cell>
          <cell r="AD1277" t="str">
            <v>TV</v>
          </cell>
          <cell r="AE1277" t="str">
            <v>TV</v>
          </cell>
          <cell r="AF1277" t="str">
            <v>TV</v>
          </cell>
          <cell r="AG1277" t="str">
            <v>TV</v>
          </cell>
          <cell r="AH1277" t="str">
            <v>TV</v>
          </cell>
          <cell r="AI1277" t="str">
            <v>TV</v>
          </cell>
          <cell r="AJ1277" t="str">
            <v>TV</v>
          </cell>
          <cell r="AN1277">
            <v>0</v>
          </cell>
          <cell r="AO1277">
            <v>8</v>
          </cell>
          <cell r="AP1277">
            <v>0</v>
          </cell>
          <cell r="AQ1277">
            <v>0</v>
          </cell>
          <cell r="AR1277">
            <v>0</v>
          </cell>
          <cell r="AS1277">
            <v>40</v>
          </cell>
          <cell r="AT1277">
            <v>5</v>
          </cell>
          <cell r="AU1277">
            <v>0</v>
          </cell>
          <cell r="AV1277">
            <v>0</v>
          </cell>
          <cell r="AW1277">
            <v>0</v>
          </cell>
          <cell r="AX1277">
            <v>0</v>
          </cell>
          <cell r="AY1277">
            <v>0</v>
          </cell>
          <cell r="AZ1277">
            <v>0</v>
          </cell>
          <cell r="BA1277">
            <v>0</v>
          </cell>
          <cell r="BB1277">
            <v>0</v>
          </cell>
          <cell r="BC1277">
            <v>0</v>
          </cell>
          <cell r="BD1277">
            <v>0</v>
          </cell>
          <cell r="BE1277">
            <v>0</v>
          </cell>
          <cell r="BF1277">
            <v>0</v>
          </cell>
          <cell r="BG1277">
            <v>8</v>
          </cell>
          <cell r="BH1277">
            <v>0</v>
          </cell>
          <cell r="BI1277">
            <v>0</v>
          </cell>
          <cell r="BJ1277">
            <v>1</v>
          </cell>
          <cell r="BL1277">
            <v>0</v>
          </cell>
          <cell r="BM1277">
            <v>0</v>
          </cell>
          <cell r="BN1277">
            <v>0</v>
          </cell>
          <cell r="BO1277">
            <v>0</v>
          </cell>
          <cell r="BP1277">
            <v>0</v>
          </cell>
          <cell r="BQ1277">
            <v>0</v>
          </cell>
          <cell r="BR1277">
            <v>0</v>
          </cell>
          <cell r="BS1277">
            <v>0</v>
          </cell>
          <cell r="BT1277">
            <v>0</v>
          </cell>
          <cell r="BU1277">
            <v>0</v>
          </cell>
          <cell r="BV1277">
            <v>0</v>
          </cell>
          <cell r="BW1277">
            <v>0</v>
          </cell>
          <cell r="BX1277">
            <v>0</v>
          </cell>
          <cell r="BY1277">
            <v>0</v>
          </cell>
          <cell r="BZ1277">
            <v>0</v>
          </cell>
          <cell r="CA1277">
            <v>0</v>
          </cell>
          <cell r="CB1277">
            <v>0</v>
          </cell>
          <cell r="CC1277">
            <v>0</v>
          </cell>
          <cell r="CD1277">
            <v>0</v>
          </cell>
          <cell r="CE1277">
            <v>0</v>
          </cell>
          <cell r="CF1277">
            <v>0</v>
          </cell>
          <cell r="CG1277">
            <v>0</v>
          </cell>
          <cell r="CH1277">
            <v>0</v>
          </cell>
          <cell r="CI1277">
            <v>0</v>
          </cell>
          <cell r="CJ1277">
            <v>0</v>
          </cell>
          <cell r="CK1277">
            <v>0</v>
          </cell>
          <cell r="CL1277">
            <v>0</v>
          </cell>
          <cell r="CM1277">
            <v>0</v>
          </cell>
          <cell r="CR1277">
            <v>0</v>
          </cell>
          <cell r="CS1277">
            <v>0</v>
          </cell>
          <cell r="CT1277">
            <v>0</v>
          </cell>
          <cell r="CU1277">
            <v>0</v>
          </cell>
          <cell r="CV1277">
            <v>0</v>
          </cell>
          <cell r="CZ1277">
            <v>0</v>
          </cell>
        </row>
        <row r="1278">
          <cell r="C1278" t="str">
            <v>05000</v>
          </cell>
          <cell r="D1278" t="str">
            <v>Đinh Thị Tiểu Thảo</v>
          </cell>
          <cell r="E1278" t="str">
            <v>Production</v>
          </cell>
          <cell r="F1278" t="str">
            <v>Packing</v>
          </cell>
          <cell r="G1278" t="str">
            <v>Worker</v>
          </cell>
          <cell r="H1278">
            <v>46086</v>
          </cell>
          <cell r="I1278" t="str">
            <v>X</v>
          </cell>
          <cell r="J1278" t="str">
            <v>X</v>
          </cell>
          <cell r="K1278" t="str">
            <v>X</v>
          </cell>
          <cell r="L1278" t="str">
            <v>X</v>
          </cell>
          <cell r="M1278" t="str">
            <v>X</v>
          </cell>
          <cell r="N1278" t="str">
            <v>X</v>
          </cell>
          <cell r="O1278" t="str">
            <v>X</v>
          </cell>
          <cell r="P1278">
            <v>8</v>
          </cell>
          <cell r="Q1278">
            <v>8</v>
          </cell>
          <cell r="R1278" t="str">
            <v>UP8</v>
          </cell>
          <cell r="S1278" t="str">
            <v>CN</v>
          </cell>
          <cell r="T1278" t="str">
            <v>Đ</v>
          </cell>
          <cell r="U1278" t="str">
            <v>Đ</v>
          </cell>
          <cell r="V1278" t="str">
            <v>Đ</v>
          </cell>
          <cell r="W1278" t="str">
            <v>Đ</v>
          </cell>
          <cell r="X1278" t="str">
            <v>Đ</v>
          </cell>
          <cell r="Y1278" t="str">
            <v>Đ</v>
          </cell>
          <cell r="Z1278" t="str">
            <v>CN</v>
          </cell>
          <cell r="AA1278">
            <v>8</v>
          </cell>
          <cell r="AB1278">
            <v>8</v>
          </cell>
          <cell r="AC1278">
            <v>8</v>
          </cell>
          <cell r="AD1278" t="str">
            <v>UP8</v>
          </cell>
          <cell r="AE1278">
            <v>8</v>
          </cell>
          <cell r="AF1278">
            <v>8</v>
          </cell>
          <cell r="AG1278" t="str">
            <v>CN</v>
          </cell>
          <cell r="AH1278" t="str">
            <v>Đ</v>
          </cell>
          <cell r="AI1278" t="str">
            <v>Đ</v>
          </cell>
          <cell r="AJ1278" t="str">
            <v>Đ</v>
          </cell>
          <cell r="AN1278">
            <v>72</v>
          </cell>
          <cell r="AO1278">
            <v>56</v>
          </cell>
          <cell r="AP1278">
            <v>0</v>
          </cell>
          <cell r="AQ1278">
            <v>0</v>
          </cell>
          <cell r="AR1278">
            <v>0</v>
          </cell>
          <cell r="AS1278">
            <v>16</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128</v>
          </cell>
          <cell r="BH1278">
            <v>0</v>
          </cell>
          <cell r="BI1278">
            <v>0</v>
          </cell>
          <cell r="BJ1278">
            <v>2</v>
          </cell>
          <cell r="BL1278">
            <v>0</v>
          </cell>
          <cell r="BM1278">
            <v>0</v>
          </cell>
          <cell r="BN1278">
            <v>0</v>
          </cell>
          <cell r="BO1278">
            <v>0</v>
          </cell>
          <cell r="BP1278">
            <v>0</v>
          </cell>
          <cell r="BQ1278">
            <v>0</v>
          </cell>
          <cell r="BR1278">
            <v>0</v>
          </cell>
          <cell r="BS1278">
            <v>0</v>
          </cell>
          <cell r="BT1278">
            <v>0</v>
          </cell>
          <cell r="BU1278">
            <v>0</v>
          </cell>
          <cell r="BV1278">
            <v>0</v>
          </cell>
          <cell r="BW1278">
            <v>4</v>
          </cell>
          <cell r="BX1278">
            <v>1.5</v>
          </cell>
          <cell r="BY1278">
            <v>4</v>
          </cell>
          <cell r="BZ1278">
            <v>4</v>
          </cell>
          <cell r="CA1278">
            <v>4</v>
          </cell>
          <cell r="CB1278">
            <v>4</v>
          </cell>
          <cell r="CC1278">
            <v>0</v>
          </cell>
          <cell r="CD1278">
            <v>0</v>
          </cell>
          <cell r="CE1278">
            <v>3</v>
          </cell>
          <cell r="CF1278">
            <v>3</v>
          </cell>
          <cell r="CG1278">
            <v>0</v>
          </cell>
          <cell r="CH1278">
            <v>3</v>
          </cell>
          <cell r="CI1278">
            <v>3</v>
          </cell>
          <cell r="CJ1278">
            <v>8</v>
          </cell>
          <cell r="CK1278">
            <v>4</v>
          </cell>
          <cell r="CL1278">
            <v>4</v>
          </cell>
          <cell r="CM1278">
            <v>4</v>
          </cell>
          <cell r="CR1278">
            <v>0</v>
          </cell>
          <cell r="CS1278">
            <v>0</v>
          </cell>
          <cell r="CT1278">
            <v>45.5</v>
          </cell>
          <cell r="CU1278">
            <v>8</v>
          </cell>
          <cell r="CV1278">
            <v>0</v>
          </cell>
          <cell r="CZ1278">
            <v>53.5</v>
          </cell>
        </row>
        <row r="1279">
          <cell r="C1279" t="str">
            <v>05001</v>
          </cell>
          <cell r="D1279" t="str">
            <v>Thạch Som</v>
          </cell>
          <cell r="E1279" t="str">
            <v>Foaming</v>
          </cell>
          <cell r="F1279" t="str">
            <v>FOAMING Splitting</v>
          </cell>
          <cell r="G1279" t="str">
            <v>Worker</v>
          </cell>
          <cell r="H1279">
            <v>46086</v>
          </cell>
          <cell r="I1279" t="str">
            <v>X</v>
          </cell>
          <cell r="J1279" t="str">
            <v>X</v>
          </cell>
          <cell r="K1279" t="str">
            <v>X</v>
          </cell>
          <cell r="L1279" t="str">
            <v>X</v>
          </cell>
          <cell r="M1279" t="str">
            <v>X</v>
          </cell>
          <cell r="N1279" t="str">
            <v>X</v>
          </cell>
          <cell r="O1279" t="str">
            <v>X</v>
          </cell>
          <cell r="P1279">
            <v>8</v>
          </cell>
          <cell r="Q1279">
            <v>8</v>
          </cell>
          <cell r="R1279">
            <v>8</v>
          </cell>
          <cell r="S1279" t="str">
            <v>CN</v>
          </cell>
          <cell r="T1279">
            <v>8</v>
          </cell>
          <cell r="U1279">
            <v>8</v>
          </cell>
          <cell r="V1279">
            <v>8</v>
          </cell>
          <cell r="W1279">
            <v>8</v>
          </cell>
          <cell r="X1279">
            <v>8</v>
          </cell>
          <cell r="Y1279">
            <v>8</v>
          </cell>
          <cell r="Z1279" t="str">
            <v>CN</v>
          </cell>
          <cell r="AA1279" t="str">
            <v>Đ</v>
          </cell>
          <cell r="AB1279" t="str">
            <v>Đ</v>
          </cell>
          <cell r="AC1279" t="str">
            <v>Đ</v>
          </cell>
          <cell r="AD1279" t="str">
            <v>Đ</v>
          </cell>
          <cell r="AE1279" t="str">
            <v>Đ</v>
          </cell>
          <cell r="AF1279" t="str">
            <v>Đ</v>
          </cell>
          <cell r="AG1279" t="str">
            <v>CN</v>
          </cell>
          <cell r="AH1279" t="str">
            <v>Đ</v>
          </cell>
          <cell r="AI1279" t="str">
            <v>Đ</v>
          </cell>
          <cell r="AJ1279" t="str">
            <v>Đ</v>
          </cell>
          <cell r="AN1279">
            <v>72</v>
          </cell>
          <cell r="AO1279">
            <v>72</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144</v>
          </cell>
          <cell r="BH1279">
            <v>0</v>
          </cell>
          <cell r="BI1279">
            <v>0</v>
          </cell>
          <cell r="BJ1279">
            <v>2</v>
          </cell>
          <cell r="BL1279">
            <v>0</v>
          </cell>
          <cell r="BM1279">
            <v>0</v>
          </cell>
          <cell r="BN1279">
            <v>0</v>
          </cell>
          <cell r="BO1279">
            <v>0</v>
          </cell>
          <cell r="BP1279">
            <v>0</v>
          </cell>
          <cell r="BQ1279">
            <v>0</v>
          </cell>
          <cell r="BR1279">
            <v>0</v>
          </cell>
          <cell r="BS1279">
            <v>0</v>
          </cell>
          <cell r="BT1279">
            <v>0</v>
          </cell>
          <cell r="BU1279">
            <v>0</v>
          </cell>
          <cell r="BV1279">
            <v>12</v>
          </cell>
          <cell r="BW1279">
            <v>4</v>
          </cell>
          <cell r="BX1279">
            <v>4</v>
          </cell>
          <cell r="BY1279">
            <v>4</v>
          </cell>
          <cell r="BZ1279">
            <v>4</v>
          </cell>
          <cell r="CA1279">
            <v>4</v>
          </cell>
          <cell r="CB1279">
            <v>4</v>
          </cell>
          <cell r="CC1279" t="str">
            <v>12Đ</v>
          </cell>
          <cell r="CD1279">
            <v>4</v>
          </cell>
          <cell r="CE1279">
            <v>4</v>
          </cell>
          <cell r="CF1279">
            <v>4</v>
          </cell>
          <cell r="CG1279">
            <v>4</v>
          </cell>
          <cell r="CH1279">
            <v>4</v>
          </cell>
          <cell r="CI1279">
            <v>4</v>
          </cell>
          <cell r="CJ1279" t="str">
            <v>12Đ</v>
          </cell>
          <cell r="CK1279">
            <v>4</v>
          </cell>
          <cell r="CL1279">
            <v>0</v>
          </cell>
          <cell r="CM1279">
            <v>4</v>
          </cell>
          <cell r="CR1279">
            <v>0</v>
          </cell>
          <cell r="CS1279">
            <v>0</v>
          </cell>
          <cell r="CT1279">
            <v>56</v>
          </cell>
          <cell r="CU1279">
            <v>20</v>
          </cell>
          <cell r="CV1279">
            <v>16</v>
          </cell>
          <cell r="CZ1279">
            <v>92</v>
          </cell>
        </row>
        <row r="1280">
          <cell r="C1280" t="str">
            <v>05002</v>
          </cell>
          <cell r="D1280" t="str">
            <v>Võ Hoàng Khanh</v>
          </cell>
          <cell r="E1280" t="str">
            <v>Production</v>
          </cell>
          <cell r="F1280" t="str">
            <v>Die cut</v>
          </cell>
          <cell r="G1280" t="str">
            <v>Worker</v>
          </cell>
          <cell r="H1280">
            <v>46086</v>
          </cell>
          <cell r="I1280" t="str">
            <v>X</v>
          </cell>
          <cell r="J1280" t="str">
            <v>X</v>
          </cell>
          <cell r="K1280" t="str">
            <v>X</v>
          </cell>
          <cell r="L1280" t="str">
            <v>X</v>
          </cell>
          <cell r="M1280" t="str">
            <v>X</v>
          </cell>
          <cell r="N1280" t="str">
            <v>X</v>
          </cell>
          <cell r="O1280" t="str">
            <v>X</v>
          </cell>
          <cell r="P1280">
            <v>8</v>
          </cell>
          <cell r="Q1280">
            <v>8</v>
          </cell>
          <cell r="R1280">
            <v>8</v>
          </cell>
          <cell r="S1280" t="str">
            <v>CN</v>
          </cell>
          <cell r="T1280" t="str">
            <v>Đ</v>
          </cell>
          <cell r="U1280" t="str">
            <v>Đ</v>
          </cell>
          <cell r="V1280" t="str">
            <v>Đ</v>
          </cell>
          <cell r="W1280" t="str">
            <v>Đ</v>
          </cell>
          <cell r="X1280" t="str">
            <v>Đ</v>
          </cell>
          <cell r="Y1280" t="str">
            <v>Đ</v>
          </cell>
          <cell r="Z1280" t="str">
            <v>CN</v>
          </cell>
          <cell r="AA1280">
            <v>8</v>
          </cell>
          <cell r="AB1280">
            <v>8</v>
          </cell>
          <cell r="AC1280">
            <v>8</v>
          </cell>
          <cell r="AD1280">
            <v>8</v>
          </cell>
          <cell r="AE1280">
            <v>8</v>
          </cell>
          <cell r="AF1280">
            <v>8</v>
          </cell>
          <cell r="AG1280" t="str">
            <v>CN</v>
          </cell>
          <cell r="AH1280" t="str">
            <v>Đ</v>
          </cell>
          <cell r="AI1280" t="str">
            <v>Đ</v>
          </cell>
          <cell r="AJ1280" t="str">
            <v>Đ</v>
          </cell>
          <cell r="AN1280">
            <v>72</v>
          </cell>
          <cell r="AO1280">
            <v>72</v>
          </cell>
          <cell r="AP1280">
            <v>0</v>
          </cell>
          <cell r="AQ1280">
            <v>0</v>
          </cell>
          <cell r="AR1280">
            <v>0</v>
          </cell>
          <cell r="AS1280">
            <v>0</v>
          </cell>
          <cell r="AT1280">
            <v>0</v>
          </cell>
          <cell r="AU1280">
            <v>0</v>
          </cell>
          <cell r="AV1280">
            <v>0</v>
          </cell>
          <cell r="AW1280">
            <v>0</v>
          </cell>
          <cell r="AX1280">
            <v>0</v>
          </cell>
          <cell r="AY1280">
            <v>0</v>
          </cell>
          <cell r="AZ1280">
            <v>0</v>
          </cell>
          <cell r="BA1280">
            <v>0</v>
          </cell>
          <cell r="BB1280">
            <v>0</v>
          </cell>
          <cell r="BC1280">
            <v>0</v>
          </cell>
          <cell r="BD1280">
            <v>0</v>
          </cell>
          <cell r="BE1280">
            <v>0</v>
          </cell>
          <cell r="BF1280">
            <v>0</v>
          </cell>
          <cell r="BG1280">
            <v>144</v>
          </cell>
          <cell r="BH1280">
            <v>0</v>
          </cell>
          <cell r="BI1280">
            <v>0</v>
          </cell>
          <cell r="BJ1280">
            <v>2</v>
          </cell>
          <cell r="BL1280">
            <v>0</v>
          </cell>
          <cell r="BM1280">
            <v>0</v>
          </cell>
          <cell r="BN1280">
            <v>0</v>
          </cell>
          <cell r="BO1280">
            <v>0</v>
          </cell>
          <cell r="BP1280">
            <v>0</v>
          </cell>
          <cell r="BQ1280">
            <v>0</v>
          </cell>
          <cell r="BR1280">
            <v>0</v>
          </cell>
          <cell r="BS1280">
            <v>0</v>
          </cell>
          <cell r="BT1280">
            <v>0</v>
          </cell>
          <cell r="BU1280">
            <v>0</v>
          </cell>
          <cell r="BV1280">
            <v>0</v>
          </cell>
          <cell r="BW1280">
            <v>4</v>
          </cell>
          <cell r="BX1280">
            <v>4</v>
          </cell>
          <cell r="BY1280">
            <v>4</v>
          </cell>
          <cell r="BZ1280">
            <v>4</v>
          </cell>
          <cell r="CA1280">
            <v>4</v>
          </cell>
          <cell r="CB1280">
            <v>4</v>
          </cell>
          <cell r="CC1280">
            <v>0</v>
          </cell>
          <cell r="CD1280">
            <v>3</v>
          </cell>
          <cell r="CE1280">
            <v>3</v>
          </cell>
          <cell r="CF1280">
            <v>3</v>
          </cell>
          <cell r="CG1280">
            <v>3</v>
          </cell>
          <cell r="CH1280">
            <v>3</v>
          </cell>
          <cell r="CI1280">
            <v>3</v>
          </cell>
          <cell r="CJ1280">
            <v>8</v>
          </cell>
          <cell r="CK1280">
            <v>4</v>
          </cell>
          <cell r="CL1280">
            <v>4</v>
          </cell>
          <cell r="CM1280">
            <v>4</v>
          </cell>
          <cell r="CR1280">
            <v>0</v>
          </cell>
          <cell r="CS1280">
            <v>0</v>
          </cell>
          <cell r="CT1280">
            <v>54</v>
          </cell>
          <cell r="CU1280">
            <v>8</v>
          </cell>
          <cell r="CV1280">
            <v>0</v>
          </cell>
          <cell r="CZ1280">
            <v>62</v>
          </cell>
        </row>
        <row r="1281">
          <cell r="C1281" t="str">
            <v>05003</v>
          </cell>
          <cell r="D1281" t="str">
            <v>Nguyễn Tuấn Thanh</v>
          </cell>
          <cell r="E1281" t="str">
            <v>Production</v>
          </cell>
          <cell r="F1281" t="str">
            <v>Logo</v>
          </cell>
          <cell r="G1281" t="str">
            <v>Worker</v>
          </cell>
          <cell r="H1281">
            <v>46086</v>
          </cell>
          <cell r="I1281" t="str">
            <v>X</v>
          </cell>
          <cell r="J1281" t="str">
            <v>X</v>
          </cell>
          <cell r="K1281" t="str">
            <v>X</v>
          </cell>
          <cell r="L1281" t="str">
            <v>X</v>
          </cell>
          <cell r="M1281" t="str">
            <v>X</v>
          </cell>
          <cell r="N1281" t="str">
            <v>X</v>
          </cell>
          <cell r="O1281" t="str">
            <v>X</v>
          </cell>
          <cell r="P1281">
            <v>8</v>
          </cell>
          <cell r="Q1281">
            <v>8</v>
          </cell>
          <cell r="R1281" t="str">
            <v>UP8</v>
          </cell>
          <cell r="S1281" t="str">
            <v>CN</v>
          </cell>
          <cell r="T1281" t="str">
            <v>UP8</v>
          </cell>
          <cell r="U1281" t="str">
            <v>UP8</v>
          </cell>
          <cell r="V1281" t="str">
            <v>UP8</v>
          </cell>
          <cell r="W1281" t="str">
            <v>NP</v>
          </cell>
          <cell r="X1281" t="str">
            <v>NP</v>
          </cell>
          <cell r="Y1281" t="str">
            <v>NP</v>
          </cell>
          <cell r="Z1281" t="str">
            <v>CN</v>
          </cell>
          <cell r="AA1281" t="str">
            <v>NP</v>
          </cell>
          <cell r="AB1281" t="str">
            <v>NP</v>
          </cell>
          <cell r="AC1281" t="str">
            <v>TV</v>
          </cell>
          <cell r="AD1281" t="str">
            <v>TV</v>
          </cell>
          <cell r="AE1281" t="str">
            <v>TV</v>
          </cell>
          <cell r="AF1281" t="str">
            <v>TV</v>
          </cell>
          <cell r="AG1281" t="str">
            <v>TV</v>
          </cell>
          <cell r="AH1281" t="str">
            <v>TV</v>
          </cell>
          <cell r="AI1281" t="str">
            <v>TV</v>
          </cell>
          <cell r="AJ1281" t="str">
            <v>TV</v>
          </cell>
          <cell r="AN1281">
            <v>0</v>
          </cell>
          <cell r="AO1281">
            <v>16</v>
          </cell>
          <cell r="AP1281">
            <v>0</v>
          </cell>
          <cell r="AQ1281">
            <v>0</v>
          </cell>
          <cell r="AR1281">
            <v>0</v>
          </cell>
          <cell r="AS1281">
            <v>32</v>
          </cell>
          <cell r="AT1281">
            <v>5</v>
          </cell>
          <cell r="AU1281">
            <v>0</v>
          </cell>
          <cell r="AV1281">
            <v>0</v>
          </cell>
          <cell r="AW1281">
            <v>0</v>
          </cell>
          <cell r="AX1281">
            <v>0</v>
          </cell>
          <cell r="AY1281">
            <v>0</v>
          </cell>
          <cell r="AZ1281">
            <v>0</v>
          </cell>
          <cell r="BA1281">
            <v>0</v>
          </cell>
          <cell r="BB1281">
            <v>0</v>
          </cell>
          <cell r="BC1281">
            <v>0</v>
          </cell>
          <cell r="BD1281">
            <v>0</v>
          </cell>
          <cell r="BE1281">
            <v>0</v>
          </cell>
          <cell r="BF1281">
            <v>0</v>
          </cell>
          <cell r="BG1281">
            <v>16</v>
          </cell>
          <cell r="BH1281">
            <v>0</v>
          </cell>
          <cell r="BI1281">
            <v>0</v>
          </cell>
          <cell r="BJ1281">
            <v>1</v>
          </cell>
          <cell r="BL1281">
            <v>0</v>
          </cell>
          <cell r="BM1281">
            <v>0</v>
          </cell>
          <cell r="BN1281">
            <v>0</v>
          </cell>
          <cell r="BO1281">
            <v>0</v>
          </cell>
          <cell r="BP1281">
            <v>0</v>
          </cell>
          <cell r="BQ1281">
            <v>0</v>
          </cell>
          <cell r="BR1281">
            <v>0</v>
          </cell>
          <cell r="BS1281">
            <v>0</v>
          </cell>
          <cell r="BT1281">
            <v>0</v>
          </cell>
          <cell r="BU1281">
            <v>0</v>
          </cell>
          <cell r="BV1281">
            <v>0</v>
          </cell>
          <cell r="BW1281">
            <v>0</v>
          </cell>
          <cell r="BX1281">
            <v>0</v>
          </cell>
          <cell r="BY1281">
            <v>0</v>
          </cell>
          <cell r="BZ1281">
            <v>0</v>
          </cell>
          <cell r="CA1281">
            <v>0</v>
          </cell>
          <cell r="CB1281">
            <v>0</v>
          </cell>
          <cell r="CC1281">
            <v>0</v>
          </cell>
          <cell r="CD1281">
            <v>0</v>
          </cell>
          <cell r="CE1281">
            <v>0</v>
          </cell>
          <cell r="CF1281">
            <v>0</v>
          </cell>
          <cell r="CG1281">
            <v>0</v>
          </cell>
          <cell r="CH1281">
            <v>0</v>
          </cell>
          <cell r="CI1281">
            <v>0</v>
          </cell>
          <cell r="CJ1281">
            <v>0</v>
          </cell>
          <cell r="CK1281">
            <v>0</v>
          </cell>
          <cell r="CL1281">
            <v>0</v>
          </cell>
          <cell r="CM1281">
            <v>0</v>
          </cell>
          <cell r="CR1281">
            <v>0</v>
          </cell>
          <cell r="CS1281">
            <v>0</v>
          </cell>
          <cell r="CT1281">
            <v>0</v>
          </cell>
          <cell r="CU1281">
            <v>0</v>
          </cell>
          <cell r="CV1281">
            <v>0</v>
          </cell>
          <cell r="CZ1281">
            <v>0</v>
          </cell>
        </row>
        <row r="1282">
          <cell r="C1282" t="str">
            <v>05004</v>
          </cell>
          <cell r="D1282" t="str">
            <v xml:space="preserve">Thái Thị Hồng Đoan </v>
          </cell>
          <cell r="E1282" t="str">
            <v>QC</v>
          </cell>
          <cell r="F1282" t="str">
            <v>QC</v>
          </cell>
          <cell r="G1282" t="str">
            <v>Skilled worker</v>
          </cell>
          <cell r="H1282">
            <v>46086</v>
          </cell>
          <cell r="I1282" t="str">
            <v>X</v>
          </cell>
          <cell r="J1282" t="str">
            <v>X</v>
          </cell>
          <cell r="K1282" t="str">
            <v>X</v>
          </cell>
          <cell r="L1282" t="str">
            <v>X</v>
          </cell>
          <cell r="M1282" t="str">
            <v>X</v>
          </cell>
          <cell r="N1282" t="str">
            <v>X</v>
          </cell>
          <cell r="O1282" t="str">
            <v>X</v>
          </cell>
          <cell r="P1282">
            <v>8</v>
          </cell>
          <cell r="Q1282">
            <v>8</v>
          </cell>
          <cell r="R1282">
            <v>8</v>
          </cell>
          <cell r="S1282" t="str">
            <v>CN</v>
          </cell>
          <cell r="T1282">
            <v>8</v>
          </cell>
          <cell r="U1282">
            <v>8</v>
          </cell>
          <cell r="V1282">
            <v>8</v>
          </cell>
          <cell r="W1282">
            <v>8</v>
          </cell>
          <cell r="X1282">
            <v>8</v>
          </cell>
          <cell r="Y1282" t="str">
            <v>NP</v>
          </cell>
          <cell r="Z1282" t="str">
            <v>CN</v>
          </cell>
          <cell r="AA1282" t="str">
            <v>UP8</v>
          </cell>
          <cell r="AB1282" t="str">
            <v>UP8</v>
          </cell>
          <cell r="AC1282" t="str">
            <v>UP8</v>
          </cell>
          <cell r="AD1282" t="str">
            <v>TV</v>
          </cell>
          <cell r="AE1282" t="str">
            <v>TV</v>
          </cell>
          <cell r="AF1282" t="str">
            <v>TV</v>
          </cell>
          <cell r="AG1282" t="str">
            <v>TV</v>
          </cell>
          <cell r="AH1282" t="str">
            <v>TV</v>
          </cell>
          <cell r="AI1282" t="str">
            <v>TV</v>
          </cell>
          <cell r="AJ1282" t="str">
            <v>TV</v>
          </cell>
          <cell r="AN1282">
            <v>0</v>
          </cell>
          <cell r="AO1282">
            <v>64</v>
          </cell>
          <cell r="AP1282">
            <v>0</v>
          </cell>
          <cell r="AQ1282">
            <v>0</v>
          </cell>
          <cell r="AR1282">
            <v>0</v>
          </cell>
          <cell r="AS1282">
            <v>24</v>
          </cell>
          <cell r="AT1282">
            <v>1</v>
          </cell>
          <cell r="AU1282">
            <v>0</v>
          </cell>
          <cell r="AV1282">
            <v>0</v>
          </cell>
          <cell r="AW1282">
            <v>0</v>
          </cell>
          <cell r="AX1282">
            <v>0</v>
          </cell>
          <cell r="AY1282">
            <v>0</v>
          </cell>
          <cell r="AZ1282">
            <v>0</v>
          </cell>
          <cell r="BA1282">
            <v>0</v>
          </cell>
          <cell r="BB1282">
            <v>0</v>
          </cell>
          <cell r="BC1282">
            <v>0</v>
          </cell>
          <cell r="BD1282">
            <v>0</v>
          </cell>
          <cell r="BE1282">
            <v>0</v>
          </cell>
          <cell r="BF1282">
            <v>0</v>
          </cell>
          <cell r="BG1282">
            <v>64</v>
          </cell>
          <cell r="BH1282">
            <v>0</v>
          </cell>
          <cell r="BI1282">
            <v>0</v>
          </cell>
          <cell r="BJ1282">
            <v>1</v>
          </cell>
          <cell r="BL1282">
            <v>0</v>
          </cell>
          <cell r="BM1282">
            <v>0</v>
          </cell>
          <cell r="BN1282">
            <v>0</v>
          </cell>
          <cell r="BO1282">
            <v>0</v>
          </cell>
          <cell r="BP1282">
            <v>0</v>
          </cell>
          <cell r="BQ1282">
            <v>0</v>
          </cell>
          <cell r="BR1282">
            <v>0</v>
          </cell>
          <cell r="BS1282">
            <v>0</v>
          </cell>
          <cell r="BT1282">
            <v>0</v>
          </cell>
          <cell r="BU1282">
            <v>0</v>
          </cell>
          <cell r="BV1282">
            <v>0</v>
          </cell>
          <cell r="BW1282">
            <v>0</v>
          </cell>
          <cell r="BX1282">
            <v>0</v>
          </cell>
          <cell r="BY1282">
            <v>0</v>
          </cell>
          <cell r="BZ1282">
            <v>0</v>
          </cell>
          <cell r="CA1282">
            <v>0</v>
          </cell>
          <cell r="CB1282">
            <v>0</v>
          </cell>
          <cell r="CC1282">
            <v>0</v>
          </cell>
          <cell r="CD1282">
            <v>0</v>
          </cell>
          <cell r="CE1282">
            <v>0</v>
          </cell>
          <cell r="CF1282">
            <v>0</v>
          </cell>
          <cell r="CG1282">
            <v>0</v>
          </cell>
          <cell r="CH1282">
            <v>0</v>
          </cell>
          <cell r="CI1282">
            <v>0</v>
          </cell>
          <cell r="CJ1282">
            <v>0</v>
          </cell>
          <cell r="CK1282">
            <v>0</v>
          </cell>
          <cell r="CL1282">
            <v>0</v>
          </cell>
          <cell r="CM1282">
            <v>0</v>
          </cell>
          <cell r="CR1282">
            <v>0</v>
          </cell>
          <cell r="CS1282">
            <v>0</v>
          </cell>
          <cell r="CT1282">
            <v>0</v>
          </cell>
          <cell r="CU1282">
            <v>0</v>
          </cell>
          <cell r="CV1282">
            <v>0</v>
          </cell>
          <cell r="CZ1282">
            <v>0</v>
          </cell>
        </row>
        <row r="1283">
          <cell r="C1283" t="str">
            <v>05005</v>
          </cell>
          <cell r="D1283" t="str">
            <v>Trương Hoài Nhựt</v>
          </cell>
          <cell r="E1283" t="str">
            <v>QC</v>
          </cell>
          <cell r="F1283" t="str">
            <v>QC</v>
          </cell>
          <cell r="G1283" t="str">
            <v>Worker</v>
          </cell>
          <cell r="H1283">
            <v>46086</v>
          </cell>
          <cell r="I1283" t="str">
            <v>X</v>
          </cell>
          <cell r="J1283" t="str">
            <v>X</v>
          </cell>
          <cell r="K1283" t="str">
            <v>X</v>
          </cell>
          <cell r="L1283" t="str">
            <v>X</v>
          </cell>
          <cell r="M1283" t="str">
            <v>X</v>
          </cell>
          <cell r="N1283" t="str">
            <v>X</v>
          </cell>
          <cell r="O1283" t="str">
            <v>X</v>
          </cell>
          <cell r="P1283">
            <v>8</v>
          </cell>
          <cell r="Q1283" t="str">
            <v>UP8</v>
          </cell>
          <cell r="R1283" t="str">
            <v>UP8</v>
          </cell>
          <cell r="S1283" t="str">
            <v>CN</v>
          </cell>
          <cell r="T1283" t="str">
            <v>UP8</v>
          </cell>
          <cell r="U1283" t="str">
            <v>UP8</v>
          </cell>
          <cell r="V1283" t="str">
            <v>UP8</v>
          </cell>
          <cell r="W1283" t="str">
            <v>NP</v>
          </cell>
          <cell r="X1283" t="str">
            <v>NP</v>
          </cell>
          <cell r="Y1283" t="str">
            <v>NP</v>
          </cell>
          <cell r="Z1283" t="str">
            <v>CN</v>
          </cell>
          <cell r="AA1283" t="str">
            <v>NP</v>
          </cell>
          <cell r="AB1283" t="str">
            <v>NP</v>
          </cell>
          <cell r="AC1283" t="str">
            <v>TV</v>
          </cell>
          <cell r="AD1283" t="str">
            <v>TV</v>
          </cell>
          <cell r="AE1283" t="str">
            <v>TV</v>
          </cell>
          <cell r="AF1283" t="str">
            <v>TV</v>
          </cell>
          <cell r="AG1283" t="str">
            <v>TV</v>
          </cell>
          <cell r="AH1283" t="str">
            <v>TV</v>
          </cell>
          <cell r="AI1283" t="str">
            <v>TV</v>
          </cell>
          <cell r="AJ1283" t="str">
            <v>TV</v>
          </cell>
          <cell r="AN1283">
            <v>0</v>
          </cell>
          <cell r="AO1283">
            <v>8</v>
          </cell>
          <cell r="AP1283">
            <v>0</v>
          </cell>
          <cell r="AQ1283">
            <v>0</v>
          </cell>
          <cell r="AR1283">
            <v>0</v>
          </cell>
          <cell r="AS1283">
            <v>40</v>
          </cell>
          <cell r="AT1283">
            <v>5</v>
          </cell>
          <cell r="AU1283">
            <v>0</v>
          </cell>
          <cell r="AV1283">
            <v>0</v>
          </cell>
          <cell r="AW1283">
            <v>0</v>
          </cell>
          <cell r="AX1283">
            <v>0</v>
          </cell>
          <cell r="AY1283">
            <v>0</v>
          </cell>
          <cell r="AZ1283">
            <v>0</v>
          </cell>
          <cell r="BA1283">
            <v>0</v>
          </cell>
          <cell r="BB1283">
            <v>0</v>
          </cell>
          <cell r="BC1283">
            <v>0</v>
          </cell>
          <cell r="BD1283">
            <v>0</v>
          </cell>
          <cell r="BE1283">
            <v>0</v>
          </cell>
          <cell r="BF1283">
            <v>0</v>
          </cell>
          <cell r="BG1283">
            <v>8</v>
          </cell>
          <cell r="BH1283">
            <v>0</v>
          </cell>
          <cell r="BI1283">
            <v>0</v>
          </cell>
          <cell r="BJ1283">
            <v>1</v>
          </cell>
          <cell r="BL1283">
            <v>0</v>
          </cell>
          <cell r="BM1283">
            <v>0</v>
          </cell>
          <cell r="BN1283">
            <v>0</v>
          </cell>
          <cell r="BO1283">
            <v>0</v>
          </cell>
          <cell r="BP1283">
            <v>0</v>
          </cell>
          <cell r="BQ1283">
            <v>0</v>
          </cell>
          <cell r="BR1283">
            <v>0</v>
          </cell>
          <cell r="BS1283">
            <v>0</v>
          </cell>
          <cell r="BT1283">
            <v>0</v>
          </cell>
          <cell r="BU1283">
            <v>0</v>
          </cell>
          <cell r="BV1283">
            <v>0</v>
          </cell>
          <cell r="BW1283">
            <v>0</v>
          </cell>
          <cell r="BX1283">
            <v>0</v>
          </cell>
          <cell r="BY1283">
            <v>0</v>
          </cell>
          <cell r="BZ1283">
            <v>0</v>
          </cell>
          <cell r="CA1283">
            <v>0</v>
          </cell>
          <cell r="CB1283">
            <v>0</v>
          </cell>
          <cell r="CC1283">
            <v>0</v>
          </cell>
          <cell r="CD1283">
            <v>0</v>
          </cell>
          <cell r="CE1283">
            <v>0</v>
          </cell>
          <cell r="CF1283">
            <v>0</v>
          </cell>
          <cell r="CG1283">
            <v>0</v>
          </cell>
          <cell r="CH1283">
            <v>0</v>
          </cell>
          <cell r="CI1283">
            <v>0</v>
          </cell>
          <cell r="CJ1283">
            <v>0</v>
          </cell>
          <cell r="CK1283">
            <v>0</v>
          </cell>
          <cell r="CL1283">
            <v>0</v>
          </cell>
          <cell r="CM1283">
            <v>0</v>
          </cell>
          <cell r="CR1283">
            <v>0</v>
          </cell>
          <cell r="CS1283">
            <v>0</v>
          </cell>
          <cell r="CT1283">
            <v>0</v>
          </cell>
          <cell r="CU1283">
            <v>0</v>
          </cell>
          <cell r="CV1283">
            <v>0</v>
          </cell>
          <cell r="CZ1283">
            <v>0</v>
          </cell>
        </row>
        <row r="1284">
          <cell r="C1284" t="str">
            <v>05006</v>
          </cell>
          <cell r="D1284" t="str">
            <v>Nguyễn Phúc Huỳnh</v>
          </cell>
          <cell r="E1284" t="str">
            <v>Production</v>
          </cell>
          <cell r="F1284" t="str">
            <v>Skiving</v>
          </cell>
          <cell r="G1284" t="str">
            <v>Team Leader</v>
          </cell>
          <cell r="H1284">
            <v>46090</v>
          </cell>
          <cell r="I1284" t="str">
            <v>X</v>
          </cell>
          <cell r="J1284" t="str">
            <v>X</v>
          </cell>
          <cell r="K1284" t="str">
            <v>X</v>
          </cell>
          <cell r="L1284" t="str">
            <v>X</v>
          </cell>
          <cell r="M1284" t="str">
            <v>X</v>
          </cell>
          <cell r="N1284" t="str">
            <v>X</v>
          </cell>
          <cell r="O1284" t="str">
            <v>X</v>
          </cell>
          <cell r="P1284" t="str">
            <v>X</v>
          </cell>
          <cell r="Q1284" t="str">
            <v>X</v>
          </cell>
          <cell r="R1284" t="str">
            <v>X</v>
          </cell>
          <cell r="S1284" t="str">
            <v>X</v>
          </cell>
          <cell r="T1284">
            <v>8</v>
          </cell>
          <cell r="U1284" t="str">
            <v>Đ</v>
          </cell>
          <cell r="V1284" t="str">
            <v>Đ</v>
          </cell>
          <cell r="W1284" t="str">
            <v>Đ</v>
          </cell>
          <cell r="X1284" t="str">
            <v>Đ</v>
          </cell>
          <cell r="Y1284" t="str">
            <v>Đ</v>
          </cell>
          <cell r="Z1284" t="str">
            <v>CN</v>
          </cell>
          <cell r="AA1284" t="str">
            <v>NP</v>
          </cell>
          <cell r="AB1284">
            <v>8</v>
          </cell>
          <cell r="AC1284">
            <v>8</v>
          </cell>
          <cell r="AD1284">
            <v>8</v>
          </cell>
          <cell r="AE1284">
            <v>8</v>
          </cell>
          <cell r="AF1284" t="str">
            <v>NP</v>
          </cell>
          <cell r="AG1284" t="str">
            <v>CN</v>
          </cell>
          <cell r="AH1284" t="str">
            <v>NP</v>
          </cell>
          <cell r="AI1284" t="str">
            <v>NP</v>
          </cell>
          <cell r="AJ1284" t="str">
            <v>NP</v>
          </cell>
          <cell r="AN1284">
            <v>40</v>
          </cell>
          <cell r="AO1284">
            <v>40</v>
          </cell>
          <cell r="AP1284">
            <v>0</v>
          </cell>
          <cell r="AQ1284">
            <v>0</v>
          </cell>
          <cell r="AR1284">
            <v>0</v>
          </cell>
          <cell r="AS1284">
            <v>0</v>
          </cell>
          <cell r="AT1284">
            <v>5</v>
          </cell>
          <cell r="AU1284">
            <v>0</v>
          </cell>
          <cell r="AV1284">
            <v>0</v>
          </cell>
          <cell r="AW1284">
            <v>0</v>
          </cell>
          <cell r="AX1284">
            <v>0</v>
          </cell>
          <cell r="AY1284">
            <v>0</v>
          </cell>
          <cell r="AZ1284">
            <v>0</v>
          </cell>
          <cell r="BA1284">
            <v>0</v>
          </cell>
          <cell r="BB1284">
            <v>0</v>
          </cell>
          <cell r="BC1284">
            <v>0</v>
          </cell>
          <cell r="BD1284">
            <v>0</v>
          </cell>
          <cell r="BE1284">
            <v>0</v>
          </cell>
          <cell r="BF1284">
            <v>0</v>
          </cell>
          <cell r="BG1284">
            <v>80</v>
          </cell>
          <cell r="BH1284">
            <v>0</v>
          </cell>
          <cell r="BI1284">
            <v>0</v>
          </cell>
          <cell r="BJ1284">
            <v>1.5</v>
          </cell>
          <cell r="BL1284">
            <v>0</v>
          </cell>
          <cell r="BM1284">
            <v>0</v>
          </cell>
          <cell r="BN1284">
            <v>0</v>
          </cell>
          <cell r="BO1284">
            <v>0</v>
          </cell>
          <cell r="BP1284">
            <v>0</v>
          </cell>
          <cell r="BQ1284">
            <v>0</v>
          </cell>
          <cell r="BR1284">
            <v>0</v>
          </cell>
          <cell r="BS1284">
            <v>0</v>
          </cell>
          <cell r="BT1284">
            <v>0</v>
          </cell>
          <cell r="BU1284">
            <v>0</v>
          </cell>
          <cell r="BV1284">
            <v>0</v>
          </cell>
          <cell r="BW1284">
            <v>0</v>
          </cell>
          <cell r="BX1284">
            <v>0</v>
          </cell>
          <cell r="BY1284">
            <v>0</v>
          </cell>
          <cell r="BZ1284">
            <v>4</v>
          </cell>
          <cell r="CA1284">
            <v>4</v>
          </cell>
          <cell r="CB1284">
            <v>4</v>
          </cell>
          <cell r="CC1284">
            <v>0</v>
          </cell>
          <cell r="CD1284">
            <v>0</v>
          </cell>
          <cell r="CE1284">
            <v>3</v>
          </cell>
          <cell r="CF1284">
            <v>3</v>
          </cell>
          <cell r="CG1284">
            <v>3</v>
          </cell>
          <cell r="CH1284">
            <v>1.5</v>
          </cell>
          <cell r="CI1284">
            <v>0</v>
          </cell>
          <cell r="CJ1284">
            <v>0</v>
          </cell>
          <cell r="CK1284">
            <v>0</v>
          </cell>
          <cell r="CL1284">
            <v>0</v>
          </cell>
          <cell r="CM1284">
            <v>0</v>
          </cell>
          <cell r="CR1284">
            <v>0</v>
          </cell>
          <cell r="CS1284">
            <v>0</v>
          </cell>
          <cell r="CT1284">
            <v>22.5</v>
          </cell>
          <cell r="CU1284">
            <v>0</v>
          </cell>
          <cell r="CV1284">
            <v>0</v>
          </cell>
          <cell r="CZ1284">
            <v>22.5</v>
          </cell>
        </row>
        <row r="1285">
          <cell r="C1285" t="str">
            <v>05007</v>
          </cell>
          <cell r="D1285" t="str">
            <v>Ngô Hó Em</v>
          </cell>
          <cell r="E1285" t="str">
            <v>QC</v>
          </cell>
          <cell r="F1285" t="str">
            <v>QC</v>
          </cell>
          <cell r="G1285" t="str">
            <v>Skilled worker</v>
          </cell>
          <cell r="H1285">
            <v>46093</v>
          </cell>
          <cell r="I1285" t="str">
            <v>X</v>
          </cell>
          <cell r="J1285" t="str">
            <v>X</v>
          </cell>
          <cell r="K1285" t="str">
            <v>X</v>
          </cell>
          <cell r="L1285" t="str">
            <v>X</v>
          </cell>
          <cell r="M1285" t="str">
            <v>X</v>
          </cell>
          <cell r="N1285" t="str">
            <v>X</v>
          </cell>
          <cell r="O1285" t="str">
            <v>X</v>
          </cell>
          <cell r="P1285" t="str">
            <v>X</v>
          </cell>
          <cell r="Q1285" t="str">
            <v>X</v>
          </cell>
          <cell r="R1285" t="str">
            <v>X</v>
          </cell>
          <cell r="S1285" t="str">
            <v>X</v>
          </cell>
          <cell r="T1285" t="str">
            <v>X</v>
          </cell>
          <cell r="U1285" t="str">
            <v>X</v>
          </cell>
          <cell r="V1285" t="str">
            <v>X</v>
          </cell>
          <cell r="W1285">
            <v>8</v>
          </cell>
          <cell r="X1285">
            <v>8</v>
          </cell>
          <cell r="Y1285">
            <v>8</v>
          </cell>
          <cell r="Z1285" t="str">
            <v>CN</v>
          </cell>
          <cell r="AA1285">
            <v>8</v>
          </cell>
          <cell r="AB1285" t="str">
            <v>UP8</v>
          </cell>
          <cell r="AC1285" t="str">
            <v>NP</v>
          </cell>
          <cell r="AD1285" t="str">
            <v>TV</v>
          </cell>
          <cell r="AE1285" t="str">
            <v>TV</v>
          </cell>
          <cell r="AF1285" t="str">
            <v>TV</v>
          </cell>
          <cell r="AG1285" t="str">
            <v>TV</v>
          </cell>
          <cell r="AH1285" t="str">
            <v>TV</v>
          </cell>
          <cell r="AI1285" t="str">
            <v>TV</v>
          </cell>
          <cell r="AJ1285" t="str">
            <v>TV</v>
          </cell>
          <cell r="AN1285">
            <v>0</v>
          </cell>
          <cell r="AO1285">
            <v>32</v>
          </cell>
          <cell r="AP1285">
            <v>0</v>
          </cell>
          <cell r="AQ1285">
            <v>0</v>
          </cell>
          <cell r="AR1285">
            <v>0</v>
          </cell>
          <cell r="AS1285">
            <v>8</v>
          </cell>
          <cell r="AT1285">
            <v>1</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32</v>
          </cell>
          <cell r="BH1285">
            <v>0</v>
          </cell>
          <cell r="BI1285">
            <v>0</v>
          </cell>
          <cell r="BJ1285">
            <v>1</v>
          </cell>
          <cell r="BL1285">
            <v>0</v>
          </cell>
          <cell r="BM1285">
            <v>0</v>
          </cell>
          <cell r="BN1285">
            <v>0</v>
          </cell>
          <cell r="BO1285">
            <v>0</v>
          </cell>
          <cell r="BP1285">
            <v>0</v>
          </cell>
          <cell r="BQ1285">
            <v>0</v>
          </cell>
          <cell r="BR1285">
            <v>0</v>
          </cell>
          <cell r="BS1285">
            <v>0</v>
          </cell>
          <cell r="BT1285">
            <v>0</v>
          </cell>
          <cell r="BU1285">
            <v>0</v>
          </cell>
          <cell r="BV1285">
            <v>0</v>
          </cell>
          <cell r="BW1285">
            <v>0</v>
          </cell>
          <cell r="BX1285">
            <v>0</v>
          </cell>
          <cell r="BY1285">
            <v>0</v>
          </cell>
          <cell r="BZ1285">
            <v>0</v>
          </cell>
          <cell r="CA1285">
            <v>0</v>
          </cell>
          <cell r="CB1285">
            <v>0</v>
          </cell>
          <cell r="CC1285">
            <v>0</v>
          </cell>
          <cell r="CD1285">
            <v>0</v>
          </cell>
          <cell r="CE1285">
            <v>0</v>
          </cell>
          <cell r="CF1285">
            <v>0</v>
          </cell>
          <cell r="CG1285">
            <v>0</v>
          </cell>
          <cell r="CH1285">
            <v>0</v>
          </cell>
          <cell r="CI1285">
            <v>0</v>
          </cell>
          <cell r="CJ1285">
            <v>0</v>
          </cell>
          <cell r="CK1285">
            <v>0</v>
          </cell>
          <cell r="CL1285">
            <v>0</v>
          </cell>
          <cell r="CM1285">
            <v>0</v>
          </cell>
          <cell r="CR1285">
            <v>0</v>
          </cell>
          <cell r="CS1285">
            <v>0</v>
          </cell>
          <cell r="CT1285">
            <v>0</v>
          </cell>
          <cell r="CU1285">
            <v>0</v>
          </cell>
          <cell r="CV1285">
            <v>0</v>
          </cell>
          <cell r="CZ1285">
            <v>0</v>
          </cell>
        </row>
        <row r="1286">
          <cell r="C1286" t="str">
            <v>05008</v>
          </cell>
          <cell r="D1286" t="str">
            <v>Danh Thị Mỹ Thương</v>
          </cell>
          <cell r="E1286" t="str">
            <v>QC</v>
          </cell>
          <cell r="F1286" t="str">
            <v>QC</v>
          </cell>
          <cell r="G1286" t="str">
            <v>Worker</v>
          </cell>
          <cell r="H1286">
            <v>46093</v>
          </cell>
          <cell r="I1286" t="str">
            <v>X</v>
          </cell>
          <cell r="J1286" t="str">
            <v>X</v>
          </cell>
          <cell r="K1286" t="str">
            <v>X</v>
          </cell>
          <cell r="L1286" t="str">
            <v>X</v>
          </cell>
          <cell r="M1286" t="str">
            <v>X</v>
          </cell>
          <cell r="N1286" t="str">
            <v>X</v>
          </cell>
          <cell r="O1286" t="str">
            <v>X</v>
          </cell>
          <cell r="P1286" t="str">
            <v>X</v>
          </cell>
          <cell r="Q1286" t="str">
            <v>X</v>
          </cell>
          <cell r="R1286" t="str">
            <v>X</v>
          </cell>
          <cell r="S1286" t="str">
            <v>X</v>
          </cell>
          <cell r="T1286" t="str">
            <v>X</v>
          </cell>
          <cell r="U1286" t="str">
            <v>X</v>
          </cell>
          <cell r="V1286" t="str">
            <v>X</v>
          </cell>
          <cell r="W1286">
            <v>8</v>
          </cell>
          <cell r="X1286">
            <v>8</v>
          </cell>
          <cell r="Y1286">
            <v>8</v>
          </cell>
          <cell r="Z1286" t="str">
            <v>CN</v>
          </cell>
          <cell r="AA1286">
            <v>8</v>
          </cell>
          <cell r="AB1286">
            <v>8</v>
          </cell>
          <cell r="AC1286">
            <v>8</v>
          </cell>
          <cell r="AD1286">
            <v>8</v>
          </cell>
          <cell r="AE1286">
            <v>8</v>
          </cell>
          <cell r="AF1286">
            <v>8</v>
          </cell>
          <cell r="AG1286" t="str">
            <v>CN</v>
          </cell>
          <cell r="AH1286">
            <v>8</v>
          </cell>
          <cell r="AI1286">
            <v>8</v>
          </cell>
          <cell r="AJ1286">
            <v>8</v>
          </cell>
          <cell r="AN1286">
            <v>0</v>
          </cell>
          <cell r="AO1286">
            <v>96</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96</v>
          </cell>
          <cell r="BH1286">
            <v>0</v>
          </cell>
          <cell r="BI1286">
            <v>0</v>
          </cell>
          <cell r="BJ1286">
            <v>2</v>
          </cell>
          <cell r="BL1286">
            <v>0</v>
          </cell>
          <cell r="BM1286">
            <v>0</v>
          </cell>
          <cell r="BN1286">
            <v>0</v>
          </cell>
          <cell r="BO1286">
            <v>0</v>
          </cell>
          <cell r="BP1286">
            <v>0</v>
          </cell>
          <cell r="BQ1286">
            <v>0</v>
          </cell>
          <cell r="BR1286">
            <v>0</v>
          </cell>
          <cell r="BS1286">
            <v>0</v>
          </cell>
          <cell r="BT1286">
            <v>0</v>
          </cell>
          <cell r="BU1286">
            <v>0</v>
          </cell>
          <cell r="BV1286">
            <v>0</v>
          </cell>
          <cell r="BW1286">
            <v>0</v>
          </cell>
          <cell r="BX1286">
            <v>0</v>
          </cell>
          <cell r="BY1286">
            <v>0</v>
          </cell>
          <cell r="BZ1286">
            <v>0</v>
          </cell>
          <cell r="CA1286">
            <v>0</v>
          </cell>
          <cell r="CB1286">
            <v>0</v>
          </cell>
          <cell r="CC1286">
            <v>0</v>
          </cell>
          <cell r="CD1286">
            <v>2</v>
          </cell>
          <cell r="CE1286">
            <v>2</v>
          </cell>
          <cell r="CF1286">
            <v>2</v>
          </cell>
          <cell r="CG1286">
            <v>2</v>
          </cell>
          <cell r="CH1286">
            <v>3</v>
          </cell>
          <cell r="CI1286">
            <v>2</v>
          </cell>
          <cell r="CJ1286">
            <v>0</v>
          </cell>
          <cell r="CK1286">
            <v>3</v>
          </cell>
          <cell r="CL1286">
            <v>2</v>
          </cell>
          <cell r="CM1286">
            <v>2</v>
          </cell>
          <cell r="CR1286">
            <v>0</v>
          </cell>
          <cell r="CS1286">
            <v>0</v>
          </cell>
          <cell r="CT1286">
            <v>20</v>
          </cell>
          <cell r="CU1286">
            <v>0</v>
          </cell>
          <cell r="CV1286">
            <v>0</v>
          </cell>
          <cell r="CZ1286">
            <v>20</v>
          </cell>
        </row>
        <row r="1287">
          <cell r="C1287" t="str">
            <v>05009</v>
          </cell>
          <cell r="D1287" t="str">
            <v>Nguyễn Thị Thanh Quyên</v>
          </cell>
          <cell r="E1287" t="str">
            <v>Production</v>
          </cell>
          <cell r="F1287" t="str">
            <v>Logo</v>
          </cell>
          <cell r="G1287" t="str">
            <v>Worker</v>
          </cell>
          <cell r="H1287">
            <v>46093</v>
          </cell>
          <cell r="I1287" t="str">
            <v>X</v>
          </cell>
          <cell r="J1287" t="str">
            <v>X</v>
          </cell>
          <cell r="K1287" t="str">
            <v>X</v>
          </cell>
          <cell r="L1287" t="str">
            <v>X</v>
          </cell>
          <cell r="M1287" t="str">
            <v>X</v>
          </cell>
          <cell r="N1287" t="str">
            <v>X</v>
          </cell>
          <cell r="O1287" t="str">
            <v>X</v>
          </cell>
          <cell r="P1287" t="str">
            <v>X</v>
          </cell>
          <cell r="Q1287" t="str">
            <v>X</v>
          </cell>
          <cell r="R1287" t="str">
            <v>X</v>
          </cell>
          <cell r="S1287" t="str">
            <v>X</v>
          </cell>
          <cell r="T1287" t="str">
            <v>X</v>
          </cell>
          <cell r="U1287" t="str">
            <v>X</v>
          </cell>
          <cell r="V1287" t="str">
            <v>X</v>
          </cell>
          <cell r="W1287">
            <v>8</v>
          </cell>
          <cell r="X1287">
            <v>8</v>
          </cell>
          <cell r="Y1287">
            <v>8</v>
          </cell>
          <cell r="Z1287" t="str">
            <v>CN</v>
          </cell>
          <cell r="AA1287" t="str">
            <v>Đ</v>
          </cell>
          <cell r="AB1287" t="str">
            <v>Đ</v>
          </cell>
          <cell r="AC1287" t="str">
            <v>Đ</v>
          </cell>
          <cell r="AD1287" t="str">
            <v>Đ</v>
          </cell>
          <cell r="AE1287" t="str">
            <v>Đ</v>
          </cell>
          <cell r="AF1287" t="str">
            <v>Đ</v>
          </cell>
          <cell r="AG1287" t="str">
            <v>CN</v>
          </cell>
          <cell r="AH1287">
            <v>8</v>
          </cell>
          <cell r="AI1287">
            <v>8</v>
          </cell>
          <cell r="AJ1287">
            <v>8</v>
          </cell>
          <cell r="AN1287">
            <v>48</v>
          </cell>
          <cell r="AO1287">
            <v>48</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96</v>
          </cell>
          <cell r="BH1287">
            <v>0</v>
          </cell>
          <cell r="BI1287">
            <v>0</v>
          </cell>
          <cell r="BJ1287">
            <v>2</v>
          </cell>
          <cell r="BL1287">
            <v>0</v>
          </cell>
          <cell r="BM1287">
            <v>0</v>
          </cell>
          <cell r="BN1287">
            <v>0</v>
          </cell>
          <cell r="BO1287">
            <v>0</v>
          </cell>
          <cell r="BP1287">
            <v>0</v>
          </cell>
          <cell r="BQ1287">
            <v>0</v>
          </cell>
          <cell r="BR1287">
            <v>0</v>
          </cell>
          <cell r="BS1287">
            <v>0</v>
          </cell>
          <cell r="BT1287">
            <v>0</v>
          </cell>
          <cell r="BU1287">
            <v>0</v>
          </cell>
          <cell r="BV1287">
            <v>0</v>
          </cell>
          <cell r="BW1287">
            <v>0</v>
          </cell>
          <cell r="BX1287">
            <v>0</v>
          </cell>
          <cell r="BY1287">
            <v>0</v>
          </cell>
          <cell r="BZ1287">
            <v>0</v>
          </cell>
          <cell r="CA1287">
            <v>0</v>
          </cell>
          <cell r="CB1287">
            <v>0</v>
          </cell>
          <cell r="CC1287">
            <v>0</v>
          </cell>
          <cell r="CD1287">
            <v>0</v>
          </cell>
          <cell r="CE1287">
            <v>4</v>
          </cell>
          <cell r="CF1287">
            <v>4</v>
          </cell>
          <cell r="CG1287">
            <v>4</v>
          </cell>
          <cell r="CH1287">
            <v>4</v>
          </cell>
          <cell r="CI1287">
            <v>4</v>
          </cell>
          <cell r="CJ1287">
            <v>0</v>
          </cell>
          <cell r="CK1287">
            <v>3</v>
          </cell>
          <cell r="CL1287">
            <v>3</v>
          </cell>
          <cell r="CM1287">
            <v>3</v>
          </cell>
          <cell r="CR1287">
            <v>0</v>
          </cell>
          <cell r="CS1287">
            <v>0</v>
          </cell>
          <cell r="CT1287">
            <v>29</v>
          </cell>
          <cell r="CU1287">
            <v>0</v>
          </cell>
          <cell r="CV1287">
            <v>0</v>
          </cell>
          <cell r="CZ1287">
            <v>29</v>
          </cell>
        </row>
        <row r="1288">
          <cell r="C1288" t="str">
            <v>05010</v>
          </cell>
          <cell r="D1288" t="str">
            <v>Nguyễn Thị Kim Ngân</v>
          </cell>
          <cell r="E1288" t="str">
            <v>Production</v>
          </cell>
          <cell r="F1288" t="str">
            <v>Logo</v>
          </cell>
          <cell r="G1288" t="str">
            <v>Worker</v>
          </cell>
          <cell r="H1288">
            <v>46093</v>
          </cell>
          <cell r="I1288" t="str">
            <v>X</v>
          </cell>
          <cell r="J1288" t="str">
            <v>X</v>
          </cell>
          <cell r="K1288" t="str">
            <v>X</v>
          </cell>
          <cell r="L1288" t="str">
            <v>X</v>
          </cell>
          <cell r="M1288" t="str">
            <v>X</v>
          </cell>
          <cell r="N1288" t="str">
            <v>X</v>
          </cell>
          <cell r="O1288" t="str">
            <v>X</v>
          </cell>
          <cell r="P1288" t="str">
            <v>X</v>
          </cell>
          <cell r="Q1288" t="str">
            <v>X</v>
          </cell>
          <cell r="R1288" t="str">
            <v>X</v>
          </cell>
          <cell r="S1288" t="str">
            <v>X</v>
          </cell>
          <cell r="T1288" t="str">
            <v>X</v>
          </cell>
          <cell r="U1288" t="str">
            <v>X</v>
          </cell>
          <cell r="V1288" t="str">
            <v>X</v>
          </cell>
          <cell r="W1288">
            <v>8</v>
          </cell>
          <cell r="X1288">
            <v>8</v>
          </cell>
          <cell r="Y1288">
            <v>8</v>
          </cell>
          <cell r="Z1288" t="str">
            <v>CN</v>
          </cell>
          <cell r="AA1288" t="str">
            <v>Đ</v>
          </cell>
          <cell r="AB1288" t="str">
            <v>Đ</v>
          </cell>
          <cell r="AC1288" t="str">
            <v>Đ</v>
          </cell>
          <cell r="AD1288" t="str">
            <v>Đ</v>
          </cell>
          <cell r="AE1288" t="str">
            <v>Đ</v>
          </cell>
          <cell r="AF1288" t="str">
            <v>Đ</v>
          </cell>
          <cell r="AG1288" t="str">
            <v>CN</v>
          </cell>
          <cell r="AH1288">
            <v>8</v>
          </cell>
          <cell r="AI1288">
            <v>8</v>
          </cell>
          <cell r="AJ1288">
            <v>8</v>
          </cell>
          <cell r="AN1288">
            <v>48</v>
          </cell>
          <cell r="AO1288">
            <v>48</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96</v>
          </cell>
          <cell r="BH1288">
            <v>0</v>
          </cell>
          <cell r="BI1288">
            <v>0</v>
          </cell>
          <cell r="BJ1288">
            <v>2</v>
          </cell>
          <cell r="BL1288">
            <v>0</v>
          </cell>
          <cell r="BM1288">
            <v>0</v>
          </cell>
          <cell r="BN1288">
            <v>0</v>
          </cell>
          <cell r="BO1288">
            <v>0</v>
          </cell>
          <cell r="BP1288">
            <v>0</v>
          </cell>
          <cell r="BQ1288">
            <v>0</v>
          </cell>
          <cell r="BR1288">
            <v>0</v>
          </cell>
          <cell r="BS1288">
            <v>0</v>
          </cell>
          <cell r="BT1288">
            <v>0</v>
          </cell>
          <cell r="BU1288">
            <v>0</v>
          </cell>
          <cell r="BV1288">
            <v>0</v>
          </cell>
          <cell r="BW1288">
            <v>0</v>
          </cell>
          <cell r="BX1288">
            <v>0</v>
          </cell>
          <cell r="BY1288">
            <v>0</v>
          </cell>
          <cell r="BZ1288">
            <v>0</v>
          </cell>
          <cell r="CA1288">
            <v>0</v>
          </cell>
          <cell r="CB1288">
            <v>0</v>
          </cell>
          <cell r="CC1288">
            <v>0</v>
          </cell>
          <cell r="CD1288">
            <v>0</v>
          </cell>
          <cell r="CE1288">
            <v>4</v>
          </cell>
          <cell r="CF1288">
            <v>4</v>
          </cell>
          <cell r="CG1288">
            <v>4</v>
          </cell>
          <cell r="CH1288">
            <v>4</v>
          </cell>
          <cell r="CI1288">
            <v>4</v>
          </cell>
          <cell r="CJ1288">
            <v>0</v>
          </cell>
          <cell r="CK1288">
            <v>3</v>
          </cell>
          <cell r="CL1288">
            <v>3</v>
          </cell>
          <cell r="CM1288">
            <v>3</v>
          </cell>
          <cell r="CR1288">
            <v>0</v>
          </cell>
          <cell r="CS1288">
            <v>0</v>
          </cell>
          <cell r="CT1288">
            <v>29</v>
          </cell>
          <cell r="CU1288">
            <v>0</v>
          </cell>
          <cell r="CV1288">
            <v>0</v>
          </cell>
          <cell r="CZ1288">
            <v>29</v>
          </cell>
        </row>
        <row r="1289">
          <cell r="C1289" t="str">
            <v>05011</v>
          </cell>
          <cell r="D1289" t="str">
            <v>Trần Khánh Quy</v>
          </cell>
          <cell r="E1289" t="str">
            <v>Production</v>
          </cell>
          <cell r="F1289" t="str">
            <v>Die cut</v>
          </cell>
          <cell r="G1289" t="str">
            <v>Worker</v>
          </cell>
          <cell r="H1289">
            <v>46093</v>
          </cell>
          <cell r="I1289" t="str">
            <v>X</v>
          </cell>
          <cell r="J1289" t="str">
            <v>X</v>
          </cell>
          <cell r="K1289" t="str">
            <v>X</v>
          </cell>
          <cell r="L1289" t="str">
            <v>X</v>
          </cell>
          <cell r="M1289" t="str">
            <v>X</v>
          </cell>
          <cell r="N1289" t="str">
            <v>X</v>
          </cell>
          <cell r="O1289" t="str">
            <v>X</v>
          </cell>
          <cell r="P1289" t="str">
            <v>X</v>
          </cell>
          <cell r="Q1289" t="str">
            <v>X</v>
          </cell>
          <cell r="R1289" t="str">
            <v>X</v>
          </cell>
          <cell r="S1289" t="str">
            <v>X</v>
          </cell>
          <cell r="T1289" t="str">
            <v>X</v>
          </cell>
          <cell r="U1289" t="str">
            <v>X</v>
          </cell>
          <cell r="V1289" t="str">
            <v>X</v>
          </cell>
          <cell r="W1289">
            <v>8</v>
          </cell>
          <cell r="X1289">
            <v>8</v>
          </cell>
          <cell r="Y1289">
            <v>8</v>
          </cell>
          <cell r="Z1289" t="str">
            <v>CN</v>
          </cell>
          <cell r="AA1289" t="str">
            <v>Đ</v>
          </cell>
          <cell r="AB1289" t="str">
            <v>Đ</v>
          </cell>
          <cell r="AC1289" t="str">
            <v>Đ</v>
          </cell>
          <cell r="AD1289" t="str">
            <v>Đ</v>
          </cell>
          <cell r="AE1289" t="str">
            <v>Đ</v>
          </cell>
          <cell r="AF1289" t="str">
            <v>Đ</v>
          </cell>
          <cell r="AG1289" t="str">
            <v>CN</v>
          </cell>
          <cell r="AH1289">
            <v>8</v>
          </cell>
          <cell r="AI1289">
            <v>8</v>
          </cell>
          <cell r="AJ1289">
            <v>8</v>
          </cell>
          <cell r="AN1289">
            <v>48</v>
          </cell>
          <cell r="AO1289">
            <v>48</v>
          </cell>
          <cell r="AP1289">
            <v>0</v>
          </cell>
          <cell r="AQ1289">
            <v>0</v>
          </cell>
          <cell r="AR1289">
            <v>0</v>
          </cell>
          <cell r="AS1289">
            <v>0</v>
          </cell>
          <cell r="AT1289">
            <v>0</v>
          </cell>
          <cell r="AU1289">
            <v>0</v>
          </cell>
          <cell r="AV1289">
            <v>0</v>
          </cell>
          <cell r="AW1289">
            <v>0</v>
          </cell>
          <cell r="AX1289">
            <v>0</v>
          </cell>
          <cell r="AY1289">
            <v>0</v>
          </cell>
          <cell r="AZ1289">
            <v>0</v>
          </cell>
          <cell r="BA1289">
            <v>0</v>
          </cell>
          <cell r="BB1289">
            <v>0</v>
          </cell>
          <cell r="BC1289">
            <v>0</v>
          </cell>
          <cell r="BD1289">
            <v>0</v>
          </cell>
          <cell r="BE1289">
            <v>0</v>
          </cell>
          <cell r="BF1289">
            <v>0</v>
          </cell>
          <cell r="BG1289">
            <v>96</v>
          </cell>
          <cell r="BH1289">
            <v>0</v>
          </cell>
          <cell r="BI1289">
            <v>0</v>
          </cell>
          <cell r="BJ1289">
            <v>2</v>
          </cell>
          <cell r="BL1289">
            <v>0</v>
          </cell>
          <cell r="BM1289">
            <v>0</v>
          </cell>
          <cell r="BN1289">
            <v>0</v>
          </cell>
          <cell r="BO1289">
            <v>0</v>
          </cell>
          <cell r="BP1289">
            <v>0</v>
          </cell>
          <cell r="BQ1289">
            <v>0</v>
          </cell>
          <cell r="BR1289">
            <v>0</v>
          </cell>
          <cell r="BS1289">
            <v>0</v>
          </cell>
          <cell r="BT1289">
            <v>0</v>
          </cell>
          <cell r="BU1289">
            <v>0</v>
          </cell>
          <cell r="BV1289">
            <v>0</v>
          </cell>
          <cell r="BW1289">
            <v>0</v>
          </cell>
          <cell r="BX1289">
            <v>0</v>
          </cell>
          <cell r="BY1289">
            <v>0</v>
          </cell>
          <cell r="BZ1289">
            <v>0</v>
          </cell>
          <cell r="CA1289">
            <v>0</v>
          </cell>
          <cell r="CB1289">
            <v>0</v>
          </cell>
          <cell r="CC1289">
            <v>0</v>
          </cell>
          <cell r="CD1289">
            <v>4</v>
          </cell>
          <cell r="CE1289">
            <v>4</v>
          </cell>
          <cell r="CF1289">
            <v>4</v>
          </cell>
          <cell r="CG1289">
            <v>4</v>
          </cell>
          <cell r="CH1289">
            <v>4</v>
          </cell>
          <cell r="CI1289">
            <v>4</v>
          </cell>
          <cell r="CJ1289">
            <v>0</v>
          </cell>
          <cell r="CK1289">
            <v>3</v>
          </cell>
          <cell r="CL1289">
            <v>3</v>
          </cell>
          <cell r="CM1289">
            <v>3</v>
          </cell>
          <cell r="CR1289">
            <v>0</v>
          </cell>
          <cell r="CS1289">
            <v>0</v>
          </cell>
          <cell r="CT1289">
            <v>33</v>
          </cell>
          <cell r="CU1289">
            <v>0</v>
          </cell>
          <cell r="CV1289">
            <v>0</v>
          </cell>
          <cell r="CZ1289">
            <v>33</v>
          </cell>
        </row>
        <row r="1290">
          <cell r="C1290" t="str">
            <v>05012</v>
          </cell>
          <cell r="D1290" t="str">
            <v>Dương Thị Hồng Trang</v>
          </cell>
          <cell r="E1290" t="str">
            <v>Production</v>
          </cell>
          <cell r="F1290" t="str">
            <v>Logo</v>
          </cell>
          <cell r="G1290" t="str">
            <v>Worker</v>
          </cell>
          <cell r="H1290">
            <v>46093</v>
          </cell>
          <cell r="I1290" t="str">
            <v>X</v>
          </cell>
          <cell r="J1290" t="str">
            <v>X</v>
          </cell>
          <cell r="K1290" t="str">
            <v>X</v>
          </cell>
          <cell r="L1290" t="str">
            <v>X</v>
          </cell>
          <cell r="M1290" t="str">
            <v>X</v>
          </cell>
          <cell r="N1290" t="str">
            <v>X</v>
          </cell>
          <cell r="O1290" t="str">
            <v>X</v>
          </cell>
          <cell r="P1290" t="str">
            <v>X</v>
          </cell>
          <cell r="Q1290" t="str">
            <v>X</v>
          </cell>
          <cell r="R1290" t="str">
            <v>X</v>
          </cell>
          <cell r="S1290" t="str">
            <v>X</v>
          </cell>
          <cell r="T1290" t="str">
            <v>X</v>
          </cell>
          <cell r="U1290" t="str">
            <v>X</v>
          </cell>
          <cell r="V1290" t="str">
            <v>X</v>
          </cell>
          <cell r="W1290">
            <v>8</v>
          </cell>
          <cell r="X1290">
            <v>8</v>
          </cell>
          <cell r="Y1290">
            <v>8</v>
          </cell>
          <cell r="Z1290" t="str">
            <v>CN</v>
          </cell>
          <cell r="AA1290" t="str">
            <v>Đ</v>
          </cell>
          <cell r="AB1290" t="str">
            <v>Đ</v>
          </cell>
          <cell r="AC1290" t="str">
            <v>Đ</v>
          </cell>
          <cell r="AD1290" t="str">
            <v>Đ</v>
          </cell>
          <cell r="AE1290" t="str">
            <v>Đ</v>
          </cell>
          <cell r="AF1290" t="str">
            <v>Đ</v>
          </cell>
          <cell r="AG1290" t="str">
            <v>CN</v>
          </cell>
          <cell r="AH1290">
            <v>8</v>
          </cell>
          <cell r="AI1290">
            <v>8</v>
          </cell>
          <cell r="AJ1290">
            <v>8</v>
          </cell>
          <cell r="AN1290">
            <v>48</v>
          </cell>
          <cell r="AO1290">
            <v>48</v>
          </cell>
          <cell r="AP1290">
            <v>0</v>
          </cell>
          <cell r="AQ1290">
            <v>0</v>
          </cell>
          <cell r="AR1290">
            <v>0</v>
          </cell>
          <cell r="AS1290">
            <v>0</v>
          </cell>
          <cell r="AT1290">
            <v>0</v>
          </cell>
          <cell r="AU1290">
            <v>0</v>
          </cell>
          <cell r="AV1290">
            <v>0</v>
          </cell>
          <cell r="AW1290">
            <v>0</v>
          </cell>
          <cell r="AX1290">
            <v>0</v>
          </cell>
          <cell r="AY1290">
            <v>0</v>
          </cell>
          <cell r="AZ1290">
            <v>0</v>
          </cell>
          <cell r="BA1290">
            <v>0</v>
          </cell>
          <cell r="BB1290">
            <v>0</v>
          </cell>
          <cell r="BC1290">
            <v>0</v>
          </cell>
          <cell r="BD1290">
            <v>0</v>
          </cell>
          <cell r="BE1290">
            <v>0</v>
          </cell>
          <cell r="BF1290">
            <v>0</v>
          </cell>
          <cell r="BG1290">
            <v>96</v>
          </cell>
          <cell r="BH1290">
            <v>0</v>
          </cell>
          <cell r="BI1290">
            <v>0</v>
          </cell>
          <cell r="BJ1290">
            <v>2</v>
          </cell>
          <cell r="BL1290">
            <v>0</v>
          </cell>
          <cell r="BM1290">
            <v>0</v>
          </cell>
          <cell r="BN1290">
            <v>0</v>
          </cell>
          <cell r="BO1290">
            <v>0</v>
          </cell>
          <cell r="BP1290">
            <v>0</v>
          </cell>
          <cell r="BQ1290">
            <v>0</v>
          </cell>
          <cell r="BR1290">
            <v>0</v>
          </cell>
          <cell r="BS1290">
            <v>0</v>
          </cell>
          <cell r="BT1290">
            <v>0</v>
          </cell>
          <cell r="BU1290">
            <v>0</v>
          </cell>
          <cell r="BV1290">
            <v>0</v>
          </cell>
          <cell r="BW1290">
            <v>0</v>
          </cell>
          <cell r="BX1290">
            <v>0</v>
          </cell>
          <cell r="BY1290">
            <v>0</v>
          </cell>
          <cell r="BZ1290">
            <v>0</v>
          </cell>
          <cell r="CA1290">
            <v>0</v>
          </cell>
          <cell r="CB1290">
            <v>0</v>
          </cell>
          <cell r="CC1290">
            <v>0</v>
          </cell>
          <cell r="CD1290">
            <v>4</v>
          </cell>
          <cell r="CE1290">
            <v>4</v>
          </cell>
          <cell r="CF1290">
            <v>4</v>
          </cell>
          <cell r="CG1290">
            <v>4</v>
          </cell>
          <cell r="CH1290">
            <v>4</v>
          </cell>
          <cell r="CI1290">
            <v>4</v>
          </cell>
          <cell r="CJ1290">
            <v>0</v>
          </cell>
          <cell r="CK1290">
            <v>3</v>
          </cell>
          <cell r="CL1290">
            <v>3</v>
          </cell>
          <cell r="CM1290">
            <v>3</v>
          </cell>
          <cell r="CR1290">
            <v>0</v>
          </cell>
          <cell r="CS1290">
            <v>0</v>
          </cell>
          <cell r="CT1290">
            <v>33</v>
          </cell>
          <cell r="CU1290">
            <v>0</v>
          </cell>
          <cell r="CV1290">
            <v>0</v>
          </cell>
          <cell r="CZ1290">
            <v>33</v>
          </cell>
        </row>
        <row r="1291">
          <cell r="C1291" t="str">
            <v>05013</v>
          </cell>
          <cell r="D1291" t="str">
            <v>Lê Văn Nam</v>
          </cell>
          <cell r="E1291" t="str">
            <v>Production</v>
          </cell>
          <cell r="F1291" t="str">
            <v>Die cut</v>
          </cell>
          <cell r="G1291" t="str">
            <v>Worker</v>
          </cell>
          <cell r="H1291">
            <v>46093</v>
          </cell>
          <cell r="I1291" t="str">
            <v>X</v>
          </cell>
          <cell r="J1291" t="str">
            <v>X</v>
          </cell>
          <cell r="K1291" t="str">
            <v>X</v>
          </cell>
          <cell r="L1291" t="str">
            <v>X</v>
          </cell>
          <cell r="M1291" t="str">
            <v>X</v>
          </cell>
          <cell r="N1291" t="str">
            <v>X</v>
          </cell>
          <cell r="O1291" t="str">
            <v>X</v>
          </cell>
          <cell r="P1291" t="str">
            <v>X</v>
          </cell>
          <cell r="Q1291" t="str">
            <v>X</v>
          </cell>
          <cell r="R1291" t="str">
            <v>X</v>
          </cell>
          <cell r="S1291" t="str">
            <v>X</v>
          </cell>
          <cell r="T1291" t="str">
            <v>X</v>
          </cell>
          <cell r="U1291" t="str">
            <v>X</v>
          </cell>
          <cell r="V1291" t="str">
            <v>X</v>
          </cell>
          <cell r="W1291">
            <v>8</v>
          </cell>
          <cell r="X1291">
            <v>8</v>
          </cell>
          <cell r="Y1291">
            <v>8</v>
          </cell>
          <cell r="Z1291" t="str">
            <v>CN</v>
          </cell>
          <cell r="AA1291">
            <v>8</v>
          </cell>
          <cell r="AB1291">
            <v>8</v>
          </cell>
          <cell r="AC1291">
            <v>8</v>
          </cell>
          <cell r="AD1291">
            <v>8</v>
          </cell>
          <cell r="AE1291">
            <v>8</v>
          </cell>
          <cell r="AF1291">
            <v>8</v>
          </cell>
          <cell r="AG1291" t="str">
            <v>CN</v>
          </cell>
          <cell r="AH1291" t="str">
            <v>Đ</v>
          </cell>
          <cell r="AI1291" t="str">
            <v>Đ</v>
          </cell>
          <cell r="AJ1291" t="str">
            <v>Đ</v>
          </cell>
          <cell r="AN1291">
            <v>24</v>
          </cell>
          <cell r="AO1291">
            <v>72</v>
          </cell>
          <cell r="AP1291">
            <v>0</v>
          </cell>
          <cell r="AQ1291">
            <v>0</v>
          </cell>
          <cell r="AR1291">
            <v>0</v>
          </cell>
          <cell r="AS1291">
            <v>0</v>
          </cell>
          <cell r="AT1291">
            <v>0</v>
          </cell>
          <cell r="AU1291">
            <v>0</v>
          </cell>
          <cell r="AV1291">
            <v>0</v>
          </cell>
          <cell r="AW1291">
            <v>0</v>
          </cell>
          <cell r="AX1291">
            <v>0</v>
          </cell>
          <cell r="AY1291">
            <v>0</v>
          </cell>
          <cell r="AZ1291">
            <v>0</v>
          </cell>
          <cell r="BA1291">
            <v>0</v>
          </cell>
          <cell r="BB1291">
            <v>0</v>
          </cell>
          <cell r="BC1291">
            <v>0</v>
          </cell>
          <cell r="BD1291">
            <v>0</v>
          </cell>
          <cell r="BE1291">
            <v>0</v>
          </cell>
          <cell r="BF1291">
            <v>0</v>
          </cell>
          <cell r="BG1291">
            <v>96</v>
          </cell>
          <cell r="BH1291">
            <v>0</v>
          </cell>
          <cell r="BI1291">
            <v>0</v>
          </cell>
          <cell r="BJ1291">
            <v>2</v>
          </cell>
          <cell r="BL1291">
            <v>0</v>
          </cell>
          <cell r="BM1291">
            <v>0</v>
          </cell>
          <cell r="BN1291">
            <v>0</v>
          </cell>
          <cell r="BO1291">
            <v>0</v>
          </cell>
          <cell r="BP1291">
            <v>0</v>
          </cell>
          <cell r="BQ1291">
            <v>0</v>
          </cell>
          <cell r="BR1291">
            <v>0</v>
          </cell>
          <cell r="BS1291">
            <v>0</v>
          </cell>
          <cell r="BT1291">
            <v>0</v>
          </cell>
          <cell r="BU1291">
            <v>0</v>
          </cell>
          <cell r="BV1291">
            <v>0</v>
          </cell>
          <cell r="BW1291">
            <v>0</v>
          </cell>
          <cell r="BX1291">
            <v>0</v>
          </cell>
          <cell r="BY1291">
            <v>0</v>
          </cell>
          <cell r="BZ1291">
            <v>0</v>
          </cell>
          <cell r="CA1291">
            <v>0</v>
          </cell>
          <cell r="CB1291">
            <v>0</v>
          </cell>
          <cell r="CC1291">
            <v>0</v>
          </cell>
          <cell r="CD1291">
            <v>0</v>
          </cell>
          <cell r="CE1291">
            <v>0</v>
          </cell>
          <cell r="CF1291">
            <v>0</v>
          </cell>
          <cell r="CG1291">
            <v>3</v>
          </cell>
          <cell r="CH1291">
            <v>3</v>
          </cell>
          <cell r="CI1291">
            <v>3</v>
          </cell>
          <cell r="CJ1291">
            <v>8</v>
          </cell>
          <cell r="CK1291">
            <v>4</v>
          </cell>
          <cell r="CL1291">
            <v>4</v>
          </cell>
          <cell r="CM1291">
            <v>4</v>
          </cell>
          <cell r="CR1291">
            <v>0</v>
          </cell>
          <cell r="CS1291">
            <v>0</v>
          </cell>
          <cell r="CT1291">
            <v>21</v>
          </cell>
          <cell r="CU1291">
            <v>8</v>
          </cell>
          <cell r="CV1291">
            <v>0</v>
          </cell>
          <cell r="CZ1291">
            <v>29</v>
          </cell>
        </row>
        <row r="1292">
          <cell r="C1292" t="str">
            <v>05014</v>
          </cell>
          <cell r="D1292" t="str">
            <v>Nguyễn Ngọc Nhi</v>
          </cell>
          <cell r="E1292" t="str">
            <v>Production</v>
          </cell>
          <cell r="F1292" t="str">
            <v>Packing</v>
          </cell>
          <cell r="G1292" t="str">
            <v>Worker</v>
          </cell>
          <cell r="H1292">
            <v>46093</v>
          </cell>
          <cell r="I1292" t="str">
            <v>X</v>
          </cell>
          <cell r="J1292" t="str">
            <v>X</v>
          </cell>
          <cell r="K1292" t="str">
            <v>X</v>
          </cell>
          <cell r="L1292" t="str">
            <v>X</v>
          </cell>
          <cell r="M1292" t="str">
            <v>X</v>
          </cell>
          <cell r="N1292" t="str">
            <v>X</v>
          </cell>
          <cell r="O1292" t="str">
            <v>X</v>
          </cell>
          <cell r="P1292" t="str">
            <v>X</v>
          </cell>
          <cell r="Q1292" t="str">
            <v>X</v>
          </cell>
          <cell r="R1292" t="str">
            <v>X</v>
          </cell>
          <cell r="S1292" t="str">
            <v>X</v>
          </cell>
          <cell r="T1292" t="str">
            <v>X</v>
          </cell>
          <cell r="U1292" t="str">
            <v>X</v>
          </cell>
          <cell r="V1292" t="str">
            <v>X</v>
          </cell>
          <cell r="W1292">
            <v>8</v>
          </cell>
          <cell r="X1292">
            <v>8</v>
          </cell>
          <cell r="Y1292">
            <v>8</v>
          </cell>
          <cell r="Z1292" t="str">
            <v>CN</v>
          </cell>
          <cell r="AA1292">
            <v>8</v>
          </cell>
          <cell r="AB1292">
            <v>8</v>
          </cell>
          <cell r="AC1292">
            <v>8</v>
          </cell>
          <cell r="AD1292">
            <v>8</v>
          </cell>
          <cell r="AE1292">
            <v>8</v>
          </cell>
          <cell r="AF1292">
            <v>8</v>
          </cell>
          <cell r="AG1292" t="str">
            <v>CN</v>
          </cell>
          <cell r="AH1292" t="str">
            <v>BS</v>
          </cell>
          <cell r="AI1292">
            <v>8</v>
          </cell>
          <cell r="AJ1292" t="str">
            <v>BS</v>
          </cell>
          <cell r="AN1292">
            <v>0</v>
          </cell>
          <cell r="AO1292">
            <v>80</v>
          </cell>
          <cell r="AP1292">
            <v>0</v>
          </cell>
          <cell r="AQ1292">
            <v>0</v>
          </cell>
          <cell r="AR1292">
            <v>0</v>
          </cell>
          <cell r="AS1292">
            <v>0</v>
          </cell>
          <cell r="AT1292">
            <v>0</v>
          </cell>
          <cell r="AU1292">
            <v>16</v>
          </cell>
          <cell r="AV1292">
            <v>0</v>
          </cell>
          <cell r="AW1292">
            <v>0</v>
          </cell>
          <cell r="AX1292">
            <v>0</v>
          </cell>
          <cell r="AY1292">
            <v>0</v>
          </cell>
          <cell r="AZ1292">
            <v>0</v>
          </cell>
          <cell r="BA1292">
            <v>0</v>
          </cell>
          <cell r="BB1292">
            <v>0</v>
          </cell>
          <cell r="BC1292">
            <v>0</v>
          </cell>
          <cell r="BD1292">
            <v>0</v>
          </cell>
          <cell r="BE1292">
            <v>0</v>
          </cell>
          <cell r="BF1292">
            <v>0</v>
          </cell>
          <cell r="BG1292">
            <v>96</v>
          </cell>
          <cell r="BH1292">
            <v>0</v>
          </cell>
          <cell r="BI1292">
            <v>0</v>
          </cell>
          <cell r="BJ1292">
            <v>2</v>
          </cell>
          <cell r="BL1292">
            <v>0</v>
          </cell>
          <cell r="BM1292">
            <v>0</v>
          </cell>
          <cell r="BN1292">
            <v>0</v>
          </cell>
          <cell r="BO1292">
            <v>0</v>
          </cell>
          <cell r="BP1292">
            <v>0</v>
          </cell>
          <cell r="BQ1292">
            <v>0</v>
          </cell>
          <cell r="BR1292">
            <v>0</v>
          </cell>
          <cell r="BS1292">
            <v>0</v>
          </cell>
          <cell r="BT1292">
            <v>0</v>
          </cell>
          <cell r="BU1292">
            <v>0</v>
          </cell>
          <cell r="BV1292">
            <v>0</v>
          </cell>
          <cell r="BW1292">
            <v>0</v>
          </cell>
          <cell r="BX1292">
            <v>0</v>
          </cell>
          <cell r="BY1292">
            <v>0</v>
          </cell>
          <cell r="BZ1292">
            <v>0</v>
          </cell>
          <cell r="CA1292">
            <v>0</v>
          </cell>
          <cell r="CB1292">
            <v>0</v>
          </cell>
          <cell r="CC1292">
            <v>0</v>
          </cell>
          <cell r="CD1292">
            <v>0</v>
          </cell>
          <cell r="CE1292">
            <v>0</v>
          </cell>
          <cell r="CF1292">
            <v>3</v>
          </cell>
          <cell r="CG1292">
            <v>3</v>
          </cell>
          <cell r="CH1292">
            <v>3</v>
          </cell>
          <cell r="CI1292">
            <v>3</v>
          </cell>
          <cell r="CJ1292">
            <v>0</v>
          </cell>
          <cell r="CK1292">
            <v>0</v>
          </cell>
          <cell r="CL1292">
            <v>3</v>
          </cell>
          <cell r="CM1292">
            <v>0</v>
          </cell>
          <cell r="CR1292">
            <v>0</v>
          </cell>
          <cell r="CS1292">
            <v>0</v>
          </cell>
          <cell r="CT1292">
            <v>15</v>
          </cell>
          <cell r="CU1292">
            <v>0</v>
          </cell>
          <cell r="CV1292">
            <v>0</v>
          </cell>
          <cell r="CZ1292">
            <v>15</v>
          </cell>
        </row>
        <row r="1293">
          <cell r="C1293" t="str">
            <v>05015</v>
          </cell>
          <cell r="D1293" t="str">
            <v>Trần Hữu Phước</v>
          </cell>
          <cell r="E1293" t="str">
            <v>Production</v>
          </cell>
          <cell r="F1293" t="str">
            <v>Die cut</v>
          </cell>
          <cell r="G1293" t="str">
            <v>Worker</v>
          </cell>
          <cell r="H1293">
            <v>46093</v>
          </cell>
          <cell r="I1293" t="str">
            <v>X</v>
          </cell>
          <cell r="J1293" t="str">
            <v>X</v>
          </cell>
          <cell r="K1293" t="str">
            <v>X</v>
          </cell>
          <cell r="L1293" t="str">
            <v>X</v>
          </cell>
          <cell r="M1293" t="str">
            <v>X</v>
          </cell>
          <cell r="N1293" t="str">
            <v>X</v>
          </cell>
          <cell r="O1293" t="str">
            <v>X</v>
          </cell>
          <cell r="P1293" t="str">
            <v>X</v>
          </cell>
          <cell r="Q1293" t="str">
            <v>X</v>
          </cell>
          <cell r="R1293" t="str">
            <v>X</v>
          </cell>
          <cell r="S1293" t="str">
            <v>X</v>
          </cell>
          <cell r="T1293" t="str">
            <v>X</v>
          </cell>
          <cell r="U1293" t="str">
            <v>X</v>
          </cell>
          <cell r="V1293" t="str">
            <v>X</v>
          </cell>
          <cell r="W1293">
            <v>8</v>
          </cell>
          <cell r="X1293">
            <v>8</v>
          </cell>
          <cell r="Y1293" t="str">
            <v>UP4</v>
          </cell>
          <cell r="Z1293" t="str">
            <v>CN</v>
          </cell>
          <cell r="AA1293" t="str">
            <v>UP8</v>
          </cell>
          <cell r="AB1293" t="str">
            <v>UP8</v>
          </cell>
          <cell r="AC1293" t="str">
            <v>TV</v>
          </cell>
          <cell r="AD1293" t="str">
            <v>TV</v>
          </cell>
          <cell r="AE1293" t="str">
            <v>TV</v>
          </cell>
          <cell r="AF1293" t="str">
            <v>TV</v>
          </cell>
          <cell r="AG1293" t="str">
            <v>TV</v>
          </cell>
          <cell r="AH1293" t="str">
            <v>TV</v>
          </cell>
          <cell r="AI1293" t="str">
            <v>TV</v>
          </cell>
          <cell r="AJ1293" t="str">
            <v>TV</v>
          </cell>
          <cell r="AN1293">
            <v>0</v>
          </cell>
          <cell r="AO1293">
            <v>20</v>
          </cell>
          <cell r="AP1293">
            <v>0</v>
          </cell>
          <cell r="AQ1293">
            <v>0</v>
          </cell>
          <cell r="AR1293">
            <v>4</v>
          </cell>
          <cell r="AS1293">
            <v>20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20</v>
          </cell>
          <cell r="BH1293">
            <v>0</v>
          </cell>
          <cell r="BI1293">
            <v>0</v>
          </cell>
          <cell r="BJ1293">
            <v>1</v>
          </cell>
          <cell r="BL1293">
            <v>0</v>
          </cell>
          <cell r="BM1293">
            <v>0</v>
          </cell>
          <cell r="BN1293">
            <v>0</v>
          </cell>
          <cell r="BO1293">
            <v>0</v>
          </cell>
          <cell r="BP1293">
            <v>0</v>
          </cell>
          <cell r="BQ1293">
            <v>0</v>
          </cell>
          <cell r="BR1293">
            <v>0</v>
          </cell>
          <cell r="BS1293">
            <v>0</v>
          </cell>
          <cell r="BT1293">
            <v>0</v>
          </cell>
          <cell r="BU1293">
            <v>0</v>
          </cell>
          <cell r="BV1293">
            <v>0</v>
          </cell>
          <cell r="BW1293">
            <v>0</v>
          </cell>
          <cell r="BX1293">
            <v>0</v>
          </cell>
          <cell r="BY1293">
            <v>0</v>
          </cell>
          <cell r="BZ1293">
            <v>0</v>
          </cell>
          <cell r="CA1293">
            <v>0</v>
          </cell>
          <cell r="CB1293">
            <v>0</v>
          </cell>
          <cell r="CC1293">
            <v>0</v>
          </cell>
          <cell r="CD1293">
            <v>0</v>
          </cell>
          <cell r="CE1293">
            <v>0</v>
          </cell>
          <cell r="CF1293">
            <v>0</v>
          </cell>
          <cell r="CG1293">
            <v>0</v>
          </cell>
          <cell r="CH1293">
            <v>0</v>
          </cell>
          <cell r="CI1293">
            <v>0</v>
          </cell>
          <cell r="CJ1293">
            <v>0</v>
          </cell>
          <cell r="CK1293">
            <v>0</v>
          </cell>
          <cell r="CL1293">
            <v>0</v>
          </cell>
          <cell r="CM1293">
            <v>0</v>
          </cell>
          <cell r="CR1293">
            <v>0</v>
          </cell>
          <cell r="CS1293">
            <v>0</v>
          </cell>
          <cell r="CT1293">
            <v>0</v>
          </cell>
          <cell r="CU1293">
            <v>0</v>
          </cell>
          <cell r="CV1293">
            <v>0</v>
          </cell>
          <cell r="CZ1293">
            <v>0</v>
          </cell>
        </row>
        <row r="1294">
          <cell r="C1294" t="str">
            <v>05016</v>
          </cell>
          <cell r="D1294" t="str">
            <v>Nguyễn Văn Vô</v>
          </cell>
          <cell r="E1294" t="str">
            <v>Production</v>
          </cell>
          <cell r="F1294" t="str">
            <v>Die cut</v>
          </cell>
          <cell r="G1294" t="str">
            <v>Worker</v>
          </cell>
          <cell r="H1294">
            <v>46093</v>
          </cell>
          <cell r="I1294" t="str">
            <v>X</v>
          </cell>
          <cell r="J1294" t="str">
            <v>X</v>
          </cell>
          <cell r="K1294" t="str">
            <v>X</v>
          </cell>
          <cell r="L1294" t="str">
            <v>X</v>
          </cell>
          <cell r="M1294" t="str">
            <v>X</v>
          </cell>
          <cell r="N1294" t="str">
            <v>X</v>
          </cell>
          <cell r="O1294" t="str">
            <v>X</v>
          </cell>
          <cell r="P1294" t="str">
            <v>X</v>
          </cell>
          <cell r="Q1294" t="str">
            <v>X</v>
          </cell>
          <cell r="R1294" t="str">
            <v>X</v>
          </cell>
          <cell r="S1294" t="str">
            <v>X</v>
          </cell>
          <cell r="T1294" t="str">
            <v>X</v>
          </cell>
          <cell r="U1294" t="str">
            <v>X</v>
          </cell>
          <cell r="V1294" t="str">
            <v>X</v>
          </cell>
          <cell r="W1294">
            <v>8</v>
          </cell>
          <cell r="X1294">
            <v>8</v>
          </cell>
          <cell r="Y1294" t="str">
            <v>UP4</v>
          </cell>
          <cell r="Z1294" t="str">
            <v>CN</v>
          </cell>
          <cell r="AA1294" t="str">
            <v>UP8</v>
          </cell>
          <cell r="AB1294" t="str">
            <v>UP8</v>
          </cell>
          <cell r="AC1294" t="str">
            <v>TV</v>
          </cell>
          <cell r="AD1294" t="str">
            <v>TV</v>
          </cell>
          <cell r="AE1294" t="str">
            <v>TV</v>
          </cell>
          <cell r="AF1294" t="str">
            <v>TV</v>
          </cell>
          <cell r="AG1294" t="str">
            <v>TV</v>
          </cell>
          <cell r="AH1294" t="str">
            <v>TV</v>
          </cell>
          <cell r="AI1294" t="str">
            <v>TV</v>
          </cell>
          <cell r="AJ1294" t="str">
            <v>TV</v>
          </cell>
          <cell r="AN1294">
            <v>0</v>
          </cell>
          <cell r="AO1294">
            <v>20</v>
          </cell>
          <cell r="AP1294">
            <v>0</v>
          </cell>
          <cell r="AQ1294">
            <v>0</v>
          </cell>
          <cell r="AR1294">
            <v>4</v>
          </cell>
          <cell r="AS1294">
            <v>20</v>
          </cell>
          <cell r="AT1294">
            <v>0</v>
          </cell>
          <cell r="AU1294">
            <v>0</v>
          </cell>
          <cell r="AV1294">
            <v>0</v>
          </cell>
          <cell r="AW1294">
            <v>0</v>
          </cell>
          <cell r="AX1294">
            <v>0</v>
          </cell>
          <cell r="AY1294">
            <v>0</v>
          </cell>
          <cell r="AZ1294">
            <v>0</v>
          </cell>
          <cell r="BA1294">
            <v>0</v>
          </cell>
          <cell r="BB1294">
            <v>0</v>
          </cell>
          <cell r="BC1294">
            <v>0</v>
          </cell>
          <cell r="BD1294">
            <v>0</v>
          </cell>
          <cell r="BE1294">
            <v>0</v>
          </cell>
          <cell r="BF1294">
            <v>0</v>
          </cell>
          <cell r="BG1294">
            <v>20</v>
          </cell>
          <cell r="BH1294">
            <v>0</v>
          </cell>
          <cell r="BI1294">
            <v>0</v>
          </cell>
          <cell r="BJ1294">
            <v>1</v>
          </cell>
          <cell r="BL1294">
            <v>0</v>
          </cell>
          <cell r="BM1294">
            <v>0</v>
          </cell>
          <cell r="BN1294">
            <v>0</v>
          </cell>
          <cell r="BO1294">
            <v>0</v>
          </cell>
          <cell r="BP1294">
            <v>0</v>
          </cell>
          <cell r="BQ1294">
            <v>0</v>
          </cell>
          <cell r="BR1294">
            <v>0</v>
          </cell>
          <cell r="BS1294">
            <v>0</v>
          </cell>
          <cell r="BT1294">
            <v>0</v>
          </cell>
          <cell r="BU1294">
            <v>0</v>
          </cell>
          <cell r="BV1294">
            <v>0</v>
          </cell>
          <cell r="BW1294">
            <v>0</v>
          </cell>
          <cell r="BX1294">
            <v>0</v>
          </cell>
          <cell r="BY1294">
            <v>0</v>
          </cell>
          <cell r="BZ1294">
            <v>0</v>
          </cell>
          <cell r="CA1294">
            <v>0</v>
          </cell>
          <cell r="CB1294">
            <v>0</v>
          </cell>
          <cell r="CC1294">
            <v>0</v>
          </cell>
          <cell r="CD1294">
            <v>0</v>
          </cell>
          <cell r="CE1294">
            <v>0</v>
          </cell>
          <cell r="CF1294">
            <v>0</v>
          </cell>
          <cell r="CG1294">
            <v>0</v>
          </cell>
          <cell r="CH1294">
            <v>0</v>
          </cell>
          <cell r="CI1294">
            <v>0</v>
          </cell>
          <cell r="CJ1294">
            <v>0</v>
          </cell>
          <cell r="CK1294">
            <v>0</v>
          </cell>
          <cell r="CL1294">
            <v>0</v>
          </cell>
          <cell r="CM1294">
            <v>0</v>
          </cell>
          <cell r="CR1294">
            <v>0</v>
          </cell>
          <cell r="CS1294">
            <v>0</v>
          </cell>
          <cell r="CT1294">
            <v>0</v>
          </cell>
          <cell r="CU1294">
            <v>0</v>
          </cell>
          <cell r="CV1294">
            <v>0</v>
          </cell>
          <cell r="CZ1294">
            <v>0</v>
          </cell>
        </row>
        <row r="1295">
          <cell r="C1295" t="str">
            <v>05017</v>
          </cell>
          <cell r="D1295" t="str">
            <v>Bùi Trung Hậu</v>
          </cell>
          <cell r="E1295" t="str">
            <v>Production</v>
          </cell>
          <cell r="F1295" t="str">
            <v>Die cut</v>
          </cell>
          <cell r="G1295" t="str">
            <v>Worker</v>
          </cell>
          <cell r="H1295">
            <v>46093</v>
          </cell>
          <cell r="I1295" t="str">
            <v>X</v>
          </cell>
          <cell r="J1295" t="str">
            <v>X</v>
          </cell>
          <cell r="K1295" t="str">
            <v>X</v>
          </cell>
          <cell r="L1295" t="str">
            <v>X</v>
          </cell>
          <cell r="M1295" t="str">
            <v>X</v>
          </cell>
          <cell r="N1295" t="str">
            <v>X</v>
          </cell>
          <cell r="O1295" t="str">
            <v>X</v>
          </cell>
          <cell r="P1295" t="str">
            <v>X</v>
          </cell>
          <cell r="Q1295" t="str">
            <v>X</v>
          </cell>
          <cell r="R1295" t="str">
            <v>X</v>
          </cell>
          <cell r="S1295" t="str">
            <v>X</v>
          </cell>
          <cell r="T1295" t="str">
            <v>X</v>
          </cell>
          <cell r="U1295" t="str">
            <v>X</v>
          </cell>
          <cell r="V1295" t="str">
            <v>X</v>
          </cell>
          <cell r="W1295">
            <v>8</v>
          </cell>
          <cell r="X1295">
            <v>8</v>
          </cell>
          <cell r="Y1295">
            <v>8</v>
          </cell>
          <cell r="Z1295" t="str">
            <v>CN</v>
          </cell>
          <cell r="AA1295" t="str">
            <v>Đ</v>
          </cell>
          <cell r="AB1295" t="str">
            <v>Đ</v>
          </cell>
          <cell r="AC1295" t="str">
            <v>Đ</v>
          </cell>
          <cell r="AD1295" t="str">
            <v>Đ</v>
          </cell>
          <cell r="AE1295" t="str">
            <v>Đ</v>
          </cell>
          <cell r="AF1295" t="str">
            <v>Đ</v>
          </cell>
          <cell r="AG1295" t="str">
            <v>CN</v>
          </cell>
          <cell r="AH1295">
            <v>8</v>
          </cell>
          <cell r="AI1295">
            <v>8</v>
          </cell>
          <cell r="AJ1295">
            <v>8</v>
          </cell>
          <cell r="AN1295">
            <v>48</v>
          </cell>
          <cell r="AO1295">
            <v>48</v>
          </cell>
          <cell r="AP1295">
            <v>0</v>
          </cell>
          <cell r="AQ1295">
            <v>0</v>
          </cell>
          <cell r="AR1295">
            <v>0</v>
          </cell>
          <cell r="AS1295">
            <v>0</v>
          </cell>
          <cell r="AT1295">
            <v>0</v>
          </cell>
          <cell r="AU1295">
            <v>0</v>
          </cell>
          <cell r="AV1295">
            <v>0</v>
          </cell>
          <cell r="AW1295">
            <v>0</v>
          </cell>
          <cell r="AX1295">
            <v>0</v>
          </cell>
          <cell r="AY1295">
            <v>0</v>
          </cell>
          <cell r="AZ1295">
            <v>0</v>
          </cell>
          <cell r="BA1295">
            <v>0</v>
          </cell>
          <cell r="BB1295">
            <v>0</v>
          </cell>
          <cell r="BC1295">
            <v>0</v>
          </cell>
          <cell r="BD1295">
            <v>0</v>
          </cell>
          <cell r="BE1295">
            <v>0</v>
          </cell>
          <cell r="BF1295">
            <v>0</v>
          </cell>
          <cell r="BG1295">
            <v>96</v>
          </cell>
          <cell r="BH1295">
            <v>0</v>
          </cell>
          <cell r="BI1295">
            <v>0</v>
          </cell>
          <cell r="BJ1295">
            <v>2</v>
          </cell>
          <cell r="BL1295">
            <v>0</v>
          </cell>
          <cell r="BM1295">
            <v>0</v>
          </cell>
          <cell r="BN1295">
            <v>0</v>
          </cell>
          <cell r="BO1295">
            <v>0</v>
          </cell>
          <cell r="BP1295">
            <v>0</v>
          </cell>
          <cell r="BQ1295">
            <v>0</v>
          </cell>
          <cell r="BR1295">
            <v>0</v>
          </cell>
          <cell r="BS1295">
            <v>0</v>
          </cell>
          <cell r="BT1295">
            <v>0</v>
          </cell>
          <cell r="BU1295">
            <v>0</v>
          </cell>
          <cell r="BV1295">
            <v>0</v>
          </cell>
          <cell r="BW1295">
            <v>0</v>
          </cell>
          <cell r="BX1295">
            <v>0</v>
          </cell>
          <cell r="BY1295">
            <v>0</v>
          </cell>
          <cell r="BZ1295">
            <v>0</v>
          </cell>
          <cell r="CA1295">
            <v>0</v>
          </cell>
          <cell r="CB1295">
            <v>0</v>
          </cell>
          <cell r="CC1295">
            <v>0</v>
          </cell>
          <cell r="CD1295">
            <v>4</v>
          </cell>
          <cell r="CE1295">
            <v>4</v>
          </cell>
          <cell r="CF1295">
            <v>4</v>
          </cell>
          <cell r="CG1295">
            <v>4</v>
          </cell>
          <cell r="CH1295">
            <v>1.5</v>
          </cell>
          <cell r="CI1295">
            <v>4</v>
          </cell>
          <cell r="CJ1295">
            <v>0</v>
          </cell>
          <cell r="CK1295">
            <v>3</v>
          </cell>
          <cell r="CL1295">
            <v>3</v>
          </cell>
          <cell r="CM1295">
            <v>0</v>
          </cell>
          <cell r="CR1295">
            <v>0</v>
          </cell>
          <cell r="CS1295">
            <v>0</v>
          </cell>
          <cell r="CT1295">
            <v>27.5</v>
          </cell>
          <cell r="CU1295">
            <v>0</v>
          </cell>
          <cell r="CV1295">
            <v>0</v>
          </cell>
          <cell r="CZ1295">
            <v>27.5</v>
          </cell>
        </row>
        <row r="1296">
          <cell r="C1296" t="str">
            <v>05018</v>
          </cell>
          <cell r="D1296" t="str">
            <v>Nguyễn Khánh Nhân</v>
          </cell>
          <cell r="E1296" t="str">
            <v>Production</v>
          </cell>
          <cell r="F1296" t="str">
            <v>Die cut</v>
          </cell>
          <cell r="G1296" t="str">
            <v>Worker</v>
          </cell>
          <cell r="H1296">
            <v>46093</v>
          </cell>
          <cell r="I1296" t="str">
            <v>X</v>
          </cell>
          <cell r="J1296" t="str">
            <v>X</v>
          </cell>
          <cell r="K1296" t="str">
            <v>X</v>
          </cell>
          <cell r="L1296" t="str">
            <v>X</v>
          </cell>
          <cell r="M1296" t="str">
            <v>X</v>
          </cell>
          <cell r="N1296" t="str">
            <v>X</v>
          </cell>
          <cell r="O1296" t="str">
            <v>X</v>
          </cell>
          <cell r="P1296" t="str">
            <v>X</v>
          </cell>
          <cell r="Q1296" t="str">
            <v>X</v>
          </cell>
          <cell r="R1296" t="str">
            <v>X</v>
          </cell>
          <cell r="S1296" t="str">
            <v>X</v>
          </cell>
          <cell r="T1296" t="str">
            <v>X</v>
          </cell>
          <cell r="U1296" t="str">
            <v>X</v>
          </cell>
          <cell r="V1296" t="str">
            <v>X</v>
          </cell>
          <cell r="W1296">
            <v>8</v>
          </cell>
          <cell r="X1296">
            <v>8</v>
          </cell>
          <cell r="Y1296">
            <v>8</v>
          </cell>
          <cell r="Z1296" t="str">
            <v>CN</v>
          </cell>
          <cell r="AA1296" t="str">
            <v>Đ</v>
          </cell>
          <cell r="AB1296" t="str">
            <v>Đ</v>
          </cell>
          <cell r="AC1296" t="str">
            <v>Đ</v>
          </cell>
          <cell r="AD1296" t="str">
            <v>Đ</v>
          </cell>
          <cell r="AE1296" t="str">
            <v>Đ</v>
          </cell>
          <cell r="AF1296" t="str">
            <v>Đ</v>
          </cell>
          <cell r="AG1296" t="str">
            <v>CN</v>
          </cell>
          <cell r="AH1296">
            <v>8</v>
          </cell>
          <cell r="AI1296">
            <v>8</v>
          </cell>
          <cell r="AJ1296">
            <v>8</v>
          </cell>
          <cell r="AN1296">
            <v>48</v>
          </cell>
          <cell r="AO1296">
            <v>48</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96</v>
          </cell>
          <cell r="BH1296">
            <v>0</v>
          </cell>
          <cell r="BI1296">
            <v>0</v>
          </cell>
          <cell r="BJ1296">
            <v>2</v>
          </cell>
          <cell r="BL1296">
            <v>0</v>
          </cell>
          <cell r="BM1296">
            <v>0</v>
          </cell>
          <cell r="BN1296">
            <v>0</v>
          </cell>
          <cell r="BO1296">
            <v>0</v>
          </cell>
          <cell r="BP1296">
            <v>0</v>
          </cell>
          <cell r="BQ1296">
            <v>0</v>
          </cell>
          <cell r="BR1296">
            <v>0</v>
          </cell>
          <cell r="BS1296">
            <v>0</v>
          </cell>
          <cell r="BT1296">
            <v>0</v>
          </cell>
          <cell r="BU1296">
            <v>0</v>
          </cell>
          <cell r="BV1296">
            <v>0</v>
          </cell>
          <cell r="BW1296">
            <v>0</v>
          </cell>
          <cell r="BX1296">
            <v>0</v>
          </cell>
          <cell r="BY1296">
            <v>0</v>
          </cell>
          <cell r="BZ1296">
            <v>0</v>
          </cell>
          <cell r="CA1296">
            <v>0</v>
          </cell>
          <cell r="CB1296">
            <v>0</v>
          </cell>
          <cell r="CC1296">
            <v>0</v>
          </cell>
          <cell r="CD1296">
            <v>0</v>
          </cell>
          <cell r="CE1296">
            <v>4</v>
          </cell>
          <cell r="CF1296">
            <v>4</v>
          </cell>
          <cell r="CG1296">
            <v>4</v>
          </cell>
          <cell r="CH1296">
            <v>4</v>
          </cell>
          <cell r="CI1296">
            <v>4</v>
          </cell>
          <cell r="CJ1296">
            <v>0</v>
          </cell>
          <cell r="CK1296">
            <v>3</v>
          </cell>
          <cell r="CL1296">
            <v>3</v>
          </cell>
          <cell r="CM1296">
            <v>3</v>
          </cell>
          <cell r="CR1296">
            <v>0</v>
          </cell>
          <cell r="CS1296">
            <v>0</v>
          </cell>
          <cell r="CT1296">
            <v>29</v>
          </cell>
          <cell r="CU1296">
            <v>0</v>
          </cell>
          <cell r="CV1296">
            <v>0</v>
          </cell>
          <cell r="CZ1296">
            <v>29</v>
          </cell>
        </row>
        <row r="1297">
          <cell r="C1297" t="str">
            <v>05019</v>
          </cell>
          <cell r="D1297" t="str">
            <v>Thị Mộng Thùy</v>
          </cell>
          <cell r="E1297" t="str">
            <v>Production</v>
          </cell>
          <cell r="F1297" t="str">
            <v>Packing</v>
          </cell>
          <cell r="G1297" t="str">
            <v>Worker</v>
          </cell>
          <cell r="H1297">
            <v>46093</v>
          </cell>
          <cell r="I1297" t="str">
            <v>X</v>
          </cell>
          <cell r="J1297" t="str">
            <v>X</v>
          </cell>
          <cell r="K1297" t="str">
            <v>X</v>
          </cell>
          <cell r="L1297" t="str">
            <v>X</v>
          </cell>
          <cell r="M1297" t="str">
            <v>X</v>
          </cell>
          <cell r="N1297" t="str">
            <v>X</v>
          </cell>
          <cell r="O1297" t="str">
            <v>X</v>
          </cell>
          <cell r="P1297" t="str">
            <v>X</v>
          </cell>
          <cell r="Q1297" t="str">
            <v>X</v>
          </cell>
          <cell r="R1297" t="str">
            <v>X</v>
          </cell>
          <cell r="S1297" t="str">
            <v>X</v>
          </cell>
          <cell r="T1297" t="str">
            <v>X</v>
          </cell>
          <cell r="U1297" t="str">
            <v>X</v>
          </cell>
          <cell r="V1297" t="str">
            <v>X</v>
          </cell>
          <cell r="W1297">
            <v>8</v>
          </cell>
          <cell r="X1297">
            <v>8</v>
          </cell>
          <cell r="Y1297">
            <v>8</v>
          </cell>
          <cell r="Z1297" t="str">
            <v>CN</v>
          </cell>
          <cell r="AA1297">
            <v>8</v>
          </cell>
          <cell r="AB1297" t="str">
            <v>UP8</v>
          </cell>
          <cell r="AC1297" t="str">
            <v>TV</v>
          </cell>
          <cell r="AD1297" t="str">
            <v>TV</v>
          </cell>
          <cell r="AE1297" t="str">
            <v>TV</v>
          </cell>
          <cell r="AF1297" t="str">
            <v>TV</v>
          </cell>
          <cell r="AG1297" t="str">
            <v>TV</v>
          </cell>
          <cell r="AH1297" t="str">
            <v>TV</v>
          </cell>
          <cell r="AI1297" t="str">
            <v>TV</v>
          </cell>
          <cell r="AJ1297" t="str">
            <v>TV</v>
          </cell>
          <cell r="AN1297">
            <v>0</v>
          </cell>
          <cell r="AO1297">
            <v>32</v>
          </cell>
          <cell r="AP1297">
            <v>0</v>
          </cell>
          <cell r="AQ1297">
            <v>0</v>
          </cell>
          <cell r="AR1297">
            <v>0</v>
          </cell>
          <cell r="AS1297">
            <v>8</v>
          </cell>
          <cell r="AT1297">
            <v>0</v>
          </cell>
          <cell r="AU1297">
            <v>0</v>
          </cell>
          <cell r="AV1297">
            <v>0</v>
          </cell>
          <cell r="AW1297">
            <v>0</v>
          </cell>
          <cell r="AX1297">
            <v>0</v>
          </cell>
          <cell r="AY1297">
            <v>0</v>
          </cell>
          <cell r="AZ1297">
            <v>0</v>
          </cell>
          <cell r="BA1297">
            <v>0</v>
          </cell>
          <cell r="BB1297">
            <v>0</v>
          </cell>
          <cell r="BC1297">
            <v>0</v>
          </cell>
          <cell r="BD1297">
            <v>0</v>
          </cell>
          <cell r="BE1297">
            <v>0</v>
          </cell>
          <cell r="BF1297">
            <v>0</v>
          </cell>
          <cell r="BG1297">
            <v>32</v>
          </cell>
          <cell r="BH1297">
            <v>0</v>
          </cell>
          <cell r="BI1297">
            <v>0</v>
          </cell>
          <cell r="BJ1297">
            <v>1</v>
          </cell>
          <cell r="BL1297">
            <v>0</v>
          </cell>
          <cell r="BM1297">
            <v>0</v>
          </cell>
          <cell r="BN1297">
            <v>0</v>
          </cell>
          <cell r="BO1297">
            <v>0</v>
          </cell>
          <cell r="BP1297">
            <v>0</v>
          </cell>
          <cell r="BQ1297">
            <v>0</v>
          </cell>
          <cell r="BR1297">
            <v>0</v>
          </cell>
          <cell r="BS1297">
            <v>0</v>
          </cell>
          <cell r="BT1297">
            <v>0</v>
          </cell>
          <cell r="BU1297">
            <v>0</v>
          </cell>
          <cell r="BV1297">
            <v>0</v>
          </cell>
          <cell r="BW1297">
            <v>0</v>
          </cell>
          <cell r="BX1297">
            <v>0</v>
          </cell>
          <cell r="BY1297">
            <v>0</v>
          </cell>
          <cell r="BZ1297">
            <v>0</v>
          </cell>
          <cell r="CA1297">
            <v>0</v>
          </cell>
          <cell r="CB1297">
            <v>0</v>
          </cell>
          <cell r="CC1297">
            <v>0</v>
          </cell>
          <cell r="CD1297">
            <v>0</v>
          </cell>
          <cell r="CE1297">
            <v>0</v>
          </cell>
          <cell r="CF1297">
            <v>0</v>
          </cell>
          <cell r="CG1297">
            <v>0</v>
          </cell>
          <cell r="CH1297">
            <v>0</v>
          </cell>
          <cell r="CI1297">
            <v>0</v>
          </cell>
          <cell r="CJ1297">
            <v>0</v>
          </cell>
          <cell r="CK1297">
            <v>0</v>
          </cell>
          <cell r="CL1297">
            <v>0</v>
          </cell>
          <cell r="CM1297">
            <v>0</v>
          </cell>
          <cell r="CR1297">
            <v>0</v>
          </cell>
          <cell r="CS1297">
            <v>0</v>
          </cell>
          <cell r="CT1297">
            <v>0</v>
          </cell>
          <cell r="CU1297">
            <v>0</v>
          </cell>
          <cell r="CV1297">
            <v>0</v>
          </cell>
          <cell r="CZ1297">
            <v>0</v>
          </cell>
        </row>
        <row r="1298">
          <cell r="C1298" t="str">
            <v>05020</v>
          </cell>
          <cell r="D1298" t="str">
            <v>Nguyễn Thị Thanh Tuyền</v>
          </cell>
          <cell r="E1298" t="str">
            <v>Production</v>
          </cell>
          <cell r="F1298" t="str">
            <v>Packing</v>
          </cell>
          <cell r="G1298" t="str">
            <v>Worker</v>
          </cell>
          <cell r="H1298">
            <v>46093</v>
          </cell>
          <cell r="I1298" t="str">
            <v>X</v>
          </cell>
          <cell r="J1298" t="str">
            <v>X</v>
          </cell>
          <cell r="K1298" t="str">
            <v>X</v>
          </cell>
          <cell r="L1298" t="str">
            <v>X</v>
          </cell>
          <cell r="M1298" t="str">
            <v>X</v>
          </cell>
          <cell r="N1298" t="str">
            <v>X</v>
          </cell>
          <cell r="O1298" t="str">
            <v>X</v>
          </cell>
          <cell r="P1298" t="str">
            <v>X</v>
          </cell>
          <cell r="Q1298" t="str">
            <v>X</v>
          </cell>
          <cell r="R1298" t="str">
            <v>X</v>
          </cell>
          <cell r="S1298" t="str">
            <v>X</v>
          </cell>
          <cell r="T1298" t="str">
            <v>X</v>
          </cell>
          <cell r="U1298" t="str">
            <v>X</v>
          </cell>
          <cell r="V1298" t="str">
            <v>X</v>
          </cell>
          <cell r="W1298">
            <v>8</v>
          </cell>
          <cell r="X1298">
            <v>8</v>
          </cell>
          <cell r="Y1298">
            <v>8</v>
          </cell>
          <cell r="Z1298" t="str">
            <v>CN</v>
          </cell>
          <cell r="AA1298" t="str">
            <v>Đ</v>
          </cell>
          <cell r="AB1298" t="str">
            <v>Đ</v>
          </cell>
          <cell r="AC1298" t="str">
            <v>Đ</v>
          </cell>
          <cell r="AD1298" t="str">
            <v>Đ</v>
          </cell>
          <cell r="AE1298" t="str">
            <v>Đ</v>
          </cell>
          <cell r="AF1298" t="str">
            <v>Đ</v>
          </cell>
          <cell r="AG1298" t="str">
            <v>CN</v>
          </cell>
          <cell r="AH1298">
            <v>8</v>
          </cell>
          <cell r="AI1298" t="str">
            <v>UP8</v>
          </cell>
          <cell r="AJ1298">
            <v>8</v>
          </cell>
          <cell r="AN1298">
            <v>48</v>
          </cell>
          <cell r="AO1298">
            <v>40</v>
          </cell>
          <cell r="AP1298">
            <v>0</v>
          </cell>
          <cell r="AQ1298">
            <v>0</v>
          </cell>
          <cell r="AR1298">
            <v>0</v>
          </cell>
          <cell r="AS1298">
            <v>8</v>
          </cell>
          <cell r="AT1298">
            <v>0</v>
          </cell>
          <cell r="AU1298">
            <v>0</v>
          </cell>
          <cell r="AV1298">
            <v>0</v>
          </cell>
          <cell r="AW1298">
            <v>0</v>
          </cell>
          <cell r="AX1298">
            <v>0</v>
          </cell>
          <cell r="AY1298">
            <v>0</v>
          </cell>
          <cell r="AZ1298">
            <v>0</v>
          </cell>
          <cell r="BA1298">
            <v>0</v>
          </cell>
          <cell r="BB1298">
            <v>0</v>
          </cell>
          <cell r="BC1298">
            <v>0</v>
          </cell>
          <cell r="BD1298">
            <v>0</v>
          </cell>
          <cell r="BE1298">
            <v>0</v>
          </cell>
          <cell r="BF1298">
            <v>0</v>
          </cell>
          <cell r="BG1298">
            <v>88</v>
          </cell>
          <cell r="BH1298">
            <v>0</v>
          </cell>
          <cell r="BI1298">
            <v>0</v>
          </cell>
          <cell r="BJ1298">
            <v>2</v>
          </cell>
          <cell r="BL1298">
            <v>0</v>
          </cell>
          <cell r="BM1298">
            <v>0</v>
          </cell>
          <cell r="BN1298">
            <v>0</v>
          </cell>
          <cell r="BO1298">
            <v>0</v>
          </cell>
          <cell r="BP1298">
            <v>0</v>
          </cell>
          <cell r="BQ1298">
            <v>0</v>
          </cell>
          <cell r="BR1298">
            <v>0</v>
          </cell>
          <cell r="BS1298">
            <v>0</v>
          </cell>
          <cell r="BT1298">
            <v>0</v>
          </cell>
          <cell r="BU1298">
            <v>0</v>
          </cell>
          <cell r="BV1298">
            <v>0</v>
          </cell>
          <cell r="BW1298">
            <v>0</v>
          </cell>
          <cell r="BX1298">
            <v>0</v>
          </cell>
          <cell r="BY1298">
            <v>0</v>
          </cell>
          <cell r="BZ1298">
            <v>0</v>
          </cell>
          <cell r="CA1298">
            <v>0</v>
          </cell>
          <cell r="CB1298">
            <v>0</v>
          </cell>
          <cell r="CC1298">
            <v>0</v>
          </cell>
          <cell r="CD1298">
            <v>4</v>
          </cell>
          <cell r="CE1298">
            <v>4</v>
          </cell>
          <cell r="CF1298">
            <v>4</v>
          </cell>
          <cell r="CG1298">
            <v>4</v>
          </cell>
          <cell r="CH1298">
            <v>4</v>
          </cell>
          <cell r="CI1298">
            <v>4</v>
          </cell>
          <cell r="CJ1298">
            <v>0</v>
          </cell>
          <cell r="CK1298">
            <v>3</v>
          </cell>
          <cell r="CL1298">
            <v>0</v>
          </cell>
          <cell r="CM1298">
            <v>3</v>
          </cell>
          <cell r="CR1298">
            <v>0</v>
          </cell>
          <cell r="CS1298">
            <v>0</v>
          </cell>
          <cell r="CT1298">
            <v>30</v>
          </cell>
          <cell r="CU1298">
            <v>0</v>
          </cell>
          <cell r="CV1298">
            <v>0</v>
          </cell>
          <cell r="CZ1298">
            <v>30</v>
          </cell>
        </row>
        <row r="1299">
          <cell r="C1299" t="str">
            <v>05021</v>
          </cell>
          <cell r="D1299" t="str">
            <v>Thị Xuân Hồng</v>
          </cell>
          <cell r="E1299" t="str">
            <v>Production</v>
          </cell>
          <cell r="F1299" t="str">
            <v>Logo</v>
          </cell>
          <cell r="G1299" t="str">
            <v>Worker</v>
          </cell>
          <cell r="H1299">
            <v>46093</v>
          </cell>
          <cell r="I1299" t="str">
            <v>X</v>
          </cell>
          <cell r="J1299" t="str">
            <v>X</v>
          </cell>
          <cell r="K1299" t="str">
            <v>X</v>
          </cell>
          <cell r="L1299" t="str">
            <v>X</v>
          </cell>
          <cell r="M1299" t="str">
            <v>X</v>
          </cell>
          <cell r="N1299" t="str">
            <v>X</v>
          </cell>
          <cell r="O1299" t="str">
            <v>X</v>
          </cell>
          <cell r="P1299" t="str">
            <v>X</v>
          </cell>
          <cell r="Q1299" t="str">
            <v>X</v>
          </cell>
          <cell r="R1299" t="str">
            <v>X</v>
          </cell>
          <cell r="S1299" t="str">
            <v>X</v>
          </cell>
          <cell r="T1299" t="str">
            <v>X</v>
          </cell>
          <cell r="U1299" t="str">
            <v>X</v>
          </cell>
          <cell r="V1299" t="str">
            <v>X</v>
          </cell>
          <cell r="W1299">
            <v>8</v>
          </cell>
          <cell r="X1299">
            <v>8</v>
          </cell>
          <cell r="Y1299">
            <v>8</v>
          </cell>
          <cell r="Z1299" t="str">
            <v>CN</v>
          </cell>
          <cell r="AA1299">
            <v>8</v>
          </cell>
          <cell r="AB1299" t="str">
            <v>UP8</v>
          </cell>
          <cell r="AC1299" t="str">
            <v>TV</v>
          </cell>
          <cell r="AD1299" t="str">
            <v>TV</v>
          </cell>
          <cell r="AE1299" t="str">
            <v>TV</v>
          </cell>
          <cell r="AF1299" t="str">
            <v>TV</v>
          </cell>
          <cell r="AG1299" t="str">
            <v>TV</v>
          </cell>
          <cell r="AH1299" t="str">
            <v>TV</v>
          </cell>
          <cell r="AI1299" t="str">
            <v>TV</v>
          </cell>
          <cell r="AJ1299" t="str">
            <v>TV</v>
          </cell>
          <cell r="AN1299">
            <v>0</v>
          </cell>
          <cell r="AO1299">
            <v>32</v>
          </cell>
          <cell r="AP1299">
            <v>0</v>
          </cell>
          <cell r="AQ1299">
            <v>0</v>
          </cell>
          <cell r="AR1299">
            <v>0</v>
          </cell>
          <cell r="AS1299">
            <v>8</v>
          </cell>
          <cell r="AT1299">
            <v>0</v>
          </cell>
          <cell r="AU1299">
            <v>0</v>
          </cell>
          <cell r="AV1299">
            <v>0</v>
          </cell>
          <cell r="AW1299">
            <v>0</v>
          </cell>
          <cell r="AX1299">
            <v>0</v>
          </cell>
          <cell r="AY1299">
            <v>0</v>
          </cell>
          <cell r="AZ1299">
            <v>0</v>
          </cell>
          <cell r="BA1299">
            <v>0</v>
          </cell>
          <cell r="BB1299">
            <v>0</v>
          </cell>
          <cell r="BC1299">
            <v>0</v>
          </cell>
          <cell r="BD1299">
            <v>0</v>
          </cell>
          <cell r="BE1299">
            <v>0</v>
          </cell>
          <cell r="BF1299">
            <v>0</v>
          </cell>
          <cell r="BG1299">
            <v>32</v>
          </cell>
          <cell r="BH1299">
            <v>0</v>
          </cell>
          <cell r="BI1299">
            <v>0</v>
          </cell>
          <cell r="BJ1299">
            <v>1</v>
          </cell>
          <cell r="BL1299">
            <v>0</v>
          </cell>
          <cell r="BM1299">
            <v>0</v>
          </cell>
          <cell r="BN1299">
            <v>0</v>
          </cell>
          <cell r="BO1299">
            <v>0</v>
          </cell>
          <cell r="BP1299">
            <v>0</v>
          </cell>
          <cell r="BQ1299">
            <v>0</v>
          </cell>
          <cell r="BR1299">
            <v>0</v>
          </cell>
          <cell r="BS1299">
            <v>0</v>
          </cell>
          <cell r="BT1299">
            <v>0</v>
          </cell>
          <cell r="BU1299">
            <v>0</v>
          </cell>
          <cell r="BV1299">
            <v>0</v>
          </cell>
          <cell r="BW1299">
            <v>0</v>
          </cell>
          <cell r="BX1299">
            <v>0</v>
          </cell>
          <cell r="BY1299">
            <v>0</v>
          </cell>
          <cell r="BZ1299">
            <v>0</v>
          </cell>
          <cell r="CA1299">
            <v>0</v>
          </cell>
          <cell r="CB1299">
            <v>0</v>
          </cell>
          <cell r="CC1299">
            <v>0</v>
          </cell>
          <cell r="CD1299">
            <v>0</v>
          </cell>
          <cell r="CE1299">
            <v>0</v>
          </cell>
          <cell r="CF1299">
            <v>0</v>
          </cell>
          <cell r="CG1299">
            <v>0</v>
          </cell>
          <cell r="CH1299">
            <v>0</v>
          </cell>
          <cell r="CI1299">
            <v>0</v>
          </cell>
          <cell r="CJ1299">
            <v>0</v>
          </cell>
          <cell r="CK1299">
            <v>0</v>
          </cell>
          <cell r="CL1299">
            <v>0</v>
          </cell>
          <cell r="CM1299">
            <v>0</v>
          </cell>
          <cell r="CR1299">
            <v>0</v>
          </cell>
          <cell r="CS1299">
            <v>0</v>
          </cell>
          <cell r="CT1299">
            <v>0</v>
          </cell>
          <cell r="CU1299">
            <v>0</v>
          </cell>
          <cell r="CV1299">
            <v>0</v>
          </cell>
          <cell r="CZ1299">
            <v>0</v>
          </cell>
        </row>
        <row r="1300">
          <cell r="C1300" t="str">
            <v>05022</v>
          </cell>
          <cell r="D1300" t="str">
            <v>Đỗ Trung Hiếu</v>
          </cell>
          <cell r="E1300" t="str">
            <v>Foaming</v>
          </cell>
          <cell r="F1300" t="str">
            <v>FOAMING Splitting</v>
          </cell>
          <cell r="G1300" t="str">
            <v>Worker</v>
          </cell>
          <cell r="H1300">
            <v>46093</v>
          </cell>
          <cell r="I1300" t="str">
            <v>X</v>
          </cell>
          <cell r="J1300" t="str">
            <v>X</v>
          </cell>
          <cell r="K1300" t="str">
            <v>X</v>
          </cell>
          <cell r="L1300" t="str">
            <v>X</v>
          </cell>
          <cell r="M1300" t="str">
            <v>X</v>
          </cell>
          <cell r="N1300" t="str">
            <v>X</v>
          </cell>
          <cell r="O1300" t="str">
            <v>X</v>
          </cell>
          <cell r="P1300" t="str">
            <v>X</v>
          </cell>
          <cell r="Q1300" t="str">
            <v>X</v>
          </cell>
          <cell r="R1300" t="str">
            <v>X</v>
          </cell>
          <cell r="S1300" t="str">
            <v>X</v>
          </cell>
          <cell r="T1300" t="str">
            <v>X</v>
          </cell>
          <cell r="U1300" t="str">
            <v>X</v>
          </cell>
          <cell r="V1300" t="str">
            <v>X</v>
          </cell>
          <cell r="W1300">
            <v>8</v>
          </cell>
          <cell r="X1300">
            <v>8</v>
          </cell>
          <cell r="Y1300">
            <v>8</v>
          </cell>
          <cell r="Z1300" t="str">
            <v>CN</v>
          </cell>
          <cell r="AA1300" t="str">
            <v>NP</v>
          </cell>
          <cell r="AB1300" t="str">
            <v>NP</v>
          </cell>
          <cell r="AC1300" t="str">
            <v>NP</v>
          </cell>
          <cell r="AD1300" t="str">
            <v>NP</v>
          </cell>
          <cell r="AE1300" t="str">
            <v>NP</v>
          </cell>
          <cell r="AF1300" t="str">
            <v>TV</v>
          </cell>
          <cell r="AG1300" t="str">
            <v>TV</v>
          </cell>
          <cell r="AH1300" t="str">
            <v>TV</v>
          </cell>
          <cell r="AI1300" t="str">
            <v>TV</v>
          </cell>
          <cell r="AJ1300" t="str">
            <v>TV</v>
          </cell>
          <cell r="AN1300">
            <v>0</v>
          </cell>
          <cell r="AO1300">
            <v>24</v>
          </cell>
          <cell r="AP1300">
            <v>0</v>
          </cell>
          <cell r="AQ1300">
            <v>0</v>
          </cell>
          <cell r="AR1300">
            <v>0</v>
          </cell>
          <cell r="AS1300">
            <v>0</v>
          </cell>
          <cell r="AT1300">
            <v>5</v>
          </cell>
          <cell r="AU1300">
            <v>0</v>
          </cell>
          <cell r="AV1300">
            <v>0</v>
          </cell>
          <cell r="AW1300">
            <v>0</v>
          </cell>
          <cell r="AX1300">
            <v>0</v>
          </cell>
          <cell r="AY1300">
            <v>0</v>
          </cell>
          <cell r="AZ1300">
            <v>0</v>
          </cell>
          <cell r="BA1300">
            <v>0</v>
          </cell>
          <cell r="BB1300">
            <v>0</v>
          </cell>
          <cell r="BC1300">
            <v>0</v>
          </cell>
          <cell r="BD1300">
            <v>0</v>
          </cell>
          <cell r="BE1300">
            <v>0</v>
          </cell>
          <cell r="BF1300">
            <v>0</v>
          </cell>
          <cell r="BG1300">
            <v>24</v>
          </cell>
          <cell r="BH1300">
            <v>0</v>
          </cell>
          <cell r="BI1300">
            <v>0</v>
          </cell>
          <cell r="BJ1300">
            <v>1</v>
          </cell>
          <cell r="BL1300">
            <v>0</v>
          </cell>
          <cell r="BM1300">
            <v>0</v>
          </cell>
          <cell r="BN1300">
            <v>0</v>
          </cell>
          <cell r="BO1300">
            <v>0</v>
          </cell>
          <cell r="BP1300">
            <v>0</v>
          </cell>
          <cell r="BQ1300">
            <v>0</v>
          </cell>
          <cell r="BR1300">
            <v>0</v>
          </cell>
          <cell r="BS1300">
            <v>0</v>
          </cell>
          <cell r="BT1300">
            <v>0</v>
          </cell>
          <cell r="BU1300">
            <v>0</v>
          </cell>
          <cell r="BV1300">
            <v>0</v>
          </cell>
          <cell r="BW1300">
            <v>0</v>
          </cell>
          <cell r="BX1300">
            <v>0</v>
          </cell>
          <cell r="BY1300">
            <v>0</v>
          </cell>
          <cell r="BZ1300">
            <v>0</v>
          </cell>
          <cell r="CA1300">
            <v>1</v>
          </cell>
          <cell r="CB1300">
            <v>1</v>
          </cell>
          <cell r="CC1300">
            <v>0</v>
          </cell>
          <cell r="CD1300">
            <v>0</v>
          </cell>
          <cell r="CE1300">
            <v>0</v>
          </cell>
          <cell r="CF1300">
            <v>0</v>
          </cell>
          <cell r="CG1300">
            <v>0</v>
          </cell>
          <cell r="CH1300">
            <v>0</v>
          </cell>
          <cell r="CI1300">
            <v>0</v>
          </cell>
          <cell r="CJ1300">
            <v>0</v>
          </cell>
          <cell r="CK1300">
            <v>0</v>
          </cell>
          <cell r="CL1300">
            <v>0</v>
          </cell>
          <cell r="CM1300">
            <v>0</v>
          </cell>
          <cell r="CR1300">
            <v>0</v>
          </cell>
          <cell r="CS1300">
            <v>0</v>
          </cell>
          <cell r="CT1300">
            <v>2</v>
          </cell>
          <cell r="CU1300">
            <v>0</v>
          </cell>
          <cell r="CV1300">
            <v>0</v>
          </cell>
          <cell r="CZ1300">
            <v>2</v>
          </cell>
        </row>
        <row r="1301">
          <cell r="C1301" t="str">
            <v>05023</v>
          </cell>
          <cell r="D1301" t="str">
            <v>Nguyễn Văn Giáp</v>
          </cell>
          <cell r="E1301" t="str">
            <v>Production</v>
          </cell>
          <cell r="F1301" t="str">
            <v>Lamination</v>
          </cell>
          <cell r="G1301" t="str">
            <v>Worker</v>
          </cell>
          <cell r="H1301">
            <v>46093</v>
          </cell>
          <cell r="I1301" t="str">
            <v>X</v>
          </cell>
          <cell r="J1301" t="str">
            <v>X</v>
          </cell>
          <cell r="K1301" t="str">
            <v>X</v>
          </cell>
          <cell r="L1301" t="str">
            <v>X</v>
          </cell>
          <cell r="M1301" t="str">
            <v>X</v>
          </cell>
          <cell r="N1301" t="str">
            <v>X</v>
          </cell>
          <cell r="O1301" t="str">
            <v>X</v>
          </cell>
          <cell r="P1301" t="str">
            <v>X</v>
          </cell>
          <cell r="Q1301" t="str">
            <v>X</v>
          </cell>
          <cell r="R1301" t="str">
            <v>X</v>
          </cell>
          <cell r="S1301" t="str">
            <v>X</v>
          </cell>
          <cell r="T1301" t="str">
            <v>X</v>
          </cell>
          <cell r="U1301" t="str">
            <v>X</v>
          </cell>
          <cell r="V1301" t="str">
            <v>X</v>
          </cell>
          <cell r="W1301">
            <v>8</v>
          </cell>
          <cell r="X1301" t="str">
            <v>Đ</v>
          </cell>
          <cell r="Y1301" t="str">
            <v>Đ</v>
          </cell>
          <cell r="Z1301" t="str">
            <v>CN</v>
          </cell>
          <cell r="AA1301" t="str">
            <v>Đ</v>
          </cell>
          <cell r="AB1301" t="str">
            <v>UP8</v>
          </cell>
          <cell r="AC1301" t="str">
            <v>Đ</v>
          </cell>
          <cell r="AD1301" t="str">
            <v>NP</v>
          </cell>
          <cell r="AE1301" t="str">
            <v>CN</v>
          </cell>
          <cell r="AF1301" t="str">
            <v>NP</v>
          </cell>
          <cell r="AG1301" t="str">
            <v>NP</v>
          </cell>
          <cell r="AH1301" t="str">
            <v>NP</v>
          </cell>
          <cell r="AI1301" t="str">
            <v>NP</v>
          </cell>
          <cell r="AJ1301" t="str">
            <v>TV</v>
          </cell>
          <cell r="AN1301">
            <v>32</v>
          </cell>
          <cell r="AO1301">
            <v>8</v>
          </cell>
          <cell r="AP1301">
            <v>0</v>
          </cell>
          <cell r="AQ1301">
            <v>0</v>
          </cell>
          <cell r="AR1301">
            <v>0</v>
          </cell>
          <cell r="AS1301">
            <v>8</v>
          </cell>
          <cell r="AT1301">
            <v>5</v>
          </cell>
          <cell r="AU1301">
            <v>0</v>
          </cell>
          <cell r="AV1301">
            <v>0</v>
          </cell>
          <cell r="AW1301">
            <v>0</v>
          </cell>
          <cell r="AX1301">
            <v>0</v>
          </cell>
          <cell r="AY1301">
            <v>0</v>
          </cell>
          <cell r="AZ1301">
            <v>0</v>
          </cell>
          <cell r="BA1301">
            <v>0</v>
          </cell>
          <cell r="BB1301">
            <v>0</v>
          </cell>
          <cell r="BC1301">
            <v>0</v>
          </cell>
          <cell r="BD1301">
            <v>0</v>
          </cell>
          <cell r="BE1301">
            <v>0</v>
          </cell>
          <cell r="BF1301">
            <v>0</v>
          </cell>
          <cell r="BG1301">
            <v>40</v>
          </cell>
          <cell r="BH1301">
            <v>0</v>
          </cell>
          <cell r="BI1301">
            <v>0</v>
          </cell>
          <cell r="BJ1301">
            <v>1.5</v>
          </cell>
          <cell r="BL1301">
            <v>0</v>
          </cell>
          <cell r="BM1301">
            <v>0</v>
          </cell>
          <cell r="BN1301">
            <v>0</v>
          </cell>
          <cell r="BO1301">
            <v>0</v>
          </cell>
          <cell r="BP1301">
            <v>0</v>
          </cell>
          <cell r="BQ1301">
            <v>0</v>
          </cell>
          <cell r="BR1301">
            <v>0</v>
          </cell>
          <cell r="BS1301">
            <v>0</v>
          </cell>
          <cell r="BT1301">
            <v>0</v>
          </cell>
          <cell r="BU1301">
            <v>0</v>
          </cell>
          <cell r="BV1301">
            <v>0</v>
          </cell>
          <cell r="BW1301">
            <v>0</v>
          </cell>
          <cell r="BX1301">
            <v>0</v>
          </cell>
          <cell r="BY1301">
            <v>0</v>
          </cell>
          <cell r="BZ1301">
            <v>0</v>
          </cell>
          <cell r="CA1301">
            <v>0</v>
          </cell>
          <cell r="CB1301">
            <v>0</v>
          </cell>
          <cell r="CC1301">
            <v>0</v>
          </cell>
          <cell r="CD1301">
            <v>0</v>
          </cell>
          <cell r="CE1301">
            <v>0</v>
          </cell>
          <cell r="CF1301">
            <v>0</v>
          </cell>
          <cell r="CG1301">
            <v>0</v>
          </cell>
          <cell r="CH1301">
            <v>0</v>
          </cell>
          <cell r="CI1301">
            <v>0</v>
          </cell>
          <cell r="CJ1301">
            <v>0</v>
          </cell>
          <cell r="CK1301">
            <v>0</v>
          </cell>
          <cell r="CL1301">
            <v>0</v>
          </cell>
          <cell r="CM1301">
            <v>0</v>
          </cell>
          <cell r="CR1301">
            <v>0</v>
          </cell>
          <cell r="CS1301">
            <v>0</v>
          </cell>
          <cell r="CT1301">
            <v>0</v>
          </cell>
          <cell r="CU1301">
            <v>0</v>
          </cell>
          <cell r="CV1301">
            <v>0</v>
          </cell>
          <cell r="CZ1301">
            <v>0</v>
          </cell>
        </row>
        <row r="1302">
          <cell r="C1302" t="str">
            <v>05024</v>
          </cell>
          <cell r="D1302" t="str">
            <v>Hồ Công Hóa</v>
          </cell>
          <cell r="E1302" t="str">
            <v>Production</v>
          </cell>
          <cell r="F1302" t="str">
            <v>Lamination</v>
          </cell>
          <cell r="G1302" t="str">
            <v>Worker</v>
          </cell>
          <cell r="H1302">
            <v>46093</v>
          </cell>
          <cell r="I1302" t="str">
            <v>X</v>
          </cell>
          <cell r="J1302" t="str">
            <v>X</v>
          </cell>
          <cell r="K1302" t="str">
            <v>X</v>
          </cell>
          <cell r="L1302" t="str">
            <v>X</v>
          </cell>
          <cell r="M1302" t="str">
            <v>X</v>
          </cell>
          <cell r="N1302" t="str">
            <v>X</v>
          </cell>
          <cell r="O1302" t="str">
            <v>X</v>
          </cell>
          <cell r="P1302" t="str">
            <v>X</v>
          </cell>
          <cell r="Q1302" t="str">
            <v>X</v>
          </cell>
          <cell r="R1302" t="str">
            <v>X</v>
          </cell>
          <cell r="S1302" t="str">
            <v>X</v>
          </cell>
          <cell r="T1302" t="str">
            <v>X</v>
          </cell>
          <cell r="U1302" t="str">
            <v>X</v>
          </cell>
          <cell r="V1302" t="str">
            <v>X</v>
          </cell>
          <cell r="W1302">
            <v>8</v>
          </cell>
          <cell r="X1302">
            <v>8</v>
          </cell>
          <cell r="Y1302">
            <v>8</v>
          </cell>
          <cell r="Z1302" t="str">
            <v>CN</v>
          </cell>
          <cell r="AA1302">
            <v>8</v>
          </cell>
          <cell r="AB1302">
            <v>8</v>
          </cell>
          <cell r="AC1302">
            <v>8</v>
          </cell>
          <cell r="AD1302">
            <v>8</v>
          </cell>
          <cell r="AE1302" t="str">
            <v>Đ</v>
          </cell>
          <cell r="AF1302" t="str">
            <v>Đ</v>
          </cell>
          <cell r="AG1302" t="str">
            <v>CN</v>
          </cell>
          <cell r="AH1302">
            <v>8</v>
          </cell>
          <cell r="AI1302">
            <v>8</v>
          </cell>
          <cell r="AJ1302">
            <v>8</v>
          </cell>
          <cell r="AN1302">
            <v>16</v>
          </cell>
          <cell r="AO1302">
            <v>80</v>
          </cell>
          <cell r="AP1302">
            <v>0</v>
          </cell>
          <cell r="AQ1302">
            <v>0</v>
          </cell>
          <cell r="AR1302">
            <v>0</v>
          </cell>
          <cell r="AS1302">
            <v>0</v>
          </cell>
          <cell r="AT1302">
            <v>0</v>
          </cell>
          <cell r="AU1302">
            <v>0</v>
          </cell>
          <cell r="AV1302">
            <v>0</v>
          </cell>
          <cell r="AW1302">
            <v>0</v>
          </cell>
          <cell r="AX1302">
            <v>0</v>
          </cell>
          <cell r="AY1302">
            <v>0</v>
          </cell>
          <cell r="AZ1302">
            <v>0</v>
          </cell>
          <cell r="BA1302">
            <v>0</v>
          </cell>
          <cell r="BB1302">
            <v>0</v>
          </cell>
          <cell r="BC1302">
            <v>0</v>
          </cell>
          <cell r="BD1302">
            <v>0</v>
          </cell>
          <cell r="BE1302">
            <v>0</v>
          </cell>
          <cell r="BF1302">
            <v>0</v>
          </cell>
          <cell r="BG1302">
            <v>96</v>
          </cell>
          <cell r="BH1302">
            <v>0</v>
          </cell>
          <cell r="BI1302">
            <v>0</v>
          </cell>
          <cell r="BJ1302">
            <v>2.5</v>
          </cell>
          <cell r="BL1302">
            <v>0</v>
          </cell>
          <cell r="BM1302">
            <v>0</v>
          </cell>
          <cell r="BN1302">
            <v>0</v>
          </cell>
          <cell r="BO1302">
            <v>0</v>
          </cell>
          <cell r="BP1302">
            <v>0</v>
          </cell>
          <cell r="BQ1302">
            <v>0</v>
          </cell>
          <cell r="BR1302">
            <v>0</v>
          </cell>
          <cell r="BS1302">
            <v>0</v>
          </cell>
          <cell r="BT1302">
            <v>0</v>
          </cell>
          <cell r="BU1302">
            <v>0</v>
          </cell>
          <cell r="BV1302">
            <v>0</v>
          </cell>
          <cell r="BW1302">
            <v>0</v>
          </cell>
          <cell r="BX1302">
            <v>0</v>
          </cell>
          <cell r="BY1302">
            <v>0</v>
          </cell>
          <cell r="BZ1302">
            <v>0</v>
          </cell>
          <cell r="CA1302">
            <v>0</v>
          </cell>
          <cell r="CB1302">
            <v>0</v>
          </cell>
          <cell r="CC1302">
            <v>0</v>
          </cell>
          <cell r="CD1302">
            <v>0</v>
          </cell>
          <cell r="CE1302">
            <v>0</v>
          </cell>
          <cell r="CF1302">
            <v>0</v>
          </cell>
          <cell r="CG1302">
            <v>0</v>
          </cell>
          <cell r="CH1302">
            <v>4</v>
          </cell>
          <cell r="CI1302">
            <v>4</v>
          </cell>
          <cell r="CJ1302">
            <v>0</v>
          </cell>
          <cell r="CK1302">
            <v>0</v>
          </cell>
          <cell r="CL1302">
            <v>0</v>
          </cell>
          <cell r="CM1302">
            <v>4</v>
          </cell>
          <cell r="CR1302">
            <v>0</v>
          </cell>
          <cell r="CS1302">
            <v>0</v>
          </cell>
          <cell r="CT1302">
            <v>12</v>
          </cell>
          <cell r="CU1302">
            <v>0</v>
          </cell>
          <cell r="CV1302">
            <v>0</v>
          </cell>
          <cell r="CZ1302">
            <v>12</v>
          </cell>
        </row>
        <row r="1303">
          <cell r="C1303" t="str">
            <v>05025</v>
          </cell>
          <cell r="D1303" t="str">
            <v>Lê Văn Bắc</v>
          </cell>
          <cell r="E1303" t="str">
            <v>Production</v>
          </cell>
          <cell r="F1303" t="str">
            <v>Lamination</v>
          </cell>
          <cell r="G1303" t="str">
            <v>Worker</v>
          </cell>
          <cell r="H1303">
            <v>46093</v>
          </cell>
          <cell r="I1303" t="str">
            <v>X</v>
          </cell>
          <cell r="J1303" t="str">
            <v>X</v>
          </cell>
          <cell r="K1303" t="str">
            <v>X</v>
          </cell>
          <cell r="L1303" t="str">
            <v>X</v>
          </cell>
          <cell r="M1303" t="str">
            <v>X</v>
          </cell>
          <cell r="N1303" t="str">
            <v>X</v>
          </cell>
          <cell r="O1303" t="str">
            <v>X</v>
          </cell>
          <cell r="P1303" t="str">
            <v>X</v>
          </cell>
          <cell r="Q1303" t="str">
            <v>X</v>
          </cell>
          <cell r="R1303" t="str">
            <v>X</v>
          </cell>
          <cell r="S1303" t="str">
            <v>X</v>
          </cell>
          <cell r="T1303" t="str">
            <v>X</v>
          </cell>
          <cell r="U1303" t="str">
            <v>X</v>
          </cell>
          <cell r="V1303" t="str">
            <v>X</v>
          </cell>
          <cell r="W1303">
            <v>8</v>
          </cell>
          <cell r="X1303">
            <v>8</v>
          </cell>
          <cell r="Y1303">
            <v>8</v>
          </cell>
          <cell r="Z1303" t="str">
            <v>CN</v>
          </cell>
          <cell r="AA1303">
            <v>8</v>
          </cell>
          <cell r="AB1303">
            <v>8</v>
          </cell>
          <cell r="AC1303">
            <v>8</v>
          </cell>
          <cell r="AD1303">
            <v>8</v>
          </cell>
          <cell r="AE1303">
            <v>8</v>
          </cell>
          <cell r="AF1303" t="str">
            <v>CN</v>
          </cell>
          <cell r="AG1303">
            <v>8</v>
          </cell>
          <cell r="AH1303">
            <v>8</v>
          </cell>
          <cell r="AI1303">
            <v>8</v>
          </cell>
          <cell r="AJ1303">
            <v>8</v>
          </cell>
          <cell r="AN1303">
            <v>0</v>
          </cell>
          <cell r="AO1303">
            <v>96</v>
          </cell>
          <cell r="AP1303">
            <v>0</v>
          </cell>
          <cell r="AQ1303">
            <v>0</v>
          </cell>
          <cell r="AR1303">
            <v>0</v>
          </cell>
          <cell r="AS1303">
            <v>0</v>
          </cell>
          <cell r="AT1303">
            <v>0</v>
          </cell>
          <cell r="AU1303">
            <v>0</v>
          </cell>
          <cell r="AV1303">
            <v>0</v>
          </cell>
          <cell r="AW1303">
            <v>0</v>
          </cell>
          <cell r="AX1303">
            <v>0</v>
          </cell>
          <cell r="AY1303">
            <v>0</v>
          </cell>
          <cell r="AZ1303">
            <v>0</v>
          </cell>
          <cell r="BA1303">
            <v>0</v>
          </cell>
          <cell r="BB1303">
            <v>0</v>
          </cell>
          <cell r="BC1303">
            <v>0</v>
          </cell>
          <cell r="BD1303">
            <v>0</v>
          </cell>
          <cell r="BE1303">
            <v>0</v>
          </cell>
          <cell r="BF1303">
            <v>0</v>
          </cell>
          <cell r="BG1303">
            <v>96</v>
          </cell>
          <cell r="BH1303">
            <v>0</v>
          </cell>
          <cell r="BI1303">
            <v>0</v>
          </cell>
          <cell r="BJ1303">
            <v>2.5</v>
          </cell>
          <cell r="BL1303">
            <v>0</v>
          </cell>
          <cell r="BM1303">
            <v>0</v>
          </cell>
          <cell r="BN1303">
            <v>0</v>
          </cell>
          <cell r="BO1303">
            <v>0</v>
          </cell>
          <cell r="BP1303">
            <v>0</v>
          </cell>
          <cell r="BQ1303">
            <v>0</v>
          </cell>
          <cell r="BR1303">
            <v>0</v>
          </cell>
          <cell r="BS1303">
            <v>0</v>
          </cell>
          <cell r="BT1303">
            <v>0</v>
          </cell>
          <cell r="BU1303">
            <v>0</v>
          </cell>
          <cell r="BV1303">
            <v>0</v>
          </cell>
          <cell r="BW1303">
            <v>0</v>
          </cell>
          <cell r="BX1303">
            <v>0</v>
          </cell>
          <cell r="BY1303">
            <v>0</v>
          </cell>
          <cell r="BZ1303">
            <v>0</v>
          </cell>
          <cell r="CA1303">
            <v>0</v>
          </cell>
          <cell r="CB1303">
            <v>0</v>
          </cell>
          <cell r="CC1303">
            <v>0</v>
          </cell>
          <cell r="CD1303">
            <v>0</v>
          </cell>
          <cell r="CE1303">
            <v>0</v>
          </cell>
          <cell r="CF1303">
            <v>0</v>
          </cell>
          <cell r="CG1303">
            <v>0</v>
          </cell>
          <cell r="CH1303">
            <v>4</v>
          </cell>
          <cell r="CI1303">
            <v>0</v>
          </cell>
          <cell r="CJ1303">
            <v>4</v>
          </cell>
          <cell r="CK1303">
            <v>0</v>
          </cell>
          <cell r="CL1303">
            <v>0</v>
          </cell>
          <cell r="CM1303">
            <v>0</v>
          </cell>
          <cell r="CR1303">
            <v>0</v>
          </cell>
          <cell r="CS1303">
            <v>0</v>
          </cell>
          <cell r="CT1303">
            <v>8</v>
          </cell>
          <cell r="CU1303">
            <v>0</v>
          </cell>
          <cell r="CV1303">
            <v>0</v>
          </cell>
          <cell r="CZ1303">
            <v>8</v>
          </cell>
        </row>
        <row r="1304">
          <cell r="C1304" t="str">
            <v>05026</v>
          </cell>
          <cell r="D1304" t="str">
            <v>Trịnh Bình Nam</v>
          </cell>
          <cell r="E1304" t="str">
            <v>Production</v>
          </cell>
          <cell r="F1304" t="str">
            <v>Die cut</v>
          </cell>
          <cell r="G1304" t="str">
            <v>Worker</v>
          </cell>
          <cell r="H1304">
            <v>46093</v>
          </cell>
          <cell r="I1304" t="str">
            <v>X</v>
          </cell>
          <cell r="J1304" t="str">
            <v>X</v>
          </cell>
          <cell r="K1304" t="str">
            <v>X</v>
          </cell>
          <cell r="L1304" t="str">
            <v>X</v>
          </cell>
          <cell r="M1304" t="str">
            <v>X</v>
          </cell>
          <cell r="N1304" t="str">
            <v>X</v>
          </cell>
          <cell r="O1304" t="str">
            <v>X</v>
          </cell>
          <cell r="P1304" t="str">
            <v>X</v>
          </cell>
          <cell r="Q1304" t="str">
            <v>X</v>
          </cell>
          <cell r="R1304" t="str">
            <v>X</v>
          </cell>
          <cell r="S1304" t="str">
            <v>X</v>
          </cell>
          <cell r="T1304" t="str">
            <v>X</v>
          </cell>
          <cell r="U1304" t="str">
            <v>X</v>
          </cell>
          <cell r="V1304" t="str">
            <v>X</v>
          </cell>
          <cell r="W1304">
            <v>8</v>
          </cell>
          <cell r="X1304">
            <v>8</v>
          </cell>
          <cell r="Y1304">
            <v>8</v>
          </cell>
          <cell r="Z1304" t="str">
            <v>CN</v>
          </cell>
          <cell r="AA1304" t="str">
            <v>Đ</v>
          </cell>
          <cell r="AB1304" t="str">
            <v>Đ</v>
          </cell>
          <cell r="AC1304" t="str">
            <v>Đ</v>
          </cell>
          <cell r="AD1304" t="str">
            <v>Đ</v>
          </cell>
          <cell r="AE1304" t="str">
            <v>Đ</v>
          </cell>
          <cell r="AF1304" t="str">
            <v>Đ</v>
          </cell>
          <cell r="AG1304" t="str">
            <v>CN</v>
          </cell>
          <cell r="AH1304">
            <v>8</v>
          </cell>
          <cell r="AI1304">
            <v>8</v>
          </cell>
          <cell r="AJ1304">
            <v>8</v>
          </cell>
          <cell r="AN1304">
            <v>48</v>
          </cell>
          <cell r="AO1304">
            <v>48</v>
          </cell>
          <cell r="AP1304">
            <v>0</v>
          </cell>
          <cell r="AQ1304">
            <v>0</v>
          </cell>
          <cell r="AR1304">
            <v>0</v>
          </cell>
          <cell r="AS1304">
            <v>0</v>
          </cell>
          <cell r="AT1304">
            <v>0</v>
          </cell>
          <cell r="AU1304">
            <v>0</v>
          </cell>
          <cell r="AV1304">
            <v>0</v>
          </cell>
          <cell r="AW1304">
            <v>0</v>
          </cell>
          <cell r="AX1304">
            <v>0</v>
          </cell>
          <cell r="AY1304">
            <v>0</v>
          </cell>
          <cell r="AZ1304">
            <v>0</v>
          </cell>
          <cell r="BA1304">
            <v>0</v>
          </cell>
          <cell r="BB1304">
            <v>0</v>
          </cell>
          <cell r="BC1304">
            <v>0</v>
          </cell>
          <cell r="BD1304">
            <v>0</v>
          </cell>
          <cell r="BE1304">
            <v>0</v>
          </cell>
          <cell r="BF1304">
            <v>0</v>
          </cell>
          <cell r="BG1304">
            <v>96</v>
          </cell>
          <cell r="BH1304">
            <v>0</v>
          </cell>
          <cell r="BI1304">
            <v>0</v>
          </cell>
          <cell r="BJ1304">
            <v>2</v>
          </cell>
          <cell r="BL1304">
            <v>0</v>
          </cell>
          <cell r="BM1304">
            <v>0</v>
          </cell>
          <cell r="BN1304">
            <v>0</v>
          </cell>
          <cell r="BO1304">
            <v>0</v>
          </cell>
          <cell r="BP1304">
            <v>0</v>
          </cell>
          <cell r="BQ1304">
            <v>0</v>
          </cell>
          <cell r="BR1304">
            <v>0</v>
          </cell>
          <cell r="BS1304">
            <v>0</v>
          </cell>
          <cell r="BT1304">
            <v>0</v>
          </cell>
          <cell r="BU1304">
            <v>0</v>
          </cell>
          <cell r="BV1304">
            <v>0</v>
          </cell>
          <cell r="BW1304">
            <v>0</v>
          </cell>
          <cell r="BX1304">
            <v>0</v>
          </cell>
          <cell r="BY1304">
            <v>0</v>
          </cell>
          <cell r="BZ1304">
            <v>0</v>
          </cell>
          <cell r="CA1304">
            <v>0</v>
          </cell>
          <cell r="CB1304">
            <v>0</v>
          </cell>
          <cell r="CC1304">
            <v>0</v>
          </cell>
          <cell r="CD1304">
            <v>4</v>
          </cell>
          <cell r="CE1304">
            <v>4</v>
          </cell>
          <cell r="CF1304">
            <v>4</v>
          </cell>
          <cell r="CG1304">
            <v>4</v>
          </cell>
          <cell r="CH1304">
            <v>4</v>
          </cell>
          <cell r="CI1304">
            <v>4</v>
          </cell>
          <cell r="CJ1304">
            <v>0</v>
          </cell>
          <cell r="CK1304">
            <v>3</v>
          </cell>
          <cell r="CL1304">
            <v>3</v>
          </cell>
          <cell r="CM1304">
            <v>3</v>
          </cell>
          <cell r="CR1304">
            <v>0</v>
          </cell>
          <cell r="CS1304">
            <v>0</v>
          </cell>
          <cell r="CT1304">
            <v>33</v>
          </cell>
          <cell r="CU1304">
            <v>0</v>
          </cell>
          <cell r="CV1304">
            <v>0</v>
          </cell>
          <cell r="CZ1304">
            <v>33</v>
          </cell>
        </row>
        <row r="1305">
          <cell r="C1305" t="str">
            <v>05027</v>
          </cell>
          <cell r="D1305" t="str">
            <v>Lăng Văn Hà</v>
          </cell>
          <cell r="E1305" t="str">
            <v>Production</v>
          </cell>
          <cell r="F1305" t="str">
            <v>Molding</v>
          </cell>
          <cell r="G1305" t="str">
            <v>Worker</v>
          </cell>
          <cell r="H1305">
            <v>46093</v>
          </cell>
          <cell r="I1305" t="str">
            <v>X</v>
          </cell>
          <cell r="J1305" t="str">
            <v>X</v>
          </cell>
          <cell r="K1305" t="str">
            <v>X</v>
          </cell>
          <cell r="L1305" t="str">
            <v>X</v>
          </cell>
          <cell r="M1305" t="str">
            <v>X</v>
          </cell>
          <cell r="N1305" t="str">
            <v>X</v>
          </cell>
          <cell r="O1305" t="str">
            <v>X</v>
          </cell>
          <cell r="P1305" t="str">
            <v>X</v>
          </cell>
          <cell r="Q1305" t="str">
            <v>X</v>
          </cell>
          <cell r="R1305" t="str">
            <v>X</v>
          </cell>
          <cell r="S1305" t="str">
            <v>X</v>
          </cell>
          <cell r="T1305" t="str">
            <v>X</v>
          </cell>
          <cell r="U1305" t="str">
            <v>X</v>
          </cell>
          <cell r="V1305" t="str">
            <v>X</v>
          </cell>
          <cell r="W1305">
            <v>8</v>
          </cell>
          <cell r="X1305">
            <v>8</v>
          </cell>
          <cell r="Y1305">
            <v>8</v>
          </cell>
          <cell r="Z1305" t="str">
            <v>CN</v>
          </cell>
          <cell r="AA1305">
            <v>8</v>
          </cell>
          <cell r="AB1305">
            <v>8</v>
          </cell>
          <cell r="AC1305" t="str">
            <v>TV</v>
          </cell>
          <cell r="AD1305" t="str">
            <v>TV</v>
          </cell>
          <cell r="AE1305" t="str">
            <v>TV</v>
          </cell>
          <cell r="AF1305" t="str">
            <v>TV</v>
          </cell>
          <cell r="AG1305" t="str">
            <v>TV</v>
          </cell>
          <cell r="AH1305" t="str">
            <v>TV</v>
          </cell>
          <cell r="AI1305" t="str">
            <v>TV</v>
          </cell>
          <cell r="AJ1305" t="str">
            <v>TV</v>
          </cell>
          <cell r="AN1305">
            <v>0</v>
          </cell>
          <cell r="AO1305">
            <v>40</v>
          </cell>
          <cell r="AP1305">
            <v>0</v>
          </cell>
          <cell r="AQ1305">
            <v>0</v>
          </cell>
          <cell r="AR1305">
            <v>0</v>
          </cell>
          <cell r="AS1305">
            <v>0</v>
          </cell>
          <cell r="AT1305">
            <v>0</v>
          </cell>
          <cell r="AU1305">
            <v>0</v>
          </cell>
          <cell r="AV1305">
            <v>0</v>
          </cell>
          <cell r="AW1305">
            <v>0</v>
          </cell>
          <cell r="AX1305">
            <v>0</v>
          </cell>
          <cell r="AY1305">
            <v>0</v>
          </cell>
          <cell r="AZ1305">
            <v>0</v>
          </cell>
          <cell r="BA1305">
            <v>0</v>
          </cell>
          <cell r="BB1305">
            <v>0</v>
          </cell>
          <cell r="BC1305">
            <v>0</v>
          </cell>
          <cell r="BD1305">
            <v>0</v>
          </cell>
          <cell r="BE1305">
            <v>0</v>
          </cell>
          <cell r="BF1305">
            <v>0</v>
          </cell>
          <cell r="BG1305">
            <v>40</v>
          </cell>
          <cell r="BH1305">
            <v>0</v>
          </cell>
          <cell r="BI1305">
            <v>0</v>
          </cell>
          <cell r="BJ1305">
            <v>1</v>
          </cell>
          <cell r="BL1305">
            <v>0</v>
          </cell>
          <cell r="BM1305">
            <v>0</v>
          </cell>
          <cell r="BN1305">
            <v>0</v>
          </cell>
          <cell r="BO1305">
            <v>0</v>
          </cell>
          <cell r="BP1305">
            <v>0</v>
          </cell>
          <cell r="BQ1305">
            <v>0</v>
          </cell>
          <cell r="BR1305">
            <v>0</v>
          </cell>
          <cell r="BS1305">
            <v>0</v>
          </cell>
          <cell r="BT1305">
            <v>0</v>
          </cell>
          <cell r="BU1305">
            <v>0</v>
          </cell>
          <cell r="BV1305">
            <v>0</v>
          </cell>
          <cell r="BW1305">
            <v>0</v>
          </cell>
          <cell r="BX1305">
            <v>0</v>
          </cell>
          <cell r="BY1305">
            <v>0</v>
          </cell>
          <cell r="BZ1305">
            <v>0</v>
          </cell>
          <cell r="CA1305">
            <v>0</v>
          </cell>
          <cell r="CB1305">
            <v>0</v>
          </cell>
          <cell r="CC1305">
            <v>0</v>
          </cell>
          <cell r="CD1305">
            <v>0</v>
          </cell>
          <cell r="CE1305">
            <v>0</v>
          </cell>
          <cell r="CF1305">
            <v>0</v>
          </cell>
          <cell r="CG1305">
            <v>0</v>
          </cell>
          <cell r="CH1305">
            <v>0</v>
          </cell>
          <cell r="CI1305">
            <v>0</v>
          </cell>
          <cell r="CJ1305">
            <v>0</v>
          </cell>
          <cell r="CK1305">
            <v>0</v>
          </cell>
          <cell r="CL1305">
            <v>0</v>
          </cell>
          <cell r="CM1305">
            <v>0</v>
          </cell>
          <cell r="CR1305">
            <v>0</v>
          </cell>
          <cell r="CS1305">
            <v>0</v>
          </cell>
          <cell r="CT1305">
            <v>0</v>
          </cell>
          <cell r="CU1305">
            <v>0</v>
          </cell>
          <cell r="CV1305">
            <v>0</v>
          </cell>
          <cell r="CZ1305">
            <v>0</v>
          </cell>
        </row>
        <row r="1306">
          <cell r="C1306" t="str">
            <v>05028</v>
          </cell>
          <cell r="D1306" t="str">
            <v>Lê Vĩ Khang</v>
          </cell>
          <cell r="E1306" t="str">
            <v>Production</v>
          </cell>
          <cell r="F1306" t="str">
            <v>Prefitting</v>
          </cell>
          <cell r="G1306" t="str">
            <v>Worker</v>
          </cell>
          <cell r="H1306">
            <v>46093</v>
          </cell>
          <cell r="I1306" t="str">
            <v>X</v>
          </cell>
          <cell r="J1306" t="str">
            <v>X</v>
          </cell>
          <cell r="K1306" t="str">
            <v>X</v>
          </cell>
          <cell r="L1306" t="str">
            <v>X</v>
          </cell>
          <cell r="M1306" t="str">
            <v>X</v>
          </cell>
          <cell r="N1306" t="str">
            <v>X</v>
          </cell>
          <cell r="O1306" t="str">
            <v>X</v>
          </cell>
          <cell r="P1306" t="str">
            <v>X</v>
          </cell>
          <cell r="Q1306" t="str">
            <v>X</v>
          </cell>
          <cell r="R1306" t="str">
            <v>X</v>
          </cell>
          <cell r="S1306" t="str">
            <v>X</v>
          </cell>
          <cell r="T1306" t="str">
            <v>X</v>
          </cell>
          <cell r="U1306" t="str">
            <v>X</v>
          </cell>
          <cell r="V1306" t="str">
            <v>X</v>
          </cell>
          <cell r="W1306">
            <v>8</v>
          </cell>
          <cell r="X1306">
            <v>8</v>
          </cell>
          <cell r="Y1306">
            <v>8</v>
          </cell>
          <cell r="Z1306" t="str">
            <v>CN</v>
          </cell>
          <cell r="AA1306">
            <v>8</v>
          </cell>
          <cell r="AB1306">
            <v>8</v>
          </cell>
          <cell r="AC1306">
            <v>8</v>
          </cell>
          <cell r="AD1306">
            <v>8</v>
          </cell>
          <cell r="AE1306">
            <v>8</v>
          </cell>
          <cell r="AF1306">
            <v>8</v>
          </cell>
          <cell r="AG1306" t="str">
            <v>CN</v>
          </cell>
          <cell r="AH1306" t="str">
            <v>Đ</v>
          </cell>
          <cell r="AI1306" t="str">
            <v>Đ</v>
          </cell>
          <cell r="AJ1306" t="str">
            <v>Đ</v>
          </cell>
          <cell r="AN1306">
            <v>24</v>
          </cell>
          <cell r="AO1306">
            <v>72</v>
          </cell>
          <cell r="AP1306">
            <v>0</v>
          </cell>
          <cell r="AQ1306">
            <v>0</v>
          </cell>
          <cell r="AR1306">
            <v>0</v>
          </cell>
          <cell r="AS1306">
            <v>0</v>
          </cell>
          <cell r="AT1306">
            <v>0</v>
          </cell>
          <cell r="AU1306">
            <v>0</v>
          </cell>
          <cell r="AV1306">
            <v>0</v>
          </cell>
          <cell r="AW1306">
            <v>0</v>
          </cell>
          <cell r="AX1306">
            <v>0</v>
          </cell>
          <cell r="AY1306">
            <v>0</v>
          </cell>
          <cell r="AZ1306">
            <v>0</v>
          </cell>
          <cell r="BA1306">
            <v>0</v>
          </cell>
          <cell r="BB1306">
            <v>0</v>
          </cell>
          <cell r="BC1306">
            <v>0</v>
          </cell>
          <cell r="BD1306">
            <v>0</v>
          </cell>
          <cell r="BE1306">
            <v>0</v>
          </cell>
          <cell r="BF1306">
            <v>0</v>
          </cell>
          <cell r="BG1306">
            <v>96</v>
          </cell>
          <cell r="BH1306">
            <v>0</v>
          </cell>
          <cell r="BI1306">
            <v>0</v>
          </cell>
          <cell r="BJ1306">
            <v>2</v>
          </cell>
          <cell r="BL1306">
            <v>0</v>
          </cell>
          <cell r="BM1306">
            <v>0</v>
          </cell>
          <cell r="BN1306">
            <v>0</v>
          </cell>
          <cell r="BO1306">
            <v>0</v>
          </cell>
          <cell r="BP1306">
            <v>0</v>
          </cell>
          <cell r="BQ1306">
            <v>0</v>
          </cell>
          <cell r="BR1306">
            <v>0</v>
          </cell>
          <cell r="BS1306">
            <v>0</v>
          </cell>
          <cell r="BT1306">
            <v>0</v>
          </cell>
          <cell r="BU1306">
            <v>0</v>
          </cell>
          <cell r="BV1306">
            <v>0</v>
          </cell>
          <cell r="BW1306">
            <v>0</v>
          </cell>
          <cell r="BX1306">
            <v>0</v>
          </cell>
          <cell r="BY1306">
            <v>0</v>
          </cell>
          <cell r="BZ1306">
            <v>0</v>
          </cell>
          <cell r="CA1306">
            <v>0</v>
          </cell>
          <cell r="CB1306">
            <v>0</v>
          </cell>
          <cell r="CC1306">
            <v>0</v>
          </cell>
          <cell r="CD1306">
            <v>0</v>
          </cell>
          <cell r="CE1306">
            <v>0</v>
          </cell>
          <cell r="CF1306">
            <v>0</v>
          </cell>
          <cell r="CG1306">
            <v>0</v>
          </cell>
          <cell r="CH1306">
            <v>0</v>
          </cell>
          <cell r="CI1306">
            <v>0</v>
          </cell>
          <cell r="CJ1306">
            <v>0</v>
          </cell>
          <cell r="CK1306">
            <v>0</v>
          </cell>
          <cell r="CL1306">
            <v>0</v>
          </cell>
          <cell r="CM1306">
            <v>0</v>
          </cell>
          <cell r="CR1306">
            <v>0</v>
          </cell>
          <cell r="CS1306">
            <v>0</v>
          </cell>
          <cell r="CT1306">
            <v>0</v>
          </cell>
          <cell r="CU1306">
            <v>0</v>
          </cell>
          <cell r="CV1306">
            <v>0</v>
          </cell>
          <cell r="CZ1306">
            <v>0</v>
          </cell>
        </row>
        <row r="1307">
          <cell r="C1307" t="str">
            <v>05029</v>
          </cell>
          <cell r="D1307" t="str">
            <v>Nguyễn Hoàng Khiêm</v>
          </cell>
          <cell r="E1307" t="str">
            <v>Production</v>
          </cell>
          <cell r="F1307" t="str">
            <v>Prefitting</v>
          </cell>
          <cell r="G1307" t="str">
            <v>Worker</v>
          </cell>
          <cell r="H1307">
            <v>46093</v>
          </cell>
          <cell r="I1307" t="str">
            <v>X</v>
          </cell>
          <cell r="J1307" t="str">
            <v>X</v>
          </cell>
          <cell r="K1307" t="str">
            <v>X</v>
          </cell>
          <cell r="L1307" t="str">
            <v>X</v>
          </cell>
          <cell r="M1307" t="str">
            <v>X</v>
          </cell>
          <cell r="N1307" t="str">
            <v>X</v>
          </cell>
          <cell r="O1307" t="str">
            <v>X</v>
          </cell>
          <cell r="P1307" t="str">
            <v>X</v>
          </cell>
          <cell r="Q1307" t="str">
            <v>X</v>
          </cell>
          <cell r="R1307" t="str">
            <v>X</v>
          </cell>
          <cell r="S1307" t="str">
            <v>X</v>
          </cell>
          <cell r="T1307" t="str">
            <v>X</v>
          </cell>
          <cell r="U1307" t="str">
            <v>X</v>
          </cell>
          <cell r="V1307" t="str">
            <v>X</v>
          </cell>
          <cell r="W1307">
            <v>8</v>
          </cell>
          <cell r="X1307">
            <v>8</v>
          </cell>
          <cell r="Y1307">
            <v>8</v>
          </cell>
          <cell r="Z1307" t="str">
            <v>CN</v>
          </cell>
          <cell r="AA1307">
            <v>8</v>
          </cell>
          <cell r="AB1307">
            <v>8</v>
          </cell>
          <cell r="AC1307">
            <v>8</v>
          </cell>
          <cell r="AD1307">
            <v>8</v>
          </cell>
          <cell r="AE1307">
            <v>8</v>
          </cell>
          <cell r="AF1307">
            <v>8</v>
          </cell>
          <cell r="AG1307" t="str">
            <v>CN</v>
          </cell>
          <cell r="AH1307">
            <v>8</v>
          </cell>
          <cell r="AI1307">
            <v>8</v>
          </cell>
          <cell r="AJ1307">
            <v>8</v>
          </cell>
          <cell r="AN1307">
            <v>0</v>
          </cell>
          <cell r="AO1307">
            <v>96</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96</v>
          </cell>
          <cell r="BH1307">
            <v>0</v>
          </cell>
          <cell r="BI1307">
            <v>0</v>
          </cell>
          <cell r="BJ1307">
            <v>2</v>
          </cell>
          <cell r="BL1307">
            <v>0</v>
          </cell>
          <cell r="BM1307">
            <v>0</v>
          </cell>
          <cell r="BN1307">
            <v>0</v>
          </cell>
          <cell r="BO1307">
            <v>0</v>
          </cell>
          <cell r="BP1307">
            <v>0</v>
          </cell>
          <cell r="BQ1307">
            <v>0</v>
          </cell>
          <cell r="BR1307">
            <v>0</v>
          </cell>
          <cell r="BS1307">
            <v>0</v>
          </cell>
          <cell r="BT1307">
            <v>0</v>
          </cell>
          <cell r="BU1307">
            <v>0</v>
          </cell>
          <cell r="BV1307">
            <v>0</v>
          </cell>
          <cell r="BW1307">
            <v>0</v>
          </cell>
          <cell r="BX1307">
            <v>0</v>
          </cell>
          <cell r="BY1307">
            <v>0</v>
          </cell>
          <cell r="BZ1307">
            <v>0</v>
          </cell>
          <cell r="CA1307">
            <v>0</v>
          </cell>
          <cell r="CB1307">
            <v>0</v>
          </cell>
          <cell r="CC1307">
            <v>0</v>
          </cell>
          <cell r="CD1307">
            <v>0</v>
          </cell>
          <cell r="CE1307">
            <v>0</v>
          </cell>
          <cell r="CF1307">
            <v>0</v>
          </cell>
          <cell r="CG1307">
            <v>0</v>
          </cell>
          <cell r="CH1307">
            <v>0</v>
          </cell>
          <cell r="CI1307">
            <v>0</v>
          </cell>
          <cell r="CJ1307">
            <v>0</v>
          </cell>
          <cell r="CK1307">
            <v>0</v>
          </cell>
          <cell r="CL1307">
            <v>0</v>
          </cell>
          <cell r="CM1307">
            <v>0</v>
          </cell>
          <cell r="CR1307">
            <v>0</v>
          </cell>
          <cell r="CS1307">
            <v>0</v>
          </cell>
          <cell r="CT1307">
            <v>0</v>
          </cell>
          <cell r="CU1307">
            <v>0</v>
          </cell>
          <cell r="CV1307">
            <v>0</v>
          </cell>
          <cell r="CZ1307">
            <v>0</v>
          </cell>
        </row>
        <row r="1308">
          <cell r="C1308" t="str">
            <v>05030</v>
          </cell>
          <cell r="D1308" t="str">
            <v>Trần Văn Sơn</v>
          </cell>
          <cell r="E1308" t="str">
            <v>Production</v>
          </cell>
          <cell r="F1308" t="str">
            <v>Prefitting</v>
          </cell>
          <cell r="G1308" t="str">
            <v>Worker</v>
          </cell>
          <cell r="H1308">
            <v>46093</v>
          </cell>
          <cell r="I1308" t="str">
            <v>X</v>
          </cell>
          <cell r="J1308" t="str">
            <v>X</v>
          </cell>
          <cell r="K1308" t="str">
            <v>X</v>
          </cell>
          <cell r="L1308" t="str">
            <v>X</v>
          </cell>
          <cell r="M1308" t="str">
            <v>X</v>
          </cell>
          <cell r="N1308" t="str">
            <v>X</v>
          </cell>
          <cell r="O1308" t="str">
            <v>X</v>
          </cell>
          <cell r="P1308" t="str">
            <v>X</v>
          </cell>
          <cell r="Q1308" t="str">
            <v>X</v>
          </cell>
          <cell r="R1308" t="str">
            <v>X</v>
          </cell>
          <cell r="S1308" t="str">
            <v>X</v>
          </cell>
          <cell r="T1308" t="str">
            <v>X</v>
          </cell>
          <cell r="U1308" t="str">
            <v>X</v>
          </cell>
          <cell r="V1308" t="str">
            <v>X</v>
          </cell>
          <cell r="W1308">
            <v>8</v>
          </cell>
          <cell r="X1308" t="str">
            <v>NP</v>
          </cell>
          <cell r="Y1308" t="str">
            <v>NP</v>
          </cell>
          <cell r="Z1308" t="str">
            <v>CN</v>
          </cell>
          <cell r="AA1308" t="str">
            <v>NP</v>
          </cell>
          <cell r="AB1308" t="str">
            <v>NP</v>
          </cell>
          <cell r="AC1308" t="str">
            <v>NP</v>
          </cell>
          <cell r="AD1308" t="str">
            <v>TV</v>
          </cell>
          <cell r="AE1308" t="str">
            <v>TV</v>
          </cell>
          <cell r="AF1308" t="str">
            <v>TV</v>
          </cell>
          <cell r="AG1308" t="str">
            <v>TV</v>
          </cell>
          <cell r="AH1308" t="str">
            <v>TV</v>
          </cell>
          <cell r="AI1308" t="str">
            <v>TV</v>
          </cell>
          <cell r="AJ1308" t="str">
            <v>TV</v>
          </cell>
          <cell r="AN1308">
            <v>0</v>
          </cell>
          <cell r="AO1308">
            <v>8</v>
          </cell>
          <cell r="AP1308">
            <v>0</v>
          </cell>
          <cell r="AQ1308">
            <v>0</v>
          </cell>
          <cell r="AR1308">
            <v>0</v>
          </cell>
          <cell r="AS1308">
            <v>0</v>
          </cell>
          <cell r="AT1308">
            <v>5</v>
          </cell>
          <cell r="AU1308">
            <v>0</v>
          </cell>
          <cell r="AV1308">
            <v>0</v>
          </cell>
          <cell r="AW1308">
            <v>0</v>
          </cell>
          <cell r="AX1308">
            <v>0</v>
          </cell>
          <cell r="AY1308">
            <v>0</v>
          </cell>
          <cell r="AZ1308">
            <v>0</v>
          </cell>
          <cell r="BA1308">
            <v>0</v>
          </cell>
          <cell r="BB1308">
            <v>0</v>
          </cell>
          <cell r="BC1308">
            <v>0</v>
          </cell>
          <cell r="BD1308">
            <v>0</v>
          </cell>
          <cell r="BE1308">
            <v>0</v>
          </cell>
          <cell r="BF1308">
            <v>0</v>
          </cell>
          <cell r="BG1308">
            <v>8</v>
          </cell>
          <cell r="BH1308">
            <v>0</v>
          </cell>
          <cell r="BI1308">
            <v>0</v>
          </cell>
          <cell r="BJ1308">
            <v>1</v>
          </cell>
          <cell r="BL1308">
            <v>0</v>
          </cell>
          <cell r="BM1308">
            <v>0</v>
          </cell>
          <cell r="BN1308">
            <v>0</v>
          </cell>
          <cell r="BO1308">
            <v>0</v>
          </cell>
          <cell r="BP1308">
            <v>0</v>
          </cell>
          <cell r="BQ1308">
            <v>0</v>
          </cell>
          <cell r="BR1308">
            <v>0</v>
          </cell>
          <cell r="BS1308">
            <v>0</v>
          </cell>
          <cell r="BT1308">
            <v>0</v>
          </cell>
          <cell r="BU1308">
            <v>0</v>
          </cell>
          <cell r="BV1308">
            <v>0</v>
          </cell>
          <cell r="BW1308">
            <v>0</v>
          </cell>
          <cell r="BX1308">
            <v>0</v>
          </cell>
          <cell r="BY1308">
            <v>0</v>
          </cell>
          <cell r="BZ1308">
            <v>0</v>
          </cell>
          <cell r="CA1308">
            <v>0</v>
          </cell>
          <cell r="CB1308">
            <v>0</v>
          </cell>
          <cell r="CC1308">
            <v>0</v>
          </cell>
          <cell r="CD1308">
            <v>0</v>
          </cell>
          <cell r="CE1308">
            <v>0</v>
          </cell>
          <cell r="CF1308">
            <v>0</v>
          </cell>
          <cell r="CG1308">
            <v>0</v>
          </cell>
          <cell r="CH1308">
            <v>0</v>
          </cell>
          <cell r="CI1308">
            <v>0</v>
          </cell>
          <cell r="CJ1308">
            <v>0</v>
          </cell>
          <cell r="CK1308">
            <v>0</v>
          </cell>
          <cell r="CL1308">
            <v>0</v>
          </cell>
          <cell r="CM1308">
            <v>0</v>
          </cell>
          <cell r="CR1308">
            <v>0</v>
          </cell>
          <cell r="CS1308">
            <v>0</v>
          </cell>
          <cell r="CT1308">
            <v>0</v>
          </cell>
          <cell r="CU1308">
            <v>0</v>
          </cell>
          <cell r="CV1308">
            <v>0</v>
          </cell>
          <cell r="CZ1308">
            <v>0</v>
          </cell>
        </row>
        <row r="1309">
          <cell r="C1309" t="str">
            <v>05031</v>
          </cell>
          <cell r="D1309" t="str">
            <v>Đinh Văn Đại</v>
          </cell>
          <cell r="E1309" t="str">
            <v>Production</v>
          </cell>
          <cell r="F1309" t="str">
            <v>Die cut</v>
          </cell>
          <cell r="G1309" t="str">
            <v>Worker</v>
          </cell>
          <cell r="H1309">
            <v>46093</v>
          </cell>
          <cell r="I1309" t="str">
            <v>X</v>
          </cell>
          <cell r="J1309" t="str">
            <v>X</v>
          </cell>
          <cell r="K1309" t="str">
            <v>X</v>
          </cell>
          <cell r="L1309" t="str">
            <v>X</v>
          </cell>
          <cell r="M1309" t="str">
            <v>X</v>
          </cell>
          <cell r="N1309" t="str">
            <v>X</v>
          </cell>
          <cell r="O1309" t="str">
            <v>X</v>
          </cell>
          <cell r="P1309" t="str">
            <v>X</v>
          </cell>
          <cell r="Q1309" t="str">
            <v>X</v>
          </cell>
          <cell r="R1309" t="str">
            <v>X</v>
          </cell>
          <cell r="S1309" t="str">
            <v>X</v>
          </cell>
          <cell r="T1309" t="str">
            <v>X</v>
          </cell>
          <cell r="U1309" t="str">
            <v>X</v>
          </cell>
          <cell r="V1309" t="str">
            <v>X</v>
          </cell>
          <cell r="W1309">
            <v>8</v>
          </cell>
          <cell r="X1309">
            <v>8</v>
          </cell>
          <cell r="Y1309">
            <v>8</v>
          </cell>
          <cell r="Z1309" t="str">
            <v>CN</v>
          </cell>
          <cell r="AA1309" t="str">
            <v>Đ</v>
          </cell>
          <cell r="AB1309" t="str">
            <v>Đ</v>
          </cell>
          <cell r="AC1309" t="str">
            <v>Đ</v>
          </cell>
          <cell r="AD1309" t="str">
            <v>TV</v>
          </cell>
          <cell r="AE1309" t="str">
            <v>TV</v>
          </cell>
          <cell r="AF1309" t="str">
            <v>TV</v>
          </cell>
          <cell r="AG1309" t="str">
            <v>TV</v>
          </cell>
          <cell r="AH1309" t="str">
            <v>TV</v>
          </cell>
          <cell r="AI1309" t="str">
            <v>TV</v>
          </cell>
          <cell r="AJ1309" t="str">
            <v>TV</v>
          </cell>
          <cell r="AN1309">
            <v>24</v>
          </cell>
          <cell r="AO1309">
            <v>24</v>
          </cell>
          <cell r="AP1309">
            <v>0</v>
          </cell>
          <cell r="AQ1309">
            <v>0</v>
          </cell>
          <cell r="AR1309">
            <v>0</v>
          </cell>
          <cell r="AS1309">
            <v>0</v>
          </cell>
          <cell r="AT1309">
            <v>0</v>
          </cell>
          <cell r="AU1309">
            <v>0</v>
          </cell>
          <cell r="AV1309">
            <v>0</v>
          </cell>
          <cell r="AW1309">
            <v>0</v>
          </cell>
          <cell r="AX1309">
            <v>0</v>
          </cell>
          <cell r="AY1309">
            <v>0</v>
          </cell>
          <cell r="AZ1309">
            <v>0</v>
          </cell>
          <cell r="BA1309">
            <v>0</v>
          </cell>
          <cell r="BB1309">
            <v>0</v>
          </cell>
          <cell r="BC1309">
            <v>0</v>
          </cell>
          <cell r="BD1309">
            <v>0</v>
          </cell>
          <cell r="BE1309">
            <v>0</v>
          </cell>
          <cell r="BF1309">
            <v>0</v>
          </cell>
          <cell r="BG1309">
            <v>48</v>
          </cell>
          <cell r="BH1309">
            <v>0</v>
          </cell>
          <cell r="BI1309">
            <v>0</v>
          </cell>
          <cell r="BJ1309">
            <v>1</v>
          </cell>
          <cell r="BL1309">
            <v>0</v>
          </cell>
          <cell r="BM1309">
            <v>0</v>
          </cell>
          <cell r="BN1309">
            <v>0</v>
          </cell>
          <cell r="BO1309">
            <v>0</v>
          </cell>
          <cell r="BP1309">
            <v>0</v>
          </cell>
          <cell r="BQ1309">
            <v>0</v>
          </cell>
          <cell r="BR1309">
            <v>0</v>
          </cell>
          <cell r="BS1309">
            <v>0</v>
          </cell>
          <cell r="BT1309">
            <v>0</v>
          </cell>
          <cell r="BU1309">
            <v>0</v>
          </cell>
          <cell r="BV1309">
            <v>0</v>
          </cell>
          <cell r="BW1309">
            <v>0</v>
          </cell>
          <cell r="BX1309">
            <v>0</v>
          </cell>
          <cell r="BY1309">
            <v>0</v>
          </cell>
          <cell r="BZ1309">
            <v>0</v>
          </cell>
          <cell r="CA1309">
            <v>0</v>
          </cell>
          <cell r="CB1309">
            <v>0</v>
          </cell>
          <cell r="CC1309">
            <v>0</v>
          </cell>
          <cell r="CD1309">
            <v>0</v>
          </cell>
          <cell r="CE1309">
            <v>4</v>
          </cell>
          <cell r="CF1309">
            <v>4</v>
          </cell>
          <cell r="CG1309">
            <v>0</v>
          </cell>
          <cell r="CH1309">
            <v>0</v>
          </cell>
          <cell r="CI1309">
            <v>0</v>
          </cell>
          <cell r="CJ1309">
            <v>0</v>
          </cell>
          <cell r="CK1309">
            <v>0</v>
          </cell>
          <cell r="CL1309">
            <v>0</v>
          </cell>
          <cell r="CM1309">
            <v>0</v>
          </cell>
          <cell r="CR1309">
            <v>0</v>
          </cell>
          <cell r="CS1309">
            <v>0</v>
          </cell>
          <cell r="CT1309">
            <v>8</v>
          </cell>
          <cell r="CU1309">
            <v>0</v>
          </cell>
          <cell r="CV1309">
            <v>0</v>
          </cell>
          <cell r="CZ1309">
            <v>8</v>
          </cell>
        </row>
        <row r="1310">
          <cell r="C1310" t="str">
            <v>05032</v>
          </cell>
          <cell r="D1310" t="str">
            <v>Bùi Xuân Tài</v>
          </cell>
          <cell r="E1310" t="str">
            <v>Production</v>
          </cell>
          <cell r="F1310" t="str">
            <v>Die cut</v>
          </cell>
          <cell r="G1310" t="str">
            <v>Worker</v>
          </cell>
          <cell r="H1310">
            <v>46093</v>
          </cell>
          <cell r="I1310" t="str">
            <v>X</v>
          </cell>
          <cell r="J1310" t="str">
            <v>X</v>
          </cell>
          <cell r="K1310" t="str">
            <v>X</v>
          </cell>
          <cell r="L1310" t="str">
            <v>X</v>
          </cell>
          <cell r="M1310" t="str">
            <v>X</v>
          </cell>
          <cell r="N1310" t="str">
            <v>X</v>
          </cell>
          <cell r="O1310" t="str">
            <v>X</v>
          </cell>
          <cell r="P1310" t="str">
            <v>X</v>
          </cell>
          <cell r="Q1310" t="str">
            <v>X</v>
          </cell>
          <cell r="R1310" t="str">
            <v>X</v>
          </cell>
          <cell r="S1310" t="str">
            <v>X</v>
          </cell>
          <cell r="T1310" t="str">
            <v>X</v>
          </cell>
          <cell r="U1310" t="str">
            <v>X</v>
          </cell>
          <cell r="V1310" t="str">
            <v>X</v>
          </cell>
          <cell r="W1310">
            <v>8</v>
          </cell>
          <cell r="X1310">
            <v>8</v>
          </cell>
          <cell r="Y1310">
            <v>8</v>
          </cell>
          <cell r="Z1310" t="str">
            <v>CN</v>
          </cell>
          <cell r="AA1310" t="str">
            <v>Đ</v>
          </cell>
          <cell r="AB1310" t="str">
            <v>Đ</v>
          </cell>
          <cell r="AC1310" t="str">
            <v>Đ</v>
          </cell>
          <cell r="AD1310" t="str">
            <v>Đ</v>
          </cell>
          <cell r="AE1310" t="str">
            <v>Đ</v>
          </cell>
          <cell r="AF1310" t="str">
            <v>Đ</v>
          </cell>
          <cell r="AG1310" t="str">
            <v>CN</v>
          </cell>
          <cell r="AH1310">
            <v>8</v>
          </cell>
          <cell r="AI1310" t="str">
            <v>UP8</v>
          </cell>
          <cell r="AJ1310">
            <v>8</v>
          </cell>
          <cell r="AN1310">
            <v>48</v>
          </cell>
          <cell r="AO1310">
            <v>40</v>
          </cell>
          <cell r="AP1310">
            <v>0</v>
          </cell>
          <cell r="AQ1310">
            <v>0</v>
          </cell>
          <cell r="AR1310">
            <v>0</v>
          </cell>
          <cell r="AS1310">
            <v>8</v>
          </cell>
          <cell r="AT1310">
            <v>0</v>
          </cell>
          <cell r="AU1310">
            <v>0</v>
          </cell>
          <cell r="AV1310">
            <v>0</v>
          </cell>
          <cell r="AW1310">
            <v>0</v>
          </cell>
          <cell r="AX1310">
            <v>0</v>
          </cell>
          <cell r="AY1310">
            <v>0</v>
          </cell>
          <cell r="AZ1310">
            <v>0</v>
          </cell>
          <cell r="BA1310">
            <v>0</v>
          </cell>
          <cell r="BB1310">
            <v>0</v>
          </cell>
          <cell r="BC1310">
            <v>0</v>
          </cell>
          <cell r="BD1310">
            <v>0</v>
          </cell>
          <cell r="BE1310">
            <v>0</v>
          </cell>
          <cell r="BF1310">
            <v>0</v>
          </cell>
          <cell r="BG1310">
            <v>88</v>
          </cell>
          <cell r="BH1310">
            <v>0</v>
          </cell>
          <cell r="BI1310">
            <v>0</v>
          </cell>
          <cell r="BJ1310">
            <v>2</v>
          </cell>
          <cell r="BL1310">
            <v>0</v>
          </cell>
          <cell r="BM1310">
            <v>0</v>
          </cell>
          <cell r="BN1310">
            <v>0</v>
          </cell>
          <cell r="BO1310">
            <v>0</v>
          </cell>
          <cell r="BP1310">
            <v>0</v>
          </cell>
          <cell r="BQ1310">
            <v>0</v>
          </cell>
          <cell r="BR1310">
            <v>0</v>
          </cell>
          <cell r="BS1310">
            <v>0</v>
          </cell>
          <cell r="BT1310">
            <v>0</v>
          </cell>
          <cell r="BU1310">
            <v>0</v>
          </cell>
          <cell r="BV1310">
            <v>0</v>
          </cell>
          <cell r="BW1310">
            <v>0</v>
          </cell>
          <cell r="BX1310">
            <v>0</v>
          </cell>
          <cell r="BY1310">
            <v>0</v>
          </cell>
          <cell r="BZ1310">
            <v>0</v>
          </cell>
          <cell r="CA1310">
            <v>0</v>
          </cell>
          <cell r="CB1310">
            <v>0</v>
          </cell>
          <cell r="CC1310">
            <v>0</v>
          </cell>
          <cell r="CD1310">
            <v>0</v>
          </cell>
          <cell r="CE1310">
            <v>4</v>
          </cell>
          <cell r="CF1310">
            <v>4</v>
          </cell>
          <cell r="CG1310">
            <v>0</v>
          </cell>
          <cell r="CH1310">
            <v>4</v>
          </cell>
          <cell r="CI1310">
            <v>4</v>
          </cell>
          <cell r="CJ1310">
            <v>0</v>
          </cell>
          <cell r="CK1310">
            <v>3</v>
          </cell>
          <cell r="CL1310">
            <v>0</v>
          </cell>
          <cell r="CM1310">
            <v>3</v>
          </cell>
          <cell r="CR1310">
            <v>0</v>
          </cell>
          <cell r="CS1310">
            <v>0</v>
          </cell>
          <cell r="CT1310">
            <v>22</v>
          </cell>
          <cell r="CU1310">
            <v>0</v>
          </cell>
          <cell r="CV1310">
            <v>0</v>
          </cell>
          <cell r="CZ1310">
            <v>22</v>
          </cell>
        </row>
        <row r="1311">
          <cell r="C1311" t="str">
            <v>05033</v>
          </cell>
          <cell r="D1311" t="str">
            <v>Lê Thị Hồng Nhung</v>
          </cell>
          <cell r="E1311" t="str">
            <v>Production</v>
          </cell>
          <cell r="F1311" t="str">
            <v>Logo</v>
          </cell>
          <cell r="G1311" t="str">
            <v>Worker</v>
          </cell>
          <cell r="H1311">
            <v>46093</v>
          </cell>
          <cell r="I1311" t="str">
            <v>X</v>
          </cell>
          <cell r="J1311" t="str">
            <v>X</v>
          </cell>
          <cell r="K1311" t="str">
            <v>X</v>
          </cell>
          <cell r="L1311" t="str">
            <v>X</v>
          </cell>
          <cell r="M1311" t="str">
            <v>X</v>
          </cell>
          <cell r="N1311" t="str">
            <v>X</v>
          </cell>
          <cell r="O1311" t="str">
            <v>X</v>
          </cell>
          <cell r="P1311" t="str">
            <v>X</v>
          </cell>
          <cell r="Q1311" t="str">
            <v>X</v>
          </cell>
          <cell r="R1311" t="str">
            <v>X</v>
          </cell>
          <cell r="S1311" t="str">
            <v>X</v>
          </cell>
          <cell r="T1311" t="str">
            <v>X</v>
          </cell>
          <cell r="U1311" t="str">
            <v>X</v>
          </cell>
          <cell r="V1311" t="str">
            <v>X</v>
          </cell>
          <cell r="W1311">
            <v>8</v>
          </cell>
          <cell r="X1311">
            <v>8</v>
          </cell>
          <cell r="Y1311">
            <v>8</v>
          </cell>
          <cell r="Z1311" t="str">
            <v>CN</v>
          </cell>
          <cell r="AA1311">
            <v>8</v>
          </cell>
          <cell r="AB1311">
            <v>8</v>
          </cell>
          <cell r="AC1311">
            <v>8</v>
          </cell>
          <cell r="AD1311">
            <v>8</v>
          </cell>
          <cell r="AE1311">
            <v>8</v>
          </cell>
          <cell r="AF1311">
            <v>8</v>
          </cell>
          <cell r="AG1311" t="str">
            <v>CN</v>
          </cell>
          <cell r="AH1311" t="str">
            <v>Đ</v>
          </cell>
          <cell r="AI1311" t="str">
            <v>Đ</v>
          </cell>
          <cell r="AJ1311" t="str">
            <v>Đ</v>
          </cell>
          <cell r="AN1311">
            <v>24</v>
          </cell>
          <cell r="AO1311">
            <v>72</v>
          </cell>
          <cell r="AP1311">
            <v>0</v>
          </cell>
          <cell r="AQ1311">
            <v>0</v>
          </cell>
          <cell r="AR1311">
            <v>0</v>
          </cell>
          <cell r="AS1311">
            <v>0</v>
          </cell>
          <cell r="AT1311">
            <v>0</v>
          </cell>
          <cell r="AU1311">
            <v>0</v>
          </cell>
          <cell r="AV1311">
            <v>0</v>
          </cell>
          <cell r="AW1311">
            <v>0</v>
          </cell>
          <cell r="AX1311">
            <v>0</v>
          </cell>
          <cell r="AY1311">
            <v>0</v>
          </cell>
          <cell r="AZ1311">
            <v>0</v>
          </cell>
          <cell r="BA1311">
            <v>0</v>
          </cell>
          <cell r="BB1311">
            <v>0</v>
          </cell>
          <cell r="BC1311">
            <v>0</v>
          </cell>
          <cell r="BD1311">
            <v>0</v>
          </cell>
          <cell r="BE1311">
            <v>0</v>
          </cell>
          <cell r="BF1311">
            <v>0</v>
          </cell>
          <cell r="BG1311">
            <v>96</v>
          </cell>
          <cell r="BH1311">
            <v>0</v>
          </cell>
          <cell r="BI1311">
            <v>0</v>
          </cell>
          <cell r="BJ1311">
            <v>2</v>
          </cell>
          <cell r="BL1311">
            <v>0</v>
          </cell>
          <cell r="BM1311">
            <v>0</v>
          </cell>
          <cell r="BN1311">
            <v>0</v>
          </cell>
          <cell r="BO1311">
            <v>0</v>
          </cell>
          <cell r="BP1311">
            <v>0</v>
          </cell>
          <cell r="BQ1311">
            <v>0</v>
          </cell>
          <cell r="BR1311">
            <v>0</v>
          </cell>
          <cell r="BS1311">
            <v>0</v>
          </cell>
          <cell r="BT1311">
            <v>0</v>
          </cell>
          <cell r="BU1311">
            <v>0</v>
          </cell>
          <cell r="BV1311">
            <v>0</v>
          </cell>
          <cell r="BW1311">
            <v>0</v>
          </cell>
          <cell r="BX1311">
            <v>0</v>
          </cell>
          <cell r="BY1311">
            <v>0</v>
          </cell>
          <cell r="BZ1311">
            <v>0</v>
          </cell>
          <cell r="CA1311">
            <v>0</v>
          </cell>
          <cell r="CB1311">
            <v>0</v>
          </cell>
          <cell r="CC1311">
            <v>0</v>
          </cell>
          <cell r="CD1311">
            <v>0</v>
          </cell>
          <cell r="CE1311">
            <v>0</v>
          </cell>
          <cell r="CF1311">
            <v>0</v>
          </cell>
          <cell r="CG1311">
            <v>0</v>
          </cell>
          <cell r="CH1311">
            <v>0</v>
          </cell>
          <cell r="CI1311">
            <v>0</v>
          </cell>
          <cell r="CJ1311">
            <v>0</v>
          </cell>
          <cell r="CK1311">
            <v>0</v>
          </cell>
          <cell r="CL1311">
            <v>0</v>
          </cell>
          <cell r="CM1311">
            <v>0</v>
          </cell>
          <cell r="CR1311">
            <v>0</v>
          </cell>
          <cell r="CS1311">
            <v>0</v>
          </cell>
          <cell r="CT1311">
            <v>0</v>
          </cell>
          <cell r="CU1311">
            <v>0</v>
          </cell>
          <cell r="CV1311">
            <v>0</v>
          </cell>
          <cell r="CZ1311">
            <v>0</v>
          </cell>
        </row>
        <row r="1312">
          <cell r="C1312" t="str">
            <v>05034</v>
          </cell>
          <cell r="D1312" t="str">
            <v>Nguyễn Trọng Nghĩa</v>
          </cell>
          <cell r="E1312" t="str">
            <v>Production</v>
          </cell>
          <cell r="F1312" t="str">
            <v>Molding</v>
          </cell>
          <cell r="G1312" t="str">
            <v>Worker</v>
          </cell>
          <cell r="H1312">
            <v>46093</v>
          </cell>
          <cell r="I1312" t="str">
            <v>X</v>
          </cell>
          <cell r="J1312" t="str">
            <v>X</v>
          </cell>
          <cell r="K1312" t="str">
            <v>X</v>
          </cell>
          <cell r="L1312" t="str">
            <v>X</v>
          </cell>
          <cell r="M1312" t="str">
            <v>X</v>
          </cell>
          <cell r="N1312" t="str">
            <v>X</v>
          </cell>
          <cell r="O1312" t="str">
            <v>X</v>
          </cell>
          <cell r="P1312" t="str">
            <v>X</v>
          </cell>
          <cell r="Q1312" t="str">
            <v>X</v>
          </cell>
          <cell r="R1312" t="str">
            <v>X</v>
          </cell>
          <cell r="S1312" t="str">
            <v>X</v>
          </cell>
          <cell r="T1312" t="str">
            <v>X</v>
          </cell>
          <cell r="U1312" t="str">
            <v>X</v>
          </cell>
          <cell r="V1312" t="str">
            <v>X</v>
          </cell>
          <cell r="W1312">
            <v>8</v>
          </cell>
          <cell r="X1312">
            <v>8</v>
          </cell>
          <cell r="Y1312">
            <v>8</v>
          </cell>
          <cell r="Z1312" t="str">
            <v>CN</v>
          </cell>
          <cell r="AA1312">
            <v>8</v>
          </cell>
          <cell r="AB1312">
            <v>8</v>
          </cell>
          <cell r="AC1312">
            <v>8</v>
          </cell>
          <cell r="AD1312" t="str">
            <v>UP8</v>
          </cell>
          <cell r="AE1312">
            <v>8</v>
          </cell>
          <cell r="AF1312">
            <v>8</v>
          </cell>
          <cell r="AG1312" t="str">
            <v>CN</v>
          </cell>
          <cell r="AH1312">
            <v>8</v>
          </cell>
          <cell r="AI1312" t="str">
            <v>NP</v>
          </cell>
          <cell r="AJ1312" t="str">
            <v>NP</v>
          </cell>
          <cell r="AN1312">
            <v>0</v>
          </cell>
          <cell r="AO1312">
            <v>72</v>
          </cell>
          <cell r="AP1312">
            <v>0</v>
          </cell>
          <cell r="AQ1312">
            <v>0</v>
          </cell>
          <cell r="AR1312">
            <v>0</v>
          </cell>
          <cell r="AS1312">
            <v>8</v>
          </cell>
          <cell r="AT1312">
            <v>2</v>
          </cell>
          <cell r="AU1312">
            <v>0</v>
          </cell>
          <cell r="AV1312">
            <v>0</v>
          </cell>
          <cell r="AW1312">
            <v>0</v>
          </cell>
          <cell r="AX1312">
            <v>0</v>
          </cell>
          <cell r="AY1312">
            <v>0</v>
          </cell>
          <cell r="AZ1312">
            <v>0</v>
          </cell>
          <cell r="BA1312">
            <v>0</v>
          </cell>
          <cell r="BB1312">
            <v>0</v>
          </cell>
          <cell r="BC1312">
            <v>0</v>
          </cell>
          <cell r="BD1312">
            <v>0</v>
          </cell>
          <cell r="BE1312">
            <v>0</v>
          </cell>
          <cell r="BF1312">
            <v>0</v>
          </cell>
          <cell r="BG1312">
            <v>72</v>
          </cell>
          <cell r="BH1312">
            <v>0</v>
          </cell>
          <cell r="BI1312">
            <v>0</v>
          </cell>
          <cell r="BJ1312">
            <v>2</v>
          </cell>
          <cell r="BL1312">
            <v>0</v>
          </cell>
          <cell r="BM1312">
            <v>0</v>
          </cell>
          <cell r="BN1312">
            <v>0</v>
          </cell>
          <cell r="BO1312">
            <v>0</v>
          </cell>
          <cell r="BP1312">
            <v>0</v>
          </cell>
          <cell r="BQ1312">
            <v>0</v>
          </cell>
          <cell r="BR1312">
            <v>0</v>
          </cell>
          <cell r="BS1312">
            <v>0</v>
          </cell>
          <cell r="BT1312">
            <v>0</v>
          </cell>
          <cell r="BU1312">
            <v>0</v>
          </cell>
          <cell r="BV1312">
            <v>0</v>
          </cell>
          <cell r="BW1312">
            <v>0</v>
          </cell>
          <cell r="BX1312">
            <v>0</v>
          </cell>
          <cell r="BY1312">
            <v>0</v>
          </cell>
          <cell r="BZ1312">
            <v>0</v>
          </cell>
          <cell r="CA1312">
            <v>0</v>
          </cell>
          <cell r="CB1312">
            <v>0</v>
          </cell>
          <cell r="CC1312">
            <v>0</v>
          </cell>
          <cell r="CD1312">
            <v>0</v>
          </cell>
          <cell r="CE1312">
            <v>0</v>
          </cell>
          <cell r="CF1312">
            <v>0</v>
          </cell>
          <cell r="CG1312">
            <v>0</v>
          </cell>
          <cell r="CH1312">
            <v>0</v>
          </cell>
          <cell r="CI1312">
            <v>0</v>
          </cell>
          <cell r="CJ1312">
            <v>0</v>
          </cell>
          <cell r="CK1312">
            <v>0</v>
          </cell>
          <cell r="CL1312">
            <v>0</v>
          </cell>
          <cell r="CM1312">
            <v>0</v>
          </cell>
          <cell r="CR1312">
            <v>0</v>
          </cell>
          <cell r="CS1312">
            <v>0</v>
          </cell>
          <cell r="CT1312">
            <v>0</v>
          </cell>
          <cell r="CU1312">
            <v>0</v>
          </cell>
          <cell r="CV1312">
            <v>0</v>
          </cell>
          <cell r="CZ1312">
            <v>0</v>
          </cell>
        </row>
        <row r="1313">
          <cell r="C1313" t="str">
            <v>05035</v>
          </cell>
          <cell r="D1313" t="str">
            <v>Đổ Thành Nhân</v>
          </cell>
          <cell r="E1313" t="str">
            <v>Production</v>
          </cell>
          <cell r="F1313" t="str">
            <v>Molding</v>
          </cell>
          <cell r="G1313" t="str">
            <v>Worker</v>
          </cell>
          <cell r="H1313">
            <v>46093</v>
          </cell>
          <cell r="I1313" t="str">
            <v>X</v>
          </cell>
          <cell r="J1313" t="str">
            <v>X</v>
          </cell>
          <cell r="K1313" t="str">
            <v>X</v>
          </cell>
          <cell r="L1313" t="str">
            <v>X</v>
          </cell>
          <cell r="M1313" t="str">
            <v>X</v>
          </cell>
          <cell r="N1313" t="str">
            <v>X</v>
          </cell>
          <cell r="O1313" t="str">
            <v>X</v>
          </cell>
          <cell r="P1313" t="str">
            <v>X</v>
          </cell>
          <cell r="Q1313" t="str">
            <v>X</v>
          </cell>
          <cell r="R1313" t="str">
            <v>X</v>
          </cell>
          <cell r="S1313" t="str">
            <v>X</v>
          </cell>
          <cell r="T1313" t="str">
            <v>X</v>
          </cell>
          <cell r="U1313" t="str">
            <v>X</v>
          </cell>
          <cell r="V1313" t="str">
            <v>X</v>
          </cell>
          <cell r="W1313">
            <v>8</v>
          </cell>
          <cell r="X1313">
            <v>8</v>
          </cell>
          <cell r="Y1313">
            <v>8</v>
          </cell>
          <cell r="Z1313" t="str">
            <v>CN</v>
          </cell>
          <cell r="AA1313">
            <v>8</v>
          </cell>
          <cell r="AB1313">
            <v>8</v>
          </cell>
          <cell r="AC1313">
            <v>8</v>
          </cell>
          <cell r="AD1313">
            <v>8</v>
          </cell>
          <cell r="AE1313" t="str">
            <v>Đ</v>
          </cell>
          <cell r="AF1313" t="str">
            <v>Đ</v>
          </cell>
          <cell r="AG1313" t="str">
            <v>CN</v>
          </cell>
          <cell r="AH1313">
            <v>8</v>
          </cell>
          <cell r="AI1313">
            <v>8</v>
          </cell>
          <cell r="AJ1313">
            <v>8</v>
          </cell>
          <cell r="AN1313">
            <v>16</v>
          </cell>
          <cell r="AO1313">
            <v>80</v>
          </cell>
          <cell r="AP1313">
            <v>0</v>
          </cell>
          <cell r="AQ1313">
            <v>0</v>
          </cell>
          <cell r="AR1313">
            <v>0</v>
          </cell>
          <cell r="AS1313">
            <v>0</v>
          </cell>
          <cell r="AT1313">
            <v>0</v>
          </cell>
          <cell r="AU1313">
            <v>0</v>
          </cell>
          <cell r="AV1313">
            <v>0</v>
          </cell>
          <cell r="AW1313">
            <v>0</v>
          </cell>
          <cell r="AX1313">
            <v>0</v>
          </cell>
          <cell r="AY1313">
            <v>0</v>
          </cell>
          <cell r="AZ1313">
            <v>0</v>
          </cell>
          <cell r="BA1313">
            <v>0</v>
          </cell>
          <cell r="BB1313">
            <v>0</v>
          </cell>
          <cell r="BC1313">
            <v>0</v>
          </cell>
          <cell r="BD1313">
            <v>0</v>
          </cell>
          <cell r="BE1313">
            <v>0</v>
          </cell>
          <cell r="BF1313">
            <v>0</v>
          </cell>
          <cell r="BG1313">
            <v>96</v>
          </cell>
          <cell r="BH1313">
            <v>0</v>
          </cell>
          <cell r="BI1313">
            <v>0</v>
          </cell>
          <cell r="BJ1313">
            <v>2</v>
          </cell>
          <cell r="BL1313">
            <v>0</v>
          </cell>
          <cell r="BM1313">
            <v>0</v>
          </cell>
          <cell r="BN1313">
            <v>0</v>
          </cell>
          <cell r="BO1313">
            <v>0</v>
          </cell>
          <cell r="BP1313">
            <v>0</v>
          </cell>
          <cell r="BQ1313">
            <v>0</v>
          </cell>
          <cell r="BR1313">
            <v>0</v>
          </cell>
          <cell r="BS1313">
            <v>0</v>
          </cell>
          <cell r="BT1313">
            <v>0</v>
          </cell>
          <cell r="BU1313">
            <v>0</v>
          </cell>
          <cell r="BV1313">
            <v>0</v>
          </cell>
          <cell r="BW1313">
            <v>0</v>
          </cell>
          <cell r="BX1313">
            <v>0</v>
          </cell>
          <cell r="BY1313">
            <v>0</v>
          </cell>
          <cell r="BZ1313">
            <v>0</v>
          </cell>
          <cell r="CA1313">
            <v>0</v>
          </cell>
          <cell r="CB1313">
            <v>0</v>
          </cell>
          <cell r="CC1313">
            <v>0</v>
          </cell>
          <cell r="CD1313">
            <v>0</v>
          </cell>
          <cell r="CE1313">
            <v>0</v>
          </cell>
          <cell r="CF1313">
            <v>0</v>
          </cell>
          <cell r="CG1313">
            <v>0</v>
          </cell>
          <cell r="CH1313">
            <v>4</v>
          </cell>
          <cell r="CI1313">
            <v>4</v>
          </cell>
          <cell r="CJ1313">
            <v>0</v>
          </cell>
          <cell r="CK1313">
            <v>0</v>
          </cell>
          <cell r="CL1313">
            <v>4</v>
          </cell>
          <cell r="CM1313">
            <v>0</v>
          </cell>
          <cell r="CR1313">
            <v>0</v>
          </cell>
          <cell r="CS1313">
            <v>0</v>
          </cell>
          <cell r="CT1313">
            <v>12</v>
          </cell>
          <cell r="CU1313">
            <v>0</v>
          </cell>
          <cell r="CV1313">
            <v>0</v>
          </cell>
          <cell r="CZ1313">
            <v>12</v>
          </cell>
        </row>
        <row r="1314">
          <cell r="C1314" t="str">
            <v>05036</v>
          </cell>
          <cell r="D1314" t="str">
            <v>Danh Thị Quyên</v>
          </cell>
          <cell r="E1314" t="str">
            <v>Production</v>
          </cell>
          <cell r="F1314" t="str">
            <v>Logo</v>
          </cell>
          <cell r="G1314" t="str">
            <v>Worker</v>
          </cell>
          <cell r="H1314">
            <v>46093</v>
          </cell>
          <cell r="I1314" t="str">
            <v>X</v>
          </cell>
          <cell r="J1314" t="str">
            <v>X</v>
          </cell>
          <cell r="K1314" t="str">
            <v>X</v>
          </cell>
          <cell r="L1314" t="str">
            <v>X</v>
          </cell>
          <cell r="M1314" t="str">
            <v>X</v>
          </cell>
          <cell r="N1314" t="str">
            <v>X</v>
          </cell>
          <cell r="O1314" t="str">
            <v>X</v>
          </cell>
          <cell r="P1314" t="str">
            <v>X</v>
          </cell>
          <cell r="Q1314" t="str">
            <v>X</v>
          </cell>
          <cell r="R1314" t="str">
            <v>X</v>
          </cell>
          <cell r="S1314" t="str">
            <v>X</v>
          </cell>
          <cell r="T1314" t="str">
            <v>X</v>
          </cell>
          <cell r="U1314" t="str">
            <v>X</v>
          </cell>
          <cell r="V1314" t="str">
            <v>X</v>
          </cell>
          <cell r="W1314">
            <v>8</v>
          </cell>
          <cell r="X1314">
            <v>8</v>
          </cell>
          <cell r="Y1314">
            <v>8</v>
          </cell>
          <cell r="Z1314" t="str">
            <v>CN</v>
          </cell>
          <cell r="AA1314" t="str">
            <v>Đ</v>
          </cell>
          <cell r="AB1314" t="str">
            <v>Đ</v>
          </cell>
          <cell r="AC1314" t="str">
            <v>Đ</v>
          </cell>
          <cell r="AD1314" t="str">
            <v>Đ</v>
          </cell>
          <cell r="AE1314" t="str">
            <v>Đ</v>
          </cell>
          <cell r="AF1314" t="str">
            <v>Đ</v>
          </cell>
          <cell r="AG1314" t="str">
            <v>CN</v>
          </cell>
          <cell r="AH1314">
            <v>8</v>
          </cell>
          <cell r="AI1314">
            <v>8</v>
          </cell>
          <cell r="AJ1314" t="str">
            <v>NP</v>
          </cell>
          <cell r="AN1314">
            <v>48</v>
          </cell>
          <cell r="AO1314">
            <v>40</v>
          </cell>
          <cell r="AP1314">
            <v>0</v>
          </cell>
          <cell r="AQ1314">
            <v>0</v>
          </cell>
          <cell r="AR1314">
            <v>0</v>
          </cell>
          <cell r="AS1314">
            <v>0</v>
          </cell>
          <cell r="AT1314">
            <v>1</v>
          </cell>
          <cell r="AU1314">
            <v>0</v>
          </cell>
          <cell r="AV1314">
            <v>0</v>
          </cell>
          <cell r="AW1314">
            <v>0</v>
          </cell>
          <cell r="AX1314">
            <v>0</v>
          </cell>
          <cell r="AY1314">
            <v>0</v>
          </cell>
          <cell r="AZ1314">
            <v>0</v>
          </cell>
          <cell r="BA1314">
            <v>0</v>
          </cell>
          <cell r="BB1314">
            <v>0</v>
          </cell>
          <cell r="BC1314">
            <v>0</v>
          </cell>
          <cell r="BD1314">
            <v>0</v>
          </cell>
          <cell r="BE1314">
            <v>0</v>
          </cell>
          <cell r="BF1314">
            <v>0</v>
          </cell>
          <cell r="BG1314">
            <v>88</v>
          </cell>
          <cell r="BH1314">
            <v>0</v>
          </cell>
          <cell r="BI1314">
            <v>0</v>
          </cell>
          <cell r="BJ1314">
            <v>2</v>
          </cell>
          <cell r="BL1314">
            <v>0</v>
          </cell>
          <cell r="BM1314">
            <v>0</v>
          </cell>
          <cell r="BN1314">
            <v>0</v>
          </cell>
          <cell r="BO1314">
            <v>0</v>
          </cell>
          <cell r="BP1314">
            <v>0</v>
          </cell>
          <cell r="BQ1314">
            <v>0</v>
          </cell>
          <cell r="BR1314">
            <v>0</v>
          </cell>
          <cell r="BS1314">
            <v>0</v>
          </cell>
          <cell r="BT1314">
            <v>0</v>
          </cell>
          <cell r="BU1314">
            <v>0</v>
          </cell>
          <cell r="BV1314">
            <v>0</v>
          </cell>
          <cell r="BW1314">
            <v>0</v>
          </cell>
          <cell r="BX1314">
            <v>0</v>
          </cell>
          <cell r="BY1314">
            <v>0</v>
          </cell>
          <cell r="BZ1314">
            <v>0</v>
          </cell>
          <cell r="CA1314">
            <v>0</v>
          </cell>
          <cell r="CB1314">
            <v>0</v>
          </cell>
          <cell r="CC1314">
            <v>0</v>
          </cell>
          <cell r="CD1314">
            <v>0</v>
          </cell>
          <cell r="CE1314">
            <v>0</v>
          </cell>
          <cell r="CF1314">
            <v>0</v>
          </cell>
          <cell r="CG1314">
            <v>0</v>
          </cell>
          <cell r="CH1314">
            <v>0</v>
          </cell>
          <cell r="CI1314">
            <v>4</v>
          </cell>
          <cell r="CJ1314">
            <v>0</v>
          </cell>
          <cell r="CK1314">
            <v>3</v>
          </cell>
          <cell r="CL1314">
            <v>3</v>
          </cell>
          <cell r="CM1314">
            <v>0</v>
          </cell>
          <cell r="CR1314">
            <v>0</v>
          </cell>
          <cell r="CS1314">
            <v>0</v>
          </cell>
          <cell r="CT1314">
            <v>10</v>
          </cell>
          <cell r="CU1314">
            <v>0</v>
          </cell>
          <cell r="CV1314">
            <v>0</v>
          </cell>
          <cell r="CZ1314">
            <v>10</v>
          </cell>
        </row>
        <row r="1315">
          <cell r="C1315" t="str">
            <v>05037</v>
          </cell>
          <cell r="D1315" t="str">
            <v>Lê Huỳnh Như Hảo</v>
          </cell>
          <cell r="E1315" t="str">
            <v>Production</v>
          </cell>
          <cell r="F1315" t="str">
            <v>Logo</v>
          </cell>
          <cell r="G1315" t="str">
            <v>Worker</v>
          </cell>
          <cell r="H1315">
            <v>46093</v>
          </cell>
          <cell r="I1315" t="str">
            <v>X</v>
          </cell>
          <cell r="J1315" t="str">
            <v>X</v>
          </cell>
          <cell r="K1315" t="str">
            <v>X</v>
          </cell>
          <cell r="L1315" t="str">
            <v>X</v>
          </cell>
          <cell r="M1315" t="str">
            <v>X</v>
          </cell>
          <cell r="N1315" t="str">
            <v>X</v>
          </cell>
          <cell r="O1315" t="str">
            <v>X</v>
          </cell>
          <cell r="P1315" t="str">
            <v>X</v>
          </cell>
          <cell r="Q1315" t="str">
            <v>X</v>
          </cell>
          <cell r="R1315" t="str">
            <v>X</v>
          </cell>
          <cell r="S1315" t="str">
            <v>X</v>
          </cell>
          <cell r="T1315" t="str">
            <v>X</v>
          </cell>
          <cell r="U1315" t="str">
            <v>X</v>
          </cell>
          <cell r="V1315" t="str">
            <v>X</v>
          </cell>
          <cell r="W1315">
            <v>8</v>
          </cell>
          <cell r="X1315">
            <v>8</v>
          </cell>
          <cell r="Y1315">
            <v>8</v>
          </cell>
          <cell r="Z1315" t="str">
            <v>CN</v>
          </cell>
          <cell r="AA1315" t="str">
            <v>Đ</v>
          </cell>
          <cell r="AB1315" t="str">
            <v>Đ</v>
          </cell>
          <cell r="AC1315" t="str">
            <v>Đ</v>
          </cell>
          <cell r="AD1315" t="str">
            <v>TV</v>
          </cell>
          <cell r="AE1315" t="str">
            <v>TV</v>
          </cell>
          <cell r="AF1315" t="str">
            <v>TV</v>
          </cell>
          <cell r="AG1315" t="str">
            <v>TV</v>
          </cell>
          <cell r="AH1315" t="str">
            <v>TV</v>
          </cell>
          <cell r="AI1315" t="str">
            <v>TV</v>
          </cell>
          <cell r="AJ1315" t="str">
            <v>TV</v>
          </cell>
          <cell r="AN1315">
            <v>24</v>
          </cell>
          <cell r="AO1315">
            <v>24</v>
          </cell>
          <cell r="AP1315">
            <v>0</v>
          </cell>
          <cell r="AQ1315">
            <v>0</v>
          </cell>
          <cell r="AR1315">
            <v>0</v>
          </cell>
          <cell r="AS1315">
            <v>0</v>
          </cell>
          <cell r="AT1315">
            <v>0</v>
          </cell>
          <cell r="AU1315">
            <v>0</v>
          </cell>
          <cell r="AV1315">
            <v>0</v>
          </cell>
          <cell r="AW1315">
            <v>0</v>
          </cell>
          <cell r="AX1315">
            <v>0</v>
          </cell>
          <cell r="AY1315">
            <v>0</v>
          </cell>
          <cell r="AZ1315">
            <v>0</v>
          </cell>
          <cell r="BA1315">
            <v>0</v>
          </cell>
          <cell r="BB1315">
            <v>0</v>
          </cell>
          <cell r="BC1315">
            <v>0</v>
          </cell>
          <cell r="BD1315">
            <v>0</v>
          </cell>
          <cell r="BE1315">
            <v>0</v>
          </cell>
          <cell r="BF1315">
            <v>0</v>
          </cell>
          <cell r="BG1315">
            <v>48</v>
          </cell>
          <cell r="BH1315">
            <v>0</v>
          </cell>
          <cell r="BI1315">
            <v>0</v>
          </cell>
          <cell r="BJ1315">
            <v>1</v>
          </cell>
          <cell r="BL1315">
            <v>0</v>
          </cell>
          <cell r="BM1315">
            <v>0</v>
          </cell>
          <cell r="BN1315">
            <v>0</v>
          </cell>
          <cell r="BO1315">
            <v>0</v>
          </cell>
          <cell r="BP1315">
            <v>0</v>
          </cell>
          <cell r="BQ1315">
            <v>0</v>
          </cell>
          <cell r="BR1315">
            <v>0</v>
          </cell>
          <cell r="BS1315">
            <v>0</v>
          </cell>
          <cell r="BT1315">
            <v>0</v>
          </cell>
          <cell r="BU1315">
            <v>0</v>
          </cell>
          <cell r="BV1315">
            <v>0</v>
          </cell>
          <cell r="BW1315">
            <v>0</v>
          </cell>
          <cell r="BX1315">
            <v>0</v>
          </cell>
          <cell r="BY1315">
            <v>0</v>
          </cell>
          <cell r="BZ1315">
            <v>0</v>
          </cell>
          <cell r="CA1315">
            <v>0</v>
          </cell>
          <cell r="CB1315">
            <v>0</v>
          </cell>
          <cell r="CC1315">
            <v>0</v>
          </cell>
          <cell r="CD1315">
            <v>0</v>
          </cell>
          <cell r="CE1315">
            <v>4</v>
          </cell>
          <cell r="CF1315">
            <v>4</v>
          </cell>
          <cell r="CG1315">
            <v>0</v>
          </cell>
          <cell r="CH1315">
            <v>0</v>
          </cell>
          <cell r="CI1315">
            <v>0</v>
          </cell>
          <cell r="CJ1315">
            <v>0</v>
          </cell>
          <cell r="CK1315">
            <v>0</v>
          </cell>
          <cell r="CL1315">
            <v>0</v>
          </cell>
          <cell r="CM1315">
            <v>0</v>
          </cell>
          <cell r="CR1315">
            <v>0</v>
          </cell>
          <cell r="CS1315">
            <v>0</v>
          </cell>
          <cell r="CT1315">
            <v>8</v>
          </cell>
          <cell r="CU1315">
            <v>0</v>
          </cell>
          <cell r="CV1315">
            <v>0</v>
          </cell>
          <cell r="CZ1315">
            <v>8</v>
          </cell>
        </row>
        <row r="1316">
          <cell r="C1316" t="str">
            <v>05038</v>
          </cell>
          <cell r="D1316" t="str">
            <v>Huỳnh Văn Anh</v>
          </cell>
          <cell r="E1316" t="str">
            <v>Warehouse</v>
          </cell>
          <cell r="F1316" t="str">
            <v>Warehouse</v>
          </cell>
          <cell r="G1316" t="str">
            <v>Worker</v>
          </cell>
          <cell r="H1316">
            <v>46093</v>
          </cell>
          <cell r="I1316" t="str">
            <v>X</v>
          </cell>
          <cell r="J1316" t="str">
            <v>X</v>
          </cell>
          <cell r="K1316" t="str">
            <v>X</v>
          </cell>
          <cell r="L1316" t="str">
            <v>X</v>
          </cell>
          <cell r="M1316" t="str">
            <v>X</v>
          </cell>
          <cell r="N1316" t="str">
            <v>X</v>
          </cell>
          <cell r="O1316" t="str">
            <v>X</v>
          </cell>
          <cell r="P1316" t="str">
            <v>X</v>
          </cell>
          <cell r="Q1316" t="str">
            <v>X</v>
          </cell>
          <cell r="R1316" t="str">
            <v>X</v>
          </cell>
          <cell r="S1316" t="str">
            <v>X</v>
          </cell>
          <cell r="T1316" t="str">
            <v>X</v>
          </cell>
          <cell r="U1316" t="str">
            <v>X</v>
          </cell>
          <cell r="V1316" t="str">
            <v>X</v>
          </cell>
          <cell r="W1316">
            <v>8</v>
          </cell>
          <cell r="X1316">
            <v>8</v>
          </cell>
          <cell r="Y1316">
            <v>8</v>
          </cell>
          <cell r="Z1316" t="str">
            <v>CN</v>
          </cell>
          <cell r="AA1316">
            <v>8</v>
          </cell>
          <cell r="AB1316">
            <v>8</v>
          </cell>
          <cell r="AC1316">
            <v>8</v>
          </cell>
          <cell r="AD1316" t="str">
            <v>TV</v>
          </cell>
          <cell r="AE1316" t="str">
            <v>TV</v>
          </cell>
          <cell r="AF1316" t="str">
            <v>TV</v>
          </cell>
          <cell r="AG1316" t="str">
            <v>TV</v>
          </cell>
          <cell r="AH1316" t="str">
            <v>TV</v>
          </cell>
          <cell r="AI1316" t="str">
            <v>TV</v>
          </cell>
          <cell r="AJ1316" t="str">
            <v>TV</v>
          </cell>
          <cell r="AN1316">
            <v>0</v>
          </cell>
          <cell r="AO1316">
            <v>48</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48</v>
          </cell>
          <cell r="BH1316">
            <v>0</v>
          </cell>
          <cell r="BI1316">
            <v>0</v>
          </cell>
          <cell r="BJ1316">
            <v>1</v>
          </cell>
          <cell r="BL1316">
            <v>0</v>
          </cell>
          <cell r="BM1316">
            <v>0</v>
          </cell>
          <cell r="BN1316">
            <v>0</v>
          </cell>
          <cell r="BO1316">
            <v>0</v>
          </cell>
          <cell r="BP1316">
            <v>0</v>
          </cell>
          <cell r="BQ1316">
            <v>0</v>
          </cell>
          <cell r="BR1316">
            <v>0</v>
          </cell>
          <cell r="BS1316">
            <v>0</v>
          </cell>
          <cell r="BT1316">
            <v>0</v>
          </cell>
          <cell r="BU1316">
            <v>0</v>
          </cell>
          <cell r="BV1316">
            <v>0</v>
          </cell>
          <cell r="BW1316">
            <v>0</v>
          </cell>
          <cell r="BX1316">
            <v>0</v>
          </cell>
          <cell r="BY1316">
            <v>0</v>
          </cell>
          <cell r="BZ1316">
            <v>0</v>
          </cell>
          <cell r="CA1316">
            <v>3</v>
          </cell>
          <cell r="CB1316">
            <v>2</v>
          </cell>
          <cell r="CC1316">
            <v>0</v>
          </cell>
          <cell r="CD1316">
            <v>0</v>
          </cell>
          <cell r="CE1316">
            <v>3</v>
          </cell>
          <cell r="CF1316">
            <v>0</v>
          </cell>
          <cell r="CG1316">
            <v>0</v>
          </cell>
          <cell r="CH1316">
            <v>0</v>
          </cell>
          <cell r="CI1316">
            <v>0</v>
          </cell>
          <cell r="CJ1316">
            <v>0</v>
          </cell>
          <cell r="CK1316">
            <v>0</v>
          </cell>
          <cell r="CL1316">
            <v>0</v>
          </cell>
          <cell r="CM1316">
            <v>0</v>
          </cell>
          <cell r="CR1316">
            <v>0</v>
          </cell>
          <cell r="CS1316">
            <v>0</v>
          </cell>
          <cell r="CT1316">
            <v>8</v>
          </cell>
          <cell r="CU1316">
            <v>0</v>
          </cell>
          <cell r="CV1316">
            <v>0</v>
          </cell>
          <cell r="CZ1316">
            <v>8</v>
          </cell>
        </row>
        <row r="1317">
          <cell r="C1317" t="str">
            <v>05039</v>
          </cell>
          <cell r="D1317" t="str">
            <v xml:space="preserve">Kim Thị Hồng Tha </v>
          </cell>
          <cell r="E1317" t="str">
            <v>Production</v>
          </cell>
          <cell r="F1317" t="str">
            <v>Molding</v>
          </cell>
          <cell r="G1317" t="str">
            <v>Worker</v>
          </cell>
          <cell r="H1317">
            <v>46093</v>
          </cell>
          <cell r="I1317" t="str">
            <v>X</v>
          </cell>
          <cell r="J1317" t="str">
            <v>X</v>
          </cell>
          <cell r="K1317" t="str">
            <v>X</v>
          </cell>
          <cell r="L1317" t="str">
            <v>X</v>
          </cell>
          <cell r="M1317" t="str">
            <v>X</v>
          </cell>
          <cell r="N1317" t="str">
            <v>X</v>
          </cell>
          <cell r="O1317" t="str">
            <v>X</v>
          </cell>
          <cell r="P1317" t="str">
            <v>X</v>
          </cell>
          <cell r="Q1317" t="str">
            <v>X</v>
          </cell>
          <cell r="R1317" t="str">
            <v>X</v>
          </cell>
          <cell r="S1317" t="str">
            <v>X</v>
          </cell>
          <cell r="T1317" t="str">
            <v>X</v>
          </cell>
          <cell r="U1317" t="str">
            <v>X</v>
          </cell>
          <cell r="V1317" t="str">
            <v>X</v>
          </cell>
          <cell r="W1317">
            <v>8</v>
          </cell>
          <cell r="X1317">
            <v>4</v>
          </cell>
          <cell r="Y1317" t="str">
            <v>NP</v>
          </cell>
          <cell r="Z1317" t="str">
            <v>CN</v>
          </cell>
          <cell r="AA1317" t="str">
            <v>NP</v>
          </cell>
          <cell r="AB1317" t="str">
            <v>NP</v>
          </cell>
          <cell r="AC1317" t="str">
            <v>NP</v>
          </cell>
          <cell r="AD1317" t="str">
            <v>NP</v>
          </cell>
          <cell r="AE1317" t="str">
            <v>TV</v>
          </cell>
          <cell r="AF1317" t="str">
            <v>TV</v>
          </cell>
          <cell r="AG1317" t="str">
            <v>TV</v>
          </cell>
          <cell r="AH1317" t="str">
            <v>TV</v>
          </cell>
          <cell r="AI1317" t="str">
            <v>TV</v>
          </cell>
          <cell r="AJ1317" t="str">
            <v>TV</v>
          </cell>
          <cell r="AN1317">
            <v>0</v>
          </cell>
          <cell r="AO1317">
            <v>12</v>
          </cell>
          <cell r="AP1317">
            <v>0</v>
          </cell>
          <cell r="AQ1317">
            <v>0</v>
          </cell>
          <cell r="AR1317">
            <v>0</v>
          </cell>
          <cell r="AS1317">
            <v>0</v>
          </cell>
          <cell r="AT1317">
            <v>5</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12</v>
          </cell>
          <cell r="BH1317">
            <v>0</v>
          </cell>
          <cell r="BI1317">
            <v>0</v>
          </cell>
          <cell r="BJ1317">
            <v>1</v>
          </cell>
          <cell r="BL1317">
            <v>0</v>
          </cell>
          <cell r="BM1317">
            <v>0</v>
          </cell>
          <cell r="BN1317">
            <v>0</v>
          </cell>
          <cell r="BO1317">
            <v>0</v>
          </cell>
          <cell r="BP1317">
            <v>0</v>
          </cell>
          <cell r="BQ1317">
            <v>0</v>
          </cell>
          <cell r="BR1317">
            <v>0</v>
          </cell>
          <cell r="BS1317">
            <v>0</v>
          </cell>
          <cell r="BT1317">
            <v>0</v>
          </cell>
          <cell r="BU1317">
            <v>0</v>
          </cell>
          <cell r="BV1317">
            <v>0</v>
          </cell>
          <cell r="BW1317">
            <v>0</v>
          </cell>
          <cell r="BX1317">
            <v>0</v>
          </cell>
          <cell r="BY1317">
            <v>0</v>
          </cell>
          <cell r="BZ1317">
            <v>0</v>
          </cell>
          <cell r="CA1317">
            <v>0</v>
          </cell>
          <cell r="CB1317">
            <v>0</v>
          </cell>
          <cell r="CC1317">
            <v>0</v>
          </cell>
          <cell r="CD1317">
            <v>0</v>
          </cell>
          <cell r="CE1317">
            <v>0</v>
          </cell>
          <cell r="CF1317">
            <v>0</v>
          </cell>
          <cell r="CG1317">
            <v>0</v>
          </cell>
          <cell r="CH1317">
            <v>0</v>
          </cell>
          <cell r="CI1317">
            <v>0</v>
          </cell>
          <cell r="CJ1317">
            <v>0</v>
          </cell>
          <cell r="CK1317">
            <v>0</v>
          </cell>
          <cell r="CL1317">
            <v>0</v>
          </cell>
          <cell r="CM1317">
            <v>0</v>
          </cell>
          <cell r="CR1317">
            <v>0</v>
          </cell>
          <cell r="CS1317">
            <v>0</v>
          </cell>
          <cell r="CT1317">
            <v>0</v>
          </cell>
          <cell r="CU1317">
            <v>0</v>
          </cell>
          <cell r="CV1317">
            <v>0</v>
          </cell>
          <cell r="CZ1317">
            <v>0</v>
          </cell>
        </row>
        <row r="1318">
          <cell r="C1318" t="str">
            <v>05040</v>
          </cell>
          <cell r="D1318" t="str">
            <v>Nguyễn Ngọc yến Nhi</v>
          </cell>
          <cell r="E1318" t="str">
            <v>Production</v>
          </cell>
          <cell r="F1318" t="str">
            <v>Logo</v>
          </cell>
          <cell r="G1318" t="str">
            <v>Worker</v>
          </cell>
          <cell r="H1318">
            <v>46093</v>
          </cell>
          <cell r="I1318" t="str">
            <v>X</v>
          </cell>
          <cell r="J1318" t="str">
            <v>X</v>
          </cell>
          <cell r="K1318" t="str">
            <v>X</v>
          </cell>
          <cell r="L1318" t="str">
            <v>X</v>
          </cell>
          <cell r="M1318" t="str">
            <v>X</v>
          </cell>
          <cell r="N1318" t="str">
            <v>X</v>
          </cell>
          <cell r="O1318" t="str">
            <v>X</v>
          </cell>
          <cell r="P1318" t="str">
            <v>X</v>
          </cell>
          <cell r="Q1318" t="str">
            <v>X</v>
          </cell>
          <cell r="R1318" t="str">
            <v>X</v>
          </cell>
          <cell r="S1318" t="str">
            <v>X</v>
          </cell>
          <cell r="T1318" t="str">
            <v>X</v>
          </cell>
          <cell r="U1318" t="str">
            <v>X</v>
          </cell>
          <cell r="V1318" t="str">
            <v>X</v>
          </cell>
          <cell r="W1318">
            <v>8</v>
          </cell>
          <cell r="X1318">
            <v>8</v>
          </cell>
          <cell r="Y1318">
            <v>8</v>
          </cell>
          <cell r="Z1318" t="str">
            <v>CN</v>
          </cell>
          <cell r="AA1318" t="str">
            <v>Đ</v>
          </cell>
          <cell r="AB1318" t="str">
            <v>Đ</v>
          </cell>
          <cell r="AC1318" t="str">
            <v>Đ</v>
          </cell>
          <cell r="AD1318" t="str">
            <v>Đ</v>
          </cell>
          <cell r="AE1318" t="str">
            <v>Đ</v>
          </cell>
          <cell r="AF1318" t="str">
            <v>Đ</v>
          </cell>
          <cell r="AG1318" t="str">
            <v>CN</v>
          </cell>
          <cell r="AH1318">
            <v>8</v>
          </cell>
          <cell r="AI1318">
            <v>8</v>
          </cell>
          <cell r="AJ1318">
            <v>8</v>
          </cell>
          <cell r="AN1318">
            <v>48</v>
          </cell>
          <cell r="AO1318">
            <v>48</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96</v>
          </cell>
          <cell r="BH1318">
            <v>0</v>
          </cell>
          <cell r="BI1318">
            <v>0</v>
          </cell>
          <cell r="BJ1318">
            <v>2</v>
          </cell>
          <cell r="BL1318">
            <v>0</v>
          </cell>
          <cell r="BM1318">
            <v>0</v>
          </cell>
          <cell r="BN1318">
            <v>0</v>
          </cell>
          <cell r="BO1318">
            <v>0</v>
          </cell>
          <cell r="BP1318">
            <v>0</v>
          </cell>
          <cell r="BQ1318">
            <v>0</v>
          </cell>
          <cell r="BR1318">
            <v>0</v>
          </cell>
          <cell r="BS1318">
            <v>0</v>
          </cell>
          <cell r="BT1318">
            <v>0</v>
          </cell>
          <cell r="BU1318">
            <v>0</v>
          </cell>
          <cell r="BV1318">
            <v>0</v>
          </cell>
          <cell r="BW1318">
            <v>0</v>
          </cell>
          <cell r="BX1318">
            <v>0</v>
          </cell>
          <cell r="BY1318">
            <v>0</v>
          </cell>
          <cell r="BZ1318">
            <v>0</v>
          </cell>
          <cell r="CA1318">
            <v>0</v>
          </cell>
          <cell r="CB1318">
            <v>0</v>
          </cell>
          <cell r="CC1318">
            <v>0</v>
          </cell>
          <cell r="CD1318">
            <v>0</v>
          </cell>
          <cell r="CE1318">
            <v>0</v>
          </cell>
          <cell r="CF1318">
            <v>0</v>
          </cell>
          <cell r="CG1318">
            <v>0</v>
          </cell>
          <cell r="CH1318">
            <v>0</v>
          </cell>
          <cell r="CI1318">
            <v>4</v>
          </cell>
          <cell r="CJ1318">
            <v>0</v>
          </cell>
          <cell r="CK1318">
            <v>3</v>
          </cell>
          <cell r="CL1318">
            <v>0</v>
          </cell>
          <cell r="CM1318">
            <v>3</v>
          </cell>
          <cell r="CR1318">
            <v>0</v>
          </cell>
          <cell r="CS1318">
            <v>0</v>
          </cell>
          <cell r="CT1318">
            <v>10</v>
          </cell>
          <cell r="CU1318">
            <v>0</v>
          </cell>
          <cell r="CV1318">
            <v>0</v>
          </cell>
          <cell r="CZ1318">
            <v>10</v>
          </cell>
        </row>
        <row r="1319">
          <cell r="C1319" t="str">
            <v>05041</v>
          </cell>
          <cell r="D1319" t="str">
            <v>Đào Văn Hào</v>
          </cell>
          <cell r="E1319" t="str">
            <v>Production</v>
          </cell>
          <cell r="F1319" t="str">
            <v>Packing</v>
          </cell>
          <cell r="G1319" t="str">
            <v>Worker</v>
          </cell>
          <cell r="H1319">
            <v>46093</v>
          </cell>
          <cell r="I1319" t="str">
            <v>X</v>
          </cell>
          <cell r="J1319" t="str">
            <v>X</v>
          </cell>
          <cell r="K1319" t="str">
            <v>X</v>
          </cell>
          <cell r="L1319" t="str">
            <v>X</v>
          </cell>
          <cell r="M1319" t="str">
            <v>X</v>
          </cell>
          <cell r="N1319" t="str">
            <v>X</v>
          </cell>
          <cell r="O1319" t="str">
            <v>X</v>
          </cell>
          <cell r="P1319" t="str">
            <v>X</v>
          </cell>
          <cell r="Q1319" t="str">
            <v>X</v>
          </cell>
          <cell r="R1319" t="str">
            <v>X</v>
          </cell>
          <cell r="S1319" t="str">
            <v>X</v>
          </cell>
          <cell r="T1319" t="str">
            <v>X</v>
          </cell>
          <cell r="U1319" t="str">
            <v>X</v>
          </cell>
          <cell r="V1319" t="str">
            <v>X</v>
          </cell>
          <cell r="W1319">
            <v>8</v>
          </cell>
          <cell r="X1319">
            <v>8</v>
          </cell>
          <cell r="Y1319">
            <v>8</v>
          </cell>
          <cell r="Z1319" t="str">
            <v>CN</v>
          </cell>
          <cell r="AA1319" t="str">
            <v>Đ</v>
          </cell>
          <cell r="AB1319" t="str">
            <v>Đ</v>
          </cell>
          <cell r="AC1319" t="str">
            <v>Đ</v>
          </cell>
          <cell r="AD1319" t="str">
            <v>Đ</v>
          </cell>
          <cell r="AE1319" t="str">
            <v>Đ</v>
          </cell>
          <cell r="AF1319" t="str">
            <v>Đ</v>
          </cell>
          <cell r="AG1319" t="str">
            <v>CN</v>
          </cell>
          <cell r="AH1319">
            <v>8</v>
          </cell>
          <cell r="AI1319">
            <v>8</v>
          </cell>
          <cell r="AJ1319">
            <v>8</v>
          </cell>
          <cell r="AN1319">
            <v>48</v>
          </cell>
          <cell r="AO1319">
            <v>48</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96</v>
          </cell>
          <cell r="BH1319">
            <v>0</v>
          </cell>
          <cell r="BI1319">
            <v>0</v>
          </cell>
          <cell r="BJ1319">
            <v>2</v>
          </cell>
          <cell r="BL1319">
            <v>0</v>
          </cell>
          <cell r="BM1319">
            <v>0</v>
          </cell>
          <cell r="BN1319">
            <v>0</v>
          </cell>
          <cell r="BO1319">
            <v>0</v>
          </cell>
          <cell r="BP1319">
            <v>0</v>
          </cell>
          <cell r="BQ1319">
            <v>0</v>
          </cell>
          <cell r="BR1319">
            <v>0</v>
          </cell>
          <cell r="BS1319">
            <v>0</v>
          </cell>
          <cell r="BT1319">
            <v>0</v>
          </cell>
          <cell r="BU1319">
            <v>0</v>
          </cell>
          <cell r="BV1319">
            <v>0</v>
          </cell>
          <cell r="BW1319">
            <v>0</v>
          </cell>
          <cell r="BX1319">
            <v>0</v>
          </cell>
          <cell r="BY1319">
            <v>0</v>
          </cell>
          <cell r="BZ1319">
            <v>0</v>
          </cell>
          <cell r="CA1319">
            <v>0</v>
          </cell>
          <cell r="CB1319">
            <v>0</v>
          </cell>
          <cell r="CC1319">
            <v>0</v>
          </cell>
          <cell r="CD1319">
            <v>1.5</v>
          </cell>
          <cell r="CE1319">
            <v>4</v>
          </cell>
          <cell r="CF1319">
            <v>4</v>
          </cell>
          <cell r="CG1319">
            <v>4</v>
          </cell>
          <cell r="CH1319">
            <v>0</v>
          </cell>
          <cell r="CI1319">
            <v>1.5</v>
          </cell>
          <cell r="CJ1319">
            <v>0</v>
          </cell>
          <cell r="CK1319">
            <v>1.5</v>
          </cell>
          <cell r="CL1319">
            <v>3</v>
          </cell>
          <cell r="CM1319">
            <v>1.5</v>
          </cell>
          <cell r="CR1319">
            <v>0</v>
          </cell>
          <cell r="CS1319">
            <v>0</v>
          </cell>
          <cell r="CT1319">
            <v>21</v>
          </cell>
          <cell r="CU1319">
            <v>0</v>
          </cell>
          <cell r="CV1319">
            <v>0</v>
          </cell>
          <cell r="CZ1319">
            <v>21</v>
          </cell>
        </row>
        <row r="1320">
          <cell r="C1320" t="str">
            <v>05042</v>
          </cell>
          <cell r="D1320" t="str">
            <v>Âu Dương Khang</v>
          </cell>
          <cell r="E1320" t="str">
            <v>Production</v>
          </cell>
          <cell r="F1320" t="str">
            <v>Molding</v>
          </cell>
          <cell r="G1320" t="str">
            <v>Worker</v>
          </cell>
          <cell r="H1320">
            <v>46093</v>
          </cell>
          <cell r="I1320" t="str">
            <v>X</v>
          </cell>
          <cell r="J1320" t="str">
            <v>X</v>
          </cell>
          <cell r="K1320" t="str">
            <v>X</v>
          </cell>
          <cell r="L1320" t="str">
            <v>X</v>
          </cell>
          <cell r="M1320" t="str">
            <v>X</v>
          </cell>
          <cell r="N1320" t="str">
            <v>X</v>
          </cell>
          <cell r="O1320" t="str">
            <v>X</v>
          </cell>
          <cell r="P1320" t="str">
            <v>X</v>
          </cell>
          <cell r="Q1320" t="str">
            <v>X</v>
          </cell>
          <cell r="R1320" t="str">
            <v>X</v>
          </cell>
          <cell r="S1320" t="str">
            <v>X</v>
          </cell>
          <cell r="T1320" t="str">
            <v>X</v>
          </cell>
          <cell r="U1320" t="str">
            <v>X</v>
          </cell>
          <cell r="V1320" t="str">
            <v>X</v>
          </cell>
          <cell r="W1320">
            <v>8</v>
          </cell>
          <cell r="X1320">
            <v>8</v>
          </cell>
          <cell r="Y1320">
            <v>8</v>
          </cell>
          <cell r="Z1320" t="str">
            <v>CN</v>
          </cell>
          <cell r="AA1320">
            <v>8</v>
          </cell>
          <cell r="AB1320">
            <v>8</v>
          </cell>
          <cell r="AC1320">
            <v>8</v>
          </cell>
          <cell r="AD1320">
            <v>8</v>
          </cell>
          <cell r="AE1320">
            <v>8</v>
          </cell>
          <cell r="AF1320" t="str">
            <v>UP8</v>
          </cell>
          <cell r="AG1320" t="str">
            <v>CN</v>
          </cell>
          <cell r="AH1320">
            <v>8</v>
          </cell>
          <cell r="AI1320">
            <v>8</v>
          </cell>
          <cell r="AJ1320">
            <v>8</v>
          </cell>
          <cell r="AN1320">
            <v>0</v>
          </cell>
          <cell r="AO1320">
            <v>88</v>
          </cell>
          <cell r="AP1320">
            <v>0</v>
          </cell>
          <cell r="AQ1320">
            <v>0</v>
          </cell>
          <cell r="AR1320">
            <v>0</v>
          </cell>
          <cell r="AS1320">
            <v>8</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88</v>
          </cell>
          <cell r="BH1320">
            <v>0</v>
          </cell>
          <cell r="BI1320">
            <v>0</v>
          </cell>
          <cell r="BJ1320">
            <v>2</v>
          </cell>
          <cell r="BL1320">
            <v>0</v>
          </cell>
          <cell r="BM1320">
            <v>0</v>
          </cell>
          <cell r="BN1320">
            <v>0</v>
          </cell>
          <cell r="BO1320">
            <v>0</v>
          </cell>
          <cell r="BP1320">
            <v>0</v>
          </cell>
          <cell r="BQ1320">
            <v>0</v>
          </cell>
          <cell r="BR1320">
            <v>0</v>
          </cell>
          <cell r="BS1320">
            <v>0</v>
          </cell>
          <cell r="BT1320">
            <v>0</v>
          </cell>
          <cell r="BU1320">
            <v>0</v>
          </cell>
          <cell r="BV1320">
            <v>0</v>
          </cell>
          <cell r="BW1320">
            <v>0</v>
          </cell>
          <cell r="BX1320">
            <v>0</v>
          </cell>
          <cell r="BY1320">
            <v>0</v>
          </cell>
          <cell r="BZ1320">
            <v>0</v>
          </cell>
          <cell r="CA1320">
            <v>0</v>
          </cell>
          <cell r="CB1320">
            <v>0</v>
          </cell>
          <cell r="CC1320">
            <v>0</v>
          </cell>
          <cell r="CD1320">
            <v>0</v>
          </cell>
          <cell r="CE1320">
            <v>0</v>
          </cell>
          <cell r="CF1320">
            <v>0</v>
          </cell>
          <cell r="CG1320">
            <v>0</v>
          </cell>
          <cell r="CH1320">
            <v>0</v>
          </cell>
          <cell r="CI1320">
            <v>0</v>
          </cell>
          <cell r="CJ1320">
            <v>0</v>
          </cell>
          <cell r="CK1320">
            <v>0</v>
          </cell>
          <cell r="CL1320">
            <v>0</v>
          </cell>
          <cell r="CM1320">
            <v>0</v>
          </cell>
          <cell r="CR1320">
            <v>0</v>
          </cell>
          <cell r="CS1320">
            <v>0</v>
          </cell>
          <cell r="CT1320">
            <v>0</v>
          </cell>
          <cell r="CU1320">
            <v>0</v>
          </cell>
          <cell r="CV1320">
            <v>0</v>
          </cell>
          <cell r="CZ1320">
            <v>0</v>
          </cell>
        </row>
        <row r="1321">
          <cell r="C1321" t="str">
            <v>05043</v>
          </cell>
          <cell r="D1321" t="str">
            <v>Hoàng Văn Tiến</v>
          </cell>
          <cell r="E1321" t="str">
            <v>Production</v>
          </cell>
          <cell r="F1321" t="str">
            <v>Molding</v>
          </cell>
          <cell r="G1321" t="str">
            <v>Worker</v>
          </cell>
          <cell r="H1321">
            <v>46093</v>
          </cell>
          <cell r="I1321" t="str">
            <v>X</v>
          </cell>
          <cell r="J1321" t="str">
            <v>X</v>
          </cell>
          <cell r="K1321" t="str">
            <v>X</v>
          </cell>
          <cell r="L1321" t="str">
            <v>X</v>
          </cell>
          <cell r="M1321" t="str">
            <v>X</v>
          </cell>
          <cell r="N1321" t="str">
            <v>X</v>
          </cell>
          <cell r="O1321" t="str">
            <v>X</v>
          </cell>
          <cell r="P1321" t="str">
            <v>X</v>
          </cell>
          <cell r="Q1321" t="str">
            <v>X</v>
          </cell>
          <cell r="R1321" t="str">
            <v>X</v>
          </cell>
          <cell r="S1321" t="str">
            <v>X</v>
          </cell>
          <cell r="T1321" t="str">
            <v>X</v>
          </cell>
          <cell r="U1321" t="str">
            <v>X</v>
          </cell>
          <cell r="V1321" t="str">
            <v>X</v>
          </cell>
          <cell r="W1321">
            <v>8</v>
          </cell>
          <cell r="X1321">
            <v>8</v>
          </cell>
          <cell r="Y1321">
            <v>8</v>
          </cell>
          <cell r="Z1321" t="str">
            <v>CN</v>
          </cell>
          <cell r="AA1321">
            <v>8</v>
          </cell>
          <cell r="AB1321" t="str">
            <v>NP</v>
          </cell>
          <cell r="AC1321" t="str">
            <v>TV</v>
          </cell>
          <cell r="AD1321" t="str">
            <v>TV</v>
          </cell>
          <cell r="AE1321" t="str">
            <v>TV</v>
          </cell>
          <cell r="AF1321" t="str">
            <v>TV</v>
          </cell>
          <cell r="AG1321" t="str">
            <v>TV</v>
          </cell>
          <cell r="AH1321" t="str">
            <v>TV</v>
          </cell>
          <cell r="AI1321" t="str">
            <v>TV</v>
          </cell>
          <cell r="AJ1321" t="str">
            <v>TV</v>
          </cell>
          <cell r="AN1321">
            <v>0</v>
          </cell>
          <cell r="AO1321">
            <v>32</v>
          </cell>
          <cell r="AP1321">
            <v>0</v>
          </cell>
          <cell r="AQ1321">
            <v>0</v>
          </cell>
          <cell r="AR1321">
            <v>0</v>
          </cell>
          <cell r="AS1321">
            <v>0</v>
          </cell>
          <cell r="AT1321">
            <v>1</v>
          </cell>
          <cell r="AU1321">
            <v>0</v>
          </cell>
          <cell r="AV1321">
            <v>0</v>
          </cell>
          <cell r="AW1321">
            <v>0</v>
          </cell>
          <cell r="AX1321">
            <v>0</v>
          </cell>
          <cell r="AY1321">
            <v>0</v>
          </cell>
          <cell r="AZ1321">
            <v>0</v>
          </cell>
          <cell r="BA1321">
            <v>0</v>
          </cell>
          <cell r="BB1321">
            <v>0</v>
          </cell>
          <cell r="BC1321">
            <v>0</v>
          </cell>
          <cell r="BD1321">
            <v>0</v>
          </cell>
          <cell r="BE1321">
            <v>0</v>
          </cell>
          <cell r="BF1321">
            <v>0</v>
          </cell>
          <cell r="BG1321">
            <v>32</v>
          </cell>
          <cell r="BH1321">
            <v>0</v>
          </cell>
          <cell r="BI1321">
            <v>0</v>
          </cell>
          <cell r="BJ1321">
            <v>1</v>
          </cell>
          <cell r="BL1321">
            <v>0</v>
          </cell>
          <cell r="BM1321">
            <v>0</v>
          </cell>
          <cell r="BN1321">
            <v>0</v>
          </cell>
          <cell r="BO1321">
            <v>0</v>
          </cell>
          <cell r="BP1321">
            <v>0</v>
          </cell>
          <cell r="BQ1321">
            <v>0</v>
          </cell>
          <cell r="BR1321">
            <v>0</v>
          </cell>
          <cell r="BS1321">
            <v>0</v>
          </cell>
          <cell r="BT1321">
            <v>0</v>
          </cell>
          <cell r="BU1321">
            <v>0</v>
          </cell>
          <cell r="BV1321">
            <v>0</v>
          </cell>
          <cell r="BW1321">
            <v>0</v>
          </cell>
          <cell r="BX1321">
            <v>0</v>
          </cell>
          <cell r="BY1321">
            <v>0</v>
          </cell>
          <cell r="BZ1321">
            <v>0</v>
          </cell>
          <cell r="CA1321">
            <v>0</v>
          </cell>
          <cell r="CB1321">
            <v>0</v>
          </cell>
          <cell r="CC1321">
            <v>0</v>
          </cell>
          <cell r="CD1321">
            <v>0</v>
          </cell>
          <cell r="CE1321">
            <v>0</v>
          </cell>
          <cell r="CF1321">
            <v>0</v>
          </cell>
          <cell r="CG1321">
            <v>0</v>
          </cell>
          <cell r="CH1321">
            <v>0</v>
          </cell>
          <cell r="CI1321">
            <v>0</v>
          </cell>
          <cell r="CJ1321">
            <v>0</v>
          </cell>
          <cell r="CK1321">
            <v>0</v>
          </cell>
          <cell r="CL1321">
            <v>0</v>
          </cell>
          <cell r="CM1321">
            <v>0</v>
          </cell>
          <cell r="CR1321">
            <v>0</v>
          </cell>
          <cell r="CS1321">
            <v>0</v>
          </cell>
          <cell r="CT1321">
            <v>0</v>
          </cell>
          <cell r="CU1321">
            <v>0</v>
          </cell>
          <cell r="CV1321">
            <v>0</v>
          </cell>
          <cell r="CZ1321">
            <v>0</v>
          </cell>
        </row>
        <row r="1322">
          <cell r="C1322" t="str">
            <v>05044</v>
          </cell>
          <cell r="D1322" t="str">
            <v>Trần Quốc Vương</v>
          </cell>
          <cell r="E1322" t="str">
            <v>Production</v>
          </cell>
          <cell r="F1322" t="str">
            <v>Molding</v>
          </cell>
          <cell r="G1322" t="str">
            <v>Worker</v>
          </cell>
          <cell r="H1322">
            <v>46093</v>
          </cell>
          <cell r="I1322" t="str">
            <v>X</v>
          </cell>
          <cell r="J1322" t="str">
            <v>X</v>
          </cell>
          <cell r="K1322" t="str">
            <v>X</v>
          </cell>
          <cell r="L1322" t="str">
            <v>X</v>
          </cell>
          <cell r="M1322" t="str">
            <v>X</v>
          </cell>
          <cell r="N1322" t="str">
            <v>X</v>
          </cell>
          <cell r="O1322" t="str">
            <v>X</v>
          </cell>
          <cell r="P1322" t="str">
            <v>X</v>
          </cell>
          <cell r="Q1322" t="str">
            <v>X</v>
          </cell>
          <cell r="R1322" t="str">
            <v>X</v>
          </cell>
          <cell r="S1322" t="str">
            <v>X</v>
          </cell>
          <cell r="T1322" t="str">
            <v>X</v>
          </cell>
          <cell r="U1322" t="str">
            <v>X</v>
          </cell>
          <cell r="V1322" t="str">
            <v>X</v>
          </cell>
          <cell r="W1322">
            <v>8</v>
          </cell>
          <cell r="X1322">
            <v>8</v>
          </cell>
          <cell r="Y1322">
            <v>8</v>
          </cell>
          <cell r="Z1322" t="str">
            <v>CN</v>
          </cell>
          <cell r="AA1322">
            <v>8</v>
          </cell>
          <cell r="AB1322">
            <v>8</v>
          </cell>
          <cell r="AC1322">
            <v>8</v>
          </cell>
          <cell r="AD1322">
            <v>8</v>
          </cell>
          <cell r="AE1322">
            <v>8</v>
          </cell>
          <cell r="AF1322">
            <v>8</v>
          </cell>
          <cell r="AG1322" t="str">
            <v>CN</v>
          </cell>
          <cell r="AH1322">
            <v>8</v>
          </cell>
          <cell r="AI1322" t="str">
            <v>UP8</v>
          </cell>
          <cell r="AJ1322">
            <v>8</v>
          </cell>
          <cell r="AN1322">
            <v>0</v>
          </cell>
          <cell r="AO1322">
            <v>88</v>
          </cell>
          <cell r="AP1322">
            <v>0</v>
          </cell>
          <cell r="AQ1322">
            <v>0</v>
          </cell>
          <cell r="AR1322">
            <v>0</v>
          </cell>
          <cell r="AS1322">
            <v>8</v>
          </cell>
          <cell r="AT1322">
            <v>0</v>
          </cell>
          <cell r="AU1322">
            <v>0</v>
          </cell>
          <cell r="AV1322">
            <v>0</v>
          </cell>
          <cell r="AW1322">
            <v>0</v>
          </cell>
          <cell r="AX1322">
            <v>0</v>
          </cell>
          <cell r="AY1322">
            <v>0</v>
          </cell>
          <cell r="AZ1322">
            <v>0</v>
          </cell>
          <cell r="BA1322">
            <v>0</v>
          </cell>
          <cell r="BB1322">
            <v>0</v>
          </cell>
          <cell r="BC1322">
            <v>0</v>
          </cell>
          <cell r="BD1322">
            <v>0</v>
          </cell>
          <cell r="BE1322">
            <v>0</v>
          </cell>
          <cell r="BF1322">
            <v>0</v>
          </cell>
          <cell r="BG1322">
            <v>88</v>
          </cell>
          <cell r="BH1322">
            <v>0</v>
          </cell>
          <cell r="BI1322">
            <v>0</v>
          </cell>
          <cell r="BJ1322">
            <v>2</v>
          </cell>
          <cell r="BL1322">
            <v>0</v>
          </cell>
          <cell r="BM1322">
            <v>0</v>
          </cell>
          <cell r="BN1322">
            <v>0</v>
          </cell>
          <cell r="BO1322">
            <v>0</v>
          </cell>
          <cell r="BP1322">
            <v>0</v>
          </cell>
          <cell r="BQ1322">
            <v>0</v>
          </cell>
          <cell r="BR1322">
            <v>0</v>
          </cell>
          <cell r="BS1322">
            <v>0</v>
          </cell>
          <cell r="BT1322">
            <v>0</v>
          </cell>
          <cell r="BU1322">
            <v>0</v>
          </cell>
          <cell r="BV1322">
            <v>0</v>
          </cell>
          <cell r="BW1322">
            <v>0</v>
          </cell>
          <cell r="BX1322">
            <v>0</v>
          </cell>
          <cell r="BY1322">
            <v>0</v>
          </cell>
          <cell r="BZ1322">
            <v>0</v>
          </cell>
          <cell r="CA1322">
            <v>0</v>
          </cell>
          <cell r="CB1322">
            <v>0</v>
          </cell>
          <cell r="CC1322">
            <v>0</v>
          </cell>
          <cell r="CD1322">
            <v>0</v>
          </cell>
          <cell r="CE1322">
            <v>0</v>
          </cell>
          <cell r="CF1322">
            <v>0</v>
          </cell>
          <cell r="CG1322">
            <v>0</v>
          </cell>
          <cell r="CH1322">
            <v>0</v>
          </cell>
          <cell r="CI1322">
            <v>0</v>
          </cell>
          <cell r="CJ1322">
            <v>0</v>
          </cell>
          <cell r="CK1322">
            <v>0</v>
          </cell>
          <cell r="CL1322">
            <v>0</v>
          </cell>
          <cell r="CM1322">
            <v>0</v>
          </cell>
          <cell r="CR1322">
            <v>0</v>
          </cell>
          <cell r="CS1322">
            <v>0</v>
          </cell>
          <cell r="CT1322">
            <v>0</v>
          </cell>
          <cell r="CU1322">
            <v>0</v>
          </cell>
          <cell r="CV1322">
            <v>0</v>
          </cell>
          <cell r="CZ1322">
            <v>0</v>
          </cell>
        </row>
        <row r="1323">
          <cell r="C1323" t="str">
            <v>05045</v>
          </cell>
          <cell r="D1323" t="str">
            <v>Nguyễn Văn Trí Khanh</v>
          </cell>
          <cell r="E1323" t="str">
            <v>Production</v>
          </cell>
          <cell r="F1323" t="str">
            <v>Molding</v>
          </cell>
          <cell r="G1323" t="str">
            <v>Worker</v>
          </cell>
          <cell r="H1323">
            <v>46093</v>
          </cell>
          <cell r="I1323" t="str">
            <v>X</v>
          </cell>
          <cell r="J1323" t="str">
            <v>X</v>
          </cell>
          <cell r="K1323" t="str">
            <v>X</v>
          </cell>
          <cell r="L1323" t="str">
            <v>X</v>
          </cell>
          <cell r="M1323" t="str">
            <v>X</v>
          </cell>
          <cell r="N1323" t="str">
            <v>X</v>
          </cell>
          <cell r="O1323" t="str">
            <v>X</v>
          </cell>
          <cell r="P1323" t="str">
            <v>X</v>
          </cell>
          <cell r="Q1323" t="str">
            <v>X</v>
          </cell>
          <cell r="R1323" t="str">
            <v>X</v>
          </cell>
          <cell r="S1323" t="str">
            <v>X</v>
          </cell>
          <cell r="T1323" t="str">
            <v>X</v>
          </cell>
          <cell r="U1323" t="str">
            <v>X</v>
          </cell>
          <cell r="V1323" t="str">
            <v>X</v>
          </cell>
          <cell r="W1323">
            <v>8</v>
          </cell>
          <cell r="X1323">
            <v>8</v>
          </cell>
          <cell r="Y1323">
            <v>8</v>
          </cell>
          <cell r="Z1323" t="str">
            <v>CN</v>
          </cell>
          <cell r="AA1323">
            <v>8</v>
          </cell>
          <cell r="AB1323">
            <v>8</v>
          </cell>
          <cell r="AC1323">
            <v>8</v>
          </cell>
          <cell r="AD1323">
            <v>8</v>
          </cell>
          <cell r="AE1323">
            <v>8</v>
          </cell>
          <cell r="AF1323">
            <v>8</v>
          </cell>
          <cell r="AG1323" t="str">
            <v>CN</v>
          </cell>
          <cell r="AH1323" t="str">
            <v>UP8</v>
          </cell>
          <cell r="AI1323">
            <v>8</v>
          </cell>
          <cell r="AJ1323">
            <v>8</v>
          </cell>
          <cell r="AN1323">
            <v>0</v>
          </cell>
          <cell r="AO1323">
            <v>88</v>
          </cell>
          <cell r="AP1323">
            <v>0</v>
          </cell>
          <cell r="AQ1323">
            <v>0</v>
          </cell>
          <cell r="AR1323">
            <v>0</v>
          </cell>
          <cell r="AS1323">
            <v>8</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88</v>
          </cell>
          <cell r="BH1323">
            <v>0</v>
          </cell>
          <cell r="BI1323">
            <v>0</v>
          </cell>
          <cell r="BJ1323">
            <v>2</v>
          </cell>
          <cell r="BL1323">
            <v>0</v>
          </cell>
          <cell r="BM1323">
            <v>0</v>
          </cell>
          <cell r="BN1323">
            <v>0</v>
          </cell>
          <cell r="BO1323">
            <v>0</v>
          </cell>
          <cell r="BP1323">
            <v>0</v>
          </cell>
          <cell r="BQ1323">
            <v>0</v>
          </cell>
          <cell r="BR1323">
            <v>0</v>
          </cell>
          <cell r="BS1323">
            <v>0</v>
          </cell>
          <cell r="BT1323">
            <v>0</v>
          </cell>
          <cell r="BU1323">
            <v>0</v>
          </cell>
          <cell r="BV1323">
            <v>0</v>
          </cell>
          <cell r="BW1323">
            <v>0</v>
          </cell>
          <cell r="BX1323">
            <v>0</v>
          </cell>
          <cell r="BY1323">
            <v>0</v>
          </cell>
          <cell r="BZ1323">
            <v>0</v>
          </cell>
          <cell r="CA1323">
            <v>0</v>
          </cell>
          <cell r="CB1323">
            <v>0</v>
          </cell>
          <cell r="CC1323">
            <v>0</v>
          </cell>
          <cell r="CD1323">
            <v>0</v>
          </cell>
          <cell r="CE1323">
            <v>0</v>
          </cell>
          <cell r="CF1323">
            <v>0</v>
          </cell>
          <cell r="CG1323">
            <v>0</v>
          </cell>
          <cell r="CH1323">
            <v>0</v>
          </cell>
          <cell r="CI1323">
            <v>0</v>
          </cell>
          <cell r="CJ1323">
            <v>0</v>
          </cell>
          <cell r="CK1323">
            <v>0</v>
          </cell>
          <cell r="CL1323">
            <v>0</v>
          </cell>
          <cell r="CM1323">
            <v>0</v>
          </cell>
          <cell r="CR1323">
            <v>0</v>
          </cell>
          <cell r="CS1323">
            <v>0</v>
          </cell>
          <cell r="CT1323">
            <v>0</v>
          </cell>
          <cell r="CU1323">
            <v>0</v>
          </cell>
          <cell r="CV1323">
            <v>0</v>
          </cell>
          <cell r="CZ1323">
            <v>0</v>
          </cell>
        </row>
        <row r="1324">
          <cell r="C1324" t="str">
            <v>05046</v>
          </cell>
          <cell r="D1324" t="str">
            <v>Dương Thái Trâm Anh</v>
          </cell>
          <cell r="E1324" t="str">
            <v>Warehouse</v>
          </cell>
          <cell r="F1324" t="str">
            <v>Warehouse</v>
          </cell>
          <cell r="G1324" t="str">
            <v>Staff</v>
          </cell>
          <cell r="H1324">
            <v>46097</v>
          </cell>
          <cell r="I1324" t="str">
            <v>X</v>
          </cell>
          <cell r="J1324" t="str">
            <v>X</v>
          </cell>
          <cell r="K1324" t="str">
            <v>X</v>
          </cell>
          <cell r="L1324" t="str">
            <v>X</v>
          </cell>
          <cell r="M1324" t="str">
            <v>X</v>
          </cell>
          <cell r="N1324" t="str">
            <v>X</v>
          </cell>
          <cell r="O1324" t="str">
            <v>X</v>
          </cell>
          <cell r="P1324" t="str">
            <v>X</v>
          </cell>
          <cell r="Q1324" t="str">
            <v>X</v>
          </cell>
          <cell r="R1324" t="str">
            <v>X</v>
          </cell>
          <cell r="S1324" t="str">
            <v>X</v>
          </cell>
          <cell r="T1324" t="str">
            <v>X</v>
          </cell>
          <cell r="U1324" t="str">
            <v>X</v>
          </cell>
          <cell r="V1324" t="str">
            <v>X</v>
          </cell>
          <cell r="W1324" t="str">
            <v>X</v>
          </cell>
          <cell r="X1324" t="str">
            <v>X</v>
          </cell>
          <cell r="Y1324" t="str">
            <v>X</v>
          </cell>
          <cell r="Z1324" t="str">
            <v>X</v>
          </cell>
          <cell r="AA1324">
            <v>8</v>
          </cell>
          <cell r="AB1324">
            <v>8</v>
          </cell>
          <cell r="AC1324">
            <v>8</v>
          </cell>
          <cell r="AD1324">
            <v>8</v>
          </cell>
          <cell r="AE1324">
            <v>8</v>
          </cell>
          <cell r="AF1324" t="str">
            <v>PO</v>
          </cell>
          <cell r="AG1324" t="str">
            <v>CN</v>
          </cell>
          <cell r="AH1324">
            <v>8</v>
          </cell>
          <cell r="AI1324">
            <v>8</v>
          </cell>
          <cell r="AJ1324">
            <v>8</v>
          </cell>
          <cell r="AN1324">
            <v>0</v>
          </cell>
          <cell r="AO1324">
            <v>64</v>
          </cell>
          <cell r="AP1324">
            <v>0</v>
          </cell>
          <cell r="AQ1324">
            <v>0</v>
          </cell>
          <cell r="AR1324">
            <v>0</v>
          </cell>
          <cell r="AS1324">
            <v>0</v>
          </cell>
          <cell r="AT1324">
            <v>0</v>
          </cell>
          <cell r="AU1324">
            <v>0</v>
          </cell>
          <cell r="AV1324">
            <v>8</v>
          </cell>
          <cell r="AW1324">
            <v>0</v>
          </cell>
          <cell r="AX1324">
            <v>0</v>
          </cell>
          <cell r="AY1324">
            <v>0</v>
          </cell>
          <cell r="AZ1324">
            <v>0</v>
          </cell>
          <cell r="BA1324">
            <v>0</v>
          </cell>
          <cell r="BB1324">
            <v>0</v>
          </cell>
          <cell r="BC1324">
            <v>0</v>
          </cell>
          <cell r="BD1324">
            <v>0</v>
          </cell>
          <cell r="BE1324">
            <v>0</v>
          </cell>
          <cell r="BF1324">
            <v>0</v>
          </cell>
          <cell r="BG1324">
            <v>72</v>
          </cell>
          <cell r="BH1324">
            <v>0</v>
          </cell>
          <cell r="BI1324">
            <v>0</v>
          </cell>
          <cell r="BJ1324">
            <v>1</v>
          </cell>
          <cell r="BL1324">
            <v>0</v>
          </cell>
          <cell r="BM1324">
            <v>0</v>
          </cell>
          <cell r="BN1324">
            <v>0</v>
          </cell>
          <cell r="BO1324">
            <v>0</v>
          </cell>
          <cell r="BP1324">
            <v>0</v>
          </cell>
          <cell r="BQ1324">
            <v>0</v>
          </cell>
          <cell r="BR1324">
            <v>0</v>
          </cell>
          <cell r="BS1324">
            <v>0</v>
          </cell>
          <cell r="BT1324">
            <v>0</v>
          </cell>
          <cell r="BU1324">
            <v>0</v>
          </cell>
          <cell r="BV1324">
            <v>0</v>
          </cell>
          <cell r="BW1324">
            <v>0</v>
          </cell>
          <cell r="BX1324">
            <v>0</v>
          </cell>
          <cell r="BY1324">
            <v>0</v>
          </cell>
          <cell r="BZ1324">
            <v>0</v>
          </cell>
          <cell r="CA1324">
            <v>0</v>
          </cell>
          <cell r="CB1324">
            <v>0</v>
          </cell>
          <cell r="CC1324">
            <v>0</v>
          </cell>
          <cell r="CD1324">
            <v>0</v>
          </cell>
          <cell r="CE1324">
            <v>0</v>
          </cell>
          <cell r="CF1324">
            <v>0</v>
          </cell>
          <cell r="CG1324">
            <v>0</v>
          </cell>
          <cell r="CH1324">
            <v>0.5</v>
          </cell>
          <cell r="CI1324">
            <v>0</v>
          </cell>
          <cell r="CJ1324">
            <v>0</v>
          </cell>
          <cell r="CK1324">
            <v>0</v>
          </cell>
          <cell r="CL1324">
            <v>0</v>
          </cell>
          <cell r="CM1324">
            <v>0</v>
          </cell>
          <cell r="CR1324">
            <v>0</v>
          </cell>
          <cell r="CS1324">
            <v>0</v>
          </cell>
          <cell r="CT1324">
            <v>0.5</v>
          </cell>
          <cell r="CU1324">
            <v>0</v>
          </cell>
          <cell r="CV1324">
            <v>0</v>
          </cell>
          <cell r="CZ1324">
            <v>0.5</v>
          </cell>
        </row>
        <row r="1325">
          <cell r="C1325" t="str">
            <v>05047</v>
          </cell>
          <cell r="D1325" t="str">
            <v>Trần Văn Tý</v>
          </cell>
          <cell r="E1325" t="str">
            <v xml:space="preserve">EHS &amp; Facilities </v>
          </cell>
          <cell r="F1325" t="str">
            <v>Maintenance</v>
          </cell>
          <cell r="G1325" t="str">
            <v>Technician</v>
          </cell>
          <cell r="H1325">
            <v>46097</v>
          </cell>
          <cell r="I1325" t="str">
            <v>X</v>
          </cell>
          <cell r="J1325" t="str">
            <v>X</v>
          </cell>
          <cell r="K1325" t="str">
            <v>X</v>
          </cell>
          <cell r="L1325" t="str">
            <v>X</v>
          </cell>
          <cell r="M1325" t="str">
            <v>X</v>
          </cell>
          <cell r="N1325" t="str">
            <v>X</v>
          </cell>
          <cell r="O1325" t="str">
            <v>X</v>
          </cell>
          <cell r="P1325" t="str">
            <v>X</v>
          </cell>
          <cell r="Q1325" t="str">
            <v>X</v>
          </cell>
          <cell r="R1325" t="str">
            <v>X</v>
          </cell>
          <cell r="S1325" t="str">
            <v>X</v>
          </cell>
          <cell r="T1325" t="str">
            <v>X</v>
          </cell>
          <cell r="U1325" t="str">
            <v>X</v>
          </cell>
          <cell r="V1325" t="str">
            <v>X</v>
          </cell>
          <cell r="W1325" t="str">
            <v>X</v>
          </cell>
          <cell r="X1325" t="str">
            <v>X</v>
          </cell>
          <cell r="Y1325" t="str">
            <v>X</v>
          </cell>
          <cell r="Z1325" t="str">
            <v>X</v>
          </cell>
          <cell r="AA1325">
            <v>8</v>
          </cell>
          <cell r="AB1325">
            <v>8</v>
          </cell>
          <cell r="AC1325">
            <v>8</v>
          </cell>
          <cell r="AD1325">
            <v>8</v>
          </cell>
          <cell r="AE1325">
            <v>8</v>
          </cell>
          <cell r="AF1325" t="str">
            <v>CN</v>
          </cell>
          <cell r="AG1325">
            <v>8</v>
          </cell>
          <cell r="AH1325">
            <v>8</v>
          </cell>
          <cell r="AI1325">
            <v>8</v>
          </cell>
          <cell r="AJ1325">
            <v>8</v>
          </cell>
          <cell r="AN1325">
            <v>0</v>
          </cell>
          <cell r="AO1325">
            <v>72</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72</v>
          </cell>
          <cell r="BH1325">
            <v>0</v>
          </cell>
          <cell r="BI1325">
            <v>0</v>
          </cell>
          <cell r="BJ1325">
            <v>1</v>
          </cell>
          <cell r="BL1325">
            <v>0</v>
          </cell>
          <cell r="BM1325">
            <v>0</v>
          </cell>
          <cell r="BN1325">
            <v>0</v>
          </cell>
          <cell r="BO1325">
            <v>0</v>
          </cell>
          <cell r="BP1325">
            <v>0</v>
          </cell>
          <cell r="BQ1325">
            <v>0</v>
          </cell>
          <cell r="BR1325">
            <v>0</v>
          </cell>
          <cell r="BS1325">
            <v>0</v>
          </cell>
          <cell r="BT1325">
            <v>0</v>
          </cell>
          <cell r="BU1325">
            <v>0</v>
          </cell>
          <cell r="BV1325">
            <v>0</v>
          </cell>
          <cell r="BW1325">
            <v>0</v>
          </cell>
          <cell r="BX1325">
            <v>0</v>
          </cell>
          <cell r="BY1325">
            <v>0</v>
          </cell>
          <cell r="BZ1325">
            <v>0</v>
          </cell>
          <cell r="CA1325">
            <v>0</v>
          </cell>
          <cell r="CB1325">
            <v>0</v>
          </cell>
          <cell r="CC1325">
            <v>0</v>
          </cell>
          <cell r="CD1325">
            <v>0</v>
          </cell>
          <cell r="CE1325">
            <v>0.75</v>
          </cell>
          <cell r="CF1325">
            <v>0</v>
          </cell>
          <cell r="CG1325">
            <v>0</v>
          </cell>
          <cell r="CH1325">
            <v>0</v>
          </cell>
          <cell r="CI1325">
            <v>0</v>
          </cell>
          <cell r="CJ1325">
            <v>4</v>
          </cell>
          <cell r="CK1325">
            <v>3</v>
          </cell>
          <cell r="CL1325">
            <v>0</v>
          </cell>
          <cell r="CM1325">
            <v>3</v>
          </cell>
          <cell r="CR1325">
            <v>0</v>
          </cell>
          <cell r="CS1325">
            <v>0</v>
          </cell>
          <cell r="CT1325">
            <v>10.75</v>
          </cell>
          <cell r="CU1325">
            <v>0</v>
          </cell>
          <cell r="CV1325">
            <v>0</v>
          </cell>
          <cell r="CZ1325">
            <v>10.75</v>
          </cell>
        </row>
        <row r="1326">
          <cell r="C1326" t="str">
            <v>05048</v>
          </cell>
          <cell r="D1326" t="str">
            <v>Lê Nguyễn Hoàng Phúc</v>
          </cell>
          <cell r="E1326" t="str">
            <v>Warehouse</v>
          </cell>
          <cell r="F1326" t="str">
            <v>Warehouse</v>
          </cell>
          <cell r="G1326" t="str">
            <v>Staff</v>
          </cell>
          <cell r="H1326">
            <v>46099</v>
          </cell>
          <cell r="I1326" t="str">
            <v>X</v>
          </cell>
          <cell r="J1326" t="str">
            <v>X</v>
          </cell>
          <cell r="K1326" t="str">
            <v>X</v>
          </cell>
          <cell r="L1326" t="str">
            <v>X</v>
          </cell>
          <cell r="M1326" t="str">
            <v>X</v>
          </cell>
          <cell r="N1326" t="str">
            <v>X</v>
          </cell>
          <cell r="O1326" t="str">
            <v>X</v>
          </cell>
          <cell r="P1326" t="str">
            <v>X</v>
          </cell>
          <cell r="Q1326" t="str">
            <v>X</v>
          </cell>
          <cell r="R1326" t="str">
            <v>X</v>
          </cell>
          <cell r="S1326" t="str">
            <v>X</v>
          </cell>
          <cell r="T1326" t="str">
            <v>X</v>
          </cell>
          <cell r="U1326" t="str">
            <v>X</v>
          </cell>
          <cell r="V1326" t="str">
            <v>X</v>
          </cell>
          <cell r="W1326" t="str">
            <v>X</v>
          </cell>
          <cell r="X1326" t="str">
            <v>X</v>
          </cell>
          <cell r="Y1326" t="str">
            <v>X</v>
          </cell>
          <cell r="Z1326" t="str">
            <v>X</v>
          </cell>
          <cell r="AA1326" t="str">
            <v>X</v>
          </cell>
          <cell r="AB1326" t="str">
            <v>X</v>
          </cell>
          <cell r="AC1326">
            <v>8</v>
          </cell>
          <cell r="AD1326">
            <v>8</v>
          </cell>
          <cell r="AE1326">
            <v>8</v>
          </cell>
          <cell r="AF1326" t="str">
            <v>PO</v>
          </cell>
          <cell r="AG1326" t="str">
            <v>CN</v>
          </cell>
          <cell r="AH1326">
            <v>8</v>
          </cell>
          <cell r="AI1326">
            <v>8</v>
          </cell>
          <cell r="AJ1326">
            <v>8</v>
          </cell>
          <cell r="AN1326">
            <v>0</v>
          </cell>
          <cell r="AO1326">
            <v>48</v>
          </cell>
          <cell r="AP1326">
            <v>0</v>
          </cell>
          <cell r="AQ1326">
            <v>0</v>
          </cell>
          <cell r="AR1326">
            <v>0</v>
          </cell>
          <cell r="AS1326">
            <v>0</v>
          </cell>
          <cell r="AT1326">
            <v>0</v>
          </cell>
          <cell r="AU1326">
            <v>0</v>
          </cell>
          <cell r="AV1326">
            <v>8</v>
          </cell>
          <cell r="AW1326">
            <v>0</v>
          </cell>
          <cell r="AX1326">
            <v>0</v>
          </cell>
          <cell r="AY1326">
            <v>0</v>
          </cell>
          <cell r="AZ1326">
            <v>0</v>
          </cell>
          <cell r="BA1326">
            <v>0</v>
          </cell>
          <cell r="BB1326">
            <v>0</v>
          </cell>
          <cell r="BC1326">
            <v>0</v>
          </cell>
          <cell r="BD1326">
            <v>0</v>
          </cell>
          <cell r="BE1326">
            <v>0</v>
          </cell>
          <cell r="BF1326">
            <v>0</v>
          </cell>
          <cell r="BG1326">
            <v>56</v>
          </cell>
          <cell r="BH1326">
            <v>0</v>
          </cell>
          <cell r="BI1326">
            <v>0</v>
          </cell>
          <cell r="BJ1326">
            <v>0</v>
          </cell>
          <cell r="BL1326">
            <v>0</v>
          </cell>
          <cell r="BM1326">
            <v>0</v>
          </cell>
          <cell r="BN1326">
            <v>0</v>
          </cell>
          <cell r="BO1326">
            <v>0</v>
          </cell>
          <cell r="BP1326">
            <v>0</v>
          </cell>
          <cell r="BQ1326">
            <v>0</v>
          </cell>
          <cell r="BR1326">
            <v>0</v>
          </cell>
          <cell r="BS1326">
            <v>0</v>
          </cell>
          <cell r="BT1326">
            <v>0</v>
          </cell>
          <cell r="BU1326">
            <v>0</v>
          </cell>
          <cell r="BV1326">
            <v>0</v>
          </cell>
          <cell r="BW1326">
            <v>0</v>
          </cell>
          <cell r="BX1326">
            <v>0</v>
          </cell>
          <cell r="BY1326">
            <v>0</v>
          </cell>
          <cell r="BZ1326">
            <v>0</v>
          </cell>
          <cell r="CA1326">
            <v>0</v>
          </cell>
          <cell r="CB1326">
            <v>0</v>
          </cell>
          <cell r="CC1326">
            <v>0</v>
          </cell>
          <cell r="CD1326">
            <v>0</v>
          </cell>
          <cell r="CE1326">
            <v>0</v>
          </cell>
          <cell r="CF1326">
            <v>0</v>
          </cell>
          <cell r="CG1326">
            <v>0</v>
          </cell>
          <cell r="CH1326">
            <v>0</v>
          </cell>
          <cell r="CI1326">
            <v>0</v>
          </cell>
          <cell r="CJ1326">
            <v>0</v>
          </cell>
          <cell r="CK1326">
            <v>0</v>
          </cell>
          <cell r="CL1326">
            <v>0</v>
          </cell>
          <cell r="CM1326">
            <v>0</v>
          </cell>
          <cell r="CR1326">
            <v>0</v>
          </cell>
          <cell r="CS1326">
            <v>0</v>
          </cell>
          <cell r="CT1326">
            <v>0</v>
          </cell>
          <cell r="CU1326">
            <v>0</v>
          </cell>
          <cell r="CV1326">
            <v>0</v>
          </cell>
          <cell r="CZ1326">
            <v>0</v>
          </cell>
        </row>
        <row r="1327">
          <cell r="C1327" t="str">
            <v>05049</v>
          </cell>
          <cell r="D1327" t="str">
            <v>Hoàng Trọng Thức</v>
          </cell>
          <cell r="E1327" t="str">
            <v>QC</v>
          </cell>
          <cell r="F1327" t="str">
            <v>QC</v>
          </cell>
          <cell r="G1327" t="str">
            <v>Worker</v>
          </cell>
          <cell r="H1327">
            <v>46100</v>
          </cell>
          <cell r="I1327" t="str">
            <v>X</v>
          </cell>
          <cell r="J1327" t="str">
            <v>X</v>
          </cell>
          <cell r="K1327" t="str">
            <v>X</v>
          </cell>
          <cell r="L1327" t="str">
            <v>X</v>
          </cell>
          <cell r="M1327" t="str">
            <v>X</v>
          </cell>
          <cell r="N1327" t="str">
            <v>X</v>
          </cell>
          <cell r="O1327" t="str">
            <v>X</v>
          </cell>
          <cell r="P1327" t="str">
            <v>X</v>
          </cell>
          <cell r="Q1327" t="str">
            <v>X</v>
          </cell>
          <cell r="R1327" t="str">
            <v>X</v>
          </cell>
          <cell r="S1327" t="str">
            <v>X</v>
          </cell>
          <cell r="T1327" t="str">
            <v>X</v>
          </cell>
          <cell r="U1327" t="str">
            <v>X</v>
          </cell>
          <cell r="V1327" t="str">
            <v>X</v>
          </cell>
          <cell r="W1327" t="str">
            <v>X</v>
          </cell>
          <cell r="X1327" t="str">
            <v>X</v>
          </cell>
          <cell r="Y1327" t="str">
            <v>X</v>
          </cell>
          <cell r="Z1327" t="str">
            <v>X</v>
          </cell>
          <cell r="AA1327" t="str">
            <v>X</v>
          </cell>
          <cell r="AB1327" t="str">
            <v>X</v>
          </cell>
          <cell r="AC1327" t="str">
            <v>X</v>
          </cell>
          <cell r="AD1327">
            <v>8</v>
          </cell>
          <cell r="AE1327">
            <v>8</v>
          </cell>
          <cell r="AF1327">
            <v>8</v>
          </cell>
          <cell r="AG1327" t="str">
            <v>CN</v>
          </cell>
          <cell r="AH1327">
            <v>8</v>
          </cell>
          <cell r="AI1327">
            <v>8</v>
          </cell>
          <cell r="AJ1327">
            <v>8</v>
          </cell>
          <cell r="AN1327">
            <v>0</v>
          </cell>
          <cell r="AO1327">
            <v>48</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48</v>
          </cell>
          <cell r="BH1327">
            <v>0</v>
          </cell>
          <cell r="BI1327">
            <v>0</v>
          </cell>
          <cell r="BJ1327">
            <v>0</v>
          </cell>
          <cell r="BL1327">
            <v>0</v>
          </cell>
          <cell r="BM1327">
            <v>0</v>
          </cell>
          <cell r="BN1327">
            <v>0</v>
          </cell>
          <cell r="BO1327">
            <v>0</v>
          </cell>
          <cell r="BP1327">
            <v>0</v>
          </cell>
          <cell r="BQ1327">
            <v>0</v>
          </cell>
          <cell r="BR1327">
            <v>0</v>
          </cell>
          <cell r="BS1327">
            <v>0</v>
          </cell>
          <cell r="BT1327">
            <v>0</v>
          </cell>
          <cell r="BU1327">
            <v>0</v>
          </cell>
          <cell r="BV1327">
            <v>0</v>
          </cell>
          <cell r="BW1327">
            <v>0</v>
          </cell>
          <cell r="BX1327">
            <v>0</v>
          </cell>
          <cell r="BY1327">
            <v>0</v>
          </cell>
          <cell r="BZ1327">
            <v>0</v>
          </cell>
          <cell r="CA1327">
            <v>0</v>
          </cell>
          <cell r="CB1327">
            <v>0</v>
          </cell>
          <cell r="CC1327">
            <v>0</v>
          </cell>
          <cell r="CD1327">
            <v>0</v>
          </cell>
          <cell r="CE1327">
            <v>0</v>
          </cell>
          <cell r="CF1327">
            <v>0</v>
          </cell>
          <cell r="CG1327">
            <v>0</v>
          </cell>
          <cell r="CH1327">
            <v>0</v>
          </cell>
          <cell r="CI1327">
            <v>2</v>
          </cell>
          <cell r="CJ1327">
            <v>0</v>
          </cell>
          <cell r="CK1327">
            <v>3</v>
          </cell>
          <cell r="CL1327">
            <v>2</v>
          </cell>
          <cell r="CM1327">
            <v>2</v>
          </cell>
          <cell r="CR1327">
            <v>0</v>
          </cell>
          <cell r="CS1327">
            <v>0</v>
          </cell>
          <cell r="CT1327">
            <v>9</v>
          </cell>
          <cell r="CU1327">
            <v>0</v>
          </cell>
          <cell r="CV1327">
            <v>0</v>
          </cell>
          <cell r="CZ1327">
            <v>9</v>
          </cell>
        </row>
        <row r="1328">
          <cell r="C1328" t="str">
            <v>05050</v>
          </cell>
          <cell r="D1328" t="str">
            <v>Mai Thị Bảo Trân</v>
          </cell>
          <cell r="E1328" t="str">
            <v>Production</v>
          </cell>
          <cell r="F1328" t="str">
            <v>Molding</v>
          </cell>
          <cell r="G1328" t="str">
            <v>Worker</v>
          </cell>
          <cell r="H1328">
            <v>46100</v>
          </cell>
          <cell r="I1328" t="str">
            <v>X</v>
          </cell>
          <cell r="J1328" t="str">
            <v>X</v>
          </cell>
          <cell r="K1328" t="str">
            <v>X</v>
          </cell>
          <cell r="L1328" t="str">
            <v>X</v>
          </cell>
          <cell r="M1328" t="str">
            <v>X</v>
          </cell>
          <cell r="N1328" t="str">
            <v>X</v>
          </cell>
          <cell r="O1328" t="str">
            <v>X</v>
          </cell>
          <cell r="P1328" t="str">
            <v>X</v>
          </cell>
          <cell r="Q1328" t="str">
            <v>X</v>
          </cell>
          <cell r="R1328" t="str">
            <v>X</v>
          </cell>
          <cell r="S1328" t="str">
            <v>X</v>
          </cell>
          <cell r="T1328" t="str">
            <v>X</v>
          </cell>
          <cell r="U1328" t="str">
            <v>X</v>
          </cell>
          <cell r="V1328" t="str">
            <v>X</v>
          </cell>
          <cell r="W1328" t="str">
            <v>X</v>
          </cell>
          <cell r="X1328" t="str">
            <v>X</v>
          </cell>
          <cell r="Y1328" t="str">
            <v>X</v>
          </cell>
          <cell r="Z1328" t="str">
            <v>X</v>
          </cell>
          <cell r="AA1328" t="str">
            <v>X</v>
          </cell>
          <cell r="AB1328" t="str">
            <v>X</v>
          </cell>
          <cell r="AC1328" t="str">
            <v>X</v>
          </cell>
          <cell r="AD1328">
            <v>8</v>
          </cell>
          <cell r="AE1328">
            <v>8</v>
          </cell>
          <cell r="AF1328">
            <v>8</v>
          </cell>
          <cell r="AG1328" t="str">
            <v>CN</v>
          </cell>
          <cell r="AH1328" t="str">
            <v>Đ</v>
          </cell>
          <cell r="AI1328" t="str">
            <v>Đ</v>
          </cell>
          <cell r="AJ1328" t="str">
            <v>UP8</v>
          </cell>
          <cell r="AN1328">
            <v>16</v>
          </cell>
          <cell r="AO1328">
            <v>24</v>
          </cell>
          <cell r="AP1328">
            <v>0</v>
          </cell>
          <cell r="AQ1328">
            <v>0</v>
          </cell>
          <cell r="AR1328">
            <v>0</v>
          </cell>
          <cell r="AS1328">
            <v>8</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40</v>
          </cell>
          <cell r="BH1328">
            <v>0</v>
          </cell>
          <cell r="BI1328">
            <v>0</v>
          </cell>
          <cell r="BJ1328">
            <v>0</v>
          </cell>
          <cell r="BL1328">
            <v>0</v>
          </cell>
          <cell r="BM1328">
            <v>0</v>
          </cell>
          <cell r="BN1328">
            <v>0</v>
          </cell>
          <cell r="BO1328">
            <v>0</v>
          </cell>
          <cell r="BP1328">
            <v>0</v>
          </cell>
          <cell r="BQ1328">
            <v>0</v>
          </cell>
          <cell r="BR1328">
            <v>0</v>
          </cell>
          <cell r="BS1328">
            <v>0</v>
          </cell>
          <cell r="BT1328">
            <v>0</v>
          </cell>
          <cell r="BU1328">
            <v>0</v>
          </cell>
          <cell r="BV1328">
            <v>0</v>
          </cell>
          <cell r="BW1328">
            <v>0</v>
          </cell>
          <cell r="BX1328">
            <v>0</v>
          </cell>
          <cell r="BY1328">
            <v>0</v>
          </cell>
          <cell r="BZ1328">
            <v>0</v>
          </cell>
          <cell r="CA1328">
            <v>0</v>
          </cell>
          <cell r="CB1328">
            <v>0</v>
          </cell>
          <cell r="CC1328">
            <v>0</v>
          </cell>
          <cell r="CD1328">
            <v>0</v>
          </cell>
          <cell r="CE1328">
            <v>0</v>
          </cell>
          <cell r="CF1328">
            <v>0</v>
          </cell>
          <cell r="CG1328">
            <v>0</v>
          </cell>
          <cell r="CH1328">
            <v>0</v>
          </cell>
          <cell r="CI1328">
            <v>0</v>
          </cell>
          <cell r="CJ1328">
            <v>0</v>
          </cell>
          <cell r="CK1328">
            <v>0</v>
          </cell>
          <cell r="CL1328">
            <v>0</v>
          </cell>
          <cell r="CM1328">
            <v>0</v>
          </cell>
          <cell r="CR1328">
            <v>0</v>
          </cell>
          <cell r="CS1328">
            <v>0</v>
          </cell>
          <cell r="CT1328">
            <v>0</v>
          </cell>
          <cell r="CU1328">
            <v>0</v>
          </cell>
          <cell r="CV1328">
            <v>0</v>
          </cell>
          <cell r="CZ1328">
            <v>0</v>
          </cell>
        </row>
        <row r="1329">
          <cell r="C1329" t="str">
            <v>05051</v>
          </cell>
          <cell r="D1329" t="str">
            <v>Mai Hùng</v>
          </cell>
          <cell r="E1329" t="str">
            <v>Production</v>
          </cell>
          <cell r="F1329" t="str">
            <v>Molding</v>
          </cell>
          <cell r="G1329" t="str">
            <v>Worker</v>
          </cell>
          <cell r="H1329">
            <v>46100</v>
          </cell>
          <cell r="I1329" t="str">
            <v>X</v>
          </cell>
          <cell r="J1329" t="str">
            <v>X</v>
          </cell>
          <cell r="K1329" t="str">
            <v>X</v>
          </cell>
          <cell r="L1329" t="str">
            <v>X</v>
          </cell>
          <cell r="M1329" t="str">
            <v>X</v>
          </cell>
          <cell r="N1329" t="str">
            <v>X</v>
          </cell>
          <cell r="O1329" t="str">
            <v>X</v>
          </cell>
          <cell r="P1329" t="str">
            <v>X</v>
          </cell>
          <cell r="Q1329" t="str">
            <v>X</v>
          </cell>
          <cell r="R1329" t="str">
            <v>X</v>
          </cell>
          <cell r="S1329" t="str">
            <v>X</v>
          </cell>
          <cell r="T1329" t="str">
            <v>X</v>
          </cell>
          <cell r="U1329" t="str">
            <v>X</v>
          </cell>
          <cell r="V1329" t="str">
            <v>X</v>
          </cell>
          <cell r="W1329" t="str">
            <v>X</v>
          </cell>
          <cell r="X1329" t="str">
            <v>X</v>
          </cell>
          <cell r="Y1329" t="str">
            <v>X</v>
          </cell>
          <cell r="Z1329" t="str">
            <v>X</v>
          </cell>
          <cell r="AA1329" t="str">
            <v>X</v>
          </cell>
          <cell r="AB1329" t="str">
            <v>X</v>
          </cell>
          <cell r="AC1329" t="str">
            <v>X</v>
          </cell>
          <cell r="AD1329">
            <v>8</v>
          </cell>
          <cell r="AE1329">
            <v>8</v>
          </cell>
          <cell r="AF1329">
            <v>8</v>
          </cell>
          <cell r="AG1329" t="str">
            <v>CN</v>
          </cell>
          <cell r="AH1329">
            <v>8</v>
          </cell>
          <cell r="AI1329">
            <v>8</v>
          </cell>
          <cell r="AJ1329">
            <v>8</v>
          </cell>
          <cell r="AN1329">
            <v>0</v>
          </cell>
          <cell r="AO1329">
            <v>48</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48</v>
          </cell>
          <cell r="BH1329">
            <v>0</v>
          </cell>
          <cell r="BI1329">
            <v>0</v>
          </cell>
          <cell r="BJ1329">
            <v>0</v>
          </cell>
          <cell r="BL1329">
            <v>0</v>
          </cell>
          <cell r="BM1329">
            <v>0</v>
          </cell>
          <cell r="BN1329">
            <v>0</v>
          </cell>
          <cell r="BO1329">
            <v>0</v>
          </cell>
          <cell r="BP1329">
            <v>0</v>
          </cell>
          <cell r="BQ1329">
            <v>0</v>
          </cell>
          <cell r="BR1329">
            <v>0</v>
          </cell>
          <cell r="BS1329">
            <v>0</v>
          </cell>
          <cell r="BT1329">
            <v>0</v>
          </cell>
          <cell r="BU1329">
            <v>0</v>
          </cell>
          <cell r="BV1329">
            <v>0</v>
          </cell>
          <cell r="BW1329">
            <v>0</v>
          </cell>
          <cell r="BX1329">
            <v>0</v>
          </cell>
          <cell r="BY1329">
            <v>0</v>
          </cell>
          <cell r="BZ1329">
            <v>0</v>
          </cell>
          <cell r="CA1329">
            <v>0</v>
          </cell>
          <cell r="CB1329">
            <v>0</v>
          </cell>
          <cell r="CC1329">
            <v>0</v>
          </cell>
          <cell r="CD1329">
            <v>0</v>
          </cell>
          <cell r="CE1329">
            <v>0</v>
          </cell>
          <cell r="CF1329">
            <v>0</v>
          </cell>
          <cell r="CG1329">
            <v>0</v>
          </cell>
          <cell r="CH1329">
            <v>0</v>
          </cell>
          <cell r="CI1329">
            <v>0</v>
          </cell>
          <cell r="CJ1329">
            <v>0</v>
          </cell>
          <cell r="CK1329">
            <v>0</v>
          </cell>
          <cell r="CL1329">
            <v>0</v>
          </cell>
          <cell r="CM1329">
            <v>0</v>
          </cell>
          <cell r="CR1329">
            <v>0</v>
          </cell>
          <cell r="CS1329">
            <v>0</v>
          </cell>
          <cell r="CT1329">
            <v>0</v>
          </cell>
          <cell r="CU1329">
            <v>0</v>
          </cell>
          <cell r="CV1329">
            <v>0</v>
          </cell>
          <cell r="CZ1329">
            <v>0</v>
          </cell>
        </row>
        <row r="1330">
          <cell r="C1330" t="str">
            <v>05052</v>
          </cell>
          <cell r="D1330" t="str">
            <v>Lương Thị Đa</v>
          </cell>
          <cell r="E1330" t="str">
            <v>Production</v>
          </cell>
          <cell r="F1330" t="str">
            <v>Molding</v>
          </cell>
          <cell r="G1330" t="str">
            <v>Worker</v>
          </cell>
          <cell r="H1330">
            <v>46100</v>
          </cell>
          <cell r="I1330" t="str">
            <v>X</v>
          </cell>
          <cell r="J1330" t="str">
            <v>X</v>
          </cell>
          <cell r="K1330" t="str">
            <v>X</v>
          </cell>
          <cell r="L1330" t="str">
            <v>X</v>
          </cell>
          <cell r="M1330" t="str">
            <v>X</v>
          </cell>
          <cell r="N1330" t="str">
            <v>X</v>
          </cell>
          <cell r="O1330" t="str">
            <v>X</v>
          </cell>
          <cell r="P1330" t="str">
            <v>X</v>
          </cell>
          <cell r="Q1330" t="str">
            <v>X</v>
          </cell>
          <cell r="R1330" t="str">
            <v>X</v>
          </cell>
          <cell r="S1330" t="str">
            <v>X</v>
          </cell>
          <cell r="T1330" t="str">
            <v>X</v>
          </cell>
          <cell r="U1330" t="str">
            <v>X</v>
          </cell>
          <cell r="V1330" t="str">
            <v>X</v>
          </cell>
          <cell r="W1330" t="str">
            <v>X</v>
          </cell>
          <cell r="X1330" t="str">
            <v>X</v>
          </cell>
          <cell r="Y1330" t="str">
            <v>X</v>
          </cell>
          <cell r="Z1330" t="str">
            <v>X</v>
          </cell>
          <cell r="AA1330" t="str">
            <v>X</v>
          </cell>
          <cell r="AB1330" t="str">
            <v>X</v>
          </cell>
          <cell r="AC1330" t="str">
            <v>X</v>
          </cell>
          <cell r="AD1330">
            <v>8</v>
          </cell>
          <cell r="AE1330">
            <v>8</v>
          </cell>
          <cell r="AF1330">
            <v>8</v>
          </cell>
          <cell r="AG1330" t="str">
            <v>CN</v>
          </cell>
          <cell r="AH1330">
            <v>8</v>
          </cell>
          <cell r="AI1330">
            <v>8</v>
          </cell>
          <cell r="AJ1330" t="str">
            <v>NP</v>
          </cell>
          <cell r="AN1330">
            <v>0</v>
          </cell>
          <cell r="AO1330">
            <v>40</v>
          </cell>
          <cell r="AP1330">
            <v>0</v>
          </cell>
          <cell r="AQ1330">
            <v>0</v>
          </cell>
          <cell r="AR1330">
            <v>0</v>
          </cell>
          <cell r="AS1330">
            <v>0</v>
          </cell>
          <cell r="AT1330">
            <v>1</v>
          </cell>
          <cell r="AU1330">
            <v>0</v>
          </cell>
          <cell r="AV1330">
            <v>0</v>
          </cell>
          <cell r="AW1330">
            <v>0</v>
          </cell>
          <cell r="AX1330">
            <v>0</v>
          </cell>
          <cell r="AY1330">
            <v>0</v>
          </cell>
          <cell r="AZ1330">
            <v>0</v>
          </cell>
          <cell r="BA1330">
            <v>0</v>
          </cell>
          <cell r="BB1330">
            <v>0</v>
          </cell>
          <cell r="BC1330">
            <v>0</v>
          </cell>
          <cell r="BD1330">
            <v>0</v>
          </cell>
          <cell r="BE1330">
            <v>0</v>
          </cell>
          <cell r="BF1330">
            <v>0</v>
          </cell>
          <cell r="BG1330">
            <v>40</v>
          </cell>
          <cell r="BH1330">
            <v>0</v>
          </cell>
          <cell r="BI1330">
            <v>0</v>
          </cell>
          <cell r="BJ1330">
            <v>0</v>
          </cell>
          <cell r="BL1330">
            <v>0</v>
          </cell>
          <cell r="BM1330">
            <v>0</v>
          </cell>
          <cell r="BN1330">
            <v>0</v>
          </cell>
          <cell r="BO1330">
            <v>0</v>
          </cell>
          <cell r="BP1330">
            <v>0</v>
          </cell>
          <cell r="BQ1330">
            <v>0</v>
          </cell>
          <cell r="BR1330">
            <v>0</v>
          </cell>
          <cell r="BS1330">
            <v>0</v>
          </cell>
          <cell r="BT1330">
            <v>0</v>
          </cell>
          <cell r="BU1330">
            <v>0</v>
          </cell>
          <cell r="BV1330">
            <v>0</v>
          </cell>
          <cell r="BW1330">
            <v>0</v>
          </cell>
          <cell r="BX1330">
            <v>0</v>
          </cell>
          <cell r="BY1330">
            <v>0</v>
          </cell>
          <cell r="BZ1330">
            <v>0</v>
          </cell>
          <cell r="CA1330">
            <v>0</v>
          </cell>
          <cell r="CB1330">
            <v>0</v>
          </cell>
          <cell r="CC1330">
            <v>0</v>
          </cell>
          <cell r="CD1330">
            <v>0</v>
          </cell>
          <cell r="CE1330">
            <v>0</v>
          </cell>
          <cell r="CF1330">
            <v>0</v>
          </cell>
          <cell r="CG1330">
            <v>0</v>
          </cell>
          <cell r="CH1330">
            <v>0</v>
          </cell>
          <cell r="CI1330">
            <v>0</v>
          </cell>
          <cell r="CJ1330">
            <v>0</v>
          </cell>
          <cell r="CK1330">
            <v>0</v>
          </cell>
          <cell r="CL1330">
            <v>0</v>
          </cell>
          <cell r="CM1330">
            <v>0</v>
          </cell>
          <cell r="CR1330">
            <v>0</v>
          </cell>
          <cell r="CS1330">
            <v>0</v>
          </cell>
          <cell r="CT1330">
            <v>0</v>
          </cell>
          <cell r="CU1330">
            <v>0</v>
          </cell>
          <cell r="CV1330">
            <v>0</v>
          </cell>
          <cell r="CZ1330">
            <v>0</v>
          </cell>
        </row>
        <row r="1331">
          <cell r="C1331" t="str">
            <v>05053</v>
          </cell>
          <cell r="D1331" t="str">
            <v>Đặng Thị Bích Ngọc</v>
          </cell>
          <cell r="E1331" t="str">
            <v>Production</v>
          </cell>
          <cell r="F1331" t="str">
            <v>Molding</v>
          </cell>
          <cell r="G1331" t="str">
            <v>Worker</v>
          </cell>
          <cell r="H1331">
            <v>46100</v>
          </cell>
          <cell r="I1331" t="str">
            <v>X</v>
          </cell>
          <cell r="J1331" t="str">
            <v>X</v>
          </cell>
          <cell r="K1331" t="str">
            <v>X</v>
          </cell>
          <cell r="L1331" t="str">
            <v>X</v>
          </cell>
          <cell r="M1331" t="str">
            <v>X</v>
          </cell>
          <cell r="N1331" t="str">
            <v>X</v>
          </cell>
          <cell r="O1331" t="str">
            <v>X</v>
          </cell>
          <cell r="P1331" t="str">
            <v>X</v>
          </cell>
          <cell r="Q1331" t="str">
            <v>X</v>
          </cell>
          <cell r="R1331" t="str">
            <v>X</v>
          </cell>
          <cell r="S1331" t="str">
            <v>X</v>
          </cell>
          <cell r="T1331" t="str">
            <v>X</v>
          </cell>
          <cell r="U1331" t="str">
            <v>X</v>
          </cell>
          <cell r="V1331" t="str">
            <v>X</v>
          </cell>
          <cell r="W1331" t="str">
            <v>X</v>
          </cell>
          <cell r="X1331" t="str">
            <v>X</v>
          </cell>
          <cell r="Y1331" t="str">
            <v>X</v>
          </cell>
          <cell r="Z1331" t="str">
            <v>X</v>
          </cell>
          <cell r="AA1331" t="str">
            <v>X</v>
          </cell>
          <cell r="AB1331" t="str">
            <v>X</v>
          </cell>
          <cell r="AC1331" t="str">
            <v>X</v>
          </cell>
          <cell r="AD1331">
            <v>8</v>
          </cell>
          <cell r="AE1331">
            <v>8</v>
          </cell>
          <cell r="AF1331">
            <v>8</v>
          </cell>
          <cell r="AG1331" t="str">
            <v>CN</v>
          </cell>
          <cell r="AH1331">
            <v>8</v>
          </cell>
          <cell r="AI1331" t="str">
            <v>TV</v>
          </cell>
          <cell r="AJ1331" t="str">
            <v>TV</v>
          </cell>
          <cell r="AN1331">
            <v>0</v>
          </cell>
          <cell r="AO1331">
            <v>32</v>
          </cell>
          <cell r="AP1331">
            <v>0</v>
          </cell>
          <cell r="AQ1331">
            <v>0</v>
          </cell>
          <cell r="AR1331">
            <v>0</v>
          </cell>
          <cell r="AS1331">
            <v>0</v>
          </cell>
          <cell r="AT1331">
            <v>0</v>
          </cell>
          <cell r="AU1331">
            <v>0</v>
          </cell>
          <cell r="AV1331">
            <v>0</v>
          </cell>
          <cell r="AW1331">
            <v>0</v>
          </cell>
          <cell r="AX1331">
            <v>0</v>
          </cell>
          <cell r="AY1331">
            <v>0</v>
          </cell>
          <cell r="AZ1331">
            <v>0</v>
          </cell>
          <cell r="BA1331">
            <v>0</v>
          </cell>
          <cell r="BB1331">
            <v>0</v>
          </cell>
          <cell r="BC1331">
            <v>0</v>
          </cell>
          <cell r="BD1331">
            <v>0</v>
          </cell>
          <cell r="BE1331">
            <v>0</v>
          </cell>
          <cell r="BF1331">
            <v>0</v>
          </cell>
          <cell r="BG1331">
            <v>32</v>
          </cell>
          <cell r="BH1331">
            <v>0</v>
          </cell>
          <cell r="BI1331">
            <v>0</v>
          </cell>
          <cell r="BJ1331">
            <v>0</v>
          </cell>
          <cell r="BL1331">
            <v>0</v>
          </cell>
          <cell r="BM1331">
            <v>0</v>
          </cell>
          <cell r="BN1331">
            <v>0</v>
          </cell>
          <cell r="BO1331">
            <v>0</v>
          </cell>
          <cell r="BP1331">
            <v>0</v>
          </cell>
          <cell r="BQ1331">
            <v>0</v>
          </cell>
          <cell r="BR1331">
            <v>0</v>
          </cell>
          <cell r="BS1331">
            <v>0</v>
          </cell>
          <cell r="BT1331">
            <v>0</v>
          </cell>
          <cell r="BU1331">
            <v>0</v>
          </cell>
          <cell r="BV1331">
            <v>0</v>
          </cell>
          <cell r="BW1331">
            <v>0</v>
          </cell>
          <cell r="BX1331">
            <v>0</v>
          </cell>
          <cell r="BY1331">
            <v>0</v>
          </cell>
          <cell r="BZ1331">
            <v>0</v>
          </cell>
          <cell r="CA1331">
            <v>0</v>
          </cell>
          <cell r="CB1331">
            <v>0</v>
          </cell>
          <cell r="CC1331">
            <v>0</v>
          </cell>
          <cell r="CD1331">
            <v>0</v>
          </cell>
          <cell r="CE1331">
            <v>0</v>
          </cell>
          <cell r="CF1331">
            <v>0</v>
          </cell>
          <cell r="CG1331">
            <v>0</v>
          </cell>
          <cell r="CH1331">
            <v>0</v>
          </cell>
          <cell r="CI1331">
            <v>0</v>
          </cell>
          <cell r="CJ1331">
            <v>0</v>
          </cell>
          <cell r="CK1331">
            <v>0</v>
          </cell>
          <cell r="CL1331">
            <v>0</v>
          </cell>
          <cell r="CM1331">
            <v>0</v>
          </cell>
          <cell r="CR1331">
            <v>0</v>
          </cell>
          <cell r="CS1331">
            <v>0</v>
          </cell>
          <cell r="CT1331">
            <v>0</v>
          </cell>
          <cell r="CU1331">
            <v>0</v>
          </cell>
          <cell r="CV1331">
            <v>0</v>
          </cell>
          <cell r="CZ1331">
            <v>0</v>
          </cell>
        </row>
        <row r="1332">
          <cell r="C1332" t="str">
            <v>05054</v>
          </cell>
          <cell r="D1332" t="str">
            <v>Nguyễn Cao Thăng</v>
          </cell>
          <cell r="E1332" t="str">
            <v>Production</v>
          </cell>
          <cell r="F1332" t="str">
            <v>Lamination</v>
          </cell>
          <cell r="G1332" t="str">
            <v>Worker</v>
          </cell>
          <cell r="H1332">
            <v>46100</v>
          </cell>
          <cell r="I1332" t="str">
            <v>X</v>
          </cell>
          <cell r="J1332" t="str">
            <v>X</v>
          </cell>
          <cell r="K1332" t="str">
            <v>X</v>
          </cell>
          <cell r="L1332" t="str">
            <v>X</v>
          </cell>
          <cell r="M1332" t="str">
            <v>X</v>
          </cell>
          <cell r="N1332" t="str">
            <v>X</v>
          </cell>
          <cell r="O1332" t="str">
            <v>X</v>
          </cell>
          <cell r="P1332" t="str">
            <v>X</v>
          </cell>
          <cell r="Q1332" t="str">
            <v>X</v>
          </cell>
          <cell r="R1332" t="str">
            <v>X</v>
          </cell>
          <cell r="S1332" t="str">
            <v>X</v>
          </cell>
          <cell r="T1332" t="str">
            <v>X</v>
          </cell>
          <cell r="U1332" t="str">
            <v>X</v>
          </cell>
          <cell r="V1332" t="str">
            <v>X</v>
          </cell>
          <cell r="W1332" t="str">
            <v>X</v>
          </cell>
          <cell r="X1332" t="str">
            <v>X</v>
          </cell>
          <cell r="Y1332" t="str">
            <v>X</v>
          </cell>
          <cell r="Z1332" t="str">
            <v>X</v>
          </cell>
          <cell r="AA1332" t="str">
            <v>X</v>
          </cell>
          <cell r="AB1332" t="str">
            <v>X</v>
          </cell>
          <cell r="AC1332" t="str">
            <v>X</v>
          </cell>
          <cell r="AD1332">
            <v>8</v>
          </cell>
          <cell r="AE1332">
            <v>8</v>
          </cell>
          <cell r="AF1332">
            <v>8</v>
          </cell>
          <cell r="AG1332" t="str">
            <v>CN</v>
          </cell>
          <cell r="AH1332" t="str">
            <v>Đ</v>
          </cell>
          <cell r="AI1332" t="str">
            <v>Đ</v>
          </cell>
          <cell r="AJ1332" t="str">
            <v>Đ</v>
          </cell>
          <cell r="AN1332">
            <v>24</v>
          </cell>
          <cell r="AO1332">
            <v>24</v>
          </cell>
          <cell r="AP1332">
            <v>0</v>
          </cell>
          <cell r="AQ1332">
            <v>0</v>
          </cell>
          <cell r="AR1332">
            <v>0</v>
          </cell>
          <cell r="AS1332">
            <v>0</v>
          </cell>
          <cell r="AT1332">
            <v>0</v>
          </cell>
          <cell r="AU1332">
            <v>0</v>
          </cell>
          <cell r="AV1332">
            <v>0</v>
          </cell>
          <cell r="AW1332">
            <v>0</v>
          </cell>
          <cell r="AX1332">
            <v>0</v>
          </cell>
          <cell r="AY1332">
            <v>0</v>
          </cell>
          <cell r="AZ1332">
            <v>0</v>
          </cell>
          <cell r="BA1332">
            <v>0</v>
          </cell>
          <cell r="BB1332">
            <v>0</v>
          </cell>
          <cell r="BC1332">
            <v>0</v>
          </cell>
          <cell r="BD1332">
            <v>0</v>
          </cell>
          <cell r="BE1332">
            <v>0</v>
          </cell>
          <cell r="BF1332">
            <v>0</v>
          </cell>
          <cell r="BG1332">
            <v>48</v>
          </cell>
          <cell r="BH1332">
            <v>0</v>
          </cell>
          <cell r="BI1332">
            <v>0</v>
          </cell>
          <cell r="BJ1332">
            <v>0</v>
          </cell>
          <cell r="BL1332">
            <v>0</v>
          </cell>
          <cell r="BM1332">
            <v>0</v>
          </cell>
          <cell r="BN1332">
            <v>0</v>
          </cell>
          <cell r="BO1332">
            <v>0</v>
          </cell>
          <cell r="BP1332">
            <v>0</v>
          </cell>
          <cell r="BQ1332">
            <v>0</v>
          </cell>
          <cell r="BR1332">
            <v>0</v>
          </cell>
          <cell r="BS1332">
            <v>0</v>
          </cell>
          <cell r="BT1332">
            <v>0</v>
          </cell>
          <cell r="BU1332">
            <v>0</v>
          </cell>
          <cell r="BV1332">
            <v>0</v>
          </cell>
          <cell r="BW1332">
            <v>0</v>
          </cell>
          <cell r="BX1332">
            <v>0</v>
          </cell>
          <cell r="BY1332">
            <v>0</v>
          </cell>
          <cell r="BZ1332">
            <v>0</v>
          </cell>
          <cell r="CA1332">
            <v>0</v>
          </cell>
          <cell r="CB1332">
            <v>0</v>
          </cell>
          <cell r="CC1332">
            <v>0</v>
          </cell>
          <cell r="CD1332">
            <v>0</v>
          </cell>
          <cell r="CE1332">
            <v>0</v>
          </cell>
          <cell r="CF1332">
            <v>0</v>
          </cell>
          <cell r="CG1332">
            <v>0</v>
          </cell>
          <cell r="CH1332">
            <v>0</v>
          </cell>
          <cell r="CI1332">
            <v>0</v>
          </cell>
          <cell r="CJ1332">
            <v>0</v>
          </cell>
          <cell r="CK1332">
            <v>0</v>
          </cell>
          <cell r="CL1332">
            <v>0</v>
          </cell>
          <cell r="CM1332">
            <v>0</v>
          </cell>
          <cell r="CR1332">
            <v>0</v>
          </cell>
          <cell r="CS1332">
            <v>0</v>
          </cell>
          <cell r="CT1332">
            <v>0</v>
          </cell>
          <cell r="CU1332">
            <v>0</v>
          </cell>
          <cell r="CV1332">
            <v>0</v>
          </cell>
          <cell r="CZ1332">
            <v>0</v>
          </cell>
        </row>
        <row r="1333">
          <cell r="C1333" t="str">
            <v>05055</v>
          </cell>
          <cell r="D1333" t="str">
            <v>Hồ Duy Phương</v>
          </cell>
          <cell r="E1333" t="str">
            <v>Production</v>
          </cell>
          <cell r="F1333" t="str">
            <v>Prefitting</v>
          </cell>
          <cell r="G1333" t="str">
            <v>Worker</v>
          </cell>
          <cell r="H1333">
            <v>46100</v>
          </cell>
          <cell r="I1333" t="str">
            <v>X</v>
          </cell>
          <cell r="J1333" t="str">
            <v>X</v>
          </cell>
          <cell r="K1333" t="str">
            <v>X</v>
          </cell>
          <cell r="L1333" t="str">
            <v>X</v>
          </cell>
          <cell r="M1333" t="str">
            <v>X</v>
          </cell>
          <cell r="N1333" t="str">
            <v>X</v>
          </cell>
          <cell r="O1333" t="str">
            <v>X</v>
          </cell>
          <cell r="P1333" t="str">
            <v>X</v>
          </cell>
          <cell r="Q1333" t="str">
            <v>X</v>
          </cell>
          <cell r="R1333" t="str">
            <v>X</v>
          </cell>
          <cell r="S1333" t="str">
            <v>X</v>
          </cell>
          <cell r="T1333" t="str">
            <v>X</v>
          </cell>
          <cell r="U1333" t="str">
            <v>X</v>
          </cell>
          <cell r="V1333" t="str">
            <v>X</v>
          </cell>
          <cell r="W1333" t="str">
            <v>X</v>
          </cell>
          <cell r="X1333" t="str">
            <v>X</v>
          </cell>
          <cell r="Y1333" t="str">
            <v>X</v>
          </cell>
          <cell r="Z1333" t="str">
            <v>X</v>
          </cell>
          <cell r="AA1333" t="str">
            <v>X</v>
          </cell>
          <cell r="AB1333" t="str">
            <v>X</v>
          </cell>
          <cell r="AC1333" t="str">
            <v>X</v>
          </cell>
          <cell r="AD1333">
            <v>8</v>
          </cell>
          <cell r="AE1333">
            <v>8</v>
          </cell>
          <cell r="AF1333">
            <v>8</v>
          </cell>
          <cell r="AG1333" t="str">
            <v>CN</v>
          </cell>
          <cell r="AH1333">
            <v>8</v>
          </cell>
          <cell r="AI1333">
            <v>8</v>
          </cell>
          <cell r="AJ1333">
            <v>8</v>
          </cell>
          <cell r="AN1333">
            <v>0</v>
          </cell>
          <cell r="AO1333">
            <v>48</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48</v>
          </cell>
          <cell r="BH1333">
            <v>0</v>
          </cell>
          <cell r="BI1333">
            <v>0</v>
          </cell>
          <cell r="BJ1333">
            <v>0</v>
          </cell>
          <cell r="BL1333">
            <v>0</v>
          </cell>
          <cell r="BM1333">
            <v>0</v>
          </cell>
          <cell r="BN1333">
            <v>0</v>
          </cell>
          <cell r="BO1333">
            <v>0</v>
          </cell>
          <cell r="BP1333">
            <v>0</v>
          </cell>
          <cell r="BQ1333">
            <v>0</v>
          </cell>
          <cell r="BR1333">
            <v>0</v>
          </cell>
          <cell r="BS1333">
            <v>0</v>
          </cell>
          <cell r="BT1333">
            <v>0</v>
          </cell>
          <cell r="BU1333">
            <v>0</v>
          </cell>
          <cell r="BV1333">
            <v>0</v>
          </cell>
          <cell r="BW1333">
            <v>0</v>
          </cell>
          <cell r="BX1333">
            <v>0</v>
          </cell>
          <cell r="BY1333">
            <v>0</v>
          </cell>
          <cell r="BZ1333">
            <v>0</v>
          </cell>
          <cell r="CA1333">
            <v>0</v>
          </cell>
          <cell r="CB1333">
            <v>0</v>
          </cell>
          <cell r="CC1333">
            <v>0</v>
          </cell>
          <cell r="CD1333">
            <v>0</v>
          </cell>
          <cell r="CE1333">
            <v>0</v>
          </cell>
          <cell r="CF1333">
            <v>0</v>
          </cell>
          <cell r="CG1333">
            <v>0</v>
          </cell>
          <cell r="CH1333">
            <v>0</v>
          </cell>
          <cell r="CI1333">
            <v>0</v>
          </cell>
          <cell r="CJ1333">
            <v>0</v>
          </cell>
          <cell r="CK1333">
            <v>0</v>
          </cell>
          <cell r="CL1333">
            <v>0</v>
          </cell>
          <cell r="CM1333">
            <v>0</v>
          </cell>
          <cell r="CR1333">
            <v>0</v>
          </cell>
          <cell r="CS1333">
            <v>0</v>
          </cell>
          <cell r="CT1333">
            <v>0</v>
          </cell>
          <cell r="CU1333">
            <v>0</v>
          </cell>
          <cell r="CV1333">
            <v>0</v>
          </cell>
          <cell r="CZ1333">
            <v>0</v>
          </cell>
        </row>
        <row r="1334">
          <cell r="C1334" t="str">
            <v>05056</v>
          </cell>
          <cell r="D1334" t="str">
            <v>Lê Thị Trang</v>
          </cell>
          <cell r="E1334" t="str">
            <v>Production</v>
          </cell>
          <cell r="F1334" t="str">
            <v>Logo</v>
          </cell>
          <cell r="G1334" t="str">
            <v>Worker</v>
          </cell>
          <cell r="H1334">
            <v>46100</v>
          </cell>
          <cell r="I1334" t="str">
            <v>X</v>
          </cell>
          <cell r="J1334" t="str">
            <v>X</v>
          </cell>
          <cell r="K1334" t="str">
            <v>X</v>
          </cell>
          <cell r="L1334" t="str">
            <v>X</v>
          </cell>
          <cell r="M1334" t="str">
            <v>X</v>
          </cell>
          <cell r="N1334" t="str">
            <v>X</v>
          </cell>
          <cell r="O1334" t="str">
            <v>X</v>
          </cell>
          <cell r="P1334" t="str">
            <v>X</v>
          </cell>
          <cell r="Q1334" t="str">
            <v>X</v>
          </cell>
          <cell r="R1334" t="str">
            <v>X</v>
          </cell>
          <cell r="S1334" t="str">
            <v>X</v>
          </cell>
          <cell r="T1334" t="str">
            <v>X</v>
          </cell>
          <cell r="U1334" t="str">
            <v>X</v>
          </cell>
          <cell r="V1334" t="str">
            <v>X</v>
          </cell>
          <cell r="W1334" t="str">
            <v>X</v>
          </cell>
          <cell r="X1334" t="str">
            <v>X</v>
          </cell>
          <cell r="Y1334" t="str">
            <v>X</v>
          </cell>
          <cell r="Z1334" t="str">
            <v>X</v>
          </cell>
          <cell r="AA1334" t="str">
            <v>X</v>
          </cell>
          <cell r="AB1334" t="str">
            <v>X</v>
          </cell>
          <cell r="AC1334" t="str">
            <v>X</v>
          </cell>
          <cell r="AD1334">
            <v>8</v>
          </cell>
          <cell r="AE1334">
            <v>8</v>
          </cell>
          <cell r="AF1334">
            <v>8</v>
          </cell>
          <cell r="AG1334" t="str">
            <v>CN</v>
          </cell>
          <cell r="AH1334" t="str">
            <v>Đ</v>
          </cell>
          <cell r="AI1334" t="str">
            <v>Đ</v>
          </cell>
          <cell r="AJ1334" t="str">
            <v>Đ</v>
          </cell>
          <cell r="AN1334">
            <v>24</v>
          </cell>
          <cell r="AO1334">
            <v>24</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48</v>
          </cell>
          <cell r="BH1334">
            <v>0</v>
          </cell>
          <cell r="BI1334">
            <v>0</v>
          </cell>
          <cell r="BJ1334">
            <v>0</v>
          </cell>
          <cell r="BL1334">
            <v>0</v>
          </cell>
          <cell r="BM1334">
            <v>0</v>
          </cell>
          <cell r="BN1334">
            <v>0</v>
          </cell>
          <cell r="BO1334">
            <v>0</v>
          </cell>
          <cell r="BP1334">
            <v>0</v>
          </cell>
          <cell r="BQ1334">
            <v>0</v>
          </cell>
          <cell r="BR1334">
            <v>0</v>
          </cell>
          <cell r="BS1334">
            <v>0</v>
          </cell>
          <cell r="BT1334">
            <v>0</v>
          </cell>
          <cell r="BU1334">
            <v>0</v>
          </cell>
          <cell r="BV1334">
            <v>0</v>
          </cell>
          <cell r="BW1334">
            <v>0</v>
          </cell>
          <cell r="BX1334">
            <v>0</v>
          </cell>
          <cell r="BY1334">
            <v>0</v>
          </cell>
          <cell r="BZ1334">
            <v>0</v>
          </cell>
          <cell r="CA1334">
            <v>0</v>
          </cell>
          <cell r="CB1334">
            <v>0</v>
          </cell>
          <cell r="CC1334">
            <v>0</v>
          </cell>
          <cell r="CD1334">
            <v>0</v>
          </cell>
          <cell r="CE1334">
            <v>0</v>
          </cell>
          <cell r="CF1334">
            <v>0</v>
          </cell>
          <cell r="CG1334">
            <v>0</v>
          </cell>
          <cell r="CH1334">
            <v>0</v>
          </cell>
          <cell r="CI1334">
            <v>0</v>
          </cell>
          <cell r="CJ1334">
            <v>0</v>
          </cell>
          <cell r="CK1334">
            <v>4</v>
          </cell>
          <cell r="CL1334">
            <v>4</v>
          </cell>
          <cell r="CM1334">
            <v>4</v>
          </cell>
          <cell r="CR1334">
            <v>0</v>
          </cell>
          <cell r="CS1334">
            <v>0</v>
          </cell>
          <cell r="CT1334">
            <v>12</v>
          </cell>
          <cell r="CU1334">
            <v>0</v>
          </cell>
          <cell r="CV1334">
            <v>0</v>
          </cell>
          <cell r="CZ1334">
            <v>12</v>
          </cell>
        </row>
        <row r="1335">
          <cell r="C1335" t="str">
            <v>05057</v>
          </cell>
          <cell r="D1335" t="str">
            <v>Võ Văn Kiệt</v>
          </cell>
          <cell r="E1335" t="str">
            <v>Production</v>
          </cell>
          <cell r="F1335" t="str">
            <v>Die cut</v>
          </cell>
          <cell r="G1335" t="str">
            <v>Worker</v>
          </cell>
          <cell r="H1335">
            <v>46100</v>
          </cell>
          <cell r="I1335" t="str">
            <v>X</v>
          </cell>
          <cell r="J1335" t="str">
            <v>X</v>
          </cell>
          <cell r="K1335" t="str">
            <v>X</v>
          </cell>
          <cell r="L1335" t="str">
            <v>X</v>
          </cell>
          <cell r="M1335" t="str">
            <v>X</v>
          </cell>
          <cell r="N1335" t="str">
            <v>X</v>
          </cell>
          <cell r="O1335" t="str">
            <v>X</v>
          </cell>
          <cell r="P1335" t="str">
            <v>X</v>
          </cell>
          <cell r="Q1335" t="str">
            <v>X</v>
          </cell>
          <cell r="R1335" t="str">
            <v>X</v>
          </cell>
          <cell r="S1335" t="str">
            <v>X</v>
          </cell>
          <cell r="T1335" t="str">
            <v>X</v>
          </cell>
          <cell r="U1335" t="str">
            <v>X</v>
          </cell>
          <cell r="V1335" t="str">
            <v>X</v>
          </cell>
          <cell r="W1335" t="str">
            <v>X</v>
          </cell>
          <cell r="X1335" t="str">
            <v>X</v>
          </cell>
          <cell r="Y1335" t="str">
            <v>X</v>
          </cell>
          <cell r="Z1335" t="str">
            <v>X</v>
          </cell>
          <cell r="AA1335" t="str">
            <v>X</v>
          </cell>
          <cell r="AB1335" t="str">
            <v>X</v>
          </cell>
          <cell r="AC1335" t="str">
            <v>X</v>
          </cell>
          <cell r="AD1335">
            <v>8</v>
          </cell>
          <cell r="AE1335" t="str">
            <v>NP</v>
          </cell>
          <cell r="AF1335" t="str">
            <v>NP</v>
          </cell>
          <cell r="AG1335" t="str">
            <v>CN</v>
          </cell>
          <cell r="AH1335" t="str">
            <v>NP</v>
          </cell>
          <cell r="AI1335" t="str">
            <v>NP</v>
          </cell>
          <cell r="AJ1335" t="str">
            <v>NP</v>
          </cell>
          <cell r="AN1335">
            <v>0</v>
          </cell>
          <cell r="AO1335">
            <v>8</v>
          </cell>
          <cell r="AP1335">
            <v>0</v>
          </cell>
          <cell r="AQ1335">
            <v>0</v>
          </cell>
          <cell r="AR1335">
            <v>0</v>
          </cell>
          <cell r="AS1335">
            <v>0</v>
          </cell>
          <cell r="AT1335">
            <v>5</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8</v>
          </cell>
          <cell r="BH1335">
            <v>0</v>
          </cell>
          <cell r="BI1335">
            <v>0</v>
          </cell>
          <cell r="BJ1335">
            <v>0</v>
          </cell>
          <cell r="BL1335">
            <v>0</v>
          </cell>
          <cell r="BM1335">
            <v>0</v>
          </cell>
          <cell r="BN1335">
            <v>0</v>
          </cell>
          <cell r="BO1335">
            <v>0</v>
          </cell>
          <cell r="BP1335">
            <v>0</v>
          </cell>
          <cell r="BQ1335">
            <v>0</v>
          </cell>
          <cell r="BR1335">
            <v>0</v>
          </cell>
          <cell r="BS1335">
            <v>0</v>
          </cell>
          <cell r="BT1335">
            <v>0</v>
          </cell>
          <cell r="BU1335">
            <v>0</v>
          </cell>
          <cell r="BV1335">
            <v>0</v>
          </cell>
          <cell r="BW1335">
            <v>0</v>
          </cell>
          <cell r="BX1335">
            <v>0</v>
          </cell>
          <cell r="BY1335">
            <v>0</v>
          </cell>
          <cell r="BZ1335">
            <v>0</v>
          </cell>
          <cell r="CA1335">
            <v>0</v>
          </cell>
          <cell r="CB1335">
            <v>0</v>
          </cell>
          <cell r="CC1335">
            <v>0</v>
          </cell>
          <cell r="CD1335">
            <v>0</v>
          </cell>
          <cell r="CE1335">
            <v>0</v>
          </cell>
          <cell r="CF1335">
            <v>0</v>
          </cell>
          <cell r="CG1335">
            <v>0</v>
          </cell>
          <cell r="CH1335">
            <v>0</v>
          </cell>
          <cell r="CI1335">
            <v>0</v>
          </cell>
          <cell r="CJ1335">
            <v>0</v>
          </cell>
          <cell r="CK1335">
            <v>0</v>
          </cell>
          <cell r="CL1335">
            <v>0</v>
          </cell>
          <cell r="CM1335">
            <v>0</v>
          </cell>
          <cell r="CR1335">
            <v>0</v>
          </cell>
          <cell r="CS1335">
            <v>0</v>
          </cell>
          <cell r="CT1335">
            <v>0</v>
          </cell>
          <cell r="CU1335">
            <v>0</v>
          </cell>
          <cell r="CV1335">
            <v>0</v>
          </cell>
          <cell r="CZ1335">
            <v>0</v>
          </cell>
        </row>
        <row r="1336">
          <cell r="C1336" t="str">
            <v>05058</v>
          </cell>
          <cell r="D1336" t="str">
            <v>Đỗ Thị Bích Vân</v>
          </cell>
          <cell r="E1336" t="str">
            <v>Production</v>
          </cell>
          <cell r="F1336" t="str">
            <v>Packing</v>
          </cell>
          <cell r="G1336" t="str">
            <v>Worker</v>
          </cell>
          <cell r="H1336">
            <v>46100</v>
          </cell>
          <cell r="I1336" t="str">
            <v>X</v>
          </cell>
          <cell r="J1336" t="str">
            <v>X</v>
          </cell>
          <cell r="K1336" t="str">
            <v>X</v>
          </cell>
          <cell r="L1336" t="str">
            <v>X</v>
          </cell>
          <cell r="M1336" t="str">
            <v>X</v>
          </cell>
          <cell r="N1336" t="str">
            <v>X</v>
          </cell>
          <cell r="O1336" t="str">
            <v>X</v>
          </cell>
          <cell r="P1336" t="str">
            <v>X</v>
          </cell>
          <cell r="Q1336" t="str">
            <v>X</v>
          </cell>
          <cell r="R1336" t="str">
            <v>X</v>
          </cell>
          <cell r="S1336" t="str">
            <v>X</v>
          </cell>
          <cell r="T1336" t="str">
            <v>X</v>
          </cell>
          <cell r="U1336" t="str">
            <v>X</v>
          </cell>
          <cell r="V1336" t="str">
            <v>X</v>
          </cell>
          <cell r="W1336" t="str">
            <v>X</v>
          </cell>
          <cell r="X1336" t="str">
            <v>X</v>
          </cell>
          <cell r="Y1336" t="str">
            <v>X</v>
          </cell>
          <cell r="Z1336" t="str">
            <v>X</v>
          </cell>
          <cell r="AA1336" t="str">
            <v>X</v>
          </cell>
          <cell r="AB1336" t="str">
            <v>X</v>
          </cell>
          <cell r="AC1336" t="str">
            <v>X</v>
          </cell>
          <cell r="AD1336">
            <v>8</v>
          </cell>
          <cell r="AE1336">
            <v>8</v>
          </cell>
          <cell r="AF1336">
            <v>8</v>
          </cell>
          <cell r="AG1336" t="str">
            <v>CN</v>
          </cell>
          <cell r="AH1336" t="str">
            <v>Đ</v>
          </cell>
          <cell r="AI1336" t="str">
            <v>Đ</v>
          </cell>
          <cell r="AJ1336" t="str">
            <v>Đ</v>
          </cell>
          <cell r="AN1336">
            <v>24</v>
          </cell>
          <cell r="AO1336">
            <v>24</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48</v>
          </cell>
          <cell r="BH1336">
            <v>0</v>
          </cell>
          <cell r="BI1336">
            <v>0</v>
          </cell>
          <cell r="BJ1336">
            <v>0</v>
          </cell>
          <cell r="BL1336">
            <v>0</v>
          </cell>
          <cell r="BM1336">
            <v>0</v>
          </cell>
          <cell r="BN1336">
            <v>0</v>
          </cell>
          <cell r="BO1336">
            <v>0</v>
          </cell>
          <cell r="BP1336">
            <v>0</v>
          </cell>
          <cell r="BQ1336">
            <v>0</v>
          </cell>
          <cell r="BR1336">
            <v>0</v>
          </cell>
          <cell r="BS1336">
            <v>0</v>
          </cell>
          <cell r="BT1336">
            <v>0</v>
          </cell>
          <cell r="BU1336">
            <v>0</v>
          </cell>
          <cell r="BV1336">
            <v>0</v>
          </cell>
          <cell r="BW1336">
            <v>0</v>
          </cell>
          <cell r="BX1336">
            <v>0</v>
          </cell>
          <cell r="BY1336">
            <v>0</v>
          </cell>
          <cell r="BZ1336">
            <v>0</v>
          </cell>
          <cell r="CA1336">
            <v>0</v>
          </cell>
          <cell r="CB1336">
            <v>0</v>
          </cell>
          <cell r="CC1336">
            <v>0</v>
          </cell>
          <cell r="CD1336">
            <v>0</v>
          </cell>
          <cell r="CE1336">
            <v>0</v>
          </cell>
          <cell r="CF1336">
            <v>0</v>
          </cell>
          <cell r="CG1336">
            <v>0</v>
          </cell>
          <cell r="CH1336">
            <v>0</v>
          </cell>
          <cell r="CI1336">
            <v>0</v>
          </cell>
          <cell r="CJ1336">
            <v>0</v>
          </cell>
          <cell r="CK1336">
            <v>4</v>
          </cell>
          <cell r="CL1336">
            <v>4</v>
          </cell>
          <cell r="CM1336">
            <v>4</v>
          </cell>
          <cell r="CR1336">
            <v>0</v>
          </cell>
          <cell r="CS1336">
            <v>0</v>
          </cell>
          <cell r="CT1336">
            <v>12</v>
          </cell>
          <cell r="CU1336">
            <v>0</v>
          </cell>
          <cell r="CV1336">
            <v>0</v>
          </cell>
          <cell r="CZ1336">
            <v>12</v>
          </cell>
        </row>
        <row r="1337">
          <cell r="C1337" t="str">
            <v>05059</v>
          </cell>
          <cell r="D1337" t="str">
            <v>Sơn Thị Phương Loan</v>
          </cell>
          <cell r="E1337" t="str">
            <v>Production</v>
          </cell>
          <cell r="F1337" t="str">
            <v>Packing</v>
          </cell>
          <cell r="G1337" t="str">
            <v>Worker</v>
          </cell>
          <cell r="H1337">
            <v>46100</v>
          </cell>
          <cell r="I1337" t="str">
            <v>X</v>
          </cell>
          <cell r="J1337" t="str">
            <v>X</v>
          </cell>
          <cell r="K1337" t="str">
            <v>X</v>
          </cell>
          <cell r="L1337" t="str">
            <v>X</v>
          </cell>
          <cell r="M1337" t="str">
            <v>X</v>
          </cell>
          <cell r="N1337" t="str">
            <v>X</v>
          </cell>
          <cell r="O1337" t="str">
            <v>X</v>
          </cell>
          <cell r="P1337" t="str">
            <v>X</v>
          </cell>
          <cell r="Q1337" t="str">
            <v>X</v>
          </cell>
          <cell r="R1337" t="str">
            <v>X</v>
          </cell>
          <cell r="S1337" t="str">
            <v>X</v>
          </cell>
          <cell r="T1337" t="str">
            <v>X</v>
          </cell>
          <cell r="U1337" t="str">
            <v>X</v>
          </cell>
          <cell r="V1337" t="str">
            <v>X</v>
          </cell>
          <cell r="W1337" t="str">
            <v>X</v>
          </cell>
          <cell r="X1337" t="str">
            <v>X</v>
          </cell>
          <cell r="Y1337" t="str">
            <v>X</v>
          </cell>
          <cell r="Z1337" t="str">
            <v>X</v>
          </cell>
          <cell r="AA1337" t="str">
            <v>X</v>
          </cell>
          <cell r="AB1337" t="str">
            <v>X</v>
          </cell>
          <cell r="AC1337" t="str">
            <v>X</v>
          </cell>
          <cell r="AD1337">
            <v>8</v>
          </cell>
          <cell r="AE1337">
            <v>8</v>
          </cell>
          <cell r="AF1337">
            <v>8</v>
          </cell>
          <cell r="AG1337" t="str">
            <v>CN</v>
          </cell>
          <cell r="AH1337" t="str">
            <v>NP</v>
          </cell>
          <cell r="AI1337" t="str">
            <v>NP</v>
          </cell>
          <cell r="AJ1337" t="str">
            <v>NP</v>
          </cell>
          <cell r="AN1337">
            <v>0</v>
          </cell>
          <cell r="AO1337">
            <v>24</v>
          </cell>
          <cell r="AP1337">
            <v>0</v>
          </cell>
          <cell r="AQ1337">
            <v>0</v>
          </cell>
          <cell r="AR1337">
            <v>0</v>
          </cell>
          <cell r="AS1337">
            <v>0</v>
          </cell>
          <cell r="AT1337">
            <v>3</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24</v>
          </cell>
          <cell r="BH1337">
            <v>0</v>
          </cell>
          <cell r="BI1337">
            <v>0</v>
          </cell>
          <cell r="BJ1337">
            <v>0</v>
          </cell>
          <cell r="BL1337">
            <v>0</v>
          </cell>
          <cell r="BM1337">
            <v>0</v>
          </cell>
          <cell r="BN1337">
            <v>0</v>
          </cell>
          <cell r="BO1337">
            <v>0</v>
          </cell>
          <cell r="BP1337">
            <v>0</v>
          </cell>
          <cell r="BQ1337">
            <v>0</v>
          </cell>
          <cell r="BR1337">
            <v>0</v>
          </cell>
          <cell r="BS1337">
            <v>0</v>
          </cell>
          <cell r="BT1337">
            <v>0</v>
          </cell>
          <cell r="BU1337">
            <v>0</v>
          </cell>
          <cell r="BV1337">
            <v>0</v>
          </cell>
          <cell r="BW1337">
            <v>0</v>
          </cell>
          <cell r="BX1337">
            <v>0</v>
          </cell>
          <cell r="BY1337">
            <v>0</v>
          </cell>
          <cell r="BZ1337">
            <v>0</v>
          </cell>
          <cell r="CA1337">
            <v>0</v>
          </cell>
          <cell r="CB1337">
            <v>0</v>
          </cell>
          <cell r="CC1337">
            <v>0</v>
          </cell>
          <cell r="CD1337">
            <v>0</v>
          </cell>
          <cell r="CE1337">
            <v>0</v>
          </cell>
          <cell r="CF1337">
            <v>0</v>
          </cell>
          <cell r="CG1337">
            <v>0</v>
          </cell>
          <cell r="CH1337">
            <v>0</v>
          </cell>
          <cell r="CI1337">
            <v>0</v>
          </cell>
          <cell r="CJ1337">
            <v>0</v>
          </cell>
          <cell r="CK1337">
            <v>0</v>
          </cell>
          <cell r="CL1337">
            <v>0</v>
          </cell>
          <cell r="CM1337">
            <v>0</v>
          </cell>
          <cell r="CR1337">
            <v>0</v>
          </cell>
          <cell r="CS1337">
            <v>0</v>
          </cell>
          <cell r="CT1337">
            <v>0</v>
          </cell>
          <cell r="CU1337">
            <v>0</v>
          </cell>
          <cell r="CV1337">
            <v>0</v>
          </cell>
          <cell r="CZ1337">
            <v>0</v>
          </cell>
        </row>
        <row r="1338">
          <cell r="C1338" t="str">
            <v>05060</v>
          </cell>
          <cell r="D1338" t="str">
            <v>Thạch Thị Huyền</v>
          </cell>
          <cell r="E1338" t="str">
            <v>Production</v>
          </cell>
          <cell r="F1338" t="str">
            <v>Packing</v>
          </cell>
          <cell r="G1338" t="str">
            <v>Worker</v>
          </cell>
          <cell r="H1338">
            <v>46100</v>
          </cell>
          <cell r="I1338" t="str">
            <v>X</v>
          </cell>
          <cell r="J1338" t="str">
            <v>X</v>
          </cell>
          <cell r="K1338" t="str">
            <v>X</v>
          </cell>
          <cell r="L1338" t="str">
            <v>X</v>
          </cell>
          <cell r="M1338" t="str">
            <v>X</v>
          </cell>
          <cell r="N1338" t="str">
            <v>X</v>
          </cell>
          <cell r="O1338" t="str">
            <v>X</v>
          </cell>
          <cell r="P1338" t="str">
            <v>X</v>
          </cell>
          <cell r="Q1338" t="str">
            <v>X</v>
          </cell>
          <cell r="R1338" t="str">
            <v>X</v>
          </cell>
          <cell r="S1338" t="str">
            <v>X</v>
          </cell>
          <cell r="T1338" t="str">
            <v>X</v>
          </cell>
          <cell r="U1338" t="str">
            <v>X</v>
          </cell>
          <cell r="V1338" t="str">
            <v>X</v>
          </cell>
          <cell r="W1338" t="str">
            <v>X</v>
          </cell>
          <cell r="X1338" t="str">
            <v>X</v>
          </cell>
          <cell r="Y1338" t="str">
            <v>X</v>
          </cell>
          <cell r="Z1338" t="str">
            <v>X</v>
          </cell>
          <cell r="AA1338" t="str">
            <v>X</v>
          </cell>
          <cell r="AB1338" t="str">
            <v>X</v>
          </cell>
          <cell r="AC1338" t="str">
            <v>X</v>
          </cell>
          <cell r="AD1338">
            <v>8</v>
          </cell>
          <cell r="AE1338">
            <v>8</v>
          </cell>
          <cell r="AF1338">
            <v>8</v>
          </cell>
          <cell r="AG1338" t="str">
            <v>CN</v>
          </cell>
          <cell r="AH1338" t="str">
            <v>NP</v>
          </cell>
          <cell r="AI1338" t="str">
            <v>NP</v>
          </cell>
          <cell r="AJ1338" t="str">
            <v>NP</v>
          </cell>
          <cell r="AN1338">
            <v>0</v>
          </cell>
          <cell r="AO1338">
            <v>24</v>
          </cell>
          <cell r="AP1338">
            <v>0</v>
          </cell>
          <cell r="AQ1338">
            <v>0</v>
          </cell>
          <cell r="AR1338">
            <v>0</v>
          </cell>
          <cell r="AS1338">
            <v>0</v>
          </cell>
          <cell r="AT1338">
            <v>3</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24</v>
          </cell>
          <cell r="BH1338">
            <v>0</v>
          </cell>
          <cell r="BI1338">
            <v>0</v>
          </cell>
          <cell r="BJ1338">
            <v>0</v>
          </cell>
          <cell r="BL1338">
            <v>0</v>
          </cell>
          <cell r="BM1338">
            <v>0</v>
          </cell>
          <cell r="BN1338">
            <v>0</v>
          </cell>
          <cell r="BO1338">
            <v>0</v>
          </cell>
          <cell r="BP1338">
            <v>0</v>
          </cell>
          <cell r="BQ1338">
            <v>0</v>
          </cell>
          <cell r="BR1338">
            <v>0</v>
          </cell>
          <cell r="BS1338">
            <v>0</v>
          </cell>
          <cell r="BT1338">
            <v>0</v>
          </cell>
          <cell r="BU1338">
            <v>0</v>
          </cell>
          <cell r="BV1338">
            <v>0</v>
          </cell>
          <cell r="BW1338">
            <v>0</v>
          </cell>
          <cell r="BX1338">
            <v>0</v>
          </cell>
          <cell r="BY1338">
            <v>0</v>
          </cell>
          <cell r="BZ1338">
            <v>0</v>
          </cell>
          <cell r="CA1338">
            <v>0</v>
          </cell>
          <cell r="CB1338">
            <v>0</v>
          </cell>
          <cell r="CC1338">
            <v>0</v>
          </cell>
          <cell r="CD1338">
            <v>0</v>
          </cell>
          <cell r="CE1338">
            <v>0</v>
          </cell>
          <cell r="CF1338">
            <v>0</v>
          </cell>
          <cell r="CG1338">
            <v>0</v>
          </cell>
          <cell r="CH1338">
            <v>0</v>
          </cell>
          <cell r="CI1338">
            <v>0</v>
          </cell>
          <cell r="CJ1338">
            <v>0</v>
          </cell>
          <cell r="CK1338">
            <v>0</v>
          </cell>
          <cell r="CL1338">
            <v>0</v>
          </cell>
          <cell r="CM1338">
            <v>0</v>
          </cell>
          <cell r="CR1338">
            <v>0</v>
          </cell>
          <cell r="CS1338">
            <v>0</v>
          </cell>
          <cell r="CT1338">
            <v>0</v>
          </cell>
          <cell r="CU1338">
            <v>0</v>
          </cell>
          <cell r="CV1338">
            <v>0</v>
          </cell>
          <cell r="CZ1338">
            <v>0</v>
          </cell>
        </row>
        <row r="1339">
          <cell r="C1339" t="str">
            <v>05061</v>
          </cell>
          <cell r="D1339" t="str">
            <v>Phạm Thúy Ái</v>
          </cell>
          <cell r="E1339" t="str">
            <v>Technical Development</v>
          </cell>
          <cell r="F1339" t="str">
            <v>PD Sample</v>
          </cell>
          <cell r="G1339" t="str">
            <v>Worker</v>
          </cell>
          <cell r="H1339">
            <v>46100</v>
          </cell>
          <cell r="I1339" t="str">
            <v>X</v>
          </cell>
          <cell r="J1339" t="str">
            <v>X</v>
          </cell>
          <cell r="K1339" t="str">
            <v>X</v>
          </cell>
          <cell r="L1339" t="str">
            <v>X</v>
          </cell>
          <cell r="M1339" t="str">
            <v>X</v>
          </cell>
          <cell r="N1339" t="str">
            <v>X</v>
          </cell>
          <cell r="O1339" t="str">
            <v>X</v>
          </cell>
          <cell r="P1339" t="str">
            <v>X</v>
          </cell>
          <cell r="Q1339" t="str">
            <v>X</v>
          </cell>
          <cell r="R1339" t="str">
            <v>X</v>
          </cell>
          <cell r="S1339" t="str">
            <v>X</v>
          </cell>
          <cell r="T1339" t="str">
            <v>X</v>
          </cell>
          <cell r="U1339" t="str">
            <v>X</v>
          </cell>
          <cell r="V1339" t="str">
            <v>X</v>
          </cell>
          <cell r="W1339" t="str">
            <v>X</v>
          </cell>
          <cell r="X1339" t="str">
            <v>X</v>
          </cell>
          <cell r="Y1339" t="str">
            <v>X</v>
          </cell>
          <cell r="Z1339" t="str">
            <v>X</v>
          </cell>
          <cell r="AA1339" t="str">
            <v>X</v>
          </cell>
          <cell r="AB1339" t="str">
            <v>X</v>
          </cell>
          <cell r="AC1339" t="str">
            <v>X</v>
          </cell>
          <cell r="AD1339">
            <v>8</v>
          </cell>
          <cell r="AE1339">
            <v>8</v>
          </cell>
          <cell r="AF1339">
            <v>8</v>
          </cell>
          <cell r="AG1339" t="str">
            <v>CN</v>
          </cell>
          <cell r="AH1339" t="str">
            <v>NP</v>
          </cell>
          <cell r="AI1339" t="str">
            <v>NP</v>
          </cell>
          <cell r="AJ1339" t="str">
            <v>TV</v>
          </cell>
          <cell r="AN1339">
            <v>0</v>
          </cell>
          <cell r="AO1339">
            <v>24</v>
          </cell>
          <cell r="AP1339">
            <v>0</v>
          </cell>
          <cell r="AQ1339">
            <v>0</v>
          </cell>
          <cell r="AR1339">
            <v>0</v>
          </cell>
          <cell r="AS1339">
            <v>0</v>
          </cell>
          <cell r="AT1339">
            <v>2</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24</v>
          </cell>
          <cell r="BH1339">
            <v>0</v>
          </cell>
          <cell r="BI1339">
            <v>0</v>
          </cell>
          <cell r="BJ1339">
            <v>0</v>
          </cell>
          <cell r="BL1339">
            <v>0</v>
          </cell>
          <cell r="BM1339">
            <v>0</v>
          </cell>
          <cell r="BN1339">
            <v>0</v>
          </cell>
          <cell r="BO1339">
            <v>0</v>
          </cell>
          <cell r="BP1339">
            <v>0</v>
          </cell>
          <cell r="BQ1339">
            <v>0</v>
          </cell>
          <cell r="BR1339">
            <v>0</v>
          </cell>
          <cell r="BS1339">
            <v>0</v>
          </cell>
          <cell r="BT1339">
            <v>0</v>
          </cell>
          <cell r="BU1339">
            <v>0</v>
          </cell>
          <cell r="BV1339">
            <v>0</v>
          </cell>
          <cell r="BW1339">
            <v>0</v>
          </cell>
          <cell r="BX1339">
            <v>0</v>
          </cell>
          <cell r="BY1339">
            <v>0</v>
          </cell>
          <cell r="BZ1339">
            <v>0</v>
          </cell>
          <cell r="CA1339">
            <v>0</v>
          </cell>
          <cell r="CB1339">
            <v>0</v>
          </cell>
          <cell r="CC1339">
            <v>0</v>
          </cell>
          <cell r="CD1339">
            <v>0</v>
          </cell>
          <cell r="CE1339">
            <v>0</v>
          </cell>
          <cell r="CF1339">
            <v>0</v>
          </cell>
          <cell r="CG1339">
            <v>0</v>
          </cell>
          <cell r="CH1339">
            <v>0</v>
          </cell>
          <cell r="CI1339">
            <v>0</v>
          </cell>
          <cell r="CJ1339">
            <v>0</v>
          </cell>
          <cell r="CK1339">
            <v>0</v>
          </cell>
          <cell r="CL1339">
            <v>0</v>
          </cell>
          <cell r="CM1339">
            <v>0</v>
          </cell>
          <cell r="CR1339">
            <v>0</v>
          </cell>
          <cell r="CS1339">
            <v>0</v>
          </cell>
          <cell r="CT1339">
            <v>0</v>
          </cell>
          <cell r="CU1339">
            <v>0</v>
          </cell>
          <cell r="CV1339">
            <v>0</v>
          </cell>
          <cell r="CZ1339">
            <v>0</v>
          </cell>
        </row>
        <row r="1340">
          <cell r="C1340" t="str">
            <v>05062</v>
          </cell>
          <cell r="D1340" t="str">
            <v>Lữ Thị Như</v>
          </cell>
          <cell r="E1340" t="str">
            <v>QC</v>
          </cell>
          <cell r="F1340" t="str">
            <v>QC</v>
          </cell>
          <cell r="G1340" t="str">
            <v>Skilled worker</v>
          </cell>
          <cell r="H1340">
            <v>46100</v>
          </cell>
          <cell r="I1340" t="str">
            <v>X</v>
          </cell>
          <cell r="J1340" t="str">
            <v>X</v>
          </cell>
          <cell r="K1340" t="str">
            <v>X</v>
          </cell>
          <cell r="L1340" t="str">
            <v>X</v>
          </cell>
          <cell r="M1340" t="str">
            <v>X</v>
          </cell>
          <cell r="N1340" t="str">
            <v>X</v>
          </cell>
          <cell r="O1340" t="str">
            <v>X</v>
          </cell>
          <cell r="P1340" t="str">
            <v>X</v>
          </cell>
          <cell r="Q1340" t="str">
            <v>X</v>
          </cell>
          <cell r="R1340" t="str">
            <v>X</v>
          </cell>
          <cell r="S1340" t="str">
            <v>X</v>
          </cell>
          <cell r="T1340" t="str">
            <v>X</v>
          </cell>
          <cell r="U1340" t="str">
            <v>X</v>
          </cell>
          <cell r="V1340" t="str">
            <v>X</v>
          </cell>
          <cell r="W1340" t="str">
            <v>X</v>
          </cell>
          <cell r="X1340" t="str">
            <v>X</v>
          </cell>
          <cell r="Y1340" t="str">
            <v>X</v>
          </cell>
          <cell r="Z1340" t="str">
            <v>X</v>
          </cell>
          <cell r="AA1340" t="str">
            <v>X</v>
          </cell>
          <cell r="AB1340" t="str">
            <v>X</v>
          </cell>
          <cell r="AC1340" t="str">
            <v>X</v>
          </cell>
          <cell r="AD1340">
            <v>8</v>
          </cell>
          <cell r="AE1340">
            <v>8</v>
          </cell>
          <cell r="AF1340">
            <v>8</v>
          </cell>
          <cell r="AG1340" t="str">
            <v>CN</v>
          </cell>
          <cell r="AH1340" t="str">
            <v>TV</v>
          </cell>
          <cell r="AI1340" t="str">
            <v>TV</v>
          </cell>
          <cell r="AJ1340" t="str">
            <v>TV</v>
          </cell>
          <cell r="AN1340">
            <v>0</v>
          </cell>
          <cell r="AO1340">
            <v>24</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24</v>
          </cell>
          <cell r="BH1340">
            <v>0</v>
          </cell>
          <cell r="BI1340">
            <v>0</v>
          </cell>
          <cell r="BJ1340">
            <v>0</v>
          </cell>
          <cell r="BL1340">
            <v>0</v>
          </cell>
          <cell r="BM1340">
            <v>0</v>
          </cell>
          <cell r="BN1340">
            <v>0</v>
          </cell>
          <cell r="BO1340">
            <v>0</v>
          </cell>
          <cell r="BP1340">
            <v>0</v>
          </cell>
          <cell r="BQ1340">
            <v>0</v>
          </cell>
          <cell r="BR1340">
            <v>0</v>
          </cell>
          <cell r="BS1340">
            <v>0</v>
          </cell>
          <cell r="BT1340">
            <v>0</v>
          </cell>
          <cell r="BU1340">
            <v>0</v>
          </cell>
          <cell r="BV1340">
            <v>0</v>
          </cell>
          <cell r="BW1340">
            <v>0</v>
          </cell>
          <cell r="BX1340">
            <v>0</v>
          </cell>
          <cell r="BY1340">
            <v>0</v>
          </cell>
          <cell r="BZ1340">
            <v>0</v>
          </cell>
          <cell r="CA1340">
            <v>0</v>
          </cell>
          <cell r="CB1340">
            <v>0</v>
          </cell>
          <cell r="CC1340">
            <v>0</v>
          </cell>
          <cell r="CD1340">
            <v>0</v>
          </cell>
          <cell r="CE1340">
            <v>0</v>
          </cell>
          <cell r="CF1340">
            <v>0</v>
          </cell>
          <cell r="CG1340">
            <v>0</v>
          </cell>
          <cell r="CH1340">
            <v>0</v>
          </cell>
          <cell r="CI1340">
            <v>0</v>
          </cell>
          <cell r="CJ1340">
            <v>0</v>
          </cell>
          <cell r="CK1340">
            <v>0</v>
          </cell>
          <cell r="CL1340">
            <v>0</v>
          </cell>
          <cell r="CM1340">
            <v>0</v>
          </cell>
          <cell r="CR1340">
            <v>0</v>
          </cell>
          <cell r="CS1340">
            <v>0</v>
          </cell>
          <cell r="CT1340">
            <v>0</v>
          </cell>
          <cell r="CU1340">
            <v>0</v>
          </cell>
          <cell r="CV1340">
            <v>0</v>
          </cell>
          <cell r="CZ1340">
            <v>0</v>
          </cell>
        </row>
        <row r="1341">
          <cell r="C1341" t="str">
            <v>05063</v>
          </cell>
          <cell r="D1341" t="str">
            <v>Lê Hoàng Hải</v>
          </cell>
          <cell r="E1341" t="str">
            <v>Warehouse</v>
          </cell>
          <cell r="F1341" t="str">
            <v>RM Warehouse</v>
          </cell>
          <cell r="G1341" t="str">
            <v>Worker</v>
          </cell>
          <cell r="H1341">
            <v>46100</v>
          </cell>
          <cell r="I1341" t="str">
            <v>X</v>
          </cell>
          <cell r="J1341" t="str">
            <v>X</v>
          </cell>
          <cell r="K1341" t="str">
            <v>X</v>
          </cell>
          <cell r="L1341" t="str">
            <v>X</v>
          </cell>
          <cell r="M1341" t="str">
            <v>X</v>
          </cell>
          <cell r="N1341" t="str">
            <v>X</v>
          </cell>
          <cell r="O1341" t="str">
            <v>X</v>
          </cell>
          <cell r="P1341" t="str">
            <v>X</v>
          </cell>
          <cell r="Q1341" t="str">
            <v>X</v>
          </cell>
          <cell r="R1341" t="str">
            <v>X</v>
          </cell>
          <cell r="S1341" t="str">
            <v>X</v>
          </cell>
          <cell r="T1341" t="str">
            <v>X</v>
          </cell>
          <cell r="U1341" t="str">
            <v>X</v>
          </cell>
          <cell r="V1341" t="str">
            <v>X</v>
          </cell>
          <cell r="W1341" t="str">
            <v>X</v>
          </cell>
          <cell r="X1341" t="str">
            <v>X</v>
          </cell>
          <cell r="Y1341" t="str">
            <v>X</v>
          </cell>
          <cell r="Z1341" t="str">
            <v>X</v>
          </cell>
          <cell r="AA1341" t="str">
            <v>X</v>
          </cell>
          <cell r="AB1341" t="str">
            <v>X</v>
          </cell>
          <cell r="AC1341" t="str">
            <v>X</v>
          </cell>
          <cell r="AD1341">
            <v>8</v>
          </cell>
          <cell r="AE1341">
            <v>8</v>
          </cell>
          <cell r="AF1341">
            <v>4</v>
          </cell>
          <cell r="AG1341" t="str">
            <v>CN</v>
          </cell>
          <cell r="AH1341" t="str">
            <v>NP</v>
          </cell>
          <cell r="AI1341" t="str">
            <v>NP</v>
          </cell>
          <cell r="AJ1341" t="str">
            <v>NP</v>
          </cell>
          <cell r="AN1341">
            <v>0</v>
          </cell>
          <cell r="AO1341">
            <v>20</v>
          </cell>
          <cell r="AP1341">
            <v>0</v>
          </cell>
          <cell r="AQ1341">
            <v>0</v>
          </cell>
          <cell r="AR1341">
            <v>0</v>
          </cell>
          <cell r="AS1341">
            <v>0</v>
          </cell>
          <cell r="AT1341">
            <v>3</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20</v>
          </cell>
          <cell r="BH1341">
            <v>0</v>
          </cell>
          <cell r="BI1341">
            <v>0</v>
          </cell>
          <cell r="BJ1341">
            <v>0</v>
          </cell>
          <cell r="BL1341">
            <v>0</v>
          </cell>
          <cell r="BM1341">
            <v>0</v>
          </cell>
          <cell r="BN1341">
            <v>0</v>
          </cell>
          <cell r="BO1341">
            <v>0</v>
          </cell>
          <cell r="BP1341">
            <v>0</v>
          </cell>
          <cell r="BQ1341">
            <v>0</v>
          </cell>
          <cell r="BR1341">
            <v>0</v>
          </cell>
          <cell r="BS1341">
            <v>0</v>
          </cell>
          <cell r="BT1341">
            <v>0</v>
          </cell>
          <cell r="BU1341">
            <v>0</v>
          </cell>
          <cell r="BV1341">
            <v>0</v>
          </cell>
          <cell r="BW1341">
            <v>0</v>
          </cell>
          <cell r="BX1341">
            <v>0</v>
          </cell>
          <cell r="BY1341">
            <v>0</v>
          </cell>
          <cell r="BZ1341">
            <v>0</v>
          </cell>
          <cell r="CA1341">
            <v>0</v>
          </cell>
          <cell r="CB1341">
            <v>0</v>
          </cell>
          <cell r="CC1341">
            <v>0</v>
          </cell>
          <cell r="CD1341">
            <v>0</v>
          </cell>
          <cell r="CE1341">
            <v>0</v>
          </cell>
          <cell r="CF1341">
            <v>0</v>
          </cell>
          <cell r="CG1341">
            <v>0</v>
          </cell>
          <cell r="CH1341">
            <v>0</v>
          </cell>
          <cell r="CI1341">
            <v>0</v>
          </cell>
          <cell r="CJ1341">
            <v>0</v>
          </cell>
          <cell r="CK1341">
            <v>0</v>
          </cell>
          <cell r="CL1341">
            <v>0</v>
          </cell>
          <cell r="CM1341">
            <v>0</v>
          </cell>
          <cell r="CR1341">
            <v>0</v>
          </cell>
          <cell r="CS1341">
            <v>0</v>
          </cell>
          <cell r="CT1341">
            <v>0</v>
          </cell>
          <cell r="CU1341">
            <v>0</v>
          </cell>
          <cell r="CV1341">
            <v>0</v>
          </cell>
          <cell r="CZ1341">
            <v>0</v>
          </cell>
        </row>
        <row r="1342">
          <cell r="C1342" t="str">
            <v>05064</v>
          </cell>
          <cell r="D1342" t="str">
            <v>Dương Trùng Vương</v>
          </cell>
          <cell r="E1342" t="str">
            <v>Foaming</v>
          </cell>
          <cell r="F1342" t="str">
            <v>FOAMING Splitting</v>
          </cell>
          <cell r="G1342" t="str">
            <v>Worker</v>
          </cell>
          <cell r="H1342">
            <v>46100</v>
          </cell>
          <cell r="I1342" t="str">
            <v>X</v>
          </cell>
          <cell r="J1342" t="str">
            <v>X</v>
          </cell>
          <cell r="K1342" t="str">
            <v>X</v>
          </cell>
          <cell r="L1342" t="str">
            <v>X</v>
          </cell>
          <cell r="M1342" t="str">
            <v>X</v>
          </cell>
          <cell r="N1342" t="str">
            <v>X</v>
          </cell>
          <cell r="O1342" t="str">
            <v>X</v>
          </cell>
          <cell r="P1342" t="str">
            <v>X</v>
          </cell>
          <cell r="Q1342" t="str">
            <v>X</v>
          </cell>
          <cell r="R1342" t="str">
            <v>X</v>
          </cell>
          <cell r="S1342" t="str">
            <v>X</v>
          </cell>
          <cell r="T1342" t="str">
            <v>X</v>
          </cell>
          <cell r="U1342" t="str">
            <v>X</v>
          </cell>
          <cell r="V1342" t="str">
            <v>X</v>
          </cell>
          <cell r="W1342" t="str">
            <v>X</v>
          </cell>
          <cell r="X1342" t="str">
            <v>X</v>
          </cell>
          <cell r="Y1342" t="str">
            <v>X</v>
          </cell>
          <cell r="Z1342" t="str">
            <v>X</v>
          </cell>
          <cell r="AA1342" t="str">
            <v>X</v>
          </cell>
          <cell r="AB1342" t="str">
            <v>X</v>
          </cell>
          <cell r="AC1342" t="str">
            <v>X</v>
          </cell>
          <cell r="AD1342">
            <v>8</v>
          </cell>
          <cell r="AE1342">
            <v>8</v>
          </cell>
          <cell r="AF1342">
            <v>8</v>
          </cell>
          <cell r="AG1342" t="str">
            <v>CN</v>
          </cell>
          <cell r="AH1342">
            <v>8</v>
          </cell>
          <cell r="AI1342">
            <v>8</v>
          </cell>
          <cell r="AJ1342">
            <v>8</v>
          </cell>
          <cell r="AN1342">
            <v>0</v>
          </cell>
          <cell r="AO1342">
            <v>48</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48</v>
          </cell>
          <cell r="BH1342">
            <v>0</v>
          </cell>
          <cell r="BI1342">
            <v>0</v>
          </cell>
          <cell r="BJ1342">
            <v>0</v>
          </cell>
          <cell r="BL1342">
            <v>0</v>
          </cell>
          <cell r="BM1342">
            <v>0</v>
          </cell>
          <cell r="BN1342">
            <v>0</v>
          </cell>
          <cell r="BO1342">
            <v>0</v>
          </cell>
          <cell r="BP1342">
            <v>0</v>
          </cell>
          <cell r="BQ1342">
            <v>0</v>
          </cell>
          <cell r="BR1342">
            <v>0</v>
          </cell>
          <cell r="BS1342">
            <v>0</v>
          </cell>
          <cell r="BT1342">
            <v>0</v>
          </cell>
          <cell r="BU1342">
            <v>0</v>
          </cell>
          <cell r="BV1342">
            <v>0</v>
          </cell>
          <cell r="BW1342">
            <v>0</v>
          </cell>
          <cell r="BX1342">
            <v>0</v>
          </cell>
          <cell r="BY1342">
            <v>0</v>
          </cell>
          <cell r="BZ1342">
            <v>0</v>
          </cell>
          <cell r="CA1342">
            <v>0</v>
          </cell>
          <cell r="CB1342">
            <v>0</v>
          </cell>
          <cell r="CC1342">
            <v>0</v>
          </cell>
          <cell r="CD1342">
            <v>0</v>
          </cell>
          <cell r="CE1342">
            <v>0</v>
          </cell>
          <cell r="CF1342">
            <v>0</v>
          </cell>
          <cell r="CG1342">
            <v>0</v>
          </cell>
          <cell r="CH1342">
            <v>0</v>
          </cell>
          <cell r="CI1342">
            <v>0</v>
          </cell>
          <cell r="CJ1342">
            <v>12</v>
          </cell>
          <cell r="CK1342">
            <v>4</v>
          </cell>
          <cell r="CL1342">
            <v>0</v>
          </cell>
          <cell r="CM1342">
            <v>4</v>
          </cell>
          <cell r="CR1342">
            <v>0</v>
          </cell>
          <cell r="CS1342">
            <v>0</v>
          </cell>
          <cell r="CT1342">
            <v>8</v>
          </cell>
          <cell r="CU1342">
            <v>12</v>
          </cell>
          <cell r="CV1342">
            <v>0</v>
          </cell>
          <cell r="CZ1342">
            <v>20</v>
          </cell>
        </row>
        <row r="1343">
          <cell r="C1343" t="str">
            <v>05065</v>
          </cell>
          <cell r="D1343" t="str">
            <v>Nguyễn Bá Kiên</v>
          </cell>
          <cell r="E1343" t="str">
            <v>Foaming</v>
          </cell>
          <cell r="F1343" t="str">
            <v>FOAMING Splitting</v>
          </cell>
          <cell r="G1343" t="str">
            <v>Worker</v>
          </cell>
          <cell r="H1343">
            <v>46100</v>
          </cell>
          <cell r="I1343" t="str">
            <v>X</v>
          </cell>
          <cell r="J1343" t="str">
            <v>X</v>
          </cell>
          <cell r="K1343" t="str">
            <v>X</v>
          </cell>
          <cell r="L1343" t="str">
            <v>X</v>
          </cell>
          <cell r="M1343" t="str">
            <v>X</v>
          </cell>
          <cell r="N1343" t="str">
            <v>X</v>
          </cell>
          <cell r="O1343" t="str">
            <v>X</v>
          </cell>
          <cell r="P1343" t="str">
            <v>X</v>
          </cell>
          <cell r="Q1343" t="str">
            <v>X</v>
          </cell>
          <cell r="R1343" t="str">
            <v>X</v>
          </cell>
          <cell r="S1343" t="str">
            <v>X</v>
          </cell>
          <cell r="T1343" t="str">
            <v>X</v>
          </cell>
          <cell r="U1343" t="str">
            <v>X</v>
          </cell>
          <cell r="V1343" t="str">
            <v>X</v>
          </cell>
          <cell r="W1343" t="str">
            <v>X</v>
          </cell>
          <cell r="X1343" t="str">
            <v>X</v>
          </cell>
          <cell r="Y1343" t="str">
            <v>X</v>
          </cell>
          <cell r="Z1343" t="str">
            <v>X</v>
          </cell>
          <cell r="AA1343" t="str">
            <v>X</v>
          </cell>
          <cell r="AB1343" t="str">
            <v>X</v>
          </cell>
          <cell r="AC1343" t="str">
            <v>X</v>
          </cell>
          <cell r="AD1343">
            <v>8</v>
          </cell>
          <cell r="AE1343">
            <v>8</v>
          </cell>
          <cell r="AF1343">
            <v>8</v>
          </cell>
          <cell r="AG1343" t="str">
            <v>CN</v>
          </cell>
          <cell r="AH1343">
            <v>8</v>
          </cell>
          <cell r="AI1343">
            <v>8</v>
          </cell>
          <cell r="AJ1343">
            <v>8</v>
          </cell>
          <cell r="AN1343">
            <v>0</v>
          </cell>
          <cell r="AO1343">
            <v>48</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48</v>
          </cell>
          <cell r="BH1343">
            <v>0</v>
          </cell>
          <cell r="BI1343">
            <v>0</v>
          </cell>
          <cell r="BJ1343">
            <v>0</v>
          </cell>
          <cell r="BL1343">
            <v>0</v>
          </cell>
          <cell r="BM1343">
            <v>0</v>
          </cell>
          <cell r="BN1343">
            <v>0</v>
          </cell>
          <cell r="BO1343">
            <v>0</v>
          </cell>
          <cell r="BP1343">
            <v>0</v>
          </cell>
          <cell r="BQ1343">
            <v>0</v>
          </cell>
          <cell r="BR1343">
            <v>0</v>
          </cell>
          <cell r="BS1343">
            <v>0</v>
          </cell>
          <cell r="BT1343">
            <v>0</v>
          </cell>
          <cell r="BU1343">
            <v>0</v>
          </cell>
          <cell r="BV1343">
            <v>0</v>
          </cell>
          <cell r="BW1343">
            <v>0</v>
          </cell>
          <cell r="BX1343">
            <v>0</v>
          </cell>
          <cell r="BY1343">
            <v>0</v>
          </cell>
          <cell r="BZ1343">
            <v>0</v>
          </cell>
          <cell r="CA1343">
            <v>0</v>
          </cell>
          <cell r="CB1343">
            <v>0</v>
          </cell>
          <cell r="CC1343">
            <v>0</v>
          </cell>
          <cell r="CD1343">
            <v>0</v>
          </cell>
          <cell r="CE1343">
            <v>0</v>
          </cell>
          <cell r="CF1343">
            <v>0</v>
          </cell>
          <cell r="CG1343">
            <v>0</v>
          </cell>
          <cell r="CH1343">
            <v>0</v>
          </cell>
          <cell r="CI1343">
            <v>0</v>
          </cell>
          <cell r="CJ1343">
            <v>12</v>
          </cell>
          <cell r="CK1343">
            <v>4</v>
          </cell>
          <cell r="CL1343">
            <v>4</v>
          </cell>
          <cell r="CM1343">
            <v>4</v>
          </cell>
          <cell r="CR1343">
            <v>0</v>
          </cell>
          <cell r="CS1343">
            <v>0</v>
          </cell>
          <cell r="CT1343">
            <v>12</v>
          </cell>
          <cell r="CU1343">
            <v>12</v>
          </cell>
          <cell r="CV1343">
            <v>0</v>
          </cell>
          <cell r="CZ1343">
            <v>24</v>
          </cell>
        </row>
        <row r="1344">
          <cell r="C1344" t="str">
            <v>05066</v>
          </cell>
          <cell r="D1344" t="str">
            <v>Phạm Văn Trường</v>
          </cell>
          <cell r="E1344" t="str">
            <v>Foaming</v>
          </cell>
          <cell r="F1344" t="str">
            <v>FOAMING Rectangular</v>
          </cell>
          <cell r="G1344" t="str">
            <v>Worker</v>
          </cell>
          <cell r="H1344">
            <v>46100</v>
          </cell>
          <cell r="I1344" t="str">
            <v>X</v>
          </cell>
          <cell r="J1344" t="str">
            <v>X</v>
          </cell>
          <cell r="K1344" t="str">
            <v>X</v>
          </cell>
          <cell r="L1344" t="str">
            <v>X</v>
          </cell>
          <cell r="M1344" t="str">
            <v>X</v>
          </cell>
          <cell r="N1344" t="str">
            <v>X</v>
          </cell>
          <cell r="O1344" t="str">
            <v>X</v>
          </cell>
          <cell r="P1344" t="str">
            <v>X</v>
          </cell>
          <cell r="Q1344" t="str">
            <v>X</v>
          </cell>
          <cell r="R1344" t="str">
            <v>X</v>
          </cell>
          <cell r="S1344" t="str">
            <v>X</v>
          </cell>
          <cell r="T1344" t="str">
            <v>X</v>
          </cell>
          <cell r="U1344" t="str">
            <v>X</v>
          </cell>
          <cell r="V1344" t="str">
            <v>X</v>
          </cell>
          <cell r="W1344" t="str">
            <v>X</v>
          </cell>
          <cell r="X1344" t="str">
            <v>X</v>
          </cell>
          <cell r="Y1344" t="str">
            <v>X</v>
          </cell>
          <cell r="Z1344" t="str">
            <v>X</v>
          </cell>
          <cell r="AA1344" t="str">
            <v>X</v>
          </cell>
          <cell r="AB1344" t="str">
            <v>X</v>
          </cell>
          <cell r="AC1344" t="str">
            <v>X</v>
          </cell>
          <cell r="AD1344">
            <v>8</v>
          </cell>
          <cell r="AE1344">
            <v>8</v>
          </cell>
          <cell r="AF1344">
            <v>8</v>
          </cell>
          <cell r="AG1344" t="str">
            <v>CN</v>
          </cell>
          <cell r="AH1344">
            <v>8</v>
          </cell>
          <cell r="AI1344">
            <v>8</v>
          </cell>
          <cell r="AJ1344">
            <v>8</v>
          </cell>
          <cell r="AN1344">
            <v>0</v>
          </cell>
          <cell r="AO1344">
            <v>48</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48</v>
          </cell>
          <cell r="BH1344">
            <v>0</v>
          </cell>
          <cell r="BI1344">
            <v>0</v>
          </cell>
          <cell r="BJ1344">
            <v>0</v>
          </cell>
          <cell r="BL1344">
            <v>0</v>
          </cell>
          <cell r="BM1344">
            <v>0</v>
          </cell>
          <cell r="BN1344">
            <v>0</v>
          </cell>
          <cell r="BO1344">
            <v>0</v>
          </cell>
          <cell r="BP1344">
            <v>0</v>
          </cell>
          <cell r="BQ1344">
            <v>0</v>
          </cell>
          <cell r="BR1344">
            <v>0</v>
          </cell>
          <cell r="BS1344">
            <v>0</v>
          </cell>
          <cell r="BT1344">
            <v>0</v>
          </cell>
          <cell r="BU1344">
            <v>0</v>
          </cell>
          <cell r="BV1344">
            <v>0</v>
          </cell>
          <cell r="BW1344">
            <v>0</v>
          </cell>
          <cell r="BX1344">
            <v>0</v>
          </cell>
          <cell r="BY1344">
            <v>0</v>
          </cell>
          <cell r="BZ1344">
            <v>0</v>
          </cell>
          <cell r="CA1344">
            <v>0</v>
          </cell>
          <cell r="CB1344">
            <v>0</v>
          </cell>
          <cell r="CC1344">
            <v>0</v>
          </cell>
          <cell r="CD1344">
            <v>0</v>
          </cell>
          <cell r="CE1344">
            <v>0</v>
          </cell>
          <cell r="CF1344">
            <v>0</v>
          </cell>
          <cell r="CG1344">
            <v>0</v>
          </cell>
          <cell r="CH1344">
            <v>0</v>
          </cell>
          <cell r="CI1344">
            <v>0</v>
          </cell>
          <cell r="CJ1344">
            <v>0</v>
          </cell>
          <cell r="CK1344">
            <v>0</v>
          </cell>
          <cell r="CL1344">
            <v>4</v>
          </cell>
          <cell r="CM1344">
            <v>0</v>
          </cell>
          <cell r="CR1344">
            <v>0</v>
          </cell>
          <cell r="CS1344">
            <v>0</v>
          </cell>
          <cell r="CT1344">
            <v>4</v>
          </cell>
          <cell r="CU1344">
            <v>0</v>
          </cell>
          <cell r="CV1344">
            <v>0</v>
          </cell>
          <cell r="CZ1344">
            <v>4</v>
          </cell>
        </row>
        <row r="1345">
          <cell r="C1345" t="str">
            <v>05067</v>
          </cell>
          <cell r="D1345" t="str">
            <v>Dương Văn Bảo</v>
          </cell>
          <cell r="E1345" t="str">
            <v>Foaming</v>
          </cell>
          <cell r="F1345" t="str">
            <v>FOAMING Splitting</v>
          </cell>
          <cell r="G1345" t="str">
            <v>Worker</v>
          </cell>
          <cell r="H1345">
            <v>46100</v>
          </cell>
          <cell r="I1345" t="str">
            <v>X</v>
          </cell>
          <cell r="J1345" t="str">
            <v>X</v>
          </cell>
          <cell r="K1345" t="str">
            <v>X</v>
          </cell>
          <cell r="L1345" t="str">
            <v>X</v>
          </cell>
          <cell r="M1345" t="str">
            <v>X</v>
          </cell>
          <cell r="N1345" t="str">
            <v>X</v>
          </cell>
          <cell r="O1345" t="str">
            <v>X</v>
          </cell>
          <cell r="P1345" t="str">
            <v>X</v>
          </cell>
          <cell r="Q1345" t="str">
            <v>X</v>
          </cell>
          <cell r="R1345" t="str">
            <v>X</v>
          </cell>
          <cell r="S1345" t="str">
            <v>X</v>
          </cell>
          <cell r="T1345" t="str">
            <v>X</v>
          </cell>
          <cell r="U1345" t="str">
            <v>X</v>
          </cell>
          <cell r="V1345" t="str">
            <v>X</v>
          </cell>
          <cell r="W1345" t="str">
            <v>X</v>
          </cell>
          <cell r="X1345" t="str">
            <v>X</v>
          </cell>
          <cell r="Y1345" t="str">
            <v>X</v>
          </cell>
          <cell r="Z1345" t="str">
            <v>X</v>
          </cell>
          <cell r="AA1345" t="str">
            <v>X</v>
          </cell>
          <cell r="AB1345" t="str">
            <v>X</v>
          </cell>
          <cell r="AC1345" t="str">
            <v>X</v>
          </cell>
          <cell r="AD1345">
            <v>8</v>
          </cell>
          <cell r="AE1345">
            <v>8</v>
          </cell>
          <cell r="AF1345">
            <v>8</v>
          </cell>
          <cell r="AG1345" t="str">
            <v>CN</v>
          </cell>
          <cell r="AH1345">
            <v>8</v>
          </cell>
          <cell r="AI1345">
            <v>8</v>
          </cell>
          <cell r="AJ1345">
            <v>8</v>
          </cell>
          <cell r="AN1345">
            <v>0</v>
          </cell>
          <cell r="AO1345">
            <v>48</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48</v>
          </cell>
          <cell r="BH1345">
            <v>0</v>
          </cell>
          <cell r="BI1345">
            <v>0</v>
          </cell>
          <cell r="BJ1345">
            <v>0</v>
          </cell>
          <cell r="BL1345">
            <v>0</v>
          </cell>
          <cell r="BM1345">
            <v>0</v>
          </cell>
          <cell r="BN1345">
            <v>0</v>
          </cell>
          <cell r="BO1345">
            <v>0</v>
          </cell>
          <cell r="BP1345">
            <v>0</v>
          </cell>
          <cell r="BQ1345">
            <v>0</v>
          </cell>
          <cell r="BR1345">
            <v>0</v>
          </cell>
          <cell r="BS1345">
            <v>0</v>
          </cell>
          <cell r="BT1345">
            <v>0</v>
          </cell>
          <cell r="BU1345">
            <v>0</v>
          </cell>
          <cell r="BV1345">
            <v>0</v>
          </cell>
          <cell r="BW1345">
            <v>0</v>
          </cell>
          <cell r="BX1345">
            <v>0</v>
          </cell>
          <cell r="BY1345">
            <v>0</v>
          </cell>
          <cell r="BZ1345">
            <v>0</v>
          </cell>
          <cell r="CA1345">
            <v>0</v>
          </cell>
          <cell r="CB1345">
            <v>0</v>
          </cell>
          <cell r="CC1345">
            <v>0</v>
          </cell>
          <cell r="CD1345">
            <v>0</v>
          </cell>
          <cell r="CE1345">
            <v>0</v>
          </cell>
          <cell r="CF1345">
            <v>0</v>
          </cell>
          <cell r="CG1345">
            <v>0</v>
          </cell>
          <cell r="CH1345">
            <v>0</v>
          </cell>
          <cell r="CI1345">
            <v>0</v>
          </cell>
          <cell r="CJ1345">
            <v>12</v>
          </cell>
          <cell r="CK1345">
            <v>4</v>
          </cell>
          <cell r="CL1345">
            <v>0</v>
          </cell>
          <cell r="CM1345">
            <v>4</v>
          </cell>
          <cell r="CR1345">
            <v>0</v>
          </cell>
          <cell r="CS1345">
            <v>0</v>
          </cell>
          <cell r="CT1345">
            <v>8</v>
          </cell>
          <cell r="CU1345">
            <v>12</v>
          </cell>
          <cell r="CV1345">
            <v>0</v>
          </cell>
          <cell r="CZ1345">
            <v>20</v>
          </cell>
        </row>
        <row r="1346">
          <cell r="C1346" t="str">
            <v>05068</v>
          </cell>
          <cell r="D1346" t="str">
            <v>Huỳnh Thị Kiều My</v>
          </cell>
          <cell r="E1346" t="str">
            <v>CS</v>
          </cell>
          <cell r="F1346" t="str">
            <v>CS</v>
          </cell>
          <cell r="G1346" t="str">
            <v>Staff</v>
          </cell>
          <cell r="H1346">
            <v>46101</v>
          </cell>
          <cell r="I1346" t="str">
            <v>X</v>
          </cell>
          <cell r="J1346" t="str">
            <v>X</v>
          </cell>
          <cell r="K1346" t="str">
            <v>X</v>
          </cell>
          <cell r="L1346" t="str">
            <v>X</v>
          </cell>
          <cell r="M1346" t="str">
            <v>X</v>
          </cell>
          <cell r="N1346" t="str">
            <v>X</v>
          </cell>
          <cell r="O1346" t="str">
            <v>X</v>
          </cell>
          <cell r="P1346" t="str">
            <v>X</v>
          </cell>
          <cell r="Q1346" t="str">
            <v>X</v>
          </cell>
          <cell r="R1346" t="str">
            <v>X</v>
          </cell>
          <cell r="S1346" t="str">
            <v>X</v>
          </cell>
          <cell r="T1346" t="str">
            <v>X</v>
          </cell>
          <cell r="U1346" t="str">
            <v>X</v>
          </cell>
          <cell r="V1346" t="str">
            <v>X</v>
          </cell>
          <cell r="W1346" t="str">
            <v>X</v>
          </cell>
          <cell r="X1346" t="str">
            <v>X</v>
          </cell>
          <cell r="Y1346" t="str">
            <v>X</v>
          </cell>
          <cell r="Z1346" t="str">
            <v>X</v>
          </cell>
          <cell r="AA1346" t="str">
            <v>X</v>
          </cell>
          <cell r="AB1346" t="str">
            <v>X</v>
          </cell>
          <cell r="AC1346" t="str">
            <v>X</v>
          </cell>
          <cell r="AD1346" t="str">
            <v>X</v>
          </cell>
          <cell r="AE1346">
            <v>8</v>
          </cell>
          <cell r="AF1346" t="str">
            <v>PO</v>
          </cell>
          <cell r="AG1346" t="str">
            <v>CN</v>
          </cell>
          <cell r="AH1346">
            <v>8</v>
          </cell>
          <cell r="AI1346">
            <v>8</v>
          </cell>
          <cell r="AJ1346">
            <v>8</v>
          </cell>
          <cell r="AN1346">
            <v>0</v>
          </cell>
          <cell r="AO1346">
            <v>32</v>
          </cell>
          <cell r="AP1346">
            <v>0</v>
          </cell>
          <cell r="AQ1346">
            <v>0</v>
          </cell>
          <cell r="AR1346">
            <v>0</v>
          </cell>
          <cell r="AS1346">
            <v>0</v>
          </cell>
          <cell r="AT1346">
            <v>0</v>
          </cell>
          <cell r="AU1346">
            <v>0</v>
          </cell>
          <cell r="AV1346">
            <v>8</v>
          </cell>
          <cell r="AW1346">
            <v>0</v>
          </cell>
          <cell r="AX1346">
            <v>0</v>
          </cell>
          <cell r="AY1346">
            <v>0</v>
          </cell>
          <cell r="AZ1346">
            <v>0</v>
          </cell>
          <cell r="BA1346">
            <v>0</v>
          </cell>
          <cell r="BB1346">
            <v>0</v>
          </cell>
          <cell r="BC1346">
            <v>0</v>
          </cell>
          <cell r="BD1346">
            <v>0</v>
          </cell>
          <cell r="BE1346">
            <v>0</v>
          </cell>
          <cell r="BF1346">
            <v>0</v>
          </cell>
          <cell r="BG1346">
            <v>40</v>
          </cell>
          <cell r="BH1346">
            <v>0</v>
          </cell>
          <cell r="BI1346">
            <v>0</v>
          </cell>
          <cell r="BJ1346">
            <v>0</v>
          </cell>
          <cell r="BL1346">
            <v>0</v>
          </cell>
          <cell r="BM1346">
            <v>0</v>
          </cell>
          <cell r="BN1346">
            <v>0</v>
          </cell>
          <cell r="BO1346">
            <v>0</v>
          </cell>
          <cell r="BP1346">
            <v>0</v>
          </cell>
          <cell r="BQ1346">
            <v>0</v>
          </cell>
          <cell r="BR1346">
            <v>0</v>
          </cell>
          <cell r="BS1346">
            <v>0</v>
          </cell>
          <cell r="BT1346">
            <v>0</v>
          </cell>
          <cell r="BU1346">
            <v>0</v>
          </cell>
          <cell r="BV1346">
            <v>0</v>
          </cell>
          <cell r="BW1346">
            <v>0</v>
          </cell>
          <cell r="BX1346">
            <v>0</v>
          </cell>
          <cell r="BY1346">
            <v>0</v>
          </cell>
          <cell r="BZ1346">
            <v>0</v>
          </cell>
          <cell r="CA1346">
            <v>0</v>
          </cell>
          <cell r="CB1346">
            <v>0</v>
          </cell>
          <cell r="CC1346">
            <v>0</v>
          </cell>
          <cell r="CD1346">
            <v>0</v>
          </cell>
          <cell r="CE1346">
            <v>0</v>
          </cell>
          <cell r="CF1346">
            <v>0</v>
          </cell>
          <cell r="CG1346">
            <v>0</v>
          </cell>
          <cell r="CH1346">
            <v>0</v>
          </cell>
          <cell r="CI1346">
            <v>0</v>
          </cell>
          <cell r="CJ1346">
            <v>0</v>
          </cell>
          <cell r="CK1346">
            <v>0</v>
          </cell>
          <cell r="CL1346">
            <v>0</v>
          </cell>
          <cell r="CM1346">
            <v>0</v>
          </cell>
          <cell r="CR1346">
            <v>0</v>
          </cell>
          <cell r="CS1346">
            <v>0</v>
          </cell>
          <cell r="CT1346">
            <v>0</v>
          </cell>
          <cell r="CU1346">
            <v>0</v>
          </cell>
          <cell r="CV1346">
            <v>0</v>
          </cell>
          <cell r="CZ1346">
            <v>0</v>
          </cell>
        </row>
        <row r="1348">
          <cell r="C1348" t="str">
            <v>04923</v>
          </cell>
          <cell r="D1348" t="str">
            <v xml:space="preserve">Nguyễn Thị Minh Trang </v>
          </cell>
          <cell r="E1348" t="str">
            <v>HR &amp; Admin</v>
          </cell>
          <cell r="F1348" t="str">
            <v>HR</v>
          </cell>
          <cell r="G1348" t="str">
            <v xml:space="preserve">Senior Specialist II </v>
          </cell>
          <cell r="H1348">
            <v>46027</v>
          </cell>
          <cell r="I1348">
            <v>8</v>
          </cell>
          <cell r="J1348">
            <v>8</v>
          </cell>
          <cell r="K1348" t="str">
            <v>PO</v>
          </cell>
          <cell r="L1348" t="str">
            <v>CN</v>
          </cell>
          <cell r="M1348">
            <v>8</v>
          </cell>
          <cell r="N1348">
            <v>8</v>
          </cell>
          <cell r="O1348">
            <v>8</v>
          </cell>
          <cell r="P1348">
            <v>8</v>
          </cell>
          <cell r="Q1348" t="str">
            <v>PO</v>
          </cell>
          <cell r="R1348" t="str">
            <v>PO</v>
          </cell>
          <cell r="S1348" t="str">
            <v>CN</v>
          </cell>
          <cell r="T1348" t="str">
            <v>AL4</v>
          </cell>
          <cell r="U1348" t="str">
            <v>CĐ</v>
          </cell>
          <cell r="V1348" t="str">
            <v>CĐ</v>
          </cell>
          <cell r="W1348" t="str">
            <v>CĐ</v>
          </cell>
          <cell r="X1348" t="str">
            <v>AL8</v>
          </cell>
          <cell r="Y1348" t="str">
            <v>PO</v>
          </cell>
          <cell r="Z1348" t="str">
            <v>CN</v>
          </cell>
          <cell r="AA1348">
            <v>8</v>
          </cell>
          <cell r="AB1348">
            <v>8</v>
          </cell>
          <cell r="AC1348">
            <v>8</v>
          </cell>
          <cell r="AD1348">
            <v>8</v>
          </cell>
          <cell r="AE1348">
            <v>8</v>
          </cell>
          <cell r="AF1348" t="str">
            <v>PO</v>
          </cell>
          <cell r="AG1348" t="str">
            <v>CN</v>
          </cell>
          <cell r="AH1348">
            <v>8</v>
          </cell>
          <cell r="AI1348" t="str">
            <v>BS</v>
          </cell>
          <cell r="AJ1348" t="str">
            <v>BS</v>
          </cell>
          <cell r="AN1348">
            <v>0</v>
          </cell>
          <cell r="AO1348">
            <v>100</v>
          </cell>
          <cell r="AP1348">
            <v>4</v>
          </cell>
          <cell r="AQ1348">
            <v>0</v>
          </cell>
          <cell r="AR1348">
            <v>0</v>
          </cell>
          <cell r="AS1348">
            <v>0</v>
          </cell>
          <cell r="AT1348">
            <v>0</v>
          </cell>
          <cell r="AU1348">
            <v>16</v>
          </cell>
          <cell r="AV1348">
            <v>40</v>
          </cell>
          <cell r="AW1348">
            <v>0</v>
          </cell>
          <cell r="AX1348">
            <v>0</v>
          </cell>
          <cell r="AY1348">
            <v>0</v>
          </cell>
          <cell r="AZ1348">
            <v>24</v>
          </cell>
          <cell r="BA1348">
            <v>12</v>
          </cell>
          <cell r="BB1348">
            <v>0</v>
          </cell>
          <cell r="BC1348">
            <v>0</v>
          </cell>
          <cell r="BD1348">
            <v>0</v>
          </cell>
          <cell r="BE1348">
            <v>0</v>
          </cell>
          <cell r="BF1348">
            <v>0</v>
          </cell>
          <cell r="BG1348">
            <v>192</v>
          </cell>
          <cell r="BH1348">
            <v>1.5</v>
          </cell>
          <cell r="BI1348">
            <v>1.5</v>
          </cell>
          <cell r="BJ1348">
            <v>2.5</v>
          </cell>
          <cell r="CD1348">
            <v>0</v>
          </cell>
          <cell r="CE1348">
            <v>0</v>
          </cell>
          <cell r="CF1348">
            <v>0</v>
          </cell>
          <cell r="CG1348">
            <v>0</v>
          </cell>
          <cell r="CH1348">
            <v>0</v>
          </cell>
          <cell r="CI1348">
            <v>0</v>
          </cell>
          <cell r="CJ1348">
            <v>0</v>
          </cell>
          <cell r="CK1348">
            <v>0</v>
          </cell>
          <cell r="CL1348">
            <v>0</v>
          </cell>
          <cell r="CM1348">
            <v>0</v>
          </cell>
        </row>
        <row r="1349">
          <cell r="C1349" t="str">
            <v>04529</v>
          </cell>
          <cell r="D1349" t="str">
            <v>Nguyễn Văn Hiếu</v>
          </cell>
          <cell r="E1349" t="str">
            <v>Foaming</v>
          </cell>
          <cell r="F1349" t="str">
            <v>FOAMING Production control</v>
          </cell>
          <cell r="G1349" t="str">
            <v>Deputy Foaming Manager</v>
          </cell>
          <cell r="H1349">
            <v>45726</v>
          </cell>
          <cell r="I1349" t="str">
            <v>TV</v>
          </cell>
          <cell r="J1349" t="str">
            <v>TV</v>
          </cell>
          <cell r="K1349" t="str">
            <v>TV</v>
          </cell>
          <cell r="L1349" t="str">
            <v>TV</v>
          </cell>
          <cell r="M1349" t="str">
            <v>TV</v>
          </cell>
          <cell r="N1349" t="str">
            <v>TV</v>
          </cell>
          <cell r="O1349" t="str">
            <v>TV</v>
          </cell>
          <cell r="P1349" t="str">
            <v>TV</v>
          </cell>
          <cell r="Q1349" t="str">
            <v>TV</v>
          </cell>
          <cell r="R1349" t="str">
            <v>TV</v>
          </cell>
          <cell r="S1349" t="str">
            <v>TV</v>
          </cell>
          <cell r="T1349" t="str">
            <v>TV</v>
          </cell>
          <cell r="U1349" t="str">
            <v>TV</v>
          </cell>
          <cell r="V1349" t="str">
            <v>TV</v>
          </cell>
          <cell r="W1349" t="str">
            <v>TV</v>
          </cell>
          <cell r="X1349" t="str">
            <v>TV</v>
          </cell>
          <cell r="Y1349" t="str">
            <v>TV</v>
          </cell>
          <cell r="Z1349" t="str">
            <v>TV</v>
          </cell>
          <cell r="AA1349" t="str">
            <v>TV</v>
          </cell>
          <cell r="AB1349" t="str">
            <v>TV</v>
          </cell>
          <cell r="AC1349" t="str">
            <v>TV</v>
          </cell>
          <cell r="AD1349" t="str">
            <v>TV</v>
          </cell>
          <cell r="AE1349" t="str">
            <v>TV</v>
          </cell>
          <cell r="AF1349" t="str">
            <v>TV</v>
          </cell>
          <cell r="AG1349" t="str">
            <v>TV</v>
          </cell>
          <cell r="AH1349" t="str">
            <v>TV</v>
          </cell>
          <cell r="AI1349" t="str">
            <v>TV</v>
          </cell>
          <cell r="AJ1349" t="str">
            <v>TV</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11.5</v>
          </cell>
        </row>
        <row r="1350">
          <cell r="C1350" t="str">
            <v>03048</v>
          </cell>
          <cell r="D1350" t="str">
            <v>Trương Thị Tường Quy</v>
          </cell>
          <cell r="E1350" t="str">
            <v>HR &amp; Admin</v>
          </cell>
          <cell r="F1350" t="str">
            <v>HR</v>
          </cell>
          <cell r="G1350" t="str">
            <v xml:space="preserve">Senior Specialist II </v>
          </cell>
          <cell r="H1350">
            <v>44482</v>
          </cell>
          <cell r="I1350">
            <v>8</v>
          </cell>
          <cell r="J1350">
            <v>8</v>
          </cell>
          <cell r="K1350" t="str">
            <v>PO</v>
          </cell>
          <cell r="L1350" t="str">
            <v>CN</v>
          </cell>
          <cell r="M1350">
            <v>8</v>
          </cell>
          <cell r="N1350">
            <v>8</v>
          </cell>
          <cell r="O1350">
            <v>8</v>
          </cell>
          <cell r="P1350">
            <v>8</v>
          </cell>
          <cell r="Q1350" t="str">
            <v>PO</v>
          </cell>
          <cell r="R1350" t="str">
            <v>PO</v>
          </cell>
          <cell r="S1350" t="str">
            <v>CN</v>
          </cell>
          <cell r="T1350">
            <v>8</v>
          </cell>
          <cell r="U1350">
            <v>8</v>
          </cell>
          <cell r="V1350">
            <v>8</v>
          </cell>
          <cell r="W1350">
            <v>8</v>
          </cell>
          <cell r="X1350">
            <v>8</v>
          </cell>
          <cell r="Y1350" t="str">
            <v>PO</v>
          </cell>
          <cell r="Z1350" t="str">
            <v>CN</v>
          </cell>
          <cell r="AA1350">
            <v>8</v>
          </cell>
          <cell r="AB1350">
            <v>8</v>
          </cell>
          <cell r="AC1350">
            <v>8</v>
          </cell>
          <cell r="AD1350">
            <v>8</v>
          </cell>
          <cell r="AE1350">
            <v>8</v>
          </cell>
          <cell r="AF1350" t="str">
            <v>PO</v>
          </cell>
          <cell r="AG1350" t="str">
            <v>CN</v>
          </cell>
          <cell r="AH1350">
            <v>8</v>
          </cell>
          <cell r="AI1350">
            <v>8</v>
          </cell>
          <cell r="AJ1350">
            <v>8</v>
          </cell>
          <cell r="AN1350">
            <v>0</v>
          </cell>
          <cell r="AO1350">
            <v>152</v>
          </cell>
          <cell r="AP1350">
            <v>0</v>
          </cell>
          <cell r="AQ1350">
            <v>0</v>
          </cell>
          <cell r="AR1350">
            <v>0</v>
          </cell>
          <cell r="AS1350">
            <v>0</v>
          </cell>
          <cell r="AT1350">
            <v>0</v>
          </cell>
          <cell r="AU1350">
            <v>0</v>
          </cell>
          <cell r="AV1350">
            <v>40</v>
          </cell>
          <cell r="AW1350">
            <v>0</v>
          </cell>
          <cell r="AX1350">
            <v>0</v>
          </cell>
          <cell r="AY1350">
            <v>0</v>
          </cell>
          <cell r="AZ1350">
            <v>0</v>
          </cell>
          <cell r="BA1350">
            <v>0</v>
          </cell>
          <cell r="BB1350">
            <v>0</v>
          </cell>
          <cell r="BC1350">
            <v>0</v>
          </cell>
          <cell r="BD1350">
            <v>0</v>
          </cell>
          <cell r="BE1350">
            <v>0</v>
          </cell>
          <cell r="BF1350">
            <v>0</v>
          </cell>
          <cell r="BG1350">
            <v>192</v>
          </cell>
          <cell r="BH1350">
            <v>0</v>
          </cell>
          <cell r="BI1350">
            <v>0</v>
          </cell>
          <cell r="BJ1350">
            <v>14</v>
          </cell>
          <cell r="CD1350">
            <v>0</v>
          </cell>
          <cell r="CE1350">
            <v>0</v>
          </cell>
          <cell r="CF1350">
            <v>0</v>
          </cell>
          <cell r="CG1350">
            <v>0</v>
          </cell>
          <cell r="CH1350">
            <v>0</v>
          </cell>
          <cell r="CI1350">
            <v>0</v>
          </cell>
          <cell r="CJ1350">
            <v>0</v>
          </cell>
          <cell r="CK1350">
            <v>0</v>
          </cell>
          <cell r="CL1350">
            <v>0</v>
          </cell>
          <cell r="CM1350">
            <v>0</v>
          </cell>
          <cell r="CT1350">
            <v>0</v>
          </cell>
          <cell r="CU1350">
            <v>0</v>
          </cell>
          <cell r="CV1350">
            <v>0</v>
          </cell>
        </row>
        <row r="1351">
          <cell r="C1351" t="str">
            <v>02043</v>
          </cell>
          <cell r="D1351" t="str">
            <v xml:space="preserve">Nguyễn Thị Kim Hồng </v>
          </cell>
          <cell r="E1351" t="str">
            <v>HR &amp; Admin</v>
          </cell>
          <cell r="F1351" t="str">
            <v>HR</v>
          </cell>
          <cell r="G1351" t="str">
            <v xml:space="preserve">Senior Specialist II </v>
          </cell>
          <cell r="H1351">
            <v>43780</v>
          </cell>
          <cell r="I1351">
            <v>8</v>
          </cell>
          <cell r="J1351">
            <v>8</v>
          </cell>
          <cell r="K1351" t="str">
            <v>PO</v>
          </cell>
          <cell r="L1351" t="str">
            <v>CN</v>
          </cell>
          <cell r="M1351">
            <v>8</v>
          </cell>
          <cell r="N1351">
            <v>8</v>
          </cell>
          <cell r="O1351">
            <v>8</v>
          </cell>
          <cell r="P1351">
            <v>8</v>
          </cell>
          <cell r="Q1351" t="str">
            <v>PO</v>
          </cell>
          <cell r="R1351" t="str">
            <v>PO</v>
          </cell>
          <cell r="S1351" t="str">
            <v>CN</v>
          </cell>
          <cell r="T1351">
            <v>8</v>
          </cell>
          <cell r="U1351">
            <v>8</v>
          </cell>
          <cell r="V1351">
            <v>8</v>
          </cell>
          <cell r="W1351">
            <v>8</v>
          </cell>
          <cell r="X1351">
            <v>8</v>
          </cell>
          <cell r="Y1351" t="str">
            <v>PO</v>
          </cell>
          <cell r="Z1351" t="str">
            <v>CN</v>
          </cell>
          <cell r="AA1351">
            <v>8</v>
          </cell>
          <cell r="AB1351">
            <v>8</v>
          </cell>
          <cell r="AC1351">
            <v>8</v>
          </cell>
          <cell r="AD1351">
            <v>8</v>
          </cell>
          <cell r="AE1351">
            <v>8</v>
          </cell>
          <cell r="AF1351" t="str">
            <v>PO</v>
          </cell>
          <cell r="AG1351" t="str">
            <v>CN</v>
          </cell>
          <cell r="AH1351">
            <v>8</v>
          </cell>
          <cell r="AI1351">
            <v>8</v>
          </cell>
          <cell r="AJ1351">
            <v>8</v>
          </cell>
          <cell r="AN1351">
            <v>0</v>
          </cell>
          <cell r="AO1351">
            <v>152</v>
          </cell>
          <cell r="AP1351">
            <v>0</v>
          </cell>
          <cell r="AQ1351">
            <v>0</v>
          </cell>
          <cell r="AR1351">
            <v>0</v>
          </cell>
          <cell r="AS1351">
            <v>0</v>
          </cell>
          <cell r="AT1351">
            <v>0</v>
          </cell>
          <cell r="AU1351">
            <v>0</v>
          </cell>
          <cell r="AV1351">
            <v>40</v>
          </cell>
          <cell r="AW1351">
            <v>0</v>
          </cell>
          <cell r="AX1351">
            <v>0</v>
          </cell>
          <cell r="AY1351">
            <v>0</v>
          </cell>
          <cell r="AZ1351">
            <v>0</v>
          </cell>
          <cell r="BA1351">
            <v>0</v>
          </cell>
          <cell r="BB1351">
            <v>0</v>
          </cell>
          <cell r="BC1351">
            <v>0</v>
          </cell>
          <cell r="BD1351">
            <v>0</v>
          </cell>
          <cell r="BE1351">
            <v>0</v>
          </cell>
          <cell r="BF1351">
            <v>0</v>
          </cell>
          <cell r="BG1351">
            <v>192</v>
          </cell>
          <cell r="BH1351">
            <v>0</v>
          </cell>
          <cell r="BI1351">
            <v>0</v>
          </cell>
          <cell r="BJ1351">
            <v>9.5</v>
          </cell>
          <cell r="CD1351">
            <v>0</v>
          </cell>
          <cell r="CE1351">
            <v>0</v>
          </cell>
          <cell r="CF1351">
            <v>0</v>
          </cell>
          <cell r="CG1351">
            <v>0</v>
          </cell>
          <cell r="CH1351">
            <v>0</v>
          </cell>
          <cell r="CI1351">
            <v>0</v>
          </cell>
          <cell r="CJ1351">
            <v>0</v>
          </cell>
          <cell r="CK1351">
            <v>0</v>
          </cell>
          <cell r="CL1351">
            <v>0</v>
          </cell>
          <cell r="CM1351">
            <v>0</v>
          </cell>
        </row>
        <row r="1352">
          <cell r="C1352" t="str">
            <v>02049</v>
          </cell>
          <cell r="D1352" t="str">
            <v>Trần Thị Hồng</v>
          </cell>
          <cell r="E1352" t="str">
            <v>QC</v>
          </cell>
          <cell r="F1352" t="str">
            <v>QC</v>
          </cell>
          <cell r="G1352" t="str">
            <v>Deputy Manager</v>
          </cell>
          <cell r="H1352">
            <v>43787</v>
          </cell>
          <cell r="I1352">
            <v>8</v>
          </cell>
          <cell r="J1352">
            <v>8</v>
          </cell>
          <cell r="K1352" t="str">
            <v>PO</v>
          </cell>
          <cell r="L1352" t="str">
            <v>CN</v>
          </cell>
          <cell r="M1352">
            <v>8</v>
          </cell>
          <cell r="N1352">
            <v>8</v>
          </cell>
          <cell r="O1352">
            <v>8</v>
          </cell>
          <cell r="P1352">
            <v>8</v>
          </cell>
          <cell r="Q1352" t="str">
            <v>PO</v>
          </cell>
          <cell r="R1352" t="str">
            <v>PO</v>
          </cell>
          <cell r="S1352" t="str">
            <v>CN</v>
          </cell>
          <cell r="T1352">
            <v>8</v>
          </cell>
          <cell r="U1352">
            <v>8</v>
          </cell>
          <cell r="V1352">
            <v>8</v>
          </cell>
          <cell r="W1352">
            <v>8</v>
          </cell>
          <cell r="X1352">
            <v>8</v>
          </cell>
          <cell r="Y1352" t="str">
            <v>PO</v>
          </cell>
          <cell r="Z1352" t="str">
            <v>CN</v>
          </cell>
          <cell r="AA1352">
            <v>8</v>
          </cell>
          <cell r="AB1352">
            <v>8</v>
          </cell>
          <cell r="AC1352">
            <v>8</v>
          </cell>
          <cell r="AD1352">
            <v>8</v>
          </cell>
          <cell r="AE1352" t="str">
            <v>AL8</v>
          </cell>
          <cell r="AF1352" t="str">
            <v>PO</v>
          </cell>
          <cell r="AG1352" t="str">
            <v>CN</v>
          </cell>
          <cell r="AH1352">
            <v>8</v>
          </cell>
          <cell r="AI1352">
            <v>8</v>
          </cell>
          <cell r="AJ1352">
            <v>8</v>
          </cell>
          <cell r="AN1352">
            <v>0</v>
          </cell>
          <cell r="AO1352">
            <v>144</v>
          </cell>
          <cell r="AP1352">
            <v>0</v>
          </cell>
          <cell r="AQ1352">
            <v>0</v>
          </cell>
          <cell r="AR1352">
            <v>0</v>
          </cell>
          <cell r="AS1352">
            <v>0</v>
          </cell>
          <cell r="AT1352">
            <v>0</v>
          </cell>
          <cell r="AU1352">
            <v>0</v>
          </cell>
          <cell r="AV1352">
            <v>40</v>
          </cell>
          <cell r="AW1352">
            <v>0</v>
          </cell>
          <cell r="AX1352">
            <v>0</v>
          </cell>
          <cell r="AY1352">
            <v>0</v>
          </cell>
          <cell r="AZ1352">
            <v>0</v>
          </cell>
          <cell r="BA1352">
            <v>8</v>
          </cell>
          <cell r="BB1352">
            <v>0</v>
          </cell>
          <cell r="BC1352">
            <v>0</v>
          </cell>
          <cell r="BD1352">
            <v>0</v>
          </cell>
          <cell r="BE1352">
            <v>0</v>
          </cell>
          <cell r="BF1352">
            <v>0</v>
          </cell>
          <cell r="BG1352">
            <v>192</v>
          </cell>
          <cell r="BH1352">
            <v>1</v>
          </cell>
          <cell r="BI1352">
            <v>1</v>
          </cell>
          <cell r="BJ1352">
            <v>15</v>
          </cell>
          <cell r="CD1352">
            <v>0</v>
          </cell>
          <cell r="CE1352">
            <v>0</v>
          </cell>
          <cell r="CF1352">
            <v>0</v>
          </cell>
          <cell r="CG1352">
            <v>0</v>
          </cell>
          <cell r="CH1352">
            <v>0</v>
          </cell>
          <cell r="CI1352">
            <v>0</v>
          </cell>
          <cell r="CJ1352">
            <v>0</v>
          </cell>
          <cell r="CK1352">
            <v>0</v>
          </cell>
          <cell r="CL1352">
            <v>0</v>
          </cell>
          <cell r="CM1352">
            <v>0</v>
          </cell>
        </row>
        <row r="1353">
          <cell r="C1353" t="str">
            <v>01240</v>
          </cell>
          <cell r="D1353" t="str">
            <v>Mang Quốc Đạt</v>
          </cell>
          <cell r="E1353" t="str">
            <v>Sales</v>
          </cell>
          <cell r="F1353" t="str">
            <v>Sales</v>
          </cell>
          <cell r="G1353" t="str">
            <v>Deputy Manager</v>
          </cell>
          <cell r="H1353">
            <v>43202</v>
          </cell>
          <cell r="I1353">
            <v>8</v>
          </cell>
          <cell r="J1353">
            <v>8</v>
          </cell>
          <cell r="K1353" t="str">
            <v>PO</v>
          </cell>
          <cell r="L1353" t="str">
            <v>CN</v>
          </cell>
          <cell r="M1353">
            <v>8</v>
          </cell>
          <cell r="N1353">
            <v>8</v>
          </cell>
          <cell r="O1353">
            <v>8</v>
          </cell>
          <cell r="P1353">
            <v>8</v>
          </cell>
          <cell r="Q1353" t="str">
            <v>PO</v>
          </cell>
          <cell r="R1353" t="str">
            <v>PO</v>
          </cell>
          <cell r="S1353" t="str">
            <v>CN</v>
          </cell>
          <cell r="T1353">
            <v>8</v>
          </cell>
          <cell r="U1353">
            <v>8</v>
          </cell>
          <cell r="V1353">
            <v>8</v>
          </cell>
          <cell r="W1353">
            <v>8</v>
          </cell>
          <cell r="X1353">
            <v>8</v>
          </cell>
          <cell r="Y1353" t="str">
            <v>PO</v>
          </cell>
          <cell r="Z1353" t="str">
            <v>CN</v>
          </cell>
          <cell r="AA1353" t="str">
            <v>BS</v>
          </cell>
          <cell r="AB1353">
            <v>8</v>
          </cell>
          <cell r="AC1353">
            <v>8</v>
          </cell>
          <cell r="AD1353">
            <v>8</v>
          </cell>
          <cell r="AE1353">
            <v>8</v>
          </cell>
          <cell r="AF1353" t="str">
            <v>PO</v>
          </cell>
          <cell r="AG1353" t="str">
            <v>CN</v>
          </cell>
          <cell r="AH1353">
            <v>8</v>
          </cell>
          <cell r="AI1353">
            <v>8</v>
          </cell>
          <cell r="AJ1353">
            <v>8</v>
          </cell>
          <cell r="AN1353">
            <v>0</v>
          </cell>
          <cell r="AO1353">
            <v>144</v>
          </cell>
          <cell r="AP1353">
            <v>0</v>
          </cell>
          <cell r="AQ1353">
            <v>0</v>
          </cell>
          <cell r="AR1353">
            <v>0</v>
          </cell>
          <cell r="AS1353">
            <v>0</v>
          </cell>
          <cell r="AT1353">
            <v>0</v>
          </cell>
          <cell r="AU1353">
            <v>8</v>
          </cell>
          <cell r="AV1353">
            <v>40</v>
          </cell>
          <cell r="AW1353">
            <v>0</v>
          </cell>
          <cell r="AX1353">
            <v>0</v>
          </cell>
          <cell r="AY1353">
            <v>0</v>
          </cell>
          <cell r="AZ1353">
            <v>0</v>
          </cell>
          <cell r="BA1353">
            <v>0</v>
          </cell>
          <cell r="BB1353">
            <v>0</v>
          </cell>
          <cell r="BC1353">
            <v>0</v>
          </cell>
          <cell r="BD1353">
            <v>0</v>
          </cell>
          <cell r="BE1353">
            <v>0</v>
          </cell>
          <cell r="BF1353">
            <v>0</v>
          </cell>
          <cell r="BG1353">
            <v>192</v>
          </cell>
          <cell r="BH1353">
            <v>0</v>
          </cell>
          <cell r="BI1353">
            <v>0</v>
          </cell>
          <cell r="BJ1353">
            <v>13</v>
          </cell>
          <cell r="CD1353">
            <v>0</v>
          </cell>
          <cell r="CE1353">
            <v>0</v>
          </cell>
          <cell r="CF1353">
            <v>0</v>
          </cell>
          <cell r="CG1353">
            <v>0</v>
          </cell>
          <cell r="CH1353">
            <v>0</v>
          </cell>
          <cell r="CI1353">
            <v>0</v>
          </cell>
          <cell r="CJ1353">
            <v>0</v>
          </cell>
          <cell r="CK1353">
            <v>0</v>
          </cell>
          <cell r="CL1353">
            <v>0</v>
          </cell>
          <cell r="CM1353">
            <v>0</v>
          </cell>
        </row>
        <row r="1354">
          <cell r="C1354" t="str">
            <v>02273</v>
          </cell>
          <cell r="D1354" t="str">
            <v>Nguyễn Thị Mỹ Yến</v>
          </cell>
          <cell r="E1354" t="str">
            <v>HR &amp; Admin</v>
          </cell>
          <cell r="F1354" t="str">
            <v>Admin</v>
          </cell>
          <cell r="G1354" t="str">
            <v>Deputy Manager</v>
          </cell>
          <cell r="H1354">
            <v>44008</v>
          </cell>
          <cell r="I1354">
            <v>8</v>
          </cell>
          <cell r="J1354">
            <v>8</v>
          </cell>
          <cell r="K1354" t="str">
            <v>PO</v>
          </cell>
          <cell r="L1354" t="str">
            <v>CN</v>
          </cell>
          <cell r="M1354">
            <v>8</v>
          </cell>
          <cell r="N1354">
            <v>8</v>
          </cell>
          <cell r="O1354">
            <v>8</v>
          </cell>
          <cell r="P1354">
            <v>8</v>
          </cell>
          <cell r="Q1354" t="str">
            <v>PO</v>
          </cell>
          <cell r="R1354" t="str">
            <v>PO</v>
          </cell>
          <cell r="S1354" t="str">
            <v>CN</v>
          </cell>
          <cell r="T1354">
            <v>8</v>
          </cell>
          <cell r="U1354">
            <v>8</v>
          </cell>
          <cell r="V1354">
            <v>8</v>
          </cell>
          <cell r="W1354">
            <v>8</v>
          </cell>
          <cell r="X1354">
            <v>8</v>
          </cell>
          <cell r="Y1354" t="str">
            <v>PO</v>
          </cell>
          <cell r="Z1354" t="str">
            <v>CN</v>
          </cell>
          <cell r="AA1354">
            <v>8</v>
          </cell>
          <cell r="AB1354">
            <v>8</v>
          </cell>
          <cell r="AC1354">
            <v>8</v>
          </cell>
          <cell r="AD1354">
            <v>8</v>
          </cell>
          <cell r="AE1354">
            <v>8</v>
          </cell>
          <cell r="AF1354" t="str">
            <v>PO</v>
          </cell>
          <cell r="AG1354" t="str">
            <v>CN</v>
          </cell>
          <cell r="AH1354">
            <v>8</v>
          </cell>
          <cell r="AI1354">
            <v>8</v>
          </cell>
          <cell r="AJ1354">
            <v>8</v>
          </cell>
          <cell r="AN1354">
            <v>0</v>
          </cell>
          <cell r="AO1354">
            <v>152</v>
          </cell>
          <cell r="AP1354">
            <v>0</v>
          </cell>
          <cell r="AQ1354">
            <v>0</v>
          </cell>
          <cell r="AR1354">
            <v>0</v>
          </cell>
          <cell r="AS1354">
            <v>0</v>
          </cell>
          <cell r="AT1354">
            <v>0</v>
          </cell>
          <cell r="AU1354">
            <v>0</v>
          </cell>
          <cell r="AV1354">
            <v>40</v>
          </cell>
          <cell r="AW1354">
            <v>0</v>
          </cell>
          <cell r="AX1354">
            <v>0</v>
          </cell>
          <cell r="AY1354">
            <v>0</v>
          </cell>
          <cell r="AZ1354">
            <v>0</v>
          </cell>
          <cell r="BA1354">
            <v>0</v>
          </cell>
          <cell r="BB1354">
            <v>0</v>
          </cell>
          <cell r="BC1354">
            <v>0</v>
          </cell>
          <cell r="BD1354">
            <v>0</v>
          </cell>
          <cell r="BE1354">
            <v>0</v>
          </cell>
          <cell r="BF1354">
            <v>0</v>
          </cell>
          <cell r="BG1354">
            <v>192</v>
          </cell>
          <cell r="BH1354">
            <v>0</v>
          </cell>
          <cell r="BI1354">
            <v>0</v>
          </cell>
          <cell r="BJ1354">
            <v>12.5</v>
          </cell>
          <cell r="CD1354">
            <v>0</v>
          </cell>
          <cell r="CE1354">
            <v>0</v>
          </cell>
          <cell r="CF1354">
            <v>0</v>
          </cell>
          <cell r="CG1354">
            <v>0</v>
          </cell>
          <cell r="CH1354">
            <v>0</v>
          </cell>
          <cell r="CI1354">
            <v>0</v>
          </cell>
          <cell r="CJ1354">
            <v>0</v>
          </cell>
          <cell r="CK1354">
            <v>0</v>
          </cell>
          <cell r="CL1354">
            <v>0</v>
          </cell>
          <cell r="CM1354">
            <v>0</v>
          </cell>
        </row>
        <row r="1355">
          <cell r="C1355" t="str">
            <v>00552</v>
          </cell>
          <cell r="D1355" t="str">
            <v>Phạm Thị Hương</v>
          </cell>
          <cell r="E1355" t="str">
            <v>CS</v>
          </cell>
          <cell r="F1355" t="str">
            <v>CS</v>
          </cell>
          <cell r="G1355" t="str">
            <v>Deputy Manager</v>
          </cell>
          <cell r="H1355">
            <v>42103</v>
          </cell>
          <cell r="I1355">
            <v>8</v>
          </cell>
          <cell r="J1355">
            <v>8</v>
          </cell>
          <cell r="K1355" t="str">
            <v>PO</v>
          </cell>
          <cell r="L1355" t="str">
            <v>CN</v>
          </cell>
          <cell r="M1355">
            <v>8</v>
          </cell>
          <cell r="N1355">
            <v>8</v>
          </cell>
          <cell r="O1355">
            <v>8</v>
          </cell>
          <cell r="P1355">
            <v>8</v>
          </cell>
          <cell r="Q1355" t="str">
            <v>PO</v>
          </cell>
          <cell r="R1355" t="str">
            <v>PO</v>
          </cell>
          <cell r="S1355" t="str">
            <v>CN</v>
          </cell>
          <cell r="T1355">
            <v>8</v>
          </cell>
          <cell r="U1355">
            <v>8</v>
          </cell>
          <cell r="V1355">
            <v>8</v>
          </cell>
          <cell r="W1355">
            <v>8</v>
          </cell>
          <cell r="X1355">
            <v>8</v>
          </cell>
          <cell r="Y1355" t="str">
            <v>PO</v>
          </cell>
          <cell r="Z1355" t="str">
            <v>CN</v>
          </cell>
          <cell r="AA1355">
            <v>8</v>
          </cell>
          <cell r="AB1355" t="str">
            <v>BS</v>
          </cell>
          <cell r="AC1355">
            <v>8</v>
          </cell>
          <cell r="AD1355">
            <v>8</v>
          </cell>
          <cell r="AE1355">
            <v>8</v>
          </cell>
          <cell r="AF1355" t="str">
            <v>PO</v>
          </cell>
          <cell r="AG1355" t="str">
            <v>CN</v>
          </cell>
          <cell r="AH1355">
            <v>8</v>
          </cell>
          <cell r="AI1355">
            <v>8</v>
          </cell>
          <cell r="AJ1355">
            <v>8</v>
          </cell>
          <cell r="AN1355">
            <v>0</v>
          </cell>
          <cell r="AO1355">
            <v>144</v>
          </cell>
          <cell r="AP1355">
            <v>0</v>
          </cell>
          <cell r="AQ1355">
            <v>0</v>
          </cell>
          <cell r="AR1355">
            <v>0</v>
          </cell>
          <cell r="AS1355">
            <v>0</v>
          </cell>
          <cell r="AT1355">
            <v>0</v>
          </cell>
          <cell r="AU1355">
            <v>8</v>
          </cell>
          <cell r="AV1355">
            <v>40</v>
          </cell>
          <cell r="AW1355">
            <v>0</v>
          </cell>
          <cell r="AX1355">
            <v>0</v>
          </cell>
          <cell r="AY1355">
            <v>0</v>
          </cell>
          <cell r="AZ1355">
            <v>0</v>
          </cell>
          <cell r="BA1355">
            <v>0</v>
          </cell>
          <cell r="BB1355">
            <v>0</v>
          </cell>
          <cell r="BC1355">
            <v>0</v>
          </cell>
          <cell r="BD1355">
            <v>0</v>
          </cell>
          <cell r="BE1355">
            <v>0</v>
          </cell>
          <cell r="BF1355">
            <v>0</v>
          </cell>
          <cell r="BG1355">
            <v>192</v>
          </cell>
          <cell r="BH1355">
            <v>0</v>
          </cell>
          <cell r="BI1355">
            <v>0</v>
          </cell>
          <cell r="BJ1355">
            <v>13.5</v>
          </cell>
          <cell r="CD1355">
            <v>0</v>
          </cell>
          <cell r="CE1355">
            <v>0</v>
          </cell>
          <cell r="CF1355">
            <v>0</v>
          </cell>
          <cell r="CG1355">
            <v>0</v>
          </cell>
          <cell r="CH1355">
            <v>0</v>
          </cell>
          <cell r="CI1355">
            <v>0</v>
          </cell>
          <cell r="CJ1355">
            <v>0</v>
          </cell>
          <cell r="CK1355">
            <v>0</v>
          </cell>
          <cell r="CL1355">
            <v>0</v>
          </cell>
          <cell r="CM1355">
            <v>0</v>
          </cell>
        </row>
        <row r="1356">
          <cell r="C1356" t="str">
            <v>03011</v>
          </cell>
          <cell r="D1356" t="str">
            <v>Nguyễn Thành Nghĩa</v>
          </cell>
          <cell r="E1356" t="str">
            <v xml:space="preserve">EHS &amp; Facilities </v>
          </cell>
          <cell r="F1356" t="str">
            <v>Maintenance</v>
          </cell>
          <cell r="G1356" t="str">
            <v>Deputy Manager</v>
          </cell>
          <cell r="H1356">
            <v>44363</v>
          </cell>
          <cell r="I1356">
            <v>8</v>
          </cell>
          <cell r="J1356">
            <v>8</v>
          </cell>
          <cell r="K1356" t="str">
            <v>PO</v>
          </cell>
          <cell r="L1356" t="str">
            <v>CN</v>
          </cell>
          <cell r="M1356">
            <v>8</v>
          </cell>
          <cell r="N1356">
            <v>8</v>
          </cell>
          <cell r="O1356">
            <v>8</v>
          </cell>
          <cell r="P1356">
            <v>8</v>
          </cell>
          <cell r="Q1356" t="str">
            <v>PO</v>
          </cell>
          <cell r="R1356" t="str">
            <v>PO</v>
          </cell>
          <cell r="S1356" t="str">
            <v>CN</v>
          </cell>
          <cell r="T1356">
            <v>8</v>
          </cell>
          <cell r="U1356">
            <v>8</v>
          </cell>
          <cell r="V1356">
            <v>8</v>
          </cell>
          <cell r="W1356">
            <v>8</v>
          </cell>
          <cell r="X1356">
            <v>8</v>
          </cell>
          <cell r="Y1356" t="str">
            <v>PO</v>
          </cell>
          <cell r="Z1356" t="str">
            <v>CN</v>
          </cell>
          <cell r="AA1356">
            <v>8</v>
          </cell>
          <cell r="AB1356">
            <v>8</v>
          </cell>
          <cell r="AC1356">
            <v>8</v>
          </cell>
          <cell r="AD1356">
            <v>8</v>
          </cell>
          <cell r="AE1356">
            <v>8</v>
          </cell>
          <cell r="AF1356" t="str">
            <v>PO</v>
          </cell>
          <cell r="AG1356" t="str">
            <v>CN</v>
          </cell>
          <cell r="AH1356">
            <v>8</v>
          </cell>
          <cell r="AI1356">
            <v>8</v>
          </cell>
          <cell r="AJ1356">
            <v>8</v>
          </cell>
          <cell r="AN1356">
            <v>0</v>
          </cell>
          <cell r="AO1356">
            <v>152</v>
          </cell>
          <cell r="AP1356">
            <v>0</v>
          </cell>
          <cell r="AQ1356">
            <v>0</v>
          </cell>
          <cell r="AR1356">
            <v>0</v>
          </cell>
          <cell r="AS1356">
            <v>0</v>
          </cell>
          <cell r="AT1356">
            <v>0</v>
          </cell>
          <cell r="AU1356">
            <v>0</v>
          </cell>
          <cell r="AV1356">
            <v>40</v>
          </cell>
          <cell r="AW1356">
            <v>0</v>
          </cell>
          <cell r="AX1356">
            <v>0</v>
          </cell>
          <cell r="AY1356">
            <v>0</v>
          </cell>
          <cell r="AZ1356">
            <v>0</v>
          </cell>
          <cell r="BA1356">
            <v>0</v>
          </cell>
          <cell r="BB1356">
            <v>0</v>
          </cell>
          <cell r="BC1356">
            <v>0</v>
          </cell>
          <cell r="BD1356">
            <v>0</v>
          </cell>
          <cell r="BE1356">
            <v>0</v>
          </cell>
          <cell r="BF1356">
            <v>0</v>
          </cell>
          <cell r="BG1356">
            <v>192</v>
          </cell>
          <cell r="BH1356">
            <v>0</v>
          </cell>
          <cell r="BI1356">
            <v>0</v>
          </cell>
          <cell r="BJ1356">
            <v>11.5</v>
          </cell>
          <cell r="CD1356">
            <v>0</v>
          </cell>
          <cell r="CE1356">
            <v>0</v>
          </cell>
          <cell r="CF1356">
            <v>0</v>
          </cell>
          <cell r="CG1356">
            <v>0</v>
          </cell>
          <cell r="CH1356">
            <v>0</v>
          </cell>
          <cell r="CI1356">
            <v>0</v>
          </cell>
          <cell r="CJ1356">
            <v>0</v>
          </cell>
          <cell r="CK1356">
            <v>0</v>
          </cell>
          <cell r="CL1356">
            <v>0</v>
          </cell>
          <cell r="CM1356">
            <v>0</v>
          </cell>
        </row>
        <row r="1357">
          <cell r="C1357" t="str">
            <v>00008</v>
          </cell>
          <cell r="D1357" t="str">
            <v>Nông Thị Diễm My</v>
          </cell>
          <cell r="E1357" t="str">
            <v>CS</v>
          </cell>
          <cell r="F1357" t="str">
            <v>CS</v>
          </cell>
          <cell r="G1357" t="str">
            <v>Senior Specialist II</v>
          </cell>
          <cell r="H1357">
            <v>41600</v>
          </cell>
          <cell r="I1357">
            <v>8</v>
          </cell>
          <cell r="J1357">
            <v>8</v>
          </cell>
          <cell r="K1357" t="str">
            <v>PO</v>
          </cell>
          <cell r="L1357" t="str">
            <v>CN</v>
          </cell>
          <cell r="M1357">
            <v>8</v>
          </cell>
          <cell r="N1357">
            <v>8</v>
          </cell>
          <cell r="O1357">
            <v>8</v>
          </cell>
          <cell r="P1357">
            <v>8</v>
          </cell>
          <cell r="Q1357">
            <v>8</v>
          </cell>
          <cell r="R1357" t="str">
            <v>PO</v>
          </cell>
          <cell r="S1357" t="str">
            <v>CN</v>
          </cell>
          <cell r="T1357">
            <v>8</v>
          </cell>
          <cell r="U1357">
            <v>8</v>
          </cell>
          <cell r="V1357">
            <v>8</v>
          </cell>
          <cell r="W1357">
            <v>8</v>
          </cell>
          <cell r="X1357">
            <v>8</v>
          </cell>
          <cell r="Y1357" t="str">
            <v>PO</v>
          </cell>
          <cell r="Z1357" t="str">
            <v>CN</v>
          </cell>
          <cell r="AA1357">
            <v>8</v>
          </cell>
          <cell r="AB1357">
            <v>8</v>
          </cell>
          <cell r="AC1357">
            <v>8</v>
          </cell>
          <cell r="AD1357">
            <v>8</v>
          </cell>
          <cell r="AE1357">
            <v>8</v>
          </cell>
          <cell r="AF1357" t="str">
            <v>PO</v>
          </cell>
          <cell r="AG1357" t="str">
            <v>CN</v>
          </cell>
          <cell r="AH1357">
            <v>8</v>
          </cell>
          <cell r="AI1357">
            <v>8</v>
          </cell>
          <cell r="AJ1357">
            <v>8</v>
          </cell>
          <cell r="AN1357">
            <v>0</v>
          </cell>
          <cell r="AO1357">
            <v>160</v>
          </cell>
          <cell r="AP1357">
            <v>0</v>
          </cell>
          <cell r="AQ1357">
            <v>0</v>
          </cell>
          <cell r="AR1357">
            <v>0</v>
          </cell>
          <cell r="AS1357">
            <v>0</v>
          </cell>
          <cell r="AT1357">
            <v>0</v>
          </cell>
          <cell r="AU1357">
            <v>0</v>
          </cell>
          <cell r="AV1357">
            <v>32</v>
          </cell>
          <cell r="AW1357">
            <v>0</v>
          </cell>
          <cell r="AX1357">
            <v>0</v>
          </cell>
          <cell r="AY1357">
            <v>0</v>
          </cell>
          <cell r="AZ1357">
            <v>0</v>
          </cell>
          <cell r="BA1357">
            <v>0</v>
          </cell>
          <cell r="BB1357">
            <v>0</v>
          </cell>
          <cell r="BC1357">
            <v>0</v>
          </cell>
          <cell r="BD1357">
            <v>0</v>
          </cell>
          <cell r="BE1357">
            <v>0</v>
          </cell>
          <cell r="BF1357">
            <v>0</v>
          </cell>
          <cell r="BG1357">
            <v>192</v>
          </cell>
          <cell r="BH1357">
            <v>0</v>
          </cell>
          <cell r="BI1357">
            <v>0</v>
          </cell>
          <cell r="BJ1357">
            <v>14.5</v>
          </cell>
          <cell r="CD1357">
            <v>0</v>
          </cell>
          <cell r="CE1357">
            <v>0</v>
          </cell>
          <cell r="CF1357">
            <v>0</v>
          </cell>
          <cell r="CG1357">
            <v>0</v>
          </cell>
          <cell r="CH1357">
            <v>0</v>
          </cell>
          <cell r="CI1357">
            <v>0</v>
          </cell>
          <cell r="CJ1357">
            <v>0</v>
          </cell>
          <cell r="CK1357">
            <v>0</v>
          </cell>
          <cell r="CL1357">
            <v>0</v>
          </cell>
          <cell r="CM1357">
            <v>0</v>
          </cell>
        </row>
        <row r="1358">
          <cell r="C1358" t="str">
            <v>00012</v>
          </cell>
          <cell r="D1358" t="str">
            <v>Lê Hữu Dũng</v>
          </cell>
          <cell r="E1358" t="str">
            <v>Foaming</v>
          </cell>
          <cell r="F1358" t="str">
            <v>FOAMING Production control</v>
          </cell>
          <cell r="G1358" t="str">
            <v>Deputy Foaming Manager</v>
          </cell>
          <cell r="H1358">
            <v>41246</v>
          </cell>
          <cell r="I1358">
            <v>8</v>
          </cell>
          <cell r="J1358">
            <v>8</v>
          </cell>
          <cell r="K1358" t="str">
            <v>PO</v>
          </cell>
          <cell r="L1358" t="str">
            <v>CN</v>
          </cell>
          <cell r="M1358">
            <v>8</v>
          </cell>
          <cell r="N1358">
            <v>8</v>
          </cell>
          <cell r="O1358">
            <v>8</v>
          </cell>
          <cell r="P1358">
            <v>8</v>
          </cell>
          <cell r="Q1358" t="str">
            <v>PO</v>
          </cell>
          <cell r="R1358" t="str">
            <v>PO</v>
          </cell>
          <cell r="S1358" t="str">
            <v>CN</v>
          </cell>
          <cell r="T1358" t="str">
            <v>AL8</v>
          </cell>
          <cell r="U1358">
            <v>8</v>
          </cell>
          <cell r="V1358">
            <v>8</v>
          </cell>
          <cell r="W1358">
            <v>8</v>
          </cell>
          <cell r="X1358">
            <v>8</v>
          </cell>
          <cell r="Y1358" t="str">
            <v>PO</v>
          </cell>
          <cell r="Z1358" t="str">
            <v>CN</v>
          </cell>
          <cell r="AA1358">
            <v>8</v>
          </cell>
          <cell r="AB1358">
            <v>8</v>
          </cell>
          <cell r="AC1358">
            <v>8</v>
          </cell>
          <cell r="AD1358">
            <v>8</v>
          </cell>
          <cell r="AE1358">
            <v>8</v>
          </cell>
          <cell r="AF1358" t="str">
            <v>PO</v>
          </cell>
          <cell r="AG1358" t="str">
            <v>CN</v>
          </cell>
          <cell r="AH1358">
            <v>8</v>
          </cell>
          <cell r="AI1358">
            <v>8</v>
          </cell>
          <cell r="AJ1358">
            <v>8</v>
          </cell>
          <cell r="AN1358">
            <v>0</v>
          </cell>
          <cell r="AO1358">
            <v>144</v>
          </cell>
          <cell r="AP1358">
            <v>0</v>
          </cell>
          <cell r="AQ1358">
            <v>0</v>
          </cell>
          <cell r="AR1358">
            <v>0</v>
          </cell>
          <cell r="AS1358">
            <v>0</v>
          </cell>
          <cell r="AT1358">
            <v>0</v>
          </cell>
          <cell r="AU1358">
            <v>0</v>
          </cell>
          <cell r="AV1358">
            <v>40</v>
          </cell>
          <cell r="AW1358">
            <v>0</v>
          </cell>
          <cell r="AX1358">
            <v>0</v>
          </cell>
          <cell r="AY1358">
            <v>0</v>
          </cell>
          <cell r="AZ1358">
            <v>0</v>
          </cell>
          <cell r="BA1358">
            <v>8</v>
          </cell>
          <cell r="BB1358">
            <v>0</v>
          </cell>
          <cell r="BC1358">
            <v>0</v>
          </cell>
          <cell r="BD1358">
            <v>0</v>
          </cell>
          <cell r="BE1358">
            <v>0</v>
          </cell>
          <cell r="BF1358">
            <v>0</v>
          </cell>
          <cell r="BG1358">
            <v>192</v>
          </cell>
          <cell r="BH1358">
            <v>1</v>
          </cell>
          <cell r="BI1358">
            <v>1</v>
          </cell>
          <cell r="BJ1358">
            <v>0</v>
          </cell>
          <cell r="CD1358">
            <v>0</v>
          </cell>
          <cell r="CE1358">
            <v>0</v>
          </cell>
          <cell r="CF1358">
            <v>0</v>
          </cell>
          <cell r="CG1358">
            <v>0</v>
          </cell>
          <cell r="CH1358">
            <v>0</v>
          </cell>
          <cell r="CI1358">
            <v>0</v>
          </cell>
          <cell r="CJ1358">
            <v>0</v>
          </cell>
          <cell r="CK1358">
            <v>0</v>
          </cell>
          <cell r="CL1358">
            <v>0</v>
          </cell>
          <cell r="CM1358">
            <v>0</v>
          </cell>
        </row>
        <row r="1359">
          <cell r="C1359" t="str">
            <v>00055</v>
          </cell>
          <cell r="D1359" t="str">
            <v>Hứa Đức Hưng</v>
          </cell>
          <cell r="E1359" t="str">
            <v>Sales</v>
          </cell>
          <cell r="F1359" t="str">
            <v>Sales</v>
          </cell>
          <cell r="G1359" t="str">
            <v>Sales &amp; Customer service Director</v>
          </cell>
          <cell r="H1359">
            <v>41228</v>
          </cell>
          <cell r="I1359">
            <v>8</v>
          </cell>
          <cell r="J1359">
            <v>8</v>
          </cell>
          <cell r="K1359" t="str">
            <v>PO</v>
          </cell>
          <cell r="L1359" t="str">
            <v>CN</v>
          </cell>
          <cell r="M1359">
            <v>8</v>
          </cell>
          <cell r="N1359">
            <v>8</v>
          </cell>
          <cell r="O1359">
            <v>8</v>
          </cell>
          <cell r="P1359">
            <v>8</v>
          </cell>
          <cell r="Q1359" t="str">
            <v>PO</v>
          </cell>
          <cell r="R1359" t="str">
            <v>PO</v>
          </cell>
          <cell r="S1359" t="str">
            <v>CN</v>
          </cell>
          <cell r="T1359" t="str">
            <v>AL8</v>
          </cell>
          <cell r="U1359">
            <v>8</v>
          </cell>
          <cell r="V1359">
            <v>8</v>
          </cell>
          <cell r="W1359">
            <v>8</v>
          </cell>
          <cell r="X1359">
            <v>8</v>
          </cell>
          <cell r="Y1359" t="str">
            <v>PO</v>
          </cell>
          <cell r="Z1359" t="str">
            <v>CN</v>
          </cell>
          <cell r="AA1359">
            <v>8</v>
          </cell>
          <cell r="AB1359">
            <v>8</v>
          </cell>
          <cell r="AC1359">
            <v>8</v>
          </cell>
          <cell r="AD1359">
            <v>8</v>
          </cell>
          <cell r="AE1359">
            <v>8</v>
          </cell>
          <cell r="AF1359" t="str">
            <v>PO</v>
          </cell>
          <cell r="AG1359" t="str">
            <v>CN</v>
          </cell>
          <cell r="AH1359">
            <v>8</v>
          </cell>
          <cell r="AI1359">
            <v>8</v>
          </cell>
          <cell r="AJ1359">
            <v>8</v>
          </cell>
          <cell r="AN1359">
            <v>0</v>
          </cell>
          <cell r="AO1359">
            <v>144</v>
          </cell>
          <cell r="AP1359">
            <v>0</v>
          </cell>
          <cell r="AQ1359">
            <v>0</v>
          </cell>
          <cell r="AR1359">
            <v>0</v>
          </cell>
          <cell r="AS1359">
            <v>0</v>
          </cell>
          <cell r="AT1359">
            <v>0</v>
          </cell>
          <cell r="AU1359">
            <v>0</v>
          </cell>
          <cell r="AV1359">
            <v>40</v>
          </cell>
          <cell r="AW1359">
            <v>0</v>
          </cell>
          <cell r="AX1359">
            <v>0</v>
          </cell>
          <cell r="AY1359">
            <v>0</v>
          </cell>
          <cell r="AZ1359">
            <v>0</v>
          </cell>
          <cell r="BA1359">
            <v>8</v>
          </cell>
          <cell r="BB1359">
            <v>0</v>
          </cell>
          <cell r="BC1359">
            <v>0</v>
          </cell>
          <cell r="BD1359">
            <v>0</v>
          </cell>
          <cell r="BE1359">
            <v>0</v>
          </cell>
          <cell r="BF1359">
            <v>0</v>
          </cell>
          <cell r="BG1359">
            <v>192</v>
          </cell>
          <cell r="BH1359">
            <v>1</v>
          </cell>
          <cell r="BI1359">
            <v>1</v>
          </cell>
          <cell r="BJ1359">
            <v>17.5</v>
          </cell>
          <cell r="CD1359">
            <v>0</v>
          </cell>
          <cell r="CE1359">
            <v>0</v>
          </cell>
          <cell r="CF1359">
            <v>0</v>
          </cell>
          <cell r="CG1359">
            <v>0</v>
          </cell>
          <cell r="CH1359">
            <v>0</v>
          </cell>
          <cell r="CI1359">
            <v>0</v>
          </cell>
          <cell r="CJ1359">
            <v>0</v>
          </cell>
          <cell r="CK1359">
            <v>0</v>
          </cell>
          <cell r="CL1359">
            <v>0</v>
          </cell>
          <cell r="CM1359">
            <v>0</v>
          </cell>
        </row>
        <row r="1360">
          <cell r="C1360" t="str">
            <v>00099</v>
          </cell>
          <cell r="D1360" t="str">
            <v>Wang Guo Liang</v>
          </cell>
          <cell r="E1360" t="str">
            <v>CS</v>
          </cell>
          <cell r="F1360" t="str">
            <v>CS</v>
          </cell>
          <cell r="G1360" t="str">
            <v>Insole manufacturing technical</v>
          </cell>
          <cell r="H1360">
            <v>41302</v>
          </cell>
          <cell r="I1360">
            <v>8</v>
          </cell>
          <cell r="J1360">
            <v>8</v>
          </cell>
          <cell r="K1360" t="str">
            <v>PO</v>
          </cell>
          <cell r="L1360" t="str">
            <v>CN</v>
          </cell>
          <cell r="M1360" t="str">
            <v>AL8</v>
          </cell>
          <cell r="N1360" t="str">
            <v>AL8</v>
          </cell>
          <cell r="O1360" t="str">
            <v>AL8</v>
          </cell>
          <cell r="P1360">
            <v>8</v>
          </cell>
          <cell r="Q1360" t="str">
            <v>PO</v>
          </cell>
          <cell r="R1360" t="str">
            <v>PO</v>
          </cell>
          <cell r="S1360" t="str">
            <v>CN</v>
          </cell>
          <cell r="T1360">
            <v>8</v>
          </cell>
          <cell r="U1360">
            <v>8</v>
          </cell>
          <cell r="V1360">
            <v>8</v>
          </cell>
          <cell r="W1360">
            <v>8</v>
          </cell>
          <cell r="X1360">
            <v>8</v>
          </cell>
          <cell r="Y1360" t="str">
            <v>PO</v>
          </cell>
          <cell r="Z1360" t="str">
            <v>CN</v>
          </cell>
          <cell r="AA1360">
            <v>8</v>
          </cell>
          <cell r="AB1360">
            <v>8</v>
          </cell>
          <cell r="AC1360">
            <v>8</v>
          </cell>
          <cell r="AD1360">
            <v>8</v>
          </cell>
          <cell r="AE1360">
            <v>8</v>
          </cell>
          <cell r="AF1360" t="str">
            <v>PO</v>
          </cell>
          <cell r="AG1360" t="str">
            <v>CN</v>
          </cell>
          <cell r="AH1360">
            <v>8</v>
          </cell>
          <cell r="AI1360">
            <v>8</v>
          </cell>
          <cell r="AJ1360">
            <v>8</v>
          </cell>
          <cell r="AN1360">
            <v>0</v>
          </cell>
          <cell r="AO1360">
            <v>128</v>
          </cell>
          <cell r="AP1360">
            <v>0</v>
          </cell>
          <cell r="AQ1360">
            <v>0</v>
          </cell>
          <cell r="AR1360">
            <v>0</v>
          </cell>
          <cell r="AS1360">
            <v>0</v>
          </cell>
          <cell r="AT1360">
            <v>0</v>
          </cell>
          <cell r="AU1360">
            <v>0</v>
          </cell>
          <cell r="AV1360">
            <v>40</v>
          </cell>
          <cell r="AW1360">
            <v>0</v>
          </cell>
          <cell r="AX1360">
            <v>0</v>
          </cell>
          <cell r="AY1360">
            <v>0</v>
          </cell>
          <cell r="AZ1360">
            <v>0</v>
          </cell>
          <cell r="BA1360">
            <v>24</v>
          </cell>
          <cell r="BB1360">
            <v>0</v>
          </cell>
          <cell r="BC1360">
            <v>0</v>
          </cell>
          <cell r="BD1360">
            <v>0</v>
          </cell>
          <cell r="BE1360">
            <v>0</v>
          </cell>
          <cell r="BF1360">
            <v>0</v>
          </cell>
          <cell r="BG1360">
            <v>192</v>
          </cell>
          <cell r="BH1360">
            <v>3</v>
          </cell>
          <cell r="BI1360">
            <v>3</v>
          </cell>
          <cell r="BJ1360">
            <v>22</v>
          </cell>
          <cell r="CD1360">
            <v>0</v>
          </cell>
          <cell r="CE1360">
            <v>0</v>
          </cell>
          <cell r="CF1360">
            <v>0</v>
          </cell>
          <cell r="CG1360">
            <v>0</v>
          </cell>
          <cell r="CH1360">
            <v>0</v>
          </cell>
          <cell r="CI1360">
            <v>0</v>
          </cell>
          <cell r="CJ1360">
            <v>0</v>
          </cell>
          <cell r="CK1360">
            <v>0</v>
          </cell>
          <cell r="CL1360">
            <v>0</v>
          </cell>
          <cell r="CM1360">
            <v>0</v>
          </cell>
        </row>
        <row r="1361">
          <cell r="C1361" t="str">
            <v>00285</v>
          </cell>
          <cell r="D1361" t="str">
            <v>Lâm Vĩ Nghiêm</v>
          </cell>
          <cell r="E1361" t="str">
            <v>Technical Development</v>
          </cell>
          <cell r="F1361" t="str">
            <v>PD Sample</v>
          </cell>
          <cell r="G1361" t="str">
            <v>Deputy PD Manager</v>
          </cell>
          <cell r="H1361">
            <v>40483</v>
          </cell>
          <cell r="I1361">
            <v>8</v>
          </cell>
          <cell r="J1361" t="str">
            <v>AL4</v>
          </cell>
          <cell r="K1361" t="str">
            <v>PO</v>
          </cell>
          <cell r="L1361" t="str">
            <v>CN</v>
          </cell>
          <cell r="M1361">
            <v>8</v>
          </cell>
          <cell r="N1361">
            <v>8</v>
          </cell>
          <cell r="O1361">
            <v>8</v>
          </cell>
          <cell r="P1361" t="str">
            <v>AL4</v>
          </cell>
          <cell r="Q1361" t="str">
            <v>PO</v>
          </cell>
          <cell r="R1361" t="str">
            <v>PO</v>
          </cell>
          <cell r="S1361" t="str">
            <v>CN</v>
          </cell>
          <cell r="T1361">
            <v>8</v>
          </cell>
          <cell r="U1361">
            <v>8</v>
          </cell>
          <cell r="V1361" t="str">
            <v>AL8</v>
          </cell>
          <cell r="W1361">
            <v>8</v>
          </cell>
          <cell r="X1361" t="str">
            <v>AL8</v>
          </cell>
          <cell r="Y1361" t="str">
            <v>PO</v>
          </cell>
          <cell r="Z1361" t="str">
            <v>CN</v>
          </cell>
          <cell r="AA1361">
            <v>8</v>
          </cell>
          <cell r="AB1361">
            <v>8</v>
          </cell>
          <cell r="AC1361">
            <v>8</v>
          </cell>
          <cell r="AD1361">
            <v>8</v>
          </cell>
          <cell r="AE1361">
            <v>8</v>
          </cell>
          <cell r="AF1361" t="str">
            <v>PO</v>
          </cell>
          <cell r="AG1361" t="str">
            <v>CN</v>
          </cell>
          <cell r="AH1361">
            <v>8</v>
          </cell>
          <cell r="AI1361">
            <v>8</v>
          </cell>
          <cell r="AJ1361">
            <v>8</v>
          </cell>
          <cell r="AN1361">
            <v>0</v>
          </cell>
          <cell r="AO1361">
            <v>128</v>
          </cell>
          <cell r="AP1361">
            <v>8</v>
          </cell>
          <cell r="AQ1361">
            <v>0</v>
          </cell>
          <cell r="AR1361">
            <v>0</v>
          </cell>
          <cell r="AS1361">
            <v>0</v>
          </cell>
          <cell r="AT1361">
            <v>0</v>
          </cell>
          <cell r="AU1361">
            <v>0</v>
          </cell>
          <cell r="AV1361">
            <v>40</v>
          </cell>
          <cell r="AW1361">
            <v>0</v>
          </cell>
          <cell r="AX1361">
            <v>0</v>
          </cell>
          <cell r="AY1361">
            <v>0</v>
          </cell>
          <cell r="AZ1361">
            <v>0</v>
          </cell>
          <cell r="BA1361">
            <v>24</v>
          </cell>
          <cell r="BB1361">
            <v>0</v>
          </cell>
          <cell r="BC1361">
            <v>0</v>
          </cell>
          <cell r="BD1361">
            <v>0</v>
          </cell>
          <cell r="BE1361">
            <v>0</v>
          </cell>
          <cell r="BF1361">
            <v>0</v>
          </cell>
          <cell r="BG1361">
            <v>192</v>
          </cell>
          <cell r="BH1361">
            <v>3</v>
          </cell>
          <cell r="BI1361">
            <v>3</v>
          </cell>
          <cell r="BJ1361">
            <v>14.5</v>
          </cell>
          <cell r="CD1361">
            <v>0</v>
          </cell>
          <cell r="CE1361">
            <v>0</v>
          </cell>
          <cell r="CF1361">
            <v>0</v>
          </cell>
          <cell r="CG1361">
            <v>0</v>
          </cell>
          <cell r="CH1361">
            <v>0</v>
          </cell>
          <cell r="CI1361">
            <v>0</v>
          </cell>
          <cell r="CJ1361">
            <v>0</v>
          </cell>
          <cell r="CK1361">
            <v>0</v>
          </cell>
          <cell r="CL1361">
            <v>0</v>
          </cell>
          <cell r="CM1361">
            <v>0</v>
          </cell>
        </row>
        <row r="1362">
          <cell r="C1362" t="str">
            <v>00585</v>
          </cell>
          <cell r="D1362" t="str">
            <v>Trịnh Thị Liên</v>
          </cell>
          <cell r="E1362" t="str">
            <v>PD</v>
          </cell>
          <cell r="F1362" t="str">
            <v>PD office</v>
          </cell>
          <cell r="G1362" t="str">
            <v>Deputy Manager</v>
          </cell>
          <cell r="H1362">
            <v>42128</v>
          </cell>
          <cell r="I1362">
            <v>8</v>
          </cell>
          <cell r="J1362">
            <v>8</v>
          </cell>
          <cell r="K1362" t="str">
            <v>PO</v>
          </cell>
          <cell r="L1362" t="str">
            <v>CN</v>
          </cell>
          <cell r="M1362">
            <v>8</v>
          </cell>
          <cell r="N1362">
            <v>8</v>
          </cell>
          <cell r="O1362">
            <v>8</v>
          </cell>
          <cell r="P1362">
            <v>8</v>
          </cell>
          <cell r="Q1362" t="str">
            <v>PO</v>
          </cell>
          <cell r="R1362" t="str">
            <v>PO</v>
          </cell>
          <cell r="S1362" t="str">
            <v>CN</v>
          </cell>
          <cell r="T1362">
            <v>8</v>
          </cell>
          <cell r="U1362">
            <v>8</v>
          </cell>
          <cell r="V1362">
            <v>8</v>
          </cell>
          <cell r="W1362">
            <v>8</v>
          </cell>
          <cell r="X1362">
            <v>8</v>
          </cell>
          <cell r="Y1362" t="str">
            <v>PO</v>
          </cell>
          <cell r="Z1362" t="str">
            <v>CN</v>
          </cell>
          <cell r="AA1362">
            <v>8</v>
          </cell>
          <cell r="AB1362">
            <v>8</v>
          </cell>
          <cell r="AC1362">
            <v>8</v>
          </cell>
          <cell r="AD1362">
            <v>8</v>
          </cell>
          <cell r="AE1362">
            <v>8</v>
          </cell>
          <cell r="AF1362" t="str">
            <v>PO</v>
          </cell>
          <cell r="AG1362" t="str">
            <v>CN</v>
          </cell>
          <cell r="AH1362">
            <v>8</v>
          </cell>
          <cell r="AI1362">
            <v>8</v>
          </cell>
          <cell r="AJ1362">
            <v>8</v>
          </cell>
          <cell r="AN1362">
            <v>0</v>
          </cell>
          <cell r="AO1362">
            <v>152</v>
          </cell>
          <cell r="AP1362">
            <v>0</v>
          </cell>
          <cell r="AQ1362">
            <v>0</v>
          </cell>
          <cell r="AR1362">
            <v>0</v>
          </cell>
          <cell r="AS1362">
            <v>0</v>
          </cell>
          <cell r="AT1362">
            <v>0</v>
          </cell>
          <cell r="AU1362">
            <v>0</v>
          </cell>
          <cell r="AV1362">
            <v>40</v>
          </cell>
          <cell r="AW1362">
            <v>0</v>
          </cell>
          <cell r="AX1362">
            <v>0</v>
          </cell>
          <cell r="AY1362">
            <v>0</v>
          </cell>
          <cell r="AZ1362">
            <v>0</v>
          </cell>
          <cell r="BA1362">
            <v>0</v>
          </cell>
          <cell r="BB1362">
            <v>0</v>
          </cell>
          <cell r="BC1362">
            <v>0</v>
          </cell>
          <cell r="BD1362">
            <v>0</v>
          </cell>
          <cell r="BE1362">
            <v>0</v>
          </cell>
          <cell r="BF1362">
            <v>0</v>
          </cell>
          <cell r="BG1362">
            <v>192</v>
          </cell>
          <cell r="BH1362">
            <v>0</v>
          </cell>
          <cell r="BI1362">
            <v>0</v>
          </cell>
          <cell r="BJ1362">
            <v>7.3333333333333357</v>
          </cell>
          <cell r="CD1362">
            <v>0</v>
          </cell>
          <cell r="CE1362">
            <v>0</v>
          </cell>
          <cell r="CF1362">
            <v>0</v>
          </cell>
          <cell r="CG1362">
            <v>0</v>
          </cell>
          <cell r="CH1362">
            <v>0</v>
          </cell>
          <cell r="CI1362">
            <v>0</v>
          </cell>
          <cell r="CJ1362">
            <v>0</v>
          </cell>
          <cell r="CK1362">
            <v>0</v>
          </cell>
          <cell r="CL1362">
            <v>0</v>
          </cell>
          <cell r="CM1362">
            <v>0</v>
          </cell>
        </row>
        <row r="1363">
          <cell r="C1363" t="str">
            <v>00910</v>
          </cell>
          <cell r="D1363" t="str">
            <v>Đỗ Hữu Hồng Châu</v>
          </cell>
          <cell r="E1363" t="str">
            <v>Account - Financial</v>
          </cell>
          <cell r="F1363" t="str">
            <v>Logistics (OVN)</v>
          </cell>
          <cell r="G1363" t="str">
            <v>Logistics Manager</v>
          </cell>
          <cell r="H1363">
            <v>42705</v>
          </cell>
          <cell r="I1363">
            <v>8</v>
          </cell>
          <cell r="J1363">
            <v>8</v>
          </cell>
          <cell r="K1363" t="str">
            <v>PO</v>
          </cell>
          <cell r="L1363" t="str">
            <v>CN</v>
          </cell>
          <cell r="M1363">
            <v>8</v>
          </cell>
          <cell r="N1363">
            <v>8</v>
          </cell>
          <cell r="O1363">
            <v>8</v>
          </cell>
          <cell r="P1363">
            <v>8</v>
          </cell>
          <cell r="Q1363" t="str">
            <v>PO</v>
          </cell>
          <cell r="R1363" t="str">
            <v>PO</v>
          </cell>
          <cell r="S1363" t="str">
            <v>CN</v>
          </cell>
          <cell r="T1363" t="str">
            <v>AL8</v>
          </cell>
          <cell r="U1363">
            <v>8</v>
          </cell>
          <cell r="V1363">
            <v>8</v>
          </cell>
          <cell r="W1363">
            <v>8</v>
          </cell>
          <cell r="X1363">
            <v>8</v>
          </cell>
          <cell r="Y1363" t="str">
            <v>PO</v>
          </cell>
          <cell r="Z1363" t="str">
            <v>CN</v>
          </cell>
          <cell r="AA1363">
            <v>8</v>
          </cell>
          <cell r="AB1363">
            <v>8</v>
          </cell>
          <cell r="AC1363">
            <v>8</v>
          </cell>
          <cell r="AD1363">
            <v>8</v>
          </cell>
          <cell r="AE1363" t="str">
            <v>AL8</v>
          </cell>
          <cell r="AF1363" t="str">
            <v>PO</v>
          </cell>
          <cell r="AG1363" t="str">
            <v>CN</v>
          </cell>
          <cell r="AH1363">
            <v>8</v>
          </cell>
          <cell r="AI1363">
            <v>8</v>
          </cell>
          <cell r="AJ1363">
            <v>8</v>
          </cell>
          <cell r="AN1363">
            <v>0</v>
          </cell>
          <cell r="AO1363">
            <v>136</v>
          </cell>
          <cell r="AP1363">
            <v>0</v>
          </cell>
          <cell r="AQ1363">
            <v>0</v>
          </cell>
          <cell r="AR1363">
            <v>0</v>
          </cell>
          <cell r="AS1363">
            <v>0</v>
          </cell>
          <cell r="AT1363">
            <v>0</v>
          </cell>
          <cell r="AU1363">
            <v>0</v>
          </cell>
          <cell r="AV1363">
            <v>40</v>
          </cell>
          <cell r="AW1363">
            <v>0</v>
          </cell>
          <cell r="AX1363">
            <v>0</v>
          </cell>
          <cell r="AY1363">
            <v>0</v>
          </cell>
          <cell r="AZ1363">
            <v>0</v>
          </cell>
          <cell r="BA1363">
            <v>16</v>
          </cell>
          <cell r="BB1363">
            <v>0</v>
          </cell>
          <cell r="BC1363">
            <v>0</v>
          </cell>
          <cell r="BD1363">
            <v>0</v>
          </cell>
          <cell r="BE1363">
            <v>0</v>
          </cell>
          <cell r="BF1363">
            <v>0</v>
          </cell>
          <cell r="BG1363">
            <v>192</v>
          </cell>
          <cell r="BH1363">
            <v>2</v>
          </cell>
          <cell r="BI1363">
            <v>2</v>
          </cell>
          <cell r="BJ1363">
            <v>9.5</v>
          </cell>
          <cell r="CD1363">
            <v>0</v>
          </cell>
          <cell r="CE1363">
            <v>0</v>
          </cell>
          <cell r="CF1363">
            <v>0</v>
          </cell>
          <cell r="CG1363">
            <v>0</v>
          </cell>
          <cell r="CH1363">
            <v>0</v>
          </cell>
          <cell r="CI1363">
            <v>0</v>
          </cell>
          <cell r="CJ1363">
            <v>0</v>
          </cell>
          <cell r="CK1363">
            <v>0</v>
          </cell>
          <cell r="CL1363">
            <v>0</v>
          </cell>
          <cell r="CM1363">
            <v>0</v>
          </cell>
        </row>
        <row r="1364">
          <cell r="C1364" t="str">
            <v>01065</v>
          </cell>
          <cell r="D1364" t="str">
            <v>Nguyễn Thị Thiên Nga</v>
          </cell>
          <cell r="E1364" t="str">
            <v>Account - Financial</v>
          </cell>
          <cell r="F1364" t="str">
            <v>O2 Accounting (HQ)</v>
          </cell>
          <cell r="G1364" t="str">
            <v>Accounting Manager</v>
          </cell>
          <cell r="H1364">
            <v>42905</v>
          </cell>
          <cell r="I1364">
            <v>8</v>
          </cell>
          <cell r="J1364">
            <v>8</v>
          </cell>
          <cell r="K1364" t="str">
            <v>PO</v>
          </cell>
          <cell r="L1364" t="str">
            <v>CN</v>
          </cell>
          <cell r="M1364">
            <v>8</v>
          </cell>
          <cell r="N1364">
            <v>8</v>
          </cell>
          <cell r="O1364">
            <v>8</v>
          </cell>
          <cell r="P1364">
            <v>8</v>
          </cell>
          <cell r="Q1364" t="str">
            <v>PO</v>
          </cell>
          <cell r="R1364" t="str">
            <v>PO</v>
          </cell>
          <cell r="S1364" t="str">
            <v>CN</v>
          </cell>
          <cell r="T1364">
            <v>8</v>
          </cell>
          <cell r="U1364">
            <v>8</v>
          </cell>
          <cell r="V1364">
            <v>8</v>
          </cell>
          <cell r="W1364">
            <v>8</v>
          </cell>
          <cell r="X1364">
            <v>8</v>
          </cell>
          <cell r="Y1364" t="str">
            <v>PO</v>
          </cell>
          <cell r="Z1364" t="str">
            <v>CN</v>
          </cell>
          <cell r="AA1364">
            <v>8</v>
          </cell>
          <cell r="AB1364">
            <v>8</v>
          </cell>
          <cell r="AC1364">
            <v>8</v>
          </cell>
          <cell r="AD1364">
            <v>8</v>
          </cell>
          <cell r="AE1364">
            <v>8</v>
          </cell>
          <cell r="AF1364" t="str">
            <v>PO</v>
          </cell>
          <cell r="AG1364" t="str">
            <v>CN</v>
          </cell>
          <cell r="AH1364">
            <v>8</v>
          </cell>
          <cell r="AI1364">
            <v>8</v>
          </cell>
          <cell r="AJ1364">
            <v>8</v>
          </cell>
          <cell r="AN1364">
            <v>0</v>
          </cell>
          <cell r="AO1364">
            <v>152</v>
          </cell>
          <cell r="AP1364">
            <v>0</v>
          </cell>
          <cell r="AQ1364">
            <v>0</v>
          </cell>
          <cell r="AR1364">
            <v>0</v>
          </cell>
          <cell r="AS1364">
            <v>0</v>
          </cell>
          <cell r="AT1364">
            <v>0</v>
          </cell>
          <cell r="AU1364">
            <v>0</v>
          </cell>
          <cell r="AV1364">
            <v>40</v>
          </cell>
          <cell r="AW1364">
            <v>0</v>
          </cell>
          <cell r="AX1364">
            <v>0</v>
          </cell>
          <cell r="AY1364">
            <v>0</v>
          </cell>
          <cell r="AZ1364">
            <v>0</v>
          </cell>
          <cell r="BA1364">
            <v>0</v>
          </cell>
          <cell r="BB1364">
            <v>0</v>
          </cell>
          <cell r="BC1364">
            <v>0</v>
          </cell>
          <cell r="BD1364">
            <v>0</v>
          </cell>
          <cell r="BE1364">
            <v>0</v>
          </cell>
          <cell r="BF1364">
            <v>0</v>
          </cell>
          <cell r="BG1364">
            <v>192</v>
          </cell>
          <cell r="BH1364">
            <v>0</v>
          </cell>
          <cell r="BI1364">
            <v>0</v>
          </cell>
          <cell r="BJ1364">
            <v>9.5</v>
          </cell>
          <cell r="CD1364">
            <v>0</v>
          </cell>
          <cell r="CE1364">
            <v>0</v>
          </cell>
          <cell r="CF1364">
            <v>0</v>
          </cell>
          <cell r="CG1364">
            <v>0</v>
          </cell>
          <cell r="CH1364">
            <v>0</v>
          </cell>
          <cell r="CI1364">
            <v>0</v>
          </cell>
          <cell r="CJ1364">
            <v>0</v>
          </cell>
          <cell r="CK1364">
            <v>0</v>
          </cell>
          <cell r="CL1364">
            <v>0</v>
          </cell>
          <cell r="CM1364">
            <v>0</v>
          </cell>
        </row>
        <row r="1365">
          <cell r="C1365" t="str">
            <v>01369</v>
          </cell>
          <cell r="D1365" t="str">
            <v>Lê Thị Kim Vui</v>
          </cell>
          <cell r="E1365" t="str">
            <v>HR &amp; Admin</v>
          </cell>
          <cell r="F1365" t="str">
            <v>HR</v>
          </cell>
          <cell r="G1365" t="str">
            <v>Human resource and Administration Director</v>
          </cell>
          <cell r="H1365">
            <v>43360</v>
          </cell>
          <cell r="I1365">
            <v>8</v>
          </cell>
          <cell r="J1365">
            <v>8</v>
          </cell>
          <cell r="K1365" t="str">
            <v>PO</v>
          </cell>
          <cell r="L1365" t="str">
            <v>CN</v>
          </cell>
          <cell r="M1365">
            <v>8</v>
          </cell>
          <cell r="N1365">
            <v>8</v>
          </cell>
          <cell r="O1365">
            <v>8</v>
          </cell>
          <cell r="P1365">
            <v>8</v>
          </cell>
          <cell r="Q1365" t="str">
            <v>PO</v>
          </cell>
          <cell r="R1365" t="str">
            <v>PO</v>
          </cell>
          <cell r="S1365" t="str">
            <v>CN</v>
          </cell>
          <cell r="T1365">
            <v>8</v>
          </cell>
          <cell r="U1365">
            <v>8</v>
          </cell>
          <cell r="V1365">
            <v>8</v>
          </cell>
          <cell r="W1365">
            <v>8</v>
          </cell>
          <cell r="X1365">
            <v>8</v>
          </cell>
          <cell r="Y1365" t="str">
            <v>PO</v>
          </cell>
          <cell r="Z1365" t="str">
            <v>CN</v>
          </cell>
          <cell r="AA1365">
            <v>8</v>
          </cell>
          <cell r="AB1365">
            <v>8</v>
          </cell>
          <cell r="AC1365">
            <v>8</v>
          </cell>
          <cell r="AD1365">
            <v>8</v>
          </cell>
          <cell r="AE1365" t="str">
            <v>AL8</v>
          </cell>
          <cell r="AF1365" t="str">
            <v>PO</v>
          </cell>
          <cell r="AG1365" t="str">
            <v>CN</v>
          </cell>
          <cell r="AH1365">
            <v>8</v>
          </cell>
          <cell r="AI1365" t="str">
            <v>BS</v>
          </cell>
          <cell r="AJ1365" t="str">
            <v>BS</v>
          </cell>
          <cell r="AN1365">
            <v>0</v>
          </cell>
          <cell r="AO1365">
            <v>128</v>
          </cell>
          <cell r="AP1365">
            <v>0</v>
          </cell>
          <cell r="AQ1365">
            <v>0</v>
          </cell>
          <cell r="AR1365">
            <v>0</v>
          </cell>
          <cell r="AS1365">
            <v>0</v>
          </cell>
          <cell r="AT1365">
            <v>0</v>
          </cell>
          <cell r="AU1365">
            <v>16</v>
          </cell>
          <cell r="AV1365">
            <v>40</v>
          </cell>
          <cell r="AW1365">
            <v>0</v>
          </cell>
          <cell r="AX1365">
            <v>0</v>
          </cell>
          <cell r="AY1365">
            <v>0</v>
          </cell>
          <cell r="AZ1365">
            <v>0</v>
          </cell>
          <cell r="BA1365">
            <v>8</v>
          </cell>
          <cell r="BB1365">
            <v>0</v>
          </cell>
          <cell r="BC1365">
            <v>0</v>
          </cell>
          <cell r="BD1365">
            <v>0</v>
          </cell>
          <cell r="BE1365">
            <v>0</v>
          </cell>
          <cell r="BF1365">
            <v>0</v>
          </cell>
          <cell r="BG1365">
            <v>192</v>
          </cell>
          <cell r="BH1365">
            <v>1</v>
          </cell>
          <cell r="BI1365">
            <v>1</v>
          </cell>
          <cell r="BJ1365">
            <v>8</v>
          </cell>
          <cell r="CD1365">
            <v>0</v>
          </cell>
          <cell r="CE1365">
            <v>0</v>
          </cell>
          <cell r="CF1365">
            <v>0</v>
          </cell>
          <cell r="CG1365">
            <v>0</v>
          </cell>
          <cell r="CH1365">
            <v>0</v>
          </cell>
          <cell r="CI1365">
            <v>0</v>
          </cell>
          <cell r="CJ1365">
            <v>0</v>
          </cell>
          <cell r="CK1365">
            <v>0</v>
          </cell>
          <cell r="CL1365">
            <v>0</v>
          </cell>
          <cell r="CM1365">
            <v>0</v>
          </cell>
        </row>
        <row r="1366">
          <cell r="C1366" t="str">
            <v>01374</v>
          </cell>
          <cell r="D1366" t="str">
            <v>Nguyễn Thị Thu Thủy</v>
          </cell>
          <cell r="E1366" t="str">
            <v>HR &amp; Admin</v>
          </cell>
          <cell r="F1366" t="str">
            <v>HR</v>
          </cell>
          <cell r="G1366" t="str">
            <v>Senior Specialist II</v>
          </cell>
          <cell r="H1366">
            <v>43389</v>
          </cell>
          <cell r="I1366">
            <v>8</v>
          </cell>
          <cell r="J1366">
            <v>8</v>
          </cell>
          <cell r="K1366" t="str">
            <v>PO</v>
          </cell>
          <cell r="L1366" t="str">
            <v>CN</v>
          </cell>
          <cell r="M1366">
            <v>8</v>
          </cell>
          <cell r="N1366">
            <v>8</v>
          </cell>
          <cell r="O1366">
            <v>8</v>
          </cell>
          <cell r="P1366">
            <v>8</v>
          </cell>
          <cell r="Q1366" t="str">
            <v>PO</v>
          </cell>
          <cell r="R1366" t="str">
            <v>PO</v>
          </cell>
          <cell r="S1366" t="str">
            <v>CN</v>
          </cell>
          <cell r="T1366">
            <v>8</v>
          </cell>
          <cell r="U1366">
            <v>8</v>
          </cell>
          <cell r="V1366">
            <v>8</v>
          </cell>
          <cell r="W1366">
            <v>8</v>
          </cell>
          <cell r="X1366">
            <v>8</v>
          </cell>
          <cell r="Y1366" t="str">
            <v>PO</v>
          </cell>
          <cell r="Z1366" t="str">
            <v>CN</v>
          </cell>
          <cell r="AA1366">
            <v>8</v>
          </cell>
          <cell r="AB1366">
            <v>8</v>
          </cell>
          <cell r="AC1366">
            <v>8</v>
          </cell>
          <cell r="AD1366">
            <v>8</v>
          </cell>
          <cell r="AE1366">
            <v>8</v>
          </cell>
          <cell r="AF1366" t="str">
            <v>PO</v>
          </cell>
          <cell r="AG1366" t="str">
            <v>CN</v>
          </cell>
          <cell r="AH1366">
            <v>8</v>
          </cell>
          <cell r="AI1366">
            <v>8</v>
          </cell>
          <cell r="AJ1366">
            <v>8</v>
          </cell>
          <cell r="AN1366">
            <v>0</v>
          </cell>
          <cell r="AO1366">
            <v>152</v>
          </cell>
          <cell r="AP1366">
            <v>0</v>
          </cell>
          <cell r="AQ1366">
            <v>0</v>
          </cell>
          <cell r="AR1366">
            <v>0</v>
          </cell>
          <cell r="AS1366">
            <v>0</v>
          </cell>
          <cell r="AT1366">
            <v>0</v>
          </cell>
          <cell r="AU1366">
            <v>0</v>
          </cell>
          <cell r="AV1366">
            <v>40</v>
          </cell>
          <cell r="AW1366">
            <v>0</v>
          </cell>
          <cell r="AX1366">
            <v>0</v>
          </cell>
          <cell r="AY1366">
            <v>0</v>
          </cell>
          <cell r="AZ1366">
            <v>0</v>
          </cell>
          <cell r="BA1366">
            <v>0</v>
          </cell>
          <cell r="BB1366">
            <v>0</v>
          </cell>
          <cell r="BC1366">
            <v>0</v>
          </cell>
          <cell r="BD1366">
            <v>0</v>
          </cell>
          <cell r="BE1366">
            <v>0</v>
          </cell>
          <cell r="BF1366">
            <v>0</v>
          </cell>
          <cell r="BG1366">
            <v>192</v>
          </cell>
          <cell r="BH1366">
            <v>0</v>
          </cell>
          <cell r="BI1366">
            <v>0</v>
          </cell>
          <cell r="BJ1366">
            <v>11</v>
          </cell>
          <cell r="CD1366">
            <v>0</v>
          </cell>
          <cell r="CE1366">
            <v>0</v>
          </cell>
          <cell r="CF1366">
            <v>0</v>
          </cell>
          <cell r="CG1366">
            <v>0</v>
          </cell>
          <cell r="CH1366">
            <v>0</v>
          </cell>
          <cell r="CI1366">
            <v>0</v>
          </cell>
          <cell r="CJ1366">
            <v>0</v>
          </cell>
          <cell r="CK1366">
            <v>0</v>
          </cell>
          <cell r="CL1366">
            <v>0</v>
          </cell>
          <cell r="CM1366">
            <v>0</v>
          </cell>
        </row>
        <row r="1367">
          <cell r="C1367" t="str">
            <v>01427</v>
          </cell>
          <cell r="D1367" t="str">
            <v>Liu Chen Wu</v>
          </cell>
          <cell r="E1367" t="str">
            <v>Subcontractor</v>
          </cell>
          <cell r="F1367" t="str">
            <v>Subcontractor</v>
          </cell>
          <cell r="G1367" t="str">
            <v>Insole manufacturing technical</v>
          </cell>
          <cell r="H1367">
            <v>43435</v>
          </cell>
          <cell r="I1367" t="str">
            <v>AL8</v>
          </cell>
          <cell r="J1367" t="str">
            <v>AL8</v>
          </cell>
          <cell r="K1367" t="str">
            <v>PO</v>
          </cell>
          <cell r="L1367" t="str">
            <v>CN</v>
          </cell>
          <cell r="M1367">
            <v>8</v>
          </cell>
          <cell r="N1367">
            <v>8</v>
          </cell>
          <cell r="O1367">
            <v>8</v>
          </cell>
          <cell r="P1367">
            <v>8</v>
          </cell>
          <cell r="Q1367">
            <v>8</v>
          </cell>
          <cell r="R1367" t="str">
            <v>PO</v>
          </cell>
          <cell r="S1367" t="str">
            <v>CN</v>
          </cell>
          <cell r="T1367">
            <v>8</v>
          </cell>
          <cell r="U1367">
            <v>8</v>
          </cell>
          <cell r="V1367">
            <v>8</v>
          </cell>
          <cell r="W1367">
            <v>8</v>
          </cell>
          <cell r="X1367">
            <v>8</v>
          </cell>
          <cell r="Y1367" t="str">
            <v>PO</v>
          </cell>
          <cell r="Z1367" t="str">
            <v>CN</v>
          </cell>
          <cell r="AA1367">
            <v>8</v>
          </cell>
          <cell r="AB1367">
            <v>8</v>
          </cell>
          <cell r="AC1367">
            <v>8</v>
          </cell>
          <cell r="AD1367">
            <v>8</v>
          </cell>
          <cell r="AE1367">
            <v>8</v>
          </cell>
          <cell r="AF1367" t="str">
            <v>PO</v>
          </cell>
          <cell r="AG1367" t="str">
            <v>CN</v>
          </cell>
          <cell r="AH1367">
            <v>8</v>
          </cell>
          <cell r="AI1367">
            <v>8</v>
          </cell>
          <cell r="AJ1367">
            <v>8</v>
          </cell>
          <cell r="AN1367">
            <v>0</v>
          </cell>
          <cell r="AO1367">
            <v>144</v>
          </cell>
          <cell r="AP1367">
            <v>0</v>
          </cell>
          <cell r="AQ1367">
            <v>0</v>
          </cell>
          <cell r="AR1367">
            <v>0</v>
          </cell>
          <cell r="AS1367">
            <v>0</v>
          </cell>
          <cell r="AT1367">
            <v>0</v>
          </cell>
          <cell r="AU1367">
            <v>0</v>
          </cell>
          <cell r="AV1367">
            <v>32</v>
          </cell>
          <cell r="AW1367">
            <v>0</v>
          </cell>
          <cell r="AX1367">
            <v>0</v>
          </cell>
          <cell r="AY1367">
            <v>0</v>
          </cell>
          <cell r="AZ1367">
            <v>0</v>
          </cell>
          <cell r="BA1367">
            <v>16</v>
          </cell>
          <cell r="BB1367">
            <v>0</v>
          </cell>
          <cell r="BC1367">
            <v>0</v>
          </cell>
          <cell r="BD1367">
            <v>0</v>
          </cell>
          <cell r="BE1367">
            <v>0</v>
          </cell>
          <cell r="BF1367">
            <v>0</v>
          </cell>
          <cell r="BG1367">
            <v>192</v>
          </cell>
          <cell r="BH1367">
            <v>2</v>
          </cell>
          <cell r="BI1367">
            <v>2</v>
          </cell>
          <cell r="BJ1367">
            <v>18.5</v>
          </cell>
          <cell r="CD1367">
            <v>0</v>
          </cell>
          <cell r="CE1367">
            <v>0</v>
          </cell>
          <cell r="CF1367">
            <v>0</v>
          </cell>
          <cell r="CG1367">
            <v>0</v>
          </cell>
          <cell r="CH1367">
            <v>0</v>
          </cell>
          <cell r="CI1367">
            <v>0</v>
          </cell>
          <cell r="CJ1367">
            <v>0</v>
          </cell>
          <cell r="CK1367">
            <v>0</v>
          </cell>
          <cell r="CL1367">
            <v>0</v>
          </cell>
          <cell r="CM1367">
            <v>0</v>
          </cell>
        </row>
        <row r="1368">
          <cell r="C1368" t="str">
            <v>01546</v>
          </cell>
          <cell r="D1368" t="str">
            <v xml:space="preserve"> Mark Aaron Coffield</v>
          </cell>
          <cell r="E1368" t="str">
            <v>CM Office</v>
          </cell>
          <cell r="F1368" t="str">
            <v>CM Office</v>
          </cell>
          <cell r="G1368" t="str">
            <v>Country Manager</v>
          </cell>
          <cell r="H1368">
            <v>43514</v>
          </cell>
          <cell r="I1368">
            <v>8</v>
          </cell>
          <cell r="J1368">
            <v>8</v>
          </cell>
          <cell r="K1368" t="str">
            <v>PO</v>
          </cell>
          <cell r="L1368" t="str">
            <v>CN</v>
          </cell>
          <cell r="M1368">
            <v>8</v>
          </cell>
          <cell r="N1368">
            <v>8</v>
          </cell>
          <cell r="O1368">
            <v>8</v>
          </cell>
          <cell r="P1368">
            <v>8</v>
          </cell>
          <cell r="Q1368" t="str">
            <v>PO</v>
          </cell>
          <cell r="R1368" t="str">
            <v>PO</v>
          </cell>
          <cell r="S1368" t="str">
            <v>CN</v>
          </cell>
          <cell r="T1368">
            <v>8</v>
          </cell>
          <cell r="U1368">
            <v>8</v>
          </cell>
          <cell r="V1368">
            <v>8</v>
          </cell>
          <cell r="W1368">
            <v>8</v>
          </cell>
          <cell r="X1368">
            <v>8</v>
          </cell>
          <cell r="Y1368" t="str">
            <v>PO</v>
          </cell>
          <cell r="Z1368" t="str">
            <v>CN</v>
          </cell>
          <cell r="AA1368">
            <v>8</v>
          </cell>
          <cell r="AB1368">
            <v>8</v>
          </cell>
          <cell r="AC1368">
            <v>8</v>
          </cell>
          <cell r="AD1368">
            <v>8</v>
          </cell>
          <cell r="AE1368">
            <v>8</v>
          </cell>
          <cell r="AF1368" t="str">
            <v>PO</v>
          </cell>
          <cell r="AG1368" t="str">
            <v>CN</v>
          </cell>
          <cell r="AH1368">
            <v>8</v>
          </cell>
          <cell r="AI1368">
            <v>8</v>
          </cell>
          <cell r="AJ1368">
            <v>8</v>
          </cell>
          <cell r="AN1368">
            <v>0</v>
          </cell>
          <cell r="AO1368">
            <v>152</v>
          </cell>
          <cell r="AP1368">
            <v>0</v>
          </cell>
          <cell r="AQ1368">
            <v>0</v>
          </cell>
          <cell r="AR1368">
            <v>0</v>
          </cell>
          <cell r="AS1368">
            <v>0</v>
          </cell>
          <cell r="AT1368">
            <v>0</v>
          </cell>
          <cell r="AU1368">
            <v>0</v>
          </cell>
          <cell r="AV1368">
            <v>40</v>
          </cell>
          <cell r="AW1368">
            <v>0</v>
          </cell>
          <cell r="AX1368">
            <v>0</v>
          </cell>
          <cell r="AY1368">
            <v>0</v>
          </cell>
          <cell r="AZ1368">
            <v>0</v>
          </cell>
          <cell r="BA1368">
            <v>0</v>
          </cell>
          <cell r="BB1368">
            <v>0</v>
          </cell>
          <cell r="BC1368">
            <v>0</v>
          </cell>
          <cell r="BD1368">
            <v>0</v>
          </cell>
          <cell r="BE1368">
            <v>0</v>
          </cell>
          <cell r="BF1368">
            <v>0</v>
          </cell>
          <cell r="BG1368">
            <v>192</v>
          </cell>
          <cell r="BH1368">
            <v>0</v>
          </cell>
          <cell r="BI1368">
            <v>0</v>
          </cell>
          <cell r="BJ1368">
            <v>32.5</v>
          </cell>
          <cell r="CD1368">
            <v>0</v>
          </cell>
          <cell r="CE1368">
            <v>0</v>
          </cell>
          <cell r="CF1368">
            <v>0</v>
          </cell>
          <cell r="CG1368">
            <v>0</v>
          </cell>
          <cell r="CH1368">
            <v>0</v>
          </cell>
          <cell r="CI1368">
            <v>0</v>
          </cell>
          <cell r="CJ1368">
            <v>0</v>
          </cell>
          <cell r="CK1368">
            <v>0</v>
          </cell>
          <cell r="CL1368">
            <v>0</v>
          </cell>
          <cell r="CM1368">
            <v>0</v>
          </cell>
        </row>
        <row r="1369">
          <cell r="C1369" t="str">
            <v>01859</v>
          </cell>
          <cell r="D1369" t="str">
            <v xml:space="preserve">Vũ Thị Hạnh </v>
          </cell>
          <cell r="E1369" t="str">
            <v>Account - Financial</v>
          </cell>
          <cell r="F1369" t="str">
            <v>OVN Accounting (OVN)</v>
          </cell>
          <cell r="G1369" t="str">
            <v>Finance Director</v>
          </cell>
          <cell r="H1369" t="str">
            <v>18/06/2019</v>
          </cell>
          <cell r="I1369" t="str">
            <v>AL4</v>
          </cell>
          <cell r="J1369">
            <v>8</v>
          </cell>
          <cell r="K1369" t="str">
            <v>PO</v>
          </cell>
          <cell r="L1369" t="str">
            <v>CN</v>
          </cell>
          <cell r="M1369">
            <v>8</v>
          </cell>
          <cell r="N1369">
            <v>8</v>
          </cell>
          <cell r="O1369" t="str">
            <v>AL4</v>
          </cell>
          <cell r="P1369">
            <v>8</v>
          </cell>
          <cell r="Q1369" t="str">
            <v>PO</v>
          </cell>
          <cell r="R1369" t="str">
            <v>PO</v>
          </cell>
          <cell r="S1369" t="str">
            <v>CN</v>
          </cell>
          <cell r="T1369" t="str">
            <v>AL4</v>
          </cell>
          <cell r="U1369">
            <v>8</v>
          </cell>
          <cell r="V1369">
            <v>8</v>
          </cell>
          <cell r="W1369" t="str">
            <v>AL4</v>
          </cell>
          <cell r="X1369">
            <v>8</v>
          </cell>
          <cell r="Y1369" t="str">
            <v>PO</v>
          </cell>
          <cell r="Z1369" t="str">
            <v>CN</v>
          </cell>
          <cell r="AA1369">
            <v>8</v>
          </cell>
          <cell r="AB1369">
            <v>8</v>
          </cell>
          <cell r="AC1369">
            <v>8</v>
          </cell>
          <cell r="AD1369">
            <v>8</v>
          </cell>
          <cell r="AE1369">
            <v>8</v>
          </cell>
          <cell r="AF1369" t="str">
            <v>PO</v>
          </cell>
          <cell r="AG1369" t="str">
            <v>CN</v>
          </cell>
          <cell r="AH1369">
            <v>8</v>
          </cell>
          <cell r="AI1369">
            <v>8</v>
          </cell>
          <cell r="AJ1369" t="str">
            <v>WH</v>
          </cell>
          <cell r="AN1369">
            <v>0</v>
          </cell>
          <cell r="AO1369">
            <v>128</v>
          </cell>
          <cell r="AP1369">
            <v>16</v>
          </cell>
          <cell r="AQ1369">
            <v>0</v>
          </cell>
          <cell r="AR1369">
            <v>0</v>
          </cell>
          <cell r="AS1369">
            <v>0</v>
          </cell>
          <cell r="AT1369">
            <v>0</v>
          </cell>
          <cell r="AU1369">
            <v>0</v>
          </cell>
          <cell r="AV1369">
            <v>40</v>
          </cell>
          <cell r="AW1369">
            <v>0</v>
          </cell>
          <cell r="AX1369">
            <v>0</v>
          </cell>
          <cell r="AY1369">
            <v>0</v>
          </cell>
          <cell r="AZ1369">
            <v>0</v>
          </cell>
          <cell r="BA1369">
            <v>16</v>
          </cell>
          <cell r="BB1369">
            <v>0</v>
          </cell>
          <cell r="BC1369">
            <v>0</v>
          </cell>
          <cell r="BD1369">
            <v>8</v>
          </cell>
          <cell r="BE1369">
            <v>0</v>
          </cell>
          <cell r="BF1369">
            <v>0</v>
          </cell>
          <cell r="BG1369">
            <v>192</v>
          </cell>
          <cell r="BH1369">
            <v>2</v>
          </cell>
          <cell r="BI1369">
            <v>2</v>
          </cell>
          <cell r="BJ1369">
            <v>14</v>
          </cell>
          <cell r="CD1369">
            <v>0</v>
          </cell>
          <cell r="CE1369">
            <v>0</v>
          </cell>
          <cell r="CF1369">
            <v>0</v>
          </cell>
          <cell r="CG1369">
            <v>0</v>
          </cell>
          <cell r="CH1369">
            <v>0</v>
          </cell>
          <cell r="CI1369">
            <v>0</v>
          </cell>
          <cell r="CJ1369">
            <v>0</v>
          </cell>
          <cell r="CK1369">
            <v>0</v>
          </cell>
          <cell r="CL1369">
            <v>0</v>
          </cell>
          <cell r="CM1369">
            <v>0</v>
          </cell>
        </row>
        <row r="1370">
          <cell r="C1370" t="str">
            <v>01953</v>
          </cell>
          <cell r="D1370" t="str">
            <v>Nguyễn Chi Thắng</v>
          </cell>
          <cell r="E1370" t="str">
            <v>Account - Financial</v>
          </cell>
          <cell r="F1370" t="str">
            <v>OVN Accounting (OVN)</v>
          </cell>
          <cell r="G1370" t="str">
            <v>Accounting Manager</v>
          </cell>
          <cell r="H1370">
            <v>43717</v>
          </cell>
          <cell r="I1370">
            <v>8</v>
          </cell>
          <cell r="J1370">
            <v>8</v>
          </cell>
          <cell r="K1370" t="str">
            <v>PO</v>
          </cell>
          <cell r="L1370" t="str">
            <v>CN</v>
          </cell>
          <cell r="M1370">
            <v>8</v>
          </cell>
          <cell r="N1370">
            <v>8</v>
          </cell>
          <cell r="O1370">
            <v>8</v>
          </cell>
          <cell r="P1370">
            <v>8</v>
          </cell>
          <cell r="Q1370" t="str">
            <v>PO</v>
          </cell>
          <cell r="R1370" t="str">
            <v>PO</v>
          </cell>
          <cell r="S1370" t="str">
            <v>CN</v>
          </cell>
          <cell r="T1370">
            <v>8</v>
          </cell>
          <cell r="U1370">
            <v>8</v>
          </cell>
          <cell r="V1370">
            <v>8</v>
          </cell>
          <cell r="W1370">
            <v>8</v>
          </cell>
          <cell r="X1370">
            <v>8</v>
          </cell>
          <cell r="Y1370" t="str">
            <v>PO</v>
          </cell>
          <cell r="Z1370" t="str">
            <v>CN</v>
          </cell>
          <cell r="AA1370">
            <v>8</v>
          </cell>
          <cell r="AB1370">
            <v>8</v>
          </cell>
          <cell r="AC1370">
            <v>8</v>
          </cell>
          <cell r="AD1370">
            <v>8</v>
          </cell>
          <cell r="AE1370" t="str">
            <v>AL8</v>
          </cell>
          <cell r="AF1370" t="str">
            <v>PO</v>
          </cell>
          <cell r="AG1370" t="str">
            <v>CN</v>
          </cell>
          <cell r="AH1370">
            <v>8</v>
          </cell>
          <cell r="AI1370" t="str">
            <v>AL8</v>
          </cell>
          <cell r="AJ1370">
            <v>8</v>
          </cell>
          <cell r="AN1370">
            <v>0</v>
          </cell>
          <cell r="AO1370">
            <v>136</v>
          </cell>
          <cell r="AP1370">
            <v>0</v>
          </cell>
          <cell r="AQ1370">
            <v>0</v>
          </cell>
          <cell r="AR1370">
            <v>0</v>
          </cell>
          <cell r="AS1370">
            <v>0</v>
          </cell>
          <cell r="AT1370">
            <v>0</v>
          </cell>
          <cell r="AU1370">
            <v>0</v>
          </cell>
          <cell r="AV1370">
            <v>40</v>
          </cell>
          <cell r="AW1370">
            <v>0</v>
          </cell>
          <cell r="AX1370">
            <v>0</v>
          </cell>
          <cell r="AY1370">
            <v>0</v>
          </cell>
          <cell r="AZ1370">
            <v>0</v>
          </cell>
          <cell r="BA1370">
            <v>16</v>
          </cell>
          <cell r="BB1370">
            <v>0</v>
          </cell>
          <cell r="BC1370">
            <v>0</v>
          </cell>
          <cell r="BD1370">
            <v>0</v>
          </cell>
          <cell r="BE1370">
            <v>0</v>
          </cell>
          <cell r="BF1370">
            <v>0</v>
          </cell>
          <cell r="BG1370">
            <v>192</v>
          </cell>
          <cell r="BH1370">
            <v>2</v>
          </cell>
          <cell r="BI1370">
            <v>2</v>
          </cell>
          <cell r="BJ1370">
            <v>13.5</v>
          </cell>
          <cell r="CD1370">
            <v>0</v>
          </cell>
          <cell r="CE1370">
            <v>0</v>
          </cell>
          <cell r="CF1370">
            <v>0</v>
          </cell>
          <cell r="CG1370">
            <v>0</v>
          </cell>
          <cell r="CH1370">
            <v>0</v>
          </cell>
          <cell r="CI1370">
            <v>0</v>
          </cell>
          <cell r="CJ1370">
            <v>0</v>
          </cell>
          <cell r="CK1370">
            <v>0</v>
          </cell>
          <cell r="CL1370">
            <v>0</v>
          </cell>
          <cell r="CM1370">
            <v>0</v>
          </cell>
        </row>
        <row r="1371">
          <cell r="C1371" t="str">
            <v>02016</v>
          </cell>
          <cell r="D1371" t="str">
            <v>Hoàng Thường Hân</v>
          </cell>
          <cell r="E1371" t="str">
            <v>IT</v>
          </cell>
          <cell r="F1371" t="str">
            <v>IT</v>
          </cell>
          <cell r="G1371" t="str">
            <v>IT Manager</v>
          </cell>
          <cell r="H1371">
            <v>43759</v>
          </cell>
          <cell r="I1371">
            <v>8</v>
          </cell>
          <cell r="J1371">
            <v>8</v>
          </cell>
          <cell r="K1371" t="str">
            <v>PO</v>
          </cell>
          <cell r="L1371" t="str">
            <v>CN</v>
          </cell>
          <cell r="M1371">
            <v>8</v>
          </cell>
          <cell r="N1371" t="str">
            <v>AL8</v>
          </cell>
          <cell r="O1371" t="str">
            <v>AL8</v>
          </cell>
          <cell r="P1371" t="str">
            <v>AL8</v>
          </cell>
          <cell r="Q1371" t="str">
            <v>PO</v>
          </cell>
          <cell r="R1371" t="str">
            <v>PO</v>
          </cell>
          <cell r="S1371" t="str">
            <v>CN</v>
          </cell>
          <cell r="T1371">
            <v>8</v>
          </cell>
          <cell r="U1371">
            <v>8</v>
          </cell>
          <cell r="V1371">
            <v>8</v>
          </cell>
          <cell r="W1371">
            <v>8</v>
          </cell>
          <cell r="X1371">
            <v>8</v>
          </cell>
          <cell r="Y1371" t="str">
            <v>PO</v>
          </cell>
          <cell r="Z1371" t="str">
            <v>CN</v>
          </cell>
          <cell r="AA1371">
            <v>8</v>
          </cell>
          <cell r="AB1371">
            <v>8</v>
          </cell>
          <cell r="AC1371">
            <v>8</v>
          </cell>
          <cell r="AD1371">
            <v>8</v>
          </cell>
          <cell r="AE1371">
            <v>8</v>
          </cell>
          <cell r="AF1371" t="str">
            <v>PO</v>
          </cell>
          <cell r="AG1371" t="str">
            <v>CN</v>
          </cell>
          <cell r="AH1371">
            <v>8</v>
          </cell>
          <cell r="AI1371">
            <v>8</v>
          </cell>
          <cell r="AJ1371">
            <v>8</v>
          </cell>
          <cell r="AN1371">
            <v>0</v>
          </cell>
          <cell r="AO1371">
            <v>128</v>
          </cell>
          <cell r="AP1371">
            <v>0</v>
          </cell>
          <cell r="AQ1371">
            <v>0</v>
          </cell>
          <cell r="AR1371">
            <v>0</v>
          </cell>
          <cell r="AS1371">
            <v>0</v>
          </cell>
          <cell r="AT1371">
            <v>0</v>
          </cell>
          <cell r="AU1371">
            <v>0</v>
          </cell>
          <cell r="AV1371">
            <v>40</v>
          </cell>
          <cell r="AW1371">
            <v>0</v>
          </cell>
          <cell r="AX1371">
            <v>0</v>
          </cell>
          <cell r="AY1371">
            <v>0</v>
          </cell>
          <cell r="AZ1371">
            <v>0</v>
          </cell>
          <cell r="BA1371">
            <v>24</v>
          </cell>
          <cell r="BB1371">
            <v>0</v>
          </cell>
          <cell r="BC1371">
            <v>0</v>
          </cell>
          <cell r="BD1371">
            <v>0</v>
          </cell>
          <cell r="BE1371">
            <v>0</v>
          </cell>
          <cell r="BF1371">
            <v>0</v>
          </cell>
          <cell r="BG1371">
            <v>192</v>
          </cell>
          <cell r="BH1371">
            <v>3</v>
          </cell>
          <cell r="BI1371">
            <v>3</v>
          </cell>
          <cell r="BJ1371">
            <v>7.5</v>
          </cell>
          <cell r="CD1371">
            <v>0</v>
          </cell>
          <cell r="CE1371">
            <v>0</v>
          </cell>
          <cell r="CF1371">
            <v>0</v>
          </cell>
          <cell r="CG1371">
            <v>0</v>
          </cell>
          <cell r="CH1371">
            <v>0</v>
          </cell>
          <cell r="CI1371">
            <v>0</v>
          </cell>
          <cell r="CJ1371">
            <v>0</v>
          </cell>
          <cell r="CK1371">
            <v>0</v>
          </cell>
          <cell r="CL1371">
            <v>0</v>
          </cell>
          <cell r="CM1371">
            <v>0</v>
          </cell>
        </row>
        <row r="1372">
          <cell r="C1372" t="str">
            <v>02019</v>
          </cell>
          <cell r="D1372" t="str">
            <v>Hoàng Văn Quảng</v>
          </cell>
          <cell r="E1372" t="str">
            <v>Production office</v>
          </cell>
          <cell r="F1372" t="str">
            <v>Production office</v>
          </cell>
          <cell r="G1372" t="str">
            <v>Insole Operational Director</v>
          </cell>
          <cell r="H1372">
            <v>43760</v>
          </cell>
          <cell r="I1372" t="str">
            <v>BS</v>
          </cell>
          <cell r="J1372" t="str">
            <v>BS</v>
          </cell>
          <cell r="K1372" t="str">
            <v>BS</v>
          </cell>
          <cell r="L1372" t="str">
            <v>CN</v>
          </cell>
          <cell r="M1372" t="str">
            <v>BS</v>
          </cell>
          <cell r="N1372" t="str">
            <v>BS</v>
          </cell>
          <cell r="O1372" t="str">
            <v>BS</v>
          </cell>
          <cell r="P1372" t="str">
            <v>BS</v>
          </cell>
          <cell r="Q1372" t="str">
            <v>PO</v>
          </cell>
          <cell r="R1372" t="str">
            <v>PO</v>
          </cell>
          <cell r="S1372" t="str">
            <v>CN</v>
          </cell>
          <cell r="T1372" t="str">
            <v>AL8</v>
          </cell>
          <cell r="U1372" t="str">
            <v>AL8</v>
          </cell>
          <cell r="V1372" t="str">
            <v>AL8</v>
          </cell>
          <cell r="W1372">
            <v>8</v>
          </cell>
          <cell r="X1372">
            <v>8</v>
          </cell>
          <cell r="Y1372" t="str">
            <v>PO</v>
          </cell>
          <cell r="Z1372" t="str">
            <v>CN</v>
          </cell>
          <cell r="AA1372">
            <v>8</v>
          </cell>
          <cell r="AB1372">
            <v>8</v>
          </cell>
          <cell r="AC1372">
            <v>8</v>
          </cell>
          <cell r="AD1372">
            <v>8</v>
          </cell>
          <cell r="AE1372">
            <v>8</v>
          </cell>
          <cell r="AF1372" t="str">
            <v>PO</v>
          </cell>
          <cell r="AG1372" t="str">
            <v>CN</v>
          </cell>
          <cell r="AH1372">
            <v>8</v>
          </cell>
          <cell r="AI1372">
            <v>8</v>
          </cell>
          <cell r="AJ1372">
            <v>8</v>
          </cell>
          <cell r="AN1372">
            <v>0</v>
          </cell>
          <cell r="AO1372">
            <v>80</v>
          </cell>
          <cell r="AP1372">
            <v>0</v>
          </cell>
          <cell r="AQ1372">
            <v>0</v>
          </cell>
          <cell r="AR1372">
            <v>0</v>
          </cell>
          <cell r="AS1372">
            <v>0</v>
          </cell>
          <cell r="AT1372">
            <v>0</v>
          </cell>
          <cell r="AU1372">
            <v>56</v>
          </cell>
          <cell r="AV1372">
            <v>32</v>
          </cell>
          <cell r="AW1372">
            <v>0</v>
          </cell>
          <cell r="AX1372">
            <v>0</v>
          </cell>
          <cell r="AY1372">
            <v>0</v>
          </cell>
          <cell r="AZ1372">
            <v>0</v>
          </cell>
          <cell r="BA1372">
            <v>24</v>
          </cell>
          <cell r="BB1372">
            <v>0</v>
          </cell>
          <cell r="BC1372">
            <v>0</v>
          </cell>
          <cell r="BD1372">
            <v>0</v>
          </cell>
          <cell r="BE1372">
            <v>0</v>
          </cell>
          <cell r="BF1372">
            <v>0</v>
          </cell>
          <cell r="BG1372">
            <v>192</v>
          </cell>
          <cell r="BH1372">
            <v>3</v>
          </cell>
          <cell r="BI1372">
            <v>3</v>
          </cell>
          <cell r="BJ1372">
            <v>15.5</v>
          </cell>
          <cell r="CD1372">
            <v>0</v>
          </cell>
          <cell r="CE1372">
            <v>0</v>
          </cell>
          <cell r="CF1372">
            <v>0</v>
          </cell>
          <cell r="CG1372">
            <v>0</v>
          </cell>
          <cell r="CH1372">
            <v>0</v>
          </cell>
          <cell r="CI1372">
            <v>0</v>
          </cell>
          <cell r="CJ1372">
            <v>0</v>
          </cell>
          <cell r="CK1372">
            <v>0</v>
          </cell>
          <cell r="CL1372">
            <v>0</v>
          </cell>
          <cell r="CM1372">
            <v>0</v>
          </cell>
        </row>
        <row r="1373">
          <cell r="C1373" t="str">
            <v>02185</v>
          </cell>
          <cell r="D1373" t="str">
            <v>Phạm Công Tứ</v>
          </cell>
          <cell r="E1373" t="str">
            <v>Production office</v>
          </cell>
          <cell r="F1373" t="str">
            <v>Production office</v>
          </cell>
          <cell r="G1373" t="str">
            <v>Manager</v>
          </cell>
          <cell r="H1373">
            <v>43879</v>
          </cell>
          <cell r="I1373">
            <v>8</v>
          </cell>
          <cell r="J1373">
            <v>8</v>
          </cell>
          <cell r="K1373" t="str">
            <v>PO</v>
          </cell>
          <cell r="L1373" t="str">
            <v>CN</v>
          </cell>
          <cell r="M1373">
            <v>8</v>
          </cell>
          <cell r="N1373">
            <v>8</v>
          </cell>
          <cell r="O1373">
            <v>8</v>
          </cell>
          <cell r="P1373">
            <v>8</v>
          </cell>
          <cell r="Q1373" t="str">
            <v>PO</v>
          </cell>
          <cell r="R1373" t="str">
            <v>PO</v>
          </cell>
          <cell r="S1373" t="str">
            <v>CN</v>
          </cell>
          <cell r="T1373">
            <v>8</v>
          </cell>
          <cell r="U1373">
            <v>8</v>
          </cell>
          <cell r="V1373">
            <v>8</v>
          </cell>
          <cell r="W1373">
            <v>8</v>
          </cell>
          <cell r="X1373">
            <v>8</v>
          </cell>
          <cell r="Y1373" t="str">
            <v>PO</v>
          </cell>
          <cell r="Z1373" t="str">
            <v>CN</v>
          </cell>
          <cell r="AA1373">
            <v>8</v>
          </cell>
          <cell r="AB1373">
            <v>8</v>
          </cell>
          <cell r="AC1373">
            <v>8</v>
          </cell>
          <cell r="AD1373">
            <v>8</v>
          </cell>
          <cell r="AE1373">
            <v>8</v>
          </cell>
          <cell r="AF1373" t="str">
            <v>PO</v>
          </cell>
          <cell r="AG1373" t="str">
            <v>CN</v>
          </cell>
          <cell r="AH1373">
            <v>8</v>
          </cell>
          <cell r="AI1373">
            <v>8</v>
          </cell>
          <cell r="AJ1373">
            <v>8</v>
          </cell>
          <cell r="AN1373">
            <v>0</v>
          </cell>
          <cell r="AO1373">
            <v>152</v>
          </cell>
          <cell r="AP1373">
            <v>0</v>
          </cell>
          <cell r="AQ1373">
            <v>0</v>
          </cell>
          <cell r="AR1373">
            <v>0</v>
          </cell>
          <cell r="AS1373">
            <v>0</v>
          </cell>
          <cell r="AT1373">
            <v>0</v>
          </cell>
          <cell r="AU1373">
            <v>0</v>
          </cell>
          <cell r="AV1373">
            <v>40</v>
          </cell>
          <cell r="AW1373">
            <v>0</v>
          </cell>
          <cell r="AX1373">
            <v>0</v>
          </cell>
          <cell r="AY1373">
            <v>0</v>
          </cell>
          <cell r="AZ1373">
            <v>0</v>
          </cell>
          <cell r="BA1373">
            <v>0</v>
          </cell>
          <cell r="BB1373">
            <v>0</v>
          </cell>
          <cell r="BC1373">
            <v>0</v>
          </cell>
          <cell r="BD1373">
            <v>0</v>
          </cell>
          <cell r="BE1373">
            <v>0</v>
          </cell>
          <cell r="BF1373">
            <v>0</v>
          </cell>
          <cell r="BG1373">
            <v>192</v>
          </cell>
          <cell r="BH1373">
            <v>0</v>
          </cell>
          <cell r="BI1373">
            <v>0</v>
          </cell>
          <cell r="BJ1373">
            <v>19</v>
          </cell>
          <cell r="CD1373">
            <v>0</v>
          </cell>
          <cell r="CE1373">
            <v>0</v>
          </cell>
          <cell r="CF1373">
            <v>0</v>
          </cell>
          <cell r="CG1373">
            <v>0</v>
          </cell>
          <cell r="CH1373">
            <v>0</v>
          </cell>
          <cell r="CI1373">
            <v>0</v>
          </cell>
          <cell r="CJ1373">
            <v>0</v>
          </cell>
          <cell r="CK1373">
            <v>0</v>
          </cell>
          <cell r="CL1373">
            <v>0</v>
          </cell>
          <cell r="CM1373">
            <v>0</v>
          </cell>
        </row>
        <row r="1374">
          <cell r="C1374" t="str">
            <v>02216</v>
          </cell>
          <cell r="D1374" t="str">
            <v>Nguyễn Trọng Trí</v>
          </cell>
          <cell r="E1374" t="str">
            <v xml:space="preserve">EHS &amp; Facilities </v>
          </cell>
          <cell r="F1374" t="str">
            <v>EHS</v>
          </cell>
          <cell r="G1374" t="str">
            <v xml:space="preserve">Deputy EHS &amp; Facilities Manager </v>
          </cell>
          <cell r="H1374">
            <v>43893</v>
          </cell>
          <cell r="I1374">
            <v>8</v>
          </cell>
          <cell r="J1374">
            <v>8</v>
          </cell>
          <cell r="K1374" t="str">
            <v>PO</v>
          </cell>
          <cell r="L1374" t="str">
            <v>CN</v>
          </cell>
          <cell r="M1374">
            <v>8</v>
          </cell>
          <cell r="N1374">
            <v>8</v>
          </cell>
          <cell r="O1374">
            <v>8</v>
          </cell>
          <cell r="P1374">
            <v>8</v>
          </cell>
          <cell r="Q1374" t="str">
            <v>PO</v>
          </cell>
          <cell r="R1374" t="str">
            <v>PO</v>
          </cell>
          <cell r="S1374" t="str">
            <v>CN</v>
          </cell>
          <cell r="T1374">
            <v>8</v>
          </cell>
          <cell r="U1374">
            <v>8</v>
          </cell>
          <cell r="V1374">
            <v>8</v>
          </cell>
          <cell r="W1374">
            <v>8</v>
          </cell>
          <cell r="X1374">
            <v>8</v>
          </cell>
          <cell r="Y1374" t="str">
            <v>PO</v>
          </cell>
          <cell r="Z1374" t="str">
            <v>CN</v>
          </cell>
          <cell r="AA1374">
            <v>8</v>
          </cell>
          <cell r="AB1374" t="str">
            <v>BS</v>
          </cell>
          <cell r="AC1374">
            <v>8</v>
          </cell>
          <cell r="AD1374">
            <v>8</v>
          </cell>
          <cell r="AE1374">
            <v>8</v>
          </cell>
          <cell r="AF1374" t="str">
            <v>PO</v>
          </cell>
          <cell r="AG1374" t="str">
            <v>CN</v>
          </cell>
          <cell r="AH1374">
            <v>8</v>
          </cell>
          <cell r="AI1374" t="str">
            <v>BS</v>
          </cell>
          <cell r="AJ1374" t="str">
            <v>BS</v>
          </cell>
          <cell r="AN1374">
            <v>0</v>
          </cell>
          <cell r="AO1374">
            <v>128</v>
          </cell>
          <cell r="AP1374">
            <v>0</v>
          </cell>
          <cell r="AQ1374">
            <v>0</v>
          </cell>
          <cell r="AR1374">
            <v>0</v>
          </cell>
          <cell r="AS1374">
            <v>0</v>
          </cell>
          <cell r="AT1374">
            <v>0</v>
          </cell>
          <cell r="AU1374">
            <v>24</v>
          </cell>
          <cell r="AV1374">
            <v>40</v>
          </cell>
          <cell r="AW1374">
            <v>0</v>
          </cell>
          <cell r="AX1374">
            <v>0</v>
          </cell>
          <cell r="AY1374">
            <v>0</v>
          </cell>
          <cell r="AZ1374">
            <v>0</v>
          </cell>
          <cell r="BA1374">
            <v>0</v>
          </cell>
          <cell r="BB1374">
            <v>0</v>
          </cell>
          <cell r="BC1374">
            <v>0</v>
          </cell>
          <cell r="BD1374">
            <v>0</v>
          </cell>
          <cell r="BE1374">
            <v>0</v>
          </cell>
          <cell r="BF1374">
            <v>0</v>
          </cell>
          <cell r="BG1374">
            <v>192</v>
          </cell>
          <cell r="BH1374">
            <v>0</v>
          </cell>
          <cell r="BI1374">
            <v>0</v>
          </cell>
          <cell r="BJ1374">
            <v>17.5</v>
          </cell>
          <cell r="CD1374">
            <v>0</v>
          </cell>
          <cell r="CE1374">
            <v>0</v>
          </cell>
          <cell r="CF1374">
            <v>0</v>
          </cell>
          <cell r="CG1374">
            <v>0</v>
          </cell>
          <cell r="CH1374">
            <v>0</v>
          </cell>
          <cell r="CI1374">
            <v>0</v>
          </cell>
          <cell r="CJ1374">
            <v>0</v>
          </cell>
          <cell r="CK1374">
            <v>0</v>
          </cell>
          <cell r="CL1374">
            <v>0</v>
          </cell>
          <cell r="CM1374">
            <v>0</v>
          </cell>
        </row>
        <row r="1375">
          <cell r="C1375" t="str">
            <v>02258</v>
          </cell>
          <cell r="D1375" t="str">
            <v>Lầy Khiền  Mũ</v>
          </cell>
          <cell r="E1375" t="str">
            <v>PPC</v>
          </cell>
          <cell r="F1375" t="str">
            <v>PPC</v>
          </cell>
          <cell r="G1375" t="str">
            <v>PPC Manager</v>
          </cell>
          <cell r="H1375">
            <v>43924</v>
          </cell>
          <cell r="I1375" t="str">
            <v>BS</v>
          </cell>
          <cell r="J1375" t="str">
            <v>BS</v>
          </cell>
          <cell r="K1375" t="str">
            <v>BS</v>
          </cell>
          <cell r="L1375" t="str">
            <v>CN</v>
          </cell>
          <cell r="M1375">
            <v>8</v>
          </cell>
          <cell r="N1375">
            <v>8</v>
          </cell>
          <cell r="O1375">
            <v>8</v>
          </cell>
          <cell r="P1375">
            <v>8</v>
          </cell>
          <cell r="Q1375" t="str">
            <v>PO</v>
          </cell>
          <cell r="R1375" t="str">
            <v>PO</v>
          </cell>
          <cell r="S1375" t="str">
            <v>CN</v>
          </cell>
          <cell r="T1375">
            <v>8</v>
          </cell>
          <cell r="U1375">
            <v>8</v>
          </cell>
          <cell r="V1375">
            <v>8</v>
          </cell>
          <cell r="W1375">
            <v>8</v>
          </cell>
          <cell r="X1375">
            <v>8</v>
          </cell>
          <cell r="Y1375" t="str">
            <v>PO</v>
          </cell>
          <cell r="Z1375" t="str">
            <v>CN</v>
          </cell>
          <cell r="AA1375">
            <v>8</v>
          </cell>
          <cell r="AB1375">
            <v>8</v>
          </cell>
          <cell r="AC1375">
            <v>8</v>
          </cell>
          <cell r="AD1375">
            <v>8</v>
          </cell>
          <cell r="AE1375" t="str">
            <v>AL8</v>
          </cell>
          <cell r="AF1375" t="str">
            <v>PO</v>
          </cell>
          <cell r="AG1375" t="str">
            <v>CN</v>
          </cell>
          <cell r="AH1375">
            <v>8</v>
          </cell>
          <cell r="AI1375">
            <v>8</v>
          </cell>
          <cell r="AJ1375">
            <v>8</v>
          </cell>
          <cell r="AN1375">
            <v>0</v>
          </cell>
          <cell r="AO1375">
            <v>128</v>
          </cell>
          <cell r="AP1375">
            <v>0</v>
          </cell>
          <cell r="AQ1375">
            <v>0</v>
          </cell>
          <cell r="AR1375">
            <v>0</v>
          </cell>
          <cell r="AS1375">
            <v>0</v>
          </cell>
          <cell r="AT1375">
            <v>0</v>
          </cell>
          <cell r="AU1375">
            <v>24</v>
          </cell>
          <cell r="AV1375">
            <v>32</v>
          </cell>
          <cell r="AW1375">
            <v>0</v>
          </cell>
          <cell r="AX1375">
            <v>0</v>
          </cell>
          <cell r="AY1375">
            <v>0</v>
          </cell>
          <cell r="AZ1375">
            <v>0</v>
          </cell>
          <cell r="BA1375">
            <v>8</v>
          </cell>
          <cell r="BB1375">
            <v>0</v>
          </cell>
          <cell r="BC1375">
            <v>0</v>
          </cell>
          <cell r="BD1375">
            <v>0</v>
          </cell>
          <cell r="BE1375">
            <v>0</v>
          </cell>
          <cell r="BF1375">
            <v>0</v>
          </cell>
          <cell r="BG1375">
            <v>192</v>
          </cell>
          <cell r="BH1375">
            <v>1</v>
          </cell>
          <cell r="BI1375">
            <v>1</v>
          </cell>
          <cell r="BJ1375">
            <v>11.5</v>
          </cell>
          <cell r="CD1375">
            <v>0</v>
          </cell>
          <cell r="CE1375">
            <v>0</v>
          </cell>
          <cell r="CF1375">
            <v>0</v>
          </cell>
          <cell r="CG1375">
            <v>0</v>
          </cell>
          <cell r="CH1375">
            <v>0</v>
          </cell>
          <cell r="CI1375">
            <v>0</v>
          </cell>
          <cell r="CJ1375">
            <v>0</v>
          </cell>
          <cell r="CK1375">
            <v>0</v>
          </cell>
          <cell r="CL1375">
            <v>0</v>
          </cell>
          <cell r="CM1375">
            <v>0</v>
          </cell>
        </row>
        <row r="1376">
          <cell r="C1376" t="str">
            <v>02277</v>
          </cell>
          <cell r="D1376" t="str">
            <v>Lâm Chấn Thanh</v>
          </cell>
          <cell r="E1376" t="str">
            <v>IT</v>
          </cell>
          <cell r="F1376" t="str">
            <v>IT</v>
          </cell>
          <cell r="G1376" t="str">
            <v>Deputy Manager</v>
          </cell>
          <cell r="H1376">
            <v>44032</v>
          </cell>
          <cell r="I1376">
            <v>8</v>
          </cell>
          <cell r="J1376">
            <v>8</v>
          </cell>
          <cell r="K1376" t="str">
            <v>PO</v>
          </cell>
          <cell r="L1376" t="str">
            <v>CN</v>
          </cell>
          <cell r="M1376">
            <v>8</v>
          </cell>
          <cell r="N1376">
            <v>8</v>
          </cell>
          <cell r="O1376">
            <v>8</v>
          </cell>
          <cell r="P1376">
            <v>8</v>
          </cell>
          <cell r="Q1376" t="str">
            <v>PO</v>
          </cell>
          <cell r="R1376" t="str">
            <v>PO</v>
          </cell>
          <cell r="S1376" t="str">
            <v>CN</v>
          </cell>
          <cell r="T1376">
            <v>8</v>
          </cell>
          <cell r="U1376">
            <v>8</v>
          </cell>
          <cell r="V1376">
            <v>8</v>
          </cell>
          <cell r="W1376">
            <v>8</v>
          </cell>
          <cell r="X1376">
            <v>8</v>
          </cell>
          <cell r="Y1376" t="str">
            <v>PO</v>
          </cell>
          <cell r="Z1376" t="str">
            <v>CN</v>
          </cell>
          <cell r="AA1376">
            <v>8</v>
          </cell>
          <cell r="AB1376">
            <v>8</v>
          </cell>
          <cell r="AC1376">
            <v>8</v>
          </cell>
          <cell r="AD1376">
            <v>8</v>
          </cell>
          <cell r="AE1376">
            <v>8</v>
          </cell>
          <cell r="AF1376" t="str">
            <v>PO</v>
          </cell>
          <cell r="AG1376" t="str">
            <v>CN</v>
          </cell>
          <cell r="AH1376">
            <v>8</v>
          </cell>
          <cell r="AI1376">
            <v>8</v>
          </cell>
          <cell r="AJ1376" t="str">
            <v>AL8</v>
          </cell>
          <cell r="AN1376">
            <v>0</v>
          </cell>
          <cell r="AO1376">
            <v>144</v>
          </cell>
          <cell r="AP1376">
            <v>0</v>
          </cell>
          <cell r="AQ1376">
            <v>0</v>
          </cell>
          <cell r="AR1376">
            <v>0</v>
          </cell>
          <cell r="AS1376">
            <v>0</v>
          </cell>
          <cell r="AT1376">
            <v>0</v>
          </cell>
          <cell r="AU1376">
            <v>0</v>
          </cell>
          <cell r="AV1376">
            <v>40</v>
          </cell>
          <cell r="AW1376">
            <v>0</v>
          </cell>
          <cell r="AX1376">
            <v>0</v>
          </cell>
          <cell r="AY1376">
            <v>0</v>
          </cell>
          <cell r="AZ1376">
            <v>0</v>
          </cell>
          <cell r="BA1376">
            <v>8</v>
          </cell>
          <cell r="BB1376">
            <v>0</v>
          </cell>
          <cell r="BC1376">
            <v>0</v>
          </cell>
          <cell r="BD1376">
            <v>0</v>
          </cell>
          <cell r="BE1376">
            <v>0</v>
          </cell>
          <cell r="BF1376">
            <v>0</v>
          </cell>
          <cell r="BG1376">
            <v>192</v>
          </cell>
          <cell r="BH1376">
            <v>1</v>
          </cell>
          <cell r="BI1376">
            <v>1</v>
          </cell>
          <cell r="BJ1376">
            <v>7.5</v>
          </cell>
          <cell r="CD1376">
            <v>0</v>
          </cell>
          <cell r="CE1376">
            <v>0</v>
          </cell>
          <cell r="CF1376">
            <v>0</v>
          </cell>
          <cell r="CG1376">
            <v>0</v>
          </cell>
          <cell r="CH1376">
            <v>0</v>
          </cell>
          <cell r="CI1376">
            <v>0</v>
          </cell>
          <cell r="CJ1376">
            <v>0</v>
          </cell>
          <cell r="CK1376">
            <v>0</v>
          </cell>
          <cell r="CL1376">
            <v>0</v>
          </cell>
          <cell r="CM1376">
            <v>0</v>
          </cell>
        </row>
        <row r="1377">
          <cell r="C1377" t="str">
            <v>02459</v>
          </cell>
          <cell r="D1377" t="str">
            <v>Võ Hoàng Phúc</v>
          </cell>
          <cell r="E1377" t="str">
            <v>Production office</v>
          </cell>
          <cell r="F1377" t="str">
            <v>Production office</v>
          </cell>
          <cell r="G1377" t="str">
            <v>Deputy Production Manager</v>
          </cell>
          <cell r="H1377">
            <v>44067</v>
          </cell>
          <cell r="I1377">
            <v>8</v>
          </cell>
          <cell r="J1377">
            <v>8</v>
          </cell>
          <cell r="K1377" t="str">
            <v>PO</v>
          </cell>
          <cell r="L1377" t="str">
            <v>CN</v>
          </cell>
          <cell r="M1377">
            <v>8</v>
          </cell>
          <cell r="N1377">
            <v>8</v>
          </cell>
          <cell r="O1377">
            <v>8</v>
          </cell>
          <cell r="P1377">
            <v>8</v>
          </cell>
          <cell r="Q1377" t="str">
            <v>PO</v>
          </cell>
          <cell r="R1377" t="str">
            <v>PO</v>
          </cell>
          <cell r="S1377" t="str">
            <v>CN</v>
          </cell>
          <cell r="T1377">
            <v>8</v>
          </cell>
          <cell r="U1377" t="str">
            <v>AL4</v>
          </cell>
          <cell r="V1377">
            <v>8</v>
          </cell>
          <cell r="W1377">
            <v>8</v>
          </cell>
          <cell r="X1377">
            <v>8</v>
          </cell>
          <cell r="Y1377" t="str">
            <v>PO</v>
          </cell>
          <cell r="Z1377" t="str">
            <v>CN</v>
          </cell>
          <cell r="AA1377">
            <v>8</v>
          </cell>
          <cell r="AB1377">
            <v>8</v>
          </cell>
          <cell r="AC1377">
            <v>8</v>
          </cell>
          <cell r="AD1377">
            <v>8</v>
          </cell>
          <cell r="AE1377" t="str">
            <v>AL4</v>
          </cell>
          <cell r="AF1377" t="str">
            <v>PO</v>
          </cell>
          <cell r="AG1377" t="str">
            <v>CN</v>
          </cell>
          <cell r="AH1377">
            <v>8</v>
          </cell>
          <cell r="AI1377">
            <v>8</v>
          </cell>
          <cell r="AJ1377">
            <v>8</v>
          </cell>
          <cell r="AN1377">
            <v>0</v>
          </cell>
          <cell r="AO1377">
            <v>144</v>
          </cell>
          <cell r="AP1377">
            <v>8</v>
          </cell>
          <cell r="AQ1377">
            <v>0</v>
          </cell>
          <cell r="AR1377">
            <v>0</v>
          </cell>
          <cell r="AS1377">
            <v>0</v>
          </cell>
          <cell r="AT1377">
            <v>0</v>
          </cell>
          <cell r="AU1377">
            <v>0</v>
          </cell>
          <cell r="AV1377">
            <v>40</v>
          </cell>
          <cell r="AW1377">
            <v>0</v>
          </cell>
          <cell r="AX1377">
            <v>0</v>
          </cell>
          <cell r="AY1377">
            <v>0</v>
          </cell>
          <cell r="AZ1377">
            <v>0</v>
          </cell>
          <cell r="BA1377">
            <v>8</v>
          </cell>
          <cell r="BB1377">
            <v>0</v>
          </cell>
          <cell r="BC1377">
            <v>0</v>
          </cell>
          <cell r="BD1377">
            <v>0</v>
          </cell>
          <cell r="BE1377">
            <v>0</v>
          </cell>
          <cell r="BF1377">
            <v>0</v>
          </cell>
          <cell r="BG1377">
            <v>192</v>
          </cell>
          <cell r="BH1377">
            <v>1</v>
          </cell>
          <cell r="BI1377">
            <v>1</v>
          </cell>
          <cell r="BJ1377">
            <v>14.5</v>
          </cell>
          <cell r="CD1377">
            <v>0</v>
          </cell>
          <cell r="CE1377">
            <v>0</v>
          </cell>
          <cell r="CF1377">
            <v>0</v>
          </cell>
          <cell r="CG1377">
            <v>0</v>
          </cell>
          <cell r="CH1377">
            <v>0</v>
          </cell>
          <cell r="CI1377">
            <v>0</v>
          </cell>
          <cell r="CJ1377">
            <v>0</v>
          </cell>
          <cell r="CK1377">
            <v>0</v>
          </cell>
          <cell r="CL1377">
            <v>0</v>
          </cell>
          <cell r="CM1377">
            <v>0</v>
          </cell>
        </row>
        <row r="1378">
          <cell r="C1378" t="str">
            <v>02584</v>
          </cell>
          <cell r="D1378" t="str">
            <v>Nguyễn Phú An</v>
          </cell>
          <cell r="E1378" t="str">
            <v>QC</v>
          </cell>
          <cell r="F1378" t="str">
            <v>QC</v>
          </cell>
          <cell r="G1378" t="str">
            <v xml:space="preserve"> Senior Manager</v>
          </cell>
          <cell r="H1378">
            <v>44109</v>
          </cell>
          <cell r="I1378" t="str">
            <v>BS</v>
          </cell>
          <cell r="J1378" t="str">
            <v>BS</v>
          </cell>
          <cell r="K1378" t="str">
            <v>BS</v>
          </cell>
          <cell r="L1378" t="str">
            <v>CN</v>
          </cell>
          <cell r="M1378" t="str">
            <v>BS</v>
          </cell>
          <cell r="N1378" t="str">
            <v>BS</v>
          </cell>
          <cell r="O1378" t="str">
            <v>BS</v>
          </cell>
          <cell r="P1378" t="str">
            <v>BS</v>
          </cell>
          <cell r="Q1378" t="str">
            <v>PO</v>
          </cell>
          <cell r="R1378" t="str">
            <v>PO</v>
          </cell>
          <cell r="S1378" t="str">
            <v>CN</v>
          </cell>
          <cell r="T1378" t="str">
            <v>WH</v>
          </cell>
          <cell r="U1378">
            <v>8</v>
          </cell>
          <cell r="V1378" t="str">
            <v>WH</v>
          </cell>
          <cell r="W1378">
            <v>8</v>
          </cell>
          <cell r="X1378" t="str">
            <v>WH</v>
          </cell>
          <cell r="Y1378" t="str">
            <v>PO</v>
          </cell>
          <cell r="Z1378" t="str">
            <v>CN</v>
          </cell>
          <cell r="AA1378" t="str">
            <v>WH</v>
          </cell>
          <cell r="AB1378">
            <v>8</v>
          </cell>
          <cell r="AC1378" t="str">
            <v>WH</v>
          </cell>
          <cell r="AD1378">
            <v>8</v>
          </cell>
          <cell r="AE1378" t="str">
            <v>WH</v>
          </cell>
          <cell r="AF1378" t="str">
            <v>PO</v>
          </cell>
          <cell r="AG1378" t="str">
            <v>CN</v>
          </cell>
          <cell r="AH1378" t="str">
            <v>WH</v>
          </cell>
          <cell r="AI1378" t="str">
            <v>BS</v>
          </cell>
          <cell r="AJ1378" t="str">
            <v>WH</v>
          </cell>
          <cell r="AN1378">
            <v>0</v>
          </cell>
          <cell r="AO1378">
            <v>32</v>
          </cell>
          <cell r="AP1378">
            <v>0</v>
          </cell>
          <cell r="AQ1378">
            <v>0</v>
          </cell>
          <cell r="AR1378">
            <v>0</v>
          </cell>
          <cell r="AS1378">
            <v>0</v>
          </cell>
          <cell r="AT1378">
            <v>0</v>
          </cell>
          <cell r="AU1378">
            <v>64</v>
          </cell>
          <cell r="AV1378">
            <v>32</v>
          </cell>
          <cell r="AW1378">
            <v>0</v>
          </cell>
          <cell r="AX1378">
            <v>0</v>
          </cell>
          <cell r="AY1378">
            <v>0</v>
          </cell>
          <cell r="AZ1378">
            <v>0</v>
          </cell>
          <cell r="BA1378">
            <v>0</v>
          </cell>
          <cell r="BB1378">
            <v>0</v>
          </cell>
          <cell r="BC1378">
            <v>0</v>
          </cell>
          <cell r="BD1378">
            <v>64</v>
          </cell>
          <cell r="BE1378">
            <v>0</v>
          </cell>
          <cell r="BF1378">
            <v>0</v>
          </cell>
          <cell r="BG1378">
            <v>192</v>
          </cell>
          <cell r="BH1378">
            <v>0</v>
          </cell>
          <cell r="BI1378">
            <v>0</v>
          </cell>
          <cell r="BJ1378">
            <v>6</v>
          </cell>
          <cell r="CD1378">
            <v>0</v>
          </cell>
          <cell r="CE1378">
            <v>0</v>
          </cell>
          <cell r="CF1378">
            <v>0</v>
          </cell>
          <cell r="CG1378">
            <v>0</v>
          </cell>
          <cell r="CH1378">
            <v>0</v>
          </cell>
          <cell r="CI1378">
            <v>0</v>
          </cell>
          <cell r="CJ1378">
            <v>0</v>
          </cell>
          <cell r="CK1378">
            <v>0</v>
          </cell>
          <cell r="CL1378">
            <v>0</v>
          </cell>
          <cell r="CM1378">
            <v>0</v>
          </cell>
        </row>
        <row r="1379">
          <cell r="C1379" t="str">
            <v>02640</v>
          </cell>
          <cell r="D1379" t="str">
            <v>Yang Chao</v>
          </cell>
          <cell r="E1379" t="str">
            <v>CS</v>
          </cell>
          <cell r="F1379" t="str">
            <v>CS</v>
          </cell>
          <cell r="G1379" t="str">
            <v>Insole manufacturing technical</v>
          </cell>
          <cell r="H1379">
            <v>44137</v>
          </cell>
          <cell r="I1379" t="str">
            <v>AL8</v>
          </cell>
          <cell r="J1379" t="str">
            <v>AL8</v>
          </cell>
          <cell r="K1379" t="str">
            <v>PO</v>
          </cell>
          <cell r="L1379" t="str">
            <v>CN</v>
          </cell>
          <cell r="M1379">
            <v>8</v>
          </cell>
          <cell r="N1379">
            <v>8</v>
          </cell>
          <cell r="O1379">
            <v>8</v>
          </cell>
          <cell r="P1379">
            <v>8</v>
          </cell>
          <cell r="Q1379" t="str">
            <v>PO</v>
          </cell>
          <cell r="R1379" t="str">
            <v>PO</v>
          </cell>
          <cell r="S1379" t="str">
            <v>CN</v>
          </cell>
          <cell r="T1379">
            <v>8</v>
          </cell>
          <cell r="U1379">
            <v>8</v>
          </cell>
          <cell r="V1379">
            <v>8</v>
          </cell>
          <cell r="W1379">
            <v>8</v>
          </cell>
          <cell r="X1379">
            <v>8</v>
          </cell>
          <cell r="Y1379" t="str">
            <v>PO</v>
          </cell>
          <cell r="Z1379" t="str">
            <v>CN</v>
          </cell>
          <cell r="AA1379">
            <v>8</v>
          </cell>
          <cell r="AB1379">
            <v>8</v>
          </cell>
          <cell r="AC1379">
            <v>8</v>
          </cell>
          <cell r="AD1379">
            <v>8</v>
          </cell>
          <cell r="AE1379">
            <v>8</v>
          </cell>
          <cell r="AF1379" t="str">
            <v>PO</v>
          </cell>
          <cell r="AG1379" t="str">
            <v>CN</v>
          </cell>
          <cell r="AH1379">
            <v>8</v>
          </cell>
          <cell r="AI1379">
            <v>8</v>
          </cell>
          <cell r="AJ1379">
            <v>8</v>
          </cell>
          <cell r="AN1379">
            <v>0</v>
          </cell>
          <cell r="AO1379">
            <v>136</v>
          </cell>
          <cell r="AP1379">
            <v>0</v>
          </cell>
          <cell r="AQ1379">
            <v>0</v>
          </cell>
          <cell r="AR1379">
            <v>0</v>
          </cell>
          <cell r="AS1379">
            <v>0</v>
          </cell>
          <cell r="AT1379">
            <v>0</v>
          </cell>
          <cell r="AU1379">
            <v>0</v>
          </cell>
          <cell r="AV1379">
            <v>40</v>
          </cell>
          <cell r="AW1379">
            <v>0</v>
          </cell>
          <cell r="AX1379">
            <v>0</v>
          </cell>
          <cell r="AY1379">
            <v>0</v>
          </cell>
          <cell r="AZ1379">
            <v>0</v>
          </cell>
          <cell r="BA1379">
            <v>16</v>
          </cell>
          <cell r="BB1379">
            <v>0</v>
          </cell>
          <cell r="BC1379">
            <v>0</v>
          </cell>
          <cell r="BD1379">
            <v>0</v>
          </cell>
          <cell r="BE1379">
            <v>0</v>
          </cell>
          <cell r="BF1379">
            <v>0</v>
          </cell>
          <cell r="BG1379">
            <v>192</v>
          </cell>
          <cell r="BH1379">
            <v>2</v>
          </cell>
          <cell r="BI1379">
            <v>2</v>
          </cell>
          <cell r="BJ1379">
            <v>20.5</v>
          </cell>
          <cell r="CD1379">
            <v>0</v>
          </cell>
          <cell r="CE1379">
            <v>0</v>
          </cell>
          <cell r="CF1379">
            <v>0</v>
          </cell>
          <cell r="CG1379">
            <v>0</v>
          </cell>
          <cell r="CH1379">
            <v>0</v>
          </cell>
          <cell r="CI1379">
            <v>0</v>
          </cell>
          <cell r="CJ1379">
            <v>0</v>
          </cell>
          <cell r="CK1379">
            <v>0</v>
          </cell>
          <cell r="CL1379">
            <v>0</v>
          </cell>
          <cell r="CM1379">
            <v>0</v>
          </cell>
        </row>
        <row r="1380">
          <cell r="C1380" t="str">
            <v>02645</v>
          </cell>
          <cell r="D1380" t="str">
            <v>Phan Thị Thúy Hằng</v>
          </cell>
          <cell r="E1380" t="str">
            <v>Account - Financial</v>
          </cell>
          <cell r="F1380" t="str">
            <v>OVN Accounting (OVN)</v>
          </cell>
          <cell r="G1380" t="str">
            <v>Senior Specialist II</v>
          </cell>
          <cell r="H1380">
            <v>44146</v>
          </cell>
          <cell r="I1380">
            <v>8</v>
          </cell>
          <cell r="J1380">
            <v>8</v>
          </cell>
          <cell r="K1380" t="str">
            <v>PO</v>
          </cell>
          <cell r="L1380" t="str">
            <v>CN</v>
          </cell>
          <cell r="M1380">
            <v>8</v>
          </cell>
          <cell r="N1380">
            <v>8</v>
          </cell>
          <cell r="O1380">
            <v>8</v>
          </cell>
          <cell r="P1380">
            <v>8</v>
          </cell>
          <cell r="Q1380" t="str">
            <v>PO</v>
          </cell>
          <cell r="R1380" t="str">
            <v>PO</v>
          </cell>
          <cell r="S1380" t="str">
            <v>CN</v>
          </cell>
          <cell r="T1380">
            <v>8</v>
          </cell>
          <cell r="U1380">
            <v>8</v>
          </cell>
          <cell r="V1380">
            <v>8</v>
          </cell>
          <cell r="W1380">
            <v>8</v>
          </cell>
          <cell r="X1380">
            <v>8</v>
          </cell>
          <cell r="Y1380" t="str">
            <v>PO</v>
          </cell>
          <cell r="Z1380" t="str">
            <v>CN</v>
          </cell>
          <cell r="AA1380">
            <v>8</v>
          </cell>
          <cell r="AB1380">
            <v>8</v>
          </cell>
          <cell r="AC1380">
            <v>8</v>
          </cell>
          <cell r="AD1380">
            <v>8</v>
          </cell>
          <cell r="AE1380">
            <v>8</v>
          </cell>
          <cell r="AF1380" t="str">
            <v>PO</v>
          </cell>
          <cell r="AG1380" t="str">
            <v>CN</v>
          </cell>
          <cell r="AH1380">
            <v>8</v>
          </cell>
          <cell r="AI1380">
            <v>8</v>
          </cell>
          <cell r="AJ1380">
            <v>8</v>
          </cell>
          <cell r="AN1380">
            <v>0</v>
          </cell>
          <cell r="AO1380">
            <v>152</v>
          </cell>
          <cell r="AP1380">
            <v>0</v>
          </cell>
          <cell r="AQ1380">
            <v>0</v>
          </cell>
          <cell r="AR1380">
            <v>0</v>
          </cell>
          <cell r="AS1380">
            <v>0</v>
          </cell>
          <cell r="AT1380">
            <v>0</v>
          </cell>
          <cell r="AU1380">
            <v>0</v>
          </cell>
          <cell r="AV1380">
            <v>40</v>
          </cell>
          <cell r="AW1380">
            <v>0</v>
          </cell>
          <cell r="AX1380">
            <v>0</v>
          </cell>
          <cell r="AY1380">
            <v>0</v>
          </cell>
          <cell r="AZ1380">
            <v>0</v>
          </cell>
          <cell r="BA1380">
            <v>0</v>
          </cell>
          <cell r="BB1380">
            <v>0</v>
          </cell>
          <cell r="BC1380">
            <v>0</v>
          </cell>
          <cell r="BD1380">
            <v>0</v>
          </cell>
          <cell r="BE1380">
            <v>0</v>
          </cell>
          <cell r="BF1380">
            <v>0</v>
          </cell>
          <cell r="BG1380">
            <v>192</v>
          </cell>
          <cell r="BH1380">
            <v>0</v>
          </cell>
          <cell r="BI1380">
            <v>0</v>
          </cell>
          <cell r="BJ1380">
            <v>20.5</v>
          </cell>
          <cell r="CD1380">
            <v>0</v>
          </cell>
          <cell r="CE1380">
            <v>0</v>
          </cell>
          <cell r="CF1380">
            <v>0</v>
          </cell>
          <cell r="CG1380">
            <v>0</v>
          </cell>
          <cell r="CH1380">
            <v>0</v>
          </cell>
          <cell r="CI1380">
            <v>0</v>
          </cell>
          <cell r="CJ1380">
            <v>0</v>
          </cell>
          <cell r="CK1380">
            <v>0</v>
          </cell>
          <cell r="CL1380">
            <v>0</v>
          </cell>
          <cell r="CM1380">
            <v>0</v>
          </cell>
        </row>
        <row r="1381">
          <cell r="C1381" t="str">
            <v>02691</v>
          </cell>
          <cell r="D1381" t="str">
            <v>Lê Hùng Dũng</v>
          </cell>
          <cell r="E1381" t="str">
            <v>COE</v>
          </cell>
          <cell r="F1381" t="str">
            <v>COE</v>
          </cell>
          <cell r="G1381" t="str">
            <v>COE Manager</v>
          </cell>
          <cell r="H1381">
            <v>44181</v>
          </cell>
          <cell r="I1381">
            <v>8</v>
          </cell>
          <cell r="J1381">
            <v>8</v>
          </cell>
          <cell r="K1381" t="str">
            <v>PO</v>
          </cell>
          <cell r="L1381" t="str">
            <v>CN</v>
          </cell>
          <cell r="M1381">
            <v>8</v>
          </cell>
          <cell r="N1381">
            <v>8</v>
          </cell>
          <cell r="O1381">
            <v>8</v>
          </cell>
          <cell r="P1381">
            <v>8</v>
          </cell>
          <cell r="Q1381" t="str">
            <v>PO</v>
          </cell>
          <cell r="R1381" t="str">
            <v>PO</v>
          </cell>
          <cell r="S1381" t="str">
            <v>CN</v>
          </cell>
          <cell r="T1381">
            <v>8</v>
          </cell>
          <cell r="U1381">
            <v>8</v>
          </cell>
          <cell r="V1381">
            <v>8</v>
          </cell>
          <cell r="W1381">
            <v>8</v>
          </cell>
          <cell r="X1381">
            <v>8</v>
          </cell>
          <cell r="Y1381" t="str">
            <v>PO</v>
          </cell>
          <cell r="Z1381" t="str">
            <v>CN</v>
          </cell>
          <cell r="AA1381">
            <v>8</v>
          </cell>
          <cell r="AB1381">
            <v>8</v>
          </cell>
          <cell r="AC1381">
            <v>8</v>
          </cell>
          <cell r="AD1381">
            <v>8</v>
          </cell>
          <cell r="AE1381">
            <v>8</v>
          </cell>
          <cell r="AF1381" t="str">
            <v>PO</v>
          </cell>
          <cell r="AG1381" t="str">
            <v>CN</v>
          </cell>
          <cell r="AH1381">
            <v>8</v>
          </cell>
          <cell r="AI1381">
            <v>8</v>
          </cell>
          <cell r="AJ1381">
            <v>8</v>
          </cell>
          <cell r="AN1381">
            <v>0</v>
          </cell>
          <cell r="AO1381">
            <v>152</v>
          </cell>
          <cell r="AP1381">
            <v>0</v>
          </cell>
          <cell r="AQ1381">
            <v>0</v>
          </cell>
          <cell r="AR1381">
            <v>0</v>
          </cell>
          <cell r="AS1381">
            <v>0</v>
          </cell>
          <cell r="AT1381">
            <v>0</v>
          </cell>
          <cell r="AU1381">
            <v>0</v>
          </cell>
          <cell r="AV1381">
            <v>40</v>
          </cell>
          <cell r="AW1381">
            <v>0</v>
          </cell>
          <cell r="AX1381">
            <v>0</v>
          </cell>
          <cell r="AY1381">
            <v>0</v>
          </cell>
          <cell r="AZ1381">
            <v>0</v>
          </cell>
          <cell r="BA1381">
            <v>0</v>
          </cell>
          <cell r="BB1381">
            <v>0</v>
          </cell>
          <cell r="BC1381">
            <v>0</v>
          </cell>
          <cell r="BD1381">
            <v>0</v>
          </cell>
          <cell r="BE1381">
            <v>0</v>
          </cell>
          <cell r="BF1381">
            <v>0</v>
          </cell>
          <cell r="BG1381">
            <v>192</v>
          </cell>
          <cell r="BH1381">
            <v>0</v>
          </cell>
          <cell r="BI1381">
            <v>0</v>
          </cell>
          <cell r="BJ1381">
            <v>19.5</v>
          </cell>
          <cell r="CD1381">
            <v>0</v>
          </cell>
          <cell r="CE1381">
            <v>0</v>
          </cell>
          <cell r="CF1381">
            <v>0</v>
          </cell>
          <cell r="CG1381">
            <v>0</v>
          </cell>
          <cell r="CH1381">
            <v>0</v>
          </cell>
          <cell r="CI1381">
            <v>0</v>
          </cell>
          <cell r="CJ1381">
            <v>0</v>
          </cell>
          <cell r="CK1381">
            <v>0</v>
          </cell>
          <cell r="CL1381">
            <v>0</v>
          </cell>
          <cell r="CM1381">
            <v>0</v>
          </cell>
        </row>
        <row r="1382">
          <cell r="C1382" t="str">
            <v>02841</v>
          </cell>
          <cell r="D1382" t="str">
            <v>Ngô Hoa Tư</v>
          </cell>
          <cell r="E1382" t="str">
            <v>Purchasing</v>
          </cell>
          <cell r="F1382" t="str">
            <v>Purchasing</v>
          </cell>
          <cell r="G1382" t="str">
            <v>Supply chain Senior Manager</v>
          </cell>
          <cell r="H1382" t="str">
            <v>16/03/2021</v>
          </cell>
          <cell r="I1382" t="str">
            <v>AL8</v>
          </cell>
          <cell r="J1382">
            <v>8</v>
          </cell>
          <cell r="K1382" t="str">
            <v>PO</v>
          </cell>
          <cell r="L1382" t="str">
            <v>CN</v>
          </cell>
          <cell r="M1382">
            <v>8</v>
          </cell>
          <cell r="N1382">
            <v>8</v>
          </cell>
          <cell r="O1382">
            <v>8</v>
          </cell>
          <cell r="P1382" t="str">
            <v>BS</v>
          </cell>
          <cell r="Q1382" t="str">
            <v>PO</v>
          </cell>
          <cell r="R1382" t="str">
            <v>PO</v>
          </cell>
          <cell r="S1382" t="str">
            <v>CN</v>
          </cell>
          <cell r="T1382">
            <v>8</v>
          </cell>
          <cell r="U1382">
            <v>8</v>
          </cell>
          <cell r="V1382">
            <v>8</v>
          </cell>
          <cell r="W1382">
            <v>8</v>
          </cell>
          <cell r="X1382">
            <v>8</v>
          </cell>
          <cell r="Y1382" t="str">
            <v>PO</v>
          </cell>
          <cell r="Z1382" t="str">
            <v>CN</v>
          </cell>
          <cell r="AA1382">
            <v>8</v>
          </cell>
          <cell r="AB1382">
            <v>8</v>
          </cell>
          <cell r="AC1382">
            <v>8</v>
          </cell>
          <cell r="AD1382">
            <v>8</v>
          </cell>
          <cell r="AE1382" t="str">
            <v>BS</v>
          </cell>
          <cell r="AF1382" t="str">
            <v>PO</v>
          </cell>
          <cell r="AG1382" t="str">
            <v>CN</v>
          </cell>
          <cell r="AH1382">
            <v>8</v>
          </cell>
          <cell r="AI1382" t="str">
            <v>BS</v>
          </cell>
          <cell r="AJ1382" t="str">
            <v>BS</v>
          </cell>
          <cell r="AN1382">
            <v>0</v>
          </cell>
          <cell r="AO1382">
            <v>112</v>
          </cell>
          <cell r="AP1382">
            <v>0</v>
          </cell>
          <cell r="AQ1382">
            <v>0</v>
          </cell>
          <cell r="AR1382">
            <v>0</v>
          </cell>
          <cell r="AS1382">
            <v>0</v>
          </cell>
          <cell r="AT1382">
            <v>0</v>
          </cell>
          <cell r="AU1382">
            <v>32</v>
          </cell>
          <cell r="AV1382">
            <v>40</v>
          </cell>
          <cell r="AW1382">
            <v>0</v>
          </cell>
          <cell r="AX1382">
            <v>0</v>
          </cell>
          <cell r="AY1382">
            <v>0</v>
          </cell>
          <cell r="AZ1382">
            <v>0</v>
          </cell>
          <cell r="BA1382">
            <v>8</v>
          </cell>
          <cell r="BB1382">
            <v>0</v>
          </cell>
          <cell r="BC1382">
            <v>0</v>
          </cell>
          <cell r="BD1382">
            <v>0</v>
          </cell>
          <cell r="BE1382">
            <v>0</v>
          </cell>
          <cell r="BF1382">
            <v>0</v>
          </cell>
          <cell r="BG1382">
            <v>192</v>
          </cell>
          <cell r="BH1382">
            <v>1</v>
          </cell>
          <cell r="BI1382">
            <v>1</v>
          </cell>
          <cell r="BJ1382">
            <v>5</v>
          </cell>
          <cell r="CD1382">
            <v>0</v>
          </cell>
          <cell r="CE1382">
            <v>0</v>
          </cell>
          <cell r="CF1382">
            <v>0</v>
          </cell>
          <cell r="CG1382">
            <v>0</v>
          </cell>
          <cell r="CH1382">
            <v>0</v>
          </cell>
          <cell r="CI1382">
            <v>0</v>
          </cell>
          <cell r="CJ1382">
            <v>0</v>
          </cell>
          <cell r="CK1382">
            <v>0</v>
          </cell>
          <cell r="CL1382">
            <v>0</v>
          </cell>
          <cell r="CM1382">
            <v>0</v>
          </cell>
        </row>
        <row r="1383">
          <cell r="C1383" t="str">
            <v>04043</v>
          </cell>
          <cell r="D1383" t="str">
            <v>Phạm Việt Hà</v>
          </cell>
          <cell r="E1383" t="str">
            <v>Foaming</v>
          </cell>
          <cell r="F1383" t="str">
            <v>FOAMING Production control</v>
          </cell>
          <cell r="G1383" t="str">
            <v>Foaming Operation Director</v>
          </cell>
          <cell r="H1383">
            <v>45355</v>
          </cell>
          <cell r="I1383">
            <v>8</v>
          </cell>
          <cell r="J1383">
            <v>8</v>
          </cell>
          <cell r="K1383" t="str">
            <v>PO</v>
          </cell>
          <cell r="L1383" t="str">
            <v>CN</v>
          </cell>
          <cell r="M1383">
            <v>8</v>
          </cell>
          <cell r="N1383">
            <v>8</v>
          </cell>
          <cell r="O1383">
            <v>8</v>
          </cell>
          <cell r="P1383">
            <v>8</v>
          </cell>
          <cell r="Q1383" t="str">
            <v>PO</v>
          </cell>
          <cell r="R1383" t="str">
            <v>PO</v>
          </cell>
          <cell r="S1383" t="str">
            <v>CN</v>
          </cell>
          <cell r="T1383">
            <v>8</v>
          </cell>
          <cell r="U1383">
            <v>8</v>
          </cell>
          <cell r="V1383">
            <v>8</v>
          </cell>
          <cell r="W1383">
            <v>8</v>
          </cell>
          <cell r="X1383">
            <v>8</v>
          </cell>
          <cell r="Y1383" t="str">
            <v>PO</v>
          </cell>
          <cell r="Z1383" t="str">
            <v>CN</v>
          </cell>
          <cell r="AA1383">
            <v>8</v>
          </cell>
          <cell r="AB1383">
            <v>8</v>
          </cell>
          <cell r="AC1383">
            <v>8</v>
          </cell>
          <cell r="AD1383">
            <v>8</v>
          </cell>
          <cell r="AE1383">
            <v>8</v>
          </cell>
          <cell r="AF1383" t="str">
            <v>PO</v>
          </cell>
          <cell r="AG1383" t="str">
            <v>CN</v>
          </cell>
          <cell r="AH1383">
            <v>8</v>
          </cell>
          <cell r="AI1383">
            <v>8</v>
          </cell>
          <cell r="AJ1383">
            <v>8</v>
          </cell>
          <cell r="AN1383">
            <v>0</v>
          </cell>
          <cell r="AO1383">
            <v>152</v>
          </cell>
          <cell r="AP1383">
            <v>0</v>
          </cell>
          <cell r="AQ1383">
            <v>0</v>
          </cell>
          <cell r="AR1383">
            <v>0</v>
          </cell>
          <cell r="AS1383">
            <v>0</v>
          </cell>
          <cell r="AT1383">
            <v>0</v>
          </cell>
          <cell r="AU1383">
            <v>0</v>
          </cell>
          <cell r="AV1383">
            <v>40</v>
          </cell>
          <cell r="AW1383">
            <v>0</v>
          </cell>
          <cell r="AX1383">
            <v>0</v>
          </cell>
          <cell r="AY1383">
            <v>0</v>
          </cell>
          <cell r="AZ1383">
            <v>0</v>
          </cell>
          <cell r="BA1383">
            <v>0</v>
          </cell>
          <cell r="BB1383">
            <v>0</v>
          </cell>
          <cell r="BC1383">
            <v>0</v>
          </cell>
          <cell r="BD1383">
            <v>0</v>
          </cell>
          <cell r="BE1383">
            <v>0</v>
          </cell>
          <cell r="BF1383">
            <v>0</v>
          </cell>
          <cell r="BG1383">
            <v>192</v>
          </cell>
          <cell r="BH1383">
            <v>0</v>
          </cell>
          <cell r="BI1383">
            <v>0</v>
          </cell>
          <cell r="BJ1383">
            <v>11</v>
          </cell>
          <cell r="CD1383">
            <v>0</v>
          </cell>
          <cell r="CE1383">
            <v>0</v>
          </cell>
          <cell r="CF1383">
            <v>0</v>
          </cell>
          <cell r="CG1383">
            <v>0</v>
          </cell>
          <cell r="CH1383">
            <v>0</v>
          </cell>
          <cell r="CI1383">
            <v>0</v>
          </cell>
          <cell r="CJ1383">
            <v>0</v>
          </cell>
          <cell r="CK1383">
            <v>0</v>
          </cell>
          <cell r="CL1383">
            <v>0</v>
          </cell>
          <cell r="CM1383">
            <v>0</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etail in Aug"/>
      <sheetName val="247"/>
      <sheetName val="Sheet3"/>
      <sheetName val="Sheet1"/>
      <sheetName val="OT 6 tháng"/>
      <sheetName val="Sản Lượng Ngày"/>
      <sheetName val="VỆ SINH T4.2026"/>
      <sheetName val="BCC"/>
      <sheetName val="Tháng 04.2026"/>
      <sheetName val="Activities T4"/>
      <sheetName val="Tổng hợp tuần T02"/>
      <sheetName val="Sheet2"/>
      <sheetName val="cập nhật mới không tính PPH T1"/>
      <sheetName val="T12"/>
      <sheetName val="ds đi hổ trợ"/>
      <sheetName val="Đổ"/>
      <sheetName val="FOAMING_POURING"/>
      <sheetName val="Tách"/>
      <sheetName val="FOAMING_SPLITTING"/>
      <sheetName val="Sheet5"/>
    </sheetNames>
    <sheetDataSet>
      <sheetData sheetId="0"/>
      <sheetData sheetId="1"/>
      <sheetData sheetId="2"/>
      <sheetData sheetId="3"/>
      <sheetData sheetId="4"/>
      <sheetData sheetId="5"/>
      <sheetData sheetId="6"/>
      <sheetData sheetId="7"/>
      <sheetData sheetId="8">
        <row r="1">
          <cell r="E1"/>
          <cell r="F1"/>
          <cell r="G1"/>
          <cell r="H1"/>
          <cell r="I1"/>
          <cell r="L1"/>
          <cell r="M1"/>
          <cell r="N1"/>
          <cell r="O1"/>
          <cell r="P1"/>
          <cell r="Q1"/>
          <cell r="R1"/>
          <cell r="S1"/>
          <cell r="T1"/>
          <cell r="U1"/>
          <cell r="V1"/>
          <cell r="W1"/>
          <cell r="X1"/>
          <cell r="Y1"/>
          <cell r="Z1"/>
          <cell r="AA1"/>
          <cell r="AB1" t="str">
            <v>CÔNG TY TNHH ORTHOLITE VIỆT NAM</v>
          </cell>
          <cell r="AC1"/>
          <cell r="AD1"/>
          <cell r="AE1"/>
          <cell r="AF1"/>
          <cell r="AG1"/>
          <cell r="AH1"/>
          <cell r="AI1"/>
          <cell r="AJ1"/>
          <cell r="AK1"/>
          <cell r="AL1"/>
          <cell r="AM1"/>
          <cell r="AN1"/>
          <cell r="AO1"/>
          <cell r="AP1"/>
          <cell r="AQ1"/>
          <cell r="AR1"/>
          <cell r="AS1"/>
          <cell r="AT1"/>
          <cell r="AU1"/>
          <cell r="AV1"/>
          <cell r="AW1"/>
          <cell r="AX1"/>
          <cell r="AY1"/>
          <cell r="AZ1"/>
          <cell r="BA1"/>
          <cell r="BB1"/>
          <cell r="BC1"/>
          <cell r="BD1"/>
          <cell r="BE1"/>
          <cell r="BF1"/>
          <cell r="BG1"/>
          <cell r="BH1"/>
          <cell r="BI1"/>
          <cell r="BJ1"/>
          <cell r="BK1"/>
          <cell r="BL1"/>
          <cell r="BM1"/>
          <cell r="BN1"/>
          <cell r="BO1"/>
          <cell r="BP1"/>
          <cell r="BQ1"/>
          <cell r="BR1"/>
          <cell r="BS1"/>
          <cell r="BT1"/>
          <cell r="BU1"/>
          <cell r="BV1"/>
          <cell r="BW1"/>
          <cell r="BX1"/>
          <cell r="BY1"/>
          <cell r="BZ1"/>
          <cell r="CA1"/>
          <cell r="CB1"/>
          <cell r="CC1"/>
          <cell r="CD1"/>
          <cell r="CE1"/>
          <cell r="CF1"/>
          <cell r="CG1"/>
          <cell r="CH1"/>
          <cell r="CI1"/>
          <cell r="CJ1"/>
          <cell r="CK1"/>
          <cell r="CL1"/>
          <cell r="CM1"/>
          <cell r="CN1"/>
          <cell r="CO1"/>
          <cell r="CP1"/>
          <cell r="CQ1"/>
          <cell r="CR1"/>
          <cell r="CS1"/>
          <cell r="CT1"/>
          <cell r="CU1"/>
          <cell r="CV1"/>
          <cell r="CW1"/>
          <cell r="CX1"/>
          <cell r="CY1"/>
          <cell r="CZ1"/>
          <cell r="DA1" t="str">
            <v>CÔNG TY TNHH ORTHOLITE VIỆT NAM</v>
          </cell>
          <cell r="DB1"/>
          <cell r="DC1"/>
          <cell r="DD1"/>
          <cell r="DE1"/>
          <cell r="DF1"/>
          <cell r="DG1"/>
          <cell r="DH1"/>
          <cell r="DI1"/>
          <cell r="DJ1"/>
          <cell r="DK1"/>
          <cell r="DL1"/>
          <cell r="DM1"/>
          <cell r="DN1"/>
          <cell r="DO1"/>
          <cell r="DP1"/>
          <cell r="DQ1"/>
          <cell r="DR1"/>
          <cell r="DS1"/>
          <cell r="DT1"/>
          <cell r="DU1"/>
          <cell r="DV1"/>
          <cell r="DW1"/>
          <cell r="DX1"/>
          <cell r="DY1"/>
        </row>
        <row r="2">
          <cell r="E2"/>
          <cell r="F2"/>
          <cell r="G2"/>
          <cell r="H2"/>
          <cell r="I2"/>
          <cell r="L2"/>
          <cell r="M2"/>
          <cell r="N2"/>
          <cell r="O2"/>
          <cell r="P2"/>
          <cell r="Q2"/>
          <cell r="R2"/>
          <cell r="S2"/>
          <cell r="T2"/>
          <cell r="U2"/>
          <cell r="V2"/>
          <cell r="W2"/>
          <cell r="X2"/>
          <cell r="Y2"/>
          <cell r="Z2"/>
          <cell r="AA2"/>
          <cell r="AB2" t="str">
            <v>Bảng chấm công tháng 12 năm 2025 (Ngày 26/11/2025 đến 25/12/2025)</v>
          </cell>
          <cell r="AC2"/>
          <cell r="AD2"/>
          <cell r="AE2"/>
          <cell r="AF2"/>
          <cell r="AG2"/>
          <cell r="AH2"/>
          <cell r="AI2"/>
          <cell r="AJ2"/>
          <cell r="AK2"/>
          <cell r="AL2"/>
          <cell r="AM2"/>
          <cell r="AN2"/>
          <cell r="AO2"/>
          <cell r="AP2"/>
          <cell r="AQ2"/>
          <cell r="AR2"/>
          <cell r="AS2"/>
          <cell r="AT2"/>
          <cell r="AU2"/>
          <cell r="AV2"/>
          <cell r="AW2"/>
          <cell r="AX2"/>
          <cell r="AY2"/>
          <cell r="AZ2"/>
          <cell r="BA2"/>
          <cell r="BB2"/>
          <cell r="BC2"/>
          <cell r="BD2"/>
          <cell r="BE2">
            <v>7693</v>
          </cell>
          <cell r="BF2"/>
          <cell r="BG2"/>
          <cell r="BH2"/>
          <cell r="BI2"/>
          <cell r="BJ2"/>
          <cell r="BK2"/>
          <cell r="BL2"/>
          <cell r="BM2"/>
          <cell r="BN2"/>
          <cell r="BO2"/>
          <cell r="BP2"/>
          <cell r="BQ2"/>
          <cell r="BR2"/>
          <cell r="BS2"/>
          <cell r="BT2"/>
          <cell r="BU2"/>
          <cell r="BV2"/>
          <cell r="BW2"/>
          <cell r="BX2"/>
          <cell r="BY2"/>
          <cell r="BZ2"/>
          <cell r="CA2"/>
          <cell r="CB2"/>
          <cell r="CC2"/>
          <cell r="CD2"/>
          <cell r="CE2"/>
          <cell r="CF2"/>
          <cell r="CG2"/>
          <cell r="CH2"/>
          <cell r="CI2"/>
          <cell r="CJ2"/>
          <cell r="CK2"/>
          <cell r="CL2"/>
          <cell r="CM2"/>
          <cell r="CN2"/>
          <cell r="CO2"/>
          <cell r="CP2"/>
          <cell r="CQ2"/>
          <cell r="CR2"/>
          <cell r="CS2"/>
          <cell r="CT2"/>
          <cell r="CU2"/>
          <cell r="CV2"/>
          <cell r="CW2"/>
          <cell r="CX2"/>
          <cell r="CY2"/>
          <cell r="CZ2"/>
          <cell r="DA2" t="str">
            <v>Bảng  tăng ca  tháng 03 năm 2023 (Ngày 26/02/2024 đến 25/03/2024)</v>
          </cell>
          <cell r="DB2"/>
          <cell r="DC2"/>
          <cell r="DD2"/>
          <cell r="DE2"/>
          <cell r="DF2"/>
          <cell r="DG2"/>
          <cell r="DH2"/>
          <cell r="DI2"/>
          <cell r="DJ2"/>
          <cell r="DK2"/>
          <cell r="DL2"/>
          <cell r="DM2"/>
          <cell r="DN2"/>
          <cell r="DO2"/>
          <cell r="DP2"/>
          <cell r="DQ2"/>
          <cell r="DR2"/>
          <cell r="DS2"/>
          <cell r="DT2"/>
          <cell r="DU2"/>
          <cell r="DV2"/>
          <cell r="DW2"/>
          <cell r="DX2"/>
          <cell r="DY2"/>
        </row>
        <row r="3">
          <cell r="F3"/>
          <cell r="G3"/>
          <cell r="H3"/>
          <cell r="I3"/>
          <cell r="L3"/>
          <cell r="M3"/>
          <cell r="N3"/>
          <cell r="O3"/>
          <cell r="P3"/>
          <cell r="Q3"/>
          <cell r="R3"/>
          <cell r="S3"/>
          <cell r="T3"/>
          <cell r="U3"/>
          <cell r="V3"/>
          <cell r="W3"/>
          <cell r="X3"/>
          <cell r="Y3"/>
          <cell r="Z3"/>
          <cell r="AA3"/>
          <cell r="AB3"/>
          <cell r="AC3"/>
          <cell r="AF3"/>
          <cell r="AG3"/>
          <cell r="AH3"/>
          <cell r="AI3"/>
          <cell r="AJ3"/>
          <cell r="AK3"/>
          <cell r="AL3"/>
          <cell r="AM3"/>
          <cell r="AN3"/>
          <cell r="AO3"/>
          <cell r="AP3"/>
          <cell r="AQ3"/>
          <cell r="AR3"/>
          <cell r="AS3"/>
          <cell r="AT3"/>
          <cell r="AU3"/>
          <cell r="AV3"/>
          <cell r="AW3"/>
          <cell r="AX3"/>
          <cell r="AY3"/>
          <cell r="AZ3"/>
          <cell r="BA3"/>
          <cell r="BB3"/>
          <cell r="BC3"/>
          <cell r="BD3"/>
          <cell r="CG3"/>
          <cell r="CH3"/>
          <cell r="CI3"/>
          <cell r="CJ3"/>
          <cell r="CK3"/>
          <cell r="CL3"/>
          <cell r="CM3"/>
          <cell r="CN3"/>
          <cell r="CO3"/>
          <cell r="CP3"/>
          <cell r="CQ3"/>
          <cell r="CR3"/>
          <cell r="CS3"/>
          <cell r="CT3"/>
          <cell r="CU3"/>
          <cell r="CV3"/>
          <cell r="CW3"/>
          <cell r="CX3"/>
          <cell r="CY3"/>
          <cell r="DA3"/>
          <cell r="DB3"/>
          <cell r="DC3"/>
          <cell r="DD3"/>
          <cell r="DE3"/>
          <cell r="DF3"/>
          <cell r="DH3"/>
          <cell r="DI3"/>
          <cell r="DJ3"/>
          <cell r="DK3"/>
          <cell r="DL3"/>
          <cell r="DM3"/>
          <cell r="DN3"/>
          <cell r="DO3"/>
          <cell r="DP3"/>
          <cell r="DT3"/>
          <cell r="DU3"/>
          <cell r="DV3"/>
          <cell r="DW3"/>
          <cell r="DX3"/>
          <cell r="DY3"/>
        </row>
        <row r="4">
          <cell r="F4"/>
          <cell r="G4"/>
          <cell r="H4"/>
          <cell r="I4"/>
          <cell r="L4"/>
          <cell r="M4"/>
          <cell r="N4"/>
          <cell r="O4"/>
          <cell r="P4"/>
          <cell r="Q4"/>
          <cell r="R4"/>
          <cell r="S4"/>
          <cell r="T4"/>
          <cell r="U4"/>
          <cell r="V4"/>
          <cell r="W4"/>
          <cell r="X4"/>
          <cell r="Y4"/>
          <cell r="Z4"/>
          <cell r="AA4"/>
          <cell r="AB4"/>
          <cell r="AC4"/>
          <cell r="AD4"/>
          <cell r="AE4"/>
          <cell r="AF4"/>
          <cell r="AG4"/>
          <cell r="AH4"/>
          <cell r="AI4"/>
          <cell r="AJ4"/>
          <cell r="AK4"/>
          <cell r="AL4"/>
          <cell r="AM4"/>
          <cell r="AN4"/>
          <cell r="AO4"/>
          <cell r="AP4"/>
          <cell r="AQ4"/>
          <cell r="AR4"/>
          <cell r="AS4"/>
          <cell r="AT4"/>
          <cell r="AU4"/>
          <cell r="AV4"/>
          <cell r="AW4"/>
          <cell r="AX4"/>
          <cell r="AY4"/>
          <cell r="AZ4"/>
          <cell r="BA4"/>
          <cell r="BB4"/>
          <cell r="BC4"/>
          <cell r="BD4"/>
          <cell r="BE4"/>
          <cell r="BF4"/>
          <cell r="BG4"/>
          <cell r="BH4"/>
          <cell r="BI4"/>
          <cell r="BJ4"/>
          <cell r="BK4"/>
          <cell r="BL4"/>
          <cell r="BM4"/>
          <cell r="BN4"/>
          <cell r="BO4"/>
          <cell r="BP4"/>
          <cell r="BQ4"/>
          <cell r="BR4"/>
          <cell r="BS4"/>
          <cell r="BT4"/>
          <cell r="BU4"/>
          <cell r="BV4"/>
          <cell r="BW4"/>
          <cell r="BX4"/>
          <cell r="BY4"/>
          <cell r="BZ4"/>
          <cell r="CA4"/>
          <cell r="CB4"/>
          <cell r="CC4"/>
          <cell r="CD4"/>
          <cell r="CE4"/>
          <cell r="CF4"/>
          <cell r="CG4"/>
          <cell r="CH4"/>
          <cell r="CI4"/>
          <cell r="CJ4"/>
          <cell r="CK4"/>
          <cell r="CL4"/>
          <cell r="CM4"/>
          <cell r="CN4"/>
          <cell r="CO4"/>
          <cell r="CP4"/>
          <cell r="CQ4"/>
          <cell r="CR4"/>
          <cell r="CS4"/>
          <cell r="CT4"/>
          <cell r="CU4"/>
          <cell r="CV4"/>
          <cell r="CW4"/>
          <cell r="CX4"/>
          <cell r="CY4"/>
          <cell r="CZ4"/>
          <cell r="DA4"/>
          <cell r="DB4"/>
          <cell r="DC4"/>
          <cell r="DD4"/>
          <cell r="DE4"/>
          <cell r="DF4"/>
          <cell r="DG4"/>
          <cell r="DH4"/>
          <cell r="DI4"/>
          <cell r="DJ4"/>
          <cell r="DK4"/>
          <cell r="DL4"/>
          <cell r="DM4"/>
          <cell r="DN4"/>
          <cell r="DO4"/>
          <cell r="DP4"/>
          <cell r="DQ4"/>
          <cell r="DR4"/>
          <cell r="DS4"/>
          <cell r="DT4"/>
          <cell r="DU4"/>
          <cell r="DV4"/>
          <cell r="DW4"/>
          <cell r="DX4"/>
          <cell r="DY4"/>
        </row>
        <row r="5">
          <cell r="F5"/>
          <cell r="G5"/>
          <cell r="H5"/>
          <cell r="I5"/>
          <cell r="L5"/>
          <cell r="M5"/>
          <cell r="N5"/>
          <cell r="O5"/>
          <cell r="P5"/>
          <cell r="Q5"/>
          <cell r="R5"/>
          <cell r="S5"/>
          <cell r="T5"/>
          <cell r="U5"/>
          <cell r="V5"/>
          <cell r="W5"/>
          <cell r="X5"/>
          <cell r="Y5"/>
          <cell r="Z5"/>
          <cell r="AA5"/>
          <cell r="AB5"/>
          <cell r="AC5"/>
          <cell r="AD5"/>
          <cell r="AE5"/>
          <cell r="AF5"/>
          <cell r="AG5"/>
          <cell r="AH5"/>
          <cell r="AI5"/>
          <cell r="AJ5"/>
          <cell r="AK5"/>
          <cell r="AL5"/>
          <cell r="AM5"/>
          <cell r="AN5"/>
          <cell r="AO5"/>
          <cell r="AP5"/>
          <cell r="AQ5"/>
          <cell r="AR5"/>
          <cell r="AS5"/>
          <cell r="AT5"/>
          <cell r="AU5"/>
          <cell r="AV5"/>
          <cell r="AW5"/>
          <cell r="AX5"/>
          <cell r="AY5"/>
          <cell r="AZ5"/>
          <cell r="BA5"/>
          <cell r="BB5"/>
          <cell r="BC5"/>
          <cell r="BD5"/>
          <cell r="BE5"/>
          <cell r="BF5"/>
          <cell r="BG5"/>
          <cell r="BH5"/>
          <cell r="BI5"/>
          <cell r="BJ5"/>
          <cell r="BK5"/>
          <cell r="BL5"/>
          <cell r="BM5"/>
          <cell r="BN5"/>
          <cell r="BO5"/>
          <cell r="BP5"/>
          <cell r="BQ5"/>
          <cell r="BR5"/>
          <cell r="BS5"/>
          <cell r="BT5"/>
          <cell r="BU5"/>
          <cell r="BV5"/>
          <cell r="BW5"/>
          <cell r="BX5"/>
          <cell r="BY5"/>
          <cell r="BZ5"/>
          <cell r="CA5"/>
          <cell r="CB5"/>
          <cell r="CC5"/>
          <cell r="CD5"/>
          <cell r="CE5"/>
          <cell r="CF5"/>
          <cell r="CG5"/>
          <cell r="CH5"/>
          <cell r="CI5"/>
          <cell r="CJ5"/>
          <cell r="CK5"/>
          <cell r="CL5"/>
          <cell r="CM5"/>
          <cell r="CN5"/>
          <cell r="CO5"/>
          <cell r="CP5"/>
          <cell r="CQ5"/>
          <cell r="CR5"/>
          <cell r="CS5"/>
          <cell r="CT5"/>
          <cell r="CU5"/>
          <cell r="CV5"/>
          <cell r="CW5"/>
          <cell r="CX5"/>
          <cell r="CY5"/>
          <cell r="CZ5"/>
          <cell r="DA5"/>
          <cell r="DB5"/>
          <cell r="DC5"/>
          <cell r="DD5"/>
          <cell r="DE5"/>
          <cell r="DF5"/>
          <cell r="DG5"/>
          <cell r="DH5"/>
          <cell r="DI5"/>
          <cell r="DJ5"/>
          <cell r="DK5"/>
          <cell r="DL5"/>
          <cell r="DM5"/>
          <cell r="DN5"/>
          <cell r="DO5"/>
          <cell r="DP5"/>
          <cell r="DQ5"/>
          <cell r="DR5"/>
          <cell r="DS5"/>
          <cell r="DT5"/>
          <cell r="DU5"/>
          <cell r="DV5"/>
          <cell r="DW5"/>
          <cell r="DX5"/>
          <cell r="DY5"/>
        </row>
        <row r="6">
          <cell r="F6"/>
          <cell r="G6"/>
          <cell r="H6"/>
          <cell r="I6"/>
          <cell r="L6"/>
          <cell r="M6"/>
          <cell r="N6"/>
          <cell r="O6"/>
          <cell r="P6"/>
          <cell r="Q6"/>
          <cell r="R6"/>
          <cell r="S6"/>
          <cell r="T6"/>
          <cell r="U6"/>
          <cell r="V6"/>
          <cell r="W6"/>
          <cell r="X6"/>
          <cell r="Y6"/>
          <cell r="Z6"/>
          <cell r="AA6"/>
          <cell r="AB6"/>
          <cell r="AC6"/>
          <cell r="AD6"/>
          <cell r="AE6"/>
          <cell r="AF6"/>
          <cell r="AG6"/>
          <cell r="AH6"/>
          <cell r="AI6"/>
          <cell r="AJ6"/>
          <cell r="AK6"/>
          <cell r="AL6"/>
          <cell r="AM6"/>
          <cell r="AN6"/>
          <cell r="AO6"/>
          <cell r="AP6"/>
          <cell r="AQ6"/>
          <cell r="AR6"/>
          <cell r="AS6"/>
          <cell r="AT6"/>
          <cell r="AU6"/>
          <cell r="AV6"/>
          <cell r="AW6"/>
          <cell r="AX6"/>
          <cell r="AY6"/>
          <cell r="AZ6"/>
          <cell r="BA6"/>
          <cell r="BB6"/>
          <cell r="BC6"/>
          <cell r="BD6"/>
          <cell r="BE6"/>
          <cell r="BF6"/>
          <cell r="BG6"/>
          <cell r="BH6"/>
          <cell r="BI6"/>
          <cell r="BJ6"/>
          <cell r="BK6"/>
          <cell r="BL6"/>
          <cell r="BM6"/>
          <cell r="BN6"/>
          <cell r="BO6"/>
          <cell r="BP6"/>
          <cell r="BQ6"/>
          <cell r="BR6"/>
          <cell r="BS6"/>
          <cell r="BT6"/>
          <cell r="BU6"/>
          <cell r="BV6"/>
          <cell r="BW6"/>
          <cell r="BX6"/>
          <cell r="BY6"/>
          <cell r="BZ6"/>
          <cell r="CA6"/>
          <cell r="CB6"/>
          <cell r="CC6"/>
          <cell r="CD6"/>
          <cell r="CE6"/>
          <cell r="CF6"/>
          <cell r="CG6"/>
          <cell r="CH6"/>
          <cell r="CI6"/>
          <cell r="CJ6"/>
          <cell r="CK6"/>
          <cell r="CL6"/>
          <cell r="CM6"/>
          <cell r="CN6"/>
          <cell r="CO6"/>
          <cell r="CP6"/>
          <cell r="CQ6"/>
          <cell r="CR6"/>
          <cell r="CS6"/>
          <cell r="CT6"/>
          <cell r="CU6"/>
          <cell r="CV6"/>
          <cell r="CW6"/>
          <cell r="CX6"/>
          <cell r="CY6"/>
          <cell r="CZ6"/>
          <cell r="DA6"/>
          <cell r="DB6"/>
          <cell r="DC6"/>
          <cell r="DD6"/>
          <cell r="DE6"/>
          <cell r="DF6"/>
          <cell r="DG6"/>
          <cell r="DH6"/>
          <cell r="DI6"/>
          <cell r="DJ6"/>
          <cell r="DK6"/>
          <cell r="DL6"/>
          <cell r="DM6"/>
          <cell r="DN6"/>
          <cell r="DO6"/>
          <cell r="DP6"/>
          <cell r="DQ6"/>
          <cell r="DR6"/>
          <cell r="DS6"/>
          <cell r="DT6"/>
          <cell r="DU6"/>
          <cell r="DV6"/>
          <cell r="DW6"/>
          <cell r="DX6"/>
          <cell r="DY6"/>
        </row>
        <row r="7">
          <cell r="F7"/>
          <cell r="G7"/>
          <cell r="H7"/>
          <cell r="I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cell r="AY7"/>
          <cell r="AZ7"/>
          <cell r="BA7"/>
          <cell r="BB7"/>
          <cell r="BC7"/>
          <cell r="BD7"/>
          <cell r="BE7"/>
          <cell r="BF7"/>
          <cell r="BG7"/>
          <cell r="BH7"/>
          <cell r="BI7"/>
          <cell r="BJ7"/>
          <cell r="BK7"/>
          <cell r="BL7"/>
          <cell r="BM7"/>
          <cell r="BN7"/>
          <cell r="BO7"/>
          <cell r="BP7"/>
          <cell r="BQ7"/>
          <cell r="BR7"/>
          <cell r="BS7"/>
          <cell r="BT7"/>
          <cell r="BU7"/>
          <cell r="BV7"/>
          <cell r="BW7"/>
          <cell r="BX7"/>
          <cell r="BY7"/>
          <cell r="BZ7"/>
          <cell r="CA7"/>
          <cell r="CB7"/>
          <cell r="CC7"/>
          <cell r="CD7"/>
          <cell r="CE7"/>
          <cell r="CF7"/>
          <cell r="CG7"/>
          <cell r="CH7"/>
          <cell r="CI7"/>
          <cell r="CJ7"/>
          <cell r="CK7"/>
          <cell r="CL7"/>
          <cell r="CM7"/>
          <cell r="CN7"/>
          <cell r="CO7"/>
          <cell r="CP7"/>
          <cell r="CQ7"/>
          <cell r="CR7"/>
          <cell r="CS7"/>
          <cell r="CT7"/>
          <cell r="CU7"/>
          <cell r="CV7"/>
          <cell r="CW7"/>
          <cell r="CX7"/>
          <cell r="CY7"/>
          <cell r="CZ7"/>
          <cell r="DA7"/>
          <cell r="DB7"/>
          <cell r="DC7"/>
          <cell r="DD7"/>
          <cell r="DE7"/>
          <cell r="DF7"/>
          <cell r="DG7"/>
          <cell r="DH7"/>
          <cell r="DI7"/>
          <cell r="DJ7"/>
          <cell r="DK7"/>
          <cell r="DL7"/>
          <cell r="DM7"/>
          <cell r="DN7"/>
          <cell r="DO7"/>
          <cell r="DP7"/>
          <cell r="DQ7"/>
          <cell r="DR7"/>
          <cell r="DS7"/>
          <cell r="DT7"/>
          <cell r="DU7"/>
          <cell r="DV7"/>
          <cell r="DW7"/>
          <cell r="DX7"/>
          <cell r="DY7"/>
        </row>
        <row r="8">
          <cell r="F8"/>
          <cell r="G8"/>
          <cell r="H8"/>
          <cell r="I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cell r="CF8"/>
          <cell r="CG8"/>
          <cell r="CH8"/>
          <cell r="CI8"/>
          <cell r="CJ8"/>
          <cell r="CK8"/>
          <cell r="CL8"/>
          <cell r="CM8"/>
          <cell r="CN8"/>
          <cell r="CO8"/>
          <cell r="CP8"/>
          <cell r="CQ8"/>
          <cell r="CR8"/>
          <cell r="CS8"/>
          <cell r="CT8"/>
          <cell r="CU8"/>
          <cell r="CV8"/>
          <cell r="CW8"/>
          <cell r="CX8"/>
          <cell r="CY8"/>
          <cell r="CZ8"/>
          <cell r="DA8"/>
          <cell r="DB8"/>
          <cell r="DC8"/>
          <cell r="DD8"/>
          <cell r="DE8"/>
          <cell r="DF8"/>
          <cell r="DG8"/>
          <cell r="DH8"/>
          <cell r="DI8"/>
          <cell r="DJ8"/>
          <cell r="DK8"/>
          <cell r="DL8"/>
          <cell r="DM8"/>
          <cell r="DN8"/>
          <cell r="DO8"/>
          <cell r="DP8"/>
          <cell r="DQ8"/>
          <cell r="DR8"/>
          <cell r="DS8"/>
          <cell r="DT8"/>
          <cell r="DU8"/>
          <cell r="DV8"/>
          <cell r="DW8"/>
          <cell r="DX8"/>
          <cell r="DY8"/>
        </row>
        <row r="9">
          <cell r="F9"/>
          <cell r="G9"/>
          <cell r="H9"/>
          <cell r="I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cell r="CO9"/>
          <cell r="CP9"/>
          <cell r="CQ9"/>
          <cell r="CR9"/>
          <cell r="CS9"/>
          <cell r="CT9"/>
          <cell r="CU9"/>
          <cell r="CV9"/>
          <cell r="CW9"/>
          <cell r="CX9"/>
          <cell r="CY9"/>
          <cell r="CZ9"/>
          <cell r="DA9"/>
          <cell r="DB9"/>
          <cell r="DC9"/>
          <cell r="DD9"/>
          <cell r="DE9"/>
          <cell r="DF9"/>
          <cell r="DG9"/>
          <cell r="DH9"/>
          <cell r="DI9"/>
          <cell r="DJ9"/>
          <cell r="DK9"/>
          <cell r="DL9"/>
          <cell r="DM9"/>
          <cell r="DN9"/>
          <cell r="DO9"/>
          <cell r="DP9"/>
          <cell r="DQ9"/>
          <cell r="DR9"/>
          <cell r="DS9"/>
          <cell r="DT9"/>
          <cell r="DU9"/>
          <cell r="DV9"/>
          <cell r="DW9"/>
          <cell r="DX9"/>
          <cell r="DY9"/>
        </row>
        <row r="10">
          <cell r="F10"/>
          <cell r="G10"/>
          <cell r="H10"/>
          <cell r="I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cell r="CO10"/>
          <cell r="CP10"/>
          <cell r="CQ10"/>
          <cell r="CR10"/>
          <cell r="CS10"/>
          <cell r="CT10"/>
          <cell r="CU10"/>
          <cell r="CV10"/>
          <cell r="CW10"/>
          <cell r="CX10"/>
          <cell r="CY10"/>
          <cell r="CZ10"/>
          <cell r="DA10"/>
          <cell r="DB10"/>
          <cell r="DC10"/>
          <cell r="DD10"/>
          <cell r="DE10"/>
          <cell r="DF10"/>
          <cell r="DG10"/>
          <cell r="DH10"/>
          <cell r="DI10"/>
          <cell r="DJ10"/>
          <cell r="DK10"/>
          <cell r="DL10"/>
          <cell r="DM10"/>
          <cell r="DN10"/>
          <cell r="DO10"/>
          <cell r="DP10"/>
          <cell r="DQ10"/>
          <cell r="DR10"/>
          <cell r="DS10"/>
          <cell r="DT10"/>
          <cell r="DU10"/>
          <cell r="DV10"/>
          <cell r="DW10"/>
          <cell r="DX10"/>
          <cell r="DY10"/>
        </row>
        <row r="11">
          <cell r="F11"/>
          <cell r="G11"/>
          <cell r="H11"/>
          <cell r="I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cell r="CL11"/>
          <cell r="CM11"/>
          <cell r="CN11"/>
          <cell r="CO11"/>
          <cell r="CP11"/>
          <cell r="CQ11"/>
          <cell r="CR11"/>
          <cell r="CS11"/>
          <cell r="CT11"/>
          <cell r="CU11"/>
          <cell r="CV11"/>
          <cell r="CW11"/>
          <cell r="CX11"/>
          <cell r="CY11"/>
          <cell r="CZ11"/>
          <cell r="DA11"/>
          <cell r="DB11"/>
          <cell r="DC11"/>
          <cell r="DD11"/>
          <cell r="DE11"/>
          <cell r="DF11"/>
          <cell r="DG11"/>
          <cell r="DH11"/>
          <cell r="DI11"/>
          <cell r="DJ11"/>
          <cell r="DK11"/>
          <cell r="DL11"/>
          <cell r="DM11"/>
          <cell r="DN11"/>
          <cell r="DO11"/>
          <cell r="DP11"/>
          <cell r="DQ11"/>
          <cell r="DR11"/>
          <cell r="DS11"/>
          <cell r="DT11"/>
          <cell r="DU11"/>
          <cell r="DV11"/>
          <cell r="DW11"/>
          <cell r="DX11"/>
          <cell r="DY11"/>
        </row>
        <row r="12">
          <cell r="F12"/>
          <cell r="G12"/>
          <cell r="H12"/>
          <cell r="I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cell r="CO12"/>
          <cell r="CP12"/>
          <cell r="CQ12"/>
          <cell r="CR12"/>
          <cell r="CS12"/>
          <cell r="CT12"/>
          <cell r="CU12"/>
          <cell r="CV12"/>
          <cell r="CW12"/>
          <cell r="CX12"/>
          <cell r="CY12"/>
          <cell r="CZ12"/>
          <cell r="DA12"/>
          <cell r="DB12"/>
          <cell r="DC12"/>
          <cell r="DD12"/>
          <cell r="DE12"/>
          <cell r="DF12"/>
          <cell r="DG12"/>
          <cell r="DH12"/>
          <cell r="DI12"/>
          <cell r="DJ12"/>
          <cell r="DK12"/>
          <cell r="DL12"/>
          <cell r="DM12"/>
          <cell r="DN12"/>
          <cell r="DO12"/>
          <cell r="DP12"/>
          <cell r="DQ12"/>
          <cell r="DR12"/>
          <cell r="DS12"/>
          <cell r="DT12"/>
          <cell r="DU12"/>
          <cell r="DV12"/>
          <cell r="DW12"/>
          <cell r="DX12"/>
          <cell r="DY12"/>
        </row>
        <row r="13">
          <cell r="F13"/>
          <cell r="G13"/>
          <cell r="H13"/>
          <cell r="I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cell r="CO13"/>
          <cell r="CP13"/>
          <cell r="CQ13"/>
          <cell r="CR13"/>
          <cell r="CS13"/>
          <cell r="CT13"/>
          <cell r="CU13"/>
          <cell r="CV13"/>
          <cell r="CW13"/>
          <cell r="CX13"/>
          <cell r="CY13"/>
          <cell r="CZ13"/>
          <cell r="DA13"/>
          <cell r="DB13"/>
          <cell r="DC13"/>
          <cell r="DD13"/>
          <cell r="DE13"/>
          <cell r="DF13"/>
          <cell r="DG13"/>
          <cell r="DH13"/>
          <cell r="DI13"/>
          <cell r="DJ13"/>
          <cell r="DK13"/>
          <cell r="DL13"/>
          <cell r="DM13"/>
          <cell r="DN13"/>
          <cell r="DO13"/>
          <cell r="DP13"/>
          <cell r="DQ13"/>
          <cell r="DR13"/>
          <cell r="DS13"/>
          <cell r="DT13"/>
          <cell r="DU13"/>
          <cell r="DV13"/>
          <cell r="DW13"/>
          <cell r="DX13"/>
          <cell r="DY13"/>
        </row>
        <row r="14">
          <cell r="F14"/>
          <cell r="G14"/>
          <cell r="H14"/>
          <cell r="I14"/>
          <cell r="L14"/>
          <cell r="M14"/>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cell r="BB14"/>
          <cell r="BC14"/>
          <cell r="BD14"/>
          <cell r="BE14"/>
          <cell r="BF14"/>
          <cell r="BG14"/>
          <cell r="BH14"/>
          <cell r="BI14"/>
          <cell r="BJ14"/>
          <cell r="BK14"/>
          <cell r="BL14"/>
          <cell r="BM14"/>
          <cell r="BN14"/>
          <cell r="BO14"/>
          <cell r="BP14"/>
          <cell r="BQ14"/>
          <cell r="BR14"/>
          <cell r="BS14"/>
          <cell r="BT14"/>
          <cell r="BU14"/>
          <cell r="BV14"/>
          <cell r="BW14"/>
          <cell r="BX14"/>
          <cell r="BY14"/>
          <cell r="BZ14"/>
          <cell r="CA14"/>
          <cell r="CB14"/>
          <cell r="CC14"/>
          <cell r="CD14"/>
          <cell r="CE14"/>
          <cell r="CF14"/>
          <cell r="CG14"/>
          <cell r="CH14"/>
          <cell r="CI14"/>
          <cell r="CJ14"/>
          <cell r="CK14"/>
          <cell r="CL14"/>
          <cell r="CM14"/>
          <cell r="CN14"/>
          <cell r="CO14"/>
          <cell r="CP14"/>
          <cell r="CQ14"/>
          <cell r="CR14"/>
          <cell r="CS14"/>
          <cell r="CT14"/>
          <cell r="CU14"/>
          <cell r="CV14"/>
          <cell r="CW14"/>
          <cell r="CX14"/>
          <cell r="CY14"/>
          <cell r="CZ14"/>
          <cell r="DA14"/>
          <cell r="DB14"/>
          <cell r="DC14"/>
          <cell r="DD14"/>
          <cell r="DE14"/>
          <cell r="DF14"/>
          <cell r="DG14"/>
          <cell r="DH14"/>
          <cell r="DI14"/>
          <cell r="DJ14"/>
          <cell r="DK14"/>
          <cell r="DL14"/>
          <cell r="DM14"/>
          <cell r="DN14"/>
          <cell r="DO14"/>
          <cell r="DP14"/>
          <cell r="DQ14"/>
          <cell r="DR14"/>
          <cell r="DS14"/>
          <cell r="DT14"/>
          <cell r="DU14"/>
          <cell r="DV14"/>
          <cell r="DW14"/>
          <cell r="DX14"/>
          <cell r="DY14"/>
        </row>
        <row r="15">
          <cell r="F15"/>
          <cell r="G15"/>
          <cell r="H15"/>
          <cell r="I15"/>
          <cell r="L15"/>
          <cell r="M15"/>
          <cell r="N15"/>
          <cell r="O15"/>
          <cell r="P15"/>
          <cell r="Q15"/>
          <cell r="R15"/>
          <cell r="S15"/>
          <cell r="T15"/>
          <cell r="U15"/>
          <cell r="V15"/>
          <cell r="W15"/>
          <cell r="X15"/>
          <cell r="Y15"/>
          <cell r="Z15"/>
          <cell r="AA15"/>
          <cell r="AB15"/>
          <cell r="AC15"/>
          <cell r="AD15"/>
          <cell r="AE15"/>
          <cell r="AF15"/>
          <cell r="AG15"/>
          <cell r="AH15"/>
          <cell r="AI15"/>
          <cell r="AJ15"/>
          <cell r="AK15"/>
          <cell r="AL15"/>
          <cell r="AM15"/>
          <cell r="AN15"/>
          <cell r="AO15"/>
          <cell r="AP15"/>
          <cell r="AQ15"/>
          <cell r="AR15"/>
          <cell r="AS15"/>
          <cell r="AT15"/>
          <cell r="AU15"/>
          <cell r="AV15"/>
          <cell r="AW15"/>
          <cell r="AX15"/>
          <cell r="AY15"/>
          <cell r="AZ15"/>
          <cell r="BA15"/>
          <cell r="BB15"/>
          <cell r="BC15"/>
          <cell r="BD15"/>
          <cell r="BE15"/>
          <cell r="BF15"/>
          <cell r="BG15"/>
          <cell r="BH15"/>
          <cell r="BI15"/>
          <cell r="BJ15"/>
          <cell r="BK15"/>
          <cell r="BL15"/>
          <cell r="BM15"/>
          <cell r="BN15"/>
          <cell r="BO15"/>
          <cell r="BP15"/>
          <cell r="BQ15"/>
          <cell r="BR15"/>
          <cell r="BS15"/>
          <cell r="BT15"/>
          <cell r="BU15"/>
          <cell r="BV15"/>
          <cell r="BW15"/>
          <cell r="BX15"/>
          <cell r="BY15"/>
          <cell r="BZ15"/>
          <cell r="CA15"/>
          <cell r="CB15"/>
          <cell r="CC15"/>
          <cell r="CD15"/>
          <cell r="CE15"/>
          <cell r="CF15"/>
          <cell r="CG15"/>
          <cell r="CH15"/>
          <cell r="CI15"/>
          <cell r="CJ15"/>
          <cell r="CK15"/>
          <cell r="CL15"/>
          <cell r="CM15"/>
          <cell r="CN15"/>
          <cell r="CO15"/>
          <cell r="CP15"/>
          <cell r="CQ15"/>
          <cell r="CR15"/>
          <cell r="CS15"/>
          <cell r="CT15"/>
          <cell r="CU15"/>
          <cell r="CV15"/>
          <cell r="CW15"/>
          <cell r="CX15"/>
          <cell r="CY15"/>
          <cell r="CZ15"/>
          <cell r="DA15"/>
          <cell r="DB15"/>
          <cell r="DC15"/>
          <cell r="DD15"/>
          <cell r="DE15"/>
          <cell r="DF15"/>
          <cell r="DG15"/>
          <cell r="DH15"/>
          <cell r="DI15"/>
          <cell r="DJ15"/>
          <cell r="DK15"/>
          <cell r="DL15"/>
          <cell r="DM15"/>
          <cell r="DN15"/>
          <cell r="DO15"/>
          <cell r="DP15"/>
          <cell r="DQ15"/>
          <cell r="DR15"/>
          <cell r="DS15"/>
          <cell r="DT15"/>
          <cell r="DU15"/>
          <cell r="DV15"/>
          <cell r="DW15"/>
          <cell r="DX15"/>
          <cell r="DY15"/>
        </row>
        <row r="16">
          <cell r="F16"/>
          <cell r="G16"/>
          <cell r="H16"/>
          <cell r="I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cell r="CO16"/>
          <cell r="CP16"/>
          <cell r="CQ16"/>
          <cell r="CR16"/>
          <cell r="CS16"/>
          <cell r="CT16"/>
          <cell r="CU16"/>
          <cell r="CV16"/>
          <cell r="CW16"/>
          <cell r="CX16"/>
          <cell r="CY16"/>
          <cell r="CZ16"/>
          <cell r="DA16"/>
          <cell r="DB16"/>
          <cell r="DC16"/>
          <cell r="DD16"/>
          <cell r="DE16"/>
          <cell r="DF16"/>
          <cell r="DG16"/>
          <cell r="DH16"/>
          <cell r="DI16"/>
          <cell r="DJ16"/>
          <cell r="DK16"/>
          <cell r="DL16"/>
          <cell r="DM16"/>
          <cell r="DN16"/>
          <cell r="DO16"/>
          <cell r="DP16"/>
          <cell r="DQ16"/>
          <cell r="DR16"/>
          <cell r="DS16"/>
          <cell r="DT16"/>
          <cell r="DU16"/>
          <cell r="DV16"/>
          <cell r="DW16"/>
          <cell r="DX16"/>
          <cell r="DY16"/>
        </row>
        <row r="17">
          <cell r="F17"/>
          <cell r="G17"/>
          <cell r="H17"/>
          <cell r="I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cell r="CO17"/>
          <cell r="CP17"/>
          <cell r="CQ17"/>
          <cell r="CR17"/>
          <cell r="CS17"/>
          <cell r="CT17"/>
          <cell r="CU17"/>
          <cell r="CV17"/>
          <cell r="CW17"/>
          <cell r="CX17"/>
          <cell r="CY17"/>
          <cell r="CZ17"/>
          <cell r="DA17"/>
          <cell r="DB17"/>
          <cell r="DC17"/>
          <cell r="DD17"/>
          <cell r="DE17"/>
          <cell r="DF17"/>
          <cell r="DG17"/>
          <cell r="DH17"/>
          <cell r="DI17"/>
          <cell r="DJ17"/>
          <cell r="DK17"/>
          <cell r="DL17"/>
          <cell r="DM17"/>
          <cell r="DN17"/>
          <cell r="DO17"/>
          <cell r="DP17"/>
          <cell r="DQ17"/>
          <cell r="DR17"/>
          <cell r="DS17"/>
          <cell r="DT17"/>
          <cell r="DU17"/>
          <cell r="DV17"/>
          <cell r="DW17"/>
          <cell r="DX17"/>
          <cell r="DY17"/>
        </row>
        <row r="18">
          <cell r="F18"/>
          <cell r="G18"/>
          <cell r="H18"/>
          <cell r="I18"/>
          <cell r="J18">
            <v>46107</v>
          </cell>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cell r="CO18"/>
          <cell r="CP18"/>
          <cell r="CQ18"/>
          <cell r="CR18"/>
          <cell r="CS18"/>
          <cell r="CT18"/>
          <cell r="CU18"/>
          <cell r="CV18"/>
          <cell r="CW18"/>
          <cell r="CX18"/>
          <cell r="CY18"/>
          <cell r="CZ18"/>
          <cell r="DA18"/>
          <cell r="DB18"/>
          <cell r="DC18"/>
          <cell r="DD18"/>
          <cell r="DE18"/>
          <cell r="DF18"/>
          <cell r="DG18"/>
          <cell r="DH18"/>
          <cell r="DI18"/>
          <cell r="DJ18"/>
          <cell r="DK18"/>
          <cell r="DL18"/>
          <cell r="DM18"/>
          <cell r="DN18"/>
          <cell r="DO18"/>
          <cell r="DP18"/>
          <cell r="DQ18"/>
          <cell r="DR18"/>
          <cell r="DS18"/>
          <cell r="DT18"/>
          <cell r="DU18"/>
          <cell r="DV18"/>
          <cell r="DW18"/>
          <cell r="DX18"/>
          <cell r="DY18"/>
        </row>
        <row r="19">
          <cell r="F19"/>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t="str">
            <v xml:space="preserve">Vui lòng kiểm tra bảng công và  xác nhận. Sau ngày 28 hàng tháng nếu không ký xác nhận bảng công được xem như là đúng. </v>
          </cell>
          <cell r="CL19"/>
          <cell r="CM19"/>
          <cell r="CN19"/>
          <cell r="CO19"/>
          <cell r="CP19"/>
          <cell r="CQ19"/>
          <cell r="CR19"/>
          <cell r="CS19"/>
          <cell r="CT19"/>
          <cell r="CU19"/>
          <cell r="CV19"/>
          <cell r="CW19"/>
          <cell r="CX19"/>
          <cell r="CY19"/>
          <cell r="CZ19"/>
          <cell r="DA19"/>
          <cell r="DB19"/>
          <cell r="DC19"/>
          <cell r="DD19"/>
          <cell r="DE19"/>
          <cell r="DF19"/>
          <cell r="DG19"/>
          <cell r="DH19"/>
          <cell r="DI19"/>
          <cell r="DJ19"/>
          <cell r="DK19"/>
          <cell r="DL19"/>
          <cell r="DM19"/>
          <cell r="DN19"/>
          <cell r="DO19"/>
          <cell r="DP19"/>
          <cell r="DQ19">
            <v>0</v>
          </cell>
          <cell r="DR19">
            <v>0</v>
          </cell>
          <cell r="DS19">
            <v>0</v>
          </cell>
          <cell r="DT19">
            <v>1054</v>
          </cell>
          <cell r="DU19">
            <v>0</v>
          </cell>
          <cell r="DV19">
            <v>0</v>
          </cell>
          <cell r="DW19">
            <v>0</v>
          </cell>
          <cell r="DX19">
            <v>0</v>
          </cell>
          <cell r="DY19"/>
        </row>
        <row r="20">
          <cell r="E20"/>
          <cell r="F20"/>
          <cell r="G20"/>
          <cell r="H20"/>
          <cell r="I20"/>
          <cell r="J20"/>
          <cell r="K20"/>
          <cell r="L20">
            <v>156</v>
          </cell>
          <cell r="M20">
            <v>120</v>
          </cell>
          <cell r="N20">
            <v>112</v>
          </cell>
          <cell r="O20"/>
          <cell r="P20">
            <v>0</v>
          </cell>
          <cell r="Q20">
            <v>136</v>
          </cell>
          <cell r="R20">
            <v>136</v>
          </cell>
          <cell r="S20">
            <v>136</v>
          </cell>
          <cell r="T20">
            <v>136</v>
          </cell>
          <cell r="U20">
            <v>132</v>
          </cell>
          <cell r="V20">
            <v>124</v>
          </cell>
          <cell r="W20"/>
          <cell r="X20">
            <v>0</v>
          </cell>
          <cell r="Y20">
            <v>136</v>
          </cell>
          <cell r="Z20">
            <v>136</v>
          </cell>
          <cell r="AA20">
            <v>167</v>
          </cell>
          <cell r="AB20">
            <v>168</v>
          </cell>
          <cell r="AC20">
            <v>168</v>
          </cell>
          <cell r="AD20">
            <v>168</v>
          </cell>
          <cell r="AE20"/>
          <cell r="AF20">
            <v>0</v>
          </cell>
          <cell r="AG20">
            <v>152</v>
          </cell>
          <cell r="AH20">
            <v>152</v>
          </cell>
          <cell r="AI20">
            <v>148</v>
          </cell>
          <cell r="AJ20">
            <v>136</v>
          </cell>
          <cell r="AK20">
            <v>216</v>
          </cell>
          <cell r="AL20">
            <v>136</v>
          </cell>
          <cell r="AM20"/>
          <cell r="AN20">
            <v>0</v>
          </cell>
          <cell r="AO20">
            <v>152</v>
          </cell>
          <cell r="AP20">
            <v>160</v>
          </cell>
          <cell r="AQ20">
            <v>152</v>
          </cell>
          <cell r="AR20">
            <v>144</v>
          </cell>
          <cell r="AS20">
            <v>160</v>
          </cell>
          <cell r="AT20">
            <v>160</v>
          </cell>
          <cell r="AU20"/>
          <cell r="AV20">
            <v>0</v>
          </cell>
          <cell r="AW20">
            <v>0</v>
          </cell>
          <cell r="AX20">
            <v>160</v>
          </cell>
          <cell r="AY20">
            <v>144</v>
          </cell>
          <cell r="AZ20">
            <v>0</v>
          </cell>
          <cell r="BA20">
            <v>0</v>
          </cell>
          <cell r="BB20">
            <v>0</v>
          </cell>
          <cell r="BC20"/>
          <cell r="BD20">
            <v>0</v>
          </cell>
          <cell r="BE20">
            <v>2424</v>
          </cell>
          <cell r="BF20">
            <v>5269</v>
          </cell>
          <cell r="BG20">
            <v>0</v>
          </cell>
          <cell r="BH20">
            <v>0</v>
          </cell>
          <cell r="BI20">
            <v>6</v>
          </cell>
          <cell r="BJ20">
            <v>72</v>
          </cell>
          <cell r="BK20">
            <v>70</v>
          </cell>
          <cell r="BL20">
            <v>0</v>
          </cell>
          <cell r="BM20">
            <v>0</v>
          </cell>
          <cell r="BN20">
            <v>0</v>
          </cell>
          <cell r="BO20">
            <v>0</v>
          </cell>
          <cell r="BP20">
            <v>0</v>
          </cell>
          <cell r="BQ20">
            <v>0</v>
          </cell>
          <cell r="BR20">
            <v>96</v>
          </cell>
          <cell r="BS20">
            <v>560</v>
          </cell>
          <cell r="BT20">
            <v>0</v>
          </cell>
          <cell r="BU20">
            <v>0</v>
          </cell>
          <cell r="BV20">
            <v>0</v>
          </cell>
          <cell r="BW20">
            <v>0</v>
          </cell>
          <cell r="BX20">
            <v>8349</v>
          </cell>
          <cell r="BY20">
            <v>12</v>
          </cell>
          <cell r="BZ20">
            <v>0</v>
          </cell>
          <cell r="CA20">
            <v>9</v>
          </cell>
          <cell r="CB20">
            <v>11</v>
          </cell>
          <cell r="CC20">
            <v>11</v>
          </cell>
          <cell r="CD20">
            <v>0</v>
          </cell>
          <cell r="CE20">
            <v>0</v>
          </cell>
          <cell r="CF20">
            <v>0</v>
          </cell>
          <cell r="CG20">
            <v>80</v>
          </cell>
          <cell r="CH20">
            <v>82</v>
          </cell>
          <cell r="CI20">
            <v>72</v>
          </cell>
          <cell r="CJ20">
            <v>0</v>
          </cell>
          <cell r="CK20">
            <v>24</v>
          </cell>
          <cell r="CL20">
            <v>20</v>
          </cell>
          <cell r="CM20">
            <v>24</v>
          </cell>
          <cell r="CN20">
            <v>8</v>
          </cell>
          <cell r="CO20">
            <v>6</v>
          </cell>
          <cell r="CP20">
            <v>10</v>
          </cell>
          <cell r="CQ20">
            <v>0</v>
          </cell>
          <cell r="CR20">
            <v>0</v>
          </cell>
          <cell r="CS20">
            <v>8</v>
          </cell>
          <cell r="CT20">
            <v>3</v>
          </cell>
          <cell r="CU20">
            <v>6</v>
          </cell>
          <cell r="CV20">
            <v>11</v>
          </cell>
          <cell r="CW20">
            <v>11</v>
          </cell>
          <cell r="CX20">
            <v>0</v>
          </cell>
          <cell r="CY20">
            <v>35</v>
          </cell>
          <cell r="CZ20">
            <v>32</v>
          </cell>
          <cell r="DA20">
            <v>31</v>
          </cell>
          <cell r="DB20">
            <v>31</v>
          </cell>
          <cell r="DC20">
            <v>44</v>
          </cell>
          <cell r="DD20">
            <v>28</v>
          </cell>
          <cell r="DE20">
            <v>0</v>
          </cell>
          <cell r="DF20">
            <v>16</v>
          </cell>
          <cell r="DG20">
            <v>23</v>
          </cell>
          <cell r="DH20">
            <v>18</v>
          </cell>
          <cell r="DI20">
            <v>20</v>
          </cell>
          <cell r="DJ20">
            <v>8</v>
          </cell>
          <cell r="DK20">
            <v>0</v>
          </cell>
          <cell r="DL20">
            <v>0</v>
          </cell>
          <cell r="DM20">
            <v>0</v>
          </cell>
          <cell r="DN20">
            <v>0</v>
          </cell>
          <cell r="DO20">
            <v>0</v>
          </cell>
          <cell r="DP20">
            <v>0</v>
          </cell>
          <cell r="DQ20">
            <v>2.1</v>
          </cell>
          <cell r="DR20">
            <v>1</v>
          </cell>
          <cell r="DS20">
            <v>1.3</v>
          </cell>
          <cell r="DT20">
            <v>1.5</v>
          </cell>
          <cell r="DU20">
            <v>2</v>
          </cell>
          <cell r="DV20">
            <v>2.7</v>
          </cell>
          <cell r="DW20">
            <v>3</v>
          </cell>
          <cell r="DX20">
            <v>3.9</v>
          </cell>
          <cell r="DY20">
            <v>0</v>
          </cell>
        </row>
        <row r="21">
          <cell r="E21" t="str">
            <v>Số Thẻ
Code</v>
          </cell>
          <cell r="F21" t="str">
            <v>Họ và Tên
Full Name</v>
          </cell>
          <cell r="G21" t="str">
            <v>PHÒNG BAN
Department</v>
          </cell>
          <cell r="H21" t="str">
            <v>BỘ PHẬN
Section</v>
          </cell>
          <cell r="I21" t="str">
            <v>CHỨC VỤ 
Position</v>
          </cell>
          <cell r="J21" t="str">
            <v>NGÀY VÀO LÀM 
Start day worrking</v>
          </cell>
          <cell r="K21" t="str">
            <v>Ngày ký HĐLĐ chính thức</v>
          </cell>
          <cell r="L21">
            <v>46107</v>
          </cell>
          <cell r="M21">
            <v>46108</v>
          </cell>
          <cell r="N21">
            <v>46109</v>
          </cell>
          <cell r="O21" t="str">
            <v>Ca</v>
          </cell>
          <cell r="P21">
            <v>46110</v>
          </cell>
          <cell r="Q21">
            <v>46111</v>
          </cell>
          <cell r="R21">
            <v>46112</v>
          </cell>
          <cell r="S21">
            <v>46113</v>
          </cell>
          <cell r="T21">
            <v>46114</v>
          </cell>
          <cell r="U21">
            <v>46115</v>
          </cell>
          <cell r="V21">
            <v>46116</v>
          </cell>
          <cell r="W21" t="str">
            <v>Ca</v>
          </cell>
          <cell r="X21">
            <v>46117</v>
          </cell>
          <cell r="Y21">
            <v>46118</v>
          </cell>
          <cell r="Z21">
            <v>46119</v>
          </cell>
          <cell r="AA21">
            <v>46120</v>
          </cell>
          <cell r="AB21">
            <v>46121</v>
          </cell>
          <cell r="AC21">
            <v>46122</v>
          </cell>
          <cell r="AD21">
            <v>46123</v>
          </cell>
          <cell r="AE21" t="str">
            <v>Ca</v>
          </cell>
          <cell r="AF21">
            <v>46124</v>
          </cell>
          <cell r="AG21">
            <v>46125</v>
          </cell>
          <cell r="AH21">
            <v>46126</v>
          </cell>
          <cell r="AI21">
            <v>46127</v>
          </cell>
          <cell r="AJ21">
            <v>46128</v>
          </cell>
          <cell r="AK21">
            <v>46129</v>
          </cell>
          <cell r="AL21">
            <v>46130</v>
          </cell>
          <cell r="AM21" t="str">
            <v>Ca</v>
          </cell>
          <cell r="AN21">
            <v>46131</v>
          </cell>
          <cell r="AO21">
            <v>46132</v>
          </cell>
          <cell r="AP21">
            <v>46133</v>
          </cell>
          <cell r="AQ21">
            <v>46134</v>
          </cell>
          <cell r="AR21">
            <v>46135</v>
          </cell>
          <cell r="AS21">
            <v>46136</v>
          </cell>
          <cell r="AT21">
            <v>46137</v>
          </cell>
          <cell r="AU21" t="str">
            <v>Ca</v>
          </cell>
          <cell r="AV21">
            <v>46138</v>
          </cell>
          <cell r="AW21">
            <v>46139</v>
          </cell>
          <cell r="AX21">
            <v>46140</v>
          </cell>
          <cell r="AY21">
            <v>46141</v>
          </cell>
          <cell r="AZ21">
            <v>46142</v>
          </cell>
          <cell r="BA21">
            <v>46143</v>
          </cell>
          <cell r="BB21">
            <v>46144</v>
          </cell>
          <cell r="BC21" t="str">
            <v>Ca</v>
          </cell>
          <cell r="BD21">
            <v>46145</v>
          </cell>
          <cell r="BE21" t="str">
            <v xml:space="preserve">Tổng giờ công
 ca đêm 130%
Night shift
</v>
          </cell>
          <cell r="BF21" t="str">
            <v>Tổng số giờ công ca ngày 
Total 
working day</v>
          </cell>
          <cell r="BG21" t="str">
            <v>Số giờ làm hưởng lương 1/2 ngày</v>
          </cell>
          <cell r="BH21" t="str">
            <v>Nghỉ BHXH (SL)</v>
          </cell>
          <cell r="BI21" t="str">
            <v xml:space="preserve">Nghỉ UP có tính lương(UP&lt;8)
</v>
          </cell>
          <cell r="BJ21" t="str">
            <v xml:space="preserve">Nghỉ không lương(UP8)
</v>
          </cell>
          <cell r="BK21" t="str">
            <v>Nghỉ không phép (NP)</v>
          </cell>
          <cell r="BL21" t="str">
            <v>Công tác
(BS)</v>
          </cell>
          <cell r="BM21" t="str">
            <v>Nghỉ được hưởng lương PO</v>
          </cell>
          <cell r="BN21" t="str">
            <v>Nghỉ Thai sản (S)</v>
          </cell>
          <cell r="BO21" t="str">
            <v>Nghỉ Thai sản (M)</v>
          </cell>
          <cell r="BP21" t="str">
            <v>Chồng nghỉ vợ sinh (PL)</v>
          </cell>
          <cell r="BQ21" t="str">
            <v>Chế độ (Cưới, tang) CĐ</v>
          </cell>
          <cell r="BR21" t="str">
            <v>Phép năm AL8</v>
          </cell>
          <cell r="BS21" t="str">
            <v>Nghỉ lễ
(H)</v>
          </cell>
          <cell r="BT21" t="str">
            <v>Nghỉ bù
(WOT)</v>
          </cell>
          <cell r="BU21" t="str">
            <v xml:space="preserve">Nghỉ làm việc tại nhà (WH)
</v>
          </cell>
          <cell r="BV21" t="str">
            <v xml:space="preserve">Nghỉ dịch CV19 
</v>
          </cell>
          <cell r="BW21" t="str">
            <v>Nghỉ TNLD
(TNLD)</v>
          </cell>
          <cell r="BX21" t="str">
            <v>TỎNG CÔNG</v>
          </cell>
          <cell r="BY21" t="str">
            <v>AL8</v>
          </cell>
          <cell r="BZ21" t="str">
            <v>AL4</v>
          </cell>
          <cell r="CA21" t="str">
            <v>UP4+UP8</v>
          </cell>
          <cell r="CB21" t="str">
            <v>Phép năm AL8</v>
          </cell>
          <cell r="CC21" t="str">
            <v xml:space="preserve">Số Phép nghỉ trong tháng </v>
          </cell>
          <cell r="CD21" t="str">
            <v>Số phép năm còn lại</v>
          </cell>
          <cell r="CE21" t="str">
            <v>Ký tên xác nhận Signature</v>
          </cell>
          <cell r="CF21"/>
          <cell r="CG21">
            <v>46107</v>
          </cell>
          <cell r="CH21">
            <v>46108</v>
          </cell>
          <cell r="CI21">
            <v>46109</v>
          </cell>
          <cell r="CJ21">
            <v>46110</v>
          </cell>
          <cell r="CK21">
            <v>46111</v>
          </cell>
          <cell r="CL21">
            <v>46112</v>
          </cell>
          <cell r="CM21">
            <v>46113</v>
          </cell>
          <cell r="CN21">
            <v>46114</v>
          </cell>
          <cell r="CO21">
            <v>46115</v>
          </cell>
          <cell r="CP21">
            <v>46116</v>
          </cell>
          <cell r="CQ21">
            <v>46117</v>
          </cell>
          <cell r="CR21">
            <v>46118</v>
          </cell>
          <cell r="CS21">
            <v>46119</v>
          </cell>
          <cell r="CT21">
            <v>46120</v>
          </cell>
          <cell r="CU21">
            <v>46121</v>
          </cell>
          <cell r="CV21">
            <v>46122</v>
          </cell>
          <cell r="CW21">
            <v>46123</v>
          </cell>
          <cell r="CX21">
            <v>46124</v>
          </cell>
          <cell r="CY21">
            <v>46125</v>
          </cell>
          <cell r="CZ21">
            <v>46126</v>
          </cell>
          <cell r="DA21">
            <v>46127</v>
          </cell>
          <cell r="DB21">
            <v>46128</v>
          </cell>
          <cell r="DC21">
            <v>46129</v>
          </cell>
          <cell r="DD21">
            <v>46130</v>
          </cell>
          <cell r="DE21">
            <v>46131</v>
          </cell>
          <cell r="DF21">
            <v>46132</v>
          </cell>
          <cell r="DG21">
            <v>46133</v>
          </cell>
          <cell r="DH21">
            <v>46134</v>
          </cell>
          <cell r="DI21">
            <v>46135</v>
          </cell>
          <cell r="DJ21">
            <v>46136</v>
          </cell>
          <cell r="DK21">
            <v>46137</v>
          </cell>
          <cell r="DL21">
            <v>46138</v>
          </cell>
          <cell r="DM21">
            <v>46139</v>
          </cell>
          <cell r="DN21">
            <v>46140</v>
          </cell>
          <cell r="DO21">
            <v>46141</v>
          </cell>
          <cell r="DP21">
            <v>46142</v>
          </cell>
          <cell r="DQ21" t="str">
            <v>OT SAU 22H</v>
          </cell>
          <cell r="DR21" t="str">
            <v>Chế độ con nhỏ (ca ngày)</v>
          </cell>
          <cell r="DS21" t="str">
            <v>Chế độ con nhỏ (ca đêm)</v>
          </cell>
          <cell r="DT21" t="str">
            <v>Giờ Tăng ca ngày thường ca ngày (giờ) Daytime overtime</v>
          </cell>
          <cell r="DU21" t="str">
            <v>Giờ tăng ca ngày thường Chủ Nhật (Giờ)Overtime Sunday</v>
          </cell>
          <cell r="DV21" t="str">
            <v>Giờ tăng ca đêm thường Chủ Nhật  (Giờ) Overtime Sunday night</v>
          </cell>
          <cell r="DW21" t="str">
            <v>Tăng ca ngày lễ ca ngày
Holiday
Overtime</v>
          </cell>
          <cell r="DX21" t="str">
            <v>Tăng ca đêm ngày lễ 
Holiday
Overtime</v>
          </cell>
          <cell r="DY21" t="str">
            <v>Note</v>
          </cell>
        </row>
        <row r="22">
          <cell r="E22" t="str">
            <v>02603</v>
          </cell>
          <cell r="F22" t="str">
            <v>Nguyễn Văn Thảo</v>
          </cell>
          <cell r="G22" t="str">
            <v>Foaming</v>
          </cell>
          <cell r="H22" t="str">
            <v>FOAMING Splitting</v>
          </cell>
          <cell r="I22" t="str">
            <v>Team Leader</v>
          </cell>
          <cell r="J22">
            <v>44118</v>
          </cell>
          <cell r="K22">
            <v>44149</v>
          </cell>
          <cell r="L22">
            <v>8</v>
          </cell>
          <cell r="M22">
            <v>8</v>
          </cell>
          <cell r="N22">
            <v>8</v>
          </cell>
          <cell r="O22" t="str">
            <v>Ca 1</v>
          </cell>
          <cell r="P22" t="str">
            <v>CN</v>
          </cell>
          <cell r="Q22">
            <v>8</v>
          </cell>
          <cell r="R22">
            <v>8</v>
          </cell>
          <cell r="S22">
            <v>8</v>
          </cell>
          <cell r="T22">
            <v>4</v>
          </cell>
          <cell r="U22">
            <v>8</v>
          </cell>
          <cell r="V22">
            <v>8</v>
          </cell>
          <cell r="W22" t="str">
            <v>Ca 1</v>
          </cell>
          <cell r="X22" t="str">
            <v>CN</v>
          </cell>
          <cell r="Y22">
            <v>8</v>
          </cell>
          <cell r="Z22">
            <v>8</v>
          </cell>
          <cell r="AA22">
            <v>8</v>
          </cell>
          <cell r="AB22">
            <v>8</v>
          </cell>
          <cell r="AC22">
            <v>8</v>
          </cell>
          <cell r="AD22">
            <v>8</v>
          </cell>
          <cell r="AE22" t="str">
            <v>Ca 1</v>
          </cell>
          <cell r="AF22" t="str">
            <v>CN</v>
          </cell>
          <cell r="AG22">
            <v>8</v>
          </cell>
          <cell r="AH22">
            <v>8</v>
          </cell>
          <cell r="AI22">
            <v>8</v>
          </cell>
          <cell r="AJ22">
            <v>8</v>
          </cell>
          <cell r="AK22">
            <v>8</v>
          </cell>
          <cell r="AL22">
            <v>8</v>
          </cell>
          <cell r="AM22" t="str">
            <v>Ca 1</v>
          </cell>
          <cell r="AN22" t="str">
            <v>CN</v>
          </cell>
          <cell r="AO22">
            <v>8</v>
          </cell>
          <cell r="AP22">
            <v>8</v>
          </cell>
          <cell r="AQ22">
            <v>8</v>
          </cell>
          <cell r="AR22">
            <v>8</v>
          </cell>
          <cell r="AS22">
            <v>8</v>
          </cell>
          <cell r="AT22">
            <v>8</v>
          </cell>
          <cell r="AU22" t="str">
            <v>Ca 1</v>
          </cell>
          <cell r="AV22" t="str">
            <v>H</v>
          </cell>
          <cell r="AW22" t="str">
            <v>X</v>
          </cell>
          <cell r="AX22">
            <v>8</v>
          </cell>
          <cell r="AY22" t="str">
            <v>UP4</v>
          </cell>
          <cell r="AZ22" t="str">
            <v>H</v>
          </cell>
          <cell r="BA22"/>
          <cell r="BB22"/>
          <cell r="BC22" t="str">
            <v>HCSX</v>
          </cell>
          <cell r="BD22" t="str">
            <v/>
          </cell>
          <cell r="BE22">
            <v>0</v>
          </cell>
          <cell r="BF22">
            <v>224</v>
          </cell>
          <cell r="BG22">
            <v>0</v>
          </cell>
          <cell r="BH22">
            <v>0</v>
          </cell>
          <cell r="BI22">
            <v>4</v>
          </cell>
          <cell r="BJ22">
            <v>0</v>
          </cell>
          <cell r="BK22">
            <v>0</v>
          </cell>
          <cell r="BL22">
            <v>0</v>
          </cell>
          <cell r="BM22">
            <v>0</v>
          </cell>
          <cell r="BN22">
            <v>0</v>
          </cell>
          <cell r="BO22">
            <v>0</v>
          </cell>
          <cell r="BP22">
            <v>0</v>
          </cell>
          <cell r="BQ22">
            <v>0</v>
          </cell>
          <cell r="BR22">
            <v>0</v>
          </cell>
          <cell r="BS22">
            <v>16</v>
          </cell>
          <cell r="BT22">
            <v>0</v>
          </cell>
          <cell r="BU22">
            <v>0</v>
          </cell>
          <cell r="BV22">
            <v>0</v>
          </cell>
          <cell r="BW22">
            <v>0</v>
          </cell>
          <cell r="BX22">
            <v>240</v>
          </cell>
          <cell r="BY22">
            <v>0</v>
          </cell>
          <cell r="BZ22">
            <v>0</v>
          </cell>
          <cell r="CA22">
            <v>0.5</v>
          </cell>
          <cell r="CB22">
            <v>0</v>
          </cell>
          <cell r="CC22">
            <v>0</v>
          </cell>
          <cell r="CD22"/>
          <cell r="CE22"/>
          <cell r="CF22"/>
          <cell r="CG22">
            <v>2</v>
          </cell>
          <cell r="CH22">
            <v>2</v>
          </cell>
          <cell r="CI22">
            <v>3</v>
          </cell>
          <cell r="CJ22">
            <v>0</v>
          </cell>
          <cell r="CK22">
            <v>2</v>
          </cell>
          <cell r="CL22">
            <v>2</v>
          </cell>
          <cell r="CM22">
            <v>2</v>
          </cell>
          <cell r="CN22">
            <v>2</v>
          </cell>
          <cell r="CO22">
            <v>2</v>
          </cell>
          <cell r="CP22">
            <v>2</v>
          </cell>
          <cell r="CQ22">
            <v>0</v>
          </cell>
          <cell r="CR22">
            <v>2</v>
          </cell>
          <cell r="CS22">
            <v>2</v>
          </cell>
          <cell r="CT22">
            <v>2</v>
          </cell>
          <cell r="CU22">
            <v>2</v>
          </cell>
          <cell r="CV22">
            <v>2</v>
          </cell>
          <cell r="CW22">
            <v>2</v>
          </cell>
          <cell r="CX22">
            <v>0</v>
          </cell>
          <cell r="CY22">
            <v>2</v>
          </cell>
          <cell r="CZ22">
            <v>2</v>
          </cell>
          <cell r="DA22">
            <v>0</v>
          </cell>
          <cell r="DB22">
            <v>1</v>
          </cell>
          <cell r="DC22">
            <v>0</v>
          </cell>
          <cell r="DD22">
            <v>0</v>
          </cell>
          <cell r="DE22">
            <v>0</v>
          </cell>
          <cell r="DF22">
            <v>0</v>
          </cell>
          <cell r="DG22">
            <v>0</v>
          </cell>
          <cell r="DH22">
            <v>0</v>
          </cell>
          <cell r="DI22">
            <v>0</v>
          </cell>
          <cell r="DJ22">
            <v>0</v>
          </cell>
          <cell r="DK22">
            <v>0</v>
          </cell>
          <cell r="DL22">
            <v>0</v>
          </cell>
          <cell r="DM22">
            <v>0</v>
          </cell>
          <cell r="DN22" t="str">
            <v/>
          </cell>
          <cell r="DO22" t="str">
            <v/>
          </cell>
          <cell r="DP22" t="str">
            <v/>
          </cell>
          <cell r="DQ22">
            <v>0</v>
          </cell>
          <cell r="DR22"/>
          <cell r="DS22"/>
          <cell r="DT22">
            <v>36</v>
          </cell>
          <cell r="DU22">
            <v>0</v>
          </cell>
          <cell r="DV22"/>
          <cell r="DW22"/>
          <cell r="DX22"/>
          <cell r="DY22"/>
        </row>
        <row r="23">
          <cell r="E23" t="str">
            <v>01079</v>
          </cell>
          <cell r="F23" t="str">
            <v>Phan Hoàng Linh</v>
          </cell>
          <cell r="G23" t="str">
            <v>Foaming</v>
          </cell>
          <cell r="H23" t="str">
            <v>FOAMING Splitting</v>
          </cell>
          <cell r="I23" t="str">
            <v>Operator</v>
          </cell>
          <cell r="J23">
            <v>43040</v>
          </cell>
          <cell r="K23">
            <v>43070</v>
          </cell>
          <cell r="L23" t="str">
            <v>Đ</v>
          </cell>
          <cell r="M23" t="str">
            <v>Đ</v>
          </cell>
          <cell r="N23" t="str">
            <v>Đ</v>
          </cell>
          <cell r="O23" t="str">
            <v>Ca 3</v>
          </cell>
          <cell r="P23" t="str">
            <v>CN</v>
          </cell>
          <cell r="Q23">
            <v>8</v>
          </cell>
          <cell r="R23">
            <v>8</v>
          </cell>
          <cell r="S23">
            <v>8</v>
          </cell>
          <cell r="T23">
            <v>8</v>
          </cell>
          <cell r="U23">
            <v>8</v>
          </cell>
          <cell r="V23">
            <v>8</v>
          </cell>
          <cell r="W23" t="str">
            <v>Ca 2</v>
          </cell>
          <cell r="X23" t="str">
            <v>CN</v>
          </cell>
          <cell r="Y23">
            <v>8</v>
          </cell>
          <cell r="Z23">
            <v>8</v>
          </cell>
          <cell r="AA23">
            <v>8</v>
          </cell>
          <cell r="AB23">
            <v>8</v>
          </cell>
          <cell r="AC23">
            <v>8</v>
          </cell>
          <cell r="AD23">
            <v>8</v>
          </cell>
          <cell r="AE23" t="str">
            <v>Ca 1</v>
          </cell>
          <cell r="AF23" t="str">
            <v>CN</v>
          </cell>
          <cell r="AG23">
            <v>8</v>
          </cell>
          <cell r="AH23">
            <v>8</v>
          </cell>
          <cell r="AI23">
            <v>8</v>
          </cell>
          <cell r="AJ23">
            <v>8</v>
          </cell>
          <cell r="AK23" t="str">
            <v>Đ</v>
          </cell>
          <cell r="AL23" t="str">
            <v>Đ</v>
          </cell>
          <cell r="AM23" t="str">
            <v>Ca 2</v>
          </cell>
          <cell r="AN23" t="str">
            <v>CN</v>
          </cell>
          <cell r="AO23">
            <v>8</v>
          </cell>
          <cell r="AP23">
            <v>8</v>
          </cell>
          <cell r="AQ23">
            <v>8</v>
          </cell>
          <cell r="AR23">
            <v>8</v>
          </cell>
          <cell r="AS23">
            <v>8</v>
          </cell>
          <cell r="AT23">
            <v>8</v>
          </cell>
          <cell r="AU23" t="str">
            <v>Ca 1</v>
          </cell>
          <cell r="AV23" t="str">
            <v>H</v>
          </cell>
          <cell r="AW23" t="str">
            <v>X</v>
          </cell>
          <cell r="AX23">
            <v>8</v>
          </cell>
          <cell r="AY23">
            <v>8</v>
          </cell>
          <cell r="AZ23" t="str">
            <v>H</v>
          </cell>
          <cell r="BA23" t="str">
            <v/>
          </cell>
          <cell r="BB23" t="str">
            <v/>
          </cell>
          <cell r="BC23" t="str">
            <v>Ca 1</v>
          </cell>
          <cell r="BD23" t="str">
            <v/>
          </cell>
          <cell r="BE23">
            <v>40</v>
          </cell>
          <cell r="BF23">
            <v>192</v>
          </cell>
          <cell r="BG23">
            <v>0</v>
          </cell>
          <cell r="BH23">
            <v>0</v>
          </cell>
          <cell r="BI23">
            <v>0</v>
          </cell>
          <cell r="BJ23">
            <v>0</v>
          </cell>
          <cell r="BK23">
            <v>0</v>
          </cell>
          <cell r="BL23">
            <v>0</v>
          </cell>
          <cell r="BM23">
            <v>0</v>
          </cell>
          <cell r="BN23">
            <v>0</v>
          </cell>
          <cell r="BO23">
            <v>0</v>
          </cell>
          <cell r="BP23">
            <v>0</v>
          </cell>
          <cell r="BQ23">
            <v>0</v>
          </cell>
          <cell r="BR23">
            <v>0</v>
          </cell>
          <cell r="BS23">
            <v>16</v>
          </cell>
          <cell r="BT23">
            <v>0</v>
          </cell>
          <cell r="BU23">
            <v>0</v>
          </cell>
          <cell r="BV23">
            <v>0</v>
          </cell>
          <cell r="BW23">
            <v>0</v>
          </cell>
          <cell r="BX23">
            <v>248</v>
          </cell>
          <cell r="BY23">
            <v>0</v>
          </cell>
          <cell r="BZ23">
            <v>0</v>
          </cell>
          <cell r="CA23">
            <v>0</v>
          </cell>
          <cell r="CB23">
            <v>0</v>
          </cell>
          <cell r="CC23">
            <v>0</v>
          </cell>
          <cell r="CD23"/>
          <cell r="CE23"/>
          <cell r="CF23"/>
          <cell r="CG23">
            <v>4</v>
          </cell>
          <cell r="CH23">
            <v>4</v>
          </cell>
          <cell r="CI23">
            <v>4</v>
          </cell>
          <cell r="CJ23">
            <v>0</v>
          </cell>
          <cell r="CK23">
            <v>0</v>
          </cell>
          <cell r="CL23">
            <v>0</v>
          </cell>
          <cell r="CM23">
            <v>0</v>
          </cell>
          <cell r="CN23">
            <v>4</v>
          </cell>
          <cell r="CO23">
            <v>4</v>
          </cell>
          <cell r="CP23">
            <v>4</v>
          </cell>
          <cell r="CQ23">
            <v>0</v>
          </cell>
          <cell r="CR23">
            <v>2</v>
          </cell>
          <cell r="CS23">
            <v>0</v>
          </cell>
          <cell r="CT23">
            <v>0</v>
          </cell>
          <cell r="CU23">
            <v>2</v>
          </cell>
          <cell r="CV23">
            <v>4</v>
          </cell>
          <cell r="CW23">
            <v>4</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v>0</v>
          </cell>
          <cell r="DN23" t="str">
            <v/>
          </cell>
          <cell r="DO23" t="str">
            <v/>
          </cell>
          <cell r="DP23" t="str">
            <v/>
          </cell>
          <cell r="DQ23">
            <v>0</v>
          </cell>
          <cell r="DR23"/>
          <cell r="DS23"/>
          <cell r="DT23">
            <v>36</v>
          </cell>
          <cell r="DU23">
            <v>0</v>
          </cell>
          <cell r="DV23"/>
          <cell r="DW23"/>
          <cell r="DX23"/>
          <cell r="DY23"/>
        </row>
        <row r="24">
          <cell r="E24" t="str">
            <v>00295</v>
          </cell>
          <cell r="F24" t="str">
            <v>Nguyễn Thị Diễm Trang</v>
          </cell>
          <cell r="G24" t="str">
            <v>Foaming</v>
          </cell>
          <cell r="H24" t="str">
            <v>FOAMING Splitting</v>
          </cell>
          <cell r="I24" t="str">
            <v>Worker</v>
          </cell>
          <cell r="J24">
            <v>41690</v>
          </cell>
          <cell r="K24">
            <v>41718</v>
          </cell>
          <cell r="L24">
            <v>8</v>
          </cell>
          <cell r="M24">
            <v>8</v>
          </cell>
          <cell r="N24">
            <v>8</v>
          </cell>
          <cell r="O24" t="str">
            <v>Ca 1</v>
          </cell>
          <cell r="P24" t="str">
            <v>CN</v>
          </cell>
          <cell r="Q24">
            <v>8</v>
          </cell>
          <cell r="R24">
            <v>8</v>
          </cell>
          <cell r="S24">
            <v>8</v>
          </cell>
          <cell r="T24">
            <v>8</v>
          </cell>
          <cell r="U24">
            <v>8</v>
          </cell>
          <cell r="V24">
            <v>8</v>
          </cell>
          <cell r="W24" t="str">
            <v>HCSX</v>
          </cell>
          <cell r="X24" t="str">
            <v>CN</v>
          </cell>
          <cell r="Y24">
            <v>8</v>
          </cell>
          <cell r="Z24">
            <v>8</v>
          </cell>
          <cell r="AA24">
            <v>8</v>
          </cell>
          <cell r="AB24">
            <v>8</v>
          </cell>
          <cell r="AC24">
            <v>8</v>
          </cell>
          <cell r="AD24">
            <v>8</v>
          </cell>
          <cell r="AE24" t="str">
            <v>HCSX</v>
          </cell>
          <cell r="AF24" t="str">
            <v>CN</v>
          </cell>
          <cell r="AG24">
            <v>8</v>
          </cell>
          <cell r="AH24">
            <v>8</v>
          </cell>
          <cell r="AI24">
            <v>8</v>
          </cell>
          <cell r="AJ24">
            <v>8</v>
          </cell>
          <cell r="AK24">
            <v>8</v>
          </cell>
          <cell r="AL24">
            <v>8</v>
          </cell>
          <cell r="AM24" t="str">
            <v>HCSX</v>
          </cell>
          <cell r="AN24" t="str">
            <v>CN</v>
          </cell>
          <cell r="AO24">
            <v>8</v>
          </cell>
          <cell r="AP24">
            <v>8</v>
          </cell>
          <cell r="AQ24">
            <v>8</v>
          </cell>
          <cell r="AR24">
            <v>8</v>
          </cell>
          <cell r="AS24">
            <v>8</v>
          </cell>
          <cell r="AT24">
            <v>8</v>
          </cell>
          <cell r="AU24" t="str">
            <v>HCSX</v>
          </cell>
          <cell r="AV24" t="str">
            <v>H</v>
          </cell>
          <cell r="AW24" t="str">
            <v>X</v>
          </cell>
          <cell r="AX24">
            <v>8</v>
          </cell>
          <cell r="AY24">
            <v>8</v>
          </cell>
          <cell r="AZ24" t="str">
            <v>H</v>
          </cell>
          <cell r="BA24" t="str">
            <v/>
          </cell>
          <cell r="BB24" t="str">
            <v/>
          </cell>
          <cell r="BC24" t="str">
            <v>HCSX</v>
          </cell>
          <cell r="BD24" t="str">
            <v/>
          </cell>
          <cell r="BE24">
            <v>0</v>
          </cell>
          <cell r="BF24">
            <v>232</v>
          </cell>
          <cell r="BG24">
            <v>0</v>
          </cell>
          <cell r="BH24">
            <v>0</v>
          </cell>
          <cell r="BI24">
            <v>0</v>
          </cell>
          <cell r="BJ24">
            <v>0</v>
          </cell>
          <cell r="BK24">
            <v>0</v>
          </cell>
          <cell r="BL24">
            <v>0</v>
          </cell>
          <cell r="BM24">
            <v>0</v>
          </cell>
          <cell r="BN24">
            <v>0</v>
          </cell>
          <cell r="BO24">
            <v>0</v>
          </cell>
          <cell r="BP24">
            <v>0</v>
          </cell>
          <cell r="BQ24">
            <v>0</v>
          </cell>
          <cell r="BR24">
            <v>0</v>
          </cell>
          <cell r="BS24">
            <v>16</v>
          </cell>
          <cell r="BT24">
            <v>0</v>
          </cell>
          <cell r="BU24">
            <v>0</v>
          </cell>
          <cell r="BV24">
            <v>0</v>
          </cell>
          <cell r="BW24">
            <v>0</v>
          </cell>
          <cell r="BX24">
            <v>248</v>
          </cell>
          <cell r="BY24">
            <v>0</v>
          </cell>
          <cell r="BZ24">
            <v>0</v>
          </cell>
          <cell r="CA24">
            <v>0</v>
          </cell>
          <cell r="CB24">
            <v>0</v>
          </cell>
          <cell r="CC24">
            <v>0</v>
          </cell>
          <cell r="CD24"/>
          <cell r="CE24"/>
          <cell r="CF24"/>
          <cell r="CG24">
            <v>4</v>
          </cell>
          <cell r="CH24">
            <v>0</v>
          </cell>
          <cell r="CI24">
            <v>4</v>
          </cell>
          <cell r="CJ24">
            <v>0</v>
          </cell>
          <cell r="CK24">
            <v>0</v>
          </cell>
          <cell r="CL24">
            <v>0</v>
          </cell>
          <cell r="CM24">
            <v>3</v>
          </cell>
          <cell r="CN24">
            <v>3</v>
          </cell>
          <cell r="CO24">
            <v>3</v>
          </cell>
          <cell r="CP24">
            <v>3</v>
          </cell>
          <cell r="CQ24">
            <v>0</v>
          </cell>
          <cell r="CR24">
            <v>2</v>
          </cell>
          <cell r="CS24">
            <v>0</v>
          </cell>
          <cell r="CT24">
            <v>0</v>
          </cell>
          <cell r="CU24">
            <v>3</v>
          </cell>
          <cell r="CV24">
            <v>3</v>
          </cell>
          <cell r="CW24">
            <v>3</v>
          </cell>
          <cell r="CX24">
            <v>0</v>
          </cell>
          <cell r="CY24">
            <v>3</v>
          </cell>
          <cell r="CZ24">
            <v>2</v>
          </cell>
          <cell r="DA24">
            <v>0</v>
          </cell>
          <cell r="DB24">
            <v>0</v>
          </cell>
          <cell r="DC24">
            <v>0</v>
          </cell>
          <cell r="DD24">
            <v>0</v>
          </cell>
          <cell r="DE24">
            <v>0</v>
          </cell>
          <cell r="DF24">
            <v>0</v>
          </cell>
          <cell r="DG24">
            <v>0</v>
          </cell>
          <cell r="DH24">
            <v>0</v>
          </cell>
          <cell r="DI24">
            <v>0</v>
          </cell>
          <cell r="DJ24">
            <v>0</v>
          </cell>
          <cell r="DK24">
            <v>0</v>
          </cell>
          <cell r="DL24">
            <v>0</v>
          </cell>
          <cell r="DM24">
            <v>0</v>
          </cell>
          <cell r="DN24" t="str">
            <v/>
          </cell>
          <cell r="DO24" t="str">
            <v/>
          </cell>
          <cell r="DP24" t="str">
            <v/>
          </cell>
          <cell r="DQ24">
            <v>0</v>
          </cell>
          <cell r="DR24"/>
          <cell r="DS24"/>
          <cell r="DT24">
            <v>36</v>
          </cell>
          <cell r="DU24">
            <v>0</v>
          </cell>
          <cell r="DV24"/>
          <cell r="DW24"/>
          <cell r="DX24"/>
          <cell r="DY24"/>
        </row>
        <row r="25">
          <cell r="E25" t="str">
            <v>01221</v>
          </cell>
          <cell r="F25" t="str">
            <v>Nguyễn Văn Vạn</v>
          </cell>
          <cell r="G25" t="str">
            <v>Foaming</v>
          </cell>
          <cell r="H25" t="str">
            <v>FOAMING Splitting</v>
          </cell>
          <cell r="I25" t="str">
            <v>Worker</v>
          </cell>
          <cell r="J25">
            <v>43195</v>
          </cell>
          <cell r="K25">
            <v>43225</v>
          </cell>
          <cell r="L25">
            <v>8</v>
          </cell>
          <cell r="M25">
            <v>8</v>
          </cell>
          <cell r="N25">
            <v>8</v>
          </cell>
          <cell r="O25" t="str">
            <v>Ca 1</v>
          </cell>
          <cell r="P25" t="str">
            <v>CN</v>
          </cell>
          <cell r="Q25">
            <v>8</v>
          </cell>
          <cell r="R25">
            <v>8</v>
          </cell>
          <cell r="S25">
            <v>8</v>
          </cell>
          <cell r="T25">
            <v>8</v>
          </cell>
          <cell r="U25">
            <v>8</v>
          </cell>
          <cell r="V25">
            <v>8</v>
          </cell>
          <cell r="W25" t="str">
            <v>HCSX</v>
          </cell>
          <cell r="X25" t="str">
            <v>CN</v>
          </cell>
          <cell r="Y25">
            <v>8</v>
          </cell>
          <cell r="Z25">
            <v>8</v>
          </cell>
          <cell r="AA25">
            <v>8</v>
          </cell>
          <cell r="AB25">
            <v>8</v>
          </cell>
          <cell r="AC25">
            <v>8</v>
          </cell>
          <cell r="AD25">
            <v>8</v>
          </cell>
          <cell r="AE25" t="str">
            <v>HCSX</v>
          </cell>
          <cell r="AF25" t="str">
            <v>CN</v>
          </cell>
          <cell r="AG25">
            <v>8</v>
          </cell>
          <cell r="AH25">
            <v>8</v>
          </cell>
          <cell r="AI25">
            <v>8</v>
          </cell>
          <cell r="AJ25">
            <v>8</v>
          </cell>
          <cell r="AK25">
            <v>8</v>
          </cell>
          <cell r="AL25">
            <v>8</v>
          </cell>
          <cell r="AM25" t="str">
            <v>HCSX</v>
          </cell>
          <cell r="AN25" t="str">
            <v>CN</v>
          </cell>
          <cell r="AO25">
            <v>8</v>
          </cell>
          <cell r="AP25">
            <v>8</v>
          </cell>
          <cell r="AQ25">
            <v>8</v>
          </cell>
          <cell r="AR25">
            <v>8</v>
          </cell>
          <cell r="AS25">
            <v>8</v>
          </cell>
          <cell r="AT25">
            <v>8</v>
          </cell>
          <cell r="AU25" t="str">
            <v>HCSX</v>
          </cell>
          <cell r="AV25" t="str">
            <v>H</v>
          </cell>
          <cell r="AW25" t="str">
            <v>X</v>
          </cell>
          <cell r="AX25">
            <v>8</v>
          </cell>
          <cell r="AY25">
            <v>8</v>
          </cell>
          <cell r="AZ25" t="str">
            <v>H</v>
          </cell>
          <cell r="BA25" t="str">
            <v/>
          </cell>
          <cell r="BB25" t="str">
            <v/>
          </cell>
          <cell r="BC25" t="str">
            <v>HCSX</v>
          </cell>
          <cell r="BD25" t="str">
            <v/>
          </cell>
          <cell r="BE25">
            <v>0</v>
          </cell>
          <cell r="BF25">
            <v>232</v>
          </cell>
          <cell r="BG25">
            <v>0</v>
          </cell>
          <cell r="BH25">
            <v>0</v>
          </cell>
          <cell r="BI25">
            <v>0</v>
          </cell>
          <cell r="BJ25">
            <v>0</v>
          </cell>
          <cell r="BK25">
            <v>0</v>
          </cell>
          <cell r="BL25">
            <v>0</v>
          </cell>
          <cell r="BM25">
            <v>0</v>
          </cell>
          <cell r="BN25">
            <v>0</v>
          </cell>
          <cell r="BO25">
            <v>0</v>
          </cell>
          <cell r="BP25">
            <v>0</v>
          </cell>
          <cell r="BQ25">
            <v>0</v>
          </cell>
          <cell r="BR25">
            <v>0</v>
          </cell>
          <cell r="BS25">
            <v>16</v>
          </cell>
          <cell r="BT25">
            <v>0</v>
          </cell>
          <cell r="BU25">
            <v>0</v>
          </cell>
          <cell r="BV25">
            <v>0</v>
          </cell>
          <cell r="BW25">
            <v>0</v>
          </cell>
          <cell r="BX25">
            <v>248</v>
          </cell>
          <cell r="BY25">
            <v>0</v>
          </cell>
          <cell r="BZ25">
            <v>0</v>
          </cell>
          <cell r="CA25">
            <v>0</v>
          </cell>
          <cell r="CB25">
            <v>0</v>
          </cell>
          <cell r="CC25">
            <v>0</v>
          </cell>
          <cell r="CD25"/>
          <cell r="CE25"/>
          <cell r="CF25"/>
          <cell r="CG25">
            <v>4</v>
          </cell>
          <cell r="CH25">
            <v>4</v>
          </cell>
          <cell r="CI25">
            <v>4</v>
          </cell>
          <cell r="CJ25">
            <v>0</v>
          </cell>
          <cell r="CK25">
            <v>0</v>
          </cell>
          <cell r="CL25">
            <v>3</v>
          </cell>
          <cell r="CM25">
            <v>3</v>
          </cell>
          <cell r="CN25">
            <v>3</v>
          </cell>
          <cell r="CO25">
            <v>0</v>
          </cell>
          <cell r="CP25">
            <v>2</v>
          </cell>
          <cell r="CQ25">
            <v>0</v>
          </cell>
          <cell r="CR25">
            <v>0</v>
          </cell>
          <cell r="CS25">
            <v>0</v>
          </cell>
          <cell r="CT25">
            <v>0</v>
          </cell>
          <cell r="CU25">
            <v>3</v>
          </cell>
          <cell r="CV25">
            <v>3</v>
          </cell>
          <cell r="CW25">
            <v>3</v>
          </cell>
          <cell r="CX25">
            <v>0</v>
          </cell>
          <cell r="CY25">
            <v>2</v>
          </cell>
          <cell r="CZ25">
            <v>2</v>
          </cell>
          <cell r="DA25">
            <v>0</v>
          </cell>
          <cell r="DB25">
            <v>0</v>
          </cell>
          <cell r="DC25">
            <v>0</v>
          </cell>
          <cell r="DD25">
            <v>0</v>
          </cell>
          <cell r="DE25">
            <v>0</v>
          </cell>
          <cell r="DF25">
            <v>0</v>
          </cell>
          <cell r="DG25">
            <v>0</v>
          </cell>
          <cell r="DH25">
            <v>0</v>
          </cell>
          <cell r="DI25">
            <v>0</v>
          </cell>
          <cell r="DJ25">
            <v>0</v>
          </cell>
          <cell r="DK25">
            <v>0</v>
          </cell>
          <cell r="DL25">
            <v>0</v>
          </cell>
          <cell r="DM25">
            <v>0</v>
          </cell>
          <cell r="DN25" t="str">
            <v/>
          </cell>
          <cell r="DO25" t="str">
            <v/>
          </cell>
          <cell r="DP25" t="str">
            <v/>
          </cell>
          <cell r="DQ25">
            <v>0</v>
          </cell>
          <cell r="DR25"/>
          <cell r="DS25"/>
          <cell r="DT25">
            <v>36</v>
          </cell>
          <cell r="DU25">
            <v>0</v>
          </cell>
          <cell r="DV25"/>
          <cell r="DW25"/>
          <cell r="DX25"/>
          <cell r="DY25"/>
        </row>
        <row r="26">
          <cell r="E26" t="str">
            <v>01362</v>
          </cell>
          <cell r="F26" t="str">
            <v>Huỳnh Văn Trường</v>
          </cell>
          <cell r="G26" t="str">
            <v>Foaming</v>
          </cell>
          <cell r="H26" t="str">
            <v>FOAMING Splitting</v>
          </cell>
          <cell r="I26" t="str">
            <v>Operator</v>
          </cell>
          <cell r="J26">
            <v>43356</v>
          </cell>
          <cell r="K26">
            <v>43386</v>
          </cell>
          <cell r="L26" t="str">
            <v>Đ</v>
          </cell>
          <cell r="M26" t="str">
            <v>Đ</v>
          </cell>
          <cell r="N26" t="str">
            <v>Đ</v>
          </cell>
          <cell r="O26" t="str">
            <v>Ca 3</v>
          </cell>
          <cell r="P26" t="str">
            <v>CN</v>
          </cell>
          <cell r="Q26">
            <v>8</v>
          </cell>
          <cell r="R26">
            <v>8</v>
          </cell>
          <cell r="S26">
            <v>8</v>
          </cell>
          <cell r="T26">
            <v>8</v>
          </cell>
          <cell r="U26">
            <v>8</v>
          </cell>
          <cell r="V26">
            <v>8</v>
          </cell>
          <cell r="W26" t="str">
            <v>HCSX</v>
          </cell>
          <cell r="X26" t="str">
            <v>CN</v>
          </cell>
          <cell r="Y26" t="str">
            <v>Đ</v>
          </cell>
          <cell r="Z26" t="str">
            <v>Đ</v>
          </cell>
          <cell r="AA26" t="str">
            <v>Đ</v>
          </cell>
          <cell r="AB26" t="str">
            <v>Đ</v>
          </cell>
          <cell r="AC26" t="str">
            <v>Đ</v>
          </cell>
          <cell r="AD26" t="str">
            <v>Đ</v>
          </cell>
          <cell r="AE26" t="str">
            <v>Ca 3</v>
          </cell>
          <cell r="AF26" t="str">
            <v>CN</v>
          </cell>
          <cell r="AG26" t="str">
            <v>Đ</v>
          </cell>
          <cell r="AH26" t="str">
            <v>Đ</v>
          </cell>
          <cell r="AI26" t="str">
            <v>Đ</v>
          </cell>
          <cell r="AJ26" t="str">
            <v>Đ</v>
          </cell>
          <cell r="AK26" t="str">
            <v>Đ</v>
          </cell>
          <cell r="AL26" t="str">
            <v>Đ</v>
          </cell>
          <cell r="AM26" t="str">
            <v>Ca 3</v>
          </cell>
          <cell r="AN26" t="str">
            <v>CN</v>
          </cell>
          <cell r="AO26">
            <v>8</v>
          </cell>
          <cell r="AP26">
            <v>8</v>
          </cell>
          <cell r="AQ26">
            <v>8</v>
          </cell>
          <cell r="AR26">
            <v>8</v>
          </cell>
          <cell r="AS26">
            <v>8</v>
          </cell>
          <cell r="AT26">
            <v>8</v>
          </cell>
          <cell r="AU26" t="str">
            <v>HCSX</v>
          </cell>
          <cell r="AV26" t="str">
            <v>H</v>
          </cell>
          <cell r="AW26" t="str">
            <v>X</v>
          </cell>
          <cell r="AX26">
            <v>8</v>
          </cell>
          <cell r="AY26">
            <v>8</v>
          </cell>
          <cell r="AZ26" t="str">
            <v>H</v>
          </cell>
          <cell r="BA26" t="str">
            <v/>
          </cell>
          <cell r="BB26" t="str">
            <v/>
          </cell>
          <cell r="BC26" t="str">
            <v>HCSX</v>
          </cell>
          <cell r="BD26" t="str">
            <v/>
          </cell>
          <cell r="BE26">
            <v>120</v>
          </cell>
          <cell r="BF26">
            <v>112</v>
          </cell>
          <cell r="BG26">
            <v>0</v>
          </cell>
          <cell r="BH26">
            <v>0</v>
          </cell>
          <cell r="BI26">
            <v>0</v>
          </cell>
          <cell r="BJ26">
            <v>0</v>
          </cell>
          <cell r="BK26">
            <v>0</v>
          </cell>
          <cell r="BL26">
            <v>0</v>
          </cell>
          <cell r="BM26">
            <v>0</v>
          </cell>
          <cell r="BN26">
            <v>0</v>
          </cell>
          <cell r="BO26">
            <v>0</v>
          </cell>
          <cell r="BP26">
            <v>0</v>
          </cell>
          <cell r="BQ26">
            <v>0</v>
          </cell>
          <cell r="BR26">
            <v>0</v>
          </cell>
          <cell r="BS26">
            <v>16</v>
          </cell>
          <cell r="BT26">
            <v>0</v>
          </cell>
          <cell r="BU26">
            <v>0</v>
          </cell>
          <cell r="BV26">
            <v>0</v>
          </cell>
          <cell r="BW26">
            <v>0</v>
          </cell>
          <cell r="BX26">
            <v>248</v>
          </cell>
          <cell r="BY26">
            <v>0</v>
          </cell>
          <cell r="BZ26">
            <v>0</v>
          </cell>
          <cell r="CA26">
            <v>0</v>
          </cell>
          <cell r="CB26">
            <v>0</v>
          </cell>
          <cell r="CC26">
            <v>0</v>
          </cell>
          <cell r="CD26"/>
          <cell r="CE26"/>
          <cell r="CF26"/>
          <cell r="CG26">
            <v>4</v>
          </cell>
          <cell r="CH26">
            <v>0</v>
          </cell>
          <cell r="CI26">
            <v>4</v>
          </cell>
          <cell r="CJ26">
            <v>0</v>
          </cell>
          <cell r="CK26">
            <v>0</v>
          </cell>
          <cell r="CL26">
            <v>0</v>
          </cell>
          <cell r="CM26">
            <v>3</v>
          </cell>
          <cell r="CN26">
            <v>3</v>
          </cell>
          <cell r="CO26">
            <v>3</v>
          </cell>
          <cell r="CP26">
            <v>0</v>
          </cell>
          <cell r="CQ26">
            <v>0</v>
          </cell>
          <cell r="CR26">
            <v>0</v>
          </cell>
          <cell r="CS26">
            <v>0</v>
          </cell>
          <cell r="CT26">
            <v>0</v>
          </cell>
          <cell r="CU26">
            <v>2</v>
          </cell>
          <cell r="CV26">
            <v>2</v>
          </cell>
          <cell r="CW26">
            <v>2</v>
          </cell>
          <cell r="CX26">
            <v>0</v>
          </cell>
          <cell r="CY26">
            <v>0</v>
          </cell>
          <cell r="CZ26">
            <v>2</v>
          </cell>
          <cell r="DA26">
            <v>2</v>
          </cell>
          <cell r="DB26">
            <v>2</v>
          </cell>
          <cell r="DC26">
            <v>2</v>
          </cell>
          <cell r="DD26">
            <v>0</v>
          </cell>
          <cell r="DE26">
            <v>0</v>
          </cell>
          <cell r="DF26">
            <v>0</v>
          </cell>
          <cell r="DG26">
            <v>0</v>
          </cell>
          <cell r="DH26">
            <v>0</v>
          </cell>
          <cell r="DI26">
            <v>0</v>
          </cell>
          <cell r="DJ26">
            <v>0</v>
          </cell>
          <cell r="DK26">
            <v>0</v>
          </cell>
          <cell r="DL26">
            <v>0</v>
          </cell>
          <cell r="DM26">
            <v>0</v>
          </cell>
          <cell r="DN26" t="str">
            <v/>
          </cell>
          <cell r="DO26" t="str">
            <v/>
          </cell>
          <cell r="DP26" t="str">
            <v/>
          </cell>
          <cell r="DQ26">
            <v>0</v>
          </cell>
          <cell r="DR26"/>
          <cell r="DS26"/>
          <cell r="DT26">
            <v>31</v>
          </cell>
          <cell r="DU26">
            <v>0</v>
          </cell>
          <cell r="DV26"/>
          <cell r="DW26"/>
          <cell r="DX26"/>
          <cell r="DY26"/>
        </row>
        <row r="27">
          <cell r="E27" t="str">
            <v>02075</v>
          </cell>
          <cell r="F27" t="str">
            <v>Đinh Chí Linh</v>
          </cell>
          <cell r="G27" t="str">
            <v>Foaming</v>
          </cell>
          <cell r="H27" t="str">
            <v>FOAMING Rectangular</v>
          </cell>
          <cell r="I27" t="str">
            <v>Team Leader</v>
          </cell>
          <cell r="J27">
            <v>43720</v>
          </cell>
          <cell r="K27">
            <v>43839</v>
          </cell>
          <cell r="L27" t="str">
            <v>Đ</v>
          </cell>
          <cell r="M27" t="str">
            <v>Đ</v>
          </cell>
          <cell r="N27" t="str">
            <v>Đ</v>
          </cell>
          <cell r="O27" t="str">
            <v>Ca 3</v>
          </cell>
          <cell r="P27" t="str">
            <v>CN</v>
          </cell>
          <cell r="Q27">
            <v>8</v>
          </cell>
          <cell r="R27">
            <v>8</v>
          </cell>
          <cell r="S27">
            <v>8</v>
          </cell>
          <cell r="T27">
            <v>4</v>
          </cell>
          <cell r="U27">
            <v>8</v>
          </cell>
          <cell r="V27">
            <v>8</v>
          </cell>
          <cell r="W27" t="str">
            <v>HCSX</v>
          </cell>
          <cell r="X27" t="str">
            <v>CN</v>
          </cell>
          <cell r="Y27">
            <v>8</v>
          </cell>
          <cell r="Z27">
            <v>4</v>
          </cell>
          <cell r="AA27">
            <v>8</v>
          </cell>
          <cell r="AB27">
            <v>8</v>
          </cell>
          <cell r="AC27">
            <v>8</v>
          </cell>
          <cell r="AD27">
            <v>4</v>
          </cell>
          <cell r="AE27" t="str">
            <v>HCSX</v>
          </cell>
          <cell r="AF27" t="str">
            <v>CN</v>
          </cell>
          <cell r="AG27">
            <v>8</v>
          </cell>
          <cell r="AH27">
            <v>8</v>
          </cell>
          <cell r="AI27">
            <v>8</v>
          </cell>
          <cell r="AJ27">
            <v>8</v>
          </cell>
          <cell r="AK27">
            <v>8</v>
          </cell>
          <cell r="AL27">
            <v>4</v>
          </cell>
          <cell r="AM27" t="str">
            <v>HCSX</v>
          </cell>
          <cell r="AN27" t="str">
            <v>CN</v>
          </cell>
          <cell r="AO27" t="str">
            <v>Đ</v>
          </cell>
          <cell r="AP27" t="str">
            <v>Đ</v>
          </cell>
          <cell r="AQ27" t="str">
            <v>Đ</v>
          </cell>
          <cell r="AR27" t="str">
            <v>Đ</v>
          </cell>
          <cell r="AS27" t="str">
            <v>Đ</v>
          </cell>
          <cell r="AT27" t="str">
            <v>AL8</v>
          </cell>
          <cell r="AU27" t="str">
            <v>Ca 3</v>
          </cell>
          <cell r="AV27" t="str">
            <v>H</v>
          </cell>
          <cell r="AW27" t="str">
            <v>OUT</v>
          </cell>
          <cell r="AX27">
            <v>8</v>
          </cell>
          <cell r="AY27" t="str">
            <v>UP4</v>
          </cell>
          <cell r="AZ27" t="str">
            <v>H</v>
          </cell>
          <cell r="BA27" t="str">
            <v/>
          </cell>
          <cell r="BB27" t="str">
            <v/>
          </cell>
          <cell r="BC27" t="str">
            <v>HCSX</v>
          </cell>
          <cell r="BD27" t="str">
            <v/>
          </cell>
          <cell r="BE27">
            <v>64</v>
          </cell>
          <cell r="BF27">
            <v>140</v>
          </cell>
          <cell r="BG27">
            <v>0</v>
          </cell>
          <cell r="BH27">
            <v>0</v>
          </cell>
          <cell r="BI27">
            <v>4</v>
          </cell>
          <cell r="BJ27">
            <v>0</v>
          </cell>
          <cell r="BK27">
            <v>0</v>
          </cell>
          <cell r="BL27">
            <v>0</v>
          </cell>
          <cell r="BM27">
            <v>0</v>
          </cell>
          <cell r="BN27">
            <v>0</v>
          </cell>
          <cell r="BO27">
            <v>0</v>
          </cell>
          <cell r="BP27">
            <v>0</v>
          </cell>
          <cell r="BQ27">
            <v>0</v>
          </cell>
          <cell r="BR27">
            <v>8</v>
          </cell>
          <cell r="BS27">
            <v>16</v>
          </cell>
          <cell r="BT27">
            <v>0</v>
          </cell>
          <cell r="BU27">
            <v>0</v>
          </cell>
          <cell r="BV27">
            <v>0</v>
          </cell>
          <cell r="BW27">
            <v>0</v>
          </cell>
          <cell r="BX27">
            <v>228</v>
          </cell>
          <cell r="BY27">
            <v>1</v>
          </cell>
          <cell r="BZ27">
            <v>0</v>
          </cell>
          <cell r="CA27">
            <v>0.5</v>
          </cell>
          <cell r="CB27">
            <v>1</v>
          </cell>
          <cell r="CC27">
            <v>1</v>
          </cell>
          <cell r="CD27"/>
          <cell r="CE27"/>
          <cell r="CF27"/>
          <cell r="CG27">
            <v>2</v>
          </cell>
          <cell r="CH27">
            <v>0</v>
          </cell>
          <cell r="CI27">
            <v>4</v>
          </cell>
          <cell r="CJ27">
            <v>0</v>
          </cell>
          <cell r="CK27">
            <v>0</v>
          </cell>
          <cell r="CL27">
            <v>2</v>
          </cell>
          <cell r="CM27">
            <v>2</v>
          </cell>
          <cell r="CN27">
            <v>0</v>
          </cell>
          <cell r="CO27">
            <v>2</v>
          </cell>
          <cell r="CP27">
            <v>0</v>
          </cell>
          <cell r="CQ27">
            <v>0</v>
          </cell>
          <cell r="CR27">
            <v>0</v>
          </cell>
          <cell r="CS27">
            <v>0</v>
          </cell>
          <cell r="CT27">
            <v>0</v>
          </cell>
          <cell r="CU27">
            <v>0</v>
          </cell>
          <cell r="CV27">
            <v>0</v>
          </cell>
          <cell r="CW27">
            <v>0</v>
          </cell>
          <cell r="CX27">
            <v>0</v>
          </cell>
          <cell r="CY27">
            <v>0</v>
          </cell>
          <cell r="CZ27">
            <v>0</v>
          </cell>
          <cell r="DA27">
            <v>0</v>
          </cell>
          <cell r="DB27">
            <v>0</v>
          </cell>
          <cell r="DC27">
            <v>0</v>
          </cell>
          <cell r="DD27">
            <v>0</v>
          </cell>
          <cell r="DE27">
            <v>0</v>
          </cell>
          <cell r="DF27">
            <v>3</v>
          </cell>
          <cell r="DG27">
            <v>2</v>
          </cell>
          <cell r="DH27">
            <v>0</v>
          </cell>
          <cell r="DI27">
            <v>2</v>
          </cell>
          <cell r="DJ27">
            <v>0</v>
          </cell>
          <cell r="DK27">
            <v>0</v>
          </cell>
          <cell r="DL27">
            <v>0</v>
          </cell>
          <cell r="DM27">
            <v>0</v>
          </cell>
          <cell r="DN27" t="str">
            <v/>
          </cell>
          <cell r="DO27" t="str">
            <v/>
          </cell>
          <cell r="DP27" t="str">
            <v/>
          </cell>
          <cell r="DQ27">
            <v>0</v>
          </cell>
          <cell r="DR27"/>
          <cell r="DS27"/>
          <cell r="DT27">
            <v>19</v>
          </cell>
          <cell r="DU27">
            <v>0</v>
          </cell>
          <cell r="DV27"/>
          <cell r="DW27"/>
          <cell r="DX27"/>
          <cell r="DY27"/>
        </row>
        <row r="28">
          <cell r="E28" t="str">
            <v>02076</v>
          </cell>
          <cell r="F28" t="str">
            <v>Hoàng Văn Tuấn</v>
          </cell>
          <cell r="G28" t="str">
            <v>Foaming</v>
          </cell>
          <cell r="H28" t="str">
            <v>FOAMING Splitting</v>
          </cell>
          <cell r="I28" t="str">
            <v>Operator</v>
          </cell>
          <cell r="J28">
            <v>43808</v>
          </cell>
          <cell r="K28">
            <v>43839</v>
          </cell>
          <cell r="L28" t="str">
            <v>Đ</v>
          </cell>
          <cell r="M28" t="str">
            <v>Đ</v>
          </cell>
          <cell r="N28" t="str">
            <v>AL8</v>
          </cell>
          <cell r="O28" t="str">
            <v>Ca 3</v>
          </cell>
          <cell r="P28" t="str">
            <v>CN</v>
          </cell>
          <cell r="Q28">
            <v>8</v>
          </cell>
          <cell r="R28">
            <v>8</v>
          </cell>
          <cell r="S28">
            <v>8</v>
          </cell>
          <cell r="T28">
            <v>8</v>
          </cell>
          <cell r="U28">
            <v>8</v>
          </cell>
          <cell r="V28">
            <v>8</v>
          </cell>
          <cell r="W28" t="str">
            <v>HCSX</v>
          </cell>
          <cell r="X28" t="str">
            <v>CN</v>
          </cell>
          <cell r="Y28">
            <v>8</v>
          </cell>
          <cell r="Z28">
            <v>8</v>
          </cell>
          <cell r="AA28">
            <v>8</v>
          </cell>
          <cell r="AB28" t="str">
            <v>Đ</v>
          </cell>
          <cell r="AC28" t="str">
            <v>Đ</v>
          </cell>
          <cell r="AD28" t="str">
            <v>Đ</v>
          </cell>
          <cell r="AE28" t="str">
            <v>HCSX</v>
          </cell>
          <cell r="AF28" t="str">
            <v>CN</v>
          </cell>
          <cell r="AG28" t="str">
            <v>Đ</v>
          </cell>
          <cell r="AH28" t="str">
            <v>Đ</v>
          </cell>
          <cell r="AI28" t="str">
            <v>Đ</v>
          </cell>
          <cell r="AJ28" t="str">
            <v>Đ</v>
          </cell>
          <cell r="AK28" t="str">
            <v>Đ</v>
          </cell>
          <cell r="AL28" t="str">
            <v>Đ</v>
          </cell>
          <cell r="AM28" t="str">
            <v>Ca 3</v>
          </cell>
          <cell r="AN28" t="str">
            <v>CN</v>
          </cell>
          <cell r="AO28">
            <v>8</v>
          </cell>
          <cell r="AP28">
            <v>8</v>
          </cell>
          <cell r="AQ28">
            <v>8</v>
          </cell>
          <cell r="AR28">
            <v>8</v>
          </cell>
          <cell r="AS28">
            <v>8</v>
          </cell>
          <cell r="AT28">
            <v>8</v>
          </cell>
          <cell r="AU28" t="str">
            <v>HCSX</v>
          </cell>
          <cell r="AV28" t="str">
            <v>H</v>
          </cell>
          <cell r="AW28" t="str">
            <v>X</v>
          </cell>
          <cell r="AX28">
            <v>8</v>
          </cell>
          <cell r="AY28">
            <v>8</v>
          </cell>
          <cell r="AZ28" t="str">
            <v>H</v>
          </cell>
          <cell r="BA28" t="str">
            <v/>
          </cell>
          <cell r="BB28" t="str">
            <v/>
          </cell>
          <cell r="BC28" t="str">
            <v>HCSX</v>
          </cell>
          <cell r="BD28" t="str">
            <v/>
          </cell>
          <cell r="BE28">
            <v>88</v>
          </cell>
          <cell r="BF28">
            <v>136</v>
          </cell>
          <cell r="BG28">
            <v>0</v>
          </cell>
          <cell r="BH28">
            <v>0</v>
          </cell>
          <cell r="BI28">
            <v>0</v>
          </cell>
          <cell r="BJ28">
            <v>0</v>
          </cell>
          <cell r="BK28">
            <v>0</v>
          </cell>
          <cell r="BL28">
            <v>0</v>
          </cell>
          <cell r="BM28">
            <v>0</v>
          </cell>
          <cell r="BN28">
            <v>0</v>
          </cell>
          <cell r="BO28">
            <v>0</v>
          </cell>
          <cell r="BP28">
            <v>0</v>
          </cell>
          <cell r="BQ28">
            <v>0</v>
          </cell>
          <cell r="BR28">
            <v>8</v>
          </cell>
          <cell r="BS28">
            <v>16</v>
          </cell>
          <cell r="BT28">
            <v>0</v>
          </cell>
          <cell r="BU28">
            <v>0</v>
          </cell>
          <cell r="BV28">
            <v>0</v>
          </cell>
          <cell r="BW28">
            <v>0</v>
          </cell>
          <cell r="BX28">
            <v>248</v>
          </cell>
          <cell r="BY28">
            <v>1</v>
          </cell>
          <cell r="BZ28">
            <v>0</v>
          </cell>
          <cell r="CA28">
            <v>0</v>
          </cell>
          <cell r="CB28">
            <v>1</v>
          </cell>
          <cell r="CC28">
            <v>1</v>
          </cell>
          <cell r="CD28"/>
          <cell r="CE28"/>
          <cell r="CF28"/>
          <cell r="CG28">
            <v>4</v>
          </cell>
          <cell r="CH28">
            <v>0</v>
          </cell>
          <cell r="CI28">
            <v>0</v>
          </cell>
          <cell r="CJ28">
            <v>0</v>
          </cell>
          <cell r="CK28">
            <v>0</v>
          </cell>
          <cell r="CL28">
            <v>3</v>
          </cell>
          <cell r="CM28">
            <v>3</v>
          </cell>
          <cell r="CN28">
            <v>3</v>
          </cell>
          <cell r="CO28">
            <v>3</v>
          </cell>
          <cell r="CP28">
            <v>0</v>
          </cell>
          <cell r="CQ28">
            <v>0</v>
          </cell>
          <cell r="CR28">
            <v>0</v>
          </cell>
          <cell r="CS28">
            <v>0</v>
          </cell>
          <cell r="CT28">
            <v>3</v>
          </cell>
          <cell r="CU28">
            <v>2</v>
          </cell>
          <cell r="CV28">
            <v>2</v>
          </cell>
          <cell r="CW28">
            <v>2</v>
          </cell>
          <cell r="CX28">
            <v>0</v>
          </cell>
          <cell r="CY28">
            <v>0</v>
          </cell>
          <cell r="CZ28">
            <v>2</v>
          </cell>
          <cell r="DA28">
            <v>2</v>
          </cell>
          <cell r="DB28">
            <v>2</v>
          </cell>
          <cell r="DC28">
            <v>2</v>
          </cell>
          <cell r="DD28">
            <v>0</v>
          </cell>
          <cell r="DE28">
            <v>0</v>
          </cell>
          <cell r="DF28">
            <v>0</v>
          </cell>
          <cell r="DG28">
            <v>0</v>
          </cell>
          <cell r="DH28">
            <v>0</v>
          </cell>
          <cell r="DI28">
            <v>0</v>
          </cell>
          <cell r="DJ28">
            <v>0</v>
          </cell>
          <cell r="DK28">
            <v>0</v>
          </cell>
          <cell r="DL28">
            <v>0</v>
          </cell>
          <cell r="DM28">
            <v>0</v>
          </cell>
          <cell r="DN28" t="str">
            <v/>
          </cell>
          <cell r="DO28" t="str">
            <v/>
          </cell>
          <cell r="DP28" t="str">
            <v/>
          </cell>
          <cell r="DQ28">
            <v>0</v>
          </cell>
          <cell r="DR28"/>
          <cell r="DS28"/>
          <cell r="DT28">
            <v>33</v>
          </cell>
          <cell r="DU28">
            <v>0</v>
          </cell>
          <cell r="DV28"/>
          <cell r="DW28"/>
          <cell r="DX28"/>
          <cell r="DY28"/>
        </row>
        <row r="29">
          <cell r="E29" t="str">
            <v>02067</v>
          </cell>
          <cell r="F29" t="str">
            <v>Trương Văn Đạt</v>
          </cell>
          <cell r="G29" t="str">
            <v>Foaming</v>
          </cell>
          <cell r="H29" t="str">
            <v>FOAMING Splitting</v>
          </cell>
          <cell r="I29" t="str">
            <v>Operator</v>
          </cell>
          <cell r="J29">
            <v>43803</v>
          </cell>
          <cell r="K29">
            <v>43834</v>
          </cell>
          <cell r="L29">
            <v>8</v>
          </cell>
          <cell r="M29">
            <v>8</v>
          </cell>
          <cell r="N29">
            <v>8</v>
          </cell>
          <cell r="O29" t="str">
            <v>Ca 1</v>
          </cell>
          <cell r="P29" t="str">
            <v>CN</v>
          </cell>
          <cell r="Q29" t="str">
            <v>Đ</v>
          </cell>
          <cell r="R29" t="str">
            <v>Đ</v>
          </cell>
          <cell r="S29" t="str">
            <v>Đ</v>
          </cell>
          <cell r="T29" t="str">
            <v>Đ</v>
          </cell>
          <cell r="U29" t="str">
            <v>Đ</v>
          </cell>
          <cell r="V29" t="str">
            <v>Đ</v>
          </cell>
          <cell r="W29" t="str">
            <v>Ca 3</v>
          </cell>
          <cell r="X29" t="str">
            <v>CN</v>
          </cell>
          <cell r="Y29">
            <v>8</v>
          </cell>
          <cell r="Z29">
            <v>8</v>
          </cell>
          <cell r="AA29">
            <v>8</v>
          </cell>
          <cell r="AB29">
            <v>8</v>
          </cell>
          <cell r="AC29" t="str">
            <v>CN</v>
          </cell>
          <cell r="AD29" t="str">
            <v>Đ</v>
          </cell>
          <cell r="AE29" t="str">
            <v>Ca 2</v>
          </cell>
          <cell r="AF29" t="str">
            <v>Đ</v>
          </cell>
          <cell r="AG29" t="str">
            <v>Đ</v>
          </cell>
          <cell r="AH29" t="str">
            <v>Đ</v>
          </cell>
          <cell r="AI29" t="str">
            <v>Đ</v>
          </cell>
          <cell r="AJ29" t="str">
            <v>Đ</v>
          </cell>
          <cell r="AK29" t="str">
            <v>CN</v>
          </cell>
          <cell r="AL29">
            <v>8</v>
          </cell>
          <cell r="AM29" t="str">
            <v>Ca 3</v>
          </cell>
          <cell r="AN29">
            <v>8</v>
          </cell>
          <cell r="AO29">
            <v>8</v>
          </cell>
          <cell r="AP29">
            <v>8</v>
          </cell>
          <cell r="AQ29">
            <v>8</v>
          </cell>
          <cell r="AR29">
            <v>8</v>
          </cell>
          <cell r="AS29" t="str">
            <v>NP</v>
          </cell>
          <cell r="AT29">
            <v>8</v>
          </cell>
          <cell r="AU29" t="str">
            <v>Ca 2</v>
          </cell>
          <cell r="AV29" t="str">
            <v>H</v>
          </cell>
          <cell r="AW29" t="str">
            <v>X</v>
          </cell>
          <cell r="AX29">
            <v>8</v>
          </cell>
          <cell r="AY29">
            <v>8</v>
          </cell>
          <cell r="AZ29" t="str">
            <v>H</v>
          </cell>
          <cell r="BA29" t="str">
            <v/>
          </cell>
          <cell r="BB29" t="str">
            <v/>
          </cell>
          <cell r="BC29" t="str">
            <v>Ca 2</v>
          </cell>
          <cell r="BD29" t="str">
            <v/>
          </cell>
          <cell r="BE29">
            <v>96</v>
          </cell>
          <cell r="BF29">
            <v>128</v>
          </cell>
          <cell r="BG29">
            <v>0</v>
          </cell>
          <cell r="BH29">
            <v>0</v>
          </cell>
          <cell r="BI29">
            <v>0</v>
          </cell>
          <cell r="BJ29">
            <v>0</v>
          </cell>
          <cell r="BK29">
            <v>1</v>
          </cell>
          <cell r="BL29">
            <v>0</v>
          </cell>
          <cell r="BM29">
            <v>0</v>
          </cell>
          <cell r="BN29">
            <v>0</v>
          </cell>
          <cell r="BO29">
            <v>0</v>
          </cell>
          <cell r="BP29">
            <v>0</v>
          </cell>
          <cell r="BQ29">
            <v>0</v>
          </cell>
          <cell r="BR29">
            <v>0</v>
          </cell>
          <cell r="BS29">
            <v>16</v>
          </cell>
          <cell r="BT29">
            <v>0</v>
          </cell>
          <cell r="BU29">
            <v>0</v>
          </cell>
          <cell r="BV29">
            <v>0</v>
          </cell>
          <cell r="BW29">
            <v>0</v>
          </cell>
          <cell r="BX29">
            <v>240</v>
          </cell>
          <cell r="BY29">
            <v>0</v>
          </cell>
          <cell r="BZ29">
            <v>0</v>
          </cell>
          <cell r="CA29">
            <v>0</v>
          </cell>
          <cell r="CB29">
            <v>0</v>
          </cell>
          <cell r="CC29">
            <v>0</v>
          </cell>
          <cell r="CD29"/>
          <cell r="CE29"/>
          <cell r="CF29"/>
          <cell r="CG29">
            <v>4</v>
          </cell>
          <cell r="CH29">
            <v>4</v>
          </cell>
          <cell r="CI29">
            <v>4</v>
          </cell>
          <cell r="CJ29">
            <v>0</v>
          </cell>
          <cell r="CK29">
            <v>0</v>
          </cell>
          <cell r="CL29">
            <v>2</v>
          </cell>
          <cell r="CM29">
            <v>2</v>
          </cell>
          <cell r="CN29">
            <v>2</v>
          </cell>
          <cell r="CO29">
            <v>2</v>
          </cell>
          <cell r="CP29">
            <v>2</v>
          </cell>
          <cell r="CQ29">
            <v>0</v>
          </cell>
          <cell r="CR29">
            <v>0</v>
          </cell>
          <cell r="CS29">
            <v>0</v>
          </cell>
          <cell r="CT29">
            <v>0</v>
          </cell>
          <cell r="CU29">
            <v>2</v>
          </cell>
          <cell r="CV29">
            <v>0</v>
          </cell>
          <cell r="CW29">
            <v>4</v>
          </cell>
          <cell r="CX29">
            <v>4</v>
          </cell>
          <cell r="CY29">
            <v>0</v>
          </cell>
          <cell r="CZ29">
            <v>0</v>
          </cell>
          <cell r="DA29">
            <v>0</v>
          </cell>
          <cell r="DB29">
            <v>0</v>
          </cell>
          <cell r="DC29">
            <v>0</v>
          </cell>
          <cell r="DD29">
            <v>4</v>
          </cell>
          <cell r="DE29">
            <v>0</v>
          </cell>
          <cell r="DF29">
            <v>0</v>
          </cell>
          <cell r="DG29">
            <v>0</v>
          </cell>
          <cell r="DH29">
            <v>0</v>
          </cell>
          <cell r="DI29">
            <v>0</v>
          </cell>
          <cell r="DJ29">
            <v>0</v>
          </cell>
          <cell r="DK29">
            <v>0</v>
          </cell>
          <cell r="DL29">
            <v>0</v>
          </cell>
          <cell r="DM29">
            <v>0</v>
          </cell>
          <cell r="DN29" t="str">
            <v/>
          </cell>
          <cell r="DO29" t="str">
            <v/>
          </cell>
          <cell r="DP29" t="str">
            <v/>
          </cell>
          <cell r="DQ29">
            <v>0</v>
          </cell>
          <cell r="DR29"/>
          <cell r="DS29"/>
          <cell r="DT29">
            <v>32</v>
          </cell>
          <cell r="DU29">
            <v>4</v>
          </cell>
          <cell r="DV29"/>
          <cell r="DW29"/>
          <cell r="DX29"/>
          <cell r="DY29"/>
        </row>
        <row r="30">
          <cell r="E30" t="str">
            <v>02130</v>
          </cell>
          <cell r="F30" t="str">
            <v>Phạm Tuấn Dũ</v>
          </cell>
          <cell r="G30" t="str">
            <v>Foaming</v>
          </cell>
          <cell r="H30" t="str">
            <v>FOAMING Rectangular</v>
          </cell>
          <cell r="I30" t="str">
            <v>Operator</v>
          </cell>
          <cell r="J30">
            <v>43867</v>
          </cell>
          <cell r="K30">
            <v>43896</v>
          </cell>
          <cell r="L30">
            <v>4</v>
          </cell>
          <cell r="M30">
            <v>8</v>
          </cell>
          <cell r="N30">
            <v>8</v>
          </cell>
          <cell r="O30" t="str">
            <v>Ca 1</v>
          </cell>
          <cell r="P30" t="str">
            <v>CN</v>
          </cell>
          <cell r="Q30">
            <v>8</v>
          </cell>
          <cell r="R30">
            <v>8</v>
          </cell>
          <cell r="S30">
            <v>8</v>
          </cell>
          <cell r="T30">
            <v>8</v>
          </cell>
          <cell r="U30">
            <v>4</v>
          </cell>
          <cell r="V30">
            <v>8</v>
          </cell>
          <cell r="W30" t="str">
            <v>Ca 1</v>
          </cell>
          <cell r="X30" t="str">
            <v>CN</v>
          </cell>
          <cell r="Y30" t="str">
            <v>Đ</v>
          </cell>
          <cell r="Z30" t="str">
            <v>Đ</v>
          </cell>
          <cell r="AA30" t="str">
            <v>Đ</v>
          </cell>
          <cell r="AB30" t="str">
            <v>Đ</v>
          </cell>
          <cell r="AC30" t="str">
            <v>Đ</v>
          </cell>
          <cell r="AD30" t="str">
            <v>Đ</v>
          </cell>
          <cell r="AE30" t="str">
            <v>Ca 3</v>
          </cell>
          <cell r="AF30" t="str">
            <v>CN</v>
          </cell>
          <cell r="AG30">
            <v>8</v>
          </cell>
          <cell r="AH30">
            <v>8</v>
          </cell>
          <cell r="AI30">
            <v>8</v>
          </cell>
          <cell r="AJ30">
            <v>8</v>
          </cell>
          <cell r="AK30">
            <v>8</v>
          </cell>
          <cell r="AL30">
            <v>8</v>
          </cell>
          <cell r="AM30" t="str">
            <v>Ca 2</v>
          </cell>
          <cell r="AN30" t="str">
            <v>CN</v>
          </cell>
          <cell r="AO30">
            <v>8</v>
          </cell>
          <cell r="AP30">
            <v>8</v>
          </cell>
          <cell r="AQ30">
            <v>8</v>
          </cell>
          <cell r="AR30">
            <v>8</v>
          </cell>
          <cell r="AS30">
            <v>8</v>
          </cell>
          <cell r="AT30">
            <v>8</v>
          </cell>
          <cell r="AU30" t="str">
            <v>Ca 1</v>
          </cell>
          <cell r="AV30" t="str">
            <v>H</v>
          </cell>
          <cell r="AW30" t="str">
            <v>X</v>
          </cell>
          <cell r="AX30">
            <v>8</v>
          </cell>
          <cell r="AY30">
            <v>8</v>
          </cell>
          <cell r="AZ30" t="str">
            <v>H</v>
          </cell>
          <cell r="BA30" t="str">
            <v/>
          </cell>
          <cell r="BB30" t="str">
            <v/>
          </cell>
          <cell r="BC30" t="str">
            <v>Ca 1</v>
          </cell>
          <cell r="BD30" t="str">
            <v/>
          </cell>
          <cell r="BE30">
            <v>48</v>
          </cell>
          <cell r="BF30">
            <v>176</v>
          </cell>
          <cell r="BG30">
            <v>0</v>
          </cell>
          <cell r="BH30">
            <v>0</v>
          </cell>
          <cell r="BI30">
            <v>0</v>
          </cell>
          <cell r="BJ30">
            <v>0</v>
          </cell>
          <cell r="BK30">
            <v>0</v>
          </cell>
          <cell r="BL30">
            <v>0</v>
          </cell>
          <cell r="BM30">
            <v>0</v>
          </cell>
          <cell r="BN30">
            <v>0</v>
          </cell>
          <cell r="BO30">
            <v>0</v>
          </cell>
          <cell r="BP30">
            <v>0</v>
          </cell>
          <cell r="BQ30">
            <v>0</v>
          </cell>
          <cell r="BR30">
            <v>0</v>
          </cell>
          <cell r="BS30">
            <v>16</v>
          </cell>
          <cell r="BT30">
            <v>0</v>
          </cell>
          <cell r="BU30">
            <v>0</v>
          </cell>
          <cell r="BV30">
            <v>0</v>
          </cell>
          <cell r="BW30">
            <v>0</v>
          </cell>
          <cell r="BX30">
            <v>240</v>
          </cell>
          <cell r="BY30">
            <v>0</v>
          </cell>
          <cell r="BZ30">
            <v>0</v>
          </cell>
          <cell r="CA30">
            <v>0</v>
          </cell>
          <cell r="CB30">
            <v>0</v>
          </cell>
          <cell r="CC30">
            <v>0</v>
          </cell>
          <cell r="CD30"/>
          <cell r="CE30"/>
          <cell r="CF30"/>
          <cell r="CG30">
            <v>4</v>
          </cell>
          <cell r="CH30">
            <v>4</v>
          </cell>
          <cell r="CI30">
            <v>4</v>
          </cell>
          <cell r="CJ30">
            <v>0</v>
          </cell>
          <cell r="CK30">
            <v>4</v>
          </cell>
          <cell r="CL30">
            <v>0</v>
          </cell>
          <cell r="CM30">
            <v>0</v>
          </cell>
          <cell r="CN30">
            <v>0</v>
          </cell>
          <cell r="CO30">
            <v>0</v>
          </cell>
          <cell r="CP30">
            <v>4</v>
          </cell>
          <cell r="CQ30">
            <v>0</v>
          </cell>
          <cell r="CR30">
            <v>0</v>
          </cell>
          <cell r="CS30">
            <v>4</v>
          </cell>
          <cell r="CT30">
            <v>0</v>
          </cell>
          <cell r="CU30">
            <v>0</v>
          </cell>
          <cell r="CV30">
            <v>0</v>
          </cell>
          <cell r="CW30">
            <v>0</v>
          </cell>
          <cell r="CX30">
            <v>0</v>
          </cell>
          <cell r="CY30">
            <v>0</v>
          </cell>
          <cell r="CZ30">
            <v>0</v>
          </cell>
          <cell r="DA30">
            <v>0</v>
          </cell>
          <cell r="DB30">
            <v>0</v>
          </cell>
          <cell r="DC30">
            <v>0</v>
          </cell>
          <cell r="DD30">
            <v>0</v>
          </cell>
          <cell r="DE30">
            <v>0</v>
          </cell>
          <cell r="DF30">
            <v>0</v>
          </cell>
          <cell r="DG30">
            <v>0</v>
          </cell>
          <cell r="DH30">
            <v>0</v>
          </cell>
          <cell r="DI30">
            <v>0</v>
          </cell>
          <cell r="DJ30">
            <v>0</v>
          </cell>
          <cell r="DK30">
            <v>0</v>
          </cell>
          <cell r="DL30">
            <v>0</v>
          </cell>
          <cell r="DM30">
            <v>0</v>
          </cell>
          <cell r="DN30" t="str">
            <v/>
          </cell>
          <cell r="DO30" t="str">
            <v/>
          </cell>
          <cell r="DP30" t="str">
            <v/>
          </cell>
          <cell r="DQ30">
            <v>0</v>
          </cell>
          <cell r="DR30"/>
          <cell r="DS30"/>
          <cell r="DT30">
            <v>24</v>
          </cell>
          <cell r="DU30">
            <v>0</v>
          </cell>
          <cell r="DV30"/>
          <cell r="DW30"/>
          <cell r="DX30"/>
          <cell r="DY30"/>
        </row>
        <row r="31">
          <cell r="E31" t="str">
            <v>02101</v>
          </cell>
          <cell r="F31" t="str">
            <v>Nguyễn Văn Trọn</v>
          </cell>
          <cell r="G31" t="str">
            <v>Foaming</v>
          </cell>
          <cell r="H31" t="str">
            <v>FOAMING Splitting</v>
          </cell>
          <cell r="I31" t="str">
            <v>Worker</v>
          </cell>
          <cell r="J31">
            <v>43836</v>
          </cell>
          <cell r="K31">
            <v>43867</v>
          </cell>
          <cell r="L31">
            <v>8</v>
          </cell>
          <cell r="M31">
            <v>8</v>
          </cell>
          <cell r="N31">
            <v>8</v>
          </cell>
          <cell r="O31" t="str">
            <v>Ca 1</v>
          </cell>
          <cell r="P31" t="str">
            <v>CN</v>
          </cell>
          <cell r="Q31">
            <v>8</v>
          </cell>
          <cell r="R31">
            <v>8</v>
          </cell>
          <cell r="S31">
            <v>8</v>
          </cell>
          <cell r="T31">
            <v>8</v>
          </cell>
          <cell r="U31">
            <v>8</v>
          </cell>
          <cell r="V31">
            <v>8</v>
          </cell>
          <cell r="W31" t="str">
            <v>HCSX</v>
          </cell>
          <cell r="X31" t="str">
            <v>CN</v>
          </cell>
          <cell r="Y31">
            <v>8</v>
          </cell>
          <cell r="Z31">
            <v>8</v>
          </cell>
          <cell r="AA31">
            <v>8</v>
          </cell>
          <cell r="AB31">
            <v>8</v>
          </cell>
          <cell r="AC31">
            <v>8</v>
          </cell>
          <cell r="AD31">
            <v>8</v>
          </cell>
          <cell r="AE31" t="str">
            <v>Ca 1</v>
          </cell>
          <cell r="AF31" t="str">
            <v>CN</v>
          </cell>
          <cell r="AG31">
            <v>8</v>
          </cell>
          <cell r="AH31">
            <v>8</v>
          </cell>
          <cell r="AI31">
            <v>8</v>
          </cell>
          <cell r="AJ31">
            <v>8</v>
          </cell>
          <cell r="AK31">
            <v>8</v>
          </cell>
          <cell r="AL31">
            <v>8</v>
          </cell>
          <cell r="AM31" t="str">
            <v>Ca 1</v>
          </cell>
          <cell r="AN31" t="str">
            <v>CN</v>
          </cell>
          <cell r="AO31">
            <v>8</v>
          </cell>
          <cell r="AP31">
            <v>4</v>
          </cell>
          <cell r="AQ31">
            <v>8</v>
          </cell>
          <cell r="AR31">
            <v>8</v>
          </cell>
          <cell r="AS31">
            <v>8</v>
          </cell>
          <cell r="AT31">
            <v>8</v>
          </cell>
          <cell r="AU31" t="str">
            <v>HCSX</v>
          </cell>
          <cell r="AV31" t="str">
            <v>H</v>
          </cell>
          <cell r="AW31" t="str">
            <v>X</v>
          </cell>
          <cell r="AX31">
            <v>8</v>
          </cell>
          <cell r="AY31">
            <v>8</v>
          </cell>
          <cell r="AZ31" t="str">
            <v>H</v>
          </cell>
          <cell r="BA31" t="str">
            <v/>
          </cell>
          <cell r="BB31" t="str">
            <v/>
          </cell>
          <cell r="BC31" t="str">
            <v>HCSX</v>
          </cell>
          <cell r="BD31" t="str">
            <v/>
          </cell>
          <cell r="BE31">
            <v>0</v>
          </cell>
          <cell r="BF31">
            <v>228</v>
          </cell>
          <cell r="BG31">
            <v>0</v>
          </cell>
          <cell r="BH31">
            <v>0</v>
          </cell>
          <cell r="BI31">
            <v>0</v>
          </cell>
          <cell r="BJ31">
            <v>0</v>
          </cell>
          <cell r="BK31">
            <v>0</v>
          </cell>
          <cell r="BL31">
            <v>0</v>
          </cell>
          <cell r="BM31">
            <v>0</v>
          </cell>
          <cell r="BN31">
            <v>0</v>
          </cell>
          <cell r="BO31">
            <v>0</v>
          </cell>
          <cell r="BP31">
            <v>0</v>
          </cell>
          <cell r="BQ31">
            <v>0</v>
          </cell>
          <cell r="BR31">
            <v>0</v>
          </cell>
          <cell r="BS31">
            <v>16</v>
          </cell>
          <cell r="BT31">
            <v>0</v>
          </cell>
          <cell r="BU31">
            <v>0</v>
          </cell>
          <cell r="BV31">
            <v>0</v>
          </cell>
          <cell r="BW31">
            <v>0</v>
          </cell>
          <cell r="BX31">
            <v>244</v>
          </cell>
          <cell r="BY31">
            <v>0</v>
          </cell>
          <cell r="BZ31">
            <v>0</v>
          </cell>
          <cell r="CA31">
            <v>0</v>
          </cell>
          <cell r="CB31">
            <v>0</v>
          </cell>
          <cell r="CC31">
            <v>0</v>
          </cell>
          <cell r="CD31"/>
          <cell r="CE31"/>
          <cell r="CF31"/>
          <cell r="CG31">
            <v>4</v>
          </cell>
          <cell r="CH31">
            <v>4</v>
          </cell>
          <cell r="CI31">
            <v>4</v>
          </cell>
          <cell r="CJ31">
            <v>0</v>
          </cell>
          <cell r="CK31">
            <v>0</v>
          </cell>
          <cell r="CL31">
            <v>3</v>
          </cell>
          <cell r="CM31">
            <v>3</v>
          </cell>
          <cell r="CN31">
            <v>3</v>
          </cell>
          <cell r="CO31">
            <v>3</v>
          </cell>
          <cell r="CP31">
            <v>0</v>
          </cell>
          <cell r="CQ31">
            <v>0</v>
          </cell>
          <cell r="CR31">
            <v>0</v>
          </cell>
          <cell r="CS31">
            <v>2</v>
          </cell>
          <cell r="CT31">
            <v>2</v>
          </cell>
          <cell r="CU31">
            <v>2</v>
          </cell>
          <cell r="CV31">
            <v>2</v>
          </cell>
          <cell r="CW31">
            <v>2</v>
          </cell>
          <cell r="CX31">
            <v>0</v>
          </cell>
          <cell r="CY31">
            <v>0</v>
          </cell>
          <cell r="CZ31">
            <v>0</v>
          </cell>
          <cell r="DA31">
            <v>0</v>
          </cell>
          <cell r="DB31">
            <v>0</v>
          </cell>
          <cell r="DC31">
            <v>2</v>
          </cell>
          <cell r="DD31">
            <v>0</v>
          </cell>
          <cell r="DE31">
            <v>0</v>
          </cell>
          <cell r="DF31">
            <v>0</v>
          </cell>
          <cell r="DG31">
            <v>0</v>
          </cell>
          <cell r="DH31">
            <v>0</v>
          </cell>
          <cell r="DI31">
            <v>0</v>
          </cell>
          <cell r="DJ31">
            <v>0</v>
          </cell>
          <cell r="DK31">
            <v>0</v>
          </cell>
          <cell r="DL31">
            <v>0</v>
          </cell>
          <cell r="DM31">
            <v>0</v>
          </cell>
          <cell r="DN31" t="str">
            <v/>
          </cell>
          <cell r="DO31" t="str">
            <v/>
          </cell>
          <cell r="DP31" t="str">
            <v/>
          </cell>
          <cell r="DQ31">
            <v>0</v>
          </cell>
          <cell r="DR31"/>
          <cell r="DS31"/>
          <cell r="DT31">
            <v>36</v>
          </cell>
          <cell r="DU31">
            <v>0</v>
          </cell>
          <cell r="DV31"/>
          <cell r="DW31"/>
          <cell r="DX31"/>
          <cell r="DY31"/>
        </row>
        <row r="32">
          <cell r="E32" t="str">
            <v>02139</v>
          </cell>
          <cell r="F32" t="str">
            <v>Đặng Thị Diễm My</v>
          </cell>
          <cell r="G32" t="str">
            <v>Foaming</v>
          </cell>
          <cell r="H32" t="str">
            <v>FOAMING Production control</v>
          </cell>
          <cell r="I32" t="str">
            <v>Senior Staff</v>
          </cell>
          <cell r="J32">
            <v>43871</v>
          </cell>
          <cell r="K32">
            <v>43931</v>
          </cell>
          <cell r="L32">
            <v>8</v>
          </cell>
          <cell r="M32">
            <v>8</v>
          </cell>
          <cell r="N32" t="str">
            <v>PO</v>
          </cell>
          <cell r="O32" t="str">
            <v>HCVP</v>
          </cell>
          <cell r="P32" t="str">
            <v>CN</v>
          </cell>
          <cell r="Q32">
            <v>8</v>
          </cell>
          <cell r="R32">
            <v>8</v>
          </cell>
          <cell r="S32">
            <v>8</v>
          </cell>
          <cell r="T32">
            <v>8</v>
          </cell>
          <cell r="U32">
            <v>8</v>
          </cell>
          <cell r="V32" t="str">
            <v>PO</v>
          </cell>
          <cell r="W32" t="str">
            <v>HCVP</v>
          </cell>
          <cell r="X32" t="str">
            <v>CN</v>
          </cell>
          <cell r="Y32">
            <v>8</v>
          </cell>
          <cell r="Z32">
            <v>8</v>
          </cell>
          <cell r="AA32">
            <v>8</v>
          </cell>
          <cell r="AB32">
            <v>8</v>
          </cell>
          <cell r="AC32">
            <v>8</v>
          </cell>
          <cell r="AD32" t="str">
            <v>PO</v>
          </cell>
          <cell r="AE32" t="str">
            <v>HCVP</v>
          </cell>
          <cell r="AF32" t="str">
            <v>CN</v>
          </cell>
          <cell r="AG32">
            <v>8</v>
          </cell>
          <cell r="AH32">
            <v>8</v>
          </cell>
          <cell r="AI32">
            <v>8</v>
          </cell>
          <cell r="AJ32">
            <v>8</v>
          </cell>
          <cell r="AK32">
            <v>8</v>
          </cell>
          <cell r="AL32" t="str">
            <v>PO</v>
          </cell>
          <cell r="AM32" t="str">
            <v>HCVP</v>
          </cell>
          <cell r="AN32" t="str">
            <v>CN</v>
          </cell>
          <cell r="AO32">
            <v>8</v>
          </cell>
          <cell r="AP32">
            <v>8</v>
          </cell>
          <cell r="AQ32">
            <v>8</v>
          </cell>
          <cell r="AR32">
            <v>8</v>
          </cell>
          <cell r="AS32">
            <v>8</v>
          </cell>
          <cell r="AT32" t="str">
            <v>PO</v>
          </cell>
          <cell r="AU32" t="str">
            <v>HCVP</v>
          </cell>
          <cell r="AV32" t="str">
            <v>H</v>
          </cell>
          <cell r="AW32" t="str">
            <v>X</v>
          </cell>
          <cell r="AX32" t="str">
            <v>NP</v>
          </cell>
          <cell r="AY32" t="str">
            <v>AL8</v>
          </cell>
          <cell r="AZ32" t="str">
            <v>H</v>
          </cell>
          <cell r="BA32" t="str">
            <v/>
          </cell>
          <cell r="BB32" t="str">
            <v/>
          </cell>
          <cell r="BC32" t="str">
            <v>HCVP</v>
          </cell>
          <cell r="BD32" t="str">
            <v/>
          </cell>
          <cell r="BE32">
            <v>0</v>
          </cell>
          <cell r="BF32">
            <v>176</v>
          </cell>
          <cell r="BG32">
            <v>0</v>
          </cell>
          <cell r="BH32">
            <v>0</v>
          </cell>
          <cell r="BI32">
            <v>0</v>
          </cell>
          <cell r="BJ32">
            <v>0</v>
          </cell>
          <cell r="BK32">
            <v>1</v>
          </cell>
          <cell r="BL32">
            <v>0</v>
          </cell>
          <cell r="BM32">
            <v>40</v>
          </cell>
          <cell r="BN32">
            <v>0</v>
          </cell>
          <cell r="BO32">
            <v>0</v>
          </cell>
          <cell r="BP32">
            <v>0</v>
          </cell>
          <cell r="BQ32">
            <v>0</v>
          </cell>
          <cell r="BR32">
            <v>8</v>
          </cell>
          <cell r="BS32">
            <v>16</v>
          </cell>
          <cell r="BT32">
            <v>0</v>
          </cell>
          <cell r="BU32">
            <v>0</v>
          </cell>
          <cell r="BV32">
            <v>0</v>
          </cell>
          <cell r="BW32">
            <v>0</v>
          </cell>
          <cell r="BX32">
            <v>240</v>
          </cell>
          <cell r="BY32">
            <v>1</v>
          </cell>
          <cell r="BZ32">
            <v>0</v>
          </cell>
          <cell r="CA32">
            <v>0</v>
          </cell>
          <cell r="CB32">
            <v>1</v>
          </cell>
          <cell r="CC32">
            <v>1</v>
          </cell>
          <cell r="CD32"/>
          <cell r="CE32"/>
          <cell r="CF32"/>
          <cell r="CG32">
            <v>0</v>
          </cell>
          <cell r="CH32">
            <v>0.5</v>
          </cell>
          <cell r="CI32">
            <v>0</v>
          </cell>
          <cell r="CJ32">
            <v>0</v>
          </cell>
          <cell r="CK32">
            <v>0</v>
          </cell>
          <cell r="CL32">
            <v>0</v>
          </cell>
          <cell r="CM32">
            <v>1.25</v>
          </cell>
          <cell r="CN32">
            <v>0</v>
          </cell>
          <cell r="CO32">
            <v>0</v>
          </cell>
          <cell r="CP32">
            <v>0</v>
          </cell>
          <cell r="CQ32">
            <v>0</v>
          </cell>
          <cell r="CR32">
            <v>0</v>
          </cell>
          <cell r="CS32">
            <v>0</v>
          </cell>
          <cell r="CT32">
            <v>0</v>
          </cell>
          <cell r="CU32">
            <v>0.5</v>
          </cell>
          <cell r="CV32">
            <v>1.25</v>
          </cell>
          <cell r="CW32">
            <v>0</v>
          </cell>
          <cell r="CX32">
            <v>0</v>
          </cell>
          <cell r="CY32">
            <v>0</v>
          </cell>
          <cell r="CZ32">
            <v>0</v>
          </cell>
          <cell r="DA32">
            <v>0</v>
          </cell>
          <cell r="DB32">
            <v>0</v>
          </cell>
          <cell r="DC32">
            <v>0.5</v>
          </cell>
          <cell r="DD32">
            <v>0</v>
          </cell>
          <cell r="DE32">
            <v>0</v>
          </cell>
          <cell r="DF32">
            <v>0.5</v>
          </cell>
          <cell r="DG32">
            <v>0</v>
          </cell>
          <cell r="DH32">
            <v>0</v>
          </cell>
          <cell r="DI32">
            <v>0</v>
          </cell>
          <cell r="DJ32">
            <v>0</v>
          </cell>
          <cell r="DK32">
            <v>0</v>
          </cell>
          <cell r="DL32">
            <v>0</v>
          </cell>
          <cell r="DM32">
            <v>0</v>
          </cell>
          <cell r="DN32" t="str">
            <v/>
          </cell>
          <cell r="DO32" t="str">
            <v/>
          </cell>
          <cell r="DP32" t="str">
            <v/>
          </cell>
          <cell r="DQ32">
            <v>0</v>
          </cell>
          <cell r="DR32"/>
          <cell r="DS32"/>
          <cell r="DT32">
            <v>4.5</v>
          </cell>
          <cell r="DU32">
            <v>0</v>
          </cell>
          <cell r="DV32"/>
          <cell r="DW32"/>
          <cell r="DX32"/>
          <cell r="DY32"/>
        </row>
        <row r="33">
          <cell r="E33" t="str">
            <v>02133</v>
          </cell>
          <cell r="F33" t="str">
            <v>Đặng Minh Dương</v>
          </cell>
          <cell r="G33" t="str">
            <v>Foaming</v>
          </cell>
          <cell r="H33" t="str">
            <v>FOAMING Splitting</v>
          </cell>
          <cell r="I33" t="str">
            <v>Team Leader</v>
          </cell>
          <cell r="J33">
            <v>43867</v>
          </cell>
          <cell r="K33">
            <v>43896</v>
          </cell>
          <cell r="L33">
            <v>8</v>
          </cell>
          <cell r="M33">
            <v>8</v>
          </cell>
          <cell r="N33">
            <v>8</v>
          </cell>
          <cell r="O33" t="str">
            <v>Ca 1</v>
          </cell>
          <cell r="P33" t="str">
            <v>CN</v>
          </cell>
          <cell r="Q33" t="str">
            <v>Đ</v>
          </cell>
          <cell r="R33" t="str">
            <v>Đ</v>
          </cell>
          <cell r="S33" t="str">
            <v>Đ</v>
          </cell>
          <cell r="T33" t="str">
            <v>Đ</v>
          </cell>
          <cell r="U33" t="str">
            <v>Đ</v>
          </cell>
          <cell r="V33" t="str">
            <v>Đ</v>
          </cell>
          <cell r="W33" t="str">
            <v>Ca 3</v>
          </cell>
          <cell r="X33" t="str">
            <v>CN</v>
          </cell>
          <cell r="Y33">
            <v>8</v>
          </cell>
          <cell r="Z33">
            <v>8</v>
          </cell>
          <cell r="AA33">
            <v>8</v>
          </cell>
          <cell r="AB33">
            <v>8</v>
          </cell>
          <cell r="AC33" t="str">
            <v>CN</v>
          </cell>
          <cell r="AD33" t="str">
            <v>Đ</v>
          </cell>
          <cell r="AE33" t="str">
            <v>Ca 2</v>
          </cell>
          <cell r="AF33" t="str">
            <v>Đ</v>
          </cell>
          <cell r="AG33" t="str">
            <v>Đ</v>
          </cell>
          <cell r="AH33" t="str">
            <v>Đ</v>
          </cell>
          <cell r="AI33" t="str">
            <v>Đ</v>
          </cell>
          <cell r="AJ33" t="str">
            <v>Đ</v>
          </cell>
          <cell r="AK33" t="str">
            <v>CN</v>
          </cell>
          <cell r="AL33">
            <v>8</v>
          </cell>
          <cell r="AM33" t="str">
            <v>Ca 3</v>
          </cell>
          <cell r="AN33">
            <v>8</v>
          </cell>
          <cell r="AO33">
            <v>8</v>
          </cell>
          <cell r="AP33">
            <v>8</v>
          </cell>
          <cell r="AQ33">
            <v>8</v>
          </cell>
          <cell r="AR33">
            <v>8</v>
          </cell>
          <cell r="AS33" t="str">
            <v>NP</v>
          </cell>
          <cell r="AT33">
            <v>8</v>
          </cell>
          <cell r="AU33" t="str">
            <v>Ca 2</v>
          </cell>
          <cell r="AV33" t="str">
            <v>H</v>
          </cell>
          <cell r="AW33" t="str">
            <v>X</v>
          </cell>
          <cell r="AX33">
            <v>8</v>
          </cell>
          <cell r="AY33">
            <v>8</v>
          </cell>
          <cell r="AZ33" t="str">
            <v>H</v>
          </cell>
          <cell r="BA33" t="str">
            <v/>
          </cell>
          <cell r="BB33" t="str">
            <v/>
          </cell>
          <cell r="BC33" t="str">
            <v>Ca 2</v>
          </cell>
          <cell r="BD33" t="str">
            <v/>
          </cell>
          <cell r="BE33">
            <v>96</v>
          </cell>
          <cell r="BF33">
            <v>128</v>
          </cell>
          <cell r="BG33">
            <v>0</v>
          </cell>
          <cell r="BH33">
            <v>0</v>
          </cell>
          <cell r="BI33">
            <v>0</v>
          </cell>
          <cell r="BJ33">
            <v>0</v>
          </cell>
          <cell r="BK33">
            <v>1</v>
          </cell>
          <cell r="BL33">
            <v>0</v>
          </cell>
          <cell r="BM33">
            <v>0</v>
          </cell>
          <cell r="BN33">
            <v>0</v>
          </cell>
          <cell r="BO33">
            <v>0</v>
          </cell>
          <cell r="BP33">
            <v>0</v>
          </cell>
          <cell r="BQ33">
            <v>0</v>
          </cell>
          <cell r="BR33">
            <v>0</v>
          </cell>
          <cell r="BS33">
            <v>16</v>
          </cell>
          <cell r="BT33">
            <v>0</v>
          </cell>
          <cell r="BU33">
            <v>0</v>
          </cell>
          <cell r="BV33">
            <v>0</v>
          </cell>
          <cell r="BW33">
            <v>0</v>
          </cell>
          <cell r="BX33">
            <v>240</v>
          </cell>
          <cell r="BY33">
            <v>0</v>
          </cell>
          <cell r="BZ33">
            <v>0</v>
          </cell>
          <cell r="CA33">
            <v>0</v>
          </cell>
          <cell r="CB33">
            <v>0</v>
          </cell>
          <cell r="CC33">
            <v>0</v>
          </cell>
          <cell r="CD33"/>
          <cell r="CE33"/>
          <cell r="CF33"/>
          <cell r="CG33">
            <v>4</v>
          </cell>
          <cell r="CH33">
            <v>0</v>
          </cell>
          <cell r="CI33">
            <v>4</v>
          </cell>
          <cell r="CJ33">
            <v>0</v>
          </cell>
          <cell r="CK33">
            <v>2</v>
          </cell>
          <cell r="CL33">
            <v>2</v>
          </cell>
          <cell r="CM33">
            <v>2</v>
          </cell>
          <cell r="CN33">
            <v>2</v>
          </cell>
          <cell r="CO33">
            <v>2</v>
          </cell>
          <cell r="CP33">
            <v>2</v>
          </cell>
          <cell r="CQ33">
            <v>0</v>
          </cell>
          <cell r="CR33">
            <v>0</v>
          </cell>
          <cell r="CS33">
            <v>0</v>
          </cell>
          <cell r="CT33">
            <v>0</v>
          </cell>
          <cell r="CU33">
            <v>2</v>
          </cell>
          <cell r="CV33">
            <v>0</v>
          </cell>
          <cell r="CW33">
            <v>4</v>
          </cell>
          <cell r="CX33">
            <v>4</v>
          </cell>
          <cell r="CY33">
            <v>0</v>
          </cell>
          <cell r="CZ33">
            <v>0</v>
          </cell>
          <cell r="DA33">
            <v>0</v>
          </cell>
          <cell r="DB33">
            <v>0</v>
          </cell>
          <cell r="DC33">
            <v>0</v>
          </cell>
          <cell r="DD33">
            <v>4</v>
          </cell>
          <cell r="DE33">
            <v>0</v>
          </cell>
          <cell r="DF33">
            <v>0</v>
          </cell>
          <cell r="DG33">
            <v>0</v>
          </cell>
          <cell r="DH33">
            <v>0</v>
          </cell>
          <cell r="DI33">
            <v>0</v>
          </cell>
          <cell r="DJ33">
            <v>0</v>
          </cell>
          <cell r="DK33">
            <v>0</v>
          </cell>
          <cell r="DL33">
            <v>0</v>
          </cell>
          <cell r="DM33">
            <v>0</v>
          </cell>
          <cell r="DN33" t="str">
            <v/>
          </cell>
          <cell r="DO33" t="str">
            <v/>
          </cell>
          <cell r="DP33" t="str">
            <v/>
          </cell>
          <cell r="DQ33">
            <v>0</v>
          </cell>
          <cell r="DR33"/>
          <cell r="DS33"/>
          <cell r="DT33">
            <v>30</v>
          </cell>
          <cell r="DU33">
            <v>4</v>
          </cell>
          <cell r="DV33"/>
          <cell r="DW33"/>
          <cell r="DX33"/>
          <cell r="DY33"/>
        </row>
        <row r="34">
          <cell r="E34" t="str">
            <v>02150</v>
          </cell>
          <cell r="F34" t="str">
            <v>Võ Thị Hồng Quy</v>
          </cell>
          <cell r="G34" t="str">
            <v>Foaming</v>
          </cell>
          <cell r="H34" t="str">
            <v>FOAMING Splitting</v>
          </cell>
          <cell r="I34" t="str">
            <v>Team Leader</v>
          </cell>
          <cell r="J34">
            <v>43871</v>
          </cell>
          <cell r="K34">
            <v>43900</v>
          </cell>
          <cell r="L34">
            <v>8</v>
          </cell>
          <cell r="M34">
            <v>8</v>
          </cell>
          <cell r="N34">
            <v>8</v>
          </cell>
          <cell r="O34" t="str">
            <v>Ca 1</v>
          </cell>
          <cell r="P34" t="str">
            <v>CN</v>
          </cell>
          <cell r="Q34">
            <v>8</v>
          </cell>
          <cell r="R34">
            <v>8</v>
          </cell>
          <cell r="S34">
            <v>8</v>
          </cell>
          <cell r="T34">
            <v>8</v>
          </cell>
          <cell r="U34">
            <v>8</v>
          </cell>
          <cell r="V34">
            <v>8</v>
          </cell>
          <cell r="W34" t="str">
            <v>Ca 1</v>
          </cell>
          <cell r="X34" t="str">
            <v>CN</v>
          </cell>
          <cell r="Y34">
            <v>8</v>
          </cell>
          <cell r="Z34">
            <v>8</v>
          </cell>
          <cell r="AA34">
            <v>8</v>
          </cell>
          <cell r="AB34">
            <v>8</v>
          </cell>
          <cell r="AC34">
            <v>8</v>
          </cell>
          <cell r="AD34">
            <v>8</v>
          </cell>
          <cell r="AE34" t="str">
            <v>Ca 1</v>
          </cell>
          <cell r="AF34" t="str">
            <v>CN</v>
          </cell>
          <cell r="AG34">
            <v>8</v>
          </cell>
          <cell r="AH34">
            <v>8</v>
          </cell>
          <cell r="AI34">
            <v>8</v>
          </cell>
          <cell r="AJ34">
            <v>8</v>
          </cell>
          <cell r="AK34">
            <v>8</v>
          </cell>
          <cell r="AL34">
            <v>8</v>
          </cell>
          <cell r="AM34" t="str">
            <v>Ca 1</v>
          </cell>
          <cell r="AN34" t="str">
            <v>CN</v>
          </cell>
          <cell r="AO34">
            <v>8</v>
          </cell>
          <cell r="AP34">
            <v>8</v>
          </cell>
          <cell r="AQ34">
            <v>8</v>
          </cell>
          <cell r="AR34">
            <v>8</v>
          </cell>
          <cell r="AS34">
            <v>8</v>
          </cell>
          <cell r="AT34">
            <v>8</v>
          </cell>
          <cell r="AU34" t="str">
            <v>Ca 1</v>
          </cell>
          <cell r="AV34" t="str">
            <v>H</v>
          </cell>
          <cell r="AW34" t="str">
            <v>X</v>
          </cell>
          <cell r="AX34">
            <v>8</v>
          </cell>
          <cell r="AY34">
            <v>8</v>
          </cell>
          <cell r="AZ34" t="str">
            <v>H</v>
          </cell>
          <cell r="BA34" t="str">
            <v/>
          </cell>
          <cell r="BB34" t="str">
            <v/>
          </cell>
          <cell r="BC34" t="str">
            <v>HCSX</v>
          </cell>
          <cell r="BD34" t="str">
            <v/>
          </cell>
          <cell r="BE34">
            <v>0</v>
          </cell>
          <cell r="BF34">
            <v>232</v>
          </cell>
          <cell r="BG34">
            <v>0</v>
          </cell>
          <cell r="BH34">
            <v>0</v>
          </cell>
          <cell r="BI34">
            <v>0</v>
          </cell>
          <cell r="BJ34">
            <v>0</v>
          </cell>
          <cell r="BK34">
            <v>0</v>
          </cell>
          <cell r="BL34">
            <v>0</v>
          </cell>
          <cell r="BM34">
            <v>0</v>
          </cell>
          <cell r="BN34">
            <v>0</v>
          </cell>
          <cell r="BO34">
            <v>0</v>
          </cell>
          <cell r="BP34">
            <v>0</v>
          </cell>
          <cell r="BQ34">
            <v>0</v>
          </cell>
          <cell r="BR34">
            <v>0</v>
          </cell>
          <cell r="BS34">
            <v>16</v>
          </cell>
          <cell r="BT34">
            <v>0</v>
          </cell>
          <cell r="BU34">
            <v>0</v>
          </cell>
          <cell r="BV34">
            <v>0</v>
          </cell>
          <cell r="BW34">
            <v>0</v>
          </cell>
          <cell r="BX34">
            <v>248</v>
          </cell>
          <cell r="BY34">
            <v>0</v>
          </cell>
          <cell r="BZ34">
            <v>0</v>
          </cell>
          <cell r="CA34">
            <v>0</v>
          </cell>
          <cell r="CB34">
            <v>0</v>
          </cell>
          <cell r="CC34">
            <v>0</v>
          </cell>
          <cell r="CD34"/>
          <cell r="CE34"/>
          <cell r="CF34"/>
          <cell r="CG34">
            <v>2</v>
          </cell>
          <cell r="CH34">
            <v>2</v>
          </cell>
          <cell r="CI34">
            <v>3</v>
          </cell>
          <cell r="CJ34">
            <v>0</v>
          </cell>
          <cell r="CK34">
            <v>2</v>
          </cell>
          <cell r="CL34">
            <v>2</v>
          </cell>
          <cell r="CM34">
            <v>2</v>
          </cell>
          <cell r="CN34">
            <v>2</v>
          </cell>
          <cell r="CO34">
            <v>2</v>
          </cell>
          <cell r="CP34">
            <v>2</v>
          </cell>
          <cell r="CQ34">
            <v>0</v>
          </cell>
          <cell r="CR34">
            <v>2</v>
          </cell>
          <cell r="CS34">
            <v>2</v>
          </cell>
          <cell r="CT34">
            <v>2</v>
          </cell>
          <cell r="CU34">
            <v>2</v>
          </cell>
          <cell r="CV34">
            <v>2</v>
          </cell>
          <cell r="CW34">
            <v>2</v>
          </cell>
          <cell r="CX34">
            <v>0</v>
          </cell>
          <cell r="CY34">
            <v>2</v>
          </cell>
          <cell r="CZ34">
            <v>2</v>
          </cell>
          <cell r="DA34">
            <v>0</v>
          </cell>
          <cell r="DB34">
            <v>1</v>
          </cell>
          <cell r="DC34">
            <v>0</v>
          </cell>
          <cell r="DD34">
            <v>0</v>
          </cell>
          <cell r="DE34">
            <v>0</v>
          </cell>
          <cell r="DF34">
            <v>0</v>
          </cell>
          <cell r="DG34">
            <v>0</v>
          </cell>
          <cell r="DH34">
            <v>0</v>
          </cell>
          <cell r="DI34">
            <v>0</v>
          </cell>
          <cell r="DJ34">
            <v>0</v>
          </cell>
          <cell r="DK34">
            <v>0</v>
          </cell>
          <cell r="DL34">
            <v>0</v>
          </cell>
          <cell r="DM34">
            <v>0</v>
          </cell>
          <cell r="DN34" t="str">
            <v/>
          </cell>
          <cell r="DO34" t="str">
            <v/>
          </cell>
          <cell r="DP34" t="str">
            <v/>
          </cell>
          <cell r="DQ34">
            <v>0</v>
          </cell>
          <cell r="DR34"/>
          <cell r="DS34"/>
          <cell r="DT34">
            <v>36</v>
          </cell>
          <cell r="DU34">
            <v>0</v>
          </cell>
          <cell r="DV34"/>
          <cell r="DW34"/>
          <cell r="DX34"/>
          <cell r="DY34"/>
        </row>
        <row r="35">
          <cell r="E35" t="str">
            <v>02165</v>
          </cell>
          <cell r="F35" t="str">
            <v>Trần Kim Giàu</v>
          </cell>
          <cell r="G35" t="str">
            <v>Foaming</v>
          </cell>
          <cell r="H35" t="str">
            <v>FOAMING Rectangular</v>
          </cell>
          <cell r="I35" t="str">
            <v>Worker</v>
          </cell>
          <cell r="J35">
            <v>43875</v>
          </cell>
          <cell r="K35">
            <v>43904</v>
          </cell>
          <cell r="L35">
            <v>8</v>
          </cell>
          <cell r="M35" t="str">
            <v>UP8</v>
          </cell>
          <cell r="N35" t="str">
            <v>UP8</v>
          </cell>
          <cell r="O35" t="str">
            <v>Ca 1</v>
          </cell>
          <cell r="P35" t="str">
            <v>CN</v>
          </cell>
          <cell r="Q35" t="str">
            <v>Đ</v>
          </cell>
          <cell r="R35" t="str">
            <v>Đ</v>
          </cell>
          <cell r="S35" t="str">
            <v>Đ</v>
          </cell>
          <cell r="T35" t="str">
            <v>Đ</v>
          </cell>
          <cell r="U35" t="str">
            <v>Đ</v>
          </cell>
          <cell r="V35" t="str">
            <v>Đ</v>
          </cell>
          <cell r="W35" t="str">
            <v>Ca 3</v>
          </cell>
          <cell r="X35" t="str">
            <v>CN</v>
          </cell>
          <cell r="Y35">
            <v>8</v>
          </cell>
          <cell r="Z35">
            <v>8</v>
          </cell>
          <cell r="AA35">
            <v>8</v>
          </cell>
          <cell r="AB35">
            <v>8</v>
          </cell>
          <cell r="AC35">
            <v>8</v>
          </cell>
          <cell r="AD35">
            <v>8</v>
          </cell>
          <cell r="AE35" t="str">
            <v>Ca 2</v>
          </cell>
          <cell r="AF35" t="str">
            <v>CN</v>
          </cell>
          <cell r="AG35">
            <v>8</v>
          </cell>
          <cell r="AH35">
            <v>8</v>
          </cell>
          <cell r="AI35">
            <v>8</v>
          </cell>
          <cell r="AJ35">
            <v>8</v>
          </cell>
          <cell r="AK35">
            <v>8</v>
          </cell>
          <cell r="AL35">
            <v>8</v>
          </cell>
          <cell r="AM35" t="str">
            <v>Ca 1</v>
          </cell>
          <cell r="AN35" t="str">
            <v>CN</v>
          </cell>
          <cell r="AO35" t="str">
            <v>Đ</v>
          </cell>
          <cell r="AP35" t="str">
            <v>Đ</v>
          </cell>
          <cell r="AQ35" t="str">
            <v>Đ</v>
          </cell>
          <cell r="AR35" t="str">
            <v>Đ</v>
          </cell>
          <cell r="AS35" t="str">
            <v>Đ</v>
          </cell>
          <cell r="AT35" t="str">
            <v>AL8</v>
          </cell>
          <cell r="AU35" t="str">
            <v>Ca 3</v>
          </cell>
          <cell r="AV35" t="str">
            <v>H</v>
          </cell>
          <cell r="AW35" t="str">
            <v>X</v>
          </cell>
          <cell r="AX35" t="str">
            <v>NP</v>
          </cell>
          <cell r="AY35" t="str">
            <v>NP</v>
          </cell>
          <cell r="AZ35" t="str">
            <v>H</v>
          </cell>
          <cell r="BA35" t="str">
            <v/>
          </cell>
          <cell r="BB35" t="str">
            <v/>
          </cell>
          <cell r="BC35" t="str">
            <v>Ca 3</v>
          </cell>
          <cell r="BD35" t="str">
            <v/>
          </cell>
          <cell r="BE35">
            <v>88</v>
          </cell>
          <cell r="BF35">
            <v>104</v>
          </cell>
          <cell r="BG35">
            <v>0</v>
          </cell>
          <cell r="BH35">
            <v>0</v>
          </cell>
          <cell r="BI35">
            <v>0</v>
          </cell>
          <cell r="BJ35">
            <v>16</v>
          </cell>
          <cell r="BK35">
            <v>2</v>
          </cell>
          <cell r="BL35">
            <v>0</v>
          </cell>
          <cell r="BM35">
            <v>0</v>
          </cell>
          <cell r="BN35">
            <v>0</v>
          </cell>
          <cell r="BO35">
            <v>0</v>
          </cell>
          <cell r="BP35">
            <v>0</v>
          </cell>
          <cell r="BQ35">
            <v>0</v>
          </cell>
          <cell r="BR35">
            <v>8</v>
          </cell>
          <cell r="BS35">
            <v>16</v>
          </cell>
          <cell r="BT35">
            <v>0</v>
          </cell>
          <cell r="BU35">
            <v>0</v>
          </cell>
          <cell r="BV35">
            <v>0</v>
          </cell>
          <cell r="BW35">
            <v>0</v>
          </cell>
          <cell r="BX35">
            <v>216</v>
          </cell>
          <cell r="BY35">
            <v>1</v>
          </cell>
          <cell r="BZ35">
            <v>0</v>
          </cell>
          <cell r="CA35">
            <v>2</v>
          </cell>
          <cell r="CB35">
            <v>1</v>
          </cell>
          <cell r="CC35">
            <v>1</v>
          </cell>
          <cell r="CD35"/>
          <cell r="CE35"/>
          <cell r="CF35"/>
          <cell r="CG35">
            <v>0</v>
          </cell>
          <cell r="CH35">
            <v>0</v>
          </cell>
          <cell r="CI35">
            <v>0</v>
          </cell>
          <cell r="CJ35">
            <v>0</v>
          </cell>
          <cell r="CK35">
            <v>0</v>
          </cell>
          <cell r="CL35">
            <v>0</v>
          </cell>
          <cell r="CM35">
            <v>0</v>
          </cell>
          <cell r="CN35">
            <v>0</v>
          </cell>
          <cell r="CO35">
            <v>0</v>
          </cell>
          <cell r="CP35">
            <v>0</v>
          </cell>
          <cell r="CQ35">
            <v>0</v>
          </cell>
          <cell r="CR35">
            <v>0</v>
          </cell>
          <cell r="CS35">
            <v>0</v>
          </cell>
          <cell r="CT35">
            <v>0</v>
          </cell>
          <cell r="CU35">
            <v>0</v>
          </cell>
          <cell r="CV35">
            <v>0</v>
          </cell>
          <cell r="CW35">
            <v>0</v>
          </cell>
          <cell r="CX35">
            <v>0</v>
          </cell>
          <cell r="CY35">
            <v>0</v>
          </cell>
          <cell r="CZ35">
            <v>0</v>
          </cell>
          <cell r="DA35">
            <v>3</v>
          </cell>
          <cell r="DB35">
            <v>3</v>
          </cell>
          <cell r="DC35">
            <v>3</v>
          </cell>
          <cell r="DD35">
            <v>0</v>
          </cell>
          <cell r="DE35">
            <v>0</v>
          </cell>
          <cell r="DF35">
            <v>0</v>
          </cell>
          <cell r="DG35">
            <v>0</v>
          </cell>
          <cell r="DH35">
            <v>0</v>
          </cell>
          <cell r="DI35">
            <v>0</v>
          </cell>
          <cell r="DJ35">
            <v>4</v>
          </cell>
          <cell r="DK35">
            <v>0</v>
          </cell>
          <cell r="DL35">
            <v>0</v>
          </cell>
          <cell r="DM35">
            <v>0</v>
          </cell>
          <cell r="DN35" t="str">
            <v/>
          </cell>
          <cell r="DO35" t="str">
            <v/>
          </cell>
          <cell r="DP35" t="str">
            <v/>
          </cell>
          <cell r="DQ35">
            <v>0</v>
          </cell>
          <cell r="DR35"/>
          <cell r="DS35"/>
          <cell r="DT35">
            <v>13</v>
          </cell>
          <cell r="DU35">
            <v>0</v>
          </cell>
          <cell r="DV35"/>
          <cell r="DW35"/>
          <cell r="DX35"/>
          <cell r="DY35"/>
        </row>
        <row r="36">
          <cell r="E36" t="str">
            <v>02163</v>
          </cell>
          <cell r="F36" t="str">
            <v>Trần Văn Nhựt</v>
          </cell>
          <cell r="G36" t="str">
            <v>Foaming</v>
          </cell>
          <cell r="H36" t="str">
            <v>FOAMING Splitting</v>
          </cell>
          <cell r="I36" t="str">
            <v>Operator</v>
          </cell>
          <cell r="J36">
            <v>43875</v>
          </cell>
          <cell r="K36">
            <v>43904</v>
          </cell>
          <cell r="L36">
            <v>8</v>
          </cell>
          <cell r="M36">
            <v>8</v>
          </cell>
          <cell r="N36">
            <v>8</v>
          </cell>
          <cell r="O36" t="str">
            <v>Ca 1</v>
          </cell>
          <cell r="P36" t="str">
            <v>CN</v>
          </cell>
          <cell r="Q36" t="str">
            <v>Đ</v>
          </cell>
          <cell r="R36" t="str">
            <v>Đ</v>
          </cell>
          <cell r="S36" t="str">
            <v>Đ</v>
          </cell>
          <cell r="T36" t="str">
            <v>Đ</v>
          </cell>
          <cell r="U36" t="str">
            <v>Đ</v>
          </cell>
          <cell r="V36" t="str">
            <v>Đ</v>
          </cell>
          <cell r="W36" t="str">
            <v>Ca 3</v>
          </cell>
          <cell r="X36" t="str">
            <v>CN</v>
          </cell>
          <cell r="Y36">
            <v>4</v>
          </cell>
          <cell r="Z36">
            <v>8</v>
          </cell>
          <cell r="AA36">
            <v>8</v>
          </cell>
          <cell r="AB36">
            <v>8</v>
          </cell>
          <cell r="AC36">
            <v>8</v>
          </cell>
          <cell r="AD36">
            <v>8</v>
          </cell>
          <cell r="AE36" t="str">
            <v>HCSX</v>
          </cell>
          <cell r="AF36" t="str">
            <v>CN</v>
          </cell>
          <cell r="AG36">
            <v>8</v>
          </cell>
          <cell r="AH36">
            <v>8</v>
          </cell>
          <cell r="AI36">
            <v>8</v>
          </cell>
          <cell r="AJ36">
            <v>8</v>
          </cell>
          <cell r="AK36">
            <v>8</v>
          </cell>
          <cell r="AL36">
            <v>8</v>
          </cell>
          <cell r="AM36" t="str">
            <v>Ca 1</v>
          </cell>
          <cell r="AN36" t="str">
            <v>CN</v>
          </cell>
          <cell r="AO36" t="str">
            <v>Đ</v>
          </cell>
          <cell r="AP36" t="str">
            <v>Đ</v>
          </cell>
          <cell r="AQ36" t="str">
            <v>Đ</v>
          </cell>
          <cell r="AR36" t="str">
            <v>Đ</v>
          </cell>
          <cell r="AS36" t="str">
            <v>Đ</v>
          </cell>
          <cell r="AT36" t="str">
            <v>AL8</v>
          </cell>
          <cell r="AU36" t="str">
            <v>Ca 3</v>
          </cell>
          <cell r="AV36" t="str">
            <v>H</v>
          </cell>
          <cell r="AW36" t="str">
            <v>X</v>
          </cell>
          <cell r="AX36" t="str">
            <v>Đ</v>
          </cell>
          <cell r="AY36" t="str">
            <v>NP</v>
          </cell>
          <cell r="AZ36" t="str">
            <v>H</v>
          </cell>
          <cell r="BA36" t="str">
            <v/>
          </cell>
          <cell r="BB36" t="str">
            <v/>
          </cell>
          <cell r="BC36" t="str">
            <v>Ca 3</v>
          </cell>
          <cell r="BD36" t="str">
            <v/>
          </cell>
          <cell r="BE36">
            <v>96</v>
          </cell>
          <cell r="BF36">
            <v>116</v>
          </cell>
          <cell r="BG36">
            <v>0</v>
          </cell>
          <cell r="BH36">
            <v>0</v>
          </cell>
          <cell r="BI36">
            <v>0</v>
          </cell>
          <cell r="BJ36">
            <v>0</v>
          </cell>
          <cell r="BK36">
            <v>1</v>
          </cell>
          <cell r="BL36">
            <v>0</v>
          </cell>
          <cell r="BM36">
            <v>0</v>
          </cell>
          <cell r="BN36">
            <v>0</v>
          </cell>
          <cell r="BO36">
            <v>0</v>
          </cell>
          <cell r="BP36">
            <v>0</v>
          </cell>
          <cell r="BQ36">
            <v>0</v>
          </cell>
          <cell r="BR36">
            <v>8</v>
          </cell>
          <cell r="BS36">
            <v>16</v>
          </cell>
          <cell r="BT36">
            <v>0</v>
          </cell>
          <cell r="BU36">
            <v>0</v>
          </cell>
          <cell r="BV36">
            <v>0</v>
          </cell>
          <cell r="BW36">
            <v>0</v>
          </cell>
          <cell r="BX36">
            <v>236</v>
          </cell>
          <cell r="BY36">
            <v>1</v>
          </cell>
          <cell r="BZ36">
            <v>0</v>
          </cell>
          <cell r="CA36">
            <v>0</v>
          </cell>
          <cell r="CB36">
            <v>1</v>
          </cell>
          <cell r="CC36">
            <v>1</v>
          </cell>
          <cell r="CD36"/>
          <cell r="CE36"/>
          <cell r="CF36"/>
          <cell r="CG36">
            <v>4</v>
          </cell>
          <cell r="CH36">
            <v>0</v>
          </cell>
          <cell r="CI36">
            <v>4</v>
          </cell>
          <cell r="CJ36">
            <v>0</v>
          </cell>
          <cell r="CK36">
            <v>0</v>
          </cell>
          <cell r="CL36">
            <v>2</v>
          </cell>
          <cell r="CM36">
            <v>0</v>
          </cell>
          <cell r="CN36">
            <v>2</v>
          </cell>
          <cell r="CO36">
            <v>2</v>
          </cell>
          <cell r="CP36">
            <v>2</v>
          </cell>
          <cell r="CQ36">
            <v>0</v>
          </cell>
          <cell r="CR36">
            <v>0</v>
          </cell>
          <cell r="CS36">
            <v>0</v>
          </cell>
          <cell r="CT36">
            <v>0</v>
          </cell>
          <cell r="CU36">
            <v>0</v>
          </cell>
          <cell r="CV36">
            <v>0</v>
          </cell>
          <cell r="CW36">
            <v>0</v>
          </cell>
          <cell r="CX36">
            <v>0</v>
          </cell>
          <cell r="CY36">
            <v>2</v>
          </cell>
          <cell r="CZ36">
            <v>2</v>
          </cell>
          <cell r="DA36">
            <v>0</v>
          </cell>
          <cell r="DB36">
            <v>2</v>
          </cell>
          <cell r="DC36">
            <v>0</v>
          </cell>
          <cell r="DD36">
            <v>2</v>
          </cell>
          <cell r="DE36">
            <v>0</v>
          </cell>
          <cell r="DF36">
            <v>0</v>
          </cell>
          <cell r="DG36">
            <v>0</v>
          </cell>
          <cell r="DH36">
            <v>0</v>
          </cell>
          <cell r="DI36">
            <v>0</v>
          </cell>
          <cell r="DJ36">
            <v>0</v>
          </cell>
          <cell r="DK36">
            <v>0</v>
          </cell>
          <cell r="DL36">
            <v>0</v>
          </cell>
          <cell r="DM36">
            <v>0</v>
          </cell>
          <cell r="DN36" t="str">
            <v/>
          </cell>
          <cell r="DO36" t="str">
            <v/>
          </cell>
          <cell r="DP36" t="str">
            <v/>
          </cell>
          <cell r="DQ36">
            <v>0</v>
          </cell>
          <cell r="DR36"/>
          <cell r="DS36"/>
          <cell r="DT36">
            <v>24</v>
          </cell>
          <cell r="DU36">
            <v>0</v>
          </cell>
          <cell r="DV36"/>
          <cell r="DW36"/>
          <cell r="DX36"/>
          <cell r="DY36"/>
        </row>
        <row r="37">
          <cell r="E37" t="str">
            <v>02166</v>
          </cell>
          <cell r="F37" t="str">
            <v>Nguyễn Văn Hưởng</v>
          </cell>
          <cell r="G37" t="str">
            <v>Foaming</v>
          </cell>
          <cell r="H37" t="str">
            <v>FOAMING Splitting</v>
          </cell>
          <cell r="I37" t="str">
            <v>Team Leader</v>
          </cell>
          <cell r="J37">
            <v>43875</v>
          </cell>
          <cell r="K37">
            <v>43904</v>
          </cell>
          <cell r="L37">
            <v>8</v>
          </cell>
          <cell r="M37">
            <v>8</v>
          </cell>
          <cell r="N37">
            <v>8</v>
          </cell>
          <cell r="O37" t="str">
            <v>Ca 1</v>
          </cell>
          <cell r="P37" t="str">
            <v>CN</v>
          </cell>
          <cell r="Q37">
            <v>8</v>
          </cell>
          <cell r="R37">
            <v>8</v>
          </cell>
          <cell r="S37">
            <v>8</v>
          </cell>
          <cell r="T37">
            <v>8</v>
          </cell>
          <cell r="U37">
            <v>8</v>
          </cell>
          <cell r="V37">
            <v>8</v>
          </cell>
          <cell r="W37" t="str">
            <v>Ca 1</v>
          </cell>
          <cell r="X37" t="str">
            <v>CN</v>
          </cell>
          <cell r="Y37" t="str">
            <v>Đ</v>
          </cell>
          <cell r="Z37" t="str">
            <v>Đ</v>
          </cell>
          <cell r="AA37" t="str">
            <v>Đ</v>
          </cell>
          <cell r="AB37" t="str">
            <v>Đ</v>
          </cell>
          <cell r="AC37" t="str">
            <v>Đ</v>
          </cell>
          <cell r="AD37">
            <v>0</v>
          </cell>
          <cell r="AE37" t="str">
            <v>Ca 3</v>
          </cell>
          <cell r="AF37">
            <v>8</v>
          </cell>
          <cell r="AG37">
            <v>8</v>
          </cell>
          <cell r="AH37">
            <v>8</v>
          </cell>
          <cell r="AI37">
            <v>8</v>
          </cell>
          <cell r="AJ37">
            <v>8</v>
          </cell>
          <cell r="AK37">
            <v>8</v>
          </cell>
          <cell r="AL37" t="str">
            <v>CN</v>
          </cell>
          <cell r="AM37" t="str">
            <v>Ca 1</v>
          </cell>
          <cell r="AN37" t="str">
            <v>Đ</v>
          </cell>
          <cell r="AO37" t="str">
            <v>Đ</v>
          </cell>
          <cell r="AP37" t="str">
            <v>Đ</v>
          </cell>
          <cell r="AQ37" t="str">
            <v>Đ</v>
          </cell>
          <cell r="AR37" t="str">
            <v>Đ</v>
          </cell>
          <cell r="AS37" t="str">
            <v>Đ</v>
          </cell>
          <cell r="AT37" t="str">
            <v>CN</v>
          </cell>
          <cell r="AU37" t="str">
            <v>Ca 3</v>
          </cell>
          <cell r="AV37" t="str">
            <v>H</v>
          </cell>
          <cell r="AW37" t="str">
            <v>X</v>
          </cell>
          <cell r="AX37" t="str">
            <v>Đ</v>
          </cell>
          <cell r="AY37" t="str">
            <v>AL8</v>
          </cell>
          <cell r="AZ37" t="str">
            <v>H</v>
          </cell>
          <cell r="BA37" t="str">
            <v/>
          </cell>
          <cell r="BB37" t="str">
            <v/>
          </cell>
          <cell r="BC37" t="str">
            <v>Ca 3</v>
          </cell>
          <cell r="BD37" t="str">
            <v/>
          </cell>
          <cell r="BE37">
            <v>96</v>
          </cell>
          <cell r="BF37">
            <v>120</v>
          </cell>
          <cell r="BG37">
            <v>0</v>
          </cell>
          <cell r="BH37">
            <v>0</v>
          </cell>
          <cell r="BI37">
            <v>0</v>
          </cell>
          <cell r="BJ37">
            <v>0</v>
          </cell>
          <cell r="BK37">
            <v>0</v>
          </cell>
          <cell r="BL37">
            <v>0</v>
          </cell>
          <cell r="BM37">
            <v>0</v>
          </cell>
          <cell r="BN37">
            <v>0</v>
          </cell>
          <cell r="BO37">
            <v>0</v>
          </cell>
          <cell r="BP37">
            <v>0</v>
          </cell>
          <cell r="BQ37">
            <v>0</v>
          </cell>
          <cell r="BR37">
            <v>8</v>
          </cell>
          <cell r="BS37">
            <v>16</v>
          </cell>
          <cell r="BT37">
            <v>0</v>
          </cell>
          <cell r="BU37">
            <v>0</v>
          </cell>
          <cell r="BV37">
            <v>0</v>
          </cell>
          <cell r="BW37">
            <v>0</v>
          </cell>
          <cell r="BX37">
            <v>240</v>
          </cell>
          <cell r="BY37">
            <v>1</v>
          </cell>
          <cell r="BZ37">
            <v>0</v>
          </cell>
          <cell r="CA37">
            <v>0</v>
          </cell>
          <cell r="CB37">
            <v>1</v>
          </cell>
          <cell r="CC37">
            <v>1</v>
          </cell>
          <cell r="CD37"/>
          <cell r="CE37"/>
          <cell r="CF37"/>
          <cell r="CG37">
            <v>4</v>
          </cell>
          <cell r="CH37">
            <v>3</v>
          </cell>
          <cell r="CI37">
            <v>3</v>
          </cell>
          <cell r="CJ37">
            <v>0</v>
          </cell>
          <cell r="CK37">
            <v>2</v>
          </cell>
          <cell r="CL37">
            <v>2</v>
          </cell>
          <cell r="CM37">
            <v>2</v>
          </cell>
          <cell r="CN37">
            <v>2</v>
          </cell>
          <cell r="CO37">
            <v>2</v>
          </cell>
          <cell r="CP37">
            <v>2</v>
          </cell>
          <cell r="CQ37">
            <v>0</v>
          </cell>
          <cell r="CR37">
            <v>0</v>
          </cell>
          <cell r="CS37">
            <v>0</v>
          </cell>
          <cell r="CT37">
            <v>0</v>
          </cell>
          <cell r="CU37">
            <v>2</v>
          </cell>
          <cell r="CV37">
            <v>4</v>
          </cell>
          <cell r="CW37">
            <v>0</v>
          </cell>
          <cell r="CX37">
            <v>4</v>
          </cell>
          <cell r="CY37">
            <v>0</v>
          </cell>
          <cell r="CZ37">
            <v>0</v>
          </cell>
          <cell r="DA37">
            <v>0</v>
          </cell>
          <cell r="DB37">
            <v>0</v>
          </cell>
          <cell r="DC37">
            <v>2</v>
          </cell>
          <cell r="DD37">
            <v>0</v>
          </cell>
          <cell r="DE37">
            <v>4</v>
          </cell>
          <cell r="DF37">
            <v>0</v>
          </cell>
          <cell r="DG37">
            <v>0</v>
          </cell>
          <cell r="DH37">
            <v>0</v>
          </cell>
          <cell r="DI37">
            <v>0</v>
          </cell>
          <cell r="DJ37">
            <v>0</v>
          </cell>
          <cell r="DK37">
            <v>0</v>
          </cell>
          <cell r="DL37">
            <v>0</v>
          </cell>
          <cell r="DM37">
            <v>0</v>
          </cell>
          <cell r="DN37" t="str">
            <v/>
          </cell>
          <cell r="DO37" t="str">
            <v/>
          </cell>
          <cell r="DP37" t="str">
            <v/>
          </cell>
          <cell r="DQ37">
            <v>0</v>
          </cell>
          <cell r="DR37"/>
          <cell r="DS37"/>
          <cell r="DT37">
            <v>30</v>
          </cell>
          <cell r="DU37">
            <v>8</v>
          </cell>
          <cell r="DV37"/>
          <cell r="DW37"/>
          <cell r="DX37"/>
          <cell r="DY37"/>
        </row>
        <row r="38">
          <cell r="E38" t="str">
            <v>02239</v>
          </cell>
          <cell r="F38" t="str">
            <v>Lê Phong Nhã</v>
          </cell>
          <cell r="G38" t="str">
            <v>Foaming</v>
          </cell>
          <cell r="H38" t="str">
            <v>FOAMING Production control</v>
          </cell>
          <cell r="I38" t="str">
            <v>Group Leader</v>
          </cell>
          <cell r="J38">
            <v>43903</v>
          </cell>
          <cell r="K38">
            <v>43964</v>
          </cell>
          <cell r="L38">
            <v>8</v>
          </cell>
          <cell r="M38">
            <v>8</v>
          </cell>
          <cell r="N38" t="str">
            <v>PO</v>
          </cell>
          <cell r="O38" t="str">
            <v>HCVP</v>
          </cell>
          <cell r="P38" t="str">
            <v>CN</v>
          </cell>
          <cell r="Q38">
            <v>8</v>
          </cell>
          <cell r="R38">
            <v>8</v>
          </cell>
          <cell r="S38">
            <v>8</v>
          </cell>
          <cell r="T38">
            <v>8</v>
          </cell>
          <cell r="U38">
            <v>8</v>
          </cell>
          <cell r="V38" t="str">
            <v>PO</v>
          </cell>
          <cell r="W38" t="str">
            <v>HCVP</v>
          </cell>
          <cell r="X38" t="str">
            <v>CN</v>
          </cell>
          <cell r="Y38">
            <v>8</v>
          </cell>
          <cell r="Z38">
            <v>8</v>
          </cell>
          <cell r="AA38">
            <v>8</v>
          </cell>
          <cell r="AB38">
            <v>8</v>
          </cell>
          <cell r="AC38">
            <v>8</v>
          </cell>
          <cell r="AD38" t="str">
            <v>PO</v>
          </cell>
          <cell r="AE38" t="str">
            <v>HCVP</v>
          </cell>
          <cell r="AF38" t="str">
            <v>CN</v>
          </cell>
          <cell r="AG38">
            <v>8</v>
          </cell>
          <cell r="AH38" t="str">
            <v>NP</v>
          </cell>
          <cell r="AI38">
            <v>8</v>
          </cell>
          <cell r="AJ38">
            <v>8</v>
          </cell>
          <cell r="AK38">
            <v>8</v>
          </cell>
          <cell r="AL38" t="str">
            <v>PO</v>
          </cell>
          <cell r="AM38" t="str">
            <v>HCVP</v>
          </cell>
          <cell r="AN38" t="str">
            <v>CN</v>
          </cell>
          <cell r="AO38">
            <v>8</v>
          </cell>
          <cell r="AP38">
            <v>8</v>
          </cell>
          <cell r="AQ38">
            <v>8</v>
          </cell>
          <cell r="AR38">
            <v>8</v>
          </cell>
          <cell r="AS38">
            <v>8</v>
          </cell>
          <cell r="AT38" t="str">
            <v>PO</v>
          </cell>
          <cell r="AU38" t="str">
            <v>HCVP</v>
          </cell>
          <cell r="AV38" t="str">
            <v>H</v>
          </cell>
          <cell r="AW38" t="str">
            <v>X</v>
          </cell>
          <cell r="AX38">
            <v>8</v>
          </cell>
          <cell r="AY38">
            <v>8</v>
          </cell>
          <cell r="AZ38" t="str">
            <v>H</v>
          </cell>
          <cell r="BA38" t="str">
            <v/>
          </cell>
          <cell r="BB38" t="str">
            <v/>
          </cell>
          <cell r="BC38" t="str">
            <v>HCVP</v>
          </cell>
          <cell r="BD38" t="str">
            <v/>
          </cell>
          <cell r="BE38">
            <v>0</v>
          </cell>
          <cell r="BF38">
            <v>184</v>
          </cell>
          <cell r="BG38">
            <v>0</v>
          </cell>
          <cell r="BH38">
            <v>0</v>
          </cell>
          <cell r="BI38">
            <v>0</v>
          </cell>
          <cell r="BJ38">
            <v>0</v>
          </cell>
          <cell r="BK38">
            <v>1</v>
          </cell>
          <cell r="BL38">
            <v>0</v>
          </cell>
          <cell r="BM38">
            <v>40</v>
          </cell>
          <cell r="BN38">
            <v>0</v>
          </cell>
          <cell r="BO38">
            <v>0</v>
          </cell>
          <cell r="BP38">
            <v>0</v>
          </cell>
          <cell r="BQ38">
            <v>0</v>
          </cell>
          <cell r="BR38">
            <v>0</v>
          </cell>
          <cell r="BS38">
            <v>16</v>
          </cell>
          <cell r="BT38">
            <v>0</v>
          </cell>
          <cell r="BU38">
            <v>0</v>
          </cell>
          <cell r="BV38">
            <v>0</v>
          </cell>
          <cell r="BW38">
            <v>0</v>
          </cell>
          <cell r="BX38">
            <v>240</v>
          </cell>
          <cell r="BY38">
            <v>0</v>
          </cell>
          <cell r="BZ38">
            <v>0</v>
          </cell>
          <cell r="CA38">
            <v>0</v>
          </cell>
          <cell r="CB38">
            <v>0</v>
          </cell>
          <cell r="CC38">
            <v>0</v>
          </cell>
          <cell r="CD38"/>
          <cell r="CE38"/>
          <cell r="CF38"/>
          <cell r="CG38">
            <v>0</v>
          </cell>
          <cell r="CH38">
            <v>0</v>
          </cell>
          <cell r="CI38">
            <v>0</v>
          </cell>
          <cell r="CJ38">
            <v>0</v>
          </cell>
          <cell r="CK38">
            <v>0</v>
          </cell>
          <cell r="CL38">
            <v>0</v>
          </cell>
          <cell r="CM38">
            <v>0.5</v>
          </cell>
          <cell r="CN38">
            <v>0</v>
          </cell>
          <cell r="CO38">
            <v>0</v>
          </cell>
          <cell r="CP38">
            <v>0</v>
          </cell>
          <cell r="CQ38">
            <v>0</v>
          </cell>
          <cell r="CR38">
            <v>0</v>
          </cell>
          <cell r="CS38">
            <v>0</v>
          </cell>
          <cell r="CT38">
            <v>0</v>
          </cell>
          <cell r="CU38">
            <v>0</v>
          </cell>
          <cell r="CV38">
            <v>0</v>
          </cell>
          <cell r="CW38">
            <v>0</v>
          </cell>
          <cell r="CX38">
            <v>0</v>
          </cell>
          <cell r="CY38">
            <v>0</v>
          </cell>
          <cell r="CZ38">
            <v>0</v>
          </cell>
          <cell r="DA38">
            <v>0</v>
          </cell>
          <cell r="DB38">
            <v>0</v>
          </cell>
          <cell r="DC38">
            <v>0</v>
          </cell>
          <cell r="DD38">
            <v>0</v>
          </cell>
          <cell r="DE38">
            <v>0</v>
          </cell>
          <cell r="DF38">
            <v>0</v>
          </cell>
          <cell r="DG38">
            <v>0</v>
          </cell>
          <cell r="DH38">
            <v>0</v>
          </cell>
          <cell r="DI38">
            <v>0</v>
          </cell>
          <cell r="DJ38">
            <v>0</v>
          </cell>
          <cell r="DK38">
            <v>0</v>
          </cell>
          <cell r="DL38">
            <v>0</v>
          </cell>
          <cell r="DM38">
            <v>0</v>
          </cell>
          <cell r="DN38" t="str">
            <v/>
          </cell>
          <cell r="DO38" t="str">
            <v/>
          </cell>
          <cell r="DP38" t="str">
            <v/>
          </cell>
          <cell r="DQ38">
            <v>0</v>
          </cell>
          <cell r="DR38"/>
          <cell r="DS38"/>
          <cell r="DT38">
            <v>0.5</v>
          </cell>
          <cell r="DU38">
            <v>0</v>
          </cell>
          <cell r="DV38"/>
          <cell r="DW38"/>
          <cell r="DX38"/>
          <cell r="DY38"/>
        </row>
        <row r="39">
          <cell r="E39" t="str">
            <v>02271</v>
          </cell>
          <cell r="F39" t="str">
            <v>Nguyễn Hoài Nam</v>
          </cell>
          <cell r="G39" t="str">
            <v>Foaming</v>
          </cell>
          <cell r="H39" t="str">
            <v>FOAMING Production control</v>
          </cell>
          <cell r="I39" t="str">
            <v>Associate Specialist</v>
          </cell>
          <cell r="J39">
            <v>43964</v>
          </cell>
          <cell r="K39">
            <v>44025</v>
          </cell>
          <cell r="L39">
            <v>8</v>
          </cell>
          <cell r="M39">
            <v>8</v>
          </cell>
          <cell r="N39" t="str">
            <v>PO</v>
          </cell>
          <cell r="O39" t="str">
            <v>HCVP</v>
          </cell>
          <cell r="P39" t="str">
            <v>CN</v>
          </cell>
          <cell r="Q39">
            <v>8</v>
          </cell>
          <cell r="R39">
            <v>8</v>
          </cell>
          <cell r="S39">
            <v>8</v>
          </cell>
          <cell r="T39">
            <v>8</v>
          </cell>
          <cell r="U39">
            <v>8</v>
          </cell>
          <cell r="V39" t="str">
            <v>PO</v>
          </cell>
          <cell r="W39" t="str">
            <v>HCVP</v>
          </cell>
          <cell r="X39" t="str">
            <v>CN</v>
          </cell>
          <cell r="Y39">
            <v>8</v>
          </cell>
          <cell r="Z39">
            <v>8</v>
          </cell>
          <cell r="AA39" t="str">
            <v>NP</v>
          </cell>
          <cell r="AB39">
            <v>8</v>
          </cell>
          <cell r="AC39">
            <v>8</v>
          </cell>
          <cell r="AD39" t="str">
            <v>PO</v>
          </cell>
          <cell r="AE39" t="str">
            <v>HCVP</v>
          </cell>
          <cell r="AF39" t="str">
            <v>CN</v>
          </cell>
          <cell r="AG39">
            <v>8</v>
          </cell>
          <cell r="AH39">
            <v>8</v>
          </cell>
          <cell r="AI39">
            <v>8</v>
          </cell>
          <cell r="AJ39">
            <v>8</v>
          </cell>
          <cell r="AK39">
            <v>8</v>
          </cell>
          <cell r="AL39" t="str">
            <v>PO</v>
          </cell>
          <cell r="AM39" t="str">
            <v>HCVP</v>
          </cell>
          <cell r="AN39" t="str">
            <v>CN</v>
          </cell>
          <cell r="AO39">
            <v>8</v>
          </cell>
          <cell r="AP39">
            <v>8</v>
          </cell>
          <cell r="AQ39">
            <v>8</v>
          </cell>
          <cell r="AR39">
            <v>8</v>
          </cell>
          <cell r="AS39">
            <v>8</v>
          </cell>
          <cell r="AT39" t="str">
            <v>PO</v>
          </cell>
          <cell r="AU39" t="str">
            <v>HCVP</v>
          </cell>
          <cell r="AV39" t="str">
            <v>H</v>
          </cell>
          <cell r="AW39" t="str">
            <v>X</v>
          </cell>
          <cell r="AX39" t="str">
            <v>AL8</v>
          </cell>
          <cell r="AY39" t="str">
            <v>AL8</v>
          </cell>
          <cell r="AZ39" t="str">
            <v>H</v>
          </cell>
          <cell r="BA39" t="str">
            <v/>
          </cell>
          <cell r="BB39" t="str">
            <v/>
          </cell>
          <cell r="BC39" t="str">
            <v>HCVP</v>
          </cell>
          <cell r="BD39" t="str">
            <v/>
          </cell>
          <cell r="BE39">
            <v>0</v>
          </cell>
          <cell r="BF39">
            <v>168</v>
          </cell>
          <cell r="BG39">
            <v>0</v>
          </cell>
          <cell r="BH39">
            <v>0</v>
          </cell>
          <cell r="BI39">
            <v>0</v>
          </cell>
          <cell r="BJ39">
            <v>0</v>
          </cell>
          <cell r="BK39">
            <v>1</v>
          </cell>
          <cell r="BL39">
            <v>0</v>
          </cell>
          <cell r="BM39">
            <v>40</v>
          </cell>
          <cell r="BN39">
            <v>0</v>
          </cell>
          <cell r="BO39">
            <v>0</v>
          </cell>
          <cell r="BP39">
            <v>0</v>
          </cell>
          <cell r="BQ39">
            <v>0</v>
          </cell>
          <cell r="BR39">
            <v>16</v>
          </cell>
          <cell r="BS39">
            <v>16</v>
          </cell>
          <cell r="BT39">
            <v>0</v>
          </cell>
          <cell r="BU39">
            <v>0</v>
          </cell>
          <cell r="BV39">
            <v>0</v>
          </cell>
          <cell r="BW39">
            <v>0</v>
          </cell>
          <cell r="BX39">
            <v>240</v>
          </cell>
          <cell r="BY39">
            <v>2</v>
          </cell>
          <cell r="BZ39">
            <v>0</v>
          </cell>
          <cell r="CA39">
            <v>0</v>
          </cell>
          <cell r="CB39">
            <v>2</v>
          </cell>
          <cell r="CC39">
            <v>2</v>
          </cell>
          <cell r="CD39"/>
          <cell r="CE39"/>
          <cell r="CF39"/>
          <cell r="CG39">
            <v>2.25</v>
          </cell>
          <cell r="CH39">
            <v>2</v>
          </cell>
          <cell r="CI39">
            <v>0</v>
          </cell>
          <cell r="CJ39">
            <v>0</v>
          </cell>
          <cell r="CK39">
            <v>0</v>
          </cell>
          <cell r="CL39">
            <v>0</v>
          </cell>
          <cell r="CM39">
            <v>0</v>
          </cell>
          <cell r="CN39">
            <v>0</v>
          </cell>
          <cell r="CO39">
            <v>0</v>
          </cell>
          <cell r="CP39">
            <v>0</v>
          </cell>
          <cell r="CQ39">
            <v>0</v>
          </cell>
          <cell r="CR39">
            <v>0</v>
          </cell>
          <cell r="CS39">
            <v>0</v>
          </cell>
          <cell r="CT39">
            <v>0</v>
          </cell>
          <cell r="CU39">
            <v>0</v>
          </cell>
          <cell r="CV39">
            <v>0</v>
          </cell>
          <cell r="CW39">
            <v>0</v>
          </cell>
          <cell r="CX39">
            <v>0</v>
          </cell>
          <cell r="CY39">
            <v>0</v>
          </cell>
          <cell r="CZ39">
            <v>0</v>
          </cell>
          <cell r="DA39">
            <v>0</v>
          </cell>
          <cell r="DB39">
            <v>0</v>
          </cell>
          <cell r="DC39">
            <v>0</v>
          </cell>
          <cell r="DD39">
            <v>0</v>
          </cell>
          <cell r="DE39">
            <v>0</v>
          </cell>
          <cell r="DF39">
            <v>0</v>
          </cell>
          <cell r="DG39">
            <v>0</v>
          </cell>
          <cell r="DH39">
            <v>0</v>
          </cell>
          <cell r="DI39">
            <v>0</v>
          </cell>
          <cell r="DJ39">
            <v>0</v>
          </cell>
          <cell r="DK39">
            <v>0</v>
          </cell>
          <cell r="DL39">
            <v>0</v>
          </cell>
          <cell r="DM39">
            <v>0</v>
          </cell>
          <cell r="DN39" t="str">
            <v/>
          </cell>
          <cell r="DO39" t="str">
            <v/>
          </cell>
          <cell r="DP39" t="str">
            <v/>
          </cell>
          <cell r="DQ39">
            <v>0</v>
          </cell>
          <cell r="DR39"/>
          <cell r="DS39"/>
          <cell r="DT39">
            <v>4.25</v>
          </cell>
          <cell r="DU39">
            <v>0</v>
          </cell>
          <cell r="DV39"/>
          <cell r="DW39"/>
          <cell r="DX39"/>
          <cell r="DY39"/>
        </row>
        <row r="40">
          <cell r="E40" t="str">
            <v>50004</v>
          </cell>
          <cell r="F40" t="str">
            <v>Lê Phúc Sang</v>
          </cell>
          <cell r="G40" t="str">
            <v>Foaming</v>
          </cell>
          <cell r="H40" t="str">
            <v>FOAMING Production control</v>
          </cell>
          <cell r="I40" t="str">
            <v>Supervisor</v>
          </cell>
          <cell r="J40">
            <v>43672</v>
          </cell>
          <cell r="K40">
            <v>43734</v>
          </cell>
          <cell r="L40">
            <v>8</v>
          </cell>
          <cell r="M40">
            <v>8</v>
          </cell>
          <cell r="N40" t="str">
            <v>PO</v>
          </cell>
          <cell r="O40" t="str">
            <v>HCVP</v>
          </cell>
          <cell r="P40" t="str">
            <v>CN</v>
          </cell>
          <cell r="Q40">
            <v>8</v>
          </cell>
          <cell r="R40">
            <v>8</v>
          </cell>
          <cell r="S40">
            <v>8</v>
          </cell>
          <cell r="T40">
            <v>8</v>
          </cell>
          <cell r="U40">
            <v>8</v>
          </cell>
          <cell r="V40" t="str">
            <v>PO</v>
          </cell>
          <cell r="W40" t="str">
            <v>HCVP</v>
          </cell>
          <cell r="X40" t="str">
            <v>CN</v>
          </cell>
          <cell r="Y40">
            <v>8</v>
          </cell>
          <cell r="Z40">
            <v>8</v>
          </cell>
          <cell r="AA40">
            <v>8</v>
          </cell>
          <cell r="AB40">
            <v>8</v>
          </cell>
          <cell r="AC40">
            <v>8</v>
          </cell>
          <cell r="AD40" t="str">
            <v>PO</v>
          </cell>
          <cell r="AE40" t="str">
            <v>HCVP</v>
          </cell>
          <cell r="AF40" t="str">
            <v>CN</v>
          </cell>
          <cell r="AG40">
            <v>8</v>
          </cell>
          <cell r="AH40">
            <v>8</v>
          </cell>
          <cell r="AI40">
            <v>8</v>
          </cell>
          <cell r="AJ40">
            <v>8</v>
          </cell>
          <cell r="AK40">
            <v>8</v>
          </cell>
          <cell r="AL40" t="str">
            <v>PO</v>
          </cell>
          <cell r="AM40" t="str">
            <v>HCVP</v>
          </cell>
          <cell r="AN40" t="str">
            <v>CN</v>
          </cell>
          <cell r="AO40">
            <v>8</v>
          </cell>
          <cell r="AP40">
            <v>8</v>
          </cell>
          <cell r="AQ40">
            <v>8</v>
          </cell>
          <cell r="AR40">
            <v>8</v>
          </cell>
          <cell r="AS40">
            <v>8</v>
          </cell>
          <cell r="AT40" t="str">
            <v>PO</v>
          </cell>
          <cell r="AU40" t="str">
            <v>HCVP</v>
          </cell>
          <cell r="AV40" t="str">
            <v>H</v>
          </cell>
          <cell r="AW40" t="str">
            <v>X</v>
          </cell>
          <cell r="AX40">
            <v>8</v>
          </cell>
          <cell r="AY40">
            <v>8</v>
          </cell>
          <cell r="AZ40" t="str">
            <v>H</v>
          </cell>
          <cell r="BA40" t="str">
            <v/>
          </cell>
          <cell r="BB40" t="str">
            <v/>
          </cell>
          <cell r="BC40" t="str">
            <v>HCVP</v>
          </cell>
          <cell r="BD40" t="str">
            <v/>
          </cell>
          <cell r="BE40">
            <v>0</v>
          </cell>
          <cell r="BF40">
            <v>192</v>
          </cell>
          <cell r="BG40">
            <v>0</v>
          </cell>
          <cell r="BH40">
            <v>0</v>
          </cell>
          <cell r="BI40">
            <v>0</v>
          </cell>
          <cell r="BJ40">
            <v>0</v>
          </cell>
          <cell r="BK40">
            <v>0</v>
          </cell>
          <cell r="BL40">
            <v>0</v>
          </cell>
          <cell r="BM40">
            <v>40</v>
          </cell>
          <cell r="BN40">
            <v>0</v>
          </cell>
          <cell r="BO40">
            <v>0</v>
          </cell>
          <cell r="BP40">
            <v>0</v>
          </cell>
          <cell r="BQ40">
            <v>0</v>
          </cell>
          <cell r="BR40">
            <v>0</v>
          </cell>
          <cell r="BS40">
            <v>16</v>
          </cell>
          <cell r="BT40">
            <v>0</v>
          </cell>
          <cell r="BU40">
            <v>0</v>
          </cell>
          <cell r="BV40">
            <v>0</v>
          </cell>
          <cell r="BW40">
            <v>0</v>
          </cell>
          <cell r="BX40">
            <v>248</v>
          </cell>
          <cell r="BY40">
            <v>0</v>
          </cell>
          <cell r="BZ40">
            <v>0</v>
          </cell>
          <cell r="CA40">
            <v>0</v>
          </cell>
          <cell r="CB40">
            <v>0</v>
          </cell>
          <cell r="CC40">
            <v>0</v>
          </cell>
          <cell r="CD40"/>
          <cell r="CE40"/>
          <cell r="CF40"/>
          <cell r="CG40">
            <v>0</v>
          </cell>
          <cell r="CH40">
            <v>0</v>
          </cell>
          <cell r="CI40">
            <v>0</v>
          </cell>
          <cell r="CJ40">
            <v>0</v>
          </cell>
          <cell r="CK40">
            <v>0</v>
          </cell>
          <cell r="CL40">
            <v>0</v>
          </cell>
          <cell r="CM40">
            <v>0</v>
          </cell>
          <cell r="CN40">
            <v>0</v>
          </cell>
          <cell r="CO40">
            <v>0</v>
          </cell>
          <cell r="CP40">
            <v>0</v>
          </cell>
          <cell r="CQ40">
            <v>0</v>
          </cell>
          <cell r="CR40">
            <v>0</v>
          </cell>
          <cell r="CS40">
            <v>0</v>
          </cell>
          <cell r="CT40">
            <v>0</v>
          </cell>
          <cell r="CU40">
            <v>0</v>
          </cell>
          <cell r="CV40">
            <v>0</v>
          </cell>
          <cell r="CW40">
            <v>0</v>
          </cell>
          <cell r="CX40">
            <v>0</v>
          </cell>
          <cell r="CY40">
            <v>0</v>
          </cell>
          <cell r="CZ40">
            <v>0</v>
          </cell>
          <cell r="DA40">
            <v>0</v>
          </cell>
          <cell r="DB40">
            <v>0</v>
          </cell>
          <cell r="DC40">
            <v>0</v>
          </cell>
          <cell r="DD40">
            <v>0</v>
          </cell>
          <cell r="DE40">
            <v>0</v>
          </cell>
          <cell r="DF40">
            <v>0</v>
          </cell>
          <cell r="DG40">
            <v>0</v>
          </cell>
          <cell r="DH40">
            <v>0</v>
          </cell>
          <cell r="DI40">
            <v>0</v>
          </cell>
          <cell r="DJ40">
            <v>0</v>
          </cell>
          <cell r="DK40">
            <v>0</v>
          </cell>
          <cell r="DL40">
            <v>0</v>
          </cell>
          <cell r="DM40">
            <v>0</v>
          </cell>
          <cell r="DN40" t="str">
            <v/>
          </cell>
          <cell r="DO40" t="str">
            <v/>
          </cell>
          <cell r="DP40" t="str">
            <v/>
          </cell>
          <cell r="DQ40">
            <v>0</v>
          </cell>
          <cell r="DR40"/>
          <cell r="DS40"/>
          <cell r="DT40">
            <v>0</v>
          </cell>
          <cell r="DU40">
            <v>0</v>
          </cell>
          <cell r="DV40"/>
          <cell r="DW40"/>
          <cell r="DX40"/>
          <cell r="DY40"/>
        </row>
        <row r="41">
          <cell r="E41" t="str">
            <v>02111</v>
          </cell>
          <cell r="F41" t="str">
            <v>Lâm Hoàng Đặng</v>
          </cell>
          <cell r="G41" t="str">
            <v>Foaming</v>
          </cell>
          <cell r="H41" t="str">
            <v>FOAMING Splitting</v>
          </cell>
          <cell r="I41" t="str">
            <v>Operator</v>
          </cell>
          <cell r="J41">
            <v>43846</v>
          </cell>
          <cell r="K41">
            <v>43877</v>
          </cell>
          <cell r="L41" t="str">
            <v>Đ</v>
          </cell>
          <cell r="M41" t="str">
            <v>Đ</v>
          </cell>
          <cell r="N41" t="str">
            <v>Đ</v>
          </cell>
          <cell r="O41" t="str">
            <v>Ca 3</v>
          </cell>
          <cell r="P41" t="str">
            <v>CN</v>
          </cell>
          <cell r="Q41">
            <v>8</v>
          </cell>
          <cell r="R41">
            <v>8</v>
          </cell>
          <cell r="S41">
            <v>8</v>
          </cell>
          <cell r="T41">
            <v>8</v>
          </cell>
          <cell r="U41">
            <v>8</v>
          </cell>
          <cell r="V41" t="str">
            <v>NP</v>
          </cell>
          <cell r="W41" t="str">
            <v>HCSX</v>
          </cell>
          <cell r="X41" t="str">
            <v>CN</v>
          </cell>
          <cell r="Y41">
            <v>8</v>
          </cell>
          <cell r="Z41" t="str">
            <v>NP</v>
          </cell>
          <cell r="AA41">
            <v>8</v>
          </cell>
          <cell r="AB41">
            <v>8</v>
          </cell>
          <cell r="AC41">
            <v>8</v>
          </cell>
          <cell r="AD41">
            <v>8</v>
          </cell>
          <cell r="AE41" t="str">
            <v>HCSX</v>
          </cell>
          <cell r="AF41" t="str">
            <v>CN</v>
          </cell>
          <cell r="AG41">
            <v>8</v>
          </cell>
          <cell r="AH41">
            <v>8</v>
          </cell>
          <cell r="AI41">
            <v>8</v>
          </cell>
          <cell r="AJ41">
            <v>8</v>
          </cell>
          <cell r="AK41">
            <v>8</v>
          </cell>
          <cell r="AL41">
            <v>8</v>
          </cell>
          <cell r="AM41" t="str">
            <v>Ca 1</v>
          </cell>
          <cell r="AN41" t="str">
            <v>CN</v>
          </cell>
          <cell r="AO41" t="str">
            <v>Đ</v>
          </cell>
          <cell r="AP41" t="str">
            <v>Đ</v>
          </cell>
          <cell r="AQ41" t="str">
            <v>Đ</v>
          </cell>
          <cell r="AR41" t="str">
            <v>Đ</v>
          </cell>
          <cell r="AS41" t="str">
            <v>Đ</v>
          </cell>
          <cell r="AT41" t="str">
            <v>AL8</v>
          </cell>
          <cell r="AU41" t="str">
            <v>Ca 3</v>
          </cell>
          <cell r="AV41" t="str">
            <v>H</v>
          </cell>
          <cell r="AW41" t="str">
            <v>X</v>
          </cell>
          <cell r="AX41" t="str">
            <v>Đ</v>
          </cell>
          <cell r="AY41" t="str">
            <v>NP</v>
          </cell>
          <cell r="AZ41" t="str">
            <v>H</v>
          </cell>
          <cell r="BA41" t="str">
            <v/>
          </cell>
          <cell r="BB41" t="str">
            <v/>
          </cell>
          <cell r="BC41" t="str">
            <v>Ca 3</v>
          </cell>
          <cell r="BD41" t="str">
            <v/>
          </cell>
          <cell r="BE41">
            <v>72</v>
          </cell>
          <cell r="BF41">
            <v>128</v>
          </cell>
          <cell r="BG41">
            <v>0</v>
          </cell>
          <cell r="BH41">
            <v>0</v>
          </cell>
          <cell r="BI41">
            <v>0</v>
          </cell>
          <cell r="BJ41">
            <v>0</v>
          </cell>
          <cell r="BK41">
            <v>3</v>
          </cell>
          <cell r="BL41">
            <v>0</v>
          </cell>
          <cell r="BM41">
            <v>0</v>
          </cell>
          <cell r="BN41">
            <v>0</v>
          </cell>
          <cell r="BO41">
            <v>0</v>
          </cell>
          <cell r="BP41">
            <v>0</v>
          </cell>
          <cell r="BQ41">
            <v>0</v>
          </cell>
          <cell r="BR41">
            <v>8</v>
          </cell>
          <cell r="BS41">
            <v>16</v>
          </cell>
          <cell r="BT41">
            <v>0</v>
          </cell>
          <cell r="BU41">
            <v>0</v>
          </cell>
          <cell r="BV41">
            <v>0</v>
          </cell>
          <cell r="BW41">
            <v>0</v>
          </cell>
          <cell r="BX41">
            <v>224</v>
          </cell>
          <cell r="BY41">
            <v>1</v>
          </cell>
          <cell r="BZ41">
            <v>0</v>
          </cell>
          <cell r="CA41">
            <v>0</v>
          </cell>
          <cell r="CB41">
            <v>1</v>
          </cell>
          <cell r="CC41">
            <v>1</v>
          </cell>
          <cell r="CD41"/>
          <cell r="CE41"/>
          <cell r="CF41"/>
          <cell r="CG41">
            <v>4</v>
          </cell>
          <cell r="CH41">
            <v>0</v>
          </cell>
          <cell r="CI41">
            <v>4</v>
          </cell>
          <cell r="CJ41">
            <v>0</v>
          </cell>
          <cell r="CK41">
            <v>0</v>
          </cell>
          <cell r="CL41">
            <v>0</v>
          </cell>
          <cell r="CM41">
            <v>0</v>
          </cell>
          <cell r="CN41">
            <v>0</v>
          </cell>
          <cell r="CO41">
            <v>0</v>
          </cell>
          <cell r="CP41">
            <v>0</v>
          </cell>
          <cell r="CQ41">
            <v>0</v>
          </cell>
          <cell r="CR41">
            <v>0</v>
          </cell>
          <cell r="CS41">
            <v>0</v>
          </cell>
          <cell r="CT41">
            <v>3</v>
          </cell>
          <cell r="CU41">
            <v>3</v>
          </cell>
          <cell r="CV41">
            <v>3</v>
          </cell>
          <cell r="CW41">
            <v>3</v>
          </cell>
          <cell r="CX41">
            <v>0</v>
          </cell>
          <cell r="CY41">
            <v>0</v>
          </cell>
          <cell r="CZ41">
            <v>2</v>
          </cell>
          <cell r="DA41">
            <v>0</v>
          </cell>
          <cell r="DB41">
            <v>2</v>
          </cell>
          <cell r="DC41">
            <v>2</v>
          </cell>
          <cell r="DD41">
            <v>2</v>
          </cell>
          <cell r="DE41">
            <v>0</v>
          </cell>
          <cell r="DF41">
            <v>0</v>
          </cell>
          <cell r="DG41">
            <v>0</v>
          </cell>
          <cell r="DH41">
            <v>0</v>
          </cell>
          <cell r="DI41">
            <v>4</v>
          </cell>
          <cell r="DJ41">
            <v>4</v>
          </cell>
          <cell r="DK41">
            <v>0</v>
          </cell>
          <cell r="DL41">
            <v>0</v>
          </cell>
          <cell r="DM41">
            <v>0</v>
          </cell>
          <cell r="DN41" t="str">
            <v/>
          </cell>
          <cell r="DO41" t="str">
            <v/>
          </cell>
          <cell r="DP41" t="str">
            <v/>
          </cell>
          <cell r="DQ41">
            <v>0</v>
          </cell>
          <cell r="DR41"/>
          <cell r="DS41"/>
          <cell r="DT41">
            <v>36</v>
          </cell>
          <cell r="DU41">
            <v>0</v>
          </cell>
          <cell r="DV41"/>
          <cell r="DW41"/>
          <cell r="DX41"/>
          <cell r="DY41"/>
        </row>
        <row r="42">
          <cell r="E42" t="str">
            <v>02107</v>
          </cell>
          <cell r="F42" t="str">
            <v>Nguyễn Vũ Em</v>
          </cell>
          <cell r="G42" t="str">
            <v>Foaming</v>
          </cell>
          <cell r="H42" t="str">
            <v>FOAMING Rectangular</v>
          </cell>
          <cell r="I42" t="str">
            <v>Worker</v>
          </cell>
          <cell r="J42">
            <v>43844</v>
          </cell>
          <cell r="K42">
            <v>43875</v>
          </cell>
          <cell r="L42">
            <v>8</v>
          </cell>
          <cell r="M42">
            <v>8</v>
          </cell>
          <cell r="N42" t="str">
            <v>AL8</v>
          </cell>
          <cell r="O42" t="str">
            <v>Ca 1</v>
          </cell>
          <cell r="P42" t="str">
            <v>CN</v>
          </cell>
          <cell r="Q42" t="str">
            <v>Đ</v>
          </cell>
          <cell r="R42" t="str">
            <v>Đ</v>
          </cell>
          <cell r="S42" t="str">
            <v>Đ</v>
          </cell>
          <cell r="T42" t="str">
            <v>Đ</v>
          </cell>
          <cell r="U42" t="str">
            <v>Đ</v>
          </cell>
          <cell r="V42" t="str">
            <v>Đ</v>
          </cell>
          <cell r="W42" t="str">
            <v>Ca 3</v>
          </cell>
          <cell r="X42" t="str">
            <v>CN</v>
          </cell>
          <cell r="Y42">
            <v>8</v>
          </cell>
          <cell r="Z42">
            <v>8</v>
          </cell>
          <cell r="AA42">
            <v>8</v>
          </cell>
          <cell r="AB42">
            <v>8</v>
          </cell>
          <cell r="AC42">
            <v>8</v>
          </cell>
          <cell r="AD42">
            <v>8</v>
          </cell>
          <cell r="AE42" t="str">
            <v>Ca 2</v>
          </cell>
          <cell r="AF42" t="str">
            <v>CN</v>
          </cell>
          <cell r="AG42">
            <v>8</v>
          </cell>
          <cell r="AH42">
            <v>8</v>
          </cell>
          <cell r="AI42">
            <v>8</v>
          </cell>
          <cell r="AJ42">
            <v>8</v>
          </cell>
          <cell r="AK42">
            <v>8</v>
          </cell>
          <cell r="AL42">
            <v>8</v>
          </cell>
          <cell r="AM42" t="str">
            <v>Ca 1</v>
          </cell>
          <cell r="AN42" t="str">
            <v>CN</v>
          </cell>
          <cell r="AO42" t="str">
            <v>Đ</v>
          </cell>
          <cell r="AP42" t="str">
            <v>Đ</v>
          </cell>
          <cell r="AQ42" t="str">
            <v>Đ</v>
          </cell>
          <cell r="AR42" t="str">
            <v>Đ</v>
          </cell>
          <cell r="AS42" t="str">
            <v>Đ</v>
          </cell>
          <cell r="AT42" t="str">
            <v>AL8</v>
          </cell>
          <cell r="AU42" t="str">
            <v>Ca 3</v>
          </cell>
          <cell r="AV42" t="str">
            <v>H</v>
          </cell>
          <cell r="AW42" t="str">
            <v>X</v>
          </cell>
          <cell r="AX42" t="str">
            <v>Đ</v>
          </cell>
          <cell r="AY42" t="str">
            <v>AL8</v>
          </cell>
          <cell r="AZ42" t="str">
            <v>H</v>
          </cell>
          <cell r="BA42" t="str">
            <v/>
          </cell>
          <cell r="BB42" t="str">
            <v/>
          </cell>
          <cell r="BC42" t="str">
            <v>Ca 3</v>
          </cell>
          <cell r="BD42" t="str">
            <v/>
          </cell>
          <cell r="BE42">
            <v>96</v>
          </cell>
          <cell r="BF42">
            <v>112</v>
          </cell>
          <cell r="BG42">
            <v>0</v>
          </cell>
          <cell r="BH42">
            <v>0</v>
          </cell>
          <cell r="BI42">
            <v>0</v>
          </cell>
          <cell r="BJ42">
            <v>0</v>
          </cell>
          <cell r="BK42">
            <v>0</v>
          </cell>
          <cell r="BL42">
            <v>0</v>
          </cell>
          <cell r="BM42">
            <v>0</v>
          </cell>
          <cell r="BN42">
            <v>0</v>
          </cell>
          <cell r="BO42">
            <v>0</v>
          </cell>
          <cell r="BP42">
            <v>0</v>
          </cell>
          <cell r="BQ42">
            <v>0</v>
          </cell>
          <cell r="BR42">
            <v>24</v>
          </cell>
          <cell r="BS42">
            <v>16</v>
          </cell>
          <cell r="BT42">
            <v>0</v>
          </cell>
          <cell r="BU42">
            <v>0</v>
          </cell>
          <cell r="BV42">
            <v>0</v>
          </cell>
          <cell r="BW42">
            <v>0</v>
          </cell>
          <cell r="BX42">
            <v>248</v>
          </cell>
          <cell r="BY42">
            <v>3</v>
          </cell>
          <cell r="BZ42">
            <v>0</v>
          </cell>
          <cell r="CA42">
            <v>0</v>
          </cell>
          <cell r="CB42">
            <v>3</v>
          </cell>
          <cell r="CC42">
            <v>3</v>
          </cell>
          <cell r="CD42"/>
          <cell r="CE42"/>
          <cell r="CF42"/>
          <cell r="CG42">
            <v>4</v>
          </cell>
          <cell r="CH42">
            <v>4</v>
          </cell>
          <cell r="CI42">
            <v>0</v>
          </cell>
          <cell r="CJ42">
            <v>0</v>
          </cell>
          <cell r="CK42">
            <v>0</v>
          </cell>
          <cell r="CL42">
            <v>0</v>
          </cell>
          <cell r="CM42">
            <v>0</v>
          </cell>
          <cell r="CN42">
            <v>0</v>
          </cell>
          <cell r="CO42">
            <v>0</v>
          </cell>
          <cell r="CP42">
            <v>0</v>
          </cell>
          <cell r="CQ42">
            <v>0</v>
          </cell>
          <cell r="CR42">
            <v>0</v>
          </cell>
          <cell r="CS42">
            <v>0</v>
          </cell>
          <cell r="CT42">
            <v>0</v>
          </cell>
          <cell r="CU42">
            <v>0</v>
          </cell>
          <cell r="CV42">
            <v>0</v>
          </cell>
          <cell r="CW42">
            <v>0</v>
          </cell>
          <cell r="CX42">
            <v>0</v>
          </cell>
          <cell r="CY42">
            <v>4</v>
          </cell>
          <cell r="CZ42">
            <v>4</v>
          </cell>
          <cell r="DA42">
            <v>0</v>
          </cell>
          <cell r="DB42">
            <v>0</v>
          </cell>
          <cell r="DC42">
            <v>4</v>
          </cell>
          <cell r="DD42">
            <v>0</v>
          </cell>
          <cell r="DE42">
            <v>0</v>
          </cell>
          <cell r="DF42">
            <v>0</v>
          </cell>
          <cell r="DG42">
            <v>4</v>
          </cell>
          <cell r="DH42">
            <v>3</v>
          </cell>
          <cell r="DI42">
            <v>4</v>
          </cell>
          <cell r="DJ42">
            <v>0</v>
          </cell>
          <cell r="DK42">
            <v>0</v>
          </cell>
          <cell r="DL42">
            <v>0</v>
          </cell>
          <cell r="DM42">
            <v>0</v>
          </cell>
          <cell r="DN42" t="str">
            <v/>
          </cell>
          <cell r="DO42" t="str">
            <v/>
          </cell>
          <cell r="DP42" t="str">
            <v/>
          </cell>
          <cell r="DQ42">
            <v>0</v>
          </cell>
          <cell r="DR42"/>
          <cell r="DS42"/>
          <cell r="DT42">
            <v>31</v>
          </cell>
          <cell r="DU42">
            <v>0</v>
          </cell>
          <cell r="DV42"/>
          <cell r="DW42"/>
          <cell r="DX42"/>
          <cell r="DY42"/>
        </row>
        <row r="43">
          <cell r="E43" t="str">
            <v>02126</v>
          </cell>
          <cell r="F43" t="str">
            <v>Lê Cao Tài</v>
          </cell>
          <cell r="G43" t="str">
            <v>Foaming</v>
          </cell>
          <cell r="H43" t="str">
            <v>FOAMING Rectangular</v>
          </cell>
          <cell r="I43" t="str">
            <v>Worker</v>
          </cell>
          <cell r="J43">
            <v>43867</v>
          </cell>
          <cell r="K43">
            <v>43896</v>
          </cell>
          <cell r="L43">
            <v>8</v>
          </cell>
          <cell r="M43">
            <v>8</v>
          </cell>
          <cell r="N43">
            <v>8</v>
          </cell>
          <cell r="O43" t="str">
            <v>Ca 1</v>
          </cell>
          <cell r="P43" t="str">
            <v>CN</v>
          </cell>
          <cell r="Q43">
            <v>8</v>
          </cell>
          <cell r="R43">
            <v>8</v>
          </cell>
          <cell r="S43">
            <v>8</v>
          </cell>
          <cell r="T43">
            <v>8</v>
          </cell>
          <cell r="U43">
            <v>8</v>
          </cell>
          <cell r="V43">
            <v>8</v>
          </cell>
          <cell r="W43" t="str">
            <v>HCSX</v>
          </cell>
          <cell r="X43" t="str">
            <v>CN</v>
          </cell>
          <cell r="Y43">
            <v>8</v>
          </cell>
          <cell r="Z43">
            <v>8</v>
          </cell>
          <cell r="AA43">
            <v>8</v>
          </cell>
          <cell r="AB43">
            <v>8</v>
          </cell>
          <cell r="AC43">
            <v>8</v>
          </cell>
          <cell r="AD43">
            <v>8</v>
          </cell>
          <cell r="AE43" t="str">
            <v>HCSX</v>
          </cell>
          <cell r="AF43" t="str">
            <v>CN</v>
          </cell>
          <cell r="AG43">
            <v>8</v>
          </cell>
          <cell r="AH43">
            <v>8</v>
          </cell>
          <cell r="AI43">
            <v>8</v>
          </cell>
          <cell r="AJ43">
            <v>8</v>
          </cell>
          <cell r="AK43">
            <v>8</v>
          </cell>
          <cell r="AL43">
            <v>8</v>
          </cell>
          <cell r="AM43" t="str">
            <v>HCSX</v>
          </cell>
          <cell r="AN43" t="str">
            <v>CN</v>
          </cell>
          <cell r="AO43">
            <v>8</v>
          </cell>
          <cell r="AP43">
            <v>8</v>
          </cell>
          <cell r="AQ43">
            <v>8</v>
          </cell>
          <cell r="AR43">
            <v>8</v>
          </cell>
          <cell r="AS43">
            <v>8</v>
          </cell>
          <cell r="AT43">
            <v>8</v>
          </cell>
          <cell r="AU43" t="str">
            <v>HCSX</v>
          </cell>
          <cell r="AV43" t="str">
            <v>H</v>
          </cell>
          <cell r="AW43" t="str">
            <v>X</v>
          </cell>
          <cell r="AX43">
            <v>8</v>
          </cell>
          <cell r="AY43">
            <v>8</v>
          </cell>
          <cell r="AZ43" t="str">
            <v>H</v>
          </cell>
          <cell r="BA43" t="str">
            <v/>
          </cell>
          <cell r="BB43" t="str">
            <v/>
          </cell>
          <cell r="BC43" t="str">
            <v>Ca 2</v>
          </cell>
          <cell r="BD43" t="str">
            <v/>
          </cell>
          <cell r="BE43">
            <v>0</v>
          </cell>
          <cell r="BF43">
            <v>232</v>
          </cell>
          <cell r="BG43">
            <v>0</v>
          </cell>
          <cell r="BH43">
            <v>0</v>
          </cell>
          <cell r="BI43">
            <v>0</v>
          </cell>
          <cell r="BJ43">
            <v>0</v>
          </cell>
          <cell r="BK43">
            <v>0</v>
          </cell>
          <cell r="BL43">
            <v>0</v>
          </cell>
          <cell r="BM43">
            <v>0</v>
          </cell>
          <cell r="BN43">
            <v>0</v>
          </cell>
          <cell r="BO43">
            <v>0</v>
          </cell>
          <cell r="BP43">
            <v>0</v>
          </cell>
          <cell r="BQ43">
            <v>0</v>
          </cell>
          <cell r="BR43">
            <v>0</v>
          </cell>
          <cell r="BS43">
            <v>16</v>
          </cell>
          <cell r="BT43">
            <v>0</v>
          </cell>
          <cell r="BU43">
            <v>0</v>
          </cell>
          <cell r="BV43">
            <v>0</v>
          </cell>
          <cell r="BW43">
            <v>0</v>
          </cell>
          <cell r="BX43">
            <v>248</v>
          </cell>
          <cell r="BY43">
            <v>0</v>
          </cell>
          <cell r="BZ43">
            <v>0</v>
          </cell>
          <cell r="CA43">
            <v>0</v>
          </cell>
          <cell r="CB43">
            <v>0</v>
          </cell>
          <cell r="CC43">
            <v>0</v>
          </cell>
          <cell r="CD43"/>
          <cell r="CE43"/>
          <cell r="CF43"/>
          <cell r="CG43">
            <v>4</v>
          </cell>
          <cell r="CH43">
            <v>4</v>
          </cell>
          <cell r="CI43">
            <v>4</v>
          </cell>
          <cell r="CJ43">
            <v>0</v>
          </cell>
          <cell r="CK43">
            <v>2</v>
          </cell>
          <cell r="CL43">
            <v>2</v>
          </cell>
          <cell r="CM43">
            <v>2</v>
          </cell>
          <cell r="CN43">
            <v>2</v>
          </cell>
          <cell r="CO43">
            <v>0</v>
          </cell>
          <cell r="CP43">
            <v>0</v>
          </cell>
          <cell r="CQ43">
            <v>0</v>
          </cell>
          <cell r="CR43">
            <v>0</v>
          </cell>
          <cell r="CS43">
            <v>0</v>
          </cell>
          <cell r="CT43">
            <v>1</v>
          </cell>
          <cell r="CU43">
            <v>0</v>
          </cell>
          <cell r="CV43">
            <v>2</v>
          </cell>
          <cell r="CW43">
            <v>2</v>
          </cell>
          <cell r="CX43">
            <v>0</v>
          </cell>
          <cell r="CY43">
            <v>2</v>
          </cell>
          <cell r="CZ43">
            <v>2</v>
          </cell>
          <cell r="DA43">
            <v>2</v>
          </cell>
          <cell r="DB43">
            <v>0</v>
          </cell>
          <cell r="DC43">
            <v>0</v>
          </cell>
          <cell r="DD43">
            <v>0</v>
          </cell>
          <cell r="DE43">
            <v>0</v>
          </cell>
          <cell r="DF43">
            <v>0</v>
          </cell>
          <cell r="DG43">
            <v>0</v>
          </cell>
          <cell r="DH43">
            <v>0</v>
          </cell>
          <cell r="DI43">
            <v>0</v>
          </cell>
          <cell r="DJ43">
            <v>0</v>
          </cell>
          <cell r="DK43">
            <v>0</v>
          </cell>
          <cell r="DL43">
            <v>0</v>
          </cell>
          <cell r="DM43">
            <v>0</v>
          </cell>
          <cell r="DN43" t="str">
            <v/>
          </cell>
          <cell r="DO43" t="str">
            <v/>
          </cell>
          <cell r="DP43" t="str">
            <v/>
          </cell>
          <cell r="DQ43">
            <v>0</v>
          </cell>
          <cell r="DR43"/>
          <cell r="DS43"/>
          <cell r="DT43">
            <v>31</v>
          </cell>
          <cell r="DU43">
            <v>0</v>
          </cell>
          <cell r="DV43"/>
          <cell r="DW43"/>
          <cell r="DX43"/>
          <cell r="DY43"/>
        </row>
        <row r="44">
          <cell r="E44" t="str">
            <v>02132</v>
          </cell>
          <cell r="F44" t="str">
            <v>Cao Thanh Ngọc</v>
          </cell>
          <cell r="G44" t="str">
            <v>Foaming</v>
          </cell>
          <cell r="H44" t="str">
            <v>FOAMING Splitting</v>
          </cell>
          <cell r="I44" t="str">
            <v>Operator</v>
          </cell>
          <cell r="J44">
            <v>43867</v>
          </cell>
          <cell r="K44">
            <v>43896</v>
          </cell>
          <cell r="L44" t="str">
            <v>Đ</v>
          </cell>
          <cell r="M44" t="str">
            <v>Đ</v>
          </cell>
          <cell r="N44" t="str">
            <v>Đ</v>
          </cell>
          <cell r="O44" t="str">
            <v>Ca 3</v>
          </cell>
          <cell r="P44" t="str">
            <v>CN</v>
          </cell>
          <cell r="Q44">
            <v>8</v>
          </cell>
          <cell r="R44" t="str">
            <v>NP</v>
          </cell>
          <cell r="S44" t="str">
            <v>NP</v>
          </cell>
          <cell r="T44">
            <v>8</v>
          </cell>
          <cell r="U44">
            <v>8</v>
          </cell>
          <cell r="V44">
            <v>8</v>
          </cell>
          <cell r="W44" t="str">
            <v>Ca 2</v>
          </cell>
          <cell r="X44" t="str">
            <v>CN</v>
          </cell>
          <cell r="Y44">
            <v>8</v>
          </cell>
          <cell r="Z44">
            <v>8</v>
          </cell>
          <cell r="AA44">
            <v>8</v>
          </cell>
          <cell r="AB44">
            <v>8</v>
          </cell>
          <cell r="AC44">
            <v>8</v>
          </cell>
          <cell r="AD44">
            <v>8</v>
          </cell>
          <cell r="AE44" t="str">
            <v>Ca 1</v>
          </cell>
          <cell r="AF44" t="str">
            <v>CN</v>
          </cell>
          <cell r="AG44">
            <v>8</v>
          </cell>
          <cell r="AH44">
            <v>8</v>
          </cell>
          <cell r="AI44">
            <v>8</v>
          </cell>
          <cell r="AJ44">
            <v>8</v>
          </cell>
          <cell r="AK44" t="str">
            <v>Đ</v>
          </cell>
          <cell r="AL44" t="str">
            <v>Đ</v>
          </cell>
          <cell r="AM44" t="str">
            <v>Ca 2</v>
          </cell>
          <cell r="AN44" t="str">
            <v>CN</v>
          </cell>
          <cell r="AO44">
            <v>8</v>
          </cell>
          <cell r="AP44">
            <v>8</v>
          </cell>
          <cell r="AQ44">
            <v>8</v>
          </cell>
          <cell r="AR44">
            <v>8</v>
          </cell>
          <cell r="AS44">
            <v>8</v>
          </cell>
          <cell r="AT44">
            <v>8</v>
          </cell>
          <cell r="AU44" t="str">
            <v>Ca 1</v>
          </cell>
          <cell r="AV44" t="str">
            <v>H</v>
          </cell>
          <cell r="AW44" t="str">
            <v>X</v>
          </cell>
          <cell r="AX44">
            <v>8</v>
          </cell>
          <cell r="AY44">
            <v>8</v>
          </cell>
          <cell r="AZ44" t="str">
            <v>H</v>
          </cell>
          <cell r="BA44" t="str">
            <v/>
          </cell>
          <cell r="BB44" t="str">
            <v/>
          </cell>
          <cell r="BC44" t="str">
            <v>Ca 1</v>
          </cell>
          <cell r="BD44" t="str">
            <v/>
          </cell>
          <cell r="BE44">
            <v>40</v>
          </cell>
          <cell r="BF44">
            <v>176</v>
          </cell>
          <cell r="BG44">
            <v>0</v>
          </cell>
          <cell r="BH44">
            <v>0</v>
          </cell>
          <cell r="BI44">
            <v>0</v>
          </cell>
          <cell r="BJ44">
            <v>0</v>
          </cell>
          <cell r="BK44">
            <v>2</v>
          </cell>
          <cell r="BL44">
            <v>0</v>
          </cell>
          <cell r="BM44">
            <v>0</v>
          </cell>
          <cell r="BN44">
            <v>0</v>
          </cell>
          <cell r="BO44">
            <v>0</v>
          </cell>
          <cell r="BP44">
            <v>0</v>
          </cell>
          <cell r="BQ44">
            <v>0</v>
          </cell>
          <cell r="BR44">
            <v>0</v>
          </cell>
          <cell r="BS44">
            <v>16</v>
          </cell>
          <cell r="BT44">
            <v>0</v>
          </cell>
          <cell r="BU44">
            <v>0</v>
          </cell>
          <cell r="BV44">
            <v>0</v>
          </cell>
          <cell r="BW44">
            <v>0</v>
          </cell>
          <cell r="BX44">
            <v>232</v>
          </cell>
          <cell r="BY44">
            <v>0</v>
          </cell>
          <cell r="BZ44">
            <v>0</v>
          </cell>
          <cell r="CA44">
            <v>0</v>
          </cell>
          <cell r="CB44">
            <v>0</v>
          </cell>
          <cell r="CC44">
            <v>0</v>
          </cell>
          <cell r="CD44"/>
          <cell r="CE44"/>
          <cell r="CF44"/>
          <cell r="CG44">
            <v>4</v>
          </cell>
          <cell r="CH44">
            <v>0</v>
          </cell>
          <cell r="CI44">
            <v>4</v>
          </cell>
          <cell r="CJ44">
            <v>0</v>
          </cell>
          <cell r="CK44">
            <v>0</v>
          </cell>
          <cell r="CL44">
            <v>0</v>
          </cell>
          <cell r="CM44">
            <v>0</v>
          </cell>
          <cell r="CN44">
            <v>4</v>
          </cell>
          <cell r="CO44">
            <v>4</v>
          </cell>
          <cell r="CP44">
            <v>4</v>
          </cell>
          <cell r="CQ44">
            <v>0</v>
          </cell>
          <cell r="CR44">
            <v>0</v>
          </cell>
          <cell r="CS44">
            <v>0</v>
          </cell>
          <cell r="CT44">
            <v>0</v>
          </cell>
          <cell r="CU44">
            <v>2</v>
          </cell>
          <cell r="CV44">
            <v>3</v>
          </cell>
          <cell r="CW44">
            <v>3</v>
          </cell>
          <cell r="CX44">
            <v>0</v>
          </cell>
          <cell r="CY44">
            <v>0</v>
          </cell>
          <cell r="CZ44">
            <v>0</v>
          </cell>
          <cell r="DA44">
            <v>0</v>
          </cell>
          <cell r="DB44">
            <v>0</v>
          </cell>
          <cell r="DC44">
            <v>4</v>
          </cell>
          <cell r="DD44">
            <v>4</v>
          </cell>
          <cell r="DE44">
            <v>0</v>
          </cell>
          <cell r="DF44">
            <v>0</v>
          </cell>
          <cell r="DG44">
            <v>0</v>
          </cell>
          <cell r="DH44">
            <v>0</v>
          </cell>
          <cell r="DI44">
            <v>0</v>
          </cell>
          <cell r="DJ44">
            <v>0</v>
          </cell>
          <cell r="DK44">
            <v>0</v>
          </cell>
          <cell r="DL44">
            <v>0</v>
          </cell>
          <cell r="DM44">
            <v>0</v>
          </cell>
          <cell r="DN44" t="str">
            <v/>
          </cell>
          <cell r="DO44" t="str">
            <v/>
          </cell>
          <cell r="DP44" t="str">
            <v/>
          </cell>
          <cell r="DQ44">
            <v>0</v>
          </cell>
          <cell r="DR44"/>
          <cell r="DS44"/>
          <cell r="DT44">
            <v>36</v>
          </cell>
          <cell r="DU44">
            <v>0</v>
          </cell>
          <cell r="DV44"/>
          <cell r="DW44"/>
          <cell r="DX44"/>
          <cell r="DY44"/>
        </row>
        <row r="45">
          <cell r="E45" t="str">
            <v>02167</v>
          </cell>
          <cell r="F45" t="str">
            <v>Võ Hữu Nghi</v>
          </cell>
          <cell r="G45" t="str">
            <v>Foaming</v>
          </cell>
          <cell r="H45" t="str">
            <v>FOAMING Rectangular</v>
          </cell>
          <cell r="I45" t="str">
            <v>Team Leader</v>
          </cell>
          <cell r="J45">
            <v>43875</v>
          </cell>
          <cell r="K45">
            <v>43904</v>
          </cell>
          <cell r="L45">
            <v>8</v>
          </cell>
          <cell r="M45">
            <v>8</v>
          </cell>
          <cell r="N45">
            <v>8</v>
          </cell>
          <cell r="O45" t="str">
            <v>Ca 1</v>
          </cell>
          <cell r="P45" t="str">
            <v>CN</v>
          </cell>
          <cell r="Q45">
            <v>8</v>
          </cell>
          <cell r="R45">
            <v>8</v>
          </cell>
          <cell r="S45">
            <v>8</v>
          </cell>
          <cell r="T45">
            <v>8</v>
          </cell>
          <cell r="U45">
            <v>8</v>
          </cell>
          <cell r="V45">
            <v>8</v>
          </cell>
          <cell r="W45" t="str">
            <v>Ca 2</v>
          </cell>
          <cell r="X45" t="str">
            <v>CN</v>
          </cell>
          <cell r="Y45">
            <v>8</v>
          </cell>
          <cell r="Z45">
            <v>8</v>
          </cell>
          <cell r="AA45">
            <v>8</v>
          </cell>
          <cell r="AB45">
            <v>8</v>
          </cell>
          <cell r="AC45">
            <v>8</v>
          </cell>
          <cell r="AD45">
            <v>8</v>
          </cell>
          <cell r="AE45" t="str">
            <v>Ca 1</v>
          </cell>
          <cell r="AF45" t="str">
            <v>CN</v>
          </cell>
          <cell r="AG45" t="str">
            <v>Đ</v>
          </cell>
          <cell r="AH45" t="str">
            <v>Đ</v>
          </cell>
          <cell r="AI45" t="str">
            <v>Đ</v>
          </cell>
          <cell r="AJ45" t="str">
            <v>Đ</v>
          </cell>
          <cell r="AK45">
            <v>8</v>
          </cell>
          <cell r="AL45" t="str">
            <v>Đ</v>
          </cell>
          <cell r="AM45" t="str">
            <v>Ca 3</v>
          </cell>
          <cell r="AN45" t="str">
            <v>CN</v>
          </cell>
          <cell r="AO45">
            <v>8</v>
          </cell>
          <cell r="AP45">
            <v>8</v>
          </cell>
          <cell r="AQ45">
            <v>8</v>
          </cell>
          <cell r="AR45">
            <v>8</v>
          </cell>
          <cell r="AS45">
            <v>8</v>
          </cell>
          <cell r="AT45">
            <v>8</v>
          </cell>
          <cell r="AU45" t="str">
            <v>Ca 2</v>
          </cell>
          <cell r="AV45" t="str">
            <v>H</v>
          </cell>
          <cell r="AW45" t="str">
            <v>X</v>
          </cell>
          <cell r="AX45">
            <v>8</v>
          </cell>
          <cell r="AY45">
            <v>8</v>
          </cell>
          <cell r="AZ45" t="str">
            <v>H</v>
          </cell>
          <cell r="BA45" t="str">
            <v/>
          </cell>
          <cell r="BB45" t="str">
            <v/>
          </cell>
          <cell r="BC45" t="str">
            <v>Ca 2</v>
          </cell>
          <cell r="BD45" t="str">
            <v/>
          </cell>
          <cell r="BE45">
            <v>40</v>
          </cell>
          <cell r="BF45">
            <v>192</v>
          </cell>
          <cell r="BG45">
            <v>0</v>
          </cell>
          <cell r="BH45">
            <v>0</v>
          </cell>
          <cell r="BI45">
            <v>0</v>
          </cell>
          <cell r="BJ45">
            <v>0</v>
          </cell>
          <cell r="BK45">
            <v>0</v>
          </cell>
          <cell r="BL45">
            <v>0</v>
          </cell>
          <cell r="BM45">
            <v>0</v>
          </cell>
          <cell r="BN45">
            <v>0</v>
          </cell>
          <cell r="BO45">
            <v>0</v>
          </cell>
          <cell r="BP45">
            <v>0</v>
          </cell>
          <cell r="BQ45">
            <v>0</v>
          </cell>
          <cell r="BR45">
            <v>0</v>
          </cell>
          <cell r="BS45">
            <v>16</v>
          </cell>
          <cell r="BT45">
            <v>0</v>
          </cell>
          <cell r="BU45">
            <v>0</v>
          </cell>
          <cell r="BV45">
            <v>0</v>
          </cell>
          <cell r="BW45">
            <v>0</v>
          </cell>
          <cell r="BX45">
            <v>248</v>
          </cell>
          <cell r="BY45">
            <v>0</v>
          </cell>
          <cell r="BZ45">
            <v>0</v>
          </cell>
          <cell r="CA45">
            <v>0</v>
          </cell>
          <cell r="CB45">
            <v>0</v>
          </cell>
          <cell r="CC45">
            <v>0</v>
          </cell>
          <cell r="CD45"/>
          <cell r="CE45"/>
          <cell r="CF45"/>
          <cell r="CG45">
            <v>4</v>
          </cell>
          <cell r="CH45">
            <v>4</v>
          </cell>
          <cell r="CI45">
            <v>4</v>
          </cell>
          <cell r="CJ45">
            <v>0</v>
          </cell>
          <cell r="CK45">
            <v>0</v>
          </cell>
          <cell r="CL45">
            <v>0</v>
          </cell>
          <cell r="CM45">
            <v>0</v>
          </cell>
          <cell r="CN45">
            <v>0</v>
          </cell>
          <cell r="CO45">
            <v>0</v>
          </cell>
          <cell r="CP45">
            <v>0</v>
          </cell>
          <cell r="CQ45">
            <v>0</v>
          </cell>
          <cell r="CR45">
            <v>0</v>
          </cell>
          <cell r="CS45">
            <v>0</v>
          </cell>
          <cell r="CT45">
            <v>0</v>
          </cell>
          <cell r="CU45">
            <v>0</v>
          </cell>
          <cell r="CV45">
            <v>0</v>
          </cell>
          <cell r="CW45">
            <v>0</v>
          </cell>
          <cell r="CX45">
            <v>0</v>
          </cell>
          <cell r="CY45">
            <v>4</v>
          </cell>
          <cell r="CZ45">
            <v>0</v>
          </cell>
          <cell r="DA45">
            <v>0</v>
          </cell>
          <cell r="DB45">
            <v>2</v>
          </cell>
          <cell r="DC45">
            <v>2</v>
          </cell>
          <cell r="DD45">
            <v>4</v>
          </cell>
          <cell r="DE45">
            <v>0</v>
          </cell>
          <cell r="DF45">
            <v>0</v>
          </cell>
          <cell r="DG45">
            <v>0</v>
          </cell>
          <cell r="DH45">
            <v>2</v>
          </cell>
          <cell r="DI45">
            <v>4</v>
          </cell>
          <cell r="DJ45">
            <v>4</v>
          </cell>
          <cell r="DK45">
            <v>0</v>
          </cell>
          <cell r="DL45">
            <v>0</v>
          </cell>
          <cell r="DM45">
            <v>0</v>
          </cell>
          <cell r="DN45" t="str">
            <v/>
          </cell>
          <cell r="DO45" t="str">
            <v/>
          </cell>
          <cell r="DP45" t="str">
            <v/>
          </cell>
          <cell r="DQ45">
            <v>0</v>
          </cell>
          <cell r="DR45"/>
          <cell r="DS45"/>
          <cell r="DT45">
            <v>34</v>
          </cell>
          <cell r="DU45">
            <v>0</v>
          </cell>
          <cell r="DV45"/>
          <cell r="DW45"/>
          <cell r="DX45"/>
          <cell r="DY45"/>
        </row>
        <row r="46">
          <cell r="E46" t="str">
            <v>02174</v>
          </cell>
          <cell r="F46" t="str">
            <v>Nguyễn Hữu Diện</v>
          </cell>
          <cell r="G46" t="str">
            <v>Foaming</v>
          </cell>
          <cell r="H46" t="str">
            <v>FOAMING Splitting</v>
          </cell>
          <cell r="I46" t="str">
            <v>Operator</v>
          </cell>
          <cell r="J46">
            <v>43875</v>
          </cell>
          <cell r="K46">
            <v>43904</v>
          </cell>
          <cell r="L46">
            <v>8</v>
          </cell>
          <cell r="M46">
            <v>8</v>
          </cell>
          <cell r="N46">
            <v>8</v>
          </cell>
          <cell r="O46" t="str">
            <v>Ca 1</v>
          </cell>
          <cell r="P46" t="str">
            <v>CN</v>
          </cell>
          <cell r="Q46" t="str">
            <v>Đ</v>
          </cell>
          <cell r="R46" t="str">
            <v>Đ</v>
          </cell>
          <cell r="S46" t="str">
            <v>Đ</v>
          </cell>
          <cell r="T46" t="str">
            <v>Đ</v>
          </cell>
          <cell r="U46" t="str">
            <v>Đ</v>
          </cell>
          <cell r="V46" t="str">
            <v>Đ</v>
          </cell>
          <cell r="W46" t="str">
            <v>Ca 3</v>
          </cell>
          <cell r="X46" t="str">
            <v>CN</v>
          </cell>
          <cell r="Y46">
            <v>8</v>
          </cell>
          <cell r="Z46">
            <v>8</v>
          </cell>
          <cell r="AA46">
            <v>8</v>
          </cell>
          <cell r="AB46" t="str">
            <v>Đ</v>
          </cell>
          <cell r="AC46" t="str">
            <v>Đ</v>
          </cell>
          <cell r="AD46" t="str">
            <v>Đ</v>
          </cell>
          <cell r="AE46" t="str">
            <v>HCSX</v>
          </cell>
          <cell r="AF46" t="str">
            <v>CN</v>
          </cell>
          <cell r="AG46">
            <v>8</v>
          </cell>
          <cell r="AH46">
            <v>8</v>
          </cell>
          <cell r="AI46">
            <v>8</v>
          </cell>
          <cell r="AJ46">
            <v>8</v>
          </cell>
          <cell r="AK46">
            <v>8</v>
          </cell>
          <cell r="AL46">
            <v>8</v>
          </cell>
          <cell r="AM46" t="str">
            <v>Ca 1</v>
          </cell>
          <cell r="AN46" t="str">
            <v>CN</v>
          </cell>
          <cell r="AO46" t="str">
            <v>Đ</v>
          </cell>
          <cell r="AP46" t="str">
            <v>Đ</v>
          </cell>
          <cell r="AQ46" t="str">
            <v>Đ</v>
          </cell>
          <cell r="AR46">
            <v>8</v>
          </cell>
          <cell r="AS46" t="str">
            <v>Đ</v>
          </cell>
          <cell r="AT46" t="str">
            <v>AL8</v>
          </cell>
          <cell r="AU46" t="str">
            <v>Ca 3</v>
          </cell>
          <cell r="AV46" t="str">
            <v>H</v>
          </cell>
          <cell r="AW46" t="str">
            <v>X</v>
          </cell>
          <cell r="AX46" t="str">
            <v>Đ</v>
          </cell>
          <cell r="AY46" t="str">
            <v>NP</v>
          </cell>
          <cell r="AZ46" t="str">
            <v>H</v>
          </cell>
          <cell r="BA46" t="str">
            <v/>
          </cell>
          <cell r="BB46" t="str">
            <v/>
          </cell>
          <cell r="BC46" t="str">
            <v>Ca 3</v>
          </cell>
          <cell r="BD46" t="str">
            <v/>
          </cell>
          <cell r="BE46">
            <v>112</v>
          </cell>
          <cell r="BF46">
            <v>104</v>
          </cell>
          <cell r="BG46">
            <v>0</v>
          </cell>
          <cell r="BH46">
            <v>0</v>
          </cell>
          <cell r="BI46">
            <v>0</v>
          </cell>
          <cell r="BJ46">
            <v>0</v>
          </cell>
          <cell r="BK46">
            <v>1</v>
          </cell>
          <cell r="BL46">
            <v>0</v>
          </cell>
          <cell r="BM46">
            <v>0</v>
          </cell>
          <cell r="BN46">
            <v>0</v>
          </cell>
          <cell r="BO46">
            <v>0</v>
          </cell>
          <cell r="BP46">
            <v>0</v>
          </cell>
          <cell r="BQ46">
            <v>0</v>
          </cell>
          <cell r="BR46">
            <v>8</v>
          </cell>
          <cell r="BS46">
            <v>16</v>
          </cell>
          <cell r="BT46">
            <v>0</v>
          </cell>
          <cell r="BU46">
            <v>0</v>
          </cell>
          <cell r="BV46">
            <v>0</v>
          </cell>
          <cell r="BW46">
            <v>0</v>
          </cell>
          <cell r="BX46">
            <v>240</v>
          </cell>
          <cell r="BY46">
            <v>1</v>
          </cell>
          <cell r="BZ46">
            <v>0</v>
          </cell>
          <cell r="CA46">
            <v>0</v>
          </cell>
          <cell r="CB46">
            <v>1</v>
          </cell>
          <cell r="CC46">
            <v>1</v>
          </cell>
          <cell r="CD46"/>
          <cell r="CE46"/>
          <cell r="CF46"/>
          <cell r="CG46">
            <v>4</v>
          </cell>
          <cell r="CH46">
            <v>0</v>
          </cell>
          <cell r="CI46">
            <v>4</v>
          </cell>
          <cell r="CJ46">
            <v>0</v>
          </cell>
          <cell r="CK46">
            <v>0</v>
          </cell>
          <cell r="CL46">
            <v>2</v>
          </cell>
          <cell r="CM46">
            <v>2</v>
          </cell>
          <cell r="CN46">
            <v>2</v>
          </cell>
          <cell r="CO46">
            <v>2</v>
          </cell>
          <cell r="CP46">
            <v>2</v>
          </cell>
          <cell r="CQ46">
            <v>0</v>
          </cell>
          <cell r="CR46">
            <v>0</v>
          </cell>
          <cell r="CS46">
            <v>0</v>
          </cell>
          <cell r="CT46">
            <v>3</v>
          </cell>
          <cell r="CU46">
            <v>2</v>
          </cell>
          <cell r="CV46">
            <v>2</v>
          </cell>
          <cell r="CW46">
            <v>2</v>
          </cell>
          <cell r="CX46">
            <v>0</v>
          </cell>
          <cell r="CY46">
            <v>0</v>
          </cell>
          <cell r="CZ46">
            <v>2</v>
          </cell>
          <cell r="DA46">
            <v>0</v>
          </cell>
          <cell r="DB46">
            <v>2</v>
          </cell>
          <cell r="DC46">
            <v>2</v>
          </cell>
          <cell r="DD46">
            <v>2</v>
          </cell>
          <cell r="DE46">
            <v>0</v>
          </cell>
          <cell r="DF46">
            <v>0</v>
          </cell>
          <cell r="DG46">
            <v>0</v>
          </cell>
          <cell r="DH46">
            <v>0</v>
          </cell>
          <cell r="DI46">
            <v>0</v>
          </cell>
          <cell r="DJ46">
            <v>0</v>
          </cell>
          <cell r="DK46">
            <v>0</v>
          </cell>
          <cell r="DL46">
            <v>0</v>
          </cell>
          <cell r="DM46">
            <v>0</v>
          </cell>
          <cell r="DN46" t="str">
            <v/>
          </cell>
          <cell r="DO46" t="str">
            <v/>
          </cell>
          <cell r="DP46" t="str">
            <v/>
          </cell>
          <cell r="DQ46">
            <v>0</v>
          </cell>
          <cell r="DR46"/>
          <cell r="DS46"/>
          <cell r="DT46">
            <v>35</v>
          </cell>
          <cell r="DU46">
            <v>0</v>
          </cell>
          <cell r="DV46"/>
          <cell r="DW46"/>
          <cell r="DX46"/>
          <cell r="DY46"/>
        </row>
        <row r="47">
          <cell r="E47" t="str">
            <v>02190</v>
          </cell>
          <cell r="F47" t="str">
            <v>Nguyễn Bảo Lăng</v>
          </cell>
          <cell r="G47" t="str">
            <v>Foaming</v>
          </cell>
          <cell r="H47" t="str">
            <v>FOAMING Splitting</v>
          </cell>
          <cell r="I47" t="str">
            <v>Worker</v>
          </cell>
          <cell r="J47">
            <v>43881</v>
          </cell>
          <cell r="K47">
            <v>43910</v>
          </cell>
          <cell r="L47">
            <v>8</v>
          </cell>
          <cell r="M47">
            <v>8</v>
          </cell>
          <cell r="N47">
            <v>8</v>
          </cell>
          <cell r="O47" t="str">
            <v>Ca 1</v>
          </cell>
          <cell r="P47" t="str">
            <v>CN</v>
          </cell>
          <cell r="Q47" t="str">
            <v>Đ</v>
          </cell>
          <cell r="R47" t="str">
            <v>Đ</v>
          </cell>
          <cell r="S47" t="str">
            <v>Đ</v>
          </cell>
          <cell r="T47" t="str">
            <v>Đ</v>
          </cell>
          <cell r="U47" t="str">
            <v>Đ</v>
          </cell>
          <cell r="V47" t="str">
            <v>Đ</v>
          </cell>
          <cell r="W47" t="str">
            <v>Ca 3</v>
          </cell>
          <cell r="X47" t="str">
            <v>CN</v>
          </cell>
          <cell r="Y47">
            <v>8</v>
          </cell>
          <cell r="Z47">
            <v>8</v>
          </cell>
          <cell r="AA47">
            <v>8</v>
          </cell>
          <cell r="AB47" t="str">
            <v>Đ</v>
          </cell>
          <cell r="AC47" t="str">
            <v>Đ</v>
          </cell>
          <cell r="AD47" t="str">
            <v>Đ</v>
          </cell>
          <cell r="AE47" t="str">
            <v>HCSX</v>
          </cell>
          <cell r="AF47" t="str">
            <v>CN</v>
          </cell>
          <cell r="AG47">
            <v>8</v>
          </cell>
          <cell r="AH47">
            <v>8</v>
          </cell>
          <cell r="AI47">
            <v>8</v>
          </cell>
          <cell r="AJ47">
            <v>8</v>
          </cell>
          <cell r="AK47">
            <v>8</v>
          </cell>
          <cell r="AL47">
            <v>8</v>
          </cell>
          <cell r="AM47" t="str">
            <v>Ca 1</v>
          </cell>
          <cell r="AN47" t="str">
            <v>CN</v>
          </cell>
          <cell r="AO47" t="str">
            <v>Đ</v>
          </cell>
          <cell r="AP47" t="str">
            <v>Đ</v>
          </cell>
          <cell r="AQ47" t="str">
            <v>Đ</v>
          </cell>
          <cell r="AR47" t="str">
            <v>Đ</v>
          </cell>
          <cell r="AS47" t="str">
            <v>Đ</v>
          </cell>
          <cell r="AT47" t="str">
            <v>AL8</v>
          </cell>
          <cell r="AU47" t="str">
            <v>Ca 3</v>
          </cell>
          <cell r="AV47" t="str">
            <v>H</v>
          </cell>
          <cell r="AW47" t="str">
            <v>X</v>
          </cell>
          <cell r="AX47" t="str">
            <v>Đ</v>
          </cell>
          <cell r="AY47" t="str">
            <v>AL8</v>
          </cell>
          <cell r="AZ47" t="str">
            <v>H</v>
          </cell>
          <cell r="BA47" t="str">
            <v/>
          </cell>
          <cell r="BB47" t="str">
            <v/>
          </cell>
          <cell r="BC47" t="str">
            <v>Ca 3</v>
          </cell>
          <cell r="BD47" t="str">
            <v/>
          </cell>
          <cell r="BE47">
            <v>120</v>
          </cell>
          <cell r="BF47">
            <v>96</v>
          </cell>
          <cell r="BG47">
            <v>0</v>
          </cell>
          <cell r="BH47">
            <v>0</v>
          </cell>
          <cell r="BI47">
            <v>0</v>
          </cell>
          <cell r="BJ47">
            <v>0</v>
          </cell>
          <cell r="BK47">
            <v>0</v>
          </cell>
          <cell r="BL47">
            <v>0</v>
          </cell>
          <cell r="BM47">
            <v>0</v>
          </cell>
          <cell r="BN47">
            <v>0</v>
          </cell>
          <cell r="BO47">
            <v>0</v>
          </cell>
          <cell r="BP47">
            <v>0</v>
          </cell>
          <cell r="BQ47">
            <v>0</v>
          </cell>
          <cell r="BR47">
            <v>16</v>
          </cell>
          <cell r="BS47">
            <v>16</v>
          </cell>
          <cell r="BT47">
            <v>0</v>
          </cell>
          <cell r="BU47">
            <v>0</v>
          </cell>
          <cell r="BV47">
            <v>0</v>
          </cell>
          <cell r="BW47">
            <v>0</v>
          </cell>
          <cell r="BX47">
            <v>248</v>
          </cell>
          <cell r="BY47">
            <v>2</v>
          </cell>
          <cell r="BZ47">
            <v>0</v>
          </cell>
          <cell r="CA47">
            <v>0</v>
          </cell>
          <cell r="CB47">
            <v>2</v>
          </cell>
          <cell r="CC47">
            <v>2</v>
          </cell>
          <cell r="CD47"/>
          <cell r="CE47"/>
          <cell r="CF47"/>
          <cell r="CG47">
            <v>4</v>
          </cell>
          <cell r="CH47">
            <v>0</v>
          </cell>
          <cell r="CI47">
            <v>0</v>
          </cell>
          <cell r="CJ47">
            <v>0</v>
          </cell>
          <cell r="CK47">
            <v>0</v>
          </cell>
          <cell r="CL47">
            <v>2</v>
          </cell>
          <cell r="CM47">
            <v>2</v>
          </cell>
          <cell r="CN47">
            <v>2</v>
          </cell>
          <cell r="CO47">
            <v>2</v>
          </cell>
          <cell r="CP47">
            <v>2</v>
          </cell>
          <cell r="CQ47">
            <v>0</v>
          </cell>
          <cell r="CR47">
            <v>0</v>
          </cell>
          <cell r="CS47">
            <v>0</v>
          </cell>
          <cell r="CT47">
            <v>3</v>
          </cell>
          <cell r="CU47">
            <v>2</v>
          </cell>
          <cell r="CV47">
            <v>2</v>
          </cell>
          <cell r="CW47">
            <v>2</v>
          </cell>
          <cell r="CX47">
            <v>0</v>
          </cell>
          <cell r="CY47">
            <v>0</v>
          </cell>
          <cell r="CZ47">
            <v>2</v>
          </cell>
          <cell r="DA47">
            <v>0</v>
          </cell>
          <cell r="DB47">
            <v>2</v>
          </cell>
          <cell r="DC47">
            <v>2</v>
          </cell>
          <cell r="DD47">
            <v>2</v>
          </cell>
          <cell r="DE47">
            <v>0</v>
          </cell>
          <cell r="DF47">
            <v>0</v>
          </cell>
          <cell r="DG47">
            <v>0</v>
          </cell>
          <cell r="DH47">
            <v>0</v>
          </cell>
          <cell r="DI47">
            <v>0</v>
          </cell>
          <cell r="DJ47">
            <v>0</v>
          </cell>
          <cell r="DK47">
            <v>0</v>
          </cell>
          <cell r="DL47">
            <v>0</v>
          </cell>
          <cell r="DM47">
            <v>0</v>
          </cell>
          <cell r="DN47" t="str">
            <v/>
          </cell>
          <cell r="DO47" t="str">
            <v/>
          </cell>
          <cell r="DP47" t="str">
            <v/>
          </cell>
          <cell r="DQ47">
            <v>0</v>
          </cell>
          <cell r="DR47"/>
          <cell r="DS47"/>
          <cell r="DT47">
            <v>31</v>
          </cell>
          <cell r="DU47">
            <v>0</v>
          </cell>
          <cell r="DV47"/>
          <cell r="DW47"/>
          <cell r="DX47"/>
          <cell r="DY47"/>
        </row>
        <row r="48">
          <cell r="E48" t="str">
            <v>02108</v>
          </cell>
          <cell r="F48" t="str">
            <v>Nguyễn Văn Thịnh</v>
          </cell>
          <cell r="G48" t="str">
            <v>Foaming</v>
          </cell>
          <cell r="H48" t="str">
            <v>FOAMING Splitting</v>
          </cell>
          <cell r="I48" t="str">
            <v>Operator</v>
          </cell>
          <cell r="J48">
            <v>43844</v>
          </cell>
          <cell r="K48">
            <v>43875</v>
          </cell>
          <cell r="L48">
            <v>8</v>
          </cell>
          <cell r="M48">
            <v>8</v>
          </cell>
          <cell r="N48">
            <v>8</v>
          </cell>
          <cell r="O48" t="str">
            <v>Ca 1</v>
          </cell>
          <cell r="P48" t="str">
            <v>CN</v>
          </cell>
          <cell r="Q48" t="str">
            <v>Đ</v>
          </cell>
          <cell r="R48" t="str">
            <v>Đ</v>
          </cell>
          <cell r="S48" t="str">
            <v>Đ</v>
          </cell>
          <cell r="T48" t="str">
            <v>Đ</v>
          </cell>
          <cell r="U48" t="str">
            <v>Đ</v>
          </cell>
          <cell r="V48" t="str">
            <v>Đ</v>
          </cell>
          <cell r="W48" t="str">
            <v>Ca 3</v>
          </cell>
          <cell r="X48" t="str">
            <v>CN</v>
          </cell>
          <cell r="Y48">
            <v>8</v>
          </cell>
          <cell r="Z48">
            <v>8</v>
          </cell>
          <cell r="AA48">
            <v>8</v>
          </cell>
          <cell r="AB48">
            <v>8</v>
          </cell>
          <cell r="AC48">
            <v>8</v>
          </cell>
          <cell r="AD48">
            <v>8</v>
          </cell>
          <cell r="AE48" t="str">
            <v>HCSX</v>
          </cell>
          <cell r="AF48" t="str">
            <v>CN</v>
          </cell>
          <cell r="AG48">
            <v>8</v>
          </cell>
          <cell r="AH48">
            <v>8</v>
          </cell>
          <cell r="AI48">
            <v>8</v>
          </cell>
          <cell r="AJ48">
            <v>8</v>
          </cell>
          <cell r="AK48">
            <v>8</v>
          </cell>
          <cell r="AL48">
            <v>8</v>
          </cell>
          <cell r="AM48" t="str">
            <v>Ca 1</v>
          </cell>
          <cell r="AN48" t="str">
            <v>CN</v>
          </cell>
          <cell r="AO48">
            <v>8</v>
          </cell>
          <cell r="AP48">
            <v>8</v>
          </cell>
          <cell r="AQ48">
            <v>8</v>
          </cell>
          <cell r="AR48">
            <v>8</v>
          </cell>
          <cell r="AS48">
            <v>8</v>
          </cell>
          <cell r="AT48">
            <v>8</v>
          </cell>
          <cell r="AU48" t="str">
            <v>HCSX</v>
          </cell>
          <cell r="AV48" t="str">
            <v>H</v>
          </cell>
          <cell r="AW48" t="str">
            <v>X</v>
          </cell>
          <cell r="AX48">
            <v>8</v>
          </cell>
          <cell r="AY48">
            <v>8</v>
          </cell>
          <cell r="AZ48" t="str">
            <v>H</v>
          </cell>
          <cell r="BA48" t="str">
            <v/>
          </cell>
          <cell r="BB48" t="str">
            <v/>
          </cell>
          <cell r="BC48" t="str">
            <v>HCSX</v>
          </cell>
          <cell r="BD48" t="str">
            <v/>
          </cell>
          <cell r="BE48">
            <v>48</v>
          </cell>
          <cell r="BF48">
            <v>184</v>
          </cell>
          <cell r="BG48">
            <v>0</v>
          </cell>
          <cell r="BH48">
            <v>0</v>
          </cell>
          <cell r="BI48">
            <v>0</v>
          </cell>
          <cell r="BJ48">
            <v>0</v>
          </cell>
          <cell r="BK48">
            <v>0</v>
          </cell>
          <cell r="BL48">
            <v>0</v>
          </cell>
          <cell r="BM48">
            <v>0</v>
          </cell>
          <cell r="BN48">
            <v>0</v>
          </cell>
          <cell r="BO48">
            <v>0</v>
          </cell>
          <cell r="BP48">
            <v>0</v>
          </cell>
          <cell r="BQ48">
            <v>0</v>
          </cell>
          <cell r="BR48">
            <v>0</v>
          </cell>
          <cell r="BS48">
            <v>16</v>
          </cell>
          <cell r="BT48">
            <v>0</v>
          </cell>
          <cell r="BU48">
            <v>0</v>
          </cell>
          <cell r="BV48">
            <v>0</v>
          </cell>
          <cell r="BW48">
            <v>0</v>
          </cell>
          <cell r="BX48">
            <v>248</v>
          </cell>
          <cell r="BY48">
            <v>0</v>
          </cell>
          <cell r="BZ48">
            <v>0</v>
          </cell>
          <cell r="CA48">
            <v>0</v>
          </cell>
          <cell r="CB48">
            <v>0</v>
          </cell>
          <cell r="CC48">
            <v>0</v>
          </cell>
          <cell r="CD48"/>
          <cell r="CE48"/>
          <cell r="CF48"/>
          <cell r="CG48">
            <v>4</v>
          </cell>
          <cell r="CH48">
            <v>0</v>
          </cell>
          <cell r="CI48">
            <v>0</v>
          </cell>
          <cell r="CJ48">
            <v>0</v>
          </cell>
          <cell r="CK48">
            <v>0</v>
          </cell>
          <cell r="CL48">
            <v>2</v>
          </cell>
          <cell r="CM48">
            <v>2</v>
          </cell>
          <cell r="CN48">
            <v>2</v>
          </cell>
          <cell r="CO48">
            <v>2</v>
          </cell>
          <cell r="CP48">
            <v>2</v>
          </cell>
          <cell r="CQ48">
            <v>0</v>
          </cell>
          <cell r="CR48">
            <v>0</v>
          </cell>
          <cell r="CS48">
            <v>0</v>
          </cell>
          <cell r="CT48">
            <v>0</v>
          </cell>
          <cell r="CU48">
            <v>0</v>
          </cell>
          <cell r="CV48">
            <v>0</v>
          </cell>
          <cell r="CW48">
            <v>0</v>
          </cell>
          <cell r="CX48">
            <v>0</v>
          </cell>
          <cell r="CY48">
            <v>2</v>
          </cell>
          <cell r="CZ48">
            <v>2</v>
          </cell>
          <cell r="DA48">
            <v>0</v>
          </cell>
          <cell r="DB48">
            <v>2</v>
          </cell>
          <cell r="DC48">
            <v>2</v>
          </cell>
          <cell r="DD48">
            <v>2</v>
          </cell>
          <cell r="DE48">
            <v>0</v>
          </cell>
          <cell r="DF48">
            <v>0</v>
          </cell>
          <cell r="DG48">
            <v>0</v>
          </cell>
          <cell r="DH48">
            <v>0</v>
          </cell>
          <cell r="DI48">
            <v>0</v>
          </cell>
          <cell r="DJ48">
            <v>0</v>
          </cell>
          <cell r="DK48">
            <v>0</v>
          </cell>
          <cell r="DL48">
            <v>0</v>
          </cell>
          <cell r="DM48">
            <v>0</v>
          </cell>
          <cell r="DN48" t="str">
            <v/>
          </cell>
          <cell r="DO48" t="str">
            <v/>
          </cell>
          <cell r="DP48" t="str">
            <v/>
          </cell>
          <cell r="DQ48">
            <v>0</v>
          </cell>
          <cell r="DR48"/>
          <cell r="DS48"/>
          <cell r="DT48">
            <v>24</v>
          </cell>
          <cell r="DU48">
            <v>0</v>
          </cell>
          <cell r="DV48"/>
          <cell r="DW48"/>
          <cell r="DX48"/>
          <cell r="DY48"/>
        </row>
        <row r="49">
          <cell r="E49" t="str">
            <v>02289</v>
          </cell>
          <cell r="F49" t="str">
            <v>Thái Thị Trúc Ly</v>
          </cell>
          <cell r="G49" t="str">
            <v>Foaming</v>
          </cell>
          <cell r="H49" t="str">
            <v>FOAMING Splitting</v>
          </cell>
          <cell r="I49" t="str">
            <v>Worker</v>
          </cell>
          <cell r="J49">
            <v>44019</v>
          </cell>
          <cell r="K49">
            <v>44050</v>
          </cell>
          <cell r="L49">
            <v>8</v>
          </cell>
          <cell r="M49">
            <v>8</v>
          </cell>
          <cell r="N49">
            <v>8</v>
          </cell>
          <cell r="O49" t="str">
            <v>Ca 1</v>
          </cell>
          <cell r="P49" t="str">
            <v>CN</v>
          </cell>
          <cell r="Q49" t="str">
            <v>Đ</v>
          </cell>
          <cell r="R49" t="str">
            <v>Đ</v>
          </cell>
          <cell r="S49" t="str">
            <v>Đ</v>
          </cell>
          <cell r="T49" t="str">
            <v>Đ</v>
          </cell>
          <cell r="U49" t="str">
            <v>Đ</v>
          </cell>
          <cell r="V49" t="str">
            <v>Đ</v>
          </cell>
          <cell r="W49" t="str">
            <v>Ca 3</v>
          </cell>
          <cell r="X49" t="str">
            <v>CN</v>
          </cell>
          <cell r="Y49">
            <v>8</v>
          </cell>
          <cell r="Z49">
            <v>8</v>
          </cell>
          <cell r="AA49">
            <v>8</v>
          </cell>
          <cell r="AB49" t="str">
            <v>Đ</v>
          </cell>
          <cell r="AC49" t="str">
            <v>Đ</v>
          </cell>
          <cell r="AD49" t="str">
            <v>Đ</v>
          </cell>
          <cell r="AE49" t="str">
            <v>HCSX</v>
          </cell>
          <cell r="AF49" t="str">
            <v>CN</v>
          </cell>
          <cell r="AG49">
            <v>8</v>
          </cell>
          <cell r="AH49">
            <v>8</v>
          </cell>
          <cell r="AI49">
            <v>8</v>
          </cell>
          <cell r="AJ49">
            <v>8</v>
          </cell>
          <cell r="AK49">
            <v>8</v>
          </cell>
          <cell r="AL49">
            <v>8</v>
          </cell>
          <cell r="AM49" t="str">
            <v>Ca 1</v>
          </cell>
          <cell r="AN49" t="str">
            <v>CN</v>
          </cell>
          <cell r="AO49" t="str">
            <v>Đ</v>
          </cell>
          <cell r="AP49" t="str">
            <v>Đ</v>
          </cell>
          <cell r="AQ49" t="str">
            <v>Đ</v>
          </cell>
          <cell r="AR49" t="str">
            <v>Đ</v>
          </cell>
          <cell r="AS49" t="str">
            <v>Đ</v>
          </cell>
          <cell r="AT49" t="str">
            <v>AL8</v>
          </cell>
          <cell r="AU49" t="str">
            <v>Ca 3</v>
          </cell>
          <cell r="AV49" t="str">
            <v>H</v>
          </cell>
          <cell r="AW49" t="str">
            <v>X</v>
          </cell>
          <cell r="AX49" t="str">
            <v>Đ</v>
          </cell>
          <cell r="AY49" t="str">
            <v>NP</v>
          </cell>
          <cell r="AZ49" t="str">
            <v>H</v>
          </cell>
          <cell r="BA49" t="str">
            <v/>
          </cell>
          <cell r="BB49" t="str">
            <v/>
          </cell>
          <cell r="BC49" t="str">
            <v>Ca 3</v>
          </cell>
          <cell r="BD49" t="str">
            <v/>
          </cell>
          <cell r="BE49">
            <v>120</v>
          </cell>
          <cell r="BF49">
            <v>96</v>
          </cell>
          <cell r="BG49">
            <v>0</v>
          </cell>
          <cell r="BH49">
            <v>0</v>
          </cell>
          <cell r="BI49">
            <v>0</v>
          </cell>
          <cell r="BJ49">
            <v>0</v>
          </cell>
          <cell r="BK49">
            <v>1</v>
          </cell>
          <cell r="BL49">
            <v>0</v>
          </cell>
          <cell r="BM49">
            <v>0</v>
          </cell>
          <cell r="BN49">
            <v>0</v>
          </cell>
          <cell r="BO49">
            <v>0</v>
          </cell>
          <cell r="BP49">
            <v>0</v>
          </cell>
          <cell r="BQ49">
            <v>0</v>
          </cell>
          <cell r="BR49">
            <v>8</v>
          </cell>
          <cell r="BS49">
            <v>16</v>
          </cell>
          <cell r="BT49">
            <v>0</v>
          </cell>
          <cell r="BU49">
            <v>0</v>
          </cell>
          <cell r="BV49">
            <v>0</v>
          </cell>
          <cell r="BW49">
            <v>0</v>
          </cell>
          <cell r="BX49">
            <v>240</v>
          </cell>
          <cell r="BY49">
            <v>1</v>
          </cell>
          <cell r="BZ49">
            <v>0</v>
          </cell>
          <cell r="CA49">
            <v>0</v>
          </cell>
          <cell r="CB49">
            <v>1</v>
          </cell>
          <cell r="CC49">
            <v>1</v>
          </cell>
          <cell r="CD49"/>
          <cell r="CE49"/>
          <cell r="CF49"/>
          <cell r="CG49">
            <v>4</v>
          </cell>
          <cell r="CH49">
            <v>0</v>
          </cell>
          <cell r="CI49">
            <v>4</v>
          </cell>
          <cell r="CJ49">
            <v>0</v>
          </cell>
          <cell r="CK49">
            <v>0</v>
          </cell>
          <cell r="CL49">
            <v>2</v>
          </cell>
          <cell r="CM49">
            <v>2</v>
          </cell>
          <cell r="CN49">
            <v>2</v>
          </cell>
          <cell r="CO49">
            <v>2</v>
          </cell>
          <cell r="CP49">
            <v>2</v>
          </cell>
          <cell r="CQ49">
            <v>0</v>
          </cell>
          <cell r="CR49">
            <v>0</v>
          </cell>
          <cell r="CS49">
            <v>0</v>
          </cell>
          <cell r="CT49">
            <v>3</v>
          </cell>
          <cell r="CU49">
            <v>2</v>
          </cell>
          <cell r="CV49">
            <v>2</v>
          </cell>
          <cell r="CW49">
            <v>2</v>
          </cell>
          <cell r="CX49">
            <v>0</v>
          </cell>
          <cell r="CY49">
            <v>0</v>
          </cell>
          <cell r="CZ49">
            <v>2</v>
          </cell>
          <cell r="DA49">
            <v>0</v>
          </cell>
          <cell r="DB49">
            <v>2</v>
          </cell>
          <cell r="DC49">
            <v>2</v>
          </cell>
          <cell r="DD49">
            <v>2</v>
          </cell>
          <cell r="DE49">
            <v>0</v>
          </cell>
          <cell r="DF49">
            <v>0</v>
          </cell>
          <cell r="DG49">
            <v>0</v>
          </cell>
          <cell r="DH49">
            <v>0</v>
          </cell>
          <cell r="DI49">
            <v>0</v>
          </cell>
          <cell r="DJ49">
            <v>0</v>
          </cell>
          <cell r="DK49">
            <v>0</v>
          </cell>
          <cell r="DL49">
            <v>0</v>
          </cell>
          <cell r="DM49">
            <v>0</v>
          </cell>
          <cell r="DN49" t="str">
            <v/>
          </cell>
          <cell r="DO49" t="str">
            <v/>
          </cell>
          <cell r="DP49" t="str">
            <v/>
          </cell>
          <cell r="DQ49">
            <v>0</v>
          </cell>
          <cell r="DR49"/>
          <cell r="DS49"/>
          <cell r="DT49">
            <v>35</v>
          </cell>
          <cell r="DU49">
            <v>0</v>
          </cell>
          <cell r="DV49"/>
          <cell r="DW49"/>
          <cell r="DX49"/>
          <cell r="DY49"/>
        </row>
        <row r="50">
          <cell r="E50" t="str">
            <v>02320</v>
          </cell>
          <cell r="F50" t="str">
            <v>Nguyễn Thị Ngọc Lan</v>
          </cell>
          <cell r="G50" t="str">
            <v>Foaming</v>
          </cell>
          <cell r="H50" t="str">
            <v>FOAMING Splitting</v>
          </cell>
          <cell r="I50" t="str">
            <v>Worker</v>
          </cell>
          <cell r="J50">
            <v>44025</v>
          </cell>
          <cell r="K50">
            <v>44056</v>
          </cell>
          <cell r="L50" t="str">
            <v>Đ</v>
          </cell>
          <cell r="M50" t="str">
            <v>Đ</v>
          </cell>
          <cell r="N50" t="str">
            <v>Đ</v>
          </cell>
          <cell r="O50" t="str">
            <v>Ca 3</v>
          </cell>
          <cell r="P50" t="str">
            <v>CN</v>
          </cell>
          <cell r="Q50">
            <v>8</v>
          </cell>
          <cell r="R50">
            <v>8</v>
          </cell>
          <cell r="S50">
            <v>8</v>
          </cell>
          <cell r="T50">
            <v>8</v>
          </cell>
          <cell r="U50">
            <v>8</v>
          </cell>
          <cell r="V50">
            <v>8</v>
          </cell>
          <cell r="W50" t="str">
            <v>Ca 2</v>
          </cell>
          <cell r="X50" t="str">
            <v>CN</v>
          </cell>
          <cell r="Y50">
            <v>8</v>
          </cell>
          <cell r="Z50">
            <v>8</v>
          </cell>
          <cell r="AA50">
            <v>8</v>
          </cell>
          <cell r="AB50">
            <v>8</v>
          </cell>
          <cell r="AC50">
            <v>8</v>
          </cell>
          <cell r="AD50">
            <v>8</v>
          </cell>
          <cell r="AE50" t="str">
            <v>Ca 1</v>
          </cell>
          <cell r="AF50" t="str">
            <v>CN</v>
          </cell>
          <cell r="AG50">
            <v>8</v>
          </cell>
          <cell r="AH50">
            <v>8</v>
          </cell>
          <cell r="AI50">
            <v>8</v>
          </cell>
          <cell r="AJ50">
            <v>8</v>
          </cell>
          <cell r="AK50">
            <v>8</v>
          </cell>
          <cell r="AL50">
            <v>8</v>
          </cell>
          <cell r="AM50" t="str">
            <v>Ca 1</v>
          </cell>
          <cell r="AN50" t="str">
            <v>CN</v>
          </cell>
          <cell r="AO50" t="str">
            <v>Đ</v>
          </cell>
          <cell r="AP50" t="str">
            <v>Đ</v>
          </cell>
          <cell r="AQ50" t="str">
            <v>Đ</v>
          </cell>
          <cell r="AR50" t="str">
            <v>Đ</v>
          </cell>
          <cell r="AS50" t="str">
            <v>Đ</v>
          </cell>
          <cell r="AT50" t="str">
            <v>AL8</v>
          </cell>
          <cell r="AU50" t="str">
            <v>Ca 3</v>
          </cell>
          <cell r="AV50" t="str">
            <v>H</v>
          </cell>
          <cell r="AW50" t="str">
            <v>X</v>
          </cell>
          <cell r="AX50" t="str">
            <v>NP</v>
          </cell>
          <cell r="AY50" t="str">
            <v>NP</v>
          </cell>
          <cell r="AZ50" t="str">
            <v>H</v>
          </cell>
          <cell r="BA50" t="str">
            <v/>
          </cell>
          <cell r="BB50" t="str">
            <v/>
          </cell>
          <cell r="BC50" t="str">
            <v>HCSX</v>
          </cell>
          <cell r="BD50" t="str">
            <v/>
          </cell>
          <cell r="BE50">
            <v>64</v>
          </cell>
          <cell r="BF50">
            <v>144</v>
          </cell>
          <cell r="BG50">
            <v>0</v>
          </cell>
          <cell r="BH50">
            <v>0</v>
          </cell>
          <cell r="BI50">
            <v>0</v>
          </cell>
          <cell r="BJ50">
            <v>0</v>
          </cell>
          <cell r="BK50">
            <v>2</v>
          </cell>
          <cell r="BL50">
            <v>0</v>
          </cell>
          <cell r="BM50">
            <v>0</v>
          </cell>
          <cell r="BN50">
            <v>0</v>
          </cell>
          <cell r="BO50">
            <v>0</v>
          </cell>
          <cell r="BP50">
            <v>0</v>
          </cell>
          <cell r="BQ50">
            <v>0</v>
          </cell>
          <cell r="BR50">
            <v>8</v>
          </cell>
          <cell r="BS50">
            <v>16</v>
          </cell>
          <cell r="BT50">
            <v>0</v>
          </cell>
          <cell r="BU50">
            <v>0</v>
          </cell>
          <cell r="BV50">
            <v>0</v>
          </cell>
          <cell r="BW50">
            <v>0</v>
          </cell>
          <cell r="BX50">
            <v>232</v>
          </cell>
          <cell r="BY50">
            <v>1</v>
          </cell>
          <cell r="BZ50">
            <v>0</v>
          </cell>
          <cell r="CA50">
            <v>0</v>
          </cell>
          <cell r="CB50">
            <v>1</v>
          </cell>
          <cell r="CC50">
            <v>1</v>
          </cell>
          <cell r="CD50"/>
          <cell r="CE50"/>
          <cell r="CF50"/>
          <cell r="CG50">
            <v>4</v>
          </cell>
          <cell r="CH50">
            <v>4</v>
          </cell>
          <cell r="CI50">
            <v>4</v>
          </cell>
          <cell r="CJ50">
            <v>0</v>
          </cell>
          <cell r="CK50">
            <v>0</v>
          </cell>
          <cell r="CL50">
            <v>0</v>
          </cell>
          <cell r="CM50">
            <v>0</v>
          </cell>
          <cell r="CN50">
            <v>0</v>
          </cell>
          <cell r="CO50">
            <v>0</v>
          </cell>
          <cell r="CP50">
            <v>0</v>
          </cell>
          <cell r="CQ50">
            <v>0</v>
          </cell>
          <cell r="CR50">
            <v>2</v>
          </cell>
          <cell r="CS50">
            <v>2</v>
          </cell>
          <cell r="CT50">
            <v>2</v>
          </cell>
          <cell r="CU50">
            <v>2</v>
          </cell>
          <cell r="CV50">
            <v>2</v>
          </cell>
          <cell r="CW50">
            <v>2</v>
          </cell>
          <cell r="CX50">
            <v>0</v>
          </cell>
          <cell r="CY50">
            <v>2</v>
          </cell>
          <cell r="CZ50">
            <v>2</v>
          </cell>
          <cell r="DA50">
            <v>2</v>
          </cell>
          <cell r="DB50">
            <v>0</v>
          </cell>
          <cell r="DC50">
            <v>0</v>
          </cell>
          <cell r="DD50">
            <v>0</v>
          </cell>
          <cell r="DE50">
            <v>0</v>
          </cell>
          <cell r="DF50">
            <v>0</v>
          </cell>
          <cell r="DG50">
            <v>0</v>
          </cell>
          <cell r="DH50">
            <v>0</v>
          </cell>
          <cell r="DI50">
            <v>0</v>
          </cell>
          <cell r="DJ50">
            <v>0</v>
          </cell>
          <cell r="DK50">
            <v>0</v>
          </cell>
          <cell r="DL50">
            <v>0</v>
          </cell>
          <cell r="DM50">
            <v>0</v>
          </cell>
          <cell r="DN50" t="str">
            <v/>
          </cell>
          <cell r="DO50" t="str">
            <v/>
          </cell>
          <cell r="DP50" t="str">
            <v/>
          </cell>
          <cell r="DQ50">
            <v>0</v>
          </cell>
          <cell r="DR50"/>
          <cell r="DS50"/>
          <cell r="DT50">
            <v>30</v>
          </cell>
          <cell r="DU50">
            <v>0</v>
          </cell>
          <cell r="DV50"/>
          <cell r="DW50"/>
          <cell r="DX50"/>
          <cell r="DY50"/>
        </row>
        <row r="51">
          <cell r="E51" t="str">
            <v>02328</v>
          </cell>
          <cell r="F51" t="str">
            <v>Biện Công Phúc Vy</v>
          </cell>
          <cell r="G51" t="str">
            <v>Foaming</v>
          </cell>
          <cell r="H51" t="str">
            <v>FOAMING Rectangular</v>
          </cell>
          <cell r="I51" t="str">
            <v>Operator</v>
          </cell>
          <cell r="J51">
            <v>44029</v>
          </cell>
          <cell r="K51">
            <v>44060</v>
          </cell>
          <cell r="L51">
            <v>8</v>
          </cell>
          <cell r="M51">
            <v>8</v>
          </cell>
          <cell r="N51">
            <v>8</v>
          </cell>
          <cell r="O51" t="str">
            <v>Ca 1</v>
          </cell>
          <cell r="P51" t="str">
            <v>CN</v>
          </cell>
          <cell r="Q51" t="str">
            <v>Đ</v>
          </cell>
          <cell r="R51" t="str">
            <v>Đ</v>
          </cell>
          <cell r="S51" t="str">
            <v>Đ</v>
          </cell>
          <cell r="T51" t="str">
            <v>Đ</v>
          </cell>
          <cell r="U51" t="str">
            <v>Đ</v>
          </cell>
          <cell r="V51" t="str">
            <v>Đ</v>
          </cell>
          <cell r="W51" t="str">
            <v>Ca 3</v>
          </cell>
          <cell r="X51" t="str">
            <v>CN</v>
          </cell>
          <cell r="Y51" t="str">
            <v>NP</v>
          </cell>
          <cell r="Z51">
            <v>8</v>
          </cell>
          <cell r="AA51">
            <v>8</v>
          </cell>
          <cell r="AB51">
            <v>8</v>
          </cell>
          <cell r="AC51">
            <v>8</v>
          </cell>
          <cell r="AD51">
            <v>8</v>
          </cell>
          <cell r="AE51" t="str">
            <v>Ca 2</v>
          </cell>
          <cell r="AF51" t="str">
            <v>CN</v>
          </cell>
          <cell r="AG51">
            <v>8</v>
          </cell>
          <cell r="AH51">
            <v>8</v>
          </cell>
          <cell r="AI51">
            <v>8</v>
          </cell>
          <cell r="AJ51">
            <v>8</v>
          </cell>
          <cell r="AK51">
            <v>8</v>
          </cell>
          <cell r="AL51" t="str">
            <v>NP</v>
          </cell>
          <cell r="AM51" t="str">
            <v>Ca 1</v>
          </cell>
          <cell r="AN51" t="str">
            <v>CN</v>
          </cell>
          <cell r="AO51" t="str">
            <v>Đ</v>
          </cell>
          <cell r="AP51" t="str">
            <v>Đ</v>
          </cell>
          <cell r="AQ51" t="str">
            <v>Đ</v>
          </cell>
          <cell r="AR51" t="str">
            <v>Đ</v>
          </cell>
          <cell r="AS51" t="str">
            <v>Đ</v>
          </cell>
          <cell r="AT51" t="str">
            <v>UP8</v>
          </cell>
          <cell r="AU51" t="str">
            <v>Ca 3</v>
          </cell>
          <cell r="AV51" t="str">
            <v>H</v>
          </cell>
          <cell r="AW51" t="str">
            <v>X</v>
          </cell>
          <cell r="AX51" t="str">
            <v>Đ</v>
          </cell>
          <cell r="AY51" t="str">
            <v>NP</v>
          </cell>
          <cell r="AZ51" t="str">
            <v>H</v>
          </cell>
          <cell r="BA51" t="str">
            <v/>
          </cell>
          <cell r="BB51" t="str">
            <v/>
          </cell>
          <cell r="BC51" t="str">
            <v>Ca 3</v>
          </cell>
          <cell r="BD51" t="str">
            <v/>
          </cell>
          <cell r="BE51">
            <v>96</v>
          </cell>
          <cell r="BF51">
            <v>104</v>
          </cell>
          <cell r="BG51">
            <v>0</v>
          </cell>
          <cell r="BH51">
            <v>0</v>
          </cell>
          <cell r="BI51">
            <v>0</v>
          </cell>
          <cell r="BJ51">
            <v>8</v>
          </cell>
          <cell r="BK51">
            <v>3</v>
          </cell>
          <cell r="BL51">
            <v>0</v>
          </cell>
          <cell r="BM51">
            <v>0</v>
          </cell>
          <cell r="BN51">
            <v>0</v>
          </cell>
          <cell r="BO51">
            <v>0</v>
          </cell>
          <cell r="BP51">
            <v>0</v>
          </cell>
          <cell r="BQ51">
            <v>0</v>
          </cell>
          <cell r="BR51">
            <v>0</v>
          </cell>
          <cell r="BS51">
            <v>16</v>
          </cell>
          <cell r="BT51">
            <v>0</v>
          </cell>
          <cell r="BU51">
            <v>0</v>
          </cell>
          <cell r="BV51">
            <v>0</v>
          </cell>
          <cell r="BW51">
            <v>0</v>
          </cell>
          <cell r="BX51">
            <v>216</v>
          </cell>
          <cell r="BY51">
            <v>0</v>
          </cell>
          <cell r="BZ51">
            <v>0</v>
          </cell>
          <cell r="CA51">
            <v>1</v>
          </cell>
          <cell r="CB51">
            <v>0</v>
          </cell>
          <cell r="CC51">
            <v>0</v>
          </cell>
          <cell r="CD51"/>
          <cell r="CE51"/>
          <cell r="CF51"/>
          <cell r="CG51">
            <v>4</v>
          </cell>
          <cell r="CH51">
            <v>4</v>
          </cell>
          <cell r="CI51">
            <v>4</v>
          </cell>
          <cell r="CJ51">
            <v>0</v>
          </cell>
          <cell r="CK51">
            <v>0</v>
          </cell>
          <cell r="CL51">
            <v>0</v>
          </cell>
          <cell r="CM51">
            <v>0</v>
          </cell>
          <cell r="CN51">
            <v>0</v>
          </cell>
          <cell r="CO51">
            <v>0</v>
          </cell>
          <cell r="CP51">
            <v>0</v>
          </cell>
          <cell r="CQ51">
            <v>0</v>
          </cell>
          <cell r="CR51">
            <v>0</v>
          </cell>
          <cell r="CS51">
            <v>0</v>
          </cell>
          <cell r="CT51">
            <v>0</v>
          </cell>
          <cell r="CU51">
            <v>0</v>
          </cell>
          <cell r="CV51">
            <v>0</v>
          </cell>
          <cell r="CW51">
            <v>0</v>
          </cell>
          <cell r="CX51">
            <v>0</v>
          </cell>
          <cell r="CY51">
            <v>3</v>
          </cell>
          <cell r="CZ51">
            <v>0</v>
          </cell>
          <cell r="DA51">
            <v>4</v>
          </cell>
          <cell r="DB51">
            <v>4</v>
          </cell>
          <cell r="DC51">
            <v>0</v>
          </cell>
          <cell r="DD51">
            <v>0</v>
          </cell>
          <cell r="DE51">
            <v>0</v>
          </cell>
          <cell r="DF51">
            <v>0</v>
          </cell>
          <cell r="DG51">
            <v>4</v>
          </cell>
          <cell r="DH51">
            <v>0</v>
          </cell>
          <cell r="DI51">
            <v>0</v>
          </cell>
          <cell r="DJ51">
            <v>0</v>
          </cell>
          <cell r="DK51">
            <v>0</v>
          </cell>
          <cell r="DL51">
            <v>0</v>
          </cell>
          <cell r="DM51">
            <v>0</v>
          </cell>
          <cell r="DN51" t="str">
            <v/>
          </cell>
          <cell r="DO51" t="str">
            <v/>
          </cell>
          <cell r="DP51" t="str">
            <v/>
          </cell>
          <cell r="DQ51">
            <v>0</v>
          </cell>
          <cell r="DR51"/>
          <cell r="DS51"/>
          <cell r="DT51">
            <v>27</v>
          </cell>
          <cell r="DU51">
            <v>0</v>
          </cell>
          <cell r="DV51"/>
          <cell r="DW51"/>
          <cell r="DX51"/>
          <cell r="DY51"/>
        </row>
        <row r="52">
          <cell r="E52" t="str">
            <v>02322</v>
          </cell>
          <cell r="F52" t="str">
            <v>Lâm Thị Tú Phương</v>
          </cell>
          <cell r="G52" t="str">
            <v>Foaming</v>
          </cell>
          <cell r="H52" t="str">
            <v>FOAMING Splitting</v>
          </cell>
          <cell r="I52" t="str">
            <v>Worker</v>
          </cell>
          <cell r="J52">
            <v>44025</v>
          </cell>
          <cell r="K52">
            <v>44056</v>
          </cell>
          <cell r="L52">
            <v>8</v>
          </cell>
          <cell r="M52">
            <v>8</v>
          </cell>
          <cell r="N52">
            <v>8</v>
          </cell>
          <cell r="O52" t="str">
            <v>Ca 1</v>
          </cell>
          <cell r="P52" t="str">
            <v>CN</v>
          </cell>
          <cell r="Q52" t="str">
            <v>Đ</v>
          </cell>
          <cell r="R52" t="str">
            <v>Đ</v>
          </cell>
          <cell r="S52" t="str">
            <v>Đ</v>
          </cell>
          <cell r="T52" t="str">
            <v>Đ</v>
          </cell>
          <cell r="U52" t="str">
            <v>Đ</v>
          </cell>
          <cell r="V52" t="str">
            <v>Đ</v>
          </cell>
          <cell r="W52" t="str">
            <v>Ca 3</v>
          </cell>
          <cell r="X52" t="str">
            <v>CN</v>
          </cell>
          <cell r="Y52">
            <v>8</v>
          </cell>
          <cell r="Z52">
            <v>8</v>
          </cell>
          <cell r="AA52">
            <v>8</v>
          </cell>
          <cell r="AB52" t="str">
            <v>Đ</v>
          </cell>
          <cell r="AC52" t="str">
            <v>Đ</v>
          </cell>
          <cell r="AD52" t="str">
            <v>Đ</v>
          </cell>
          <cell r="AE52" t="str">
            <v>HCSX</v>
          </cell>
          <cell r="AF52" t="str">
            <v>CN</v>
          </cell>
          <cell r="AG52" t="str">
            <v>Đ</v>
          </cell>
          <cell r="AH52" t="str">
            <v>Đ</v>
          </cell>
          <cell r="AI52" t="str">
            <v>Đ</v>
          </cell>
          <cell r="AJ52" t="str">
            <v>Đ</v>
          </cell>
          <cell r="AK52" t="str">
            <v>Đ</v>
          </cell>
          <cell r="AL52" t="str">
            <v>Đ</v>
          </cell>
          <cell r="AM52" t="str">
            <v>Ca 3</v>
          </cell>
          <cell r="AN52" t="str">
            <v>CN</v>
          </cell>
          <cell r="AO52">
            <v>8</v>
          </cell>
          <cell r="AP52">
            <v>8</v>
          </cell>
          <cell r="AQ52">
            <v>8</v>
          </cell>
          <cell r="AR52">
            <v>8</v>
          </cell>
          <cell r="AS52">
            <v>8</v>
          </cell>
          <cell r="AT52">
            <v>8</v>
          </cell>
          <cell r="AU52" t="str">
            <v>HCSX</v>
          </cell>
          <cell r="AV52" t="str">
            <v>H</v>
          </cell>
          <cell r="AW52" t="str">
            <v>X</v>
          </cell>
          <cell r="AX52">
            <v>8</v>
          </cell>
          <cell r="AY52">
            <v>8</v>
          </cell>
          <cell r="AZ52" t="str">
            <v>H</v>
          </cell>
          <cell r="BA52" t="str">
            <v/>
          </cell>
          <cell r="BB52" t="str">
            <v/>
          </cell>
          <cell r="BC52" t="str">
            <v>HCSX</v>
          </cell>
          <cell r="BD52" t="str">
            <v/>
          </cell>
          <cell r="BE52">
            <v>120</v>
          </cell>
          <cell r="BF52">
            <v>112</v>
          </cell>
          <cell r="BG52">
            <v>0</v>
          </cell>
          <cell r="BH52">
            <v>0</v>
          </cell>
          <cell r="BI52">
            <v>0</v>
          </cell>
          <cell r="BJ52">
            <v>0</v>
          </cell>
          <cell r="BK52">
            <v>0</v>
          </cell>
          <cell r="BL52">
            <v>0</v>
          </cell>
          <cell r="BM52">
            <v>0</v>
          </cell>
          <cell r="BN52">
            <v>0</v>
          </cell>
          <cell r="BO52">
            <v>0</v>
          </cell>
          <cell r="BP52">
            <v>0</v>
          </cell>
          <cell r="BQ52">
            <v>0</v>
          </cell>
          <cell r="BR52">
            <v>0</v>
          </cell>
          <cell r="BS52">
            <v>16</v>
          </cell>
          <cell r="BT52">
            <v>0</v>
          </cell>
          <cell r="BU52">
            <v>0</v>
          </cell>
          <cell r="BV52">
            <v>0</v>
          </cell>
          <cell r="BW52">
            <v>0</v>
          </cell>
          <cell r="BX52">
            <v>248</v>
          </cell>
          <cell r="BY52">
            <v>0</v>
          </cell>
          <cell r="BZ52">
            <v>0</v>
          </cell>
          <cell r="CA52">
            <v>0</v>
          </cell>
          <cell r="CB52">
            <v>0</v>
          </cell>
          <cell r="CC52">
            <v>0</v>
          </cell>
          <cell r="CD52"/>
          <cell r="CE52"/>
          <cell r="CF52"/>
          <cell r="CG52">
            <v>4</v>
          </cell>
          <cell r="CH52">
            <v>0</v>
          </cell>
          <cell r="CI52">
            <v>4</v>
          </cell>
          <cell r="CJ52">
            <v>0</v>
          </cell>
          <cell r="CK52">
            <v>0</v>
          </cell>
          <cell r="CL52">
            <v>2</v>
          </cell>
          <cell r="CM52">
            <v>2</v>
          </cell>
          <cell r="CN52">
            <v>2</v>
          </cell>
          <cell r="CO52">
            <v>2</v>
          </cell>
          <cell r="CP52">
            <v>2</v>
          </cell>
          <cell r="CQ52">
            <v>0</v>
          </cell>
          <cell r="CR52">
            <v>0</v>
          </cell>
          <cell r="CS52">
            <v>0</v>
          </cell>
          <cell r="CT52">
            <v>3</v>
          </cell>
          <cell r="CU52">
            <v>2</v>
          </cell>
          <cell r="CV52">
            <v>2</v>
          </cell>
          <cell r="CW52">
            <v>2</v>
          </cell>
          <cell r="CX52">
            <v>0</v>
          </cell>
          <cell r="CY52">
            <v>0</v>
          </cell>
          <cell r="CZ52">
            <v>2</v>
          </cell>
          <cell r="DA52">
            <v>2</v>
          </cell>
          <cell r="DB52">
            <v>2</v>
          </cell>
          <cell r="DC52">
            <v>2</v>
          </cell>
          <cell r="DD52">
            <v>0</v>
          </cell>
          <cell r="DE52">
            <v>0</v>
          </cell>
          <cell r="DF52">
            <v>0</v>
          </cell>
          <cell r="DG52">
            <v>0</v>
          </cell>
          <cell r="DH52">
            <v>0</v>
          </cell>
          <cell r="DI52">
            <v>0</v>
          </cell>
          <cell r="DJ52">
            <v>0</v>
          </cell>
          <cell r="DK52">
            <v>0</v>
          </cell>
          <cell r="DL52">
            <v>0</v>
          </cell>
          <cell r="DM52">
            <v>0</v>
          </cell>
          <cell r="DN52" t="str">
            <v/>
          </cell>
          <cell r="DO52" t="str">
            <v/>
          </cell>
          <cell r="DP52" t="str">
            <v/>
          </cell>
          <cell r="DQ52">
            <v>0</v>
          </cell>
          <cell r="DR52"/>
          <cell r="DS52"/>
          <cell r="DT52">
            <v>35</v>
          </cell>
          <cell r="DU52">
            <v>0</v>
          </cell>
          <cell r="DV52"/>
          <cell r="DW52"/>
          <cell r="DX52"/>
          <cell r="DY52"/>
        </row>
        <row r="53">
          <cell r="E53" t="str">
            <v>02352</v>
          </cell>
          <cell r="F53" t="str">
            <v>Nguyễn Văn Khánh</v>
          </cell>
          <cell r="G53" t="str">
            <v>Foaming</v>
          </cell>
          <cell r="H53" t="str">
            <v>FOAMING Rectangular</v>
          </cell>
          <cell r="I53" t="str">
            <v>Skilled worker</v>
          </cell>
          <cell r="J53">
            <v>44043</v>
          </cell>
          <cell r="K53">
            <v>44073</v>
          </cell>
          <cell r="L53">
            <v>8</v>
          </cell>
          <cell r="M53">
            <v>8</v>
          </cell>
          <cell r="N53">
            <v>8</v>
          </cell>
          <cell r="O53" t="str">
            <v>Ca 1</v>
          </cell>
          <cell r="P53" t="str">
            <v>CN</v>
          </cell>
          <cell r="Q53">
            <v>8</v>
          </cell>
          <cell r="R53">
            <v>8</v>
          </cell>
          <cell r="S53">
            <v>8</v>
          </cell>
          <cell r="T53">
            <v>8</v>
          </cell>
          <cell r="U53">
            <v>8</v>
          </cell>
          <cell r="V53">
            <v>8</v>
          </cell>
          <cell r="W53" t="str">
            <v>Ca 2</v>
          </cell>
          <cell r="X53" t="str">
            <v>CN</v>
          </cell>
          <cell r="Y53">
            <v>8</v>
          </cell>
          <cell r="Z53">
            <v>8</v>
          </cell>
          <cell r="AA53">
            <v>8</v>
          </cell>
          <cell r="AB53">
            <v>8</v>
          </cell>
          <cell r="AC53">
            <v>8</v>
          </cell>
          <cell r="AD53">
            <v>8</v>
          </cell>
          <cell r="AE53" t="str">
            <v>Ca 1</v>
          </cell>
          <cell r="AF53" t="str">
            <v>CN</v>
          </cell>
          <cell r="AG53" t="str">
            <v>Đ</v>
          </cell>
          <cell r="AH53" t="str">
            <v>Đ</v>
          </cell>
          <cell r="AI53" t="str">
            <v>Đ</v>
          </cell>
          <cell r="AJ53" t="str">
            <v>Đ</v>
          </cell>
          <cell r="AK53">
            <v>8</v>
          </cell>
          <cell r="AL53" t="str">
            <v>Đ</v>
          </cell>
          <cell r="AM53" t="str">
            <v>Ca 3</v>
          </cell>
          <cell r="AN53" t="str">
            <v>CN</v>
          </cell>
          <cell r="AO53" t="str">
            <v>NP</v>
          </cell>
          <cell r="AP53">
            <v>8</v>
          </cell>
          <cell r="AQ53">
            <v>8</v>
          </cell>
          <cell r="AR53">
            <v>8</v>
          </cell>
          <cell r="AS53">
            <v>8</v>
          </cell>
          <cell r="AT53">
            <v>8</v>
          </cell>
          <cell r="AU53" t="str">
            <v>Ca 1</v>
          </cell>
          <cell r="AV53" t="str">
            <v>H</v>
          </cell>
          <cell r="AW53" t="str">
            <v>X</v>
          </cell>
          <cell r="AX53">
            <v>8</v>
          </cell>
          <cell r="AY53">
            <v>8</v>
          </cell>
          <cell r="AZ53" t="str">
            <v>H</v>
          </cell>
          <cell r="BA53" t="str">
            <v/>
          </cell>
          <cell r="BB53" t="str">
            <v/>
          </cell>
          <cell r="BC53" t="str">
            <v>Ca 1</v>
          </cell>
          <cell r="BD53" t="str">
            <v/>
          </cell>
          <cell r="BE53">
            <v>40</v>
          </cell>
          <cell r="BF53">
            <v>184</v>
          </cell>
          <cell r="BG53">
            <v>0</v>
          </cell>
          <cell r="BH53">
            <v>0</v>
          </cell>
          <cell r="BI53">
            <v>0</v>
          </cell>
          <cell r="BJ53">
            <v>0</v>
          </cell>
          <cell r="BK53">
            <v>1</v>
          </cell>
          <cell r="BL53">
            <v>0</v>
          </cell>
          <cell r="BM53">
            <v>0</v>
          </cell>
          <cell r="BN53">
            <v>0</v>
          </cell>
          <cell r="BO53">
            <v>0</v>
          </cell>
          <cell r="BP53">
            <v>0</v>
          </cell>
          <cell r="BQ53">
            <v>0</v>
          </cell>
          <cell r="BR53">
            <v>0</v>
          </cell>
          <cell r="BS53">
            <v>16</v>
          </cell>
          <cell r="BT53">
            <v>0</v>
          </cell>
          <cell r="BU53">
            <v>0</v>
          </cell>
          <cell r="BV53">
            <v>0</v>
          </cell>
          <cell r="BW53">
            <v>0</v>
          </cell>
          <cell r="BX53">
            <v>240</v>
          </cell>
          <cell r="BY53">
            <v>0</v>
          </cell>
          <cell r="BZ53">
            <v>0</v>
          </cell>
          <cell r="CA53">
            <v>0</v>
          </cell>
          <cell r="CB53">
            <v>0</v>
          </cell>
          <cell r="CC53">
            <v>0</v>
          </cell>
          <cell r="CD53"/>
          <cell r="CE53"/>
          <cell r="CF53"/>
          <cell r="CG53">
            <v>4</v>
          </cell>
          <cell r="CH53">
            <v>4</v>
          </cell>
          <cell r="CI53">
            <v>4</v>
          </cell>
          <cell r="CJ53">
            <v>0</v>
          </cell>
          <cell r="CK53">
            <v>0</v>
          </cell>
          <cell r="CL53">
            <v>0</v>
          </cell>
          <cell r="CM53">
            <v>0</v>
          </cell>
          <cell r="CN53">
            <v>0</v>
          </cell>
          <cell r="CO53">
            <v>0</v>
          </cell>
          <cell r="CP53">
            <v>0</v>
          </cell>
          <cell r="CQ53">
            <v>0</v>
          </cell>
          <cell r="CR53">
            <v>0</v>
          </cell>
          <cell r="CS53">
            <v>0</v>
          </cell>
          <cell r="CT53">
            <v>0</v>
          </cell>
          <cell r="CU53">
            <v>0</v>
          </cell>
          <cell r="CV53">
            <v>4</v>
          </cell>
          <cell r="CW53">
            <v>4</v>
          </cell>
          <cell r="CX53">
            <v>0</v>
          </cell>
          <cell r="CY53">
            <v>4</v>
          </cell>
          <cell r="CZ53">
            <v>4</v>
          </cell>
          <cell r="DA53">
            <v>0</v>
          </cell>
          <cell r="DB53">
            <v>0</v>
          </cell>
          <cell r="DC53">
            <v>0</v>
          </cell>
          <cell r="DD53">
            <v>4</v>
          </cell>
          <cell r="DE53">
            <v>0</v>
          </cell>
          <cell r="DF53">
            <v>0</v>
          </cell>
          <cell r="DG53">
            <v>0</v>
          </cell>
          <cell r="DH53">
            <v>0</v>
          </cell>
          <cell r="DI53">
            <v>0</v>
          </cell>
          <cell r="DJ53">
            <v>0</v>
          </cell>
          <cell r="DK53">
            <v>0</v>
          </cell>
          <cell r="DL53">
            <v>0</v>
          </cell>
          <cell r="DM53">
            <v>0</v>
          </cell>
          <cell r="DN53" t="str">
            <v/>
          </cell>
          <cell r="DO53" t="str">
            <v/>
          </cell>
          <cell r="DP53" t="str">
            <v/>
          </cell>
          <cell r="DQ53">
            <v>0</v>
          </cell>
          <cell r="DR53"/>
          <cell r="DS53"/>
          <cell r="DT53">
            <v>32</v>
          </cell>
          <cell r="DU53">
            <v>0</v>
          </cell>
          <cell r="DV53"/>
          <cell r="DW53"/>
          <cell r="DX53"/>
          <cell r="DY53"/>
        </row>
        <row r="54">
          <cell r="E54" t="str">
            <v>02336</v>
          </cell>
          <cell r="F54" t="str">
            <v>Phạm Hoàng Nam</v>
          </cell>
          <cell r="G54" t="str">
            <v>Foaming</v>
          </cell>
          <cell r="H54" t="str">
            <v>FOAMING Splitting</v>
          </cell>
          <cell r="I54" t="str">
            <v>Worker</v>
          </cell>
          <cell r="J54">
            <v>44033</v>
          </cell>
          <cell r="K54">
            <v>44064</v>
          </cell>
          <cell r="L54">
            <v>8</v>
          </cell>
          <cell r="M54">
            <v>8</v>
          </cell>
          <cell r="N54">
            <v>8</v>
          </cell>
          <cell r="O54" t="str">
            <v>Ca 1</v>
          </cell>
          <cell r="P54" t="str">
            <v>CN</v>
          </cell>
          <cell r="Q54">
            <v>8</v>
          </cell>
          <cell r="R54">
            <v>8</v>
          </cell>
          <cell r="S54">
            <v>8</v>
          </cell>
          <cell r="T54">
            <v>8</v>
          </cell>
          <cell r="U54">
            <v>8</v>
          </cell>
          <cell r="V54">
            <v>8</v>
          </cell>
          <cell r="W54" t="str">
            <v>Ca 1</v>
          </cell>
          <cell r="X54" t="str">
            <v>CN</v>
          </cell>
          <cell r="Y54" t="str">
            <v>Đ</v>
          </cell>
          <cell r="Z54" t="str">
            <v>Đ</v>
          </cell>
          <cell r="AA54" t="str">
            <v>Đ</v>
          </cell>
          <cell r="AB54" t="str">
            <v>Đ</v>
          </cell>
          <cell r="AC54" t="str">
            <v>Đ</v>
          </cell>
          <cell r="AD54">
            <v>0</v>
          </cell>
          <cell r="AE54" t="str">
            <v>Ca 3</v>
          </cell>
          <cell r="AF54">
            <v>8</v>
          </cell>
          <cell r="AG54">
            <v>8</v>
          </cell>
          <cell r="AH54">
            <v>8</v>
          </cell>
          <cell r="AI54">
            <v>8</v>
          </cell>
          <cell r="AJ54">
            <v>8</v>
          </cell>
          <cell r="AK54">
            <v>8</v>
          </cell>
          <cell r="AL54" t="str">
            <v>CN</v>
          </cell>
          <cell r="AM54" t="str">
            <v>Ca 1</v>
          </cell>
          <cell r="AN54" t="str">
            <v>Đ</v>
          </cell>
          <cell r="AO54" t="str">
            <v>Đ</v>
          </cell>
          <cell r="AP54" t="str">
            <v>Đ</v>
          </cell>
          <cell r="AQ54" t="str">
            <v>Đ</v>
          </cell>
          <cell r="AR54" t="str">
            <v>Đ</v>
          </cell>
          <cell r="AS54" t="str">
            <v>Đ</v>
          </cell>
          <cell r="AT54" t="str">
            <v>CN</v>
          </cell>
          <cell r="AU54" t="str">
            <v>Ca 3</v>
          </cell>
          <cell r="AV54" t="str">
            <v>H</v>
          </cell>
          <cell r="AW54" t="str">
            <v>X</v>
          </cell>
          <cell r="AX54" t="str">
            <v>Đ</v>
          </cell>
          <cell r="AY54" t="str">
            <v>NP</v>
          </cell>
          <cell r="AZ54" t="str">
            <v>H</v>
          </cell>
          <cell r="BA54" t="str">
            <v/>
          </cell>
          <cell r="BB54" t="str">
            <v/>
          </cell>
          <cell r="BC54" t="str">
            <v>Ca 3</v>
          </cell>
          <cell r="BD54" t="str">
            <v/>
          </cell>
          <cell r="BE54">
            <v>96</v>
          </cell>
          <cell r="BF54">
            <v>120</v>
          </cell>
          <cell r="BG54">
            <v>0</v>
          </cell>
          <cell r="BH54">
            <v>0</v>
          </cell>
          <cell r="BI54">
            <v>0</v>
          </cell>
          <cell r="BJ54">
            <v>0</v>
          </cell>
          <cell r="BK54">
            <v>1</v>
          </cell>
          <cell r="BL54">
            <v>0</v>
          </cell>
          <cell r="BM54">
            <v>0</v>
          </cell>
          <cell r="BN54">
            <v>0</v>
          </cell>
          <cell r="BO54">
            <v>0</v>
          </cell>
          <cell r="BP54">
            <v>0</v>
          </cell>
          <cell r="BQ54">
            <v>0</v>
          </cell>
          <cell r="BR54">
            <v>0</v>
          </cell>
          <cell r="BS54">
            <v>16</v>
          </cell>
          <cell r="BT54">
            <v>0</v>
          </cell>
          <cell r="BU54">
            <v>0</v>
          </cell>
          <cell r="BV54">
            <v>0</v>
          </cell>
          <cell r="BW54">
            <v>0</v>
          </cell>
          <cell r="BX54">
            <v>232</v>
          </cell>
          <cell r="BY54">
            <v>0</v>
          </cell>
          <cell r="BZ54">
            <v>0</v>
          </cell>
          <cell r="CA54">
            <v>0</v>
          </cell>
          <cell r="CB54">
            <v>0</v>
          </cell>
          <cell r="CC54">
            <v>0</v>
          </cell>
          <cell r="CD54"/>
          <cell r="CE54"/>
          <cell r="CF54"/>
          <cell r="CG54">
            <v>4</v>
          </cell>
          <cell r="CH54">
            <v>0</v>
          </cell>
          <cell r="CI54">
            <v>4</v>
          </cell>
          <cell r="CJ54">
            <v>0</v>
          </cell>
          <cell r="CK54">
            <v>2</v>
          </cell>
          <cell r="CL54">
            <v>2</v>
          </cell>
          <cell r="CM54">
            <v>2</v>
          </cell>
          <cell r="CN54">
            <v>2</v>
          </cell>
          <cell r="CO54">
            <v>2</v>
          </cell>
          <cell r="CP54">
            <v>2</v>
          </cell>
          <cell r="CQ54">
            <v>0</v>
          </cell>
          <cell r="CR54">
            <v>0</v>
          </cell>
          <cell r="CS54">
            <v>0</v>
          </cell>
          <cell r="CT54">
            <v>0</v>
          </cell>
          <cell r="CU54">
            <v>2</v>
          </cell>
          <cell r="CV54">
            <v>4</v>
          </cell>
          <cell r="CW54">
            <v>0</v>
          </cell>
          <cell r="CX54">
            <v>4</v>
          </cell>
          <cell r="CY54">
            <v>0</v>
          </cell>
          <cell r="CZ54">
            <v>0</v>
          </cell>
          <cell r="DA54">
            <v>0</v>
          </cell>
          <cell r="DB54">
            <v>0</v>
          </cell>
          <cell r="DC54">
            <v>2</v>
          </cell>
          <cell r="DD54">
            <v>0</v>
          </cell>
          <cell r="DE54">
            <v>4</v>
          </cell>
          <cell r="DF54">
            <v>0</v>
          </cell>
          <cell r="DG54">
            <v>0</v>
          </cell>
          <cell r="DH54">
            <v>0</v>
          </cell>
          <cell r="DI54">
            <v>0</v>
          </cell>
          <cell r="DJ54">
            <v>0</v>
          </cell>
          <cell r="DK54">
            <v>0</v>
          </cell>
          <cell r="DL54">
            <v>0</v>
          </cell>
          <cell r="DM54">
            <v>0</v>
          </cell>
          <cell r="DN54" t="str">
            <v/>
          </cell>
          <cell r="DO54" t="str">
            <v/>
          </cell>
          <cell r="DP54" t="str">
            <v/>
          </cell>
          <cell r="DQ54">
            <v>0</v>
          </cell>
          <cell r="DR54"/>
          <cell r="DS54"/>
          <cell r="DT54">
            <v>28</v>
          </cell>
          <cell r="DU54">
            <v>8</v>
          </cell>
          <cell r="DV54"/>
          <cell r="DW54"/>
          <cell r="DX54"/>
          <cell r="DY54"/>
        </row>
        <row r="55">
          <cell r="E55" t="str">
            <v>02474</v>
          </cell>
          <cell r="F55" t="str">
            <v>Nguyễn Anh Tú</v>
          </cell>
          <cell r="G55" t="str">
            <v>Foaming</v>
          </cell>
          <cell r="H55" t="str">
            <v>FOAMING Rectangular</v>
          </cell>
          <cell r="I55" t="str">
            <v>Operator</v>
          </cell>
          <cell r="J55">
            <v>44077</v>
          </cell>
          <cell r="K55">
            <v>44107</v>
          </cell>
          <cell r="L55" t="str">
            <v>Đ</v>
          </cell>
          <cell r="M55" t="str">
            <v>Đ</v>
          </cell>
          <cell r="N55" t="str">
            <v>Đ</v>
          </cell>
          <cell r="O55" t="str">
            <v>Ca 3</v>
          </cell>
          <cell r="P55" t="str">
            <v>CN</v>
          </cell>
          <cell r="Q55">
            <v>8</v>
          </cell>
          <cell r="R55">
            <v>8</v>
          </cell>
          <cell r="S55">
            <v>8</v>
          </cell>
          <cell r="T55">
            <v>8</v>
          </cell>
          <cell r="U55">
            <v>8</v>
          </cell>
          <cell r="V55">
            <v>8</v>
          </cell>
          <cell r="W55" t="str">
            <v>Ca 1</v>
          </cell>
          <cell r="X55" t="str">
            <v>CN</v>
          </cell>
          <cell r="Y55" t="str">
            <v>Đ</v>
          </cell>
          <cell r="Z55" t="str">
            <v>Đ</v>
          </cell>
          <cell r="AA55" t="str">
            <v>Đ</v>
          </cell>
          <cell r="AB55" t="str">
            <v>Đ</v>
          </cell>
          <cell r="AC55" t="str">
            <v>Đ</v>
          </cell>
          <cell r="AD55" t="str">
            <v>Đ</v>
          </cell>
          <cell r="AE55" t="str">
            <v>Ca 3</v>
          </cell>
          <cell r="AF55" t="str">
            <v>CN</v>
          </cell>
          <cell r="AG55">
            <v>8</v>
          </cell>
          <cell r="AH55">
            <v>8</v>
          </cell>
          <cell r="AI55">
            <v>8</v>
          </cell>
          <cell r="AJ55">
            <v>8</v>
          </cell>
          <cell r="AK55">
            <v>8</v>
          </cell>
          <cell r="AL55">
            <v>8</v>
          </cell>
          <cell r="AM55" t="str">
            <v>Ca 2</v>
          </cell>
          <cell r="AN55" t="str">
            <v>CN</v>
          </cell>
          <cell r="AO55">
            <v>8</v>
          </cell>
          <cell r="AP55">
            <v>8</v>
          </cell>
          <cell r="AQ55">
            <v>8</v>
          </cell>
          <cell r="AR55">
            <v>8</v>
          </cell>
          <cell r="AS55">
            <v>8</v>
          </cell>
          <cell r="AT55">
            <v>8</v>
          </cell>
          <cell r="AU55" t="str">
            <v>Ca 1</v>
          </cell>
          <cell r="AV55" t="str">
            <v>H</v>
          </cell>
          <cell r="AW55" t="str">
            <v>X</v>
          </cell>
          <cell r="AX55">
            <v>8</v>
          </cell>
          <cell r="AY55">
            <v>8</v>
          </cell>
          <cell r="AZ55" t="str">
            <v>H</v>
          </cell>
          <cell r="BA55" t="str">
            <v/>
          </cell>
          <cell r="BB55" t="str">
            <v/>
          </cell>
          <cell r="BC55" t="str">
            <v>Ca 1</v>
          </cell>
          <cell r="BD55" t="str">
            <v/>
          </cell>
          <cell r="BE55">
            <v>72</v>
          </cell>
          <cell r="BF55">
            <v>160</v>
          </cell>
          <cell r="BG55">
            <v>0</v>
          </cell>
          <cell r="BH55">
            <v>0</v>
          </cell>
          <cell r="BI55">
            <v>0</v>
          </cell>
          <cell r="BJ55">
            <v>0</v>
          </cell>
          <cell r="BK55">
            <v>0</v>
          </cell>
          <cell r="BL55">
            <v>0</v>
          </cell>
          <cell r="BM55">
            <v>0</v>
          </cell>
          <cell r="BN55">
            <v>0</v>
          </cell>
          <cell r="BO55">
            <v>0</v>
          </cell>
          <cell r="BP55">
            <v>0</v>
          </cell>
          <cell r="BQ55">
            <v>0</v>
          </cell>
          <cell r="BR55">
            <v>0</v>
          </cell>
          <cell r="BS55">
            <v>16</v>
          </cell>
          <cell r="BT55">
            <v>0</v>
          </cell>
          <cell r="BU55">
            <v>0</v>
          </cell>
          <cell r="BV55">
            <v>0</v>
          </cell>
          <cell r="BW55">
            <v>0</v>
          </cell>
          <cell r="BX55">
            <v>248</v>
          </cell>
          <cell r="BY55">
            <v>0</v>
          </cell>
          <cell r="BZ55">
            <v>0</v>
          </cell>
          <cell r="CA55">
            <v>0</v>
          </cell>
          <cell r="CB55">
            <v>0</v>
          </cell>
          <cell r="CC55">
            <v>0</v>
          </cell>
          <cell r="CD55"/>
          <cell r="CE55"/>
          <cell r="CF55"/>
          <cell r="CG55">
            <v>4</v>
          </cell>
          <cell r="CH55">
            <v>4</v>
          </cell>
          <cell r="CI55">
            <v>4</v>
          </cell>
          <cell r="CJ55">
            <v>0</v>
          </cell>
          <cell r="CK55">
            <v>0</v>
          </cell>
          <cell r="CL55">
            <v>0</v>
          </cell>
          <cell r="CM55">
            <v>0</v>
          </cell>
          <cell r="CN55">
            <v>0</v>
          </cell>
          <cell r="CO55">
            <v>0</v>
          </cell>
          <cell r="CP55">
            <v>0</v>
          </cell>
          <cell r="CQ55">
            <v>0</v>
          </cell>
          <cell r="CR55">
            <v>0</v>
          </cell>
          <cell r="CS55">
            <v>0</v>
          </cell>
          <cell r="CT55">
            <v>0</v>
          </cell>
          <cell r="CU55">
            <v>2</v>
          </cell>
          <cell r="CV55">
            <v>2</v>
          </cell>
          <cell r="CW55">
            <v>2</v>
          </cell>
          <cell r="CX55">
            <v>0</v>
          </cell>
          <cell r="CY55">
            <v>0</v>
          </cell>
          <cell r="CZ55">
            <v>0</v>
          </cell>
          <cell r="DA55">
            <v>0</v>
          </cell>
          <cell r="DB55">
            <v>0</v>
          </cell>
          <cell r="DC55">
            <v>3</v>
          </cell>
          <cell r="DD55">
            <v>4</v>
          </cell>
          <cell r="DE55">
            <v>0</v>
          </cell>
          <cell r="DF55">
            <v>4</v>
          </cell>
          <cell r="DG55">
            <v>3</v>
          </cell>
          <cell r="DH55">
            <v>0</v>
          </cell>
          <cell r="DI55">
            <v>0</v>
          </cell>
          <cell r="DJ55">
            <v>0</v>
          </cell>
          <cell r="DK55">
            <v>0</v>
          </cell>
          <cell r="DL55">
            <v>0</v>
          </cell>
          <cell r="DM55">
            <v>0</v>
          </cell>
          <cell r="DN55" t="str">
            <v/>
          </cell>
          <cell r="DO55" t="str">
            <v/>
          </cell>
          <cell r="DP55" t="str">
            <v/>
          </cell>
          <cell r="DQ55">
            <v>0</v>
          </cell>
          <cell r="DR55"/>
          <cell r="DS55"/>
          <cell r="DT55">
            <v>32</v>
          </cell>
          <cell r="DU55">
            <v>0</v>
          </cell>
          <cell r="DV55"/>
          <cell r="DW55"/>
          <cell r="DX55"/>
          <cell r="DY55"/>
        </row>
        <row r="56">
          <cell r="E56" t="str">
            <v>02514</v>
          </cell>
          <cell r="F56" t="str">
            <v>Nguyễn Hà Trang</v>
          </cell>
          <cell r="G56" t="str">
            <v>Foaming</v>
          </cell>
          <cell r="H56" t="str">
            <v>FOAMING Splitting</v>
          </cell>
          <cell r="I56" t="str">
            <v>Worker</v>
          </cell>
          <cell r="J56">
            <v>44144</v>
          </cell>
          <cell r="K56">
            <v>44115</v>
          </cell>
          <cell r="L56">
            <v>8</v>
          </cell>
          <cell r="M56">
            <v>4</v>
          </cell>
          <cell r="N56">
            <v>8</v>
          </cell>
          <cell r="O56" t="str">
            <v>Ca 1</v>
          </cell>
          <cell r="P56" t="str">
            <v>CN</v>
          </cell>
          <cell r="Q56" t="str">
            <v>Đ</v>
          </cell>
          <cell r="R56" t="str">
            <v>Đ</v>
          </cell>
          <cell r="S56" t="str">
            <v>Đ</v>
          </cell>
          <cell r="T56" t="str">
            <v>Đ</v>
          </cell>
          <cell r="U56" t="str">
            <v>Đ</v>
          </cell>
          <cell r="V56" t="str">
            <v>Đ</v>
          </cell>
          <cell r="W56" t="str">
            <v>Ca 3</v>
          </cell>
          <cell r="X56" t="str">
            <v>CN</v>
          </cell>
          <cell r="Y56">
            <v>8</v>
          </cell>
          <cell r="Z56">
            <v>8</v>
          </cell>
          <cell r="AA56">
            <v>8</v>
          </cell>
          <cell r="AB56" t="str">
            <v>Đ</v>
          </cell>
          <cell r="AC56" t="str">
            <v>Đ</v>
          </cell>
          <cell r="AD56" t="str">
            <v>Đ</v>
          </cell>
          <cell r="AE56" t="str">
            <v>HCSX</v>
          </cell>
          <cell r="AF56" t="str">
            <v>CN</v>
          </cell>
          <cell r="AG56" t="str">
            <v>Đ</v>
          </cell>
          <cell r="AH56" t="str">
            <v>Đ</v>
          </cell>
          <cell r="AI56" t="str">
            <v>NP</v>
          </cell>
          <cell r="AJ56" t="str">
            <v>Đ</v>
          </cell>
          <cell r="AK56" t="str">
            <v>Đ</v>
          </cell>
          <cell r="AL56" t="str">
            <v>Đ</v>
          </cell>
          <cell r="AM56" t="str">
            <v>Ca 3</v>
          </cell>
          <cell r="AN56" t="str">
            <v>CN</v>
          </cell>
          <cell r="AO56">
            <v>8</v>
          </cell>
          <cell r="AP56">
            <v>8</v>
          </cell>
          <cell r="AQ56">
            <v>8</v>
          </cell>
          <cell r="AR56">
            <v>8</v>
          </cell>
          <cell r="AS56">
            <v>8</v>
          </cell>
          <cell r="AT56">
            <v>8</v>
          </cell>
          <cell r="AU56" t="str">
            <v>HCSX</v>
          </cell>
          <cell r="AV56" t="str">
            <v>H</v>
          </cell>
          <cell r="AW56" t="str">
            <v>X</v>
          </cell>
          <cell r="AX56">
            <v>8</v>
          </cell>
          <cell r="AY56">
            <v>8</v>
          </cell>
          <cell r="AZ56" t="str">
            <v>H</v>
          </cell>
          <cell r="BA56" t="str">
            <v/>
          </cell>
          <cell r="BB56" t="str">
            <v/>
          </cell>
          <cell r="BC56" t="str">
            <v>HCSX</v>
          </cell>
          <cell r="BD56" t="str">
            <v/>
          </cell>
          <cell r="BE56">
            <v>112</v>
          </cell>
          <cell r="BF56">
            <v>108</v>
          </cell>
          <cell r="BG56">
            <v>0</v>
          </cell>
          <cell r="BH56">
            <v>0</v>
          </cell>
          <cell r="BI56">
            <v>0</v>
          </cell>
          <cell r="BJ56">
            <v>0</v>
          </cell>
          <cell r="BK56">
            <v>1</v>
          </cell>
          <cell r="BL56">
            <v>0</v>
          </cell>
          <cell r="BM56">
            <v>0</v>
          </cell>
          <cell r="BN56">
            <v>0</v>
          </cell>
          <cell r="BO56">
            <v>0</v>
          </cell>
          <cell r="BP56">
            <v>0</v>
          </cell>
          <cell r="BQ56">
            <v>0</v>
          </cell>
          <cell r="BR56">
            <v>0</v>
          </cell>
          <cell r="BS56">
            <v>16</v>
          </cell>
          <cell r="BT56">
            <v>0</v>
          </cell>
          <cell r="BU56">
            <v>0</v>
          </cell>
          <cell r="BV56">
            <v>0</v>
          </cell>
          <cell r="BW56">
            <v>0</v>
          </cell>
          <cell r="BX56">
            <v>236</v>
          </cell>
          <cell r="BY56">
            <v>0</v>
          </cell>
          <cell r="BZ56">
            <v>0</v>
          </cell>
          <cell r="CA56">
            <v>0</v>
          </cell>
          <cell r="CB56">
            <v>0</v>
          </cell>
          <cell r="CC56">
            <v>0</v>
          </cell>
          <cell r="CD56"/>
          <cell r="CE56"/>
          <cell r="CF56"/>
          <cell r="CG56">
            <v>4</v>
          </cell>
          <cell r="CH56">
            <v>0</v>
          </cell>
          <cell r="CI56">
            <v>4</v>
          </cell>
          <cell r="CJ56">
            <v>0</v>
          </cell>
          <cell r="CK56">
            <v>0</v>
          </cell>
          <cell r="CL56">
            <v>2</v>
          </cell>
          <cell r="CM56">
            <v>2</v>
          </cell>
          <cell r="CN56">
            <v>2</v>
          </cell>
          <cell r="CO56">
            <v>2</v>
          </cell>
          <cell r="CP56">
            <v>2</v>
          </cell>
          <cell r="CQ56">
            <v>0</v>
          </cell>
          <cell r="CR56">
            <v>0</v>
          </cell>
          <cell r="CS56">
            <v>0</v>
          </cell>
          <cell r="CT56">
            <v>3</v>
          </cell>
          <cell r="CU56">
            <v>2</v>
          </cell>
          <cell r="CV56">
            <v>2</v>
          </cell>
          <cell r="CW56">
            <v>2</v>
          </cell>
          <cell r="CX56">
            <v>0</v>
          </cell>
          <cell r="CY56">
            <v>0</v>
          </cell>
          <cell r="CZ56">
            <v>2</v>
          </cell>
          <cell r="DA56">
            <v>0</v>
          </cell>
          <cell r="DB56">
            <v>2</v>
          </cell>
          <cell r="DC56">
            <v>2</v>
          </cell>
          <cell r="DD56">
            <v>0</v>
          </cell>
          <cell r="DE56">
            <v>0</v>
          </cell>
          <cell r="DF56">
            <v>0</v>
          </cell>
          <cell r="DG56">
            <v>0</v>
          </cell>
          <cell r="DH56">
            <v>0</v>
          </cell>
          <cell r="DI56">
            <v>0</v>
          </cell>
          <cell r="DJ56">
            <v>0</v>
          </cell>
          <cell r="DK56">
            <v>0</v>
          </cell>
          <cell r="DL56">
            <v>0</v>
          </cell>
          <cell r="DM56">
            <v>0</v>
          </cell>
          <cell r="DN56" t="str">
            <v/>
          </cell>
          <cell r="DO56" t="str">
            <v/>
          </cell>
          <cell r="DP56" t="str">
            <v/>
          </cell>
          <cell r="DQ56">
            <v>0</v>
          </cell>
          <cell r="DR56"/>
          <cell r="DS56"/>
          <cell r="DT56">
            <v>33</v>
          </cell>
          <cell r="DU56">
            <v>0</v>
          </cell>
          <cell r="DV56"/>
          <cell r="DW56"/>
          <cell r="DX56"/>
          <cell r="DY56"/>
        </row>
        <row r="57">
          <cell r="E57" t="str">
            <v>02604</v>
          </cell>
          <cell r="F57" t="str">
            <v>Nguyễn Xuân Tiến</v>
          </cell>
          <cell r="G57" t="str">
            <v>Foaming</v>
          </cell>
          <cell r="H57" t="str">
            <v>FOAMING Splitting</v>
          </cell>
          <cell r="I57" t="str">
            <v>Operator</v>
          </cell>
          <cell r="J57">
            <v>44118</v>
          </cell>
          <cell r="K57">
            <v>44149</v>
          </cell>
          <cell r="L57">
            <v>8</v>
          </cell>
          <cell r="M57">
            <v>8</v>
          </cell>
          <cell r="N57">
            <v>8</v>
          </cell>
          <cell r="O57" t="str">
            <v>Ca 1</v>
          </cell>
          <cell r="P57" t="str">
            <v>CN</v>
          </cell>
          <cell r="Q57">
            <v>8</v>
          </cell>
          <cell r="R57">
            <v>8</v>
          </cell>
          <cell r="S57">
            <v>8</v>
          </cell>
          <cell r="T57">
            <v>8</v>
          </cell>
          <cell r="U57">
            <v>8</v>
          </cell>
          <cell r="V57">
            <v>8</v>
          </cell>
          <cell r="W57" t="str">
            <v>HCSX</v>
          </cell>
          <cell r="X57" t="str">
            <v>CN</v>
          </cell>
          <cell r="Y57">
            <v>8</v>
          </cell>
          <cell r="Z57" t="str">
            <v>NP</v>
          </cell>
          <cell r="AA57">
            <v>8</v>
          </cell>
          <cell r="AB57">
            <v>8</v>
          </cell>
          <cell r="AC57">
            <v>8</v>
          </cell>
          <cell r="AD57">
            <v>8</v>
          </cell>
          <cell r="AE57" t="str">
            <v>HCSX</v>
          </cell>
          <cell r="AF57" t="str">
            <v>CN</v>
          </cell>
          <cell r="AG57" t="str">
            <v>Đ</v>
          </cell>
          <cell r="AH57" t="str">
            <v>Đ</v>
          </cell>
          <cell r="AI57" t="str">
            <v>Đ</v>
          </cell>
          <cell r="AJ57" t="str">
            <v>Đ</v>
          </cell>
          <cell r="AK57" t="str">
            <v>Đ</v>
          </cell>
          <cell r="AL57" t="str">
            <v>Đ</v>
          </cell>
          <cell r="AM57" t="str">
            <v>Ca 3</v>
          </cell>
          <cell r="AN57" t="str">
            <v>CN</v>
          </cell>
          <cell r="AO57">
            <v>8</v>
          </cell>
          <cell r="AP57">
            <v>8</v>
          </cell>
          <cell r="AQ57">
            <v>8</v>
          </cell>
          <cell r="AR57">
            <v>8</v>
          </cell>
          <cell r="AS57">
            <v>8</v>
          </cell>
          <cell r="AT57">
            <v>8</v>
          </cell>
          <cell r="AU57" t="str">
            <v>HCSX</v>
          </cell>
          <cell r="AV57" t="str">
            <v>H</v>
          </cell>
          <cell r="AW57" t="str">
            <v>X</v>
          </cell>
          <cell r="AX57">
            <v>8</v>
          </cell>
          <cell r="AY57">
            <v>8</v>
          </cell>
          <cell r="AZ57" t="str">
            <v>H</v>
          </cell>
          <cell r="BA57" t="str">
            <v/>
          </cell>
          <cell r="BB57" t="str">
            <v/>
          </cell>
          <cell r="BC57" t="str">
            <v>HCSX</v>
          </cell>
          <cell r="BD57" t="str">
            <v/>
          </cell>
          <cell r="BE57">
            <v>48</v>
          </cell>
          <cell r="BF57">
            <v>176</v>
          </cell>
          <cell r="BG57">
            <v>0</v>
          </cell>
          <cell r="BH57">
            <v>0</v>
          </cell>
          <cell r="BI57">
            <v>0</v>
          </cell>
          <cell r="BJ57">
            <v>0</v>
          </cell>
          <cell r="BK57">
            <v>1</v>
          </cell>
          <cell r="BL57">
            <v>0</v>
          </cell>
          <cell r="BM57">
            <v>0</v>
          </cell>
          <cell r="BN57">
            <v>0</v>
          </cell>
          <cell r="BO57">
            <v>0</v>
          </cell>
          <cell r="BP57">
            <v>0</v>
          </cell>
          <cell r="BQ57">
            <v>0</v>
          </cell>
          <cell r="BR57">
            <v>0</v>
          </cell>
          <cell r="BS57">
            <v>16</v>
          </cell>
          <cell r="BT57">
            <v>0</v>
          </cell>
          <cell r="BU57">
            <v>0</v>
          </cell>
          <cell r="BV57">
            <v>0</v>
          </cell>
          <cell r="BW57">
            <v>0</v>
          </cell>
          <cell r="BX57">
            <v>240</v>
          </cell>
          <cell r="BY57">
            <v>0</v>
          </cell>
          <cell r="BZ57">
            <v>0</v>
          </cell>
          <cell r="CA57">
            <v>0</v>
          </cell>
          <cell r="CB57">
            <v>0</v>
          </cell>
          <cell r="CC57">
            <v>0</v>
          </cell>
          <cell r="CD57"/>
          <cell r="CE57"/>
          <cell r="CF57"/>
          <cell r="CG57">
            <v>4</v>
          </cell>
          <cell r="CH57">
            <v>0</v>
          </cell>
          <cell r="CI57">
            <v>4</v>
          </cell>
          <cell r="CJ57">
            <v>0</v>
          </cell>
          <cell r="CK57">
            <v>0</v>
          </cell>
          <cell r="CL57">
            <v>3</v>
          </cell>
          <cell r="CM57">
            <v>3</v>
          </cell>
          <cell r="CN57">
            <v>3</v>
          </cell>
          <cell r="CO57">
            <v>3</v>
          </cell>
          <cell r="CP57">
            <v>0</v>
          </cell>
          <cell r="CQ57">
            <v>0</v>
          </cell>
          <cell r="CR57">
            <v>0</v>
          </cell>
          <cell r="CS57">
            <v>0</v>
          </cell>
          <cell r="CT57">
            <v>3</v>
          </cell>
          <cell r="CU57">
            <v>0</v>
          </cell>
          <cell r="CV57">
            <v>3</v>
          </cell>
          <cell r="CW57">
            <v>3</v>
          </cell>
          <cell r="CX57">
            <v>0</v>
          </cell>
          <cell r="CY57">
            <v>0</v>
          </cell>
          <cell r="CZ57">
            <v>2</v>
          </cell>
          <cell r="DA57">
            <v>2</v>
          </cell>
          <cell r="DB57">
            <v>2</v>
          </cell>
          <cell r="DC57">
            <v>0</v>
          </cell>
          <cell r="DD57">
            <v>0</v>
          </cell>
          <cell r="DE57">
            <v>0</v>
          </cell>
          <cell r="DF57">
            <v>0</v>
          </cell>
          <cell r="DG57">
            <v>0</v>
          </cell>
          <cell r="DH57">
            <v>0</v>
          </cell>
          <cell r="DI57">
            <v>0</v>
          </cell>
          <cell r="DJ57">
            <v>0</v>
          </cell>
          <cell r="DK57">
            <v>0</v>
          </cell>
          <cell r="DL57">
            <v>0</v>
          </cell>
          <cell r="DM57">
            <v>0</v>
          </cell>
          <cell r="DN57" t="str">
            <v/>
          </cell>
          <cell r="DO57" t="str">
            <v/>
          </cell>
          <cell r="DP57" t="str">
            <v/>
          </cell>
          <cell r="DQ57">
            <v>0</v>
          </cell>
          <cell r="DR57"/>
          <cell r="DS57"/>
          <cell r="DT57">
            <v>35</v>
          </cell>
          <cell r="DU57">
            <v>0</v>
          </cell>
          <cell r="DV57"/>
          <cell r="DW57"/>
          <cell r="DX57"/>
          <cell r="DY57"/>
        </row>
        <row r="58">
          <cell r="E58" t="str">
            <v>02737</v>
          </cell>
          <cell r="F58" t="str">
            <v>Võ Thị Thu Hằng</v>
          </cell>
          <cell r="G58" t="str">
            <v>Foaming</v>
          </cell>
          <cell r="H58" t="str">
            <v>FOAMING Splitting</v>
          </cell>
          <cell r="I58" t="str">
            <v>Worker</v>
          </cell>
          <cell r="J58">
            <v>44249</v>
          </cell>
          <cell r="K58">
            <v>44279</v>
          </cell>
          <cell r="L58">
            <v>8</v>
          </cell>
          <cell r="M58">
            <v>8</v>
          </cell>
          <cell r="N58">
            <v>8</v>
          </cell>
          <cell r="O58" t="str">
            <v>Ca 1</v>
          </cell>
          <cell r="P58" t="str">
            <v>CN</v>
          </cell>
          <cell r="Q58">
            <v>8</v>
          </cell>
          <cell r="R58">
            <v>8</v>
          </cell>
          <cell r="S58">
            <v>8</v>
          </cell>
          <cell r="T58">
            <v>8</v>
          </cell>
          <cell r="U58">
            <v>8</v>
          </cell>
          <cell r="V58">
            <v>8</v>
          </cell>
          <cell r="W58" t="str">
            <v>Ca 1</v>
          </cell>
          <cell r="X58" t="str">
            <v>CN</v>
          </cell>
          <cell r="Y58">
            <v>8</v>
          </cell>
          <cell r="Z58">
            <v>8</v>
          </cell>
          <cell r="AA58">
            <v>8</v>
          </cell>
          <cell r="AB58">
            <v>8</v>
          </cell>
          <cell r="AC58">
            <v>8</v>
          </cell>
          <cell r="AD58">
            <v>8</v>
          </cell>
          <cell r="AE58" t="str">
            <v>Ca 1</v>
          </cell>
          <cell r="AF58" t="str">
            <v>CN</v>
          </cell>
          <cell r="AG58">
            <v>8</v>
          </cell>
          <cell r="AH58">
            <v>8</v>
          </cell>
          <cell r="AI58">
            <v>8</v>
          </cell>
          <cell r="AJ58">
            <v>8</v>
          </cell>
          <cell r="AK58">
            <v>8</v>
          </cell>
          <cell r="AL58">
            <v>8</v>
          </cell>
          <cell r="AM58" t="str">
            <v>Ca 1</v>
          </cell>
          <cell r="AN58" t="str">
            <v>CN</v>
          </cell>
          <cell r="AO58">
            <v>8</v>
          </cell>
          <cell r="AP58">
            <v>8</v>
          </cell>
          <cell r="AQ58">
            <v>8</v>
          </cell>
          <cell r="AR58">
            <v>8</v>
          </cell>
          <cell r="AS58">
            <v>8</v>
          </cell>
          <cell r="AT58">
            <v>8</v>
          </cell>
          <cell r="AU58" t="str">
            <v>HCSX</v>
          </cell>
          <cell r="AV58" t="str">
            <v>H</v>
          </cell>
          <cell r="AW58" t="str">
            <v>X</v>
          </cell>
          <cell r="AX58">
            <v>8</v>
          </cell>
          <cell r="AY58">
            <v>8</v>
          </cell>
          <cell r="AZ58" t="str">
            <v>H</v>
          </cell>
          <cell r="BA58" t="str">
            <v/>
          </cell>
          <cell r="BB58" t="str">
            <v/>
          </cell>
          <cell r="BC58" t="str">
            <v>HCSX</v>
          </cell>
          <cell r="BD58" t="str">
            <v/>
          </cell>
          <cell r="BE58">
            <v>0</v>
          </cell>
          <cell r="BF58">
            <v>232</v>
          </cell>
          <cell r="BG58">
            <v>0</v>
          </cell>
          <cell r="BH58">
            <v>0</v>
          </cell>
          <cell r="BI58">
            <v>0</v>
          </cell>
          <cell r="BJ58">
            <v>0</v>
          </cell>
          <cell r="BK58">
            <v>0</v>
          </cell>
          <cell r="BL58">
            <v>0</v>
          </cell>
          <cell r="BM58">
            <v>0</v>
          </cell>
          <cell r="BN58">
            <v>0</v>
          </cell>
          <cell r="BO58">
            <v>0</v>
          </cell>
          <cell r="BP58">
            <v>0</v>
          </cell>
          <cell r="BQ58">
            <v>0</v>
          </cell>
          <cell r="BR58">
            <v>0</v>
          </cell>
          <cell r="BS58">
            <v>16</v>
          </cell>
          <cell r="BT58">
            <v>0</v>
          </cell>
          <cell r="BU58">
            <v>0</v>
          </cell>
          <cell r="BV58">
            <v>0</v>
          </cell>
          <cell r="BW58">
            <v>0</v>
          </cell>
          <cell r="BX58">
            <v>248</v>
          </cell>
          <cell r="BY58">
            <v>0</v>
          </cell>
          <cell r="BZ58">
            <v>0</v>
          </cell>
          <cell r="CA58">
            <v>0</v>
          </cell>
          <cell r="CB58">
            <v>0</v>
          </cell>
          <cell r="CC58">
            <v>0</v>
          </cell>
          <cell r="CD58"/>
          <cell r="CE58"/>
          <cell r="CF58"/>
          <cell r="CG58">
            <v>4</v>
          </cell>
          <cell r="CH58">
            <v>4</v>
          </cell>
          <cell r="CI58">
            <v>4</v>
          </cell>
          <cell r="CJ58">
            <v>0</v>
          </cell>
          <cell r="CK58">
            <v>2</v>
          </cell>
          <cell r="CL58">
            <v>2</v>
          </cell>
          <cell r="CM58">
            <v>2</v>
          </cell>
          <cell r="CN58">
            <v>2</v>
          </cell>
          <cell r="CO58">
            <v>2</v>
          </cell>
          <cell r="CP58">
            <v>2</v>
          </cell>
          <cell r="CQ58">
            <v>0</v>
          </cell>
          <cell r="CR58">
            <v>2</v>
          </cell>
          <cell r="CS58">
            <v>2</v>
          </cell>
          <cell r="CT58">
            <v>2</v>
          </cell>
          <cell r="CU58">
            <v>2</v>
          </cell>
          <cell r="CV58">
            <v>2</v>
          </cell>
          <cell r="CW58">
            <v>2</v>
          </cell>
          <cell r="CX58">
            <v>0</v>
          </cell>
          <cell r="CY58">
            <v>2</v>
          </cell>
          <cell r="CZ58">
            <v>0</v>
          </cell>
          <cell r="DA58">
            <v>0</v>
          </cell>
          <cell r="DB58">
            <v>0</v>
          </cell>
          <cell r="DC58">
            <v>0</v>
          </cell>
          <cell r="DD58">
            <v>0</v>
          </cell>
          <cell r="DE58">
            <v>0</v>
          </cell>
          <cell r="DF58">
            <v>0</v>
          </cell>
          <cell r="DG58">
            <v>0</v>
          </cell>
          <cell r="DH58">
            <v>0</v>
          </cell>
          <cell r="DI58">
            <v>0</v>
          </cell>
          <cell r="DJ58">
            <v>0</v>
          </cell>
          <cell r="DK58">
            <v>0</v>
          </cell>
          <cell r="DL58">
            <v>0</v>
          </cell>
          <cell r="DM58">
            <v>0</v>
          </cell>
          <cell r="DN58" t="str">
            <v/>
          </cell>
          <cell r="DO58" t="str">
            <v/>
          </cell>
          <cell r="DP58" t="str">
            <v/>
          </cell>
          <cell r="DQ58">
            <v>0</v>
          </cell>
          <cell r="DR58"/>
          <cell r="DS58"/>
          <cell r="DT58">
            <v>38</v>
          </cell>
          <cell r="DU58">
            <v>0</v>
          </cell>
          <cell r="DV58"/>
          <cell r="DW58"/>
          <cell r="DX58"/>
          <cell r="DY58"/>
        </row>
        <row r="59">
          <cell r="E59" t="str">
            <v>02786</v>
          </cell>
          <cell r="F59" t="str">
            <v>Lê Huỳnh Hân</v>
          </cell>
          <cell r="G59" t="str">
            <v>Foaming</v>
          </cell>
          <cell r="H59" t="str">
            <v>FOAMING Splitting</v>
          </cell>
          <cell r="I59" t="str">
            <v>Worker</v>
          </cell>
          <cell r="J59">
            <v>44256</v>
          </cell>
          <cell r="K59">
            <v>44286</v>
          </cell>
          <cell r="L59" t="str">
            <v>Đ</v>
          </cell>
          <cell r="M59" t="str">
            <v>Đ</v>
          </cell>
          <cell r="N59" t="str">
            <v>Đ</v>
          </cell>
          <cell r="O59" t="str">
            <v>Ca 3</v>
          </cell>
          <cell r="P59" t="str">
            <v>CN</v>
          </cell>
          <cell r="Q59">
            <v>8</v>
          </cell>
          <cell r="R59">
            <v>8</v>
          </cell>
          <cell r="S59">
            <v>8</v>
          </cell>
          <cell r="T59">
            <v>8</v>
          </cell>
          <cell r="U59">
            <v>8</v>
          </cell>
          <cell r="V59">
            <v>8</v>
          </cell>
          <cell r="W59" t="str">
            <v>HCSX</v>
          </cell>
          <cell r="X59" t="str">
            <v>CN</v>
          </cell>
          <cell r="Y59">
            <v>8</v>
          </cell>
          <cell r="Z59">
            <v>8</v>
          </cell>
          <cell r="AA59">
            <v>8</v>
          </cell>
          <cell r="AB59">
            <v>8</v>
          </cell>
          <cell r="AC59">
            <v>8</v>
          </cell>
          <cell r="AD59">
            <v>8</v>
          </cell>
          <cell r="AE59" t="str">
            <v>Ca 2</v>
          </cell>
          <cell r="AF59" t="str">
            <v>CN</v>
          </cell>
          <cell r="AG59">
            <v>8</v>
          </cell>
          <cell r="AH59">
            <v>8</v>
          </cell>
          <cell r="AI59">
            <v>8</v>
          </cell>
          <cell r="AJ59">
            <v>8</v>
          </cell>
          <cell r="AK59">
            <v>8</v>
          </cell>
          <cell r="AL59">
            <v>8</v>
          </cell>
          <cell r="AM59" t="str">
            <v>Ca 2</v>
          </cell>
          <cell r="AN59" t="str">
            <v>CN</v>
          </cell>
          <cell r="AO59">
            <v>8</v>
          </cell>
          <cell r="AP59">
            <v>8</v>
          </cell>
          <cell r="AQ59">
            <v>8</v>
          </cell>
          <cell r="AR59">
            <v>8</v>
          </cell>
          <cell r="AS59">
            <v>8</v>
          </cell>
          <cell r="AT59">
            <v>8</v>
          </cell>
          <cell r="AU59" t="str">
            <v>Ca 1</v>
          </cell>
          <cell r="AV59" t="str">
            <v>H</v>
          </cell>
          <cell r="AW59" t="str">
            <v>X</v>
          </cell>
          <cell r="AX59" t="str">
            <v>Đ</v>
          </cell>
          <cell r="AY59" t="str">
            <v>NP</v>
          </cell>
          <cell r="AZ59" t="str">
            <v>H</v>
          </cell>
          <cell r="BA59" t="str">
            <v/>
          </cell>
          <cell r="BB59" t="str">
            <v/>
          </cell>
          <cell r="BC59" t="str">
            <v>Ca 3</v>
          </cell>
          <cell r="BD59" t="str">
            <v/>
          </cell>
          <cell r="BE59">
            <v>32</v>
          </cell>
          <cell r="BF59">
            <v>192</v>
          </cell>
          <cell r="BG59">
            <v>0</v>
          </cell>
          <cell r="BH59">
            <v>0</v>
          </cell>
          <cell r="BI59">
            <v>0</v>
          </cell>
          <cell r="BJ59">
            <v>0</v>
          </cell>
          <cell r="BK59">
            <v>1</v>
          </cell>
          <cell r="BL59">
            <v>0</v>
          </cell>
          <cell r="BM59">
            <v>0</v>
          </cell>
          <cell r="BN59">
            <v>0</v>
          </cell>
          <cell r="BO59">
            <v>0</v>
          </cell>
          <cell r="BP59">
            <v>0</v>
          </cell>
          <cell r="BQ59">
            <v>0</v>
          </cell>
          <cell r="BR59">
            <v>0</v>
          </cell>
          <cell r="BS59">
            <v>16</v>
          </cell>
          <cell r="BT59">
            <v>0</v>
          </cell>
          <cell r="BU59">
            <v>0</v>
          </cell>
          <cell r="BV59">
            <v>0</v>
          </cell>
          <cell r="BW59">
            <v>0</v>
          </cell>
          <cell r="BX59">
            <v>240</v>
          </cell>
          <cell r="BY59">
            <v>0</v>
          </cell>
          <cell r="BZ59">
            <v>0</v>
          </cell>
          <cell r="CA59">
            <v>0</v>
          </cell>
          <cell r="CB59">
            <v>0</v>
          </cell>
          <cell r="CC59">
            <v>0</v>
          </cell>
          <cell r="CD59"/>
          <cell r="CE59"/>
          <cell r="CF59"/>
          <cell r="CG59">
            <v>4</v>
          </cell>
          <cell r="CH59">
            <v>0</v>
          </cell>
          <cell r="CI59">
            <v>4</v>
          </cell>
          <cell r="CJ59">
            <v>0</v>
          </cell>
          <cell r="CK59">
            <v>0</v>
          </cell>
          <cell r="CL59">
            <v>3</v>
          </cell>
          <cell r="CM59">
            <v>3</v>
          </cell>
          <cell r="CN59">
            <v>3</v>
          </cell>
          <cell r="CO59">
            <v>0</v>
          </cell>
          <cell r="CP59">
            <v>0</v>
          </cell>
          <cell r="CQ59">
            <v>0</v>
          </cell>
          <cell r="CR59">
            <v>0</v>
          </cell>
          <cell r="CS59">
            <v>4</v>
          </cell>
          <cell r="CT59">
            <v>2</v>
          </cell>
          <cell r="CU59">
            <v>2</v>
          </cell>
          <cell r="CV59">
            <v>2</v>
          </cell>
          <cell r="CW59">
            <v>2</v>
          </cell>
          <cell r="CX59">
            <v>0</v>
          </cell>
          <cell r="CY59">
            <v>2</v>
          </cell>
          <cell r="CZ59">
            <v>2</v>
          </cell>
          <cell r="DA59">
            <v>2</v>
          </cell>
          <cell r="DB59">
            <v>0</v>
          </cell>
          <cell r="DC59">
            <v>0</v>
          </cell>
          <cell r="DD59">
            <v>0</v>
          </cell>
          <cell r="DE59">
            <v>0</v>
          </cell>
          <cell r="DF59">
            <v>0</v>
          </cell>
          <cell r="DG59">
            <v>0</v>
          </cell>
          <cell r="DH59">
            <v>0</v>
          </cell>
          <cell r="DI59">
            <v>0</v>
          </cell>
          <cell r="DJ59">
            <v>0</v>
          </cell>
          <cell r="DK59">
            <v>0</v>
          </cell>
          <cell r="DL59">
            <v>0</v>
          </cell>
          <cell r="DM59">
            <v>0</v>
          </cell>
          <cell r="DN59" t="str">
            <v/>
          </cell>
          <cell r="DO59" t="str">
            <v/>
          </cell>
          <cell r="DP59" t="str">
            <v/>
          </cell>
          <cell r="DQ59">
            <v>0</v>
          </cell>
          <cell r="DR59"/>
          <cell r="DS59"/>
          <cell r="DT59">
            <v>35</v>
          </cell>
          <cell r="DU59">
            <v>0</v>
          </cell>
          <cell r="DV59"/>
          <cell r="DW59"/>
          <cell r="DX59"/>
          <cell r="DY59"/>
        </row>
        <row r="60">
          <cell r="E60" t="str">
            <v>02793</v>
          </cell>
          <cell r="F60" t="str">
            <v>Khưu Thanh Nhã</v>
          </cell>
          <cell r="G60" t="str">
            <v>Foaming</v>
          </cell>
          <cell r="H60" t="str">
            <v>FOAMING Rectangular</v>
          </cell>
          <cell r="I60" t="str">
            <v>Team Leader</v>
          </cell>
          <cell r="J60">
            <v>44256</v>
          </cell>
          <cell r="K60">
            <v>44286</v>
          </cell>
          <cell r="L60" t="str">
            <v>Đ</v>
          </cell>
          <cell r="M60" t="str">
            <v>Đ</v>
          </cell>
          <cell r="N60" t="str">
            <v>Đ</v>
          </cell>
          <cell r="O60" t="str">
            <v>Ca 3</v>
          </cell>
          <cell r="P60" t="str">
            <v>CN</v>
          </cell>
          <cell r="Q60">
            <v>8</v>
          </cell>
          <cell r="R60">
            <v>8</v>
          </cell>
          <cell r="S60">
            <v>8</v>
          </cell>
          <cell r="T60">
            <v>8</v>
          </cell>
          <cell r="U60">
            <v>8</v>
          </cell>
          <cell r="V60">
            <v>8</v>
          </cell>
          <cell r="W60" t="str">
            <v>Ca 1</v>
          </cell>
          <cell r="X60" t="str">
            <v>CN</v>
          </cell>
          <cell r="Y60" t="str">
            <v>Đ</v>
          </cell>
          <cell r="Z60" t="str">
            <v>Đ</v>
          </cell>
          <cell r="AA60" t="str">
            <v>Đ</v>
          </cell>
          <cell r="AB60" t="str">
            <v>Đ</v>
          </cell>
          <cell r="AC60" t="str">
            <v>Đ</v>
          </cell>
          <cell r="AD60" t="str">
            <v>Đ</v>
          </cell>
          <cell r="AE60" t="str">
            <v>Ca 3</v>
          </cell>
          <cell r="AF60" t="str">
            <v>CN</v>
          </cell>
          <cell r="AG60">
            <v>4</v>
          </cell>
          <cell r="AH60">
            <v>8</v>
          </cell>
          <cell r="AI60">
            <v>8</v>
          </cell>
          <cell r="AJ60">
            <v>8</v>
          </cell>
          <cell r="AK60">
            <v>8</v>
          </cell>
          <cell r="AL60">
            <v>8</v>
          </cell>
          <cell r="AM60" t="str">
            <v>Ca 2</v>
          </cell>
          <cell r="AN60" t="str">
            <v>CN</v>
          </cell>
          <cell r="AO60">
            <v>8</v>
          </cell>
          <cell r="AP60">
            <v>8</v>
          </cell>
          <cell r="AQ60">
            <v>8</v>
          </cell>
          <cell r="AR60">
            <v>8</v>
          </cell>
          <cell r="AS60">
            <v>8</v>
          </cell>
          <cell r="AT60">
            <v>8</v>
          </cell>
          <cell r="AU60" t="str">
            <v>Ca 1</v>
          </cell>
          <cell r="AV60" t="str">
            <v>H</v>
          </cell>
          <cell r="AW60" t="str">
            <v>X</v>
          </cell>
          <cell r="AX60">
            <v>8</v>
          </cell>
          <cell r="AY60">
            <v>8</v>
          </cell>
          <cell r="AZ60" t="str">
            <v>H</v>
          </cell>
          <cell r="BA60" t="str">
            <v/>
          </cell>
          <cell r="BB60" t="str">
            <v/>
          </cell>
          <cell r="BC60" t="str">
            <v>Ca 1</v>
          </cell>
          <cell r="BD60" t="str">
            <v/>
          </cell>
          <cell r="BE60">
            <v>72</v>
          </cell>
          <cell r="BF60">
            <v>156</v>
          </cell>
          <cell r="BG60">
            <v>0</v>
          </cell>
          <cell r="BH60">
            <v>0</v>
          </cell>
          <cell r="BI60">
            <v>0</v>
          </cell>
          <cell r="BJ60">
            <v>0</v>
          </cell>
          <cell r="BK60">
            <v>0</v>
          </cell>
          <cell r="BL60">
            <v>0</v>
          </cell>
          <cell r="BM60">
            <v>0</v>
          </cell>
          <cell r="BN60">
            <v>0</v>
          </cell>
          <cell r="BO60">
            <v>0</v>
          </cell>
          <cell r="BP60">
            <v>0</v>
          </cell>
          <cell r="BQ60">
            <v>0</v>
          </cell>
          <cell r="BR60">
            <v>0</v>
          </cell>
          <cell r="BS60">
            <v>16</v>
          </cell>
          <cell r="BT60">
            <v>0</v>
          </cell>
          <cell r="BU60">
            <v>0</v>
          </cell>
          <cell r="BV60">
            <v>0</v>
          </cell>
          <cell r="BW60">
            <v>0</v>
          </cell>
          <cell r="BX60">
            <v>244</v>
          </cell>
          <cell r="BY60">
            <v>0</v>
          </cell>
          <cell r="BZ60">
            <v>0</v>
          </cell>
          <cell r="CA60">
            <v>0</v>
          </cell>
          <cell r="CB60">
            <v>0</v>
          </cell>
          <cell r="CC60">
            <v>0</v>
          </cell>
          <cell r="CD60"/>
          <cell r="CE60"/>
          <cell r="CF60"/>
          <cell r="CG60">
            <v>4</v>
          </cell>
          <cell r="CH60">
            <v>4</v>
          </cell>
          <cell r="CI60">
            <v>4</v>
          </cell>
          <cell r="CJ60">
            <v>0</v>
          </cell>
          <cell r="CK60">
            <v>0</v>
          </cell>
          <cell r="CL60">
            <v>0</v>
          </cell>
          <cell r="CM60">
            <v>0</v>
          </cell>
          <cell r="CN60">
            <v>0</v>
          </cell>
          <cell r="CO60">
            <v>3</v>
          </cell>
          <cell r="CP60">
            <v>0</v>
          </cell>
          <cell r="CQ60">
            <v>0</v>
          </cell>
          <cell r="CR60">
            <v>0</v>
          </cell>
          <cell r="CS60">
            <v>0</v>
          </cell>
          <cell r="CT60">
            <v>0</v>
          </cell>
          <cell r="CU60">
            <v>0</v>
          </cell>
          <cell r="CV60">
            <v>0</v>
          </cell>
          <cell r="CW60">
            <v>0</v>
          </cell>
          <cell r="CX60">
            <v>0</v>
          </cell>
          <cell r="CY60">
            <v>0</v>
          </cell>
          <cell r="CZ60">
            <v>0</v>
          </cell>
          <cell r="DA60">
            <v>4</v>
          </cell>
          <cell r="DB60">
            <v>3</v>
          </cell>
          <cell r="DC60">
            <v>0</v>
          </cell>
          <cell r="DD60">
            <v>4</v>
          </cell>
          <cell r="DE60">
            <v>0</v>
          </cell>
          <cell r="DF60">
            <v>0</v>
          </cell>
          <cell r="DG60">
            <v>0</v>
          </cell>
          <cell r="DH60">
            <v>0</v>
          </cell>
          <cell r="DI60">
            <v>0</v>
          </cell>
          <cell r="DJ60">
            <v>0</v>
          </cell>
          <cell r="DK60">
            <v>0</v>
          </cell>
          <cell r="DL60">
            <v>0</v>
          </cell>
          <cell r="DM60">
            <v>0</v>
          </cell>
          <cell r="DN60" t="str">
            <v/>
          </cell>
          <cell r="DO60" t="str">
            <v/>
          </cell>
          <cell r="DP60" t="str">
            <v/>
          </cell>
          <cell r="DQ60">
            <v>0</v>
          </cell>
          <cell r="DR60"/>
          <cell r="DS60"/>
          <cell r="DT60">
            <v>26</v>
          </cell>
          <cell r="DU60">
            <v>0</v>
          </cell>
          <cell r="DV60"/>
          <cell r="DW60"/>
          <cell r="DX60"/>
          <cell r="DY60"/>
        </row>
        <row r="61">
          <cell r="E61" t="str">
            <v>02920</v>
          </cell>
          <cell r="F61" t="str">
            <v>Nguyễn Tuấn Kiệt</v>
          </cell>
          <cell r="G61" t="str">
            <v>Foaming</v>
          </cell>
          <cell r="H61" t="str">
            <v>FOAMING Rectangular</v>
          </cell>
          <cell r="I61" t="str">
            <v>Skilled worker</v>
          </cell>
          <cell r="J61">
            <v>44312</v>
          </cell>
          <cell r="K61">
            <v>44342</v>
          </cell>
          <cell r="L61" t="str">
            <v>Đ</v>
          </cell>
          <cell r="M61" t="str">
            <v>Đ</v>
          </cell>
          <cell r="N61" t="str">
            <v>Đ</v>
          </cell>
          <cell r="O61" t="str">
            <v>Ca 3</v>
          </cell>
          <cell r="P61" t="str">
            <v>CN</v>
          </cell>
          <cell r="Q61">
            <v>8</v>
          </cell>
          <cell r="R61">
            <v>8</v>
          </cell>
          <cell r="S61">
            <v>8</v>
          </cell>
          <cell r="T61">
            <v>8</v>
          </cell>
          <cell r="U61">
            <v>8</v>
          </cell>
          <cell r="V61">
            <v>8</v>
          </cell>
          <cell r="W61" t="str">
            <v>Ca 2</v>
          </cell>
          <cell r="X61" t="str">
            <v>CN</v>
          </cell>
          <cell r="Y61">
            <v>8</v>
          </cell>
          <cell r="Z61" t="str">
            <v>NP</v>
          </cell>
          <cell r="AA61">
            <v>8</v>
          </cell>
          <cell r="AB61">
            <v>8</v>
          </cell>
          <cell r="AC61">
            <v>8</v>
          </cell>
          <cell r="AD61">
            <v>8</v>
          </cell>
          <cell r="AE61" t="str">
            <v>Ca 1</v>
          </cell>
          <cell r="AF61" t="str">
            <v>CN</v>
          </cell>
          <cell r="AG61" t="str">
            <v>Đ</v>
          </cell>
          <cell r="AH61" t="str">
            <v>Đ</v>
          </cell>
          <cell r="AI61" t="str">
            <v>Đ</v>
          </cell>
          <cell r="AJ61" t="str">
            <v>Đ</v>
          </cell>
          <cell r="AK61">
            <v>8</v>
          </cell>
          <cell r="AL61" t="str">
            <v>Đ</v>
          </cell>
          <cell r="AM61" t="str">
            <v>Ca 3</v>
          </cell>
          <cell r="AN61" t="str">
            <v>CN</v>
          </cell>
          <cell r="AO61">
            <v>8</v>
          </cell>
          <cell r="AP61">
            <v>8</v>
          </cell>
          <cell r="AQ61">
            <v>8</v>
          </cell>
          <cell r="AR61">
            <v>8</v>
          </cell>
          <cell r="AS61">
            <v>8</v>
          </cell>
          <cell r="AT61">
            <v>8</v>
          </cell>
          <cell r="AU61" t="str">
            <v>Ca 2</v>
          </cell>
          <cell r="AV61" t="str">
            <v>H</v>
          </cell>
          <cell r="AW61" t="str">
            <v>X</v>
          </cell>
          <cell r="AX61">
            <v>8</v>
          </cell>
          <cell r="AY61">
            <v>8</v>
          </cell>
          <cell r="AZ61" t="str">
            <v>H</v>
          </cell>
          <cell r="BA61" t="str">
            <v/>
          </cell>
          <cell r="BB61" t="str">
            <v/>
          </cell>
          <cell r="BC61" t="str">
            <v>Ca 2</v>
          </cell>
          <cell r="BD61" t="str">
            <v/>
          </cell>
          <cell r="BE61">
            <v>64</v>
          </cell>
          <cell r="BF61">
            <v>160</v>
          </cell>
          <cell r="BG61">
            <v>0</v>
          </cell>
          <cell r="BH61">
            <v>0</v>
          </cell>
          <cell r="BI61">
            <v>0</v>
          </cell>
          <cell r="BJ61">
            <v>0</v>
          </cell>
          <cell r="BK61">
            <v>1</v>
          </cell>
          <cell r="BL61">
            <v>0</v>
          </cell>
          <cell r="BM61">
            <v>0</v>
          </cell>
          <cell r="BN61">
            <v>0</v>
          </cell>
          <cell r="BO61">
            <v>0</v>
          </cell>
          <cell r="BP61">
            <v>0</v>
          </cell>
          <cell r="BQ61">
            <v>0</v>
          </cell>
          <cell r="BR61">
            <v>0</v>
          </cell>
          <cell r="BS61">
            <v>16</v>
          </cell>
          <cell r="BT61">
            <v>0</v>
          </cell>
          <cell r="BU61">
            <v>0</v>
          </cell>
          <cell r="BV61">
            <v>0</v>
          </cell>
          <cell r="BW61">
            <v>0</v>
          </cell>
          <cell r="BX61">
            <v>240</v>
          </cell>
          <cell r="BY61">
            <v>0</v>
          </cell>
          <cell r="BZ61">
            <v>0</v>
          </cell>
          <cell r="CA61">
            <v>0</v>
          </cell>
          <cell r="CB61">
            <v>0</v>
          </cell>
          <cell r="CC61">
            <v>0</v>
          </cell>
          <cell r="CD61"/>
          <cell r="CE61"/>
          <cell r="CF61"/>
          <cell r="CG61">
            <v>2</v>
          </cell>
          <cell r="CH61">
            <v>4</v>
          </cell>
          <cell r="CI61">
            <v>4</v>
          </cell>
          <cell r="CJ61">
            <v>0</v>
          </cell>
          <cell r="CK61">
            <v>0</v>
          </cell>
          <cell r="CL61">
            <v>0</v>
          </cell>
          <cell r="CM61">
            <v>0</v>
          </cell>
          <cell r="CN61">
            <v>0</v>
          </cell>
          <cell r="CO61">
            <v>0</v>
          </cell>
          <cell r="CP61">
            <v>0</v>
          </cell>
          <cell r="CQ61">
            <v>0</v>
          </cell>
          <cell r="CR61">
            <v>0</v>
          </cell>
          <cell r="CS61">
            <v>0</v>
          </cell>
          <cell r="CT61">
            <v>0</v>
          </cell>
          <cell r="CU61">
            <v>0</v>
          </cell>
          <cell r="CV61">
            <v>0</v>
          </cell>
          <cell r="CW61">
            <v>0</v>
          </cell>
          <cell r="CX61">
            <v>0</v>
          </cell>
          <cell r="CY61">
            <v>0</v>
          </cell>
          <cell r="CZ61">
            <v>0</v>
          </cell>
          <cell r="DA61">
            <v>4</v>
          </cell>
          <cell r="DB61">
            <v>4</v>
          </cell>
          <cell r="DC61">
            <v>4</v>
          </cell>
          <cell r="DD61">
            <v>0</v>
          </cell>
          <cell r="DE61">
            <v>0</v>
          </cell>
          <cell r="DF61">
            <v>0</v>
          </cell>
          <cell r="DG61">
            <v>0</v>
          </cell>
          <cell r="DH61">
            <v>0</v>
          </cell>
          <cell r="DI61">
            <v>0</v>
          </cell>
          <cell r="DJ61">
            <v>0</v>
          </cell>
          <cell r="DK61">
            <v>0</v>
          </cell>
          <cell r="DL61">
            <v>0</v>
          </cell>
          <cell r="DM61">
            <v>0</v>
          </cell>
          <cell r="DN61" t="str">
            <v/>
          </cell>
          <cell r="DO61" t="str">
            <v/>
          </cell>
          <cell r="DP61" t="str">
            <v/>
          </cell>
          <cell r="DQ61">
            <v>0</v>
          </cell>
          <cell r="DR61"/>
          <cell r="DS61"/>
          <cell r="DT61">
            <v>22</v>
          </cell>
          <cell r="DU61">
            <v>0</v>
          </cell>
          <cell r="DV61"/>
          <cell r="DW61"/>
          <cell r="DX61"/>
          <cell r="DY61"/>
        </row>
        <row r="62">
          <cell r="E62" t="str">
            <v>02929</v>
          </cell>
          <cell r="F62" t="str">
            <v>Nguyễn Thị Hoàng Ngọc Phượng</v>
          </cell>
          <cell r="G62" t="str">
            <v>Foaming</v>
          </cell>
          <cell r="H62" t="str">
            <v>FOAMING Production control</v>
          </cell>
          <cell r="I62" t="str">
            <v>Senior Staff</v>
          </cell>
          <cell r="J62">
            <v>44321</v>
          </cell>
          <cell r="K62">
            <v>44381</v>
          </cell>
          <cell r="L62">
            <v>8</v>
          </cell>
          <cell r="M62">
            <v>8</v>
          </cell>
          <cell r="N62" t="str">
            <v>PO</v>
          </cell>
          <cell r="O62" t="str">
            <v>HCVP</v>
          </cell>
          <cell r="P62" t="str">
            <v>CN</v>
          </cell>
          <cell r="Q62">
            <v>8</v>
          </cell>
          <cell r="R62">
            <v>8</v>
          </cell>
          <cell r="S62">
            <v>8</v>
          </cell>
          <cell r="T62">
            <v>8</v>
          </cell>
          <cell r="U62" t="str">
            <v>NP</v>
          </cell>
          <cell r="V62" t="str">
            <v>PO</v>
          </cell>
          <cell r="W62" t="str">
            <v>HCVP</v>
          </cell>
          <cell r="X62" t="str">
            <v>CN</v>
          </cell>
          <cell r="Y62" t="str">
            <v>NP</v>
          </cell>
          <cell r="Z62">
            <v>8</v>
          </cell>
          <cell r="AA62">
            <v>8</v>
          </cell>
          <cell r="AB62">
            <v>8</v>
          </cell>
          <cell r="AC62">
            <v>8</v>
          </cell>
          <cell r="AD62" t="str">
            <v>PO</v>
          </cell>
          <cell r="AE62" t="str">
            <v>HCVP</v>
          </cell>
          <cell r="AF62" t="str">
            <v>CN</v>
          </cell>
          <cell r="AG62">
            <v>8</v>
          </cell>
          <cell r="AH62" t="str">
            <v>NP</v>
          </cell>
          <cell r="AI62">
            <v>8</v>
          </cell>
          <cell r="AJ62">
            <v>8</v>
          </cell>
          <cell r="AK62" t="str">
            <v>NP</v>
          </cell>
          <cell r="AL62" t="str">
            <v>PO</v>
          </cell>
          <cell r="AM62" t="str">
            <v>HCVP</v>
          </cell>
          <cell r="AN62" t="str">
            <v>CN</v>
          </cell>
          <cell r="AO62">
            <v>8</v>
          </cell>
          <cell r="AP62">
            <v>8</v>
          </cell>
          <cell r="AQ62">
            <v>8</v>
          </cell>
          <cell r="AR62">
            <v>8</v>
          </cell>
          <cell r="AS62" t="str">
            <v>NP</v>
          </cell>
          <cell r="AT62" t="str">
            <v>PO</v>
          </cell>
          <cell r="AU62" t="str">
            <v>HCVP</v>
          </cell>
          <cell r="AV62" t="str">
            <v>H</v>
          </cell>
          <cell r="AW62" t="str">
            <v>X</v>
          </cell>
          <cell r="AX62" t="str">
            <v>WH</v>
          </cell>
          <cell r="AY62" t="str">
            <v>WH</v>
          </cell>
          <cell r="AZ62" t="str">
            <v>H</v>
          </cell>
          <cell r="BA62" t="str">
            <v/>
          </cell>
          <cell r="BB62" t="str">
            <v/>
          </cell>
          <cell r="BC62" t="str">
            <v>HCVP</v>
          </cell>
          <cell r="BD62" t="str">
            <v/>
          </cell>
          <cell r="BE62">
            <v>0</v>
          </cell>
          <cell r="BF62">
            <v>136</v>
          </cell>
          <cell r="BG62">
            <v>0</v>
          </cell>
          <cell r="BH62">
            <v>0</v>
          </cell>
          <cell r="BI62">
            <v>0</v>
          </cell>
          <cell r="BJ62">
            <v>0</v>
          </cell>
          <cell r="BK62">
            <v>5</v>
          </cell>
          <cell r="BL62">
            <v>0</v>
          </cell>
          <cell r="BM62">
            <v>40</v>
          </cell>
          <cell r="BN62">
            <v>0</v>
          </cell>
          <cell r="BO62">
            <v>0</v>
          </cell>
          <cell r="BP62">
            <v>0</v>
          </cell>
          <cell r="BQ62">
            <v>0</v>
          </cell>
          <cell r="BR62">
            <v>0</v>
          </cell>
          <cell r="BS62">
            <v>16</v>
          </cell>
          <cell r="BT62">
            <v>0</v>
          </cell>
          <cell r="BU62">
            <v>16</v>
          </cell>
          <cell r="BV62">
            <v>0</v>
          </cell>
          <cell r="BW62">
            <v>0</v>
          </cell>
          <cell r="BX62">
            <v>208</v>
          </cell>
          <cell r="BY62">
            <v>0</v>
          </cell>
          <cell r="BZ62">
            <v>0</v>
          </cell>
          <cell r="CA62">
            <v>0</v>
          </cell>
          <cell r="CB62">
            <v>0</v>
          </cell>
          <cell r="CC62">
            <v>0</v>
          </cell>
          <cell r="CD62"/>
          <cell r="CE62"/>
          <cell r="CF62"/>
          <cell r="CG62">
            <v>0</v>
          </cell>
          <cell r="CH62">
            <v>0</v>
          </cell>
          <cell r="CI62">
            <v>0</v>
          </cell>
          <cell r="CJ62">
            <v>0</v>
          </cell>
          <cell r="CK62">
            <v>0</v>
          </cell>
          <cell r="CL62">
            <v>0</v>
          </cell>
          <cell r="CM62">
            <v>0</v>
          </cell>
          <cell r="CN62">
            <v>0</v>
          </cell>
          <cell r="CO62">
            <v>0</v>
          </cell>
          <cell r="CP62">
            <v>0</v>
          </cell>
          <cell r="CQ62">
            <v>0</v>
          </cell>
          <cell r="CR62">
            <v>0</v>
          </cell>
          <cell r="CS62">
            <v>0</v>
          </cell>
          <cell r="CT62">
            <v>0</v>
          </cell>
          <cell r="CU62">
            <v>0</v>
          </cell>
          <cell r="CV62">
            <v>0</v>
          </cell>
          <cell r="CW62">
            <v>0</v>
          </cell>
          <cell r="CX62">
            <v>0</v>
          </cell>
          <cell r="CY62">
            <v>0</v>
          </cell>
          <cell r="CZ62">
            <v>0</v>
          </cell>
          <cell r="DA62">
            <v>0</v>
          </cell>
          <cell r="DB62">
            <v>0</v>
          </cell>
          <cell r="DC62">
            <v>0</v>
          </cell>
          <cell r="DD62">
            <v>0</v>
          </cell>
          <cell r="DE62">
            <v>0</v>
          </cell>
          <cell r="DF62">
            <v>0</v>
          </cell>
          <cell r="DG62">
            <v>0</v>
          </cell>
          <cell r="DH62">
            <v>0</v>
          </cell>
          <cell r="DI62">
            <v>0</v>
          </cell>
          <cell r="DJ62">
            <v>0</v>
          </cell>
          <cell r="DK62">
            <v>0</v>
          </cell>
          <cell r="DL62">
            <v>0</v>
          </cell>
          <cell r="DM62">
            <v>0</v>
          </cell>
          <cell r="DN62" t="str">
            <v/>
          </cell>
          <cell r="DO62" t="str">
            <v/>
          </cell>
          <cell r="DP62" t="str">
            <v/>
          </cell>
          <cell r="DQ62">
            <v>0</v>
          </cell>
          <cell r="DR62"/>
          <cell r="DS62"/>
          <cell r="DT62">
            <v>0</v>
          </cell>
          <cell r="DU62">
            <v>0</v>
          </cell>
          <cell r="DV62"/>
          <cell r="DW62"/>
          <cell r="DX62"/>
          <cell r="DY62"/>
        </row>
        <row r="63">
          <cell r="E63" t="str">
            <v>00012</v>
          </cell>
          <cell r="F63" t="str">
            <v>Lê Hữu Dũng</v>
          </cell>
          <cell r="G63" t="str">
            <v>Foaming</v>
          </cell>
          <cell r="H63" t="str">
            <v>FOAMING Production control</v>
          </cell>
          <cell r="I63" t="str">
            <v>Deputy Foaming Manager</v>
          </cell>
          <cell r="J63">
            <v>41246</v>
          </cell>
          <cell r="K63">
            <v>41277</v>
          </cell>
          <cell r="L63">
            <v>8</v>
          </cell>
          <cell r="M63">
            <v>8</v>
          </cell>
          <cell r="N63" t="str">
            <v>PO</v>
          </cell>
          <cell r="O63" t="str">
            <v>HCVP</v>
          </cell>
          <cell r="P63" t="str">
            <v>CN</v>
          </cell>
          <cell r="Q63">
            <v>8</v>
          </cell>
          <cell r="R63">
            <v>8</v>
          </cell>
          <cell r="S63">
            <v>8</v>
          </cell>
          <cell r="T63">
            <v>8</v>
          </cell>
          <cell r="U63">
            <v>8</v>
          </cell>
          <cell r="V63" t="str">
            <v>PO</v>
          </cell>
          <cell r="W63" t="str">
            <v>HCVP</v>
          </cell>
          <cell r="X63" t="str">
            <v>CN</v>
          </cell>
          <cell r="Y63">
            <v>8</v>
          </cell>
          <cell r="Z63">
            <v>8</v>
          </cell>
          <cell r="AA63">
            <v>8</v>
          </cell>
          <cell r="AB63">
            <v>8</v>
          </cell>
          <cell r="AC63">
            <v>8</v>
          </cell>
          <cell r="AD63" t="str">
            <v>PO</v>
          </cell>
          <cell r="AE63" t="str">
            <v>HCVP</v>
          </cell>
          <cell r="AF63" t="str">
            <v>CN</v>
          </cell>
          <cell r="AG63">
            <v>8</v>
          </cell>
          <cell r="AH63">
            <v>8</v>
          </cell>
          <cell r="AI63">
            <v>8</v>
          </cell>
          <cell r="AJ63">
            <v>8</v>
          </cell>
          <cell r="AK63">
            <v>8</v>
          </cell>
          <cell r="AL63" t="str">
            <v>PO</v>
          </cell>
          <cell r="AM63" t="str">
            <v>HCVP</v>
          </cell>
          <cell r="AN63" t="str">
            <v>CN</v>
          </cell>
          <cell r="AO63">
            <v>8</v>
          </cell>
          <cell r="AP63">
            <v>8</v>
          </cell>
          <cell r="AQ63">
            <v>8</v>
          </cell>
          <cell r="AR63">
            <v>8</v>
          </cell>
          <cell r="AS63">
            <v>8</v>
          </cell>
          <cell r="AT63" t="str">
            <v>PO</v>
          </cell>
          <cell r="AU63" t="str">
            <v>HCVP</v>
          </cell>
          <cell r="AV63" t="str">
            <v>H</v>
          </cell>
          <cell r="AW63" t="str">
            <v>X</v>
          </cell>
          <cell r="AX63">
            <v>8</v>
          </cell>
          <cell r="AY63">
            <v>8</v>
          </cell>
          <cell r="AZ63" t="str">
            <v>H</v>
          </cell>
          <cell r="BA63" t="str">
            <v/>
          </cell>
          <cell r="BB63" t="str">
            <v/>
          </cell>
          <cell r="BC63" t="str">
            <v>HCVP</v>
          </cell>
          <cell r="BD63" t="str">
            <v/>
          </cell>
          <cell r="BE63">
            <v>0</v>
          </cell>
          <cell r="BF63">
            <v>192</v>
          </cell>
          <cell r="BG63">
            <v>0</v>
          </cell>
          <cell r="BH63">
            <v>0</v>
          </cell>
          <cell r="BI63">
            <v>0</v>
          </cell>
          <cell r="BJ63">
            <v>0</v>
          </cell>
          <cell r="BK63">
            <v>0</v>
          </cell>
          <cell r="BL63">
            <v>0</v>
          </cell>
          <cell r="BM63">
            <v>40</v>
          </cell>
          <cell r="BN63">
            <v>0</v>
          </cell>
          <cell r="BO63">
            <v>0</v>
          </cell>
          <cell r="BP63">
            <v>0</v>
          </cell>
          <cell r="BQ63">
            <v>0</v>
          </cell>
          <cell r="BR63">
            <v>0</v>
          </cell>
          <cell r="BS63">
            <v>16</v>
          </cell>
          <cell r="BT63">
            <v>0</v>
          </cell>
          <cell r="BU63">
            <v>0</v>
          </cell>
          <cell r="BV63">
            <v>0</v>
          </cell>
          <cell r="BW63">
            <v>0</v>
          </cell>
          <cell r="BX63">
            <v>248</v>
          </cell>
          <cell r="BY63">
            <v>0</v>
          </cell>
          <cell r="BZ63">
            <v>0</v>
          </cell>
          <cell r="CA63">
            <v>0</v>
          </cell>
          <cell r="CB63">
            <v>0</v>
          </cell>
          <cell r="CC63">
            <v>0</v>
          </cell>
          <cell r="CD63"/>
          <cell r="CE63"/>
          <cell r="CF63"/>
          <cell r="CG63">
            <v>0</v>
          </cell>
          <cell r="CH63">
            <v>0</v>
          </cell>
          <cell r="CI63">
            <v>0</v>
          </cell>
          <cell r="CJ63">
            <v>0</v>
          </cell>
          <cell r="CK63">
            <v>0</v>
          </cell>
          <cell r="CL63">
            <v>0</v>
          </cell>
          <cell r="CM63">
            <v>0</v>
          </cell>
          <cell r="CN63">
            <v>0</v>
          </cell>
          <cell r="CO63">
            <v>0</v>
          </cell>
          <cell r="CP63">
            <v>0</v>
          </cell>
          <cell r="CQ63">
            <v>0</v>
          </cell>
          <cell r="CR63">
            <v>0</v>
          </cell>
          <cell r="CS63">
            <v>0</v>
          </cell>
          <cell r="CT63">
            <v>0</v>
          </cell>
          <cell r="CU63">
            <v>0</v>
          </cell>
          <cell r="CV63">
            <v>0</v>
          </cell>
          <cell r="CW63">
            <v>0</v>
          </cell>
          <cell r="CX63">
            <v>0</v>
          </cell>
          <cell r="CY63">
            <v>0</v>
          </cell>
          <cell r="CZ63">
            <v>0</v>
          </cell>
          <cell r="DA63">
            <v>0</v>
          </cell>
          <cell r="DB63">
            <v>0</v>
          </cell>
          <cell r="DC63">
            <v>0</v>
          </cell>
          <cell r="DD63">
            <v>0</v>
          </cell>
          <cell r="DE63">
            <v>0</v>
          </cell>
          <cell r="DF63">
            <v>0</v>
          </cell>
          <cell r="DG63">
            <v>0</v>
          </cell>
          <cell r="DH63">
            <v>0</v>
          </cell>
          <cell r="DI63">
            <v>0</v>
          </cell>
          <cell r="DJ63">
            <v>0</v>
          </cell>
          <cell r="DK63">
            <v>0</v>
          </cell>
          <cell r="DL63">
            <v>0</v>
          </cell>
          <cell r="DM63">
            <v>0</v>
          </cell>
          <cell r="DN63" t="str">
            <v/>
          </cell>
          <cell r="DO63" t="str">
            <v/>
          </cell>
          <cell r="DP63" t="str">
            <v/>
          </cell>
          <cell r="DQ63">
            <v>0</v>
          </cell>
          <cell r="DR63"/>
          <cell r="DS63"/>
          <cell r="DT63">
            <v>0</v>
          </cell>
          <cell r="DU63">
            <v>0</v>
          </cell>
          <cell r="DV63"/>
          <cell r="DW63"/>
          <cell r="DX63"/>
          <cell r="DY63"/>
        </row>
        <row r="64">
          <cell r="E64" t="str">
            <v>03053</v>
          </cell>
          <cell r="F64" t="str">
            <v>Nguyễn Việt Hưng</v>
          </cell>
          <cell r="G64" t="str">
            <v>Foaming</v>
          </cell>
          <cell r="H64" t="str">
            <v>FOAMING Rectangular</v>
          </cell>
          <cell r="I64" t="str">
            <v>Worker</v>
          </cell>
          <cell r="J64">
            <v>44504</v>
          </cell>
          <cell r="K64">
            <v>44534</v>
          </cell>
          <cell r="L64">
            <v>8</v>
          </cell>
          <cell r="M64">
            <v>8</v>
          </cell>
          <cell r="N64">
            <v>8</v>
          </cell>
          <cell r="O64" t="str">
            <v>Ca 1</v>
          </cell>
          <cell r="P64" t="str">
            <v>CN</v>
          </cell>
          <cell r="Q64" t="str">
            <v>Đ</v>
          </cell>
          <cell r="R64" t="str">
            <v>Đ</v>
          </cell>
          <cell r="S64" t="str">
            <v>Đ</v>
          </cell>
          <cell r="T64" t="str">
            <v>Đ</v>
          </cell>
          <cell r="U64" t="str">
            <v>Đ</v>
          </cell>
          <cell r="V64" t="str">
            <v>Đ</v>
          </cell>
          <cell r="W64" t="str">
            <v>Ca 3</v>
          </cell>
          <cell r="X64" t="str">
            <v>CN</v>
          </cell>
          <cell r="Y64">
            <v>8</v>
          </cell>
          <cell r="Z64">
            <v>8</v>
          </cell>
          <cell r="AA64">
            <v>8</v>
          </cell>
          <cell r="AB64">
            <v>8</v>
          </cell>
          <cell r="AC64">
            <v>8</v>
          </cell>
          <cell r="AD64">
            <v>8</v>
          </cell>
          <cell r="AE64" t="str">
            <v>HCSX</v>
          </cell>
          <cell r="AF64" t="str">
            <v>CN</v>
          </cell>
          <cell r="AG64" t="str">
            <v>Đ</v>
          </cell>
          <cell r="AH64" t="str">
            <v>Đ</v>
          </cell>
          <cell r="AI64" t="str">
            <v>Đ</v>
          </cell>
          <cell r="AJ64" t="str">
            <v>Đ</v>
          </cell>
          <cell r="AK64">
            <v>8</v>
          </cell>
          <cell r="AL64" t="str">
            <v>Đ</v>
          </cell>
          <cell r="AM64" t="str">
            <v>Ca 3</v>
          </cell>
          <cell r="AN64" t="str">
            <v>CN</v>
          </cell>
          <cell r="AO64">
            <v>8</v>
          </cell>
          <cell r="AP64">
            <v>8</v>
          </cell>
          <cell r="AQ64">
            <v>8</v>
          </cell>
          <cell r="AR64">
            <v>8</v>
          </cell>
          <cell r="AS64">
            <v>8</v>
          </cell>
          <cell r="AT64">
            <v>8</v>
          </cell>
          <cell r="AU64" t="str">
            <v>HCSX</v>
          </cell>
          <cell r="AV64" t="str">
            <v>H</v>
          </cell>
          <cell r="AW64" t="str">
            <v>X</v>
          </cell>
          <cell r="AX64">
            <v>8</v>
          </cell>
          <cell r="AY64" t="str">
            <v>AL8</v>
          </cell>
          <cell r="AZ64" t="str">
            <v>H</v>
          </cell>
          <cell r="BA64" t="str">
            <v/>
          </cell>
          <cell r="BB64" t="str">
            <v/>
          </cell>
          <cell r="BC64" t="str">
            <v>HCSX</v>
          </cell>
          <cell r="BD64" t="str">
            <v/>
          </cell>
          <cell r="BE64">
            <v>88</v>
          </cell>
          <cell r="BF64">
            <v>136</v>
          </cell>
          <cell r="BG64">
            <v>0</v>
          </cell>
          <cell r="BH64">
            <v>0</v>
          </cell>
          <cell r="BI64">
            <v>0</v>
          </cell>
          <cell r="BJ64">
            <v>0</v>
          </cell>
          <cell r="BK64">
            <v>0</v>
          </cell>
          <cell r="BL64">
            <v>0</v>
          </cell>
          <cell r="BM64">
            <v>0</v>
          </cell>
          <cell r="BN64">
            <v>0</v>
          </cell>
          <cell r="BO64">
            <v>0</v>
          </cell>
          <cell r="BP64">
            <v>0</v>
          </cell>
          <cell r="BQ64">
            <v>0</v>
          </cell>
          <cell r="BR64">
            <v>8</v>
          </cell>
          <cell r="BS64">
            <v>16</v>
          </cell>
          <cell r="BT64">
            <v>0</v>
          </cell>
          <cell r="BU64">
            <v>0</v>
          </cell>
          <cell r="BV64">
            <v>0</v>
          </cell>
          <cell r="BW64">
            <v>0</v>
          </cell>
          <cell r="BX64">
            <v>248</v>
          </cell>
          <cell r="BY64">
            <v>1</v>
          </cell>
          <cell r="BZ64">
            <v>0</v>
          </cell>
          <cell r="CA64">
            <v>0</v>
          </cell>
          <cell r="CB64">
            <v>1</v>
          </cell>
          <cell r="CC64">
            <v>1</v>
          </cell>
          <cell r="CD64"/>
          <cell r="CE64"/>
          <cell r="CF64"/>
          <cell r="CG64">
            <v>4</v>
          </cell>
          <cell r="CH64">
            <v>4</v>
          </cell>
          <cell r="CI64">
            <v>4</v>
          </cell>
          <cell r="CJ64">
            <v>0</v>
          </cell>
          <cell r="CK64">
            <v>4</v>
          </cell>
          <cell r="CL64">
            <v>4</v>
          </cell>
          <cell r="CM64">
            <v>4</v>
          </cell>
          <cell r="CN64">
            <v>0</v>
          </cell>
          <cell r="CO64">
            <v>0</v>
          </cell>
          <cell r="CP64">
            <v>0</v>
          </cell>
          <cell r="CQ64">
            <v>0</v>
          </cell>
          <cell r="CR64">
            <v>0</v>
          </cell>
          <cell r="CS64">
            <v>0</v>
          </cell>
          <cell r="CT64">
            <v>0</v>
          </cell>
          <cell r="CU64">
            <v>0</v>
          </cell>
          <cell r="CV64">
            <v>0</v>
          </cell>
          <cell r="CW64">
            <v>0</v>
          </cell>
          <cell r="CX64">
            <v>0</v>
          </cell>
          <cell r="CY64">
            <v>4</v>
          </cell>
          <cell r="CZ64">
            <v>4</v>
          </cell>
          <cell r="DA64">
            <v>4</v>
          </cell>
          <cell r="DB64">
            <v>0</v>
          </cell>
          <cell r="DC64">
            <v>0</v>
          </cell>
          <cell r="DD64">
            <v>0</v>
          </cell>
          <cell r="DE64">
            <v>0</v>
          </cell>
          <cell r="DF64">
            <v>0</v>
          </cell>
          <cell r="DG64">
            <v>0</v>
          </cell>
          <cell r="DH64">
            <v>0</v>
          </cell>
          <cell r="DI64">
            <v>0</v>
          </cell>
          <cell r="DJ64">
            <v>0</v>
          </cell>
          <cell r="DK64">
            <v>0</v>
          </cell>
          <cell r="DL64">
            <v>0</v>
          </cell>
          <cell r="DM64">
            <v>0</v>
          </cell>
          <cell r="DN64" t="str">
            <v/>
          </cell>
          <cell r="DO64" t="str">
            <v/>
          </cell>
          <cell r="DP64" t="str">
            <v/>
          </cell>
          <cell r="DQ64">
            <v>0</v>
          </cell>
          <cell r="DR64"/>
          <cell r="DS64"/>
          <cell r="DT64">
            <v>36</v>
          </cell>
          <cell r="DU64">
            <v>0</v>
          </cell>
          <cell r="DV64"/>
          <cell r="DW64"/>
          <cell r="DX64"/>
          <cell r="DY64"/>
        </row>
        <row r="65">
          <cell r="E65" t="str">
            <v>03065</v>
          </cell>
          <cell r="F65" t="str">
            <v>Nguyễn Ngọc Đức</v>
          </cell>
          <cell r="G65" t="str">
            <v>Foaming</v>
          </cell>
          <cell r="H65" t="str">
            <v>FOAMING Splitting</v>
          </cell>
          <cell r="I65" t="str">
            <v>Worker</v>
          </cell>
          <cell r="J65">
            <v>44511</v>
          </cell>
          <cell r="K65">
            <v>44541</v>
          </cell>
          <cell r="L65">
            <v>8</v>
          </cell>
          <cell r="M65">
            <v>8</v>
          </cell>
          <cell r="N65">
            <v>8</v>
          </cell>
          <cell r="O65" t="str">
            <v>Ca 1</v>
          </cell>
          <cell r="P65" t="str">
            <v>CN</v>
          </cell>
          <cell r="Q65">
            <v>8</v>
          </cell>
          <cell r="R65">
            <v>8</v>
          </cell>
          <cell r="S65">
            <v>8</v>
          </cell>
          <cell r="T65">
            <v>8</v>
          </cell>
          <cell r="U65">
            <v>8</v>
          </cell>
          <cell r="V65">
            <v>8</v>
          </cell>
          <cell r="W65" t="str">
            <v>HCSX</v>
          </cell>
          <cell r="X65" t="str">
            <v>CN</v>
          </cell>
          <cell r="Y65" t="str">
            <v>NP</v>
          </cell>
          <cell r="Z65">
            <v>8</v>
          </cell>
          <cell r="AA65">
            <v>8</v>
          </cell>
          <cell r="AB65">
            <v>8</v>
          </cell>
          <cell r="AC65">
            <v>8</v>
          </cell>
          <cell r="AD65">
            <v>8</v>
          </cell>
          <cell r="AE65" t="str">
            <v>HCSX</v>
          </cell>
          <cell r="AF65" t="str">
            <v>CN</v>
          </cell>
          <cell r="AG65">
            <v>8</v>
          </cell>
          <cell r="AH65">
            <v>8</v>
          </cell>
          <cell r="AI65">
            <v>8</v>
          </cell>
          <cell r="AJ65">
            <v>8</v>
          </cell>
          <cell r="AK65">
            <v>8</v>
          </cell>
          <cell r="AL65">
            <v>8</v>
          </cell>
          <cell r="AM65" t="str">
            <v>Ca 1</v>
          </cell>
          <cell r="AN65" t="str">
            <v>CN</v>
          </cell>
          <cell r="AO65" t="str">
            <v>Đ</v>
          </cell>
          <cell r="AP65" t="str">
            <v>Đ</v>
          </cell>
          <cell r="AQ65" t="str">
            <v>Đ</v>
          </cell>
          <cell r="AR65" t="str">
            <v>Đ</v>
          </cell>
          <cell r="AS65" t="str">
            <v>Đ</v>
          </cell>
          <cell r="AT65" t="str">
            <v>AL8</v>
          </cell>
          <cell r="AU65" t="str">
            <v>Ca 3</v>
          </cell>
          <cell r="AV65" t="str">
            <v>H</v>
          </cell>
          <cell r="AW65" t="str">
            <v>X</v>
          </cell>
          <cell r="AX65" t="str">
            <v>Đ</v>
          </cell>
          <cell r="AY65" t="str">
            <v>AL8</v>
          </cell>
          <cell r="AZ65" t="str">
            <v>H</v>
          </cell>
          <cell r="BA65" t="str">
            <v/>
          </cell>
          <cell r="BB65" t="str">
            <v/>
          </cell>
          <cell r="BC65" t="str">
            <v>Ca 3</v>
          </cell>
          <cell r="BD65" t="str">
            <v/>
          </cell>
          <cell r="BE65">
            <v>48</v>
          </cell>
          <cell r="BF65">
            <v>160</v>
          </cell>
          <cell r="BG65">
            <v>0</v>
          </cell>
          <cell r="BH65">
            <v>0</v>
          </cell>
          <cell r="BI65">
            <v>0</v>
          </cell>
          <cell r="BJ65">
            <v>0</v>
          </cell>
          <cell r="BK65">
            <v>1</v>
          </cell>
          <cell r="BL65">
            <v>0</v>
          </cell>
          <cell r="BM65">
            <v>0</v>
          </cell>
          <cell r="BN65">
            <v>0</v>
          </cell>
          <cell r="BO65">
            <v>0</v>
          </cell>
          <cell r="BP65">
            <v>0</v>
          </cell>
          <cell r="BQ65">
            <v>0</v>
          </cell>
          <cell r="BR65">
            <v>16</v>
          </cell>
          <cell r="BS65">
            <v>16</v>
          </cell>
          <cell r="BT65">
            <v>0</v>
          </cell>
          <cell r="BU65">
            <v>0</v>
          </cell>
          <cell r="BV65">
            <v>0</v>
          </cell>
          <cell r="BW65">
            <v>0</v>
          </cell>
          <cell r="BX65">
            <v>240</v>
          </cell>
          <cell r="BY65">
            <v>2</v>
          </cell>
          <cell r="BZ65">
            <v>0</v>
          </cell>
          <cell r="CA65">
            <v>0</v>
          </cell>
          <cell r="CB65">
            <v>2</v>
          </cell>
          <cell r="CC65">
            <v>2</v>
          </cell>
          <cell r="CD65"/>
          <cell r="CE65"/>
          <cell r="CF65"/>
          <cell r="CG65">
            <v>4</v>
          </cell>
          <cell r="CH65">
            <v>4</v>
          </cell>
          <cell r="CI65">
            <v>4</v>
          </cell>
          <cell r="CJ65">
            <v>0</v>
          </cell>
          <cell r="CK65">
            <v>0</v>
          </cell>
          <cell r="CL65">
            <v>3</v>
          </cell>
          <cell r="CM65">
            <v>3</v>
          </cell>
          <cell r="CN65">
            <v>3</v>
          </cell>
          <cell r="CO65">
            <v>3</v>
          </cell>
          <cell r="CP65">
            <v>0</v>
          </cell>
          <cell r="CQ65">
            <v>0</v>
          </cell>
          <cell r="CR65">
            <v>0</v>
          </cell>
          <cell r="CS65">
            <v>0</v>
          </cell>
          <cell r="CT65">
            <v>0</v>
          </cell>
          <cell r="CU65">
            <v>0</v>
          </cell>
          <cell r="CV65">
            <v>0</v>
          </cell>
          <cell r="CW65">
            <v>0</v>
          </cell>
          <cell r="CX65">
            <v>0</v>
          </cell>
          <cell r="CY65">
            <v>2</v>
          </cell>
          <cell r="CZ65">
            <v>2</v>
          </cell>
          <cell r="DA65">
            <v>0</v>
          </cell>
          <cell r="DB65">
            <v>2</v>
          </cell>
          <cell r="DC65">
            <v>2</v>
          </cell>
          <cell r="DD65">
            <v>0</v>
          </cell>
          <cell r="DE65">
            <v>0</v>
          </cell>
          <cell r="DF65">
            <v>0</v>
          </cell>
          <cell r="DG65">
            <v>0</v>
          </cell>
          <cell r="DH65">
            <v>0</v>
          </cell>
          <cell r="DI65">
            <v>0</v>
          </cell>
          <cell r="DJ65">
            <v>0</v>
          </cell>
          <cell r="DK65">
            <v>0</v>
          </cell>
          <cell r="DL65">
            <v>0</v>
          </cell>
          <cell r="DM65">
            <v>0</v>
          </cell>
          <cell r="DN65" t="str">
            <v/>
          </cell>
          <cell r="DO65" t="str">
            <v/>
          </cell>
          <cell r="DP65" t="str">
            <v/>
          </cell>
          <cell r="DQ65">
            <v>0</v>
          </cell>
          <cell r="DR65"/>
          <cell r="DS65"/>
          <cell r="DT65">
            <v>32</v>
          </cell>
          <cell r="DU65">
            <v>0</v>
          </cell>
          <cell r="DV65"/>
          <cell r="DW65"/>
          <cell r="DX65"/>
          <cell r="DY65"/>
        </row>
        <row r="66">
          <cell r="E66" t="str">
            <v>03071</v>
          </cell>
          <cell r="F66" t="str">
            <v>Hồ Phú Hữu</v>
          </cell>
          <cell r="G66" t="str">
            <v>Foaming</v>
          </cell>
          <cell r="H66" t="str">
            <v>FOAMING Rectangular</v>
          </cell>
          <cell r="I66" t="str">
            <v>Operator</v>
          </cell>
          <cell r="J66">
            <v>44516</v>
          </cell>
          <cell r="K66">
            <v>44546</v>
          </cell>
          <cell r="L66" t="str">
            <v>Đ</v>
          </cell>
          <cell r="M66" t="str">
            <v>Đ</v>
          </cell>
          <cell r="N66" t="str">
            <v>Đ</v>
          </cell>
          <cell r="O66" t="str">
            <v>Ca 3</v>
          </cell>
          <cell r="P66" t="str">
            <v>CN</v>
          </cell>
          <cell r="Q66">
            <v>8</v>
          </cell>
          <cell r="R66">
            <v>8</v>
          </cell>
          <cell r="S66">
            <v>8</v>
          </cell>
          <cell r="T66">
            <v>8</v>
          </cell>
          <cell r="U66">
            <v>8</v>
          </cell>
          <cell r="V66" t="str">
            <v>NP</v>
          </cell>
          <cell r="W66" t="str">
            <v>Ca 2</v>
          </cell>
          <cell r="X66" t="str">
            <v>CN</v>
          </cell>
          <cell r="Y66" t="str">
            <v>NP</v>
          </cell>
          <cell r="Z66">
            <v>8</v>
          </cell>
          <cell r="AA66">
            <v>8</v>
          </cell>
          <cell r="AB66">
            <v>8</v>
          </cell>
          <cell r="AC66">
            <v>8</v>
          </cell>
          <cell r="AD66">
            <v>8</v>
          </cell>
          <cell r="AE66" t="str">
            <v>Ca 1</v>
          </cell>
          <cell r="AF66" t="str">
            <v>CN</v>
          </cell>
          <cell r="AG66" t="str">
            <v>Đ</v>
          </cell>
          <cell r="AH66" t="str">
            <v>Đ</v>
          </cell>
          <cell r="AI66" t="str">
            <v>Đ</v>
          </cell>
          <cell r="AJ66" t="str">
            <v>Đ</v>
          </cell>
          <cell r="AK66">
            <v>8</v>
          </cell>
          <cell r="AL66" t="str">
            <v>Đ</v>
          </cell>
          <cell r="AM66" t="str">
            <v>Ca 3</v>
          </cell>
          <cell r="AN66" t="str">
            <v>CN</v>
          </cell>
          <cell r="AO66">
            <v>8</v>
          </cell>
          <cell r="AP66">
            <v>8</v>
          </cell>
          <cell r="AQ66">
            <v>8</v>
          </cell>
          <cell r="AR66">
            <v>8</v>
          </cell>
          <cell r="AS66">
            <v>8</v>
          </cell>
          <cell r="AT66">
            <v>8</v>
          </cell>
          <cell r="AU66" t="str">
            <v>Ca 2</v>
          </cell>
          <cell r="AV66" t="str">
            <v>H</v>
          </cell>
          <cell r="AW66" t="str">
            <v>X</v>
          </cell>
          <cell r="AX66">
            <v>8</v>
          </cell>
          <cell r="AY66">
            <v>8</v>
          </cell>
          <cell r="AZ66" t="str">
            <v>H</v>
          </cell>
          <cell r="BA66" t="str">
            <v/>
          </cell>
          <cell r="BB66" t="str">
            <v/>
          </cell>
          <cell r="BC66" t="str">
            <v>Ca 2</v>
          </cell>
          <cell r="BD66" t="str">
            <v/>
          </cell>
          <cell r="BE66">
            <v>64</v>
          </cell>
          <cell r="BF66">
            <v>152</v>
          </cell>
          <cell r="BG66">
            <v>0</v>
          </cell>
          <cell r="BH66">
            <v>0</v>
          </cell>
          <cell r="BI66">
            <v>0</v>
          </cell>
          <cell r="BJ66">
            <v>0</v>
          </cell>
          <cell r="BK66">
            <v>2</v>
          </cell>
          <cell r="BL66">
            <v>0</v>
          </cell>
          <cell r="BM66">
            <v>0</v>
          </cell>
          <cell r="BN66">
            <v>0</v>
          </cell>
          <cell r="BO66">
            <v>0</v>
          </cell>
          <cell r="BP66">
            <v>0</v>
          </cell>
          <cell r="BQ66">
            <v>0</v>
          </cell>
          <cell r="BR66">
            <v>0</v>
          </cell>
          <cell r="BS66">
            <v>16</v>
          </cell>
          <cell r="BT66">
            <v>0</v>
          </cell>
          <cell r="BU66">
            <v>0</v>
          </cell>
          <cell r="BV66">
            <v>0</v>
          </cell>
          <cell r="BW66">
            <v>0</v>
          </cell>
          <cell r="BX66">
            <v>232</v>
          </cell>
          <cell r="BY66">
            <v>0</v>
          </cell>
          <cell r="BZ66">
            <v>0</v>
          </cell>
          <cell r="CA66">
            <v>0</v>
          </cell>
          <cell r="CB66">
            <v>0</v>
          </cell>
          <cell r="CC66">
            <v>0</v>
          </cell>
          <cell r="CD66"/>
          <cell r="CE66"/>
          <cell r="CF66"/>
          <cell r="CG66">
            <v>2</v>
          </cell>
          <cell r="CH66">
            <v>4</v>
          </cell>
          <cell r="CI66">
            <v>4</v>
          </cell>
          <cell r="CJ66">
            <v>0</v>
          </cell>
          <cell r="CK66">
            <v>0</v>
          </cell>
          <cell r="CL66">
            <v>0</v>
          </cell>
          <cell r="CM66">
            <v>0</v>
          </cell>
          <cell r="CN66">
            <v>0</v>
          </cell>
          <cell r="CO66">
            <v>0</v>
          </cell>
          <cell r="CP66">
            <v>0</v>
          </cell>
          <cell r="CQ66">
            <v>0</v>
          </cell>
          <cell r="CR66">
            <v>0</v>
          </cell>
          <cell r="CS66">
            <v>0</v>
          </cell>
          <cell r="CT66">
            <v>0</v>
          </cell>
          <cell r="CU66">
            <v>0</v>
          </cell>
          <cell r="CV66">
            <v>0</v>
          </cell>
          <cell r="CW66">
            <v>0</v>
          </cell>
          <cell r="CX66">
            <v>0</v>
          </cell>
          <cell r="CY66">
            <v>0</v>
          </cell>
          <cell r="CZ66">
            <v>0</v>
          </cell>
          <cell r="DA66">
            <v>0</v>
          </cell>
          <cell r="DB66">
            <v>0</v>
          </cell>
          <cell r="DC66">
            <v>4</v>
          </cell>
          <cell r="DD66">
            <v>4</v>
          </cell>
          <cell r="DE66">
            <v>0</v>
          </cell>
          <cell r="DF66">
            <v>4</v>
          </cell>
          <cell r="DG66">
            <v>4</v>
          </cell>
          <cell r="DH66">
            <v>4</v>
          </cell>
          <cell r="DI66">
            <v>0</v>
          </cell>
          <cell r="DJ66">
            <v>0</v>
          </cell>
          <cell r="DK66">
            <v>0</v>
          </cell>
          <cell r="DL66">
            <v>0</v>
          </cell>
          <cell r="DM66">
            <v>0</v>
          </cell>
          <cell r="DN66" t="str">
            <v/>
          </cell>
          <cell r="DO66" t="str">
            <v/>
          </cell>
          <cell r="DP66" t="str">
            <v/>
          </cell>
          <cell r="DQ66">
            <v>0</v>
          </cell>
          <cell r="DR66"/>
          <cell r="DS66"/>
          <cell r="DT66">
            <v>30</v>
          </cell>
          <cell r="DU66">
            <v>0</v>
          </cell>
          <cell r="DV66"/>
          <cell r="DW66"/>
          <cell r="DX66"/>
          <cell r="DY66"/>
        </row>
        <row r="67">
          <cell r="E67" t="str">
            <v>03075</v>
          </cell>
          <cell r="F67" t="str">
            <v>Nguyễn Thị Muội</v>
          </cell>
          <cell r="G67" t="str">
            <v>Foaming</v>
          </cell>
          <cell r="H67" t="str">
            <v>FOAMING Splitting</v>
          </cell>
          <cell r="I67" t="str">
            <v>Worker</v>
          </cell>
          <cell r="J67">
            <v>44516</v>
          </cell>
          <cell r="K67">
            <v>44546</v>
          </cell>
          <cell r="L67">
            <v>8</v>
          </cell>
          <cell r="M67">
            <v>8</v>
          </cell>
          <cell r="N67">
            <v>8</v>
          </cell>
          <cell r="O67" t="str">
            <v>Ca 1</v>
          </cell>
          <cell r="P67" t="str">
            <v>CN</v>
          </cell>
          <cell r="Q67" t="str">
            <v>AL8</v>
          </cell>
          <cell r="R67">
            <v>8</v>
          </cell>
          <cell r="S67">
            <v>8</v>
          </cell>
          <cell r="T67">
            <v>8</v>
          </cell>
          <cell r="U67">
            <v>8</v>
          </cell>
          <cell r="V67">
            <v>8</v>
          </cell>
          <cell r="W67" t="str">
            <v>HCSX</v>
          </cell>
          <cell r="X67" t="str">
            <v>CN</v>
          </cell>
          <cell r="Y67">
            <v>8</v>
          </cell>
          <cell r="Z67">
            <v>8</v>
          </cell>
          <cell r="AA67">
            <v>8</v>
          </cell>
          <cell r="AB67">
            <v>8</v>
          </cell>
          <cell r="AC67">
            <v>8</v>
          </cell>
          <cell r="AD67">
            <v>8</v>
          </cell>
          <cell r="AE67" t="str">
            <v>HCSX</v>
          </cell>
          <cell r="AF67" t="str">
            <v>CN</v>
          </cell>
          <cell r="AG67">
            <v>8</v>
          </cell>
          <cell r="AH67">
            <v>8</v>
          </cell>
          <cell r="AI67">
            <v>8</v>
          </cell>
          <cell r="AJ67">
            <v>8</v>
          </cell>
          <cell r="AK67">
            <v>8</v>
          </cell>
          <cell r="AL67">
            <v>8</v>
          </cell>
          <cell r="AM67" t="str">
            <v>HCSX</v>
          </cell>
          <cell r="AN67" t="str">
            <v>CN</v>
          </cell>
          <cell r="AO67">
            <v>8</v>
          </cell>
          <cell r="AP67">
            <v>8</v>
          </cell>
          <cell r="AQ67">
            <v>8</v>
          </cell>
          <cell r="AR67">
            <v>8</v>
          </cell>
          <cell r="AS67">
            <v>8</v>
          </cell>
          <cell r="AT67">
            <v>8</v>
          </cell>
          <cell r="AU67" t="str">
            <v>HCSX</v>
          </cell>
          <cell r="AV67" t="str">
            <v>H</v>
          </cell>
          <cell r="AW67" t="str">
            <v>X</v>
          </cell>
          <cell r="AX67">
            <v>8</v>
          </cell>
          <cell r="AY67">
            <v>8</v>
          </cell>
          <cell r="AZ67" t="str">
            <v>H</v>
          </cell>
          <cell r="BA67" t="str">
            <v/>
          </cell>
          <cell r="BB67" t="str">
            <v/>
          </cell>
          <cell r="BC67" t="str">
            <v>HCSX</v>
          </cell>
          <cell r="BD67" t="str">
            <v/>
          </cell>
          <cell r="BE67">
            <v>0</v>
          </cell>
          <cell r="BF67">
            <v>224</v>
          </cell>
          <cell r="BG67">
            <v>0</v>
          </cell>
          <cell r="BH67">
            <v>0</v>
          </cell>
          <cell r="BI67">
            <v>0</v>
          </cell>
          <cell r="BJ67">
            <v>0</v>
          </cell>
          <cell r="BK67">
            <v>0</v>
          </cell>
          <cell r="BL67">
            <v>0</v>
          </cell>
          <cell r="BM67">
            <v>0</v>
          </cell>
          <cell r="BN67">
            <v>0</v>
          </cell>
          <cell r="BO67">
            <v>0</v>
          </cell>
          <cell r="BP67">
            <v>0</v>
          </cell>
          <cell r="BQ67">
            <v>0</v>
          </cell>
          <cell r="BR67">
            <v>8</v>
          </cell>
          <cell r="BS67">
            <v>16</v>
          </cell>
          <cell r="BT67">
            <v>0</v>
          </cell>
          <cell r="BU67">
            <v>0</v>
          </cell>
          <cell r="BV67">
            <v>0</v>
          </cell>
          <cell r="BW67">
            <v>0</v>
          </cell>
          <cell r="BX67">
            <v>248</v>
          </cell>
          <cell r="BY67">
            <v>1</v>
          </cell>
          <cell r="BZ67">
            <v>0</v>
          </cell>
          <cell r="CA67">
            <v>0</v>
          </cell>
          <cell r="CB67">
            <v>1</v>
          </cell>
          <cell r="CC67">
            <v>1</v>
          </cell>
          <cell r="CD67"/>
          <cell r="CE67"/>
          <cell r="CF67"/>
          <cell r="CG67">
            <v>2</v>
          </cell>
          <cell r="CH67">
            <v>2</v>
          </cell>
          <cell r="CI67">
            <v>2</v>
          </cell>
          <cell r="CJ67">
            <v>0</v>
          </cell>
          <cell r="CK67">
            <v>0</v>
          </cell>
          <cell r="CL67">
            <v>0</v>
          </cell>
          <cell r="CM67">
            <v>3</v>
          </cell>
          <cell r="CN67">
            <v>3</v>
          </cell>
          <cell r="CO67">
            <v>3</v>
          </cell>
          <cell r="CP67">
            <v>3</v>
          </cell>
          <cell r="CQ67">
            <v>0</v>
          </cell>
          <cell r="CR67">
            <v>2</v>
          </cell>
          <cell r="CS67">
            <v>0</v>
          </cell>
          <cell r="CT67">
            <v>0</v>
          </cell>
          <cell r="CU67">
            <v>3</v>
          </cell>
          <cell r="CV67">
            <v>3</v>
          </cell>
          <cell r="CW67">
            <v>3</v>
          </cell>
          <cell r="CX67">
            <v>0</v>
          </cell>
          <cell r="CY67">
            <v>3</v>
          </cell>
          <cell r="CZ67">
            <v>2</v>
          </cell>
          <cell r="DA67">
            <v>2</v>
          </cell>
          <cell r="DB67">
            <v>0</v>
          </cell>
          <cell r="DC67">
            <v>0</v>
          </cell>
          <cell r="DD67">
            <v>0</v>
          </cell>
          <cell r="DE67">
            <v>0</v>
          </cell>
          <cell r="DF67">
            <v>0</v>
          </cell>
          <cell r="DG67">
            <v>0</v>
          </cell>
          <cell r="DH67">
            <v>0</v>
          </cell>
          <cell r="DI67">
            <v>0</v>
          </cell>
          <cell r="DJ67">
            <v>0</v>
          </cell>
          <cell r="DK67">
            <v>0</v>
          </cell>
          <cell r="DL67">
            <v>0</v>
          </cell>
          <cell r="DM67">
            <v>0</v>
          </cell>
          <cell r="DN67" t="str">
            <v/>
          </cell>
          <cell r="DO67" t="str">
            <v/>
          </cell>
          <cell r="DP67" t="str">
            <v/>
          </cell>
          <cell r="DQ67">
            <v>0</v>
          </cell>
          <cell r="DR67"/>
          <cell r="DS67"/>
          <cell r="DT67">
            <v>36</v>
          </cell>
          <cell r="DU67">
            <v>0</v>
          </cell>
          <cell r="DV67"/>
          <cell r="DW67"/>
          <cell r="DX67"/>
          <cell r="DY67"/>
        </row>
        <row r="68">
          <cell r="E68" t="str">
            <v>03107</v>
          </cell>
          <cell r="F68" t="str">
            <v>Nguyễn Thị Thu Thảo</v>
          </cell>
          <cell r="G68" t="str">
            <v>Foaming</v>
          </cell>
          <cell r="H68" t="str">
            <v>FOAMING Splitting</v>
          </cell>
          <cell r="I68" t="str">
            <v>Worker</v>
          </cell>
          <cell r="J68">
            <v>44529</v>
          </cell>
          <cell r="K68">
            <v>44559</v>
          </cell>
          <cell r="L68">
            <v>8</v>
          </cell>
          <cell r="M68">
            <v>8</v>
          </cell>
          <cell r="N68">
            <v>8</v>
          </cell>
          <cell r="O68" t="str">
            <v>Ca 1</v>
          </cell>
          <cell r="P68" t="str">
            <v>CN</v>
          </cell>
          <cell r="Q68" t="str">
            <v>Đ</v>
          </cell>
          <cell r="R68" t="str">
            <v>Đ</v>
          </cell>
          <cell r="S68" t="str">
            <v>Đ</v>
          </cell>
          <cell r="T68" t="str">
            <v>Đ</v>
          </cell>
          <cell r="U68" t="str">
            <v>Đ</v>
          </cell>
          <cell r="V68" t="str">
            <v>Đ</v>
          </cell>
          <cell r="W68" t="str">
            <v>Ca 3</v>
          </cell>
          <cell r="X68" t="str">
            <v>CN</v>
          </cell>
          <cell r="Y68">
            <v>8</v>
          </cell>
          <cell r="Z68">
            <v>8</v>
          </cell>
          <cell r="AA68">
            <v>8</v>
          </cell>
          <cell r="AB68" t="str">
            <v>Đ</v>
          </cell>
          <cell r="AC68" t="str">
            <v>Đ</v>
          </cell>
          <cell r="AD68" t="str">
            <v>Đ</v>
          </cell>
          <cell r="AE68" t="str">
            <v>HCSX</v>
          </cell>
          <cell r="AF68" t="str">
            <v>CN</v>
          </cell>
          <cell r="AG68" t="str">
            <v>Đ</v>
          </cell>
          <cell r="AH68" t="str">
            <v>Đ</v>
          </cell>
          <cell r="AI68" t="str">
            <v>Đ</v>
          </cell>
          <cell r="AJ68" t="str">
            <v>Đ</v>
          </cell>
          <cell r="AK68" t="str">
            <v>Đ</v>
          </cell>
          <cell r="AL68" t="str">
            <v>Đ</v>
          </cell>
          <cell r="AM68" t="str">
            <v>Ca 3</v>
          </cell>
          <cell r="AN68" t="str">
            <v>CN</v>
          </cell>
          <cell r="AO68">
            <v>8</v>
          </cell>
          <cell r="AP68">
            <v>8</v>
          </cell>
          <cell r="AQ68">
            <v>8</v>
          </cell>
          <cell r="AR68">
            <v>8</v>
          </cell>
          <cell r="AS68">
            <v>8</v>
          </cell>
          <cell r="AT68">
            <v>8</v>
          </cell>
          <cell r="AU68" t="str">
            <v>HCSX</v>
          </cell>
          <cell r="AV68" t="str">
            <v>H</v>
          </cell>
          <cell r="AW68" t="str">
            <v>X</v>
          </cell>
          <cell r="AX68">
            <v>8</v>
          </cell>
          <cell r="AY68">
            <v>8</v>
          </cell>
          <cell r="AZ68" t="str">
            <v>H</v>
          </cell>
          <cell r="BA68" t="str">
            <v/>
          </cell>
          <cell r="BB68" t="str">
            <v/>
          </cell>
          <cell r="BC68" t="str">
            <v>HCSX</v>
          </cell>
          <cell r="BD68" t="str">
            <v/>
          </cell>
          <cell r="BE68">
            <v>120</v>
          </cell>
          <cell r="BF68">
            <v>112</v>
          </cell>
          <cell r="BG68">
            <v>0</v>
          </cell>
          <cell r="BH68">
            <v>0</v>
          </cell>
          <cell r="BI68">
            <v>0</v>
          </cell>
          <cell r="BJ68">
            <v>0</v>
          </cell>
          <cell r="BK68">
            <v>0</v>
          </cell>
          <cell r="BL68">
            <v>0</v>
          </cell>
          <cell r="BM68">
            <v>0</v>
          </cell>
          <cell r="BN68">
            <v>0</v>
          </cell>
          <cell r="BO68">
            <v>0</v>
          </cell>
          <cell r="BP68">
            <v>0</v>
          </cell>
          <cell r="BQ68">
            <v>0</v>
          </cell>
          <cell r="BR68">
            <v>0</v>
          </cell>
          <cell r="BS68">
            <v>16</v>
          </cell>
          <cell r="BT68">
            <v>0</v>
          </cell>
          <cell r="BU68">
            <v>0</v>
          </cell>
          <cell r="BV68">
            <v>0</v>
          </cell>
          <cell r="BW68">
            <v>0</v>
          </cell>
          <cell r="BX68">
            <v>248</v>
          </cell>
          <cell r="BY68">
            <v>0</v>
          </cell>
          <cell r="BZ68">
            <v>0</v>
          </cell>
          <cell r="CA68">
            <v>0</v>
          </cell>
          <cell r="CB68">
            <v>0</v>
          </cell>
          <cell r="CC68">
            <v>0</v>
          </cell>
          <cell r="CD68"/>
          <cell r="CE68"/>
          <cell r="CF68"/>
          <cell r="CG68">
            <v>4</v>
          </cell>
          <cell r="CH68">
            <v>4</v>
          </cell>
          <cell r="CI68">
            <v>4</v>
          </cell>
          <cell r="CJ68">
            <v>0</v>
          </cell>
          <cell r="CK68">
            <v>0</v>
          </cell>
          <cell r="CL68">
            <v>0</v>
          </cell>
          <cell r="CM68">
            <v>0</v>
          </cell>
          <cell r="CN68">
            <v>0</v>
          </cell>
          <cell r="CO68">
            <v>0</v>
          </cell>
          <cell r="CP68">
            <v>0</v>
          </cell>
          <cell r="CQ68">
            <v>0</v>
          </cell>
          <cell r="CR68">
            <v>0</v>
          </cell>
          <cell r="CS68">
            <v>0</v>
          </cell>
          <cell r="CT68">
            <v>0</v>
          </cell>
          <cell r="CU68">
            <v>2</v>
          </cell>
          <cell r="CV68">
            <v>2</v>
          </cell>
          <cell r="CW68">
            <v>2</v>
          </cell>
          <cell r="CX68">
            <v>0</v>
          </cell>
          <cell r="CY68">
            <v>0</v>
          </cell>
          <cell r="CZ68">
            <v>2</v>
          </cell>
          <cell r="DA68">
            <v>2</v>
          </cell>
          <cell r="DB68">
            <v>2</v>
          </cell>
          <cell r="DC68">
            <v>2</v>
          </cell>
          <cell r="DD68">
            <v>0</v>
          </cell>
          <cell r="DE68">
            <v>0</v>
          </cell>
          <cell r="DF68">
            <v>0</v>
          </cell>
          <cell r="DG68">
            <v>0</v>
          </cell>
          <cell r="DH68">
            <v>0</v>
          </cell>
          <cell r="DI68">
            <v>0</v>
          </cell>
          <cell r="DJ68">
            <v>0</v>
          </cell>
          <cell r="DK68">
            <v>0</v>
          </cell>
          <cell r="DL68">
            <v>0</v>
          </cell>
          <cell r="DM68">
            <v>0</v>
          </cell>
          <cell r="DN68" t="str">
            <v/>
          </cell>
          <cell r="DO68" t="str">
            <v/>
          </cell>
          <cell r="DP68" t="str">
            <v/>
          </cell>
          <cell r="DQ68">
            <v>0</v>
          </cell>
          <cell r="DR68"/>
          <cell r="DS68"/>
          <cell r="DT68">
            <v>26</v>
          </cell>
          <cell r="DU68">
            <v>0</v>
          </cell>
          <cell r="DV68"/>
          <cell r="DW68"/>
          <cell r="DX68"/>
          <cell r="DY68"/>
        </row>
        <row r="69">
          <cell r="E69" t="str">
            <v>03108</v>
          </cell>
          <cell r="F69" t="str">
            <v>Nguyễn Thị Cẩm Nguyên</v>
          </cell>
          <cell r="G69" t="str">
            <v>Foaming</v>
          </cell>
          <cell r="H69" t="str">
            <v>FOAMING Splitting</v>
          </cell>
          <cell r="I69" t="str">
            <v>Worker</v>
          </cell>
          <cell r="J69">
            <v>44529</v>
          </cell>
          <cell r="K69">
            <v>44559</v>
          </cell>
          <cell r="L69">
            <v>8</v>
          </cell>
          <cell r="M69">
            <v>8</v>
          </cell>
          <cell r="N69">
            <v>8</v>
          </cell>
          <cell r="O69" t="str">
            <v>HCSX</v>
          </cell>
          <cell r="P69" t="str">
            <v>CN</v>
          </cell>
          <cell r="Q69">
            <v>8</v>
          </cell>
          <cell r="R69">
            <v>8</v>
          </cell>
          <cell r="S69">
            <v>8</v>
          </cell>
          <cell r="T69">
            <v>8</v>
          </cell>
          <cell r="U69">
            <v>4</v>
          </cell>
          <cell r="V69" t="str">
            <v>NP</v>
          </cell>
          <cell r="W69" t="str">
            <v>HCSX</v>
          </cell>
          <cell r="X69" t="str">
            <v>CN</v>
          </cell>
          <cell r="Y69" t="str">
            <v>NP</v>
          </cell>
          <cell r="Z69">
            <v>8</v>
          </cell>
          <cell r="AA69">
            <v>8</v>
          </cell>
          <cell r="AB69">
            <v>8</v>
          </cell>
          <cell r="AC69">
            <v>8</v>
          </cell>
          <cell r="AD69">
            <v>8</v>
          </cell>
          <cell r="AE69" t="str">
            <v>HCSX</v>
          </cell>
          <cell r="AF69" t="str">
            <v>CN</v>
          </cell>
          <cell r="AG69">
            <v>8</v>
          </cell>
          <cell r="AH69">
            <v>8</v>
          </cell>
          <cell r="AI69">
            <v>8</v>
          </cell>
          <cell r="AJ69">
            <v>8</v>
          </cell>
          <cell r="AK69">
            <v>8</v>
          </cell>
          <cell r="AL69">
            <v>8</v>
          </cell>
          <cell r="AM69" t="str">
            <v>HCSX</v>
          </cell>
          <cell r="AN69" t="str">
            <v>CN</v>
          </cell>
          <cell r="AO69">
            <v>8</v>
          </cell>
          <cell r="AP69">
            <v>8</v>
          </cell>
          <cell r="AQ69">
            <v>8</v>
          </cell>
          <cell r="AR69">
            <v>8</v>
          </cell>
          <cell r="AS69">
            <v>8</v>
          </cell>
          <cell r="AT69">
            <v>8</v>
          </cell>
          <cell r="AU69" t="str">
            <v>HCSX</v>
          </cell>
          <cell r="AV69" t="str">
            <v>H</v>
          </cell>
          <cell r="AW69" t="str">
            <v>X</v>
          </cell>
          <cell r="AX69">
            <v>8</v>
          </cell>
          <cell r="AY69">
            <v>8</v>
          </cell>
          <cell r="AZ69" t="str">
            <v>H</v>
          </cell>
          <cell r="BA69" t="str">
            <v/>
          </cell>
          <cell r="BB69" t="str">
            <v/>
          </cell>
          <cell r="BC69" t="str">
            <v>HCSX</v>
          </cell>
          <cell r="BD69" t="str">
            <v/>
          </cell>
          <cell r="BE69">
            <v>0</v>
          </cell>
          <cell r="BF69">
            <v>212</v>
          </cell>
          <cell r="BG69">
            <v>0</v>
          </cell>
          <cell r="BH69">
            <v>0</v>
          </cell>
          <cell r="BI69">
            <v>0</v>
          </cell>
          <cell r="BJ69">
            <v>0</v>
          </cell>
          <cell r="BK69">
            <v>2</v>
          </cell>
          <cell r="BL69">
            <v>0</v>
          </cell>
          <cell r="BM69">
            <v>0</v>
          </cell>
          <cell r="BN69">
            <v>0</v>
          </cell>
          <cell r="BO69">
            <v>0</v>
          </cell>
          <cell r="BP69">
            <v>0</v>
          </cell>
          <cell r="BQ69">
            <v>0</v>
          </cell>
          <cell r="BR69">
            <v>0</v>
          </cell>
          <cell r="BS69">
            <v>16</v>
          </cell>
          <cell r="BT69">
            <v>0</v>
          </cell>
          <cell r="BU69">
            <v>0</v>
          </cell>
          <cell r="BV69">
            <v>0</v>
          </cell>
          <cell r="BW69">
            <v>0</v>
          </cell>
          <cell r="BX69">
            <v>228</v>
          </cell>
          <cell r="BY69">
            <v>0</v>
          </cell>
          <cell r="BZ69">
            <v>0</v>
          </cell>
          <cell r="CA69">
            <v>0</v>
          </cell>
          <cell r="CB69">
            <v>0</v>
          </cell>
          <cell r="CC69">
            <v>0</v>
          </cell>
          <cell r="CD69"/>
          <cell r="CE69"/>
          <cell r="CF69"/>
          <cell r="CG69">
            <v>3</v>
          </cell>
          <cell r="CH69">
            <v>3</v>
          </cell>
          <cell r="CI69">
            <v>3</v>
          </cell>
          <cell r="CJ69">
            <v>0</v>
          </cell>
          <cell r="CK69">
            <v>2</v>
          </cell>
          <cell r="CL69">
            <v>2</v>
          </cell>
          <cell r="CM69">
            <v>2</v>
          </cell>
          <cell r="CN69">
            <v>2</v>
          </cell>
          <cell r="CO69">
            <v>0</v>
          </cell>
          <cell r="CP69">
            <v>0</v>
          </cell>
          <cell r="CQ69">
            <v>0</v>
          </cell>
          <cell r="CR69">
            <v>0</v>
          </cell>
          <cell r="CS69">
            <v>0</v>
          </cell>
          <cell r="CT69">
            <v>2</v>
          </cell>
          <cell r="CU69">
            <v>0</v>
          </cell>
          <cell r="CV69">
            <v>1</v>
          </cell>
          <cell r="CW69">
            <v>0</v>
          </cell>
          <cell r="CX69">
            <v>0</v>
          </cell>
          <cell r="CY69">
            <v>0</v>
          </cell>
          <cell r="CZ69">
            <v>0</v>
          </cell>
          <cell r="DA69">
            <v>0</v>
          </cell>
          <cell r="DB69">
            <v>0</v>
          </cell>
          <cell r="DC69">
            <v>0</v>
          </cell>
          <cell r="DD69">
            <v>0</v>
          </cell>
          <cell r="DE69">
            <v>0</v>
          </cell>
          <cell r="DF69">
            <v>0</v>
          </cell>
          <cell r="DG69">
            <v>0</v>
          </cell>
          <cell r="DH69">
            <v>0</v>
          </cell>
          <cell r="DI69">
            <v>0</v>
          </cell>
          <cell r="DJ69">
            <v>0</v>
          </cell>
          <cell r="DK69">
            <v>0</v>
          </cell>
          <cell r="DL69">
            <v>0</v>
          </cell>
          <cell r="DM69">
            <v>0</v>
          </cell>
          <cell r="DN69" t="str">
            <v/>
          </cell>
          <cell r="DO69" t="str">
            <v/>
          </cell>
          <cell r="DP69" t="str">
            <v/>
          </cell>
          <cell r="DQ69">
            <v>0</v>
          </cell>
          <cell r="DR69"/>
          <cell r="DS69"/>
          <cell r="DT69">
            <v>20</v>
          </cell>
          <cell r="DU69">
            <v>0</v>
          </cell>
          <cell r="DV69"/>
          <cell r="DW69"/>
          <cell r="DX69"/>
          <cell r="DY69"/>
        </row>
        <row r="70">
          <cell r="E70" t="str">
            <v>03227</v>
          </cell>
          <cell r="F70" t="str">
            <v>Nguyễn Văn Kha</v>
          </cell>
          <cell r="G70" t="str">
            <v>Foaming</v>
          </cell>
          <cell r="H70" t="str">
            <v>FOAMING Rectangular</v>
          </cell>
          <cell r="I70" t="str">
            <v>Operator</v>
          </cell>
          <cell r="J70">
            <v>44603</v>
          </cell>
          <cell r="K70">
            <v>44633</v>
          </cell>
          <cell r="L70">
            <v>8</v>
          </cell>
          <cell r="M70">
            <v>8</v>
          </cell>
          <cell r="N70">
            <v>8</v>
          </cell>
          <cell r="O70" t="str">
            <v>Ca 1</v>
          </cell>
          <cell r="P70" t="str">
            <v>CN</v>
          </cell>
          <cell r="Q70">
            <v>8</v>
          </cell>
          <cell r="R70">
            <v>8</v>
          </cell>
          <cell r="S70">
            <v>8</v>
          </cell>
          <cell r="T70">
            <v>8</v>
          </cell>
          <cell r="U70">
            <v>8</v>
          </cell>
          <cell r="V70">
            <v>8</v>
          </cell>
          <cell r="W70" t="str">
            <v>Ca 2</v>
          </cell>
          <cell r="X70" t="str">
            <v>CN</v>
          </cell>
          <cell r="Y70">
            <v>8</v>
          </cell>
          <cell r="Z70">
            <v>8</v>
          </cell>
          <cell r="AA70">
            <v>8</v>
          </cell>
          <cell r="AB70">
            <v>8</v>
          </cell>
          <cell r="AC70">
            <v>8</v>
          </cell>
          <cell r="AD70">
            <v>8</v>
          </cell>
          <cell r="AE70" t="str">
            <v>Ca 1</v>
          </cell>
          <cell r="AF70" t="str">
            <v>CN</v>
          </cell>
          <cell r="AG70" t="str">
            <v>Đ</v>
          </cell>
          <cell r="AH70" t="str">
            <v>Đ</v>
          </cell>
          <cell r="AI70" t="str">
            <v>Đ</v>
          </cell>
          <cell r="AJ70" t="str">
            <v>Đ</v>
          </cell>
          <cell r="AK70">
            <v>8</v>
          </cell>
          <cell r="AL70" t="str">
            <v>Đ</v>
          </cell>
          <cell r="AM70" t="str">
            <v>Ca 3</v>
          </cell>
          <cell r="AN70" t="str">
            <v>CN</v>
          </cell>
          <cell r="AO70">
            <v>8</v>
          </cell>
          <cell r="AP70">
            <v>8</v>
          </cell>
          <cell r="AQ70">
            <v>8</v>
          </cell>
          <cell r="AR70">
            <v>8</v>
          </cell>
          <cell r="AS70">
            <v>8</v>
          </cell>
          <cell r="AT70">
            <v>8</v>
          </cell>
          <cell r="AU70" t="str">
            <v>Ca 1</v>
          </cell>
          <cell r="AV70" t="str">
            <v>H</v>
          </cell>
          <cell r="AW70" t="str">
            <v>X</v>
          </cell>
          <cell r="AX70">
            <v>8</v>
          </cell>
          <cell r="AY70">
            <v>8</v>
          </cell>
          <cell r="AZ70" t="str">
            <v>H</v>
          </cell>
          <cell r="BA70" t="str">
            <v/>
          </cell>
          <cell r="BB70" t="str">
            <v/>
          </cell>
          <cell r="BC70" t="str">
            <v>Ca 1</v>
          </cell>
          <cell r="BD70" t="str">
            <v/>
          </cell>
          <cell r="BE70">
            <v>40</v>
          </cell>
          <cell r="BF70">
            <v>192</v>
          </cell>
          <cell r="BG70">
            <v>0</v>
          </cell>
          <cell r="BH70">
            <v>0</v>
          </cell>
          <cell r="BI70">
            <v>0</v>
          </cell>
          <cell r="BJ70">
            <v>0</v>
          </cell>
          <cell r="BK70">
            <v>0</v>
          </cell>
          <cell r="BL70">
            <v>0</v>
          </cell>
          <cell r="BM70">
            <v>0</v>
          </cell>
          <cell r="BN70">
            <v>0</v>
          </cell>
          <cell r="BO70">
            <v>0</v>
          </cell>
          <cell r="BP70">
            <v>0</v>
          </cell>
          <cell r="BQ70">
            <v>0</v>
          </cell>
          <cell r="BR70">
            <v>0</v>
          </cell>
          <cell r="BS70">
            <v>16</v>
          </cell>
          <cell r="BT70">
            <v>0</v>
          </cell>
          <cell r="BU70">
            <v>0</v>
          </cell>
          <cell r="BV70">
            <v>0</v>
          </cell>
          <cell r="BW70">
            <v>0</v>
          </cell>
          <cell r="BX70">
            <v>248</v>
          </cell>
          <cell r="BY70">
            <v>0</v>
          </cell>
          <cell r="BZ70">
            <v>0</v>
          </cell>
          <cell r="CA70">
            <v>0</v>
          </cell>
          <cell r="CB70">
            <v>0</v>
          </cell>
          <cell r="CC70">
            <v>0</v>
          </cell>
          <cell r="CD70"/>
          <cell r="CE70"/>
          <cell r="CF70"/>
          <cell r="CG70">
            <v>4</v>
          </cell>
          <cell r="CH70">
            <v>4</v>
          </cell>
          <cell r="CI70">
            <v>4</v>
          </cell>
          <cell r="CJ70">
            <v>0</v>
          </cell>
          <cell r="CK70">
            <v>0</v>
          </cell>
          <cell r="CL70">
            <v>0</v>
          </cell>
          <cell r="CM70">
            <v>0</v>
          </cell>
          <cell r="CN70">
            <v>0</v>
          </cell>
          <cell r="CO70">
            <v>0</v>
          </cell>
          <cell r="CP70">
            <v>0</v>
          </cell>
          <cell r="CQ70">
            <v>0</v>
          </cell>
          <cell r="CR70">
            <v>0</v>
          </cell>
          <cell r="CS70">
            <v>0</v>
          </cell>
          <cell r="CT70">
            <v>0</v>
          </cell>
          <cell r="CU70">
            <v>0</v>
          </cell>
          <cell r="CV70">
            <v>0</v>
          </cell>
          <cell r="CW70">
            <v>0</v>
          </cell>
          <cell r="CX70">
            <v>0</v>
          </cell>
          <cell r="CY70">
            <v>4</v>
          </cell>
          <cell r="CZ70">
            <v>4</v>
          </cell>
          <cell r="DA70">
            <v>0</v>
          </cell>
          <cell r="DB70">
            <v>0</v>
          </cell>
          <cell r="DC70">
            <v>0</v>
          </cell>
          <cell r="DD70">
            <v>4</v>
          </cell>
          <cell r="DE70">
            <v>0</v>
          </cell>
          <cell r="DF70">
            <v>4</v>
          </cell>
          <cell r="DG70">
            <v>0</v>
          </cell>
          <cell r="DH70">
            <v>4</v>
          </cell>
          <cell r="DI70">
            <v>4</v>
          </cell>
          <cell r="DJ70">
            <v>0</v>
          </cell>
          <cell r="DK70">
            <v>0</v>
          </cell>
          <cell r="DL70">
            <v>0</v>
          </cell>
          <cell r="DM70">
            <v>0</v>
          </cell>
          <cell r="DN70" t="str">
            <v/>
          </cell>
          <cell r="DO70" t="str">
            <v/>
          </cell>
          <cell r="DP70" t="str">
            <v/>
          </cell>
          <cell r="DQ70">
            <v>0</v>
          </cell>
          <cell r="DR70"/>
          <cell r="DS70"/>
          <cell r="DT70">
            <v>36</v>
          </cell>
          <cell r="DU70">
            <v>0</v>
          </cell>
          <cell r="DV70"/>
          <cell r="DW70"/>
          <cell r="DX70"/>
          <cell r="DY70"/>
        </row>
        <row r="71">
          <cell r="E71" t="str">
            <v>03267</v>
          </cell>
          <cell r="F71" t="str">
            <v>Lê Duy Khang</v>
          </cell>
          <cell r="G71" t="str">
            <v>Foaming</v>
          </cell>
          <cell r="H71" t="str">
            <v>FOAMING Rectangular</v>
          </cell>
          <cell r="I71" t="str">
            <v>Operator</v>
          </cell>
          <cell r="J71">
            <v>44610</v>
          </cell>
          <cell r="K71">
            <v>44640</v>
          </cell>
          <cell r="L71" t="str">
            <v>Đ</v>
          </cell>
          <cell r="M71" t="str">
            <v>Đ</v>
          </cell>
          <cell r="N71" t="str">
            <v>Đ</v>
          </cell>
          <cell r="O71" t="str">
            <v>Ca 3</v>
          </cell>
          <cell r="P71" t="str">
            <v>CN</v>
          </cell>
          <cell r="Q71" t="str">
            <v>Đ</v>
          </cell>
          <cell r="R71" t="str">
            <v>Đ</v>
          </cell>
          <cell r="S71" t="str">
            <v>Đ</v>
          </cell>
          <cell r="T71" t="str">
            <v>Đ</v>
          </cell>
          <cell r="U71" t="str">
            <v>Đ</v>
          </cell>
          <cell r="V71" t="str">
            <v>Đ</v>
          </cell>
          <cell r="W71" t="str">
            <v>Ca 3</v>
          </cell>
          <cell r="X71" t="str">
            <v>CN</v>
          </cell>
          <cell r="Y71">
            <v>8</v>
          </cell>
          <cell r="Z71" t="str">
            <v>NP</v>
          </cell>
          <cell r="AA71">
            <v>8</v>
          </cell>
          <cell r="AB71">
            <v>8</v>
          </cell>
          <cell r="AC71">
            <v>8</v>
          </cell>
          <cell r="AD71">
            <v>8</v>
          </cell>
          <cell r="AE71" t="str">
            <v>Ca 2</v>
          </cell>
          <cell r="AF71" t="str">
            <v>CN</v>
          </cell>
          <cell r="AG71">
            <v>8</v>
          </cell>
          <cell r="AH71">
            <v>8</v>
          </cell>
          <cell r="AI71">
            <v>8</v>
          </cell>
          <cell r="AJ71">
            <v>8</v>
          </cell>
          <cell r="AK71">
            <v>8</v>
          </cell>
          <cell r="AL71">
            <v>8</v>
          </cell>
          <cell r="AM71" t="str">
            <v>Ca 1</v>
          </cell>
          <cell r="AN71" t="str">
            <v>CN</v>
          </cell>
          <cell r="AO71" t="str">
            <v>Đ</v>
          </cell>
          <cell r="AP71" t="str">
            <v>Đ</v>
          </cell>
          <cell r="AQ71" t="str">
            <v>Đ</v>
          </cell>
          <cell r="AR71" t="str">
            <v>Đ</v>
          </cell>
          <cell r="AS71" t="str">
            <v>Đ</v>
          </cell>
          <cell r="AT71" t="str">
            <v>AL8</v>
          </cell>
          <cell r="AU71" t="str">
            <v>Ca 3</v>
          </cell>
          <cell r="AV71" t="str">
            <v>H</v>
          </cell>
          <cell r="AW71" t="str">
            <v>X</v>
          </cell>
          <cell r="AX71" t="str">
            <v>Đ</v>
          </cell>
          <cell r="AY71" t="str">
            <v>NP</v>
          </cell>
          <cell r="AZ71" t="str">
            <v>H</v>
          </cell>
          <cell r="BA71" t="str">
            <v/>
          </cell>
          <cell r="BB71" t="str">
            <v/>
          </cell>
          <cell r="BC71" t="str">
            <v>Ca 3</v>
          </cell>
          <cell r="BD71" t="str">
            <v/>
          </cell>
          <cell r="BE71">
            <v>120</v>
          </cell>
          <cell r="BF71">
            <v>88</v>
          </cell>
          <cell r="BG71">
            <v>0</v>
          </cell>
          <cell r="BH71">
            <v>0</v>
          </cell>
          <cell r="BI71">
            <v>0</v>
          </cell>
          <cell r="BJ71">
            <v>0</v>
          </cell>
          <cell r="BK71">
            <v>2</v>
          </cell>
          <cell r="BL71">
            <v>0</v>
          </cell>
          <cell r="BM71">
            <v>0</v>
          </cell>
          <cell r="BN71">
            <v>0</v>
          </cell>
          <cell r="BO71">
            <v>0</v>
          </cell>
          <cell r="BP71">
            <v>0</v>
          </cell>
          <cell r="BQ71">
            <v>0</v>
          </cell>
          <cell r="BR71">
            <v>8</v>
          </cell>
          <cell r="BS71">
            <v>16</v>
          </cell>
          <cell r="BT71">
            <v>0</v>
          </cell>
          <cell r="BU71">
            <v>0</v>
          </cell>
          <cell r="BV71">
            <v>0</v>
          </cell>
          <cell r="BW71">
            <v>0</v>
          </cell>
          <cell r="BX71">
            <v>232</v>
          </cell>
          <cell r="BY71">
            <v>1</v>
          </cell>
          <cell r="BZ71">
            <v>0</v>
          </cell>
          <cell r="CA71">
            <v>0</v>
          </cell>
          <cell r="CB71">
            <v>1</v>
          </cell>
          <cell r="CC71">
            <v>1</v>
          </cell>
          <cell r="CD71"/>
          <cell r="CE71"/>
          <cell r="CF71"/>
          <cell r="CG71">
            <v>4</v>
          </cell>
          <cell r="CH71">
            <v>4</v>
          </cell>
          <cell r="CI71">
            <v>4</v>
          </cell>
          <cell r="CJ71">
            <v>0</v>
          </cell>
          <cell r="CK71">
            <v>4</v>
          </cell>
          <cell r="CL71">
            <v>4</v>
          </cell>
          <cell r="CM71">
            <v>4</v>
          </cell>
          <cell r="CN71">
            <v>0</v>
          </cell>
          <cell r="CO71">
            <v>0</v>
          </cell>
          <cell r="CP71">
            <v>0</v>
          </cell>
          <cell r="CQ71">
            <v>0</v>
          </cell>
          <cell r="CR71">
            <v>0</v>
          </cell>
          <cell r="CS71">
            <v>0</v>
          </cell>
          <cell r="CT71">
            <v>0</v>
          </cell>
          <cell r="CU71">
            <v>0</v>
          </cell>
          <cell r="CV71">
            <v>0</v>
          </cell>
          <cell r="CW71">
            <v>0</v>
          </cell>
          <cell r="CX71">
            <v>0</v>
          </cell>
          <cell r="CY71">
            <v>4</v>
          </cell>
          <cell r="CZ71">
            <v>4</v>
          </cell>
          <cell r="DA71">
            <v>0</v>
          </cell>
          <cell r="DB71">
            <v>0</v>
          </cell>
          <cell r="DC71">
            <v>0</v>
          </cell>
          <cell r="DD71">
            <v>0</v>
          </cell>
          <cell r="DE71">
            <v>0</v>
          </cell>
          <cell r="DF71">
            <v>0</v>
          </cell>
          <cell r="DG71">
            <v>0</v>
          </cell>
          <cell r="DH71">
            <v>0</v>
          </cell>
          <cell r="DI71">
            <v>0</v>
          </cell>
          <cell r="DJ71">
            <v>0</v>
          </cell>
          <cell r="DK71">
            <v>0</v>
          </cell>
          <cell r="DL71">
            <v>0</v>
          </cell>
          <cell r="DM71">
            <v>0</v>
          </cell>
          <cell r="DN71" t="str">
            <v/>
          </cell>
          <cell r="DO71" t="str">
            <v/>
          </cell>
          <cell r="DP71" t="str">
            <v/>
          </cell>
          <cell r="DQ71">
            <v>0</v>
          </cell>
          <cell r="DR71"/>
          <cell r="DS71"/>
          <cell r="DT71">
            <v>32</v>
          </cell>
          <cell r="DU71">
            <v>0</v>
          </cell>
          <cell r="DV71"/>
          <cell r="DW71"/>
          <cell r="DX71"/>
          <cell r="DY71"/>
        </row>
        <row r="72">
          <cell r="E72" t="str">
            <v>03363</v>
          </cell>
          <cell r="F72" t="str">
            <v>Nguyễn Văn Sáng</v>
          </cell>
          <cell r="G72" t="str">
            <v>Foaming</v>
          </cell>
          <cell r="H72" t="str">
            <v>FOAMING Splitting</v>
          </cell>
          <cell r="I72" t="str">
            <v>Operator</v>
          </cell>
          <cell r="J72">
            <v>44630</v>
          </cell>
          <cell r="K72">
            <v>44660</v>
          </cell>
          <cell r="L72" t="str">
            <v>Đ</v>
          </cell>
          <cell r="M72" t="str">
            <v>Đ</v>
          </cell>
          <cell r="N72" t="str">
            <v>Đ</v>
          </cell>
          <cell r="O72" t="str">
            <v>Ca 3</v>
          </cell>
          <cell r="P72" t="str">
            <v>CN</v>
          </cell>
          <cell r="Q72">
            <v>8</v>
          </cell>
          <cell r="R72">
            <v>8</v>
          </cell>
          <cell r="S72">
            <v>8</v>
          </cell>
          <cell r="T72">
            <v>8</v>
          </cell>
          <cell r="U72">
            <v>8</v>
          </cell>
          <cell r="V72">
            <v>8</v>
          </cell>
          <cell r="W72" t="str">
            <v>Ca 1</v>
          </cell>
          <cell r="X72" t="str">
            <v>CN</v>
          </cell>
          <cell r="Y72" t="str">
            <v>Đ</v>
          </cell>
          <cell r="Z72" t="str">
            <v>Đ</v>
          </cell>
          <cell r="AA72" t="str">
            <v>Đ</v>
          </cell>
          <cell r="AB72" t="str">
            <v>Đ</v>
          </cell>
          <cell r="AC72" t="str">
            <v>NP</v>
          </cell>
          <cell r="AD72">
            <v>0</v>
          </cell>
          <cell r="AE72" t="str">
            <v>Ca 3</v>
          </cell>
          <cell r="AF72" t="str">
            <v>NP</v>
          </cell>
          <cell r="AG72">
            <v>8</v>
          </cell>
          <cell r="AH72">
            <v>8</v>
          </cell>
          <cell r="AI72">
            <v>8</v>
          </cell>
          <cell r="AJ72">
            <v>8</v>
          </cell>
          <cell r="AK72">
            <v>8</v>
          </cell>
          <cell r="AL72" t="str">
            <v>CN</v>
          </cell>
          <cell r="AM72" t="str">
            <v>Ca 1</v>
          </cell>
          <cell r="AN72" t="str">
            <v>Đ</v>
          </cell>
          <cell r="AO72" t="str">
            <v>Đ</v>
          </cell>
          <cell r="AP72" t="str">
            <v>Đ</v>
          </cell>
          <cell r="AQ72" t="str">
            <v>Đ</v>
          </cell>
          <cell r="AR72" t="str">
            <v>Đ</v>
          </cell>
          <cell r="AS72" t="str">
            <v>Đ</v>
          </cell>
          <cell r="AT72" t="str">
            <v>CN</v>
          </cell>
          <cell r="AU72" t="str">
            <v>Ca 3</v>
          </cell>
          <cell r="AV72" t="str">
            <v>H</v>
          </cell>
          <cell r="AW72" t="str">
            <v>X</v>
          </cell>
          <cell r="AX72" t="str">
            <v>NP</v>
          </cell>
          <cell r="AY72" t="str">
            <v>NP</v>
          </cell>
          <cell r="AZ72" t="str">
            <v>H</v>
          </cell>
          <cell r="BA72" t="str">
            <v/>
          </cell>
          <cell r="BB72" t="str">
            <v/>
          </cell>
          <cell r="BC72" t="str">
            <v>Ca 3</v>
          </cell>
          <cell r="BD72" t="str">
            <v/>
          </cell>
          <cell r="BE72">
            <v>104</v>
          </cell>
          <cell r="BF72">
            <v>88</v>
          </cell>
          <cell r="BG72">
            <v>0</v>
          </cell>
          <cell r="BH72">
            <v>0</v>
          </cell>
          <cell r="BI72">
            <v>0</v>
          </cell>
          <cell r="BJ72">
            <v>0</v>
          </cell>
          <cell r="BK72">
            <v>4</v>
          </cell>
          <cell r="BL72">
            <v>0</v>
          </cell>
          <cell r="BM72">
            <v>0</v>
          </cell>
          <cell r="BN72">
            <v>0</v>
          </cell>
          <cell r="BO72">
            <v>0</v>
          </cell>
          <cell r="BP72">
            <v>0</v>
          </cell>
          <cell r="BQ72">
            <v>0</v>
          </cell>
          <cell r="BR72">
            <v>0</v>
          </cell>
          <cell r="BS72">
            <v>16</v>
          </cell>
          <cell r="BT72">
            <v>0</v>
          </cell>
          <cell r="BU72">
            <v>0</v>
          </cell>
          <cell r="BV72">
            <v>0</v>
          </cell>
          <cell r="BW72">
            <v>0</v>
          </cell>
          <cell r="BX72">
            <v>208</v>
          </cell>
          <cell r="BY72">
            <v>0</v>
          </cell>
          <cell r="BZ72">
            <v>0</v>
          </cell>
          <cell r="CA72">
            <v>0</v>
          </cell>
          <cell r="CB72">
            <v>0</v>
          </cell>
          <cell r="CC72">
            <v>0</v>
          </cell>
          <cell r="CD72"/>
          <cell r="CE72"/>
          <cell r="CF72"/>
          <cell r="CG72">
            <v>4</v>
          </cell>
          <cell r="CH72">
            <v>4</v>
          </cell>
          <cell r="CI72">
            <v>4</v>
          </cell>
          <cell r="CJ72">
            <v>0</v>
          </cell>
          <cell r="CK72">
            <v>2</v>
          </cell>
          <cell r="CL72">
            <v>2</v>
          </cell>
          <cell r="CM72">
            <v>2</v>
          </cell>
          <cell r="CN72">
            <v>2</v>
          </cell>
          <cell r="CO72">
            <v>2</v>
          </cell>
          <cell r="CP72">
            <v>0</v>
          </cell>
          <cell r="CQ72">
            <v>0</v>
          </cell>
          <cell r="CR72">
            <v>0</v>
          </cell>
          <cell r="CS72">
            <v>0</v>
          </cell>
          <cell r="CT72">
            <v>0</v>
          </cell>
          <cell r="CU72">
            <v>2</v>
          </cell>
          <cell r="CV72">
            <v>0</v>
          </cell>
          <cell r="CW72">
            <v>0</v>
          </cell>
          <cell r="CX72">
            <v>0</v>
          </cell>
          <cell r="CY72">
            <v>0</v>
          </cell>
          <cell r="CZ72">
            <v>0</v>
          </cell>
          <cell r="DA72">
            <v>0</v>
          </cell>
          <cell r="DB72">
            <v>0</v>
          </cell>
          <cell r="DC72">
            <v>0</v>
          </cell>
          <cell r="DD72">
            <v>0</v>
          </cell>
          <cell r="DE72">
            <v>4</v>
          </cell>
          <cell r="DF72">
            <v>0</v>
          </cell>
          <cell r="DG72">
            <v>0</v>
          </cell>
          <cell r="DH72">
            <v>0</v>
          </cell>
          <cell r="DI72">
            <v>0</v>
          </cell>
          <cell r="DJ72">
            <v>0</v>
          </cell>
          <cell r="DK72">
            <v>0</v>
          </cell>
          <cell r="DL72">
            <v>0</v>
          </cell>
          <cell r="DM72">
            <v>0</v>
          </cell>
          <cell r="DN72" t="str">
            <v/>
          </cell>
          <cell r="DO72" t="str">
            <v/>
          </cell>
          <cell r="DP72" t="str">
            <v/>
          </cell>
          <cell r="DQ72">
            <v>0</v>
          </cell>
          <cell r="DR72"/>
          <cell r="DS72"/>
          <cell r="DT72">
            <v>24</v>
          </cell>
          <cell r="DU72">
            <v>4</v>
          </cell>
          <cell r="DV72"/>
          <cell r="DW72"/>
          <cell r="DX72"/>
          <cell r="DY72"/>
        </row>
        <row r="73">
          <cell r="E73" t="str">
            <v>03366</v>
          </cell>
          <cell r="F73" t="str">
            <v>Lê Chí Hiển</v>
          </cell>
          <cell r="G73" t="str">
            <v>Foaming</v>
          </cell>
          <cell r="H73" t="str">
            <v>FOAMING Rectangular</v>
          </cell>
          <cell r="I73" t="str">
            <v>Skilled worker</v>
          </cell>
          <cell r="J73">
            <v>44630</v>
          </cell>
          <cell r="K73">
            <v>44660</v>
          </cell>
          <cell r="L73" t="str">
            <v>Đ</v>
          </cell>
          <cell r="M73" t="str">
            <v>Đ</v>
          </cell>
          <cell r="N73" t="str">
            <v>Đ</v>
          </cell>
          <cell r="O73" t="str">
            <v>Ca 3</v>
          </cell>
          <cell r="P73" t="str">
            <v>CN</v>
          </cell>
          <cell r="Q73">
            <v>8</v>
          </cell>
          <cell r="R73">
            <v>8</v>
          </cell>
          <cell r="S73">
            <v>8</v>
          </cell>
          <cell r="T73">
            <v>8</v>
          </cell>
          <cell r="U73">
            <v>8</v>
          </cell>
          <cell r="V73">
            <v>8</v>
          </cell>
          <cell r="W73" t="str">
            <v>Ca 2</v>
          </cell>
          <cell r="X73" t="str">
            <v>CN</v>
          </cell>
          <cell r="Y73">
            <v>8</v>
          </cell>
          <cell r="Z73">
            <v>8</v>
          </cell>
          <cell r="AA73">
            <v>8</v>
          </cell>
          <cell r="AB73">
            <v>8</v>
          </cell>
          <cell r="AC73">
            <v>8</v>
          </cell>
          <cell r="AD73">
            <v>8</v>
          </cell>
          <cell r="AE73" t="str">
            <v>Ca 1</v>
          </cell>
          <cell r="AF73" t="str">
            <v>CN</v>
          </cell>
          <cell r="AG73" t="str">
            <v>Đ</v>
          </cell>
          <cell r="AH73" t="str">
            <v>Đ</v>
          </cell>
          <cell r="AI73" t="str">
            <v>Đ</v>
          </cell>
          <cell r="AJ73" t="str">
            <v>Đ</v>
          </cell>
          <cell r="AK73">
            <v>8</v>
          </cell>
          <cell r="AL73" t="str">
            <v>Đ</v>
          </cell>
          <cell r="AM73" t="str">
            <v>Ca 3</v>
          </cell>
          <cell r="AN73" t="str">
            <v>CN</v>
          </cell>
          <cell r="AO73">
            <v>8</v>
          </cell>
          <cell r="AP73">
            <v>8</v>
          </cell>
          <cell r="AQ73">
            <v>8</v>
          </cell>
          <cell r="AR73">
            <v>4</v>
          </cell>
          <cell r="AS73">
            <v>8</v>
          </cell>
          <cell r="AT73">
            <v>8</v>
          </cell>
          <cell r="AU73" t="str">
            <v>Ca 2</v>
          </cell>
          <cell r="AV73" t="str">
            <v>H</v>
          </cell>
          <cell r="AW73" t="str">
            <v>X</v>
          </cell>
          <cell r="AX73">
            <v>8</v>
          </cell>
          <cell r="AY73" t="str">
            <v>NP</v>
          </cell>
          <cell r="AZ73" t="str">
            <v>H</v>
          </cell>
          <cell r="BA73" t="str">
            <v/>
          </cell>
          <cell r="BB73" t="str">
            <v/>
          </cell>
          <cell r="BC73" t="str">
            <v>Ca 2</v>
          </cell>
          <cell r="BD73" t="str">
            <v/>
          </cell>
          <cell r="BE73">
            <v>64</v>
          </cell>
          <cell r="BF73">
            <v>156</v>
          </cell>
          <cell r="BG73">
            <v>0</v>
          </cell>
          <cell r="BH73">
            <v>0</v>
          </cell>
          <cell r="BI73">
            <v>0</v>
          </cell>
          <cell r="BJ73">
            <v>0</v>
          </cell>
          <cell r="BK73">
            <v>1</v>
          </cell>
          <cell r="BL73">
            <v>0</v>
          </cell>
          <cell r="BM73">
            <v>0</v>
          </cell>
          <cell r="BN73">
            <v>0</v>
          </cell>
          <cell r="BO73">
            <v>0</v>
          </cell>
          <cell r="BP73">
            <v>0</v>
          </cell>
          <cell r="BQ73">
            <v>0</v>
          </cell>
          <cell r="BR73">
            <v>0</v>
          </cell>
          <cell r="BS73">
            <v>16</v>
          </cell>
          <cell r="BT73">
            <v>0</v>
          </cell>
          <cell r="BU73">
            <v>0</v>
          </cell>
          <cell r="BV73">
            <v>0</v>
          </cell>
          <cell r="BW73">
            <v>0</v>
          </cell>
          <cell r="BX73">
            <v>236</v>
          </cell>
          <cell r="BY73">
            <v>0</v>
          </cell>
          <cell r="BZ73">
            <v>0</v>
          </cell>
          <cell r="CA73">
            <v>0</v>
          </cell>
          <cell r="CB73">
            <v>0</v>
          </cell>
          <cell r="CC73">
            <v>0</v>
          </cell>
          <cell r="CD73"/>
          <cell r="CE73"/>
          <cell r="CF73"/>
          <cell r="CG73">
            <v>4</v>
          </cell>
          <cell r="CH73">
            <v>2</v>
          </cell>
          <cell r="CI73">
            <v>0</v>
          </cell>
          <cell r="CJ73">
            <v>0</v>
          </cell>
          <cell r="CK73">
            <v>0</v>
          </cell>
          <cell r="CL73">
            <v>0</v>
          </cell>
          <cell r="CM73">
            <v>0</v>
          </cell>
          <cell r="CN73">
            <v>0</v>
          </cell>
          <cell r="CO73">
            <v>0</v>
          </cell>
          <cell r="CP73">
            <v>0</v>
          </cell>
          <cell r="CQ73">
            <v>0</v>
          </cell>
          <cell r="CR73">
            <v>0</v>
          </cell>
          <cell r="CS73">
            <v>0</v>
          </cell>
          <cell r="CT73">
            <v>0</v>
          </cell>
          <cell r="CU73">
            <v>0</v>
          </cell>
          <cell r="CV73">
            <v>0</v>
          </cell>
          <cell r="CW73">
            <v>0</v>
          </cell>
          <cell r="CX73">
            <v>0</v>
          </cell>
          <cell r="CY73">
            <v>0</v>
          </cell>
          <cell r="CZ73">
            <v>0</v>
          </cell>
          <cell r="DA73">
            <v>4</v>
          </cell>
          <cell r="DB73">
            <v>4</v>
          </cell>
          <cell r="DC73">
            <v>0</v>
          </cell>
          <cell r="DD73">
            <v>0</v>
          </cell>
          <cell r="DE73">
            <v>0</v>
          </cell>
          <cell r="DF73">
            <v>0</v>
          </cell>
          <cell r="DG73">
            <v>0</v>
          </cell>
          <cell r="DH73">
            <v>0</v>
          </cell>
          <cell r="DI73">
            <v>0</v>
          </cell>
          <cell r="DJ73">
            <v>0</v>
          </cell>
          <cell r="DK73">
            <v>0</v>
          </cell>
          <cell r="DL73">
            <v>0</v>
          </cell>
          <cell r="DM73">
            <v>0</v>
          </cell>
          <cell r="DN73" t="str">
            <v/>
          </cell>
          <cell r="DO73" t="str">
            <v/>
          </cell>
          <cell r="DP73" t="str">
            <v/>
          </cell>
          <cell r="DQ73">
            <v>0</v>
          </cell>
          <cell r="DR73"/>
          <cell r="DS73"/>
          <cell r="DT73">
            <v>14</v>
          </cell>
          <cell r="DU73">
            <v>0</v>
          </cell>
          <cell r="DV73"/>
          <cell r="DW73"/>
          <cell r="DX73"/>
          <cell r="DY73"/>
        </row>
        <row r="74">
          <cell r="E74" t="str">
            <v>03373</v>
          </cell>
          <cell r="F74" t="str">
            <v>Phan Minh Gạch</v>
          </cell>
          <cell r="G74" t="str">
            <v>Foaming</v>
          </cell>
          <cell r="H74" t="str">
            <v>FOAMING Splitting</v>
          </cell>
          <cell r="I74" t="str">
            <v>Operator</v>
          </cell>
          <cell r="J74">
            <v>44634</v>
          </cell>
          <cell r="K74">
            <v>44664</v>
          </cell>
          <cell r="L74" t="str">
            <v>Đ</v>
          </cell>
          <cell r="M74" t="str">
            <v>Đ</v>
          </cell>
          <cell r="N74" t="str">
            <v>Đ</v>
          </cell>
          <cell r="O74" t="str">
            <v>Ca 3</v>
          </cell>
          <cell r="P74" t="str">
            <v>CN</v>
          </cell>
          <cell r="Q74">
            <v>8</v>
          </cell>
          <cell r="R74">
            <v>8</v>
          </cell>
          <cell r="S74">
            <v>8</v>
          </cell>
          <cell r="T74">
            <v>8</v>
          </cell>
          <cell r="U74">
            <v>8</v>
          </cell>
          <cell r="V74">
            <v>8</v>
          </cell>
          <cell r="W74" t="str">
            <v>Ca 2</v>
          </cell>
          <cell r="X74" t="str">
            <v>CN</v>
          </cell>
          <cell r="Y74">
            <v>8</v>
          </cell>
          <cell r="Z74">
            <v>8</v>
          </cell>
          <cell r="AA74">
            <v>8</v>
          </cell>
          <cell r="AB74">
            <v>8</v>
          </cell>
          <cell r="AC74">
            <v>8</v>
          </cell>
          <cell r="AD74">
            <v>8</v>
          </cell>
          <cell r="AE74" t="str">
            <v>Ca 1</v>
          </cell>
          <cell r="AF74" t="str">
            <v>CN</v>
          </cell>
          <cell r="AG74">
            <v>8</v>
          </cell>
          <cell r="AH74">
            <v>8</v>
          </cell>
          <cell r="AI74">
            <v>8</v>
          </cell>
          <cell r="AJ74">
            <v>8</v>
          </cell>
          <cell r="AK74" t="str">
            <v>Đ</v>
          </cell>
          <cell r="AL74" t="str">
            <v>Đ</v>
          </cell>
          <cell r="AM74" t="str">
            <v>Ca 2</v>
          </cell>
          <cell r="AN74" t="str">
            <v>CN</v>
          </cell>
          <cell r="AO74" t="str">
            <v>NP</v>
          </cell>
          <cell r="AP74">
            <v>8</v>
          </cell>
          <cell r="AQ74">
            <v>8</v>
          </cell>
          <cell r="AR74">
            <v>8</v>
          </cell>
          <cell r="AS74">
            <v>8</v>
          </cell>
          <cell r="AT74">
            <v>8</v>
          </cell>
          <cell r="AU74" t="str">
            <v>Ca 1</v>
          </cell>
          <cell r="AV74" t="str">
            <v>H</v>
          </cell>
          <cell r="AW74" t="str">
            <v>X</v>
          </cell>
          <cell r="AX74">
            <v>8</v>
          </cell>
          <cell r="AY74">
            <v>8</v>
          </cell>
          <cell r="AZ74" t="str">
            <v>H</v>
          </cell>
          <cell r="BA74" t="str">
            <v/>
          </cell>
          <cell r="BB74" t="str">
            <v/>
          </cell>
          <cell r="BC74" t="str">
            <v>Ca 1</v>
          </cell>
          <cell r="BD74" t="str">
            <v/>
          </cell>
          <cell r="BE74">
            <v>40</v>
          </cell>
          <cell r="BF74">
            <v>184</v>
          </cell>
          <cell r="BG74">
            <v>0</v>
          </cell>
          <cell r="BH74">
            <v>0</v>
          </cell>
          <cell r="BI74">
            <v>0</v>
          </cell>
          <cell r="BJ74">
            <v>0</v>
          </cell>
          <cell r="BK74">
            <v>1</v>
          </cell>
          <cell r="BL74">
            <v>0</v>
          </cell>
          <cell r="BM74">
            <v>0</v>
          </cell>
          <cell r="BN74">
            <v>0</v>
          </cell>
          <cell r="BO74">
            <v>0</v>
          </cell>
          <cell r="BP74">
            <v>0</v>
          </cell>
          <cell r="BQ74">
            <v>0</v>
          </cell>
          <cell r="BR74">
            <v>0</v>
          </cell>
          <cell r="BS74">
            <v>16</v>
          </cell>
          <cell r="BT74">
            <v>0</v>
          </cell>
          <cell r="BU74">
            <v>0</v>
          </cell>
          <cell r="BV74">
            <v>0</v>
          </cell>
          <cell r="BW74">
            <v>0</v>
          </cell>
          <cell r="BX74">
            <v>240</v>
          </cell>
          <cell r="BY74">
            <v>0</v>
          </cell>
          <cell r="BZ74">
            <v>0</v>
          </cell>
          <cell r="CA74">
            <v>0</v>
          </cell>
          <cell r="CB74">
            <v>0</v>
          </cell>
          <cell r="CC74">
            <v>0</v>
          </cell>
          <cell r="CD74"/>
          <cell r="CE74"/>
          <cell r="CF74"/>
          <cell r="CG74">
            <v>4</v>
          </cell>
          <cell r="CH74">
            <v>0</v>
          </cell>
          <cell r="CI74">
            <v>2</v>
          </cell>
          <cell r="CJ74">
            <v>0</v>
          </cell>
          <cell r="CK74">
            <v>0</v>
          </cell>
          <cell r="CL74">
            <v>0</v>
          </cell>
          <cell r="CM74">
            <v>0</v>
          </cell>
          <cell r="CN74">
            <v>4</v>
          </cell>
          <cell r="CO74">
            <v>4</v>
          </cell>
          <cell r="CP74">
            <v>4</v>
          </cell>
          <cell r="CQ74">
            <v>0</v>
          </cell>
          <cell r="CR74">
            <v>0</v>
          </cell>
          <cell r="CS74">
            <v>0</v>
          </cell>
          <cell r="CT74">
            <v>0</v>
          </cell>
          <cell r="CU74">
            <v>2</v>
          </cell>
          <cell r="CV74">
            <v>4</v>
          </cell>
          <cell r="CW74">
            <v>4</v>
          </cell>
          <cell r="CX74">
            <v>0</v>
          </cell>
          <cell r="CY74">
            <v>0</v>
          </cell>
          <cell r="CZ74">
            <v>0</v>
          </cell>
          <cell r="DA74">
            <v>0</v>
          </cell>
          <cell r="DB74">
            <v>0</v>
          </cell>
          <cell r="DC74">
            <v>4</v>
          </cell>
          <cell r="DD74">
            <v>4</v>
          </cell>
          <cell r="DE74">
            <v>0</v>
          </cell>
          <cell r="DF74">
            <v>0</v>
          </cell>
          <cell r="DG74">
            <v>0</v>
          </cell>
          <cell r="DH74">
            <v>0</v>
          </cell>
          <cell r="DI74">
            <v>0</v>
          </cell>
          <cell r="DJ74">
            <v>0</v>
          </cell>
          <cell r="DK74">
            <v>0</v>
          </cell>
          <cell r="DL74">
            <v>0</v>
          </cell>
          <cell r="DM74">
            <v>0</v>
          </cell>
          <cell r="DN74" t="str">
            <v/>
          </cell>
          <cell r="DO74" t="str">
            <v/>
          </cell>
          <cell r="DP74" t="str">
            <v/>
          </cell>
          <cell r="DQ74">
            <v>0</v>
          </cell>
          <cell r="DR74"/>
          <cell r="DS74"/>
          <cell r="DT74">
            <v>36</v>
          </cell>
          <cell r="DU74">
            <v>0</v>
          </cell>
          <cell r="DV74"/>
          <cell r="DW74"/>
          <cell r="DX74"/>
          <cell r="DY74"/>
        </row>
        <row r="75">
          <cell r="E75" t="str">
            <v>03376</v>
          </cell>
          <cell r="F75" t="str">
            <v>Ngô Vũ Luân</v>
          </cell>
          <cell r="G75" t="str">
            <v>Foaming</v>
          </cell>
          <cell r="H75" t="str">
            <v>FOAMING Rectangular</v>
          </cell>
          <cell r="I75" t="str">
            <v>Skilled worker</v>
          </cell>
          <cell r="J75">
            <v>44634</v>
          </cell>
          <cell r="K75">
            <v>44664</v>
          </cell>
          <cell r="L75">
            <v>8</v>
          </cell>
          <cell r="M75">
            <v>8</v>
          </cell>
          <cell r="N75">
            <v>8</v>
          </cell>
          <cell r="O75" t="str">
            <v>Ca 1</v>
          </cell>
          <cell r="P75" t="str">
            <v>CN</v>
          </cell>
          <cell r="Q75">
            <v>8</v>
          </cell>
          <cell r="R75">
            <v>8</v>
          </cell>
          <cell r="S75">
            <v>8</v>
          </cell>
          <cell r="T75">
            <v>8</v>
          </cell>
          <cell r="U75">
            <v>8</v>
          </cell>
          <cell r="V75">
            <v>8</v>
          </cell>
          <cell r="W75" t="str">
            <v>Ca 1</v>
          </cell>
          <cell r="X75" t="str">
            <v>CN</v>
          </cell>
          <cell r="Y75" t="str">
            <v>Đ</v>
          </cell>
          <cell r="Z75" t="str">
            <v>Đ</v>
          </cell>
          <cell r="AA75" t="str">
            <v>Đ</v>
          </cell>
          <cell r="AB75" t="str">
            <v>Đ</v>
          </cell>
          <cell r="AC75" t="str">
            <v>Đ</v>
          </cell>
          <cell r="AD75" t="str">
            <v>Đ</v>
          </cell>
          <cell r="AE75" t="str">
            <v>Ca 3</v>
          </cell>
          <cell r="AF75" t="str">
            <v>CN</v>
          </cell>
          <cell r="AG75">
            <v>8</v>
          </cell>
          <cell r="AH75">
            <v>8</v>
          </cell>
          <cell r="AI75">
            <v>8</v>
          </cell>
          <cell r="AJ75">
            <v>8</v>
          </cell>
          <cell r="AK75">
            <v>8</v>
          </cell>
          <cell r="AL75">
            <v>8</v>
          </cell>
          <cell r="AM75" t="str">
            <v>Ca 2</v>
          </cell>
          <cell r="AN75" t="str">
            <v>CN</v>
          </cell>
          <cell r="AO75">
            <v>8</v>
          </cell>
          <cell r="AP75">
            <v>8</v>
          </cell>
          <cell r="AQ75">
            <v>4</v>
          </cell>
          <cell r="AR75">
            <v>4</v>
          </cell>
          <cell r="AS75">
            <v>8</v>
          </cell>
          <cell r="AT75">
            <v>8</v>
          </cell>
          <cell r="AU75" t="str">
            <v>Ca 1</v>
          </cell>
          <cell r="AV75" t="str">
            <v>H</v>
          </cell>
          <cell r="AW75" t="str">
            <v>X</v>
          </cell>
          <cell r="AX75">
            <v>8</v>
          </cell>
          <cell r="AY75">
            <v>8</v>
          </cell>
          <cell r="AZ75" t="str">
            <v>H</v>
          </cell>
          <cell r="BA75" t="str">
            <v/>
          </cell>
          <cell r="BB75" t="str">
            <v/>
          </cell>
          <cell r="BC75" t="str">
            <v>Ca 1</v>
          </cell>
          <cell r="BD75" t="str">
            <v/>
          </cell>
          <cell r="BE75">
            <v>48</v>
          </cell>
          <cell r="BF75">
            <v>176</v>
          </cell>
          <cell r="BG75">
            <v>0</v>
          </cell>
          <cell r="BH75">
            <v>0</v>
          </cell>
          <cell r="BI75">
            <v>0</v>
          </cell>
          <cell r="BJ75">
            <v>0</v>
          </cell>
          <cell r="BK75">
            <v>0</v>
          </cell>
          <cell r="BL75">
            <v>0</v>
          </cell>
          <cell r="BM75">
            <v>0</v>
          </cell>
          <cell r="BN75">
            <v>0</v>
          </cell>
          <cell r="BO75">
            <v>0</v>
          </cell>
          <cell r="BP75">
            <v>0</v>
          </cell>
          <cell r="BQ75">
            <v>0</v>
          </cell>
          <cell r="BR75">
            <v>0</v>
          </cell>
          <cell r="BS75">
            <v>16</v>
          </cell>
          <cell r="BT75">
            <v>0</v>
          </cell>
          <cell r="BU75">
            <v>0</v>
          </cell>
          <cell r="BV75">
            <v>0</v>
          </cell>
          <cell r="BW75">
            <v>0</v>
          </cell>
          <cell r="BX75">
            <v>240</v>
          </cell>
          <cell r="BY75">
            <v>0</v>
          </cell>
          <cell r="BZ75">
            <v>0</v>
          </cell>
          <cell r="CA75">
            <v>0</v>
          </cell>
          <cell r="CB75">
            <v>0</v>
          </cell>
          <cell r="CC75">
            <v>0</v>
          </cell>
          <cell r="CD75"/>
          <cell r="CE75"/>
          <cell r="CF75"/>
          <cell r="CG75">
            <v>4</v>
          </cell>
          <cell r="CH75">
            <v>0</v>
          </cell>
          <cell r="CI75">
            <v>0</v>
          </cell>
          <cell r="CJ75">
            <v>0</v>
          </cell>
          <cell r="CK75">
            <v>0</v>
          </cell>
          <cell r="CL75">
            <v>0</v>
          </cell>
          <cell r="CM75">
            <v>4</v>
          </cell>
          <cell r="CN75">
            <v>0</v>
          </cell>
          <cell r="CO75">
            <v>0</v>
          </cell>
          <cell r="CP75">
            <v>0</v>
          </cell>
          <cell r="CQ75">
            <v>0</v>
          </cell>
          <cell r="CR75">
            <v>0</v>
          </cell>
          <cell r="CS75">
            <v>4</v>
          </cell>
          <cell r="CT75">
            <v>0</v>
          </cell>
          <cell r="CU75">
            <v>0</v>
          </cell>
          <cell r="CV75">
            <v>0</v>
          </cell>
          <cell r="CW75">
            <v>0</v>
          </cell>
          <cell r="CX75">
            <v>0</v>
          </cell>
          <cell r="CY75">
            <v>0</v>
          </cell>
          <cell r="CZ75">
            <v>0</v>
          </cell>
          <cell r="DA75">
            <v>4</v>
          </cell>
          <cell r="DB75">
            <v>0</v>
          </cell>
          <cell r="DC75">
            <v>3</v>
          </cell>
          <cell r="DD75">
            <v>4</v>
          </cell>
          <cell r="DE75">
            <v>0</v>
          </cell>
          <cell r="DF75">
            <v>0</v>
          </cell>
          <cell r="DG75">
            <v>0</v>
          </cell>
          <cell r="DH75">
            <v>4</v>
          </cell>
          <cell r="DI75">
            <v>4</v>
          </cell>
          <cell r="DJ75">
            <v>0</v>
          </cell>
          <cell r="DK75">
            <v>0</v>
          </cell>
          <cell r="DL75">
            <v>0</v>
          </cell>
          <cell r="DM75">
            <v>0</v>
          </cell>
          <cell r="DN75" t="str">
            <v/>
          </cell>
          <cell r="DO75" t="str">
            <v/>
          </cell>
          <cell r="DP75" t="str">
            <v/>
          </cell>
          <cell r="DQ75">
            <v>0</v>
          </cell>
          <cell r="DR75"/>
          <cell r="DS75"/>
          <cell r="DT75">
            <v>31</v>
          </cell>
          <cell r="DU75">
            <v>0</v>
          </cell>
          <cell r="DV75"/>
          <cell r="DW75"/>
          <cell r="DX75"/>
          <cell r="DY75"/>
        </row>
        <row r="76">
          <cell r="E76" t="str">
            <v>03514</v>
          </cell>
          <cell r="F76" t="str">
            <v>Giáp Thị Kiều</v>
          </cell>
          <cell r="G76" t="str">
            <v>Foaming</v>
          </cell>
          <cell r="H76" t="str">
            <v>FOAMING Splitting</v>
          </cell>
          <cell r="I76" t="str">
            <v>Worker</v>
          </cell>
          <cell r="J76">
            <v>44704</v>
          </cell>
          <cell r="K76">
            <v>44734</v>
          </cell>
          <cell r="L76" t="str">
            <v>Đ</v>
          </cell>
          <cell r="M76" t="str">
            <v>Đ</v>
          </cell>
          <cell r="N76" t="str">
            <v>Đ</v>
          </cell>
          <cell r="O76" t="str">
            <v>Ca 3</v>
          </cell>
          <cell r="P76" t="str">
            <v>CN</v>
          </cell>
          <cell r="Q76">
            <v>8</v>
          </cell>
          <cell r="R76">
            <v>8</v>
          </cell>
          <cell r="S76">
            <v>8</v>
          </cell>
          <cell r="T76">
            <v>8</v>
          </cell>
          <cell r="U76">
            <v>8</v>
          </cell>
          <cell r="V76">
            <v>8</v>
          </cell>
          <cell r="W76" t="str">
            <v>Ca 1</v>
          </cell>
          <cell r="X76" t="str">
            <v>CN</v>
          </cell>
          <cell r="Y76" t="str">
            <v>Đ</v>
          </cell>
          <cell r="Z76" t="str">
            <v>Đ</v>
          </cell>
          <cell r="AA76" t="str">
            <v>Đ</v>
          </cell>
          <cell r="AB76" t="str">
            <v>Đ</v>
          </cell>
          <cell r="AC76" t="str">
            <v>Đ</v>
          </cell>
          <cell r="AD76" t="str">
            <v>Đ</v>
          </cell>
          <cell r="AE76" t="str">
            <v>Ca 3</v>
          </cell>
          <cell r="AF76" t="str">
            <v>CN</v>
          </cell>
          <cell r="AG76" t="str">
            <v>Đ</v>
          </cell>
          <cell r="AH76" t="str">
            <v>Đ</v>
          </cell>
          <cell r="AI76" t="str">
            <v>Đ</v>
          </cell>
          <cell r="AJ76" t="str">
            <v>Đ</v>
          </cell>
          <cell r="AK76" t="str">
            <v>Đ</v>
          </cell>
          <cell r="AL76" t="str">
            <v>Đ</v>
          </cell>
          <cell r="AM76" t="str">
            <v>Ca 3</v>
          </cell>
          <cell r="AN76" t="str">
            <v>CN</v>
          </cell>
          <cell r="AO76">
            <v>8</v>
          </cell>
          <cell r="AP76">
            <v>8</v>
          </cell>
          <cell r="AQ76">
            <v>8</v>
          </cell>
          <cell r="AR76">
            <v>8</v>
          </cell>
          <cell r="AS76">
            <v>8</v>
          </cell>
          <cell r="AT76">
            <v>8</v>
          </cell>
          <cell r="AU76" t="str">
            <v>Ca 2</v>
          </cell>
          <cell r="AV76" t="str">
            <v>H</v>
          </cell>
          <cell r="AW76" t="str">
            <v>X</v>
          </cell>
          <cell r="AX76">
            <v>8</v>
          </cell>
          <cell r="AY76">
            <v>8</v>
          </cell>
          <cell r="AZ76" t="str">
            <v>H</v>
          </cell>
          <cell r="BA76" t="str">
            <v/>
          </cell>
          <cell r="BB76" t="str">
            <v/>
          </cell>
          <cell r="BC76" t="str">
            <v>Ca 1</v>
          </cell>
          <cell r="BD76" t="str">
            <v/>
          </cell>
          <cell r="BE76">
            <v>120</v>
          </cell>
          <cell r="BF76">
            <v>112</v>
          </cell>
          <cell r="BG76">
            <v>0</v>
          </cell>
          <cell r="BH76">
            <v>0</v>
          </cell>
          <cell r="BI76">
            <v>0</v>
          </cell>
          <cell r="BJ76">
            <v>0</v>
          </cell>
          <cell r="BK76">
            <v>0</v>
          </cell>
          <cell r="BL76">
            <v>0</v>
          </cell>
          <cell r="BM76">
            <v>0</v>
          </cell>
          <cell r="BN76">
            <v>0</v>
          </cell>
          <cell r="BO76">
            <v>0</v>
          </cell>
          <cell r="BP76">
            <v>0</v>
          </cell>
          <cell r="BQ76">
            <v>0</v>
          </cell>
          <cell r="BR76">
            <v>0</v>
          </cell>
          <cell r="BS76">
            <v>16</v>
          </cell>
          <cell r="BT76">
            <v>0</v>
          </cell>
          <cell r="BU76">
            <v>0</v>
          </cell>
          <cell r="BV76">
            <v>0</v>
          </cell>
          <cell r="BW76">
            <v>0</v>
          </cell>
          <cell r="BX76">
            <v>248</v>
          </cell>
          <cell r="BY76">
            <v>0</v>
          </cell>
          <cell r="BZ76">
            <v>0</v>
          </cell>
          <cell r="CA76">
            <v>0</v>
          </cell>
          <cell r="CB76">
            <v>0</v>
          </cell>
          <cell r="CC76">
            <v>0</v>
          </cell>
          <cell r="CD76"/>
          <cell r="CE76"/>
          <cell r="CF76"/>
          <cell r="CG76">
            <v>4</v>
          </cell>
          <cell r="CH76">
            <v>0</v>
          </cell>
          <cell r="CI76">
            <v>4</v>
          </cell>
          <cell r="CJ76">
            <v>0</v>
          </cell>
          <cell r="CK76">
            <v>0</v>
          </cell>
          <cell r="CL76">
            <v>0</v>
          </cell>
          <cell r="CM76">
            <v>2</v>
          </cell>
          <cell r="CN76">
            <v>2</v>
          </cell>
          <cell r="CO76">
            <v>0</v>
          </cell>
          <cell r="CP76">
            <v>0</v>
          </cell>
          <cell r="CQ76">
            <v>0</v>
          </cell>
          <cell r="CR76">
            <v>2</v>
          </cell>
          <cell r="CS76">
            <v>2</v>
          </cell>
          <cell r="CT76">
            <v>2</v>
          </cell>
          <cell r="CU76">
            <v>2</v>
          </cell>
          <cell r="CV76">
            <v>2</v>
          </cell>
          <cell r="CW76">
            <v>2</v>
          </cell>
          <cell r="CX76">
            <v>0</v>
          </cell>
          <cell r="CY76">
            <v>2</v>
          </cell>
          <cell r="CZ76">
            <v>2</v>
          </cell>
          <cell r="DA76">
            <v>2</v>
          </cell>
          <cell r="DB76">
            <v>0</v>
          </cell>
          <cell r="DC76">
            <v>0</v>
          </cell>
          <cell r="DD76">
            <v>0</v>
          </cell>
          <cell r="DE76">
            <v>0</v>
          </cell>
          <cell r="DF76">
            <v>0</v>
          </cell>
          <cell r="DG76">
            <v>0</v>
          </cell>
          <cell r="DH76">
            <v>0</v>
          </cell>
          <cell r="DI76">
            <v>0</v>
          </cell>
          <cell r="DJ76">
            <v>0</v>
          </cell>
          <cell r="DK76">
            <v>0</v>
          </cell>
          <cell r="DL76">
            <v>0</v>
          </cell>
          <cell r="DM76">
            <v>0</v>
          </cell>
          <cell r="DN76" t="str">
            <v/>
          </cell>
          <cell r="DO76" t="str">
            <v/>
          </cell>
          <cell r="DP76" t="str">
            <v/>
          </cell>
          <cell r="DQ76">
            <v>0</v>
          </cell>
          <cell r="DR76"/>
          <cell r="DS76"/>
          <cell r="DT76">
            <v>30</v>
          </cell>
          <cell r="DU76">
            <v>0</v>
          </cell>
          <cell r="DV76"/>
          <cell r="DW76"/>
          <cell r="DX76"/>
          <cell r="DY76"/>
        </row>
        <row r="77">
          <cell r="E77" t="str">
            <v>03515</v>
          </cell>
          <cell r="F77" t="str">
            <v>Phạm Thị Kim Nhung</v>
          </cell>
          <cell r="G77" t="str">
            <v>Foaming</v>
          </cell>
          <cell r="H77" t="str">
            <v>FOAMING Splitting</v>
          </cell>
          <cell r="I77" t="str">
            <v>Worker</v>
          </cell>
          <cell r="J77">
            <v>44704</v>
          </cell>
          <cell r="K77">
            <v>44734</v>
          </cell>
          <cell r="L77">
            <v>8</v>
          </cell>
          <cell r="M77">
            <v>8</v>
          </cell>
          <cell r="N77">
            <v>8</v>
          </cell>
          <cell r="O77" t="str">
            <v>Ca 1</v>
          </cell>
          <cell r="P77" t="str">
            <v>CN</v>
          </cell>
          <cell r="Q77">
            <v>8</v>
          </cell>
          <cell r="R77">
            <v>8</v>
          </cell>
          <cell r="S77">
            <v>8</v>
          </cell>
          <cell r="T77" t="str">
            <v>NP</v>
          </cell>
          <cell r="U77">
            <v>8</v>
          </cell>
          <cell r="V77">
            <v>8</v>
          </cell>
          <cell r="W77" t="str">
            <v>HCSX</v>
          </cell>
          <cell r="X77" t="str">
            <v>CN</v>
          </cell>
          <cell r="Y77">
            <v>8</v>
          </cell>
          <cell r="Z77">
            <v>8</v>
          </cell>
          <cell r="AA77">
            <v>8</v>
          </cell>
          <cell r="AB77">
            <v>8</v>
          </cell>
          <cell r="AC77">
            <v>8</v>
          </cell>
          <cell r="AD77">
            <v>8</v>
          </cell>
          <cell r="AE77" t="str">
            <v>HCSX</v>
          </cell>
          <cell r="AF77" t="str">
            <v>CN</v>
          </cell>
          <cell r="AG77">
            <v>8</v>
          </cell>
          <cell r="AH77">
            <v>8</v>
          </cell>
          <cell r="AI77">
            <v>8</v>
          </cell>
          <cell r="AJ77">
            <v>8</v>
          </cell>
          <cell r="AK77">
            <v>8</v>
          </cell>
          <cell r="AL77">
            <v>8</v>
          </cell>
          <cell r="AM77" t="str">
            <v>HCSX</v>
          </cell>
          <cell r="AN77" t="str">
            <v>CN</v>
          </cell>
          <cell r="AO77">
            <v>8</v>
          </cell>
          <cell r="AP77">
            <v>8</v>
          </cell>
          <cell r="AQ77">
            <v>8</v>
          </cell>
          <cell r="AR77">
            <v>8</v>
          </cell>
          <cell r="AS77">
            <v>8</v>
          </cell>
          <cell r="AT77">
            <v>8</v>
          </cell>
          <cell r="AU77" t="str">
            <v>HCSX</v>
          </cell>
          <cell r="AV77" t="str">
            <v>H</v>
          </cell>
          <cell r="AW77" t="str">
            <v>X</v>
          </cell>
          <cell r="AX77">
            <v>8</v>
          </cell>
          <cell r="AY77">
            <v>8</v>
          </cell>
          <cell r="AZ77" t="str">
            <v>H</v>
          </cell>
          <cell r="BA77" t="str">
            <v/>
          </cell>
          <cell r="BB77" t="str">
            <v/>
          </cell>
          <cell r="BC77" t="str">
            <v>HCSX</v>
          </cell>
          <cell r="BD77" t="str">
            <v/>
          </cell>
          <cell r="BE77">
            <v>0</v>
          </cell>
          <cell r="BF77">
            <v>224</v>
          </cell>
          <cell r="BG77">
            <v>0</v>
          </cell>
          <cell r="BH77">
            <v>0</v>
          </cell>
          <cell r="BI77">
            <v>0</v>
          </cell>
          <cell r="BJ77">
            <v>0</v>
          </cell>
          <cell r="BK77">
            <v>1</v>
          </cell>
          <cell r="BL77">
            <v>0</v>
          </cell>
          <cell r="BM77">
            <v>0</v>
          </cell>
          <cell r="BN77">
            <v>0</v>
          </cell>
          <cell r="BO77">
            <v>0</v>
          </cell>
          <cell r="BP77">
            <v>0</v>
          </cell>
          <cell r="BQ77">
            <v>0</v>
          </cell>
          <cell r="BR77">
            <v>0</v>
          </cell>
          <cell r="BS77">
            <v>16</v>
          </cell>
          <cell r="BT77">
            <v>0</v>
          </cell>
          <cell r="BU77">
            <v>0</v>
          </cell>
          <cell r="BV77">
            <v>0</v>
          </cell>
          <cell r="BW77">
            <v>0</v>
          </cell>
          <cell r="BX77">
            <v>240</v>
          </cell>
          <cell r="BY77">
            <v>0</v>
          </cell>
          <cell r="BZ77">
            <v>0</v>
          </cell>
          <cell r="CA77">
            <v>0</v>
          </cell>
          <cell r="CB77">
            <v>0</v>
          </cell>
          <cell r="CC77">
            <v>0</v>
          </cell>
          <cell r="CD77"/>
          <cell r="CE77"/>
          <cell r="CF77"/>
          <cell r="CG77">
            <v>2</v>
          </cell>
          <cell r="CH77">
            <v>2</v>
          </cell>
          <cell r="CI77">
            <v>4</v>
          </cell>
          <cell r="CJ77">
            <v>0</v>
          </cell>
          <cell r="CK77">
            <v>0</v>
          </cell>
          <cell r="CL77">
            <v>3</v>
          </cell>
          <cell r="CM77">
            <v>3</v>
          </cell>
          <cell r="CN77">
            <v>0</v>
          </cell>
          <cell r="CO77">
            <v>3</v>
          </cell>
          <cell r="CP77">
            <v>3</v>
          </cell>
          <cell r="CQ77">
            <v>0</v>
          </cell>
          <cell r="CR77">
            <v>0</v>
          </cell>
          <cell r="CS77">
            <v>0</v>
          </cell>
          <cell r="CT77">
            <v>0</v>
          </cell>
          <cell r="CU77">
            <v>3</v>
          </cell>
          <cell r="CV77">
            <v>3</v>
          </cell>
          <cell r="CW77">
            <v>3</v>
          </cell>
          <cell r="CX77">
            <v>0</v>
          </cell>
          <cell r="CY77">
            <v>3</v>
          </cell>
          <cell r="CZ77">
            <v>2</v>
          </cell>
          <cell r="DA77">
            <v>2</v>
          </cell>
          <cell r="DB77">
            <v>0</v>
          </cell>
          <cell r="DC77">
            <v>0</v>
          </cell>
          <cell r="DD77">
            <v>0</v>
          </cell>
          <cell r="DE77">
            <v>0</v>
          </cell>
          <cell r="DF77">
            <v>0</v>
          </cell>
          <cell r="DG77">
            <v>0</v>
          </cell>
          <cell r="DH77">
            <v>0</v>
          </cell>
          <cell r="DI77">
            <v>0</v>
          </cell>
          <cell r="DJ77">
            <v>0</v>
          </cell>
          <cell r="DK77">
            <v>0</v>
          </cell>
          <cell r="DL77">
            <v>0</v>
          </cell>
          <cell r="DM77">
            <v>0</v>
          </cell>
          <cell r="DN77" t="str">
            <v/>
          </cell>
          <cell r="DO77" t="str">
            <v/>
          </cell>
          <cell r="DP77" t="str">
            <v/>
          </cell>
          <cell r="DQ77">
            <v>0</v>
          </cell>
          <cell r="DR77"/>
          <cell r="DS77"/>
          <cell r="DT77">
            <v>36</v>
          </cell>
          <cell r="DU77">
            <v>0</v>
          </cell>
          <cell r="DV77"/>
          <cell r="DW77"/>
          <cell r="DX77"/>
          <cell r="DY77"/>
        </row>
        <row r="78">
          <cell r="E78" t="str">
            <v>03521</v>
          </cell>
          <cell r="F78" t="str">
            <v>Nguyễn Văn Sành</v>
          </cell>
          <cell r="G78" t="str">
            <v>Foaming</v>
          </cell>
          <cell r="H78" t="str">
            <v>FOAMING Rectangular</v>
          </cell>
          <cell r="I78" t="str">
            <v>Skilled worker</v>
          </cell>
          <cell r="J78">
            <v>44707</v>
          </cell>
          <cell r="K78">
            <v>44737</v>
          </cell>
          <cell r="L78">
            <v>8</v>
          </cell>
          <cell r="M78">
            <v>8</v>
          </cell>
          <cell r="N78">
            <v>8</v>
          </cell>
          <cell r="O78" t="str">
            <v>Ca 1</v>
          </cell>
          <cell r="P78" t="str">
            <v>CN</v>
          </cell>
          <cell r="Q78" t="str">
            <v>Đ</v>
          </cell>
          <cell r="R78" t="str">
            <v>Đ</v>
          </cell>
          <cell r="S78" t="str">
            <v>Đ</v>
          </cell>
          <cell r="T78" t="str">
            <v>Đ</v>
          </cell>
          <cell r="U78" t="str">
            <v>Đ</v>
          </cell>
          <cell r="V78" t="str">
            <v>Đ</v>
          </cell>
          <cell r="W78" t="str">
            <v>Ca 3</v>
          </cell>
          <cell r="X78" t="str">
            <v>CN</v>
          </cell>
          <cell r="Y78">
            <v>8</v>
          </cell>
          <cell r="Z78">
            <v>8</v>
          </cell>
          <cell r="AA78">
            <v>8</v>
          </cell>
          <cell r="AB78">
            <v>8</v>
          </cell>
          <cell r="AC78">
            <v>8</v>
          </cell>
          <cell r="AD78">
            <v>8</v>
          </cell>
          <cell r="AE78" t="str">
            <v>Ca 2</v>
          </cell>
          <cell r="AF78" t="str">
            <v>CN</v>
          </cell>
          <cell r="AG78">
            <v>8</v>
          </cell>
          <cell r="AH78">
            <v>8</v>
          </cell>
          <cell r="AI78">
            <v>8</v>
          </cell>
          <cell r="AJ78">
            <v>8</v>
          </cell>
          <cell r="AK78">
            <v>8</v>
          </cell>
          <cell r="AL78">
            <v>8</v>
          </cell>
          <cell r="AM78" t="str">
            <v>Ca 1</v>
          </cell>
          <cell r="AN78" t="str">
            <v>CN</v>
          </cell>
          <cell r="AO78" t="str">
            <v>Đ</v>
          </cell>
          <cell r="AP78" t="str">
            <v>Đ</v>
          </cell>
          <cell r="AQ78" t="str">
            <v>Đ</v>
          </cell>
          <cell r="AR78" t="str">
            <v>Đ</v>
          </cell>
          <cell r="AS78" t="str">
            <v>Đ</v>
          </cell>
          <cell r="AT78" t="str">
            <v>AL8</v>
          </cell>
          <cell r="AU78" t="str">
            <v>Ca 3</v>
          </cell>
          <cell r="AV78" t="str">
            <v>H</v>
          </cell>
          <cell r="AW78" t="str">
            <v>X</v>
          </cell>
          <cell r="AX78" t="str">
            <v>AL8</v>
          </cell>
          <cell r="AY78" t="str">
            <v>NP</v>
          </cell>
          <cell r="AZ78" t="str">
            <v>H</v>
          </cell>
          <cell r="BA78" t="str">
            <v/>
          </cell>
          <cell r="BB78" t="str">
            <v/>
          </cell>
          <cell r="BC78" t="str">
            <v>Ca 3</v>
          </cell>
          <cell r="BD78" t="str">
            <v/>
          </cell>
          <cell r="BE78">
            <v>88</v>
          </cell>
          <cell r="BF78">
            <v>120</v>
          </cell>
          <cell r="BG78">
            <v>0</v>
          </cell>
          <cell r="BH78">
            <v>0</v>
          </cell>
          <cell r="BI78">
            <v>0</v>
          </cell>
          <cell r="BJ78">
            <v>0</v>
          </cell>
          <cell r="BK78">
            <v>1</v>
          </cell>
          <cell r="BL78">
            <v>0</v>
          </cell>
          <cell r="BM78">
            <v>0</v>
          </cell>
          <cell r="BN78">
            <v>0</v>
          </cell>
          <cell r="BO78">
            <v>0</v>
          </cell>
          <cell r="BP78">
            <v>0</v>
          </cell>
          <cell r="BQ78">
            <v>0</v>
          </cell>
          <cell r="BR78">
            <v>16</v>
          </cell>
          <cell r="BS78">
            <v>16</v>
          </cell>
          <cell r="BT78">
            <v>0</v>
          </cell>
          <cell r="BU78">
            <v>0</v>
          </cell>
          <cell r="BV78">
            <v>0</v>
          </cell>
          <cell r="BW78">
            <v>0</v>
          </cell>
          <cell r="BX78">
            <v>240</v>
          </cell>
          <cell r="BY78">
            <v>2</v>
          </cell>
          <cell r="BZ78">
            <v>0</v>
          </cell>
          <cell r="CA78">
            <v>0</v>
          </cell>
          <cell r="CB78">
            <v>2</v>
          </cell>
          <cell r="CC78">
            <v>2</v>
          </cell>
          <cell r="CD78"/>
          <cell r="CE78"/>
          <cell r="CF78"/>
          <cell r="CG78">
            <v>4</v>
          </cell>
          <cell r="CH78">
            <v>4</v>
          </cell>
          <cell r="CI78">
            <v>4</v>
          </cell>
          <cell r="CJ78">
            <v>0</v>
          </cell>
          <cell r="CK78">
            <v>4</v>
          </cell>
          <cell r="CL78">
            <v>4</v>
          </cell>
          <cell r="CM78">
            <v>4</v>
          </cell>
          <cell r="CN78">
            <v>0</v>
          </cell>
          <cell r="CO78">
            <v>0</v>
          </cell>
          <cell r="CP78">
            <v>0</v>
          </cell>
          <cell r="CQ78">
            <v>0</v>
          </cell>
          <cell r="CR78">
            <v>0</v>
          </cell>
          <cell r="CS78">
            <v>0</v>
          </cell>
          <cell r="CT78">
            <v>0</v>
          </cell>
          <cell r="CU78">
            <v>0</v>
          </cell>
          <cell r="CV78">
            <v>0</v>
          </cell>
          <cell r="CW78">
            <v>0</v>
          </cell>
          <cell r="CX78">
            <v>0</v>
          </cell>
          <cell r="CY78">
            <v>4</v>
          </cell>
          <cell r="CZ78">
            <v>4</v>
          </cell>
          <cell r="DA78">
            <v>0</v>
          </cell>
          <cell r="DB78">
            <v>0</v>
          </cell>
          <cell r="DC78">
            <v>4</v>
          </cell>
          <cell r="DD78">
            <v>0</v>
          </cell>
          <cell r="DE78">
            <v>0</v>
          </cell>
          <cell r="DF78">
            <v>0</v>
          </cell>
          <cell r="DG78">
            <v>0</v>
          </cell>
          <cell r="DH78">
            <v>0</v>
          </cell>
          <cell r="DI78">
            <v>0</v>
          </cell>
          <cell r="DJ78">
            <v>0</v>
          </cell>
          <cell r="DK78">
            <v>0</v>
          </cell>
          <cell r="DL78">
            <v>0</v>
          </cell>
          <cell r="DM78">
            <v>0</v>
          </cell>
          <cell r="DN78" t="str">
            <v/>
          </cell>
          <cell r="DO78" t="str">
            <v/>
          </cell>
          <cell r="DP78" t="str">
            <v/>
          </cell>
          <cell r="DQ78">
            <v>0</v>
          </cell>
          <cell r="DR78"/>
          <cell r="DS78"/>
          <cell r="DT78">
            <v>36</v>
          </cell>
          <cell r="DU78">
            <v>0</v>
          </cell>
          <cell r="DV78"/>
          <cell r="DW78"/>
          <cell r="DX78"/>
          <cell r="DY78"/>
        </row>
        <row r="79">
          <cell r="E79" t="str">
            <v>03564</v>
          </cell>
          <cell r="F79" t="str">
            <v>Nguyễn Tuấn Vũ</v>
          </cell>
          <cell r="G79" t="str">
            <v>Foaming</v>
          </cell>
          <cell r="H79" t="str">
            <v>FOAMING Rectangular</v>
          </cell>
          <cell r="I79" t="str">
            <v>Worker</v>
          </cell>
          <cell r="J79">
            <v>44719</v>
          </cell>
          <cell r="K79">
            <v>44749</v>
          </cell>
          <cell r="L79" t="str">
            <v>Đ</v>
          </cell>
          <cell r="M79" t="str">
            <v>Đ</v>
          </cell>
          <cell r="N79" t="str">
            <v>Đ</v>
          </cell>
          <cell r="O79" t="str">
            <v>Ca 3</v>
          </cell>
          <cell r="P79" t="str">
            <v>CN</v>
          </cell>
          <cell r="Q79">
            <v>8</v>
          </cell>
          <cell r="R79">
            <v>8</v>
          </cell>
          <cell r="S79">
            <v>8</v>
          </cell>
          <cell r="T79">
            <v>8</v>
          </cell>
          <cell r="U79">
            <v>8</v>
          </cell>
          <cell r="V79">
            <v>8</v>
          </cell>
          <cell r="W79" t="str">
            <v>Ca 1</v>
          </cell>
          <cell r="X79" t="str">
            <v>CN</v>
          </cell>
          <cell r="Y79" t="str">
            <v>Đ</v>
          </cell>
          <cell r="Z79" t="str">
            <v>Đ</v>
          </cell>
          <cell r="AA79" t="str">
            <v>Đ</v>
          </cell>
          <cell r="AB79" t="str">
            <v>Đ</v>
          </cell>
          <cell r="AC79" t="str">
            <v>Đ</v>
          </cell>
          <cell r="AD79" t="str">
            <v>Đ</v>
          </cell>
          <cell r="AE79" t="str">
            <v>Ca 3</v>
          </cell>
          <cell r="AF79" t="str">
            <v>CN</v>
          </cell>
          <cell r="AG79">
            <v>8</v>
          </cell>
          <cell r="AH79">
            <v>8</v>
          </cell>
          <cell r="AI79">
            <v>8</v>
          </cell>
          <cell r="AJ79">
            <v>8</v>
          </cell>
          <cell r="AK79">
            <v>8</v>
          </cell>
          <cell r="AL79">
            <v>8</v>
          </cell>
          <cell r="AM79" t="str">
            <v>Ca 1</v>
          </cell>
          <cell r="AN79" t="str">
            <v>CN</v>
          </cell>
          <cell r="AO79" t="str">
            <v>Đ</v>
          </cell>
          <cell r="AP79" t="str">
            <v>Đ</v>
          </cell>
          <cell r="AQ79" t="str">
            <v>Đ</v>
          </cell>
          <cell r="AR79" t="str">
            <v>Đ</v>
          </cell>
          <cell r="AS79" t="str">
            <v>Đ</v>
          </cell>
          <cell r="AT79" t="str">
            <v>AL8</v>
          </cell>
          <cell r="AU79" t="str">
            <v>Ca 3</v>
          </cell>
          <cell r="AV79" t="str">
            <v>H</v>
          </cell>
          <cell r="AW79" t="str">
            <v>X</v>
          </cell>
          <cell r="AX79" t="str">
            <v>Đ</v>
          </cell>
          <cell r="AY79" t="str">
            <v>NP</v>
          </cell>
          <cell r="AZ79" t="str">
            <v>H</v>
          </cell>
          <cell r="BA79" t="str">
            <v/>
          </cell>
          <cell r="BB79" t="str">
            <v/>
          </cell>
          <cell r="BC79" t="str">
            <v>Ca 3</v>
          </cell>
          <cell r="BD79" t="str">
            <v/>
          </cell>
          <cell r="BE79">
            <v>120</v>
          </cell>
          <cell r="BF79">
            <v>96</v>
          </cell>
          <cell r="BG79">
            <v>0</v>
          </cell>
          <cell r="BH79">
            <v>0</v>
          </cell>
          <cell r="BI79">
            <v>0</v>
          </cell>
          <cell r="BJ79">
            <v>0</v>
          </cell>
          <cell r="BK79">
            <v>1</v>
          </cell>
          <cell r="BL79">
            <v>0</v>
          </cell>
          <cell r="BM79">
            <v>0</v>
          </cell>
          <cell r="BN79">
            <v>0</v>
          </cell>
          <cell r="BO79">
            <v>0</v>
          </cell>
          <cell r="BP79">
            <v>0</v>
          </cell>
          <cell r="BQ79">
            <v>0</v>
          </cell>
          <cell r="BR79">
            <v>8</v>
          </cell>
          <cell r="BS79">
            <v>16</v>
          </cell>
          <cell r="BT79">
            <v>0</v>
          </cell>
          <cell r="BU79">
            <v>0</v>
          </cell>
          <cell r="BV79">
            <v>0</v>
          </cell>
          <cell r="BW79">
            <v>0</v>
          </cell>
          <cell r="BX79">
            <v>240</v>
          </cell>
          <cell r="BY79">
            <v>1</v>
          </cell>
          <cell r="BZ79">
            <v>0</v>
          </cell>
          <cell r="CA79">
            <v>0</v>
          </cell>
          <cell r="CB79">
            <v>1</v>
          </cell>
          <cell r="CC79">
            <v>1</v>
          </cell>
          <cell r="CD79"/>
          <cell r="CE79"/>
          <cell r="CF79"/>
          <cell r="CG79">
            <v>4</v>
          </cell>
          <cell r="CH79">
            <v>4</v>
          </cell>
          <cell r="CI79">
            <v>4</v>
          </cell>
          <cell r="CJ79">
            <v>0</v>
          </cell>
          <cell r="CK79">
            <v>4</v>
          </cell>
          <cell r="CL79">
            <v>4</v>
          </cell>
          <cell r="CM79">
            <v>4</v>
          </cell>
          <cell r="CN79">
            <v>0</v>
          </cell>
          <cell r="CO79">
            <v>0</v>
          </cell>
          <cell r="CP79">
            <v>0</v>
          </cell>
          <cell r="CQ79">
            <v>0</v>
          </cell>
          <cell r="CR79">
            <v>0</v>
          </cell>
          <cell r="CS79">
            <v>0</v>
          </cell>
          <cell r="CT79">
            <v>0</v>
          </cell>
          <cell r="CU79">
            <v>0</v>
          </cell>
          <cell r="CV79">
            <v>0</v>
          </cell>
          <cell r="CW79">
            <v>0</v>
          </cell>
          <cell r="CX79">
            <v>0</v>
          </cell>
          <cell r="CY79">
            <v>0</v>
          </cell>
          <cell r="CZ79">
            <v>0</v>
          </cell>
          <cell r="DA79">
            <v>0</v>
          </cell>
          <cell r="DB79">
            <v>4</v>
          </cell>
          <cell r="DC79">
            <v>4</v>
          </cell>
          <cell r="DD79">
            <v>4</v>
          </cell>
          <cell r="DE79">
            <v>0</v>
          </cell>
          <cell r="DF79">
            <v>0</v>
          </cell>
          <cell r="DG79">
            <v>0</v>
          </cell>
          <cell r="DH79">
            <v>0</v>
          </cell>
          <cell r="DI79">
            <v>0</v>
          </cell>
          <cell r="DJ79">
            <v>0</v>
          </cell>
          <cell r="DK79">
            <v>0</v>
          </cell>
          <cell r="DL79">
            <v>0</v>
          </cell>
          <cell r="DM79">
            <v>0</v>
          </cell>
          <cell r="DN79" t="str">
            <v/>
          </cell>
          <cell r="DO79" t="str">
            <v/>
          </cell>
          <cell r="DP79" t="str">
            <v/>
          </cell>
          <cell r="DQ79">
            <v>0</v>
          </cell>
          <cell r="DR79"/>
          <cell r="DS79"/>
          <cell r="DT79">
            <v>36</v>
          </cell>
          <cell r="DU79">
            <v>0</v>
          </cell>
          <cell r="DV79"/>
          <cell r="DW79"/>
          <cell r="DX79"/>
          <cell r="DY79"/>
        </row>
        <row r="80">
          <cell r="E80" t="str">
            <v>03575</v>
          </cell>
          <cell r="F80" t="str">
            <v>Phạm Thị Ngọt</v>
          </cell>
          <cell r="G80" t="str">
            <v>Foaming</v>
          </cell>
          <cell r="H80" t="str">
            <v>FOAMING Splitting</v>
          </cell>
          <cell r="I80" t="str">
            <v>Worker</v>
          </cell>
          <cell r="J80">
            <v>44728</v>
          </cell>
          <cell r="K80">
            <v>44758</v>
          </cell>
          <cell r="L80">
            <v>8</v>
          </cell>
          <cell r="M80">
            <v>8</v>
          </cell>
          <cell r="N80">
            <v>8</v>
          </cell>
          <cell r="O80" t="str">
            <v>Ca 1</v>
          </cell>
          <cell r="P80" t="str">
            <v>CN</v>
          </cell>
          <cell r="Q80">
            <v>8</v>
          </cell>
          <cell r="R80">
            <v>8</v>
          </cell>
          <cell r="S80">
            <v>8</v>
          </cell>
          <cell r="T80">
            <v>8</v>
          </cell>
          <cell r="U80">
            <v>8</v>
          </cell>
          <cell r="V80">
            <v>8</v>
          </cell>
          <cell r="W80" t="str">
            <v>HCSX</v>
          </cell>
          <cell r="X80" t="str">
            <v>CN</v>
          </cell>
          <cell r="Y80">
            <v>8</v>
          </cell>
          <cell r="Z80">
            <v>8</v>
          </cell>
          <cell r="AA80">
            <v>8</v>
          </cell>
          <cell r="AB80">
            <v>8</v>
          </cell>
          <cell r="AC80">
            <v>8</v>
          </cell>
          <cell r="AD80">
            <v>8</v>
          </cell>
          <cell r="AE80" t="str">
            <v>HCSX</v>
          </cell>
          <cell r="AF80" t="str">
            <v>CN</v>
          </cell>
          <cell r="AG80">
            <v>8</v>
          </cell>
          <cell r="AH80">
            <v>8</v>
          </cell>
          <cell r="AI80">
            <v>8</v>
          </cell>
          <cell r="AJ80">
            <v>8</v>
          </cell>
          <cell r="AK80">
            <v>8</v>
          </cell>
          <cell r="AL80">
            <v>8</v>
          </cell>
          <cell r="AM80" t="str">
            <v>HCSX</v>
          </cell>
          <cell r="AN80" t="str">
            <v>CN</v>
          </cell>
          <cell r="AO80">
            <v>8</v>
          </cell>
          <cell r="AP80">
            <v>8</v>
          </cell>
          <cell r="AQ80">
            <v>8</v>
          </cell>
          <cell r="AR80">
            <v>8</v>
          </cell>
          <cell r="AS80">
            <v>8</v>
          </cell>
          <cell r="AT80">
            <v>8</v>
          </cell>
          <cell r="AU80" t="str">
            <v>HCSX</v>
          </cell>
          <cell r="AV80" t="str">
            <v>H</v>
          </cell>
          <cell r="AW80" t="str">
            <v>X</v>
          </cell>
          <cell r="AX80">
            <v>8</v>
          </cell>
          <cell r="AY80">
            <v>8</v>
          </cell>
          <cell r="AZ80" t="str">
            <v>H</v>
          </cell>
          <cell r="BA80" t="str">
            <v/>
          </cell>
          <cell r="BB80" t="str">
            <v/>
          </cell>
          <cell r="BC80" t="str">
            <v>HCSX</v>
          </cell>
          <cell r="BD80" t="str">
            <v/>
          </cell>
          <cell r="BE80">
            <v>0</v>
          </cell>
          <cell r="BF80">
            <v>232</v>
          </cell>
          <cell r="BG80">
            <v>0</v>
          </cell>
          <cell r="BH80">
            <v>0</v>
          </cell>
          <cell r="BI80">
            <v>0</v>
          </cell>
          <cell r="BJ80">
            <v>0</v>
          </cell>
          <cell r="BK80">
            <v>0</v>
          </cell>
          <cell r="BL80">
            <v>0</v>
          </cell>
          <cell r="BM80">
            <v>0</v>
          </cell>
          <cell r="BN80">
            <v>0</v>
          </cell>
          <cell r="BO80">
            <v>0</v>
          </cell>
          <cell r="BP80">
            <v>0</v>
          </cell>
          <cell r="BQ80">
            <v>0</v>
          </cell>
          <cell r="BR80">
            <v>0</v>
          </cell>
          <cell r="BS80">
            <v>16</v>
          </cell>
          <cell r="BT80">
            <v>0</v>
          </cell>
          <cell r="BU80">
            <v>0</v>
          </cell>
          <cell r="BV80">
            <v>0</v>
          </cell>
          <cell r="BW80">
            <v>0</v>
          </cell>
          <cell r="BX80">
            <v>248</v>
          </cell>
          <cell r="BY80">
            <v>0</v>
          </cell>
          <cell r="BZ80">
            <v>0</v>
          </cell>
          <cell r="CA80">
            <v>0</v>
          </cell>
          <cell r="CB80">
            <v>0</v>
          </cell>
          <cell r="CC80">
            <v>0</v>
          </cell>
          <cell r="CD80"/>
          <cell r="CE80"/>
          <cell r="CF80"/>
          <cell r="CG80">
            <v>2</v>
          </cell>
          <cell r="CH80">
            <v>2</v>
          </cell>
          <cell r="CI80">
            <v>4</v>
          </cell>
          <cell r="CJ80">
            <v>0</v>
          </cell>
          <cell r="CK80">
            <v>0</v>
          </cell>
          <cell r="CL80">
            <v>3</v>
          </cell>
          <cell r="CM80">
            <v>3</v>
          </cell>
          <cell r="CN80">
            <v>3</v>
          </cell>
          <cell r="CO80">
            <v>3</v>
          </cell>
          <cell r="CP80">
            <v>0</v>
          </cell>
          <cell r="CQ80">
            <v>0</v>
          </cell>
          <cell r="CR80">
            <v>0</v>
          </cell>
          <cell r="CS80">
            <v>0</v>
          </cell>
          <cell r="CT80">
            <v>0</v>
          </cell>
          <cell r="CU80">
            <v>3</v>
          </cell>
          <cell r="CV80">
            <v>3</v>
          </cell>
          <cell r="CW80">
            <v>3</v>
          </cell>
          <cell r="CX80">
            <v>0</v>
          </cell>
          <cell r="CY80">
            <v>3</v>
          </cell>
          <cell r="CZ80">
            <v>2</v>
          </cell>
          <cell r="DA80">
            <v>2</v>
          </cell>
          <cell r="DB80">
            <v>0</v>
          </cell>
          <cell r="DC80">
            <v>0</v>
          </cell>
          <cell r="DD80">
            <v>0</v>
          </cell>
          <cell r="DE80">
            <v>0</v>
          </cell>
          <cell r="DF80">
            <v>0</v>
          </cell>
          <cell r="DG80">
            <v>0</v>
          </cell>
          <cell r="DH80">
            <v>0</v>
          </cell>
          <cell r="DI80">
            <v>0</v>
          </cell>
          <cell r="DJ80">
            <v>0</v>
          </cell>
          <cell r="DK80">
            <v>0</v>
          </cell>
          <cell r="DL80">
            <v>0</v>
          </cell>
          <cell r="DM80">
            <v>0</v>
          </cell>
          <cell r="DN80" t="str">
            <v/>
          </cell>
          <cell r="DO80" t="str">
            <v/>
          </cell>
          <cell r="DP80" t="str">
            <v/>
          </cell>
          <cell r="DQ80">
            <v>0</v>
          </cell>
          <cell r="DR80"/>
          <cell r="DS80"/>
          <cell r="DT80">
            <v>36</v>
          </cell>
          <cell r="DU80">
            <v>0</v>
          </cell>
          <cell r="DV80"/>
          <cell r="DW80"/>
          <cell r="DX80"/>
          <cell r="DY80"/>
        </row>
        <row r="81">
          <cell r="E81" t="str">
            <v>03651</v>
          </cell>
          <cell r="F81" t="str">
            <v>Huỳnh Hữu Trí</v>
          </cell>
          <cell r="G81" t="str">
            <v>Foaming</v>
          </cell>
          <cell r="H81" t="str">
            <v>FOAMING Production control</v>
          </cell>
          <cell r="I81" t="str">
            <v>Associate Engineer</v>
          </cell>
          <cell r="J81">
            <v>44809</v>
          </cell>
          <cell r="K81">
            <v>44869</v>
          </cell>
          <cell r="L81">
            <v>8</v>
          </cell>
          <cell r="M81">
            <v>8</v>
          </cell>
          <cell r="N81" t="str">
            <v>PO</v>
          </cell>
          <cell r="O81" t="str">
            <v>HCVP</v>
          </cell>
          <cell r="P81" t="str">
            <v>CN</v>
          </cell>
          <cell r="Q81">
            <v>8</v>
          </cell>
          <cell r="R81">
            <v>8</v>
          </cell>
          <cell r="S81">
            <v>8</v>
          </cell>
          <cell r="T81">
            <v>8</v>
          </cell>
          <cell r="U81">
            <v>8</v>
          </cell>
          <cell r="V81" t="str">
            <v>PO</v>
          </cell>
          <cell r="W81" t="str">
            <v>HCVP</v>
          </cell>
          <cell r="X81" t="str">
            <v>CN</v>
          </cell>
          <cell r="Y81">
            <v>8</v>
          </cell>
          <cell r="Z81">
            <v>8</v>
          </cell>
          <cell r="AA81">
            <v>8</v>
          </cell>
          <cell r="AB81">
            <v>8</v>
          </cell>
          <cell r="AC81">
            <v>8</v>
          </cell>
          <cell r="AD81" t="str">
            <v>PO</v>
          </cell>
          <cell r="AE81" t="str">
            <v>HCVP</v>
          </cell>
          <cell r="AF81" t="str">
            <v>CN</v>
          </cell>
          <cell r="AG81">
            <v>8</v>
          </cell>
          <cell r="AH81">
            <v>8</v>
          </cell>
          <cell r="AI81">
            <v>8</v>
          </cell>
          <cell r="AJ81">
            <v>8</v>
          </cell>
          <cell r="AK81">
            <v>8</v>
          </cell>
          <cell r="AL81" t="str">
            <v>PO</v>
          </cell>
          <cell r="AM81" t="str">
            <v>HCVP</v>
          </cell>
          <cell r="AN81" t="str">
            <v>CN</v>
          </cell>
          <cell r="AO81" t="str">
            <v>NP</v>
          </cell>
          <cell r="AP81">
            <v>8</v>
          </cell>
          <cell r="AQ81">
            <v>8</v>
          </cell>
          <cell r="AR81">
            <v>8</v>
          </cell>
          <cell r="AS81">
            <v>8</v>
          </cell>
          <cell r="AT81" t="str">
            <v>PO</v>
          </cell>
          <cell r="AU81" t="str">
            <v>HCVP</v>
          </cell>
          <cell r="AV81" t="str">
            <v>H</v>
          </cell>
          <cell r="AW81" t="str">
            <v>X</v>
          </cell>
          <cell r="AX81">
            <v>8</v>
          </cell>
          <cell r="AY81">
            <v>8</v>
          </cell>
          <cell r="AZ81" t="str">
            <v>H</v>
          </cell>
          <cell r="BA81" t="str">
            <v/>
          </cell>
          <cell r="BB81" t="str">
            <v/>
          </cell>
          <cell r="BC81" t="str">
            <v>HCVP</v>
          </cell>
          <cell r="BD81" t="str">
            <v/>
          </cell>
          <cell r="BE81">
            <v>0</v>
          </cell>
          <cell r="BF81">
            <v>184</v>
          </cell>
          <cell r="BG81">
            <v>0</v>
          </cell>
          <cell r="BH81">
            <v>0</v>
          </cell>
          <cell r="BI81">
            <v>0</v>
          </cell>
          <cell r="BJ81">
            <v>0</v>
          </cell>
          <cell r="BK81">
            <v>1</v>
          </cell>
          <cell r="BL81">
            <v>0</v>
          </cell>
          <cell r="BM81">
            <v>40</v>
          </cell>
          <cell r="BN81">
            <v>0</v>
          </cell>
          <cell r="BO81">
            <v>0</v>
          </cell>
          <cell r="BP81">
            <v>0</v>
          </cell>
          <cell r="BQ81">
            <v>0</v>
          </cell>
          <cell r="BR81">
            <v>0</v>
          </cell>
          <cell r="BS81">
            <v>16</v>
          </cell>
          <cell r="BT81">
            <v>0</v>
          </cell>
          <cell r="BU81">
            <v>0</v>
          </cell>
          <cell r="BV81">
            <v>0</v>
          </cell>
          <cell r="BW81">
            <v>0</v>
          </cell>
          <cell r="BX81">
            <v>240</v>
          </cell>
          <cell r="BY81">
            <v>0</v>
          </cell>
          <cell r="BZ81">
            <v>0</v>
          </cell>
          <cell r="CA81">
            <v>0</v>
          </cell>
          <cell r="CB81">
            <v>0</v>
          </cell>
          <cell r="CC81">
            <v>0</v>
          </cell>
          <cell r="CD81"/>
          <cell r="CE81"/>
          <cell r="CF81"/>
          <cell r="CG81">
            <v>0</v>
          </cell>
          <cell r="CH81">
            <v>0</v>
          </cell>
          <cell r="CI81">
            <v>0</v>
          </cell>
          <cell r="CJ81">
            <v>0</v>
          </cell>
          <cell r="CK81">
            <v>0</v>
          </cell>
          <cell r="CL81">
            <v>0</v>
          </cell>
          <cell r="CM81">
            <v>0</v>
          </cell>
          <cell r="CN81">
            <v>0</v>
          </cell>
          <cell r="CO81">
            <v>0</v>
          </cell>
          <cell r="CP81">
            <v>0</v>
          </cell>
          <cell r="CQ81">
            <v>0</v>
          </cell>
          <cell r="CR81">
            <v>0</v>
          </cell>
          <cell r="CS81">
            <v>0</v>
          </cell>
          <cell r="CT81">
            <v>0</v>
          </cell>
          <cell r="CU81">
            <v>1</v>
          </cell>
          <cell r="CV81">
            <v>0</v>
          </cell>
          <cell r="CW81">
            <v>0</v>
          </cell>
          <cell r="CX81">
            <v>0</v>
          </cell>
          <cell r="CY81">
            <v>0</v>
          </cell>
          <cell r="CZ81">
            <v>0</v>
          </cell>
          <cell r="DA81">
            <v>0</v>
          </cell>
          <cell r="DB81">
            <v>0</v>
          </cell>
          <cell r="DC81">
            <v>0</v>
          </cell>
          <cell r="DD81">
            <v>0</v>
          </cell>
          <cell r="DE81">
            <v>0</v>
          </cell>
          <cell r="DF81">
            <v>0</v>
          </cell>
          <cell r="DG81">
            <v>0</v>
          </cell>
          <cell r="DH81">
            <v>0</v>
          </cell>
          <cell r="DI81">
            <v>0</v>
          </cell>
          <cell r="DJ81">
            <v>0</v>
          </cell>
          <cell r="DK81">
            <v>0</v>
          </cell>
          <cell r="DL81">
            <v>0</v>
          </cell>
          <cell r="DM81">
            <v>0</v>
          </cell>
          <cell r="DN81" t="str">
            <v/>
          </cell>
          <cell r="DO81" t="str">
            <v/>
          </cell>
          <cell r="DP81" t="str">
            <v/>
          </cell>
          <cell r="DQ81">
            <v>0</v>
          </cell>
          <cell r="DR81"/>
          <cell r="DS81"/>
          <cell r="DT81">
            <v>1</v>
          </cell>
          <cell r="DU81">
            <v>0</v>
          </cell>
          <cell r="DV81"/>
          <cell r="DW81"/>
          <cell r="DX81"/>
          <cell r="DY81"/>
        </row>
        <row r="82">
          <cell r="E82" t="str">
            <v>02538</v>
          </cell>
          <cell r="F82" t="str">
            <v>Nguyễn Thị Bích Duyên</v>
          </cell>
          <cell r="G82" t="str">
            <v>Foaming</v>
          </cell>
          <cell r="H82" t="str">
            <v>FOAMING Splitting</v>
          </cell>
          <cell r="I82" t="str">
            <v>Worker</v>
          </cell>
          <cell r="J82">
            <v>44090</v>
          </cell>
          <cell r="K82">
            <v>44119</v>
          </cell>
          <cell r="L82">
            <v>8</v>
          </cell>
          <cell r="M82">
            <v>8</v>
          </cell>
          <cell r="N82">
            <v>8</v>
          </cell>
          <cell r="O82" t="str">
            <v>HCSX</v>
          </cell>
          <cell r="P82" t="str">
            <v>CN</v>
          </cell>
          <cell r="Q82">
            <v>8</v>
          </cell>
          <cell r="R82">
            <v>8</v>
          </cell>
          <cell r="S82">
            <v>8</v>
          </cell>
          <cell r="T82">
            <v>8</v>
          </cell>
          <cell r="U82">
            <v>8</v>
          </cell>
          <cell r="V82">
            <v>8</v>
          </cell>
          <cell r="W82" t="str">
            <v>HCSX</v>
          </cell>
          <cell r="X82" t="str">
            <v>CN</v>
          </cell>
          <cell r="Y82">
            <v>8</v>
          </cell>
          <cell r="Z82">
            <v>8</v>
          </cell>
          <cell r="AA82">
            <v>8</v>
          </cell>
          <cell r="AB82">
            <v>8</v>
          </cell>
          <cell r="AC82">
            <v>8</v>
          </cell>
          <cell r="AD82" t="str">
            <v>NP</v>
          </cell>
          <cell r="AE82" t="str">
            <v>HCSX</v>
          </cell>
          <cell r="AF82" t="str">
            <v>CN</v>
          </cell>
          <cell r="AG82">
            <v>8</v>
          </cell>
          <cell r="AH82">
            <v>8</v>
          </cell>
          <cell r="AI82">
            <v>8</v>
          </cell>
          <cell r="AJ82">
            <v>8</v>
          </cell>
          <cell r="AK82">
            <v>8</v>
          </cell>
          <cell r="AL82">
            <v>8</v>
          </cell>
          <cell r="AM82" t="str">
            <v>HCSX</v>
          </cell>
          <cell r="AN82" t="str">
            <v>CN</v>
          </cell>
          <cell r="AO82">
            <v>8</v>
          </cell>
          <cell r="AP82">
            <v>8</v>
          </cell>
          <cell r="AQ82">
            <v>8</v>
          </cell>
          <cell r="AR82">
            <v>8</v>
          </cell>
          <cell r="AS82">
            <v>8</v>
          </cell>
          <cell r="AT82">
            <v>8</v>
          </cell>
          <cell r="AU82" t="str">
            <v>HCSX</v>
          </cell>
          <cell r="AV82" t="str">
            <v>H</v>
          </cell>
          <cell r="AW82" t="str">
            <v>X</v>
          </cell>
          <cell r="AX82">
            <v>8</v>
          </cell>
          <cell r="AY82">
            <v>8</v>
          </cell>
          <cell r="AZ82" t="str">
            <v>H</v>
          </cell>
          <cell r="BA82" t="str">
            <v/>
          </cell>
          <cell r="BB82" t="str">
            <v/>
          </cell>
          <cell r="BC82" t="str">
            <v>HCSX</v>
          </cell>
          <cell r="BD82" t="str">
            <v/>
          </cell>
          <cell r="BE82">
            <v>0</v>
          </cell>
          <cell r="BF82">
            <v>224</v>
          </cell>
          <cell r="BG82">
            <v>0</v>
          </cell>
          <cell r="BH82">
            <v>0</v>
          </cell>
          <cell r="BI82">
            <v>0</v>
          </cell>
          <cell r="BJ82">
            <v>0</v>
          </cell>
          <cell r="BK82">
            <v>1</v>
          </cell>
          <cell r="BL82">
            <v>0</v>
          </cell>
          <cell r="BM82">
            <v>0</v>
          </cell>
          <cell r="BN82">
            <v>0</v>
          </cell>
          <cell r="BO82">
            <v>0</v>
          </cell>
          <cell r="BP82">
            <v>0</v>
          </cell>
          <cell r="BQ82">
            <v>0</v>
          </cell>
          <cell r="BR82">
            <v>0</v>
          </cell>
          <cell r="BS82">
            <v>16</v>
          </cell>
          <cell r="BT82">
            <v>0</v>
          </cell>
          <cell r="BU82">
            <v>0</v>
          </cell>
          <cell r="BV82">
            <v>0</v>
          </cell>
          <cell r="BW82">
            <v>0</v>
          </cell>
          <cell r="BX82">
            <v>240</v>
          </cell>
          <cell r="BY82">
            <v>0</v>
          </cell>
          <cell r="BZ82">
            <v>0</v>
          </cell>
          <cell r="CA82">
            <v>0</v>
          </cell>
          <cell r="CB82">
            <v>0</v>
          </cell>
          <cell r="CC82">
            <v>0</v>
          </cell>
          <cell r="CD82"/>
          <cell r="CE82"/>
          <cell r="CF82"/>
          <cell r="CG82">
            <v>0</v>
          </cell>
          <cell r="CH82">
            <v>0</v>
          </cell>
          <cell r="CI82">
            <v>1</v>
          </cell>
          <cell r="CJ82">
            <v>0</v>
          </cell>
          <cell r="CK82">
            <v>0</v>
          </cell>
          <cell r="CL82">
            <v>3</v>
          </cell>
          <cell r="CM82">
            <v>3</v>
          </cell>
          <cell r="CN82">
            <v>3</v>
          </cell>
          <cell r="CO82">
            <v>3</v>
          </cell>
          <cell r="CP82">
            <v>0</v>
          </cell>
          <cell r="CQ82">
            <v>0</v>
          </cell>
          <cell r="CR82">
            <v>0</v>
          </cell>
          <cell r="CS82">
            <v>0</v>
          </cell>
          <cell r="CT82">
            <v>0</v>
          </cell>
          <cell r="CU82">
            <v>3</v>
          </cell>
          <cell r="CV82">
            <v>0</v>
          </cell>
          <cell r="CW82">
            <v>0</v>
          </cell>
          <cell r="CX82">
            <v>0</v>
          </cell>
          <cell r="CY82">
            <v>3</v>
          </cell>
          <cell r="CZ82">
            <v>2</v>
          </cell>
          <cell r="DA82">
            <v>2</v>
          </cell>
          <cell r="DB82">
            <v>2</v>
          </cell>
          <cell r="DC82">
            <v>2</v>
          </cell>
          <cell r="DD82">
            <v>0</v>
          </cell>
          <cell r="DE82">
            <v>0</v>
          </cell>
          <cell r="DF82">
            <v>2</v>
          </cell>
          <cell r="DG82">
            <v>2</v>
          </cell>
          <cell r="DH82">
            <v>2</v>
          </cell>
          <cell r="DI82">
            <v>2</v>
          </cell>
          <cell r="DJ82">
            <v>0</v>
          </cell>
          <cell r="DK82">
            <v>0</v>
          </cell>
          <cell r="DL82">
            <v>0</v>
          </cell>
          <cell r="DM82">
            <v>0</v>
          </cell>
          <cell r="DN82" t="str">
            <v/>
          </cell>
          <cell r="DO82" t="str">
            <v/>
          </cell>
          <cell r="DP82" t="str">
            <v/>
          </cell>
          <cell r="DQ82">
            <v>0</v>
          </cell>
          <cell r="DR82"/>
          <cell r="DS82"/>
          <cell r="DT82">
            <v>35</v>
          </cell>
          <cell r="DU82">
            <v>0</v>
          </cell>
          <cell r="DV82"/>
          <cell r="DW82"/>
          <cell r="DX82"/>
          <cell r="DY82"/>
        </row>
        <row r="83">
          <cell r="E83" t="str">
            <v>03783</v>
          </cell>
          <cell r="F83" t="str">
            <v>Hồ Văn Tuốt</v>
          </cell>
          <cell r="G83" t="str">
            <v>Foaming</v>
          </cell>
          <cell r="H83" t="str">
            <v>FOAMING Rectangular</v>
          </cell>
          <cell r="I83" t="str">
            <v>Team Leader</v>
          </cell>
          <cell r="J83">
            <v>44993</v>
          </cell>
          <cell r="K83">
            <v>45023</v>
          </cell>
          <cell r="L83" t="str">
            <v>Đ</v>
          </cell>
          <cell r="M83" t="str">
            <v>Đ</v>
          </cell>
          <cell r="N83" t="str">
            <v>Đ</v>
          </cell>
          <cell r="O83" t="str">
            <v>Ca 3</v>
          </cell>
          <cell r="P83" t="str">
            <v>CN</v>
          </cell>
          <cell r="Q83" t="str">
            <v>Đ</v>
          </cell>
          <cell r="R83" t="str">
            <v>Đ</v>
          </cell>
          <cell r="S83" t="str">
            <v>Đ</v>
          </cell>
          <cell r="T83" t="str">
            <v>Đ</v>
          </cell>
          <cell r="U83" t="str">
            <v>Đ</v>
          </cell>
          <cell r="V83" t="str">
            <v>NP</v>
          </cell>
          <cell r="W83" t="str">
            <v>Ca 3</v>
          </cell>
          <cell r="X83" t="str">
            <v>CN</v>
          </cell>
          <cell r="Y83">
            <v>8</v>
          </cell>
          <cell r="Z83">
            <v>8</v>
          </cell>
          <cell r="AA83">
            <v>8</v>
          </cell>
          <cell r="AB83">
            <v>8</v>
          </cell>
          <cell r="AC83">
            <v>8</v>
          </cell>
          <cell r="AD83">
            <v>8</v>
          </cell>
          <cell r="AE83" t="str">
            <v>Ca 2</v>
          </cell>
          <cell r="AF83" t="str">
            <v>CN</v>
          </cell>
          <cell r="AG83">
            <v>8</v>
          </cell>
          <cell r="AH83">
            <v>8</v>
          </cell>
          <cell r="AI83">
            <v>8</v>
          </cell>
          <cell r="AJ83">
            <v>8</v>
          </cell>
          <cell r="AK83">
            <v>8</v>
          </cell>
          <cell r="AL83">
            <v>8</v>
          </cell>
          <cell r="AM83" t="str">
            <v>Ca 1</v>
          </cell>
          <cell r="AN83" t="str">
            <v>CN</v>
          </cell>
          <cell r="AO83" t="str">
            <v>Đ</v>
          </cell>
          <cell r="AP83" t="str">
            <v>Đ</v>
          </cell>
          <cell r="AQ83" t="str">
            <v>Đ</v>
          </cell>
          <cell r="AR83" t="str">
            <v>Đ</v>
          </cell>
          <cell r="AS83" t="str">
            <v>Đ</v>
          </cell>
          <cell r="AT83" t="str">
            <v>AL8</v>
          </cell>
          <cell r="AU83" t="str">
            <v>Ca 3</v>
          </cell>
          <cell r="AV83" t="str">
            <v>H</v>
          </cell>
          <cell r="AW83" t="str">
            <v>X</v>
          </cell>
          <cell r="AX83" t="str">
            <v>Đ</v>
          </cell>
          <cell r="AY83" t="str">
            <v>NP</v>
          </cell>
          <cell r="AZ83" t="str">
            <v>H</v>
          </cell>
          <cell r="BA83" t="str">
            <v/>
          </cell>
          <cell r="BB83" t="str">
            <v/>
          </cell>
          <cell r="BC83" t="str">
            <v>Ca 3</v>
          </cell>
          <cell r="BD83" t="str">
            <v/>
          </cell>
          <cell r="BE83">
            <v>112</v>
          </cell>
          <cell r="BF83">
            <v>96</v>
          </cell>
          <cell r="BG83">
            <v>0</v>
          </cell>
          <cell r="BH83">
            <v>0</v>
          </cell>
          <cell r="BI83">
            <v>0</v>
          </cell>
          <cell r="BJ83">
            <v>0</v>
          </cell>
          <cell r="BK83">
            <v>2</v>
          </cell>
          <cell r="BL83">
            <v>0</v>
          </cell>
          <cell r="BM83">
            <v>0</v>
          </cell>
          <cell r="BN83">
            <v>0</v>
          </cell>
          <cell r="BO83">
            <v>0</v>
          </cell>
          <cell r="BP83">
            <v>0</v>
          </cell>
          <cell r="BQ83">
            <v>0</v>
          </cell>
          <cell r="BR83">
            <v>8</v>
          </cell>
          <cell r="BS83">
            <v>16</v>
          </cell>
          <cell r="BT83">
            <v>0</v>
          </cell>
          <cell r="BU83">
            <v>0</v>
          </cell>
          <cell r="BV83">
            <v>0</v>
          </cell>
          <cell r="BW83">
            <v>0</v>
          </cell>
          <cell r="BX83">
            <v>232</v>
          </cell>
          <cell r="BY83">
            <v>1</v>
          </cell>
          <cell r="BZ83">
            <v>0</v>
          </cell>
          <cell r="CA83">
            <v>0</v>
          </cell>
          <cell r="CB83">
            <v>1</v>
          </cell>
          <cell r="CC83">
            <v>1</v>
          </cell>
          <cell r="CD83"/>
          <cell r="CE83"/>
          <cell r="CF83"/>
          <cell r="CG83">
            <v>4</v>
          </cell>
          <cell r="CH83">
            <v>4</v>
          </cell>
          <cell r="CI83">
            <v>2</v>
          </cell>
          <cell r="CJ83">
            <v>0</v>
          </cell>
          <cell r="CK83">
            <v>0</v>
          </cell>
          <cell r="CL83">
            <v>0</v>
          </cell>
          <cell r="CM83">
            <v>0</v>
          </cell>
          <cell r="CN83">
            <v>0</v>
          </cell>
          <cell r="CO83">
            <v>0</v>
          </cell>
          <cell r="CP83">
            <v>0</v>
          </cell>
          <cell r="CQ83">
            <v>0</v>
          </cell>
          <cell r="CR83">
            <v>0</v>
          </cell>
          <cell r="CS83">
            <v>0</v>
          </cell>
          <cell r="CT83">
            <v>0</v>
          </cell>
          <cell r="CU83">
            <v>0</v>
          </cell>
          <cell r="CV83">
            <v>0</v>
          </cell>
          <cell r="CW83">
            <v>0</v>
          </cell>
          <cell r="CX83">
            <v>0</v>
          </cell>
          <cell r="CY83">
            <v>0</v>
          </cell>
          <cell r="CZ83">
            <v>0</v>
          </cell>
          <cell r="DA83">
            <v>0</v>
          </cell>
          <cell r="DB83">
            <v>0</v>
          </cell>
          <cell r="DC83">
            <v>4</v>
          </cell>
          <cell r="DD83">
            <v>0</v>
          </cell>
          <cell r="DE83">
            <v>0</v>
          </cell>
          <cell r="DF83">
            <v>0</v>
          </cell>
          <cell r="DG83">
            <v>0</v>
          </cell>
          <cell r="DH83">
            <v>0</v>
          </cell>
          <cell r="DI83">
            <v>0</v>
          </cell>
          <cell r="DJ83">
            <v>0</v>
          </cell>
          <cell r="DK83">
            <v>0</v>
          </cell>
          <cell r="DL83">
            <v>0</v>
          </cell>
          <cell r="DM83">
            <v>0</v>
          </cell>
          <cell r="DN83" t="str">
            <v/>
          </cell>
          <cell r="DO83" t="str">
            <v/>
          </cell>
          <cell r="DP83" t="str">
            <v/>
          </cell>
          <cell r="DQ83">
            <v>0</v>
          </cell>
          <cell r="DR83"/>
          <cell r="DS83"/>
          <cell r="DT83">
            <v>14</v>
          </cell>
          <cell r="DU83">
            <v>0</v>
          </cell>
          <cell r="DV83"/>
          <cell r="DW83"/>
          <cell r="DX83"/>
          <cell r="DY83"/>
        </row>
        <row r="84">
          <cell r="E84" t="str">
            <v>03781</v>
          </cell>
          <cell r="F84" t="str">
            <v>Huỳnh Trọng Kha</v>
          </cell>
          <cell r="G84" t="str">
            <v>Foaming</v>
          </cell>
          <cell r="H84" t="str">
            <v>FOAMING Production control</v>
          </cell>
          <cell r="I84" t="str">
            <v>Associate Engineer</v>
          </cell>
          <cell r="J84">
            <v>44993</v>
          </cell>
          <cell r="K84">
            <v>45053</v>
          </cell>
          <cell r="L84">
            <v>8</v>
          </cell>
          <cell r="M84">
            <v>8</v>
          </cell>
          <cell r="N84" t="str">
            <v>PO</v>
          </cell>
          <cell r="O84" t="str">
            <v>HCVP</v>
          </cell>
          <cell r="P84" t="str">
            <v>CN</v>
          </cell>
          <cell r="Q84">
            <v>8</v>
          </cell>
          <cell r="R84">
            <v>8</v>
          </cell>
          <cell r="S84">
            <v>8</v>
          </cell>
          <cell r="T84">
            <v>8</v>
          </cell>
          <cell r="U84">
            <v>8</v>
          </cell>
          <cell r="V84" t="str">
            <v>PO</v>
          </cell>
          <cell r="W84" t="str">
            <v>HCVP</v>
          </cell>
          <cell r="X84" t="str">
            <v>CN</v>
          </cell>
          <cell r="Y84" t="str">
            <v>NP</v>
          </cell>
          <cell r="Z84">
            <v>8</v>
          </cell>
          <cell r="AA84">
            <v>8</v>
          </cell>
          <cell r="AB84">
            <v>8</v>
          </cell>
          <cell r="AC84">
            <v>8</v>
          </cell>
          <cell r="AD84" t="str">
            <v>PO</v>
          </cell>
          <cell r="AE84" t="str">
            <v>HCVP</v>
          </cell>
          <cell r="AF84" t="str">
            <v>CN</v>
          </cell>
          <cell r="AG84">
            <v>8</v>
          </cell>
          <cell r="AH84">
            <v>8</v>
          </cell>
          <cell r="AI84">
            <v>8</v>
          </cell>
          <cell r="AJ84">
            <v>8</v>
          </cell>
          <cell r="AK84">
            <v>8</v>
          </cell>
          <cell r="AL84" t="str">
            <v>PO</v>
          </cell>
          <cell r="AM84" t="str">
            <v>HCVP</v>
          </cell>
          <cell r="AN84" t="str">
            <v>CN</v>
          </cell>
          <cell r="AO84">
            <v>8</v>
          </cell>
          <cell r="AP84">
            <v>8</v>
          </cell>
          <cell r="AQ84" t="str">
            <v>NP</v>
          </cell>
          <cell r="AR84">
            <v>8</v>
          </cell>
          <cell r="AS84">
            <v>8</v>
          </cell>
          <cell r="AT84" t="str">
            <v>PO</v>
          </cell>
          <cell r="AU84" t="str">
            <v>HCVP</v>
          </cell>
          <cell r="AV84" t="str">
            <v>H</v>
          </cell>
          <cell r="AW84" t="str">
            <v>X</v>
          </cell>
          <cell r="AX84" t="str">
            <v>AL8</v>
          </cell>
          <cell r="AY84" t="str">
            <v>AL8</v>
          </cell>
          <cell r="AZ84" t="str">
            <v>H</v>
          </cell>
          <cell r="BA84" t="str">
            <v/>
          </cell>
          <cell r="BB84" t="str">
            <v/>
          </cell>
          <cell r="BC84" t="str">
            <v>HCVP</v>
          </cell>
          <cell r="BD84" t="str">
            <v/>
          </cell>
          <cell r="BE84">
            <v>0</v>
          </cell>
          <cell r="BF84">
            <v>160</v>
          </cell>
          <cell r="BG84">
            <v>0</v>
          </cell>
          <cell r="BH84">
            <v>0</v>
          </cell>
          <cell r="BI84">
            <v>0</v>
          </cell>
          <cell r="BJ84">
            <v>0</v>
          </cell>
          <cell r="BK84">
            <v>2</v>
          </cell>
          <cell r="BL84">
            <v>0</v>
          </cell>
          <cell r="BM84">
            <v>40</v>
          </cell>
          <cell r="BN84">
            <v>0</v>
          </cell>
          <cell r="BO84">
            <v>0</v>
          </cell>
          <cell r="BP84">
            <v>0</v>
          </cell>
          <cell r="BQ84">
            <v>0</v>
          </cell>
          <cell r="BR84">
            <v>16</v>
          </cell>
          <cell r="BS84">
            <v>16</v>
          </cell>
          <cell r="BT84">
            <v>0</v>
          </cell>
          <cell r="BU84">
            <v>0</v>
          </cell>
          <cell r="BV84">
            <v>0</v>
          </cell>
          <cell r="BW84">
            <v>0</v>
          </cell>
          <cell r="BX84">
            <v>232</v>
          </cell>
          <cell r="BY84">
            <v>2</v>
          </cell>
          <cell r="BZ84">
            <v>0</v>
          </cell>
          <cell r="CA84">
            <v>0</v>
          </cell>
          <cell r="CB84">
            <v>2</v>
          </cell>
          <cell r="CC84">
            <v>2</v>
          </cell>
          <cell r="CD84"/>
          <cell r="CE84"/>
          <cell r="CF84"/>
          <cell r="CG84">
            <v>0</v>
          </cell>
          <cell r="CH84">
            <v>0</v>
          </cell>
          <cell r="CI84">
            <v>0</v>
          </cell>
          <cell r="CJ84">
            <v>0</v>
          </cell>
          <cell r="CK84">
            <v>0</v>
          </cell>
          <cell r="CL84">
            <v>0</v>
          </cell>
          <cell r="CM84">
            <v>0</v>
          </cell>
          <cell r="CN84">
            <v>0</v>
          </cell>
          <cell r="CO84">
            <v>0</v>
          </cell>
          <cell r="CP84">
            <v>0</v>
          </cell>
          <cell r="CQ84">
            <v>0</v>
          </cell>
          <cell r="CR84">
            <v>0</v>
          </cell>
          <cell r="CS84">
            <v>0</v>
          </cell>
          <cell r="CT84">
            <v>0</v>
          </cell>
          <cell r="CU84">
            <v>0</v>
          </cell>
          <cell r="CV84">
            <v>0</v>
          </cell>
          <cell r="CW84">
            <v>0</v>
          </cell>
          <cell r="CX84">
            <v>0</v>
          </cell>
          <cell r="CY84">
            <v>0</v>
          </cell>
          <cell r="CZ84">
            <v>0</v>
          </cell>
          <cell r="DA84">
            <v>0</v>
          </cell>
          <cell r="DB84">
            <v>0</v>
          </cell>
          <cell r="DC84">
            <v>0</v>
          </cell>
          <cell r="DD84">
            <v>0</v>
          </cell>
          <cell r="DE84">
            <v>0</v>
          </cell>
          <cell r="DF84">
            <v>0</v>
          </cell>
          <cell r="DG84">
            <v>0</v>
          </cell>
          <cell r="DH84">
            <v>0</v>
          </cell>
          <cell r="DI84">
            <v>0</v>
          </cell>
          <cell r="DJ84">
            <v>0</v>
          </cell>
          <cell r="DK84">
            <v>0</v>
          </cell>
          <cell r="DL84">
            <v>0</v>
          </cell>
          <cell r="DM84">
            <v>0</v>
          </cell>
          <cell r="DN84" t="str">
            <v/>
          </cell>
          <cell r="DO84" t="str">
            <v/>
          </cell>
          <cell r="DP84" t="str">
            <v/>
          </cell>
          <cell r="DQ84">
            <v>0</v>
          </cell>
          <cell r="DR84"/>
          <cell r="DS84"/>
          <cell r="DT84">
            <v>0</v>
          </cell>
          <cell r="DU84">
            <v>0</v>
          </cell>
          <cell r="DV84"/>
          <cell r="DW84"/>
          <cell r="DX84"/>
          <cell r="DY84"/>
        </row>
        <row r="85">
          <cell r="E85" t="str">
            <v>03907</v>
          </cell>
          <cell r="F85" t="str">
            <v>Nguyễn Thị Thanh Tâm</v>
          </cell>
          <cell r="G85" t="str">
            <v>Foaming</v>
          </cell>
          <cell r="H85" t="str">
            <v>FOAMING Production control</v>
          </cell>
          <cell r="I85" t="str">
            <v>Staff</v>
          </cell>
          <cell r="J85">
            <v>45138</v>
          </cell>
          <cell r="K85">
            <v>45198</v>
          </cell>
          <cell r="L85">
            <v>8</v>
          </cell>
          <cell r="M85">
            <v>8</v>
          </cell>
          <cell r="N85" t="str">
            <v>PO</v>
          </cell>
          <cell r="O85" t="str">
            <v>HCVP</v>
          </cell>
          <cell r="P85" t="str">
            <v>CN</v>
          </cell>
          <cell r="Q85">
            <v>8</v>
          </cell>
          <cell r="R85">
            <v>8</v>
          </cell>
          <cell r="S85">
            <v>8</v>
          </cell>
          <cell r="T85">
            <v>8</v>
          </cell>
          <cell r="U85">
            <v>8</v>
          </cell>
          <cell r="V85" t="str">
            <v>PO</v>
          </cell>
          <cell r="W85" t="str">
            <v>HCVP</v>
          </cell>
          <cell r="X85" t="str">
            <v>CN</v>
          </cell>
          <cell r="Y85">
            <v>8</v>
          </cell>
          <cell r="Z85">
            <v>8</v>
          </cell>
          <cell r="AA85">
            <v>8</v>
          </cell>
          <cell r="AB85">
            <v>8</v>
          </cell>
          <cell r="AC85">
            <v>8</v>
          </cell>
          <cell r="AD85" t="str">
            <v>PO</v>
          </cell>
          <cell r="AE85" t="str">
            <v>HCVP</v>
          </cell>
          <cell r="AF85" t="str">
            <v>CN</v>
          </cell>
          <cell r="AG85">
            <v>8</v>
          </cell>
          <cell r="AH85">
            <v>8</v>
          </cell>
          <cell r="AI85">
            <v>8</v>
          </cell>
          <cell r="AJ85">
            <v>8</v>
          </cell>
          <cell r="AK85">
            <v>8</v>
          </cell>
          <cell r="AL85" t="str">
            <v>PO</v>
          </cell>
          <cell r="AM85" t="str">
            <v>HCVP</v>
          </cell>
          <cell r="AN85" t="str">
            <v>CN</v>
          </cell>
          <cell r="AO85">
            <v>8</v>
          </cell>
          <cell r="AP85" t="str">
            <v>NP</v>
          </cell>
          <cell r="AQ85" t="str">
            <v>NP</v>
          </cell>
          <cell r="AR85">
            <v>8</v>
          </cell>
          <cell r="AS85">
            <v>8</v>
          </cell>
          <cell r="AT85" t="str">
            <v>PO</v>
          </cell>
          <cell r="AU85" t="str">
            <v>HCVP</v>
          </cell>
          <cell r="AV85" t="str">
            <v>H</v>
          </cell>
          <cell r="AW85" t="str">
            <v>X</v>
          </cell>
          <cell r="AX85">
            <v>8</v>
          </cell>
          <cell r="AY85">
            <v>8</v>
          </cell>
          <cell r="AZ85" t="str">
            <v>H</v>
          </cell>
          <cell r="BA85" t="str">
            <v/>
          </cell>
          <cell r="BB85" t="str">
            <v/>
          </cell>
          <cell r="BC85" t="str">
            <v>HCVP</v>
          </cell>
          <cell r="BD85" t="str">
            <v/>
          </cell>
          <cell r="BE85">
            <v>0</v>
          </cell>
          <cell r="BF85">
            <v>176</v>
          </cell>
          <cell r="BG85">
            <v>0</v>
          </cell>
          <cell r="BH85">
            <v>0</v>
          </cell>
          <cell r="BI85">
            <v>0</v>
          </cell>
          <cell r="BJ85">
            <v>0</v>
          </cell>
          <cell r="BK85">
            <v>2</v>
          </cell>
          <cell r="BL85">
            <v>0</v>
          </cell>
          <cell r="BM85">
            <v>40</v>
          </cell>
          <cell r="BN85">
            <v>0</v>
          </cell>
          <cell r="BO85">
            <v>0</v>
          </cell>
          <cell r="BP85">
            <v>0</v>
          </cell>
          <cell r="BQ85">
            <v>0</v>
          </cell>
          <cell r="BR85">
            <v>0</v>
          </cell>
          <cell r="BS85">
            <v>16</v>
          </cell>
          <cell r="BT85">
            <v>0</v>
          </cell>
          <cell r="BU85">
            <v>0</v>
          </cell>
          <cell r="BV85">
            <v>0</v>
          </cell>
          <cell r="BW85">
            <v>0</v>
          </cell>
          <cell r="BX85">
            <v>232</v>
          </cell>
          <cell r="BY85">
            <v>0</v>
          </cell>
          <cell r="BZ85">
            <v>0</v>
          </cell>
          <cell r="CA85">
            <v>0</v>
          </cell>
          <cell r="CB85">
            <v>0</v>
          </cell>
          <cell r="CC85">
            <v>0</v>
          </cell>
          <cell r="CD85"/>
          <cell r="CE85"/>
          <cell r="CF85"/>
          <cell r="CG85">
            <v>0</v>
          </cell>
          <cell r="CH85">
            <v>0</v>
          </cell>
          <cell r="CI85">
            <v>0</v>
          </cell>
          <cell r="CJ85">
            <v>0</v>
          </cell>
          <cell r="CK85">
            <v>0</v>
          </cell>
          <cell r="CL85">
            <v>0</v>
          </cell>
          <cell r="CM85">
            <v>0</v>
          </cell>
          <cell r="CN85">
            <v>0</v>
          </cell>
          <cell r="CO85">
            <v>0</v>
          </cell>
          <cell r="CP85">
            <v>0</v>
          </cell>
          <cell r="CQ85">
            <v>0</v>
          </cell>
          <cell r="CR85">
            <v>0</v>
          </cell>
          <cell r="CS85">
            <v>0</v>
          </cell>
          <cell r="CT85">
            <v>0</v>
          </cell>
          <cell r="CU85">
            <v>0</v>
          </cell>
          <cell r="CV85">
            <v>0</v>
          </cell>
          <cell r="CW85">
            <v>0</v>
          </cell>
          <cell r="CX85">
            <v>0</v>
          </cell>
          <cell r="CY85">
            <v>0</v>
          </cell>
          <cell r="CZ85">
            <v>0</v>
          </cell>
          <cell r="DA85">
            <v>0</v>
          </cell>
          <cell r="DB85">
            <v>0</v>
          </cell>
          <cell r="DC85">
            <v>0</v>
          </cell>
          <cell r="DD85">
            <v>0</v>
          </cell>
          <cell r="DE85">
            <v>0</v>
          </cell>
          <cell r="DF85">
            <v>0</v>
          </cell>
          <cell r="DG85">
            <v>0</v>
          </cell>
          <cell r="DH85">
            <v>0</v>
          </cell>
          <cell r="DI85">
            <v>0</v>
          </cell>
          <cell r="DJ85">
            <v>0</v>
          </cell>
          <cell r="DK85">
            <v>0</v>
          </cell>
          <cell r="DL85">
            <v>0</v>
          </cell>
          <cell r="DM85">
            <v>0</v>
          </cell>
          <cell r="DN85" t="str">
            <v/>
          </cell>
          <cell r="DO85" t="str">
            <v/>
          </cell>
          <cell r="DP85" t="str">
            <v/>
          </cell>
          <cell r="DQ85"/>
          <cell r="DR85"/>
          <cell r="DS85"/>
          <cell r="DT85">
            <v>0</v>
          </cell>
          <cell r="DU85">
            <v>0</v>
          </cell>
          <cell r="DV85"/>
          <cell r="DW85"/>
          <cell r="DX85"/>
          <cell r="DY85"/>
        </row>
        <row r="86">
          <cell r="E86" t="str">
            <v>04004</v>
          </cell>
          <cell r="F86" t="str">
            <v>Nguyễn Văn Sự</v>
          </cell>
          <cell r="G86" t="str">
            <v>Foaming</v>
          </cell>
          <cell r="H86" t="str">
            <v>FOAMING Rectangular</v>
          </cell>
          <cell r="I86" t="str">
            <v>Worker</v>
          </cell>
          <cell r="J86">
            <v>45225</v>
          </cell>
          <cell r="K86">
            <v>45255</v>
          </cell>
          <cell r="L86">
            <v>8</v>
          </cell>
          <cell r="M86">
            <v>8</v>
          </cell>
          <cell r="N86">
            <v>8</v>
          </cell>
          <cell r="O86" t="str">
            <v>Ca 1</v>
          </cell>
          <cell r="P86" t="str">
            <v>CN</v>
          </cell>
          <cell r="Q86">
            <v>8</v>
          </cell>
          <cell r="R86">
            <v>8</v>
          </cell>
          <cell r="S86">
            <v>8</v>
          </cell>
          <cell r="T86">
            <v>8</v>
          </cell>
          <cell r="U86">
            <v>8</v>
          </cell>
          <cell r="V86">
            <v>8</v>
          </cell>
          <cell r="W86" t="str">
            <v>HCSX</v>
          </cell>
          <cell r="X86" t="str">
            <v>CN</v>
          </cell>
          <cell r="Y86" t="str">
            <v>NP</v>
          </cell>
          <cell r="Z86">
            <v>8</v>
          </cell>
          <cell r="AA86">
            <v>8</v>
          </cell>
          <cell r="AB86">
            <v>8</v>
          </cell>
          <cell r="AC86">
            <v>8</v>
          </cell>
          <cell r="AD86">
            <v>8</v>
          </cell>
          <cell r="AE86" t="str">
            <v>HCSX</v>
          </cell>
          <cell r="AF86" t="str">
            <v>CN</v>
          </cell>
          <cell r="AG86">
            <v>8</v>
          </cell>
          <cell r="AH86">
            <v>8</v>
          </cell>
          <cell r="AI86">
            <v>8</v>
          </cell>
          <cell r="AJ86">
            <v>8</v>
          </cell>
          <cell r="AK86">
            <v>8</v>
          </cell>
          <cell r="AL86">
            <v>8</v>
          </cell>
          <cell r="AM86" t="str">
            <v>HCSX</v>
          </cell>
          <cell r="AN86" t="str">
            <v>CN</v>
          </cell>
          <cell r="AO86">
            <v>8</v>
          </cell>
          <cell r="AP86">
            <v>8</v>
          </cell>
          <cell r="AQ86">
            <v>8</v>
          </cell>
          <cell r="AR86">
            <v>8</v>
          </cell>
          <cell r="AS86">
            <v>8</v>
          </cell>
          <cell r="AT86">
            <v>8</v>
          </cell>
          <cell r="AU86" t="str">
            <v>HCSX</v>
          </cell>
          <cell r="AV86" t="str">
            <v>H</v>
          </cell>
          <cell r="AW86" t="str">
            <v>X</v>
          </cell>
          <cell r="AX86">
            <v>8</v>
          </cell>
          <cell r="AY86">
            <v>8</v>
          </cell>
          <cell r="AZ86" t="str">
            <v>H</v>
          </cell>
          <cell r="BA86" t="str">
            <v/>
          </cell>
          <cell r="BB86" t="str">
            <v/>
          </cell>
          <cell r="BC86" t="str">
            <v>Ca 2</v>
          </cell>
          <cell r="BD86" t="str">
            <v/>
          </cell>
          <cell r="BE86">
            <v>0</v>
          </cell>
          <cell r="BF86">
            <v>224</v>
          </cell>
          <cell r="BG86">
            <v>0</v>
          </cell>
          <cell r="BH86">
            <v>0</v>
          </cell>
          <cell r="BI86">
            <v>0</v>
          </cell>
          <cell r="BJ86">
            <v>0</v>
          </cell>
          <cell r="BK86">
            <v>1</v>
          </cell>
          <cell r="BL86">
            <v>0</v>
          </cell>
          <cell r="BM86">
            <v>0</v>
          </cell>
          <cell r="BN86">
            <v>0</v>
          </cell>
          <cell r="BO86">
            <v>0</v>
          </cell>
          <cell r="BP86">
            <v>0</v>
          </cell>
          <cell r="BQ86">
            <v>0</v>
          </cell>
          <cell r="BR86">
            <v>0</v>
          </cell>
          <cell r="BS86">
            <v>16</v>
          </cell>
          <cell r="BT86">
            <v>0</v>
          </cell>
          <cell r="BU86">
            <v>0</v>
          </cell>
          <cell r="BV86">
            <v>0</v>
          </cell>
          <cell r="BW86">
            <v>0</v>
          </cell>
          <cell r="BX86">
            <v>240</v>
          </cell>
          <cell r="BY86">
            <v>0</v>
          </cell>
          <cell r="BZ86">
            <v>0</v>
          </cell>
          <cell r="CA86">
            <v>0</v>
          </cell>
          <cell r="CB86">
            <v>0</v>
          </cell>
          <cell r="CC86">
            <v>0</v>
          </cell>
          <cell r="CD86"/>
          <cell r="CE86"/>
          <cell r="CF86"/>
          <cell r="CG86">
            <v>4</v>
          </cell>
          <cell r="CH86">
            <v>4</v>
          </cell>
          <cell r="CI86">
            <v>4</v>
          </cell>
          <cell r="CJ86">
            <v>0</v>
          </cell>
          <cell r="CK86">
            <v>2</v>
          </cell>
          <cell r="CL86">
            <v>2</v>
          </cell>
          <cell r="CM86">
            <v>2</v>
          </cell>
          <cell r="CN86">
            <v>2</v>
          </cell>
          <cell r="CO86">
            <v>2</v>
          </cell>
          <cell r="CP86">
            <v>2</v>
          </cell>
          <cell r="CQ86">
            <v>0</v>
          </cell>
          <cell r="CR86">
            <v>0</v>
          </cell>
          <cell r="CS86">
            <v>0</v>
          </cell>
          <cell r="CT86">
            <v>2</v>
          </cell>
          <cell r="CU86">
            <v>0</v>
          </cell>
          <cell r="CV86">
            <v>3</v>
          </cell>
          <cell r="CW86">
            <v>3</v>
          </cell>
          <cell r="CX86">
            <v>0</v>
          </cell>
          <cell r="CY86">
            <v>2</v>
          </cell>
          <cell r="CZ86">
            <v>2</v>
          </cell>
          <cell r="DA86">
            <v>2</v>
          </cell>
          <cell r="DB86">
            <v>0</v>
          </cell>
          <cell r="DC86">
            <v>0</v>
          </cell>
          <cell r="DD86">
            <v>0</v>
          </cell>
          <cell r="DE86">
            <v>0</v>
          </cell>
          <cell r="DF86">
            <v>0</v>
          </cell>
          <cell r="DG86">
            <v>0</v>
          </cell>
          <cell r="DH86">
            <v>0</v>
          </cell>
          <cell r="DI86">
            <v>0</v>
          </cell>
          <cell r="DJ86">
            <v>0</v>
          </cell>
          <cell r="DK86">
            <v>0</v>
          </cell>
          <cell r="DL86">
            <v>0</v>
          </cell>
          <cell r="DM86">
            <v>0</v>
          </cell>
          <cell r="DN86" t="str">
            <v/>
          </cell>
          <cell r="DO86" t="str">
            <v/>
          </cell>
          <cell r="DP86" t="str">
            <v/>
          </cell>
          <cell r="DQ86"/>
          <cell r="DR86"/>
          <cell r="DS86"/>
          <cell r="DT86">
            <v>38</v>
          </cell>
          <cell r="DU86">
            <v>0</v>
          </cell>
          <cell r="DV86"/>
          <cell r="DW86"/>
          <cell r="DX86"/>
          <cell r="DY86"/>
        </row>
        <row r="87">
          <cell r="E87" t="str">
            <v>04043</v>
          </cell>
          <cell r="F87" t="str">
            <v>Phạm Việt Hà</v>
          </cell>
          <cell r="G87" t="str">
            <v>Foaming</v>
          </cell>
          <cell r="H87" t="str">
            <v>FOAMING Production control</v>
          </cell>
          <cell r="I87" t="str">
            <v>Foaming Operation Director</v>
          </cell>
          <cell r="J87">
            <v>45355</v>
          </cell>
          <cell r="K87">
            <v>45415</v>
          </cell>
          <cell r="L87" t="str">
            <v>AL8</v>
          </cell>
          <cell r="M87" t="str">
            <v>AL8</v>
          </cell>
          <cell r="N87" t="str">
            <v>PO</v>
          </cell>
          <cell r="O87" t="str">
            <v>HCVP</v>
          </cell>
          <cell r="P87" t="str">
            <v>CN</v>
          </cell>
          <cell r="Q87" t="str">
            <v>AL8</v>
          </cell>
          <cell r="R87">
            <v>8</v>
          </cell>
          <cell r="S87">
            <v>8</v>
          </cell>
          <cell r="T87">
            <v>8</v>
          </cell>
          <cell r="U87">
            <v>8</v>
          </cell>
          <cell r="V87" t="str">
            <v>PO</v>
          </cell>
          <cell r="W87" t="str">
            <v>HCVP</v>
          </cell>
          <cell r="X87" t="str">
            <v>CN</v>
          </cell>
          <cell r="Y87">
            <v>8</v>
          </cell>
          <cell r="Z87">
            <v>8</v>
          </cell>
          <cell r="AA87">
            <v>8</v>
          </cell>
          <cell r="AB87">
            <v>8</v>
          </cell>
          <cell r="AC87">
            <v>8</v>
          </cell>
          <cell r="AD87" t="str">
            <v>PO</v>
          </cell>
          <cell r="AE87" t="str">
            <v>HCVP</v>
          </cell>
          <cell r="AF87" t="str">
            <v>CN</v>
          </cell>
          <cell r="AG87">
            <v>8</v>
          </cell>
          <cell r="AH87">
            <v>8</v>
          </cell>
          <cell r="AI87">
            <v>8</v>
          </cell>
          <cell r="AJ87">
            <v>8</v>
          </cell>
          <cell r="AK87">
            <v>8</v>
          </cell>
          <cell r="AL87" t="str">
            <v>PO</v>
          </cell>
          <cell r="AM87" t="str">
            <v>HCVP</v>
          </cell>
          <cell r="AN87" t="str">
            <v>CN</v>
          </cell>
          <cell r="AO87">
            <v>8</v>
          </cell>
          <cell r="AP87">
            <v>8</v>
          </cell>
          <cell r="AQ87">
            <v>8</v>
          </cell>
          <cell r="AR87">
            <v>8</v>
          </cell>
          <cell r="AS87">
            <v>8</v>
          </cell>
          <cell r="AT87" t="str">
            <v>PO</v>
          </cell>
          <cell r="AU87" t="str">
            <v>HCVP</v>
          </cell>
          <cell r="AV87" t="str">
            <v>H</v>
          </cell>
          <cell r="AW87" t="str">
            <v>X</v>
          </cell>
          <cell r="AX87" t="str">
            <v>AL8</v>
          </cell>
          <cell r="AY87" t="str">
            <v>AL8</v>
          </cell>
          <cell r="AZ87" t="str">
            <v>H</v>
          </cell>
          <cell r="BA87" t="str">
            <v/>
          </cell>
          <cell r="BB87" t="str">
            <v/>
          </cell>
          <cell r="BC87" t="str">
            <v>HCVP</v>
          </cell>
          <cell r="BD87" t="str">
            <v/>
          </cell>
          <cell r="BE87">
            <v>0</v>
          </cell>
          <cell r="BF87">
            <v>152</v>
          </cell>
          <cell r="BG87">
            <v>0</v>
          </cell>
          <cell r="BH87">
            <v>0</v>
          </cell>
          <cell r="BI87">
            <v>0</v>
          </cell>
          <cell r="BJ87">
            <v>0</v>
          </cell>
          <cell r="BK87">
            <v>0</v>
          </cell>
          <cell r="BL87">
            <v>0</v>
          </cell>
          <cell r="BM87">
            <v>40</v>
          </cell>
          <cell r="BN87">
            <v>0</v>
          </cell>
          <cell r="BO87">
            <v>0</v>
          </cell>
          <cell r="BP87">
            <v>0</v>
          </cell>
          <cell r="BQ87">
            <v>0</v>
          </cell>
          <cell r="BR87">
            <v>40</v>
          </cell>
          <cell r="BS87">
            <v>16</v>
          </cell>
          <cell r="BT87">
            <v>0</v>
          </cell>
          <cell r="BU87">
            <v>0</v>
          </cell>
          <cell r="BV87">
            <v>0</v>
          </cell>
          <cell r="BW87">
            <v>0</v>
          </cell>
          <cell r="BX87">
            <v>248</v>
          </cell>
          <cell r="BY87">
            <v>5</v>
          </cell>
          <cell r="BZ87">
            <v>0</v>
          </cell>
          <cell r="CA87">
            <v>0</v>
          </cell>
          <cell r="CB87">
            <v>5</v>
          </cell>
          <cell r="CC87">
            <v>5</v>
          </cell>
          <cell r="CD87"/>
          <cell r="CE87"/>
          <cell r="CF87"/>
          <cell r="CG87">
            <v>0</v>
          </cell>
          <cell r="CH87">
            <v>0</v>
          </cell>
          <cell r="CI87">
            <v>0</v>
          </cell>
          <cell r="CJ87">
            <v>0</v>
          </cell>
          <cell r="CK87">
            <v>0</v>
          </cell>
          <cell r="CL87">
            <v>0</v>
          </cell>
          <cell r="CM87">
            <v>0</v>
          </cell>
          <cell r="CN87">
            <v>0</v>
          </cell>
          <cell r="CO87">
            <v>0</v>
          </cell>
          <cell r="CP87">
            <v>0</v>
          </cell>
          <cell r="CQ87">
            <v>0</v>
          </cell>
          <cell r="CR87">
            <v>0</v>
          </cell>
          <cell r="CS87">
            <v>0</v>
          </cell>
          <cell r="CT87">
            <v>0</v>
          </cell>
          <cell r="CU87">
            <v>0</v>
          </cell>
          <cell r="CV87">
            <v>0</v>
          </cell>
          <cell r="CW87">
            <v>0</v>
          </cell>
          <cell r="CX87">
            <v>0</v>
          </cell>
          <cell r="CY87">
            <v>0</v>
          </cell>
          <cell r="CZ87">
            <v>0</v>
          </cell>
          <cell r="DA87">
            <v>0</v>
          </cell>
          <cell r="DB87">
            <v>0</v>
          </cell>
          <cell r="DC87">
            <v>0</v>
          </cell>
          <cell r="DD87">
            <v>0</v>
          </cell>
          <cell r="DE87">
            <v>0</v>
          </cell>
          <cell r="DF87">
            <v>0</v>
          </cell>
          <cell r="DG87">
            <v>0</v>
          </cell>
          <cell r="DH87">
            <v>0</v>
          </cell>
          <cell r="DI87">
            <v>0</v>
          </cell>
          <cell r="DJ87">
            <v>0</v>
          </cell>
          <cell r="DK87">
            <v>0</v>
          </cell>
          <cell r="DL87">
            <v>0</v>
          </cell>
          <cell r="DM87">
            <v>0</v>
          </cell>
          <cell r="DN87" t="str">
            <v/>
          </cell>
          <cell r="DO87" t="str">
            <v/>
          </cell>
          <cell r="DP87" t="str">
            <v/>
          </cell>
          <cell r="DQ87"/>
          <cell r="DR87"/>
          <cell r="DS87"/>
          <cell r="DT87">
            <v>0</v>
          </cell>
          <cell r="DU87">
            <v>0</v>
          </cell>
          <cell r="DV87"/>
          <cell r="DW87"/>
          <cell r="DX87"/>
          <cell r="DY87"/>
        </row>
        <row r="88">
          <cell r="E88" t="str">
            <v>04044</v>
          </cell>
          <cell r="F88" t="str">
            <v>Lý Tuyết Mịnh</v>
          </cell>
          <cell r="G88" t="str">
            <v>Foaming</v>
          </cell>
          <cell r="H88" t="str">
            <v>FOAMING Splitting</v>
          </cell>
          <cell r="I88" t="str">
            <v>Worker</v>
          </cell>
          <cell r="J88">
            <v>45358</v>
          </cell>
          <cell r="K88">
            <v>45388</v>
          </cell>
          <cell r="L88" t="str">
            <v>Đ</v>
          </cell>
          <cell r="M88" t="str">
            <v>Đ</v>
          </cell>
          <cell r="N88" t="str">
            <v>Đ</v>
          </cell>
          <cell r="O88" t="str">
            <v>Ca 3</v>
          </cell>
          <cell r="P88" t="str">
            <v>CN</v>
          </cell>
          <cell r="Q88">
            <v>8</v>
          </cell>
          <cell r="R88">
            <v>8</v>
          </cell>
          <cell r="S88">
            <v>8</v>
          </cell>
          <cell r="T88">
            <v>8</v>
          </cell>
          <cell r="U88">
            <v>8</v>
          </cell>
          <cell r="V88">
            <v>8</v>
          </cell>
          <cell r="W88" t="str">
            <v>HCSX</v>
          </cell>
          <cell r="X88" t="str">
            <v>CN</v>
          </cell>
          <cell r="Y88">
            <v>8</v>
          </cell>
          <cell r="Z88">
            <v>8</v>
          </cell>
          <cell r="AA88">
            <v>8</v>
          </cell>
          <cell r="AB88">
            <v>8</v>
          </cell>
          <cell r="AC88">
            <v>8</v>
          </cell>
          <cell r="AD88">
            <v>8</v>
          </cell>
          <cell r="AE88" t="str">
            <v>HCSX</v>
          </cell>
          <cell r="AF88" t="str">
            <v>CN</v>
          </cell>
          <cell r="AG88" t="str">
            <v>NP</v>
          </cell>
          <cell r="AH88">
            <v>8</v>
          </cell>
          <cell r="AI88">
            <v>8</v>
          </cell>
          <cell r="AJ88">
            <v>8</v>
          </cell>
          <cell r="AK88">
            <v>8</v>
          </cell>
          <cell r="AL88">
            <v>4</v>
          </cell>
          <cell r="AM88" t="str">
            <v>HCSX</v>
          </cell>
          <cell r="AN88" t="str">
            <v>CN</v>
          </cell>
          <cell r="AO88">
            <v>8</v>
          </cell>
          <cell r="AP88">
            <v>8</v>
          </cell>
          <cell r="AQ88">
            <v>8</v>
          </cell>
          <cell r="AR88">
            <v>8</v>
          </cell>
          <cell r="AS88">
            <v>8</v>
          </cell>
          <cell r="AT88">
            <v>8</v>
          </cell>
          <cell r="AU88" t="str">
            <v>HCSX</v>
          </cell>
          <cell r="AV88" t="str">
            <v>H</v>
          </cell>
          <cell r="AW88" t="str">
            <v>X</v>
          </cell>
          <cell r="AX88">
            <v>8</v>
          </cell>
          <cell r="AY88">
            <v>8</v>
          </cell>
          <cell r="AZ88" t="str">
            <v>H</v>
          </cell>
          <cell r="BA88" t="str">
            <v/>
          </cell>
          <cell r="BB88" t="str">
            <v/>
          </cell>
          <cell r="BC88" t="str">
            <v>HCSX</v>
          </cell>
          <cell r="BD88" t="str">
            <v/>
          </cell>
          <cell r="BE88">
            <v>24</v>
          </cell>
          <cell r="BF88">
            <v>196</v>
          </cell>
          <cell r="BG88">
            <v>0</v>
          </cell>
          <cell r="BH88">
            <v>0</v>
          </cell>
          <cell r="BI88">
            <v>0</v>
          </cell>
          <cell r="BJ88">
            <v>0</v>
          </cell>
          <cell r="BK88">
            <v>1</v>
          </cell>
          <cell r="BL88">
            <v>0</v>
          </cell>
          <cell r="BM88">
            <v>0</v>
          </cell>
          <cell r="BN88">
            <v>0</v>
          </cell>
          <cell r="BO88">
            <v>0</v>
          </cell>
          <cell r="BP88">
            <v>0</v>
          </cell>
          <cell r="BQ88">
            <v>0</v>
          </cell>
          <cell r="BR88">
            <v>0</v>
          </cell>
          <cell r="BS88">
            <v>16</v>
          </cell>
          <cell r="BT88">
            <v>0</v>
          </cell>
          <cell r="BU88">
            <v>0</v>
          </cell>
          <cell r="BV88">
            <v>0</v>
          </cell>
          <cell r="BW88">
            <v>0</v>
          </cell>
          <cell r="BX88">
            <v>236</v>
          </cell>
          <cell r="BY88">
            <v>0</v>
          </cell>
          <cell r="BZ88">
            <v>0</v>
          </cell>
          <cell r="CA88">
            <v>0</v>
          </cell>
          <cell r="CB88">
            <v>0</v>
          </cell>
          <cell r="CC88">
            <v>0</v>
          </cell>
          <cell r="CD88"/>
          <cell r="CE88"/>
          <cell r="CF88"/>
          <cell r="CG88">
            <v>4</v>
          </cell>
          <cell r="CH88">
            <v>0</v>
          </cell>
          <cell r="CI88">
            <v>2</v>
          </cell>
          <cell r="CJ88">
            <v>0</v>
          </cell>
          <cell r="CK88">
            <v>0</v>
          </cell>
          <cell r="CL88">
            <v>0</v>
          </cell>
          <cell r="CM88">
            <v>3</v>
          </cell>
          <cell r="CN88">
            <v>3</v>
          </cell>
          <cell r="CO88">
            <v>0</v>
          </cell>
          <cell r="CP88">
            <v>0</v>
          </cell>
          <cell r="CQ88">
            <v>0</v>
          </cell>
          <cell r="CR88">
            <v>0</v>
          </cell>
          <cell r="CS88">
            <v>0</v>
          </cell>
          <cell r="CT88">
            <v>0</v>
          </cell>
          <cell r="CU88">
            <v>0</v>
          </cell>
          <cell r="CV88">
            <v>3</v>
          </cell>
          <cell r="CW88">
            <v>0</v>
          </cell>
          <cell r="CX88">
            <v>0</v>
          </cell>
          <cell r="CY88">
            <v>0</v>
          </cell>
          <cell r="CZ88">
            <v>2</v>
          </cell>
          <cell r="DA88">
            <v>2</v>
          </cell>
          <cell r="DB88">
            <v>2</v>
          </cell>
          <cell r="DC88">
            <v>2</v>
          </cell>
          <cell r="DD88">
            <v>0</v>
          </cell>
          <cell r="DE88">
            <v>0</v>
          </cell>
          <cell r="DF88">
            <v>2</v>
          </cell>
          <cell r="DG88">
            <v>2</v>
          </cell>
          <cell r="DH88">
            <v>2</v>
          </cell>
          <cell r="DI88">
            <v>2</v>
          </cell>
          <cell r="DJ88">
            <v>0</v>
          </cell>
          <cell r="DK88">
            <v>0</v>
          </cell>
          <cell r="DL88">
            <v>0</v>
          </cell>
          <cell r="DM88">
            <v>0</v>
          </cell>
          <cell r="DN88" t="str">
            <v/>
          </cell>
          <cell r="DO88" t="str">
            <v/>
          </cell>
          <cell r="DP88" t="str">
            <v/>
          </cell>
          <cell r="DQ88"/>
          <cell r="DR88"/>
          <cell r="DS88"/>
          <cell r="DT88">
            <v>31</v>
          </cell>
          <cell r="DU88">
            <v>0</v>
          </cell>
          <cell r="DV88"/>
          <cell r="DW88"/>
          <cell r="DX88"/>
          <cell r="DY88"/>
        </row>
        <row r="89">
          <cell r="E89" t="str">
            <v>04046</v>
          </cell>
          <cell r="F89" t="str">
            <v>Lê Đoàn Vũ</v>
          </cell>
          <cell r="G89" t="str">
            <v>Foaming</v>
          </cell>
          <cell r="H89" t="str">
            <v>FOAMING Splitting</v>
          </cell>
          <cell r="I89" t="str">
            <v>Worker</v>
          </cell>
          <cell r="J89">
            <v>45358</v>
          </cell>
          <cell r="K89">
            <v>45388</v>
          </cell>
          <cell r="L89">
            <v>8</v>
          </cell>
          <cell r="M89">
            <v>8</v>
          </cell>
          <cell r="N89">
            <v>8</v>
          </cell>
          <cell r="O89" t="str">
            <v>Ca 1</v>
          </cell>
          <cell r="P89" t="str">
            <v>CN</v>
          </cell>
          <cell r="Q89" t="str">
            <v>Đ</v>
          </cell>
          <cell r="R89" t="str">
            <v>Đ</v>
          </cell>
          <cell r="S89" t="str">
            <v>Đ</v>
          </cell>
          <cell r="T89" t="str">
            <v>Đ</v>
          </cell>
          <cell r="U89" t="str">
            <v>Đ</v>
          </cell>
          <cell r="V89" t="str">
            <v>Đ</v>
          </cell>
          <cell r="W89" t="str">
            <v>Ca 3</v>
          </cell>
          <cell r="X89" t="str">
            <v>CN</v>
          </cell>
          <cell r="Y89">
            <v>8</v>
          </cell>
          <cell r="Z89">
            <v>8</v>
          </cell>
          <cell r="AA89">
            <v>8</v>
          </cell>
          <cell r="AB89">
            <v>8</v>
          </cell>
          <cell r="AC89" t="str">
            <v>CN</v>
          </cell>
          <cell r="AD89" t="str">
            <v>Đ</v>
          </cell>
          <cell r="AE89" t="str">
            <v>Ca 2</v>
          </cell>
          <cell r="AF89" t="str">
            <v>Đ</v>
          </cell>
          <cell r="AG89" t="str">
            <v>Đ</v>
          </cell>
          <cell r="AH89" t="str">
            <v>Đ</v>
          </cell>
          <cell r="AI89" t="str">
            <v>Đ</v>
          </cell>
          <cell r="AJ89" t="str">
            <v>Đ</v>
          </cell>
          <cell r="AK89" t="str">
            <v>CN</v>
          </cell>
          <cell r="AL89">
            <v>8</v>
          </cell>
          <cell r="AM89" t="str">
            <v>Ca 3</v>
          </cell>
          <cell r="AN89">
            <v>8</v>
          </cell>
          <cell r="AO89">
            <v>8</v>
          </cell>
          <cell r="AP89">
            <v>8</v>
          </cell>
          <cell r="AQ89">
            <v>8</v>
          </cell>
          <cell r="AR89">
            <v>8</v>
          </cell>
          <cell r="AS89" t="str">
            <v>NP</v>
          </cell>
          <cell r="AT89">
            <v>8</v>
          </cell>
          <cell r="AU89" t="str">
            <v>Ca 2</v>
          </cell>
          <cell r="AV89" t="str">
            <v>H</v>
          </cell>
          <cell r="AW89" t="str">
            <v>X</v>
          </cell>
          <cell r="AX89">
            <v>8</v>
          </cell>
          <cell r="AY89">
            <v>8</v>
          </cell>
          <cell r="AZ89" t="str">
            <v>H</v>
          </cell>
          <cell r="BA89" t="str">
            <v/>
          </cell>
          <cell r="BB89" t="str">
            <v/>
          </cell>
          <cell r="BC89" t="str">
            <v>Ca 2</v>
          </cell>
          <cell r="BD89" t="str">
            <v/>
          </cell>
          <cell r="BE89">
            <v>96</v>
          </cell>
          <cell r="BF89">
            <v>128</v>
          </cell>
          <cell r="BG89">
            <v>0</v>
          </cell>
          <cell r="BH89">
            <v>0</v>
          </cell>
          <cell r="BI89">
            <v>0</v>
          </cell>
          <cell r="BJ89">
            <v>0</v>
          </cell>
          <cell r="BK89">
            <v>1</v>
          </cell>
          <cell r="BL89">
            <v>0</v>
          </cell>
          <cell r="BM89">
            <v>0</v>
          </cell>
          <cell r="BN89">
            <v>0</v>
          </cell>
          <cell r="BO89">
            <v>0</v>
          </cell>
          <cell r="BP89">
            <v>0</v>
          </cell>
          <cell r="BQ89">
            <v>0</v>
          </cell>
          <cell r="BR89">
            <v>0</v>
          </cell>
          <cell r="BS89">
            <v>16</v>
          </cell>
          <cell r="BT89">
            <v>0</v>
          </cell>
          <cell r="BU89">
            <v>0</v>
          </cell>
          <cell r="BV89">
            <v>0</v>
          </cell>
          <cell r="BW89">
            <v>0</v>
          </cell>
          <cell r="BX89">
            <v>240</v>
          </cell>
          <cell r="BY89">
            <v>0</v>
          </cell>
          <cell r="BZ89">
            <v>0</v>
          </cell>
          <cell r="CA89">
            <v>0</v>
          </cell>
          <cell r="CB89">
            <v>0</v>
          </cell>
          <cell r="CC89">
            <v>0</v>
          </cell>
          <cell r="CD89"/>
          <cell r="CE89"/>
          <cell r="CF89"/>
          <cell r="CG89">
            <v>4</v>
          </cell>
          <cell r="CH89">
            <v>4</v>
          </cell>
          <cell r="CI89">
            <v>4</v>
          </cell>
          <cell r="CJ89">
            <v>0</v>
          </cell>
          <cell r="CK89">
            <v>0</v>
          </cell>
          <cell r="CL89">
            <v>2</v>
          </cell>
          <cell r="CM89">
            <v>2</v>
          </cell>
          <cell r="CN89">
            <v>2</v>
          </cell>
          <cell r="CO89">
            <v>2</v>
          </cell>
          <cell r="CP89">
            <v>2</v>
          </cell>
          <cell r="CQ89">
            <v>0</v>
          </cell>
          <cell r="CR89">
            <v>0</v>
          </cell>
          <cell r="CS89">
            <v>0</v>
          </cell>
          <cell r="CT89">
            <v>0</v>
          </cell>
          <cell r="CU89">
            <v>2</v>
          </cell>
          <cell r="CV89">
            <v>0</v>
          </cell>
          <cell r="CW89">
            <v>4</v>
          </cell>
          <cell r="CX89">
            <v>4</v>
          </cell>
          <cell r="CY89">
            <v>0</v>
          </cell>
          <cell r="CZ89">
            <v>0</v>
          </cell>
          <cell r="DA89">
            <v>0</v>
          </cell>
          <cell r="DB89">
            <v>0</v>
          </cell>
          <cell r="DC89">
            <v>0</v>
          </cell>
          <cell r="DD89">
            <v>4</v>
          </cell>
          <cell r="DE89">
            <v>0</v>
          </cell>
          <cell r="DF89">
            <v>0</v>
          </cell>
          <cell r="DG89">
            <v>0</v>
          </cell>
          <cell r="DH89">
            <v>0</v>
          </cell>
          <cell r="DI89">
            <v>0</v>
          </cell>
          <cell r="DJ89">
            <v>0</v>
          </cell>
          <cell r="DK89">
            <v>0</v>
          </cell>
          <cell r="DL89">
            <v>0</v>
          </cell>
          <cell r="DM89">
            <v>0</v>
          </cell>
          <cell r="DN89" t="str">
            <v/>
          </cell>
          <cell r="DO89" t="str">
            <v/>
          </cell>
          <cell r="DP89" t="str">
            <v/>
          </cell>
          <cell r="DQ89">
            <v>0</v>
          </cell>
          <cell r="DR89"/>
          <cell r="DS89"/>
          <cell r="DT89">
            <v>32</v>
          </cell>
          <cell r="DU89">
            <v>4</v>
          </cell>
          <cell r="DV89"/>
          <cell r="DW89"/>
          <cell r="DX89"/>
          <cell r="DY89"/>
        </row>
        <row r="90">
          <cell r="E90" t="str">
            <v>04047</v>
          </cell>
          <cell r="F90" t="str">
            <v>Danh Tấn Đức</v>
          </cell>
          <cell r="G90" t="str">
            <v>Foaming</v>
          </cell>
          <cell r="H90" t="str">
            <v>FOAMING Splitting</v>
          </cell>
          <cell r="I90" t="str">
            <v>Worker</v>
          </cell>
          <cell r="J90">
            <v>45358</v>
          </cell>
          <cell r="K90">
            <v>45388</v>
          </cell>
          <cell r="L90" t="str">
            <v>Đ</v>
          </cell>
          <cell r="M90" t="str">
            <v>Đ</v>
          </cell>
          <cell r="N90" t="str">
            <v>Đ</v>
          </cell>
          <cell r="O90" t="str">
            <v>Ca 3</v>
          </cell>
          <cell r="P90" t="str">
            <v>CN</v>
          </cell>
          <cell r="Q90">
            <v>8</v>
          </cell>
          <cell r="R90">
            <v>8</v>
          </cell>
          <cell r="S90">
            <v>8</v>
          </cell>
          <cell r="T90">
            <v>8</v>
          </cell>
          <cell r="U90">
            <v>8</v>
          </cell>
          <cell r="V90">
            <v>8</v>
          </cell>
          <cell r="W90" t="str">
            <v>Ca 2</v>
          </cell>
          <cell r="X90" t="str">
            <v>CN</v>
          </cell>
          <cell r="Y90">
            <v>8</v>
          </cell>
          <cell r="Z90">
            <v>8</v>
          </cell>
          <cell r="AA90">
            <v>8</v>
          </cell>
          <cell r="AB90">
            <v>8</v>
          </cell>
          <cell r="AC90">
            <v>8</v>
          </cell>
          <cell r="AD90">
            <v>8</v>
          </cell>
          <cell r="AE90" t="str">
            <v>Ca 1</v>
          </cell>
          <cell r="AF90" t="str">
            <v>CN</v>
          </cell>
          <cell r="AG90">
            <v>8</v>
          </cell>
          <cell r="AH90">
            <v>8</v>
          </cell>
          <cell r="AI90">
            <v>8</v>
          </cell>
          <cell r="AJ90">
            <v>8</v>
          </cell>
          <cell r="AK90" t="str">
            <v>Đ</v>
          </cell>
          <cell r="AL90" t="str">
            <v>Đ</v>
          </cell>
          <cell r="AM90" t="str">
            <v>Ca 2</v>
          </cell>
          <cell r="AN90" t="str">
            <v>CN</v>
          </cell>
          <cell r="AO90">
            <v>8</v>
          </cell>
          <cell r="AP90">
            <v>8</v>
          </cell>
          <cell r="AQ90">
            <v>8</v>
          </cell>
          <cell r="AR90">
            <v>8</v>
          </cell>
          <cell r="AS90">
            <v>8</v>
          </cell>
          <cell r="AT90">
            <v>8</v>
          </cell>
          <cell r="AU90" t="str">
            <v>Ca 1</v>
          </cell>
          <cell r="AV90" t="str">
            <v>H</v>
          </cell>
          <cell r="AW90" t="str">
            <v>X</v>
          </cell>
          <cell r="AX90">
            <v>8</v>
          </cell>
          <cell r="AY90">
            <v>8</v>
          </cell>
          <cell r="AZ90" t="str">
            <v>H</v>
          </cell>
          <cell r="BA90" t="str">
            <v/>
          </cell>
          <cell r="BB90" t="str">
            <v/>
          </cell>
          <cell r="BC90" t="str">
            <v>Ca 1</v>
          </cell>
          <cell r="BD90" t="str">
            <v/>
          </cell>
          <cell r="BE90">
            <v>40</v>
          </cell>
          <cell r="BF90">
            <v>192</v>
          </cell>
          <cell r="BG90">
            <v>0</v>
          </cell>
          <cell r="BH90">
            <v>0</v>
          </cell>
          <cell r="BI90">
            <v>0</v>
          </cell>
          <cell r="BJ90">
            <v>0</v>
          </cell>
          <cell r="BK90">
            <v>0</v>
          </cell>
          <cell r="BL90">
            <v>0</v>
          </cell>
          <cell r="BM90">
            <v>0</v>
          </cell>
          <cell r="BN90">
            <v>0</v>
          </cell>
          <cell r="BO90">
            <v>0</v>
          </cell>
          <cell r="BP90">
            <v>0</v>
          </cell>
          <cell r="BQ90">
            <v>0</v>
          </cell>
          <cell r="BR90">
            <v>0</v>
          </cell>
          <cell r="BS90">
            <v>16</v>
          </cell>
          <cell r="BT90">
            <v>0</v>
          </cell>
          <cell r="BU90">
            <v>0</v>
          </cell>
          <cell r="BV90">
            <v>0</v>
          </cell>
          <cell r="BW90">
            <v>0</v>
          </cell>
          <cell r="BX90">
            <v>248</v>
          </cell>
          <cell r="BY90">
            <v>0</v>
          </cell>
          <cell r="BZ90">
            <v>0</v>
          </cell>
          <cell r="CA90">
            <v>0</v>
          </cell>
          <cell r="CB90">
            <v>0</v>
          </cell>
          <cell r="CC90">
            <v>0</v>
          </cell>
          <cell r="CD90"/>
          <cell r="CE90"/>
          <cell r="CF90"/>
          <cell r="CG90">
            <v>4</v>
          </cell>
          <cell r="CH90">
            <v>0</v>
          </cell>
          <cell r="CI90">
            <v>4</v>
          </cell>
          <cell r="CJ90">
            <v>0</v>
          </cell>
          <cell r="CK90">
            <v>0</v>
          </cell>
          <cell r="CL90">
            <v>0</v>
          </cell>
          <cell r="CM90">
            <v>0</v>
          </cell>
          <cell r="CN90">
            <v>4</v>
          </cell>
          <cell r="CO90">
            <v>4</v>
          </cell>
          <cell r="CP90">
            <v>4</v>
          </cell>
          <cell r="CQ90">
            <v>0</v>
          </cell>
          <cell r="CR90">
            <v>0</v>
          </cell>
          <cell r="CS90">
            <v>0</v>
          </cell>
          <cell r="CT90">
            <v>0</v>
          </cell>
          <cell r="CU90">
            <v>2</v>
          </cell>
          <cell r="CV90">
            <v>4</v>
          </cell>
          <cell r="CW90">
            <v>0</v>
          </cell>
          <cell r="CX90">
            <v>0</v>
          </cell>
          <cell r="CY90">
            <v>0</v>
          </cell>
          <cell r="CZ90">
            <v>0</v>
          </cell>
          <cell r="DA90">
            <v>0</v>
          </cell>
          <cell r="DB90">
            <v>0</v>
          </cell>
          <cell r="DC90">
            <v>4</v>
          </cell>
          <cell r="DD90">
            <v>4</v>
          </cell>
          <cell r="DE90">
            <v>0</v>
          </cell>
          <cell r="DF90">
            <v>0</v>
          </cell>
          <cell r="DG90">
            <v>0</v>
          </cell>
          <cell r="DH90">
            <v>0</v>
          </cell>
          <cell r="DI90">
            <v>0</v>
          </cell>
          <cell r="DJ90">
            <v>0</v>
          </cell>
          <cell r="DK90">
            <v>0</v>
          </cell>
          <cell r="DL90">
            <v>0</v>
          </cell>
          <cell r="DM90">
            <v>0</v>
          </cell>
          <cell r="DN90" t="str">
            <v/>
          </cell>
          <cell r="DO90" t="str">
            <v/>
          </cell>
          <cell r="DP90" t="str">
            <v/>
          </cell>
          <cell r="DQ90"/>
          <cell r="DR90"/>
          <cell r="DS90"/>
          <cell r="DT90">
            <v>34</v>
          </cell>
          <cell r="DU90">
            <v>0</v>
          </cell>
          <cell r="DV90"/>
          <cell r="DW90"/>
          <cell r="DX90"/>
          <cell r="DY90"/>
        </row>
        <row r="91">
          <cell r="E91" t="str">
            <v>04064</v>
          </cell>
          <cell r="F91" t="str">
            <v>Huỳnh Minh An</v>
          </cell>
          <cell r="G91" t="str">
            <v>Foaming</v>
          </cell>
          <cell r="H91" t="str">
            <v>FOAMING Rectangular</v>
          </cell>
          <cell r="I91" t="str">
            <v>Operator</v>
          </cell>
          <cell r="J91">
            <v>45372</v>
          </cell>
          <cell r="K91">
            <v>45402</v>
          </cell>
          <cell r="L91" t="str">
            <v>Đ</v>
          </cell>
          <cell r="M91" t="str">
            <v>Đ</v>
          </cell>
          <cell r="N91" t="str">
            <v>Đ</v>
          </cell>
          <cell r="O91" t="str">
            <v>Ca 3</v>
          </cell>
          <cell r="P91" t="str">
            <v>CN</v>
          </cell>
          <cell r="Q91">
            <v>8</v>
          </cell>
          <cell r="R91">
            <v>8</v>
          </cell>
          <cell r="S91">
            <v>8</v>
          </cell>
          <cell r="T91">
            <v>8</v>
          </cell>
          <cell r="U91">
            <v>8</v>
          </cell>
          <cell r="V91">
            <v>8</v>
          </cell>
          <cell r="W91" t="str">
            <v>Ca 1</v>
          </cell>
          <cell r="X91" t="str">
            <v>CN</v>
          </cell>
          <cell r="Y91" t="str">
            <v>Đ</v>
          </cell>
          <cell r="Z91" t="str">
            <v>Đ</v>
          </cell>
          <cell r="AA91" t="str">
            <v>Đ</v>
          </cell>
          <cell r="AB91" t="str">
            <v>Đ</v>
          </cell>
          <cell r="AC91" t="str">
            <v>Đ</v>
          </cell>
          <cell r="AD91" t="str">
            <v>Đ</v>
          </cell>
          <cell r="AE91" t="str">
            <v>Ca 3</v>
          </cell>
          <cell r="AF91" t="str">
            <v>CN</v>
          </cell>
          <cell r="AG91">
            <v>8</v>
          </cell>
          <cell r="AH91">
            <v>8</v>
          </cell>
          <cell r="AI91">
            <v>8</v>
          </cell>
          <cell r="AJ91">
            <v>8</v>
          </cell>
          <cell r="AK91">
            <v>8</v>
          </cell>
          <cell r="AL91">
            <v>8</v>
          </cell>
          <cell r="AM91" t="str">
            <v>Ca 2</v>
          </cell>
          <cell r="AN91" t="str">
            <v>CN</v>
          </cell>
          <cell r="AO91">
            <v>8</v>
          </cell>
          <cell r="AP91">
            <v>8</v>
          </cell>
          <cell r="AQ91">
            <v>8</v>
          </cell>
          <cell r="AR91" t="str">
            <v>NP</v>
          </cell>
          <cell r="AS91">
            <v>8</v>
          </cell>
          <cell r="AT91">
            <v>8</v>
          </cell>
          <cell r="AU91" t="str">
            <v>Ca 1</v>
          </cell>
          <cell r="AV91" t="str">
            <v>H</v>
          </cell>
          <cell r="AW91" t="str">
            <v>X</v>
          </cell>
          <cell r="AX91">
            <v>8</v>
          </cell>
          <cell r="AY91">
            <v>8</v>
          </cell>
          <cell r="AZ91" t="str">
            <v>H</v>
          </cell>
          <cell r="BA91" t="str">
            <v/>
          </cell>
          <cell r="BB91" t="str">
            <v/>
          </cell>
          <cell r="BC91" t="str">
            <v>Ca 1</v>
          </cell>
          <cell r="BD91" t="str">
            <v/>
          </cell>
          <cell r="BE91">
            <v>72</v>
          </cell>
          <cell r="BF91">
            <v>152</v>
          </cell>
          <cell r="BG91">
            <v>0</v>
          </cell>
          <cell r="BH91">
            <v>0</v>
          </cell>
          <cell r="BI91">
            <v>0</v>
          </cell>
          <cell r="BJ91">
            <v>0</v>
          </cell>
          <cell r="BK91">
            <v>1</v>
          </cell>
          <cell r="BL91">
            <v>0</v>
          </cell>
          <cell r="BM91">
            <v>0</v>
          </cell>
          <cell r="BN91">
            <v>0</v>
          </cell>
          <cell r="BO91">
            <v>0</v>
          </cell>
          <cell r="BP91">
            <v>0</v>
          </cell>
          <cell r="BQ91">
            <v>0</v>
          </cell>
          <cell r="BR91">
            <v>0</v>
          </cell>
          <cell r="BS91">
            <v>16</v>
          </cell>
          <cell r="BT91">
            <v>0</v>
          </cell>
          <cell r="BU91">
            <v>0</v>
          </cell>
          <cell r="BV91">
            <v>0</v>
          </cell>
          <cell r="BW91">
            <v>0</v>
          </cell>
          <cell r="BX91">
            <v>240</v>
          </cell>
          <cell r="BY91">
            <v>0</v>
          </cell>
          <cell r="BZ91">
            <v>0</v>
          </cell>
          <cell r="CA91">
            <v>0</v>
          </cell>
          <cell r="CB91">
            <v>0</v>
          </cell>
          <cell r="CC91">
            <v>0</v>
          </cell>
          <cell r="CD91"/>
          <cell r="CE91"/>
          <cell r="CF91"/>
          <cell r="CG91">
            <v>4</v>
          </cell>
          <cell r="CH91">
            <v>4</v>
          </cell>
          <cell r="CI91">
            <v>4</v>
          </cell>
          <cell r="CJ91">
            <v>0</v>
          </cell>
          <cell r="CK91">
            <v>0</v>
          </cell>
          <cell r="CL91">
            <v>0</v>
          </cell>
          <cell r="CM91">
            <v>0</v>
          </cell>
          <cell r="CN91">
            <v>0</v>
          </cell>
          <cell r="CO91">
            <v>0</v>
          </cell>
          <cell r="CP91">
            <v>0</v>
          </cell>
          <cell r="CQ91">
            <v>0</v>
          </cell>
          <cell r="CR91">
            <v>0</v>
          </cell>
          <cell r="CS91">
            <v>0</v>
          </cell>
          <cell r="CT91">
            <v>0</v>
          </cell>
          <cell r="CU91">
            <v>0</v>
          </cell>
          <cell r="CV91">
            <v>0</v>
          </cell>
          <cell r="CW91">
            <v>0</v>
          </cell>
          <cell r="CX91">
            <v>0</v>
          </cell>
          <cell r="CY91">
            <v>0</v>
          </cell>
          <cell r="CZ91">
            <v>0</v>
          </cell>
          <cell r="DA91">
            <v>0</v>
          </cell>
          <cell r="DB91">
            <v>4</v>
          </cell>
          <cell r="DC91">
            <v>0</v>
          </cell>
          <cell r="DD91">
            <v>0</v>
          </cell>
          <cell r="DE91">
            <v>0</v>
          </cell>
          <cell r="DF91">
            <v>4</v>
          </cell>
          <cell r="DG91">
            <v>4</v>
          </cell>
          <cell r="DH91">
            <v>0</v>
          </cell>
          <cell r="DI91">
            <v>0</v>
          </cell>
          <cell r="DJ91">
            <v>0</v>
          </cell>
          <cell r="DK91">
            <v>0</v>
          </cell>
          <cell r="DL91">
            <v>0</v>
          </cell>
          <cell r="DM91">
            <v>0</v>
          </cell>
          <cell r="DN91" t="str">
            <v/>
          </cell>
          <cell r="DO91" t="str">
            <v/>
          </cell>
          <cell r="DP91" t="str">
            <v/>
          </cell>
          <cell r="DQ91"/>
          <cell r="DR91"/>
          <cell r="DS91"/>
          <cell r="DT91">
            <v>24</v>
          </cell>
          <cell r="DU91">
            <v>0</v>
          </cell>
          <cell r="DV91"/>
          <cell r="DW91"/>
          <cell r="DX91"/>
          <cell r="DY91"/>
        </row>
        <row r="92">
          <cell r="E92" t="str">
            <v>04066</v>
          </cell>
          <cell r="F92" t="str">
            <v>Trần Thanh Hùng Em</v>
          </cell>
          <cell r="G92" t="str">
            <v>Foaming</v>
          </cell>
          <cell r="H92" t="str">
            <v>FOAMING Rectangular</v>
          </cell>
          <cell r="I92" t="str">
            <v>Worker</v>
          </cell>
          <cell r="J92">
            <v>45372</v>
          </cell>
          <cell r="K92">
            <v>45402</v>
          </cell>
          <cell r="L92" t="str">
            <v>Đ</v>
          </cell>
          <cell r="M92" t="str">
            <v>Đ</v>
          </cell>
          <cell r="N92" t="str">
            <v>Đ</v>
          </cell>
          <cell r="O92" t="str">
            <v>Ca 3</v>
          </cell>
          <cell r="P92" t="str">
            <v>CN</v>
          </cell>
          <cell r="Q92" t="str">
            <v>Đ</v>
          </cell>
          <cell r="R92" t="str">
            <v>Đ</v>
          </cell>
          <cell r="S92" t="str">
            <v>Đ</v>
          </cell>
          <cell r="T92" t="str">
            <v>Đ</v>
          </cell>
          <cell r="U92" t="str">
            <v>Đ</v>
          </cell>
          <cell r="V92" t="str">
            <v>Đ</v>
          </cell>
          <cell r="W92" t="str">
            <v>Ca 3</v>
          </cell>
          <cell r="X92" t="str">
            <v>CN</v>
          </cell>
          <cell r="Y92">
            <v>8</v>
          </cell>
          <cell r="Z92">
            <v>8</v>
          </cell>
          <cell r="AA92">
            <v>8</v>
          </cell>
          <cell r="AB92">
            <v>8</v>
          </cell>
          <cell r="AC92">
            <v>8</v>
          </cell>
          <cell r="AD92">
            <v>8</v>
          </cell>
          <cell r="AE92" t="str">
            <v>Ca 2</v>
          </cell>
          <cell r="AF92" t="str">
            <v>CN</v>
          </cell>
          <cell r="AG92">
            <v>8</v>
          </cell>
          <cell r="AH92">
            <v>8</v>
          </cell>
          <cell r="AI92">
            <v>8</v>
          </cell>
          <cell r="AJ92">
            <v>8</v>
          </cell>
          <cell r="AK92">
            <v>8</v>
          </cell>
          <cell r="AL92">
            <v>8</v>
          </cell>
          <cell r="AM92" t="str">
            <v>Ca 1</v>
          </cell>
          <cell r="AN92" t="str">
            <v>CN</v>
          </cell>
          <cell r="AO92" t="str">
            <v>Đ</v>
          </cell>
          <cell r="AP92" t="str">
            <v>Đ</v>
          </cell>
          <cell r="AQ92" t="str">
            <v>Đ</v>
          </cell>
          <cell r="AR92" t="str">
            <v>Đ</v>
          </cell>
          <cell r="AS92" t="str">
            <v>Đ</v>
          </cell>
          <cell r="AT92" t="str">
            <v>AL8</v>
          </cell>
          <cell r="AU92" t="str">
            <v>Ca 3</v>
          </cell>
          <cell r="AV92" t="str">
            <v>H</v>
          </cell>
          <cell r="AW92" t="str">
            <v>X</v>
          </cell>
          <cell r="AX92" t="str">
            <v>Đ</v>
          </cell>
          <cell r="AY92" t="str">
            <v>NP</v>
          </cell>
          <cell r="AZ92" t="str">
            <v>H</v>
          </cell>
          <cell r="BA92" t="str">
            <v/>
          </cell>
          <cell r="BB92" t="str">
            <v/>
          </cell>
          <cell r="BC92" t="str">
            <v>Ca 3</v>
          </cell>
          <cell r="BD92" t="str">
            <v/>
          </cell>
          <cell r="BE92">
            <v>120</v>
          </cell>
          <cell r="BF92">
            <v>96</v>
          </cell>
          <cell r="BG92">
            <v>0</v>
          </cell>
          <cell r="BH92">
            <v>0</v>
          </cell>
          <cell r="BI92">
            <v>0</v>
          </cell>
          <cell r="BJ92">
            <v>0</v>
          </cell>
          <cell r="BK92">
            <v>1</v>
          </cell>
          <cell r="BL92">
            <v>0</v>
          </cell>
          <cell r="BM92">
            <v>0</v>
          </cell>
          <cell r="BN92">
            <v>0</v>
          </cell>
          <cell r="BO92">
            <v>0</v>
          </cell>
          <cell r="BP92">
            <v>0</v>
          </cell>
          <cell r="BQ92">
            <v>0</v>
          </cell>
          <cell r="BR92">
            <v>8</v>
          </cell>
          <cell r="BS92">
            <v>16</v>
          </cell>
          <cell r="BT92">
            <v>0</v>
          </cell>
          <cell r="BU92">
            <v>0</v>
          </cell>
          <cell r="BV92">
            <v>0</v>
          </cell>
          <cell r="BW92">
            <v>0</v>
          </cell>
          <cell r="BX92">
            <v>240</v>
          </cell>
          <cell r="BY92">
            <v>1</v>
          </cell>
          <cell r="BZ92">
            <v>0</v>
          </cell>
          <cell r="CA92">
            <v>0</v>
          </cell>
          <cell r="CB92">
            <v>1</v>
          </cell>
          <cell r="CC92">
            <v>1</v>
          </cell>
          <cell r="CD92"/>
          <cell r="CE92"/>
          <cell r="CF92"/>
          <cell r="CG92">
            <v>4</v>
          </cell>
          <cell r="CH92">
            <v>0</v>
          </cell>
          <cell r="CI92">
            <v>4</v>
          </cell>
          <cell r="CJ92">
            <v>0</v>
          </cell>
          <cell r="CK92">
            <v>0</v>
          </cell>
          <cell r="CL92">
            <v>0</v>
          </cell>
          <cell r="CM92">
            <v>0</v>
          </cell>
          <cell r="CN92">
            <v>0</v>
          </cell>
          <cell r="CO92">
            <v>0</v>
          </cell>
          <cell r="CP92">
            <v>0</v>
          </cell>
          <cell r="CQ92">
            <v>0</v>
          </cell>
          <cell r="CR92">
            <v>0</v>
          </cell>
          <cell r="CS92">
            <v>0</v>
          </cell>
          <cell r="CT92">
            <v>0</v>
          </cell>
          <cell r="CU92">
            <v>0</v>
          </cell>
          <cell r="CV92">
            <v>0</v>
          </cell>
          <cell r="CW92">
            <v>0</v>
          </cell>
          <cell r="CX92">
            <v>0</v>
          </cell>
          <cell r="CY92">
            <v>0</v>
          </cell>
          <cell r="CZ92">
            <v>0</v>
          </cell>
          <cell r="DA92">
            <v>4</v>
          </cell>
          <cell r="DB92">
            <v>0</v>
          </cell>
          <cell r="DC92">
            <v>3</v>
          </cell>
          <cell r="DD92">
            <v>0</v>
          </cell>
          <cell r="DE92">
            <v>0</v>
          </cell>
          <cell r="DF92">
            <v>0</v>
          </cell>
          <cell r="DG92">
            <v>0</v>
          </cell>
          <cell r="DH92">
            <v>3</v>
          </cell>
          <cell r="DI92">
            <v>4</v>
          </cell>
          <cell r="DJ92">
            <v>0</v>
          </cell>
          <cell r="DK92">
            <v>0</v>
          </cell>
          <cell r="DL92">
            <v>0</v>
          </cell>
          <cell r="DM92">
            <v>0</v>
          </cell>
          <cell r="DN92" t="str">
            <v/>
          </cell>
          <cell r="DO92" t="str">
            <v/>
          </cell>
          <cell r="DP92" t="str">
            <v/>
          </cell>
          <cell r="DQ92"/>
          <cell r="DR92"/>
          <cell r="DS92"/>
          <cell r="DT92">
            <v>22</v>
          </cell>
          <cell r="DU92">
            <v>0</v>
          </cell>
          <cell r="DV92"/>
          <cell r="DW92"/>
          <cell r="DX92"/>
          <cell r="DY92"/>
        </row>
        <row r="93">
          <cell r="E93" t="str">
            <v>04067</v>
          </cell>
          <cell r="F93" t="str">
            <v>Phạm Văn Sang</v>
          </cell>
          <cell r="G93" t="str">
            <v>Foaming</v>
          </cell>
          <cell r="H93" t="str">
            <v>FOAMING Rectangular</v>
          </cell>
          <cell r="I93" t="str">
            <v>Worker</v>
          </cell>
          <cell r="J93">
            <v>45372</v>
          </cell>
          <cell r="K93">
            <v>45402</v>
          </cell>
          <cell r="L93" t="str">
            <v>Đ</v>
          </cell>
          <cell r="M93" t="str">
            <v>Đ</v>
          </cell>
          <cell r="N93" t="str">
            <v>Đ</v>
          </cell>
          <cell r="O93" t="str">
            <v>Ca 3</v>
          </cell>
          <cell r="P93" t="str">
            <v>CN</v>
          </cell>
          <cell r="Q93">
            <v>8</v>
          </cell>
          <cell r="R93">
            <v>8</v>
          </cell>
          <cell r="S93">
            <v>8</v>
          </cell>
          <cell r="T93">
            <v>8</v>
          </cell>
          <cell r="U93">
            <v>8</v>
          </cell>
          <cell r="V93">
            <v>8</v>
          </cell>
          <cell r="W93" t="str">
            <v>Ca 2</v>
          </cell>
          <cell r="X93" t="str">
            <v>CN</v>
          </cell>
          <cell r="Y93">
            <v>8</v>
          </cell>
          <cell r="Z93">
            <v>8</v>
          </cell>
          <cell r="AA93">
            <v>8</v>
          </cell>
          <cell r="AB93">
            <v>8</v>
          </cell>
          <cell r="AC93">
            <v>8</v>
          </cell>
          <cell r="AD93">
            <v>8</v>
          </cell>
          <cell r="AE93" t="str">
            <v>Ca 1</v>
          </cell>
          <cell r="AF93" t="str">
            <v>CN</v>
          </cell>
          <cell r="AG93" t="str">
            <v>Đ</v>
          </cell>
          <cell r="AH93" t="str">
            <v>Đ</v>
          </cell>
          <cell r="AI93" t="str">
            <v>Đ</v>
          </cell>
          <cell r="AJ93" t="str">
            <v>Đ</v>
          </cell>
          <cell r="AK93">
            <v>8</v>
          </cell>
          <cell r="AL93" t="str">
            <v>Đ</v>
          </cell>
          <cell r="AM93" t="str">
            <v>Ca 3</v>
          </cell>
          <cell r="AN93" t="str">
            <v>CN</v>
          </cell>
          <cell r="AO93">
            <v>8</v>
          </cell>
          <cell r="AP93">
            <v>8</v>
          </cell>
          <cell r="AQ93">
            <v>8</v>
          </cell>
          <cell r="AR93">
            <v>8</v>
          </cell>
          <cell r="AS93">
            <v>8</v>
          </cell>
          <cell r="AT93">
            <v>8</v>
          </cell>
          <cell r="AU93" t="str">
            <v>Ca 2</v>
          </cell>
          <cell r="AV93" t="str">
            <v>H</v>
          </cell>
          <cell r="AW93" t="str">
            <v>X</v>
          </cell>
          <cell r="AX93">
            <v>8</v>
          </cell>
          <cell r="AY93">
            <v>8</v>
          </cell>
          <cell r="AZ93" t="str">
            <v>H</v>
          </cell>
          <cell r="BA93" t="str">
            <v/>
          </cell>
          <cell r="BB93" t="str">
            <v/>
          </cell>
          <cell r="BC93" t="str">
            <v>Ca 2</v>
          </cell>
          <cell r="BD93" t="str">
            <v/>
          </cell>
          <cell r="BE93">
            <v>64</v>
          </cell>
          <cell r="BF93">
            <v>168</v>
          </cell>
          <cell r="BG93">
            <v>0</v>
          </cell>
          <cell r="BH93">
            <v>0</v>
          </cell>
          <cell r="BI93">
            <v>0</v>
          </cell>
          <cell r="BJ93">
            <v>0</v>
          </cell>
          <cell r="BK93">
            <v>0</v>
          </cell>
          <cell r="BL93">
            <v>0</v>
          </cell>
          <cell r="BM93">
            <v>0</v>
          </cell>
          <cell r="BN93">
            <v>0</v>
          </cell>
          <cell r="BO93">
            <v>0</v>
          </cell>
          <cell r="BP93">
            <v>0</v>
          </cell>
          <cell r="BQ93">
            <v>0</v>
          </cell>
          <cell r="BR93">
            <v>0</v>
          </cell>
          <cell r="BS93">
            <v>16</v>
          </cell>
          <cell r="BT93">
            <v>0</v>
          </cell>
          <cell r="BU93">
            <v>0</v>
          </cell>
          <cell r="BV93">
            <v>0</v>
          </cell>
          <cell r="BW93">
            <v>0</v>
          </cell>
          <cell r="BX93">
            <v>248</v>
          </cell>
          <cell r="BY93">
            <v>0</v>
          </cell>
          <cell r="BZ93">
            <v>0</v>
          </cell>
          <cell r="CA93">
            <v>0</v>
          </cell>
          <cell r="CB93">
            <v>0</v>
          </cell>
          <cell r="CC93">
            <v>0</v>
          </cell>
          <cell r="CD93"/>
          <cell r="CE93"/>
          <cell r="CF93"/>
          <cell r="CG93">
            <v>4</v>
          </cell>
          <cell r="CH93">
            <v>4</v>
          </cell>
          <cell r="CI93">
            <v>4</v>
          </cell>
          <cell r="CJ93">
            <v>0</v>
          </cell>
          <cell r="CK93">
            <v>0</v>
          </cell>
          <cell r="CL93">
            <v>0</v>
          </cell>
          <cell r="CM93">
            <v>0</v>
          </cell>
          <cell r="CN93">
            <v>0</v>
          </cell>
          <cell r="CO93">
            <v>0</v>
          </cell>
          <cell r="CP93">
            <v>0</v>
          </cell>
          <cell r="CQ93">
            <v>0</v>
          </cell>
          <cell r="CR93">
            <v>0</v>
          </cell>
          <cell r="CS93">
            <v>0</v>
          </cell>
          <cell r="CT93">
            <v>0</v>
          </cell>
          <cell r="CU93">
            <v>4</v>
          </cell>
          <cell r="CV93">
            <v>0</v>
          </cell>
          <cell r="CW93">
            <v>0</v>
          </cell>
          <cell r="CX93">
            <v>0</v>
          </cell>
          <cell r="CY93">
            <v>4</v>
          </cell>
          <cell r="CZ93">
            <v>4</v>
          </cell>
          <cell r="DA93">
            <v>0</v>
          </cell>
          <cell r="DB93">
            <v>0</v>
          </cell>
          <cell r="DC93">
            <v>4</v>
          </cell>
          <cell r="DD93">
            <v>0</v>
          </cell>
          <cell r="DE93">
            <v>0</v>
          </cell>
          <cell r="DF93">
            <v>0</v>
          </cell>
          <cell r="DG93">
            <v>4</v>
          </cell>
          <cell r="DH93">
            <v>0</v>
          </cell>
          <cell r="DI93">
            <v>0</v>
          </cell>
          <cell r="DJ93">
            <v>0</v>
          </cell>
          <cell r="DK93">
            <v>0</v>
          </cell>
          <cell r="DL93">
            <v>0</v>
          </cell>
          <cell r="DM93">
            <v>0</v>
          </cell>
          <cell r="DN93" t="str">
            <v/>
          </cell>
          <cell r="DO93" t="str">
            <v/>
          </cell>
          <cell r="DP93" t="str">
            <v/>
          </cell>
          <cell r="DQ93"/>
          <cell r="DR93"/>
          <cell r="DS93"/>
          <cell r="DT93">
            <v>32</v>
          </cell>
          <cell r="DU93">
            <v>0</v>
          </cell>
          <cell r="DV93"/>
          <cell r="DW93"/>
          <cell r="DX93"/>
          <cell r="DY93"/>
        </row>
        <row r="94">
          <cell r="E94" t="str">
            <v>04079</v>
          </cell>
          <cell r="F94" t="str">
            <v>Huỳnh Văn Mãi</v>
          </cell>
          <cell r="G94" t="str">
            <v>Foaming</v>
          </cell>
          <cell r="H94" t="str">
            <v>FOAMING Splitting</v>
          </cell>
          <cell r="I94" t="str">
            <v>Worker</v>
          </cell>
          <cell r="J94">
            <v>45377</v>
          </cell>
          <cell r="K94">
            <v>45407</v>
          </cell>
          <cell r="L94">
            <v>8</v>
          </cell>
          <cell r="M94">
            <v>8</v>
          </cell>
          <cell r="N94">
            <v>8</v>
          </cell>
          <cell r="O94" t="str">
            <v>Ca 1</v>
          </cell>
          <cell r="P94" t="str">
            <v>CN</v>
          </cell>
          <cell r="Q94" t="str">
            <v>Đ</v>
          </cell>
          <cell r="R94" t="str">
            <v>Đ</v>
          </cell>
          <cell r="S94" t="str">
            <v>Đ</v>
          </cell>
          <cell r="T94" t="str">
            <v>Đ</v>
          </cell>
          <cell r="U94" t="str">
            <v>Đ</v>
          </cell>
          <cell r="V94" t="str">
            <v>Đ</v>
          </cell>
          <cell r="W94" t="str">
            <v>Ca 3</v>
          </cell>
          <cell r="X94" t="str">
            <v>CN</v>
          </cell>
          <cell r="Y94">
            <v>8</v>
          </cell>
          <cell r="Z94">
            <v>8</v>
          </cell>
          <cell r="AA94">
            <v>8</v>
          </cell>
          <cell r="AB94" t="str">
            <v>Đ</v>
          </cell>
          <cell r="AC94" t="str">
            <v>Đ</v>
          </cell>
          <cell r="AD94" t="str">
            <v>Đ</v>
          </cell>
          <cell r="AE94" t="str">
            <v>HCSX</v>
          </cell>
          <cell r="AF94" t="str">
            <v>CN</v>
          </cell>
          <cell r="AG94" t="str">
            <v>Đ</v>
          </cell>
          <cell r="AH94" t="str">
            <v>Đ</v>
          </cell>
          <cell r="AI94" t="str">
            <v>Đ</v>
          </cell>
          <cell r="AJ94" t="str">
            <v>Đ</v>
          </cell>
          <cell r="AK94" t="str">
            <v>Đ</v>
          </cell>
          <cell r="AL94" t="str">
            <v>Đ</v>
          </cell>
          <cell r="AM94" t="str">
            <v>Ca 3</v>
          </cell>
          <cell r="AN94" t="str">
            <v>CN</v>
          </cell>
          <cell r="AO94">
            <v>8</v>
          </cell>
          <cell r="AP94">
            <v>8</v>
          </cell>
          <cell r="AQ94">
            <v>8</v>
          </cell>
          <cell r="AR94">
            <v>8</v>
          </cell>
          <cell r="AS94">
            <v>8</v>
          </cell>
          <cell r="AT94">
            <v>8</v>
          </cell>
          <cell r="AU94" t="str">
            <v>Ca 2</v>
          </cell>
          <cell r="AV94" t="str">
            <v>H</v>
          </cell>
          <cell r="AW94" t="str">
            <v>X</v>
          </cell>
          <cell r="AX94">
            <v>8</v>
          </cell>
          <cell r="AY94">
            <v>8</v>
          </cell>
          <cell r="AZ94" t="str">
            <v>H</v>
          </cell>
          <cell r="BA94" t="str">
            <v/>
          </cell>
          <cell r="BB94" t="str">
            <v/>
          </cell>
          <cell r="BC94" t="str">
            <v>Ca 2</v>
          </cell>
          <cell r="BD94" t="str">
            <v/>
          </cell>
          <cell r="BE94">
            <v>120</v>
          </cell>
          <cell r="BF94">
            <v>112</v>
          </cell>
          <cell r="BG94">
            <v>0</v>
          </cell>
          <cell r="BH94">
            <v>0</v>
          </cell>
          <cell r="BI94">
            <v>0</v>
          </cell>
          <cell r="BJ94">
            <v>0</v>
          </cell>
          <cell r="BK94">
            <v>0</v>
          </cell>
          <cell r="BL94">
            <v>0</v>
          </cell>
          <cell r="BM94">
            <v>0</v>
          </cell>
          <cell r="BN94">
            <v>0</v>
          </cell>
          <cell r="BO94">
            <v>0</v>
          </cell>
          <cell r="BP94">
            <v>0</v>
          </cell>
          <cell r="BQ94">
            <v>0</v>
          </cell>
          <cell r="BR94">
            <v>0</v>
          </cell>
          <cell r="BS94">
            <v>16</v>
          </cell>
          <cell r="BT94">
            <v>0</v>
          </cell>
          <cell r="BU94">
            <v>0</v>
          </cell>
          <cell r="BV94">
            <v>0</v>
          </cell>
          <cell r="BW94">
            <v>0</v>
          </cell>
          <cell r="BX94">
            <v>248</v>
          </cell>
          <cell r="BY94">
            <v>0</v>
          </cell>
          <cell r="BZ94">
            <v>0</v>
          </cell>
          <cell r="CA94">
            <v>0</v>
          </cell>
          <cell r="CB94">
            <v>0</v>
          </cell>
          <cell r="CC94">
            <v>0</v>
          </cell>
          <cell r="CD94"/>
          <cell r="CE94"/>
          <cell r="CF94"/>
          <cell r="CG94">
            <v>4</v>
          </cell>
          <cell r="CH94">
            <v>4</v>
          </cell>
          <cell r="CI94">
            <v>0</v>
          </cell>
          <cell r="CJ94">
            <v>0</v>
          </cell>
          <cell r="CK94">
            <v>0</v>
          </cell>
          <cell r="CL94">
            <v>0</v>
          </cell>
          <cell r="CM94">
            <v>0</v>
          </cell>
          <cell r="CN94">
            <v>0</v>
          </cell>
          <cell r="CO94">
            <v>0</v>
          </cell>
          <cell r="CP94">
            <v>0</v>
          </cell>
          <cell r="CQ94">
            <v>0</v>
          </cell>
          <cell r="CR94">
            <v>0</v>
          </cell>
          <cell r="CS94">
            <v>0</v>
          </cell>
          <cell r="CT94">
            <v>0</v>
          </cell>
          <cell r="CU94">
            <v>2</v>
          </cell>
          <cell r="CV94">
            <v>0</v>
          </cell>
          <cell r="CW94">
            <v>0</v>
          </cell>
          <cell r="CX94">
            <v>0</v>
          </cell>
          <cell r="CY94">
            <v>3</v>
          </cell>
          <cell r="CZ94">
            <v>0</v>
          </cell>
          <cell r="DA94">
            <v>4</v>
          </cell>
          <cell r="DB94">
            <v>4</v>
          </cell>
          <cell r="DC94">
            <v>0</v>
          </cell>
          <cell r="DD94">
            <v>0</v>
          </cell>
          <cell r="DE94">
            <v>0</v>
          </cell>
          <cell r="DF94">
            <v>0</v>
          </cell>
          <cell r="DG94">
            <v>0</v>
          </cell>
          <cell r="DH94">
            <v>0</v>
          </cell>
          <cell r="DI94">
            <v>4</v>
          </cell>
          <cell r="DJ94">
            <v>4</v>
          </cell>
          <cell r="DK94">
            <v>0</v>
          </cell>
          <cell r="DL94">
            <v>0</v>
          </cell>
          <cell r="DM94">
            <v>0</v>
          </cell>
          <cell r="DN94" t="str">
            <v/>
          </cell>
          <cell r="DO94" t="str">
            <v/>
          </cell>
          <cell r="DP94" t="str">
            <v/>
          </cell>
          <cell r="DQ94"/>
          <cell r="DR94"/>
          <cell r="DS94"/>
          <cell r="DT94">
            <v>29</v>
          </cell>
          <cell r="DU94">
            <v>0</v>
          </cell>
          <cell r="DV94"/>
          <cell r="DW94"/>
          <cell r="DX94"/>
          <cell r="DY94"/>
        </row>
        <row r="95">
          <cell r="E95" t="str">
            <v>04080</v>
          </cell>
          <cell r="F95" t="str">
            <v>Nguyễn Văn Thủy</v>
          </cell>
          <cell r="G95" t="str">
            <v>Foaming</v>
          </cell>
          <cell r="H95" t="str">
            <v>FOAMING Splitting</v>
          </cell>
          <cell r="I95" t="str">
            <v>Worker</v>
          </cell>
          <cell r="J95">
            <v>45377</v>
          </cell>
          <cell r="K95">
            <v>45407</v>
          </cell>
          <cell r="L95" t="str">
            <v>Đ</v>
          </cell>
          <cell r="M95" t="str">
            <v>Đ</v>
          </cell>
          <cell r="N95" t="str">
            <v>Đ</v>
          </cell>
          <cell r="O95" t="str">
            <v>Ca 3</v>
          </cell>
          <cell r="P95" t="str">
            <v>CN</v>
          </cell>
          <cell r="Q95">
            <v>8</v>
          </cell>
          <cell r="R95">
            <v>8</v>
          </cell>
          <cell r="S95">
            <v>8</v>
          </cell>
          <cell r="T95">
            <v>8</v>
          </cell>
          <cell r="U95">
            <v>8</v>
          </cell>
          <cell r="V95">
            <v>8</v>
          </cell>
          <cell r="W95" t="str">
            <v>Ca 1</v>
          </cell>
          <cell r="X95" t="str">
            <v>CN</v>
          </cell>
          <cell r="Y95" t="str">
            <v>Đ</v>
          </cell>
          <cell r="Z95" t="str">
            <v>Đ</v>
          </cell>
          <cell r="AA95" t="str">
            <v>Đ</v>
          </cell>
          <cell r="AB95" t="str">
            <v>Đ</v>
          </cell>
          <cell r="AC95" t="str">
            <v>Đ</v>
          </cell>
          <cell r="AD95">
            <v>0</v>
          </cell>
          <cell r="AE95" t="str">
            <v>Ca 3</v>
          </cell>
          <cell r="AF95">
            <v>8</v>
          </cell>
          <cell r="AG95">
            <v>8</v>
          </cell>
          <cell r="AH95">
            <v>8</v>
          </cell>
          <cell r="AI95">
            <v>8</v>
          </cell>
          <cell r="AJ95">
            <v>8</v>
          </cell>
          <cell r="AK95">
            <v>8</v>
          </cell>
          <cell r="AL95" t="str">
            <v>CN</v>
          </cell>
          <cell r="AM95" t="str">
            <v>Ca 1</v>
          </cell>
          <cell r="AN95" t="str">
            <v>Đ</v>
          </cell>
          <cell r="AO95" t="str">
            <v>NP</v>
          </cell>
          <cell r="AP95" t="str">
            <v>Đ</v>
          </cell>
          <cell r="AQ95" t="str">
            <v>Đ</v>
          </cell>
          <cell r="AR95" t="str">
            <v>Đ</v>
          </cell>
          <cell r="AS95" t="str">
            <v>Đ</v>
          </cell>
          <cell r="AT95" t="str">
            <v>CN</v>
          </cell>
          <cell r="AU95" t="str">
            <v>Ca 3</v>
          </cell>
          <cell r="AV95" t="str">
            <v>H</v>
          </cell>
          <cell r="AW95" t="str">
            <v>X</v>
          </cell>
          <cell r="AX95" t="str">
            <v>Đ</v>
          </cell>
          <cell r="AY95" t="str">
            <v>NP</v>
          </cell>
          <cell r="AZ95" t="str">
            <v>H</v>
          </cell>
          <cell r="BA95" t="str">
            <v/>
          </cell>
          <cell r="BB95" t="str">
            <v/>
          </cell>
          <cell r="BC95" t="str">
            <v>Ca 3</v>
          </cell>
          <cell r="BD95" t="str">
            <v/>
          </cell>
          <cell r="BE95">
            <v>112</v>
          </cell>
          <cell r="BF95">
            <v>96</v>
          </cell>
          <cell r="BG95">
            <v>0</v>
          </cell>
          <cell r="BH95">
            <v>0</v>
          </cell>
          <cell r="BI95">
            <v>0</v>
          </cell>
          <cell r="BJ95">
            <v>0</v>
          </cell>
          <cell r="BK95">
            <v>2</v>
          </cell>
          <cell r="BL95">
            <v>0</v>
          </cell>
          <cell r="BM95">
            <v>0</v>
          </cell>
          <cell r="BN95">
            <v>0</v>
          </cell>
          <cell r="BO95">
            <v>0</v>
          </cell>
          <cell r="BP95">
            <v>0</v>
          </cell>
          <cell r="BQ95">
            <v>0</v>
          </cell>
          <cell r="BR95">
            <v>0</v>
          </cell>
          <cell r="BS95">
            <v>16</v>
          </cell>
          <cell r="BT95">
            <v>0</v>
          </cell>
          <cell r="BU95">
            <v>0</v>
          </cell>
          <cell r="BV95">
            <v>0</v>
          </cell>
          <cell r="BW95">
            <v>0</v>
          </cell>
          <cell r="BX95">
            <v>224</v>
          </cell>
          <cell r="BY95">
            <v>0</v>
          </cell>
          <cell r="BZ95">
            <v>0</v>
          </cell>
          <cell r="CA95">
            <v>0</v>
          </cell>
          <cell r="CB95">
            <v>0</v>
          </cell>
          <cell r="CC95">
            <v>0</v>
          </cell>
          <cell r="CD95"/>
          <cell r="CE95"/>
          <cell r="CF95"/>
          <cell r="CG95">
            <v>4</v>
          </cell>
          <cell r="CH95">
            <v>0</v>
          </cell>
          <cell r="CI95">
            <v>4</v>
          </cell>
          <cell r="CJ95">
            <v>0</v>
          </cell>
          <cell r="CK95">
            <v>2</v>
          </cell>
          <cell r="CL95">
            <v>2</v>
          </cell>
          <cell r="CM95">
            <v>2</v>
          </cell>
          <cell r="CN95">
            <v>2</v>
          </cell>
          <cell r="CO95">
            <v>2</v>
          </cell>
          <cell r="CP95">
            <v>2</v>
          </cell>
          <cell r="CQ95">
            <v>0</v>
          </cell>
          <cell r="CR95">
            <v>0</v>
          </cell>
          <cell r="CS95">
            <v>0</v>
          </cell>
          <cell r="CT95">
            <v>0</v>
          </cell>
          <cell r="CU95">
            <v>2</v>
          </cell>
          <cell r="CV95">
            <v>4</v>
          </cell>
          <cell r="CW95">
            <v>0</v>
          </cell>
          <cell r="CX95">
            <v>4</v>
          </cell>
          <cell r="CY95">
            <v>0</v>
          </cell>
          <cell r="CZ95">
            <v>0</v>
          </cell>
          <cell r="DA95">
            <v>0</v>
          </cell>
          <cell r="DB95">
            <v>0</v>
          </cell>
          <cell r="DC95">
            <v>2</v>
          </cell>
          <cell r="DD95">
            <v>0</v>
          </cell>
          <cell r="DE95">
            <v>4</v>
          </cell>
          <cell r="DF95">
            <v>0</v>
          </cell>
          <cell r="DG95">
            <v>0</v>
          </cell>
          <cell r="DH95">
            <v>0</v>
          </cell>
          <cell r="DI95">
            <v>0</v>
          </cell>
          <cell r="DJ95">
            <v>0</v>
          </cell>
          <cell r="DK95">
            <v>0</v>
          </cell>
          <cell r="DL95">
            <v>0</v>
          </cell>
          <cell r="DM95">
            <v>0</v>
          </cell>
          <cell r="DN95" t="str">
            <v/>
          </cell>
          <cell r="DO95" t="str">
            <v/>
          </cell>
          <cell r="DP95" t="str">
            <v/>
          </cell>
          <cell r="DQ95">
            <v>0</v>
          </cell>
          <cell r="DR95"/>
          <cell r="DS95"/>
          <cell r="DT95">
            <v>28</v>
          </cell>
          <cell r="DU95">
            <v>8</v>
          </cell>
          <cell r="DV95"/>
          <cell r="DW95"/>
          <cell r="DX95"/>
          <cell r="DY95"/>
        </row>
        <row r="96">
          <cell r="E96" t="str">
            <v>04112</v>
          </cell>
          <cell r="F96" t="str">
            <v>Trần Thanh Đại</v>
          </cell>
          <cell r="G96" t="str">
            <v>Foaming</v>
          </cell>
          <cell r="H96" t="str">
            <v>FOAMING Splitting</v>
          </cell>
          <cell r="I96" t="str">
            <v>Worker</v>
          </cell>
          <cell r="J96">
            <v>45453</v>
          </cell>
          <cell r="K96">
            <v>45483</v>
          </cell>
          <cell r="L96">
            <v>8</v>
          </cell>
          <cell r="M96">
            <v>8</v>
          </cell>
          <cell r="N96">
            <v>8</v>
          </cell>
          <cell r="O96" t="str">
            <v>Ca 1</v>
          </cell>
          <cell r="P96" t="str">
            <v>CN</v>
          </cell>
          <cell r="Q96" t="str">
            <v>Đ</v>
          </cell>
          <cell r="R96" t="str">
            <v>Đ</v>
          </cell>
          <cell r="S96" t="str">
            <v>Đ</v>
          </cell>
          <cell r="T96" t="str">
            <v>Đ</v>
          </cell>
          <cell r="U96" t="str">
            <v>Đ</v>
          </cell>
          <cell r="V96" t="str">
            <v>Đ</v>
          </cell>
          <cell r="W96" t="str">
            <v>Ca 3</v>
          </cell>
          <cell r="X96" t="str">
            <v>CN</v>
          </cell>
          <cell r="Y96">
            <v>8</v>
          </cell>
          <cell r="Z96">
            <v>8</v>
          </cell>
          <cell r="AA96">
            <v>8</v>
          </cell>
          <cell r="AB96">
            <v>8</v>
          </cell>
          <cell r="AC96" t="str">
            <v>CN</v>
          </cell>
          <cell r="AD96" t="str">
            <v>Đ</v>
          </cell>
          <cell r="AE96" t="str">
            <v>Ca 2</v>
          </cell>
          <cell r="AF96" t="str">
            <v>Đ</v>
          </cell>
          <cell r="AG96" t="str">
            <v>Đ</v>
          </cell>
          <cell r="AH96" t="str">
            <v>Đ</v>
          </cell>
          <cell r="AI96" t="str">
            <v>Đ</v>
          </cell>
          <cell r="AJ96" t="str">
            <v>Đ</v>
          </cell>
          <cell r="AK96" t="str">
            <v>CN</v>
          </cell>
          <cell r="AL96">
            <v>8</v>
          </cell>
          <cell r="AM96" t="str">
            <v>Ca 3</v>
          </cell>
          <cell r="AN96">
            <v>8</v>
          </cell>
          <cell r="AO96">
            <v>8</v>
          </cell>
          <cell r="AP96">
            <v>8</v>
          </cell>
          <cell r="AQ96">
            <v>8</v>
          </cell>
          <cell r="AR96">
            <v>8</v>
          </cell>
          <cell r="AS96" t="str">
            <v>NP</v>
          </cell>
          <cell r="AT96">
            <v>8</v>
          </cell>
          <cell r="AU96" t="str">
            <v>Ca 2</v>
          </cell>
          <cell r="AV96" t="str">
            <v>H</v>
          </cell>
          <cell r="AW96" t="str">
            <v>X</v>
          </cell>
          <cell r="AX96">
            <v>8</v>
          </cell>
          <cell r="AY96">
            <v>8</v>
          </cell>
          <cell r="AZ96" t="str">
            <v>H</v>
          </cell>
          <cell r="BA96" t="str">
            <v/>
          </cell>
          <cell r="BB96" t="str">
            <v/>
          </cell>
          <cell r="BC96" t="str">
            <v>Ca 2</v>
          </cell>
          <cell r="BD96" t="str">
            <v/>
          </cell>
          <cell r="BE96">
            <v>96</v>
          </cell>
          <cell r="BF96">
            <v>128</v>
          </cell>
          <cell r="BG96">
            <v>0</v>
          </cell>
          <cell r="BH96">
            <v>0</v>
          </cell>
          <cell r="BI96">
            <v>0</v>
          </cell>
          <cell r="BJ96">
            <v>0</v>
          </cell>
          <cell r="BK96">
            <v>1</v>
          </cell>
          <cell r="BL96">
            <v>0</v>
          </cell>
          <cell r="BM96">
            <v>0</v>
          </cell>
          <cell r="BN96">
            <v>0</v>
          </cell>
          <cell r="BO96">
            <v>0</v>
          </cell>
          <cell r="BP96">
            <v>0</v>
          </cell>
          <cell r="BQ96">
            <v>0</v>
          </cell>
          <cell r="BR96">
            <v>0</v>
          </cell>
          <cell r="BS96">
            <v>16</v>
          </cell>
          <cell r="BT96">
            <v>0</v>
          </cell>
          <cell r="BU96">
            <v>0</v>
          </cell>
          <cell r="BV96">
            <v>0</v>
          </cell>
          <cell r="BW96">
            <v>0</v>
          </cell>
          <cell r="BX96">
            <v>240</v>
          </cell>
          <cell r="BY96">
            <v>0</v>
          </cell>
          <cell r="BZ96">
            <v>0</v>
          </cell>
          <cell r="CA96">
            <v>0</v>
          </cell>
          <cell r="CB96">
            <v>0</v>
          </cell>
          <cell r="CC96">
            <v>0</v>
          </cell>
          <cell r="CD96"/>
          <cell r="CE96"/>
          <cell r="CF96"/>
          <cell r="CG96">
            <v>4</v>
          </cell>
          <cell r="CH96">
            <v>4</v>
          </cell>
          <cell r="CI96">
            <v>4</v>
          </cell>
          <cell r="CJ96">
            <v>0</v>
          </cell>
          <cell r="CK96">
            <v>0</v>
          </cell>
          <cell r="CL96">
            <v>2</v>
          </cell>
          <cell r="CM96">
            <v>2</v>
          </cell>
          <cell r="CN96">
            <v>2</v>
          </cell>
          <cell r="CO96">
            <v>2</v>
          </cell>
          <cell r="CP96">
            <v>2</v>
          </cell>
          <cell r="CQ96">
            <v>0</v>
          </cell>
          <cell r="CR96">
            <v>0</v>
          </cell>
          <cell r="CS96">
            <v>0</v>
          </cell>
          <cell r="CT96">
            <v>0</v>
          </cell>
          <cell r="CU96">
            <v>2</v>
          </cell>
          <cell r="CV96">
            <v>0</v>
          </cell>
          <cell r="CW96">
            <v>4</v>
          </cell>
          <cell r="CX96">
            <v>4</v>
          </cell>
          <cell r="CY96">
            <v>0</v>
          </cell>
          <cell r="CZ96">
            <v>0</v>
          </cell>
          <cell r="DA96">
            <v>0</v>
          </cell>
          <cell r="DB96">
            <v>0</v>
          </cell>
          <cell r="DC96">
            <v>0</v>
          </cell>
          <cell r="DD96">
            <v>4</v>
          </cell>
          <cell r="DE96">
            <v>0</v>
          </cell>
          <cell r="DF96">
            <v>0</v>
          </cell>
          <cell r="DG96">
            <v>0</v>
          </cell>
          <cell r="DH96">
            <v>0</v>
          </cell>
          <cell r="DI96">
            <v>0</v>
          </cell>
          <cell r="DJ96">
            <v>0</v>
          </cell>
          <cell r="DK96">
            <v>0</v>
          </cell>
          <cell r="DL96">
            <v>0</v>
          </cell>
          <cell r="DM96">
            <v>0</v>
          </cell>
          <cell r="DN96" t="str">
            <v/>
          </cell>
          <cell r="DO96" t="str">
            <v/>
          </cell>
          <cell r="DP96" t="str">
            <v/>
          </cell>
          <cell r="DQ96">
            <v>0</v>
          </cell>
          <cell r="DR96"/>
          <cell r="DS96"/>
          <cell r="DT96">
            <v>32</v>
          </cell>
          <cell r="DU96">
            <v>4</v>
          </cell>
          <cell r="DV96"/>
          <cell r="DW96"/>
          <cell r="DX96"/>
          <cell r="DY96"/>
        </row>
        <row r="97">
          <cell r="E97" t="str">
            <v>04151</v>
          </cell>
          <cell r="F97" t="str">
            <v>Đặng Đông Tình</v>
          </cell>
          <cell r="G97" t="str">
            <v>Foaming</v>
          </cell>
          <cell r="H97" t="str">
            <v>FOAMING Splitting</v>
          </cell>
          <cell r="I97" t="str">
            <v>Worker</v>
          </cell>
          <cell r="J97" t="str">
            <v>15/08/2024</v>
          </cell>
          <cell r="K97"/>
          <cell r="L97">
            <v>8</v>
          </cell>
          <cell r="M97">
            <v>8</v>
          </cell>
          <cell r="N97">
            <v>8</v>
          </cell>
          <cell r="O97" t="str">
            <v>Ca 1</v>
          </cell>
          <cell r="P97" t="str">
            <v>CN</v>
          </cell>
          <cell r="Q97">
            <v>8</v>
          </cell>
          <cell r="R97">
            <v>8</v>
          </cell>
          <cell r="S97">
            <v>8</v>
          </cell>
          <cell r="T97">
            <v>8</v>
          </cell>
          <cell r="U97" t="str">
            <v>NP</v>
          </cell>
          <cell r="V97" t="str">
            <v>NP</v>
          </cell>
          <cell r="W97" t="str">
            <v>Ca 1</v>
          </cell>
          <cell r="X97" t="str">
            <v>CN</v>
          </cell>
          <cell r="Y97">
            <v>8</v>
          </cell>
          <cell r="Z97">
            <v>8</v>
          </cell>
          <cell r="AA97">
            <v>8</v>
          </cell>
          <cell r="AB97">
            <v>8</v>
          </cell>
          <cell r="AC97">
            <v>8</v>
          </cell>
          <cell r="AD97">
            <v>8</v>
          </cell>
          <cell r="AE97" t="str">
            <v>HCSX</v>
          </cell>
          <cell r="AF97" t="str">
            <v>CN</v>
          </cell>
          <cell r="AG97">
            <v>8</v>
          </cell>
          <cell r="AH97">
            <v>8</v>
          </cell>
          <cell r="AI97">
            <v>8</v>
          </cell>
          <cell r="AJ97">
            <v>8</v>
          </cell>
          <cell r="AK97">
            <v>8</v>
          </cell>
          <cell r="AL97">
            <v>8</v>
          </cell>
          <cell r="AM97" t="str">
            <v>HCSX</v>
          </cell>
          <cell r="AN97" t="str">
            <v>CN</v>
          </cell>
          <cell r="AO97">
            <v>8</v>
          </cell>
          <cell r="AP97">
            <v>8</v>
          </cell>
          <cell r="AQ97">
            <v>8</v>
          </cell>
          <cell r="AR97">
            <v>8</v>
          </cell>
          <cell r="AS97">
            <v>8</v>
          </cell>
          <cell r="AT97">
            <v>8</v>
          </cell>
          <cell r="AU97" t="str">
            <v>HCSX</v>
          </cell>
          <cell r="AV97" t="str">
            <v>H</v>
          </cell>
          <cell r="AW97" t="str">
            <v>X</v>
          </cell>
          <cell r="AX97">
            <v>8</v>
          </cell>
          <cell r="AY97">
            <v>8</v>
          </cell>
          <cell r="AZ97" t="str">
            <v>H</v>
          </cell>
          <cell r="BA97" t="str">
            <v/>
          </cell>
          <cell r="BB97" t="str">
            <v/>
          </cell>
          <cell r="BC97" t="str">
            <v>HCSX</v>
          </cell>
          <cell r="BD97" t="str">
            <v/>
          </cell>
          <cell r="BE97">
            <v>0</v>
          </cell>
          <cell r="BF97">
            <v>216</v>
          </cell>
          <cell r="BG97">
            <v>0</v>
          </cell>
          <cell r="BH97">
            <v>0</v>
          </cell>
          <cell r="BI97">
            <v>0</v>
          </cell>
          <cell r="BJ97">
            <v>0</v>
          </cell>
          <cell r="BK97">
            <v>2</v>
          </cell>
          <cell r="BL97">
            <v>0</v>
          </cell>
          <cell r="BM97">
            <v>0</v>
          </cell>
          <cell r="BN97">
            <v>0</v>
          </cell>
          <cell r="BO97">
            <v>0</v>
          </cell>
          <cell r="BP97">
            <v>0</v>
          </cell>
          <cell r="BQ97">
            <v>0</v>
          </cell>
          <cell r="BR97">
            <v>0</v>
          </cell>
          <cell r="BS97">
            <v>16</v>
          </cell>
          <cell r="BT97">
            <v>0</v>
          </cell>
          <cell r="BU97">
            <v>0</v>
          </cell>
          <cell r="BV97">
            <v>0</v>
          </cell>
          <cell r="BW97">
            <v>0</v>
          </cell>
          <cell r="BX97">
            <v>232</v>
          </cell>
          <cell r="BY97">
            <v>0</v>
          </cell>
          <cell r="BZ97">
            <v>0</v>
          </cell>
          <cell r="CA97">
            <v>0</v>
          </cell>
          <cell r="CB97">
            <v>0</v>
          </cell>
          <cell r="CC97">
            <v>0</v>
          </cell>
          <cell r="CD97"/>
          <cell r="CE97"/>
          <cell r="CF97"/>
          <cell r="CG97">
            <v>4</v>
          </cell>
          <cell r="CH97">
            <v>4</v>
          </cell>
          <cell r="CI97">
            <v>4</v>
          </cell>
          <cell r="CJ97">
            <v>0</v>
          </cell>
          <cell r="CK97">
            <v>2</v>
          </cell>
          <cell r="CL97">
            <v>2</v>
          </cell>
          <cell r="CM97">
            <v>2</v>
          </cell>
          <cell r="CN97">
            <v>2</v>
          </cell>
          <cell r="CO97">
            <v>0</v>
          </cell>
          <cell r="CP97">
            <v>0</v>
          </cell>
          <cell r="CQ97">
            <v>0</v>
          </cell>
          <cell r="CR97">
            <v>0</v>
          </cell>
          <cell r="CS97">
            <v>0</v>
          </cell>
          <cell r="CT97">
            <v>0</v>
          </cell>
          <cell r="CU97">
            <v>3</v>
          </cell>
          <cell r="CV97">
            <v>3</v>
          </cell>
          <cell r="CW97">
            <v>3</v>
          </cell>
          <cell r="CX97">
            <v>0</v>
          </cell>
          <cell r="CY97">
            <v>3</v>
          </cell>
          <cell r="CZ97">
            <v>2</v>
          </cell>
          <cell r="DA97">
            <v>2</v>
          </cell>
          <cell r="DB97">
            <v>0</v>
          </cell>
          <cell r="DC97">
            <v>0</v>
          </cell>
          <cell r="DD97">
            <v>0</v>
          </cell>
          <cell r="DE97">
            <v>0</v>
          </cell>
          <cell r="DF97">
            <v>0</v>
          </cell>
          <cell r="DG97">
            <v>0</v>
          </cell>
          <cell r="DH97">
            <v>0</v>
          </cell>
          <cell r="DI97">
            <v>0</v>
          </cell>
          <cell r="DJ97">
            <v>0</v>
          </cell>
          <cell r="DK97">
            <v>0</v>
          </cell>
          <cell r="DL97">
            <v>0</v>
          </cell>
          <cell r="DM97">
            <v>0</v>
          </cell>
          <cell r="DN97" t="str">
            <v/>
          </cell>
          <cell r="DO97" t="str">
            <v/>
          </cell>
          <cell r="DP97" t="str">
            <v/>
          </cell>
          <cell r="DQ97"/>
          <cell r="DR97"/>
          <cell r="DS97"/>
          <cell r="DT97">
            <v>36</v>
          </cell>
          <cell r="DU97">
            <v>0</v>
          </cell>
          <cell r="DV97"/>
          <cell r="DW97"/>
          <cell r="DX97"/>
          <cell r="DY97"/>
        </row>
        <row r="98">
          <cell r="E98" t="str">
            <v>04152</v>
          </cell>
          <cell r="F98" t="str">
            <v>Nguyễn Hà Sang</v>
          </cell>
          <cell r="G98" t="str">
            <v>Foaming</v>
          </cell>
          <cell r="H98" t="str">
            <v>FOAMING Splitting</v>
          </cell>
          <cell r="I98" t="str">
            <v>Worker</v>
          </cell>
          <cell r="J98" t="str">
            <v>15/08/2024</v>
          </cell>
          <cell r="K98"/>
          <cell r="L98" t="str">
            <v>Đ</v>
          </cell>
          <cell r="M98" t="str">
            <v>Đ</v>
          </cell>
          <cell r="N98" t="str">
            <v>AL8</v>
          </cell>
          <cell r="O98" t="str">
            <v>Ca 3</v>
          </cell>
          <cell r="P98" t="str">
            <v>CN</v>
          </cell>
          <cell r="Q98">
            <v>8</v>
          </cell>
          <cell r="R98">
            <v>8</v>
          </cell>
          <cell r="S98">
            <v>8</v>
          </cell>
          <cell r="T98">
            <v>8</v>
          </cell>
          <cell r="U98">
            <v>8</v>
          </cell>
          <cell r="V98">
            <v>8</v>
          </cell>
          <cell r="W98" t="str">
            <v>Ca 2</v>
          </cell>
          <cell r="X98" t="str">
            <v>CN</v>
          </cell>
          <cell r="Y98">
            <v>8</v>
          </cell>
          <cell r="Z98">
            <v>8</v>
          </cell>
          <cell r="AA98">
            <v>8</v>
          </cell>
          <cell r="AB98">
            <v>8</v>
          </cell>
          <cell r="AC98">
            <v>8</v>
          </cell>
          <cell r="AD98">
            <v>8</v>
          </cell>
          <cell r="AE98" t="str">
            <v>Ca 1</v>
          </cell>
          <cell r="AF98" t="str">
            <v>CN</v>
          </cell>
          <cell r="AG98">
            <v>8</v>
          </cell>
          <cell r="AH98">
            <v>8</v>
          </cell>
          <cell r="AI98">
            <v>8</v>
          </cell>
          <cell r="AJ98">
            <v>8</v>
          </cell>
          <cell r="AK98" t="str">
            <v>Đ</v>
          </cell>
          <cell r="AL98" t="str">
            <v>Đ</v>
          </cell>
          <cell r="AM98" t="str">
            <v>Ca 2</v>
          </cell>
          <cell r="AN98" t="str">
            <v>CN</v>
          </cell>
          <cell r="AO98">
            <v>8</v>
          </cell>
          <cell r="AP98">
            <v>8</v>
          </cell>
          <cell r="AQ98">
            <v>8</v>
          </cell>
          <cell r="AR98">
            <v>8</v>
          </cell>
          <cell r="AS98">
            <v>8</v>
          </cell>
          <cell r="AT98">
            <v>8</v>
          </cell>
          <cell r="AU98" t="str">
            <v>Ca 1</v>
          </cell>
          <cell r="AV98" t="str">
            <v>H</v>
          </cell>
          <cell r="AW98" t="str">
            <v>X</v>
          </cell>
          <cell r="AX98">
            <v>8</v>
          </cell>
          <cell r="AY98">
            <v>8</v>
          </cell>
          <cell r="AZ98" t="str">
            <v>H</v>
          </cell>
          <cell r="BA98" t="str">
            <v/>
          </cell>
          <cell r="BB98" t="str">
            <v/>
          </cell>
          <cell r="BC98" t="str">
            <v>Ca 1</v>
          </cell>
          <cell r="BD98" t="str">
            <v/>
          </cell>
          <cell r="BE98">
            <v>32</v>
          </cell>
          <cell r="BF98">
            <v>192</v>
          </cell>
          <cell r="BG98">
            <v>0</v>
          </cell>
          <cell r="BH98">
            <v>0</v>
          </cell>
          <cell r="BI98">
            <v>0</v>
          </cell>
          <cell r="BJ98">
            <v>0</v>
          </cell>
          <cell r="BK98">
            <v>0</v>
          </cell>
          <cell r="BL98">
            <v>0</v>
          </cell>
          <cell r="BM98">
            <v>0</v>
          </cell>
          <cell r="BN98">
            <v>0</v>
          </cell>
          <cell r="BO98">
            <v>0</v>
          </cell>
          <cell r="BP98">
            <v>0</v>
          </cell>
          <cell r="BQ98">
            <v>0</v>
          </cell>
          <cell r="BR98">
            <v>8</v>
          </cell>
          <cell r="BS98">
            <v>16</v>
          </cell>
          <cell r="BT98">
            <v>0</v>
          </cell>
          <cell r="BU98">
            <v>0</v>
          </cell>
          <cell r="BV98">
            <v>0</v>
          </cell>
          <cell r="BW98">
            <v>0</v>
          </cell>
          <cell r="BX98">
            <v>248</v>
          </cell>
          <cell r="BY98">
            <v>1</v>
          </cell>
          <cell r="BZ98">
            <v>0</v>
          </cell>
          <cell r="CA98">
            <v>0</v>
          </cell>
          <cell r="CB98">
            <v>1</v>
          </cell>
          <cell r="CC98">
            <v>1</v>
          </cell>
          <cell r="CD98"/>
          <cell r="CE98"/>
          <cell r="CF98"/>
          <cell r="CG98">
            <v>4</v>
          </cell>
          <cell r="CH98">
            <v>0</v>
          </cell>
          <cell r="CI98">
            <v>0</v>
          </cell>
          <cell r="CJ98">
            <v>0</v>
          </cell>
          <cell r="CK98">
            <v>0</v>
          </cell>
          <cell r="CL98">
            <v>0</v>
          </cell>
          <cell r="CM98">
            <v>0</v>
          </cell>
          <cell r="CN98">
            <v>4</v>
          </cell>
          <cell r="CO98">
            <v>4</v>
          </cell>
          <cell r="CP98">
            <v>4</v>
          </cell>
          <cell r="CQ98">
            <v>0</v>
          </cell>
          <cell r="CR98">
            <v>2</v>
          </cell>
          <cell r="CS98">
            <v>0</v>
          </cell>
          <cell r="CT98">
            <v>0</v>
          </cell>
          <cell r="CU98">
            <v>2</v>
          </cell>
          <cell r="CV98">
            <v>4</v>
          </cell>
          <cell r="CW98">
            <v>4</v>
          </cell>
          <cell r="CX98">
            <v>0</v>
          </cell>
          <cell r="CY98">
            <v>0</v>
          </cell>
          <cell r="CZ98">
            <v>0</v>
          </cell>
          <cell r="DA98">
            <v>0</v>
          </cell>
          <cell r="DB98">
            <v>0</v>
          </cell>
          <cell r="DC98">
            <v>4</v>
          </cell>
          <cell r="DD98">
            <v>4</v>
          </cell>
          <cell r="DE98">
            <v>0</v>
          </cell>
          <cell r="DF98">
            <v>0</v>
          </cell>
          <cell r="DG98">
            <v>0</v>
          </cell>
          <cell r="DH98">
            <v>0</v>
          </cell>
          <cell r="DI98">
            <v>0</v>
          </cell>
          <cell r="DJ98">
            <v>0</v>
          </cell>
          <cell r="DK98">
            <v>0</v>
          </cell>
          <cell r="DL98">
            <v>0</v>
          </cell>
          <cell r="DM98">
            <v>0</v>
          </cell>
          <cell r="DN98" t="str">
            <v/>
          </cell>
          <cell r="DO98" t="str">
            <v/>
          </cell>
          <cell r="DP98" t="str">
            <v/>
          </cell>
          <cell r="DQ98"/>
          <cell r="DR98"/>
          <cell r="DS98"/>
          <cell r="DT98">
            <v>36</v>
          </cell>
          <cell r="DU98">
            <v>0</v>
          </cell>
          <cell r="DV98"/>
          <cell r="DW98"/>
          <cell r="DX98"/>
          <cell r="DY98"/>
        </row>
        <row r="99">
          <cell r="E99" t="str">
            <v>04195</v>
          </cell>
          <cell r="F99" t="str">
            <v>Lê Văn Tươi</v>
          </cell>
          <cell r="G99" t="str">
            <v>Foaming</v>
          </cell>
          <cell r="H99" t="str">
            <v>FOAMING Rectangular</v>
          </cell>
          <cell r="I99" t="str">
            <v>Worker</v>
          </cell>
          <cell r="J99" t="str">
            <v>19/09/2024</v>
          </cell>
          <cell r="K99"/>
          <cell r="L99" t="str">
            <v>Đ</v>
          </cell>
          <cell r="M99" t="str">
            <v>Đ</v>
          </cell>
          <cell r="N99" t="str">
            <v>Đ</v>
          </cell>
          <cell r="O99" t="str">
            <v>Ca 3</v>
          </cell>
          <cell r="P99" t="str">
            <v>CN</v>
          </cell>
          <cell r="Q99">
            <v>8</v>
          </cell>
          <cell r="R99">
            <v>8</v>
          </cell>
          <cell r="S99">
            <v>8</v>
          </cell>
          <cell r="T99">
            <v>8</v>
          </cell>
          <cell r="U99">
            <v>8</v>
          </cell>
          <cell r="V99">
            <v>4</v>
          </cell>
          <cell r="W99" t="str">
            <v>Ca 1</v>
          </cell>
          <cell r="X99" t="str">
            <v>CN</v>
          </cell>
          <cell r="Y99" t="str">
            <v>NP</v>
          </cell>
          <cell r="Z99" t="str">
            <v>Đ</v>
          </cell>
          <cell r="AA99">
            <v>7</v>
          </cell>
          <cell r="AB99" t="str">
            <v>Đ</v>
          </cell>
          <cell r="AC99" t="str">
            <v>Đ</v>
          </cell>
          <cell r="AD99" t="str">
            <v>Đ</v>
          </cell>
          <cell r="AE99" t="str">
            <v>Ca 3</v>
          </cell>
          <cell r="AF99" t="str">
            <v>CN</v>
          </cell>
          <cell r="AG99">
            <v>8</v>
          </cell>
          <cell r="AH99">
            <v>8</v>
          </cell>
          <cell r="AI99">
            <v>4</v>
          </cell>
          <cell r="AJ99" t="str">
            <v>NP</v>
          </cell>
          <cell r="AK99" t="str">
            <v>NP</v>
          </cell>
          <cell r="AL99">
            <v>8</v>
          </cell>
          <cell r="AM99" t="str">
            <v>Ca 2</v>
          </cell>
          <cell r="AN99" t="str">
            <v>CN</v>
          </cell>
          <cell r="AO99">
            <v>8</v>
          </cell>
          <cell r="AP99">
            <v>8</v>
          </cell>
          <cell r="AQ99">
            <v>4</v>
          </cell>
          <cell r="AR99">
            <v>8</v>
          </cell>
          <cell r="AS99">
            <v>8</v>
          </cell>
          <cell r="AT99">
            <v>8</v>
          </cell>
          <cell r="AU99" t="str">
            <v>Ca 1</v>
          </cell>
          <cell r="AV99" t="str">
            <v>H</v>
          </cell>
          <cell r="AW99" t="str">
            <v>X</v>
          </cell>
          <cell r="AX99">
            <v>8</v>
          </cell>
          <cell r="AY99">
            <v>8</v>
          </cell>
          <cell r="AZ99" t="str">
            <v>H</v>
          </cell>
          <cell r="BA99" t="str">
            <v/>
          </cell>
          <cell r="BB99" t="str">
            <v/>
          </cell>
          <cell r="BC99" t="str">
            <v>Ca 1</v>
          </cell>
          <cell r="BD99" t="str">
            <v/>
          </cell>
          <cell r="BE99">
            <v>56</v>
          </cell>
          <cell r="BF99">
            <v>139</v>
          </cell>
          <cell r="BG99">
            <v>0</v>
          </cell>
          <cell r="BH99">
            <v>0</v>
          </cell>
          <cell r="BI99">
            <v>0</v>
          </cell>
          <cell r="BJ99">
            <v>0</v>
          </cell>
          <cell r="BK99">
            <v>3</v>
          </cell>
          <cell r="BL99">
            <v>0</v>
          </cell>
          <cell r="BM99">
            <v>0</v>
          </cell>
          <cell r="BN99">
            <v>0</v>
          </cell>
          <cell r="BO99">
            <v>0</v>
          </cell>
          <cell r="BP99">
            <v>0</v>
          </cell>
          <cell r="BQ99">
            <v>0</v>
          </cell>
          <cell r="BR99">
            <v>0</v>
          </cell>
          <cell r="BS99">
            <v>16</v>
          </cell>
          <cell r="BT99">
            <v>0</v>
          </cell>
          <cell r="BU99">
            <v>0</v>
          </cell>
          <cell r="BV99">
            <v>0</v>
          </cell>
          <cell r="BW99">
            <v>0</v>
          </cell>
          <cell r="BX99">
            <v>211</v>
          </cell>
          <cell r="BY99">
            <v>0</v>
          </cell>
          <cell r="BZ99">
            <v>0</v>
          </cell>
          <cell r="CA99">
            <v>0</v>
          </cell>
          <cell r="CB99">
            <v>0</v>
          </cell>
          <cell r="CC99">
            <v>0</v>
          </cell>
          <cell r="CD99"/>
          <cell r="CE99"/>
          <cell r="CF99"/>
          <cell r="CG99">
            <v>0</v>
          </cell>
          <cell r="CH99">
            <v>4</v>
          </cell>
          <cell r="CI99">
            <v>4</v>
          </cell>
          <cell r="CJ99">
            <v>0</v>
          </cell>
          <cell r="CK99">
            <v>0</v>
          </cell>
          <cell r="CL99">
            <v>0</v>
          </cell>
          <cell r="CM99">
            <v>0</v>
          </cell>
          <cell r="CN99">
            <v>0</v>
          </cell>
          <cell r="CO99">
            <v>0</v>
          </cell>
          <cell r="CP99">
            <v>0</v>
          </cell>
          <cell r="CQ99">
            <v>0</v>
          </cell>
          <cell r="CR99">
            <v>0</v>
          </cell>
          <cell r="CS99">
            <v>0</v>
          </cell>
          <cell r="CT99">
            <v>0</v>
          </cell>
          <cell r="CU99">
            <v>0</v>
          </cell>
          <cell r="CV99">
            <v>0</v>
          </cell>
          <cell r="CW99">
            <v>0</v>
          </cell>
          <cell r="CX99">
            <v>0</v>
          </cell>
          <cell r="CY99">
            <v>0</v>
          </cell>
          <cell r="CZ99">
            <v>0</v>
          </cell>
          <cell r="DA99">
            <v>0</v>
          </cell>
          <cell r="DB99">
            <v>0</v>
          </cell>
          <cell r="DC99">
            <v>0</v>
          </cell>
          <cell r="DD99">
            <v>0</v>
          </cell>
          <cell r="DE99">
            <v>0</v>
          </cell>
          <cell r="DF99">
            <v>0</v>
          </cell>
          <cell r="DG99">
            <v>0</v>
          </cell>
          <cell r="DH99">
            <v>0</v>
          </cell>
          <cell r="DI99">
            <v>4</v>
          </cell>
          <cell r="DJ99">
            <v>0</v>
          </cell>
          <cell r="DK99">
            <v>0</v>
          </cell>
          <cell r="DL99">
            <v>0</v>
          </cell>
          <cell r="DM99">
            <v>0</v>
          </cell>
          <cell r="DN99" t="str">
            <v/>
          </cell>
          <cell r="DO99" t="str">
            <v/>
          </cell>
          <cell r="DP99" t="str">
            <v/>
          </cell>
          <cell r="DQ99"/>
          <cell r="DR99"/>
          <cell r="DS99"/>
          <cell r="DT99">
            <v>12</v>
          </cell>
          <cell r="DU99">
            <v>0</v>
          </cell>
          <cell r="DV99"/>
          <cell r="DW99"/>
          <cell r="DX99"/>
          <cell r="DY99"/>
        </row>
        <row r="100">
          <cell r="E100" t="str">
            <v>04196</v>
          </cell>
          <cell r="F100" t="str">
            <v>Hồ Quốc Tế</v>
          </cell>
          <cell r="G100" t="str">
            <v>Foaming</v>
          </cell>
          <cell r="H100" t="str">
            <v>FOAMING Rectangular</v>
          </cell>
          <cell r="I100" t="str">
            <v>Worker</v>
          </cell>
          <cell r="J100" t="str">
            <v>19/09/2024</v>
          </cell>
          <cell r="K100"/>
          <cell r="L100" t="str">
            <v>Đ</v>
          </cell>
          <cell r="M100" t="str">
            <v>Đ</v>
          </cell>
          <cell r="N100" t="str">
            <v>NP</v>
          </cell>
          <cell r="O100" t="str">
            <v>Ca 3</v>
          </cell>
          <cell r="P100" t="str">
            <v>CN</v>
          </cell>
          <cell r="Q100" t="str">
            <v>NP</v>
          </cell>
          <cell r="R100" t="str">
            <v>NP</v>
          </cell>
          <cell r="S100" t="str">
            <v>NP</v>
          </cell>
          <cell r="T100" t="str">
            <v>NP</v>
          </cell>
          <cell r="U100" t="str">
            <v>NP</v>
          </cell>
          <cell r="V100" t="str">
            <v>NP</v>
          </cell>
          <cell r="W100" t="str">
            <v>Ca 1</v>
          </cell>
          <cell r="X100" t="str">
            <v>CN</v>
          </cell>
          <cell r="Y100" t="str">
            <v>NP</v>
          </cell>
          <cell r="Z100" t="str">
            <v>NP</v>
          </cell>
          <cell r="AA100" t="str">
            <v>NP</v>
          </cell>
          <cell r="AB100" t="str">
            <v>NP</v>
          </cell>
          <cell r="AC100" t="str">
            <v>NP</v>
          </cell>
          <cell r="AD100" t="str">
            <v>NP</v>
          </cell>
          <cell r="AE100" t="str">
            <v>HCSX</v>
          </cell>
          <cell r="AF100" t="str">
            <v>CN</v>
          </cell>
          <cell r="AG100" t="str">
            <v>NP</v>
          </cell>
          <cell r="AH100" t="str">
            <v>NP</v>
          </cell>
          <cell r="AI100" t="str">
            <v>NP</v>
          </cell>
          <cell r="AJ100" t="str">
            <v>NP</v>
          </cell>
          <cell r="AK100" t="str">
            <v>NP</v>
          </cell>
          <cell r="AL100" t="str">
            <v>NP</v>
          </cell>
          <cell r="AM100" t="str">
            <v>HCSX</v>
          </cell>
          <cell r="AN100" t="str">
            <v>CN</v>
          </cell>
          <cell r="AO100" t="str">
            <v>NP</v>
          </cell>
          <cell r="AP100" t="str">
            <v>NP</v>
          </cell>
          <cell r="AQ100" t="str">
            <v>NP</v>
          </cell>
          <cell r="AR100" t="str">
            <v>NP</v>
          </cell>
          <cell r="AS100" t="str">
            <v>NP</v>
          </cell>
          <cell r="AT100" t="str">
            <v>TV</v>
          </cell>
          <cell r="AU100" t="str">
            <v>TV</v>
          </cell>
          <cell r="AV100" t="str">
            <v/>
          </cell>
          <cell r="AW100" t="str">
            <v>TV</v>
          </cell>
          <cell r="AX100" t="str">
            <v>TV</v>
          </cell>
          <cell r="AY100" t="str">
            <v>TV</v>
          </cell>
          <cell r="AZ100" t="str">
            <v>TV</v>
          </cell>
          <cell r="BA100" t="str">
            <v/>
          </cell>
          <cell r="BB100" t="str">
            <v/>
          </cell>
          <cell r="BC100" t="str">
            <v>TV</v>
          </cell>
          <cell r="BD100" t="str">
            <v/>
          </cell>
          <cell r="BE100">
            <v>16</v>
          </cell>
          <cell r="BF100">
            <v>0</v>
          </cell>
          <cell r="BG100">
            <v>0</v>
          </cell>
          <cell r="BH100">
            <v>0</v>
          </cell>
          <cell r="BI100">
            <v>0</v>
          </cell>
          <cell r="BJ100">
            <v>0</v>
          </cell>
          <cell r="BK100">
            <v>24</v>
          </cell>
          <cell r="BL100">
            <v>0</v>
          </cell>
          <cell r="BM100">
            <v>0</v>
          </cell>
          <cell r="BN100">
            <v>0</v>
          </cell>
          <cell r="BO100">
            <v>0</v>
          </cell>
          <cell r="BP100">
            <v>0</v>
          </cell>
          <cell r="BQ100">
            <v>0</v>
          </cell>
          <cell r="BR100">
            <v>0</v>
          </cell>
          <cell r="BS100">
            <v>0</v>
          </cell>
          <cell r="BT100">
            <v>0</v>
          </cell>
          <cell r="BU100">
            <v>0</v>
          </cell>
          <cell r="BV100">
            <v>0</v>
          </cell>
          <cell r="BW100">
            <v>0</v>
          </cell>
          <cell r="BX100">
            <v>16</v>
          </cell>
          <cell r="BY100">
            <v>0</v>
          </cell>
          <cell r="BZ100">
            <v>0</v>
          </cell>
          <cell r="CA100">
            <v>0</v>
          </cell>
          <cell r="CB100">
            <v>0</v>
          </cell>
          <cell r="CC100">
            <v>0</v>
          </cell>
          <cell r="CD100"/>
          <cell r="CE100"/>
          <cell r="CF100"/>
          <cell r="CG100">
            <v>4</v>
          </cell>
          <cell r="CH100">
            <v>4</v>
          </cell>
          <cell r="CI100">
            <v>0</v>
          </cell>
          <cell r="CJ100">
            <v>0</v>
          </cell>
          <cell r="CK100">
            <v>0</v>
          </cell>
          <cell r="CL100">
            <v>0</v>
          </cell>
          <cell r="CM100">
            <v>0</v>
          </cell>
          <cell r="CN100">
            <v>0</v>
          </cell>
          <cell r="CO100">
            <v>0</v>
          </cell>
          <cell r="CP100">
            <v>0</v>
          </cell>
          <cell r="CQ100">
            <v>0</v>
          </cell>
          <cell r="CR100">
            <v>0</v>
          </cell>
          <cell r="CS100">
            <v>0</v>
          </cell>
          <cell r="CT100">
            <v>0</v>
          </cell>
          <cell r="CU100">
            <v>0</v>
          </cell>
          <cell r="CV100">
            <v>0</v>
          </cell>
          <cell r="CW100">
            <v>0</v>
          </cell>
          <cell r="CX100">
            <v>0</v>
          </cell>
          <cell r="CY100">
            <v>0</v>
          </cell>
          <cell r="CZ100">
            <v>0</v>
          </cell>
          <cell r="DA100">
            <v>0</v>
          </cell>
          <cell r="DB100">
            <v>0</v>
          </cell>
          <cell r="DC100">
            <v>0</v>
          </cell>
          <cell r="DD100">
            <v>0</v>
          </cell>
          <cell r="DE100">
            <v>0</v>
          </cell>
          <cell r="DF100">
            <v>0</v>
          </cell>
          <cell r="DG100">
            <v>0</v>
          </cell>
          <cell r="DH100">
            <v>0</v>
          </cell>
          <cell r="DI100">
            <v>0</v>
          </cell>
          <cell r="DJ100">
            <v>0</v>
          </cell>
          <cell r="DK100">
            <v>0</v>
          </cell>
          <cell r="DL100" t="str">
            <v/>
          </cell>
          <cell r="DM100" t="str">
            <v/>
          </cell>
          <cell r="DN100" t="str">
            <v/>
          </cell>
          <cell r="DO100" t="str">
            <v/>
          </cell>
          <cell r="DP100" t="str">
            <v/>
          </cell>
          <cell r="DQ100"/>
          <cell r="DR100"/>
          <cell r="DS100"/>
          <cell r="DT100">
            <v>8</v>
          </cell>
          <cell r="DU100">
            <v>0</v>
          </cell>
          <cell r="DV100"/>
          <cell r="DW100"/>
          <cell r="DX100"/>
          <cell r="DY100"/>
        </row>
        <row r="101">
          <cell r="E101" t="str">
            <v>04237</v>
          </cell>
          <cell r="F101" t="str">
            <v>Phan Kiều Diễm</v>
          </cell>
          <cell r="G101" t="str">
            <v>Foaming</v>
          </cell>
          <cell r="H101" t="str">
            <v>FOAMING Production control</v>
          </cell>
          <cell r="I101" t="str">
            <v>Staff</v>
          </cell>
          <cell r="J101" t="str">
            <v>26/09/2024</v>
          </cell>
          <cell r="K101"/>
          <cell r="L101">
            <v>8</v>
          </cell>
          <cell r="M101">
            <v>8</v>
          </cell>
          <cell r="N101" t="str">
            <v>PO</v>
          </cell>
          <cell r="O101" t="str">
            <v>HCVP</v>
          </cell>
          <cell r="P101" t="str">
            <v>CN</v>
          </cell>
          <cell r="Q101">
            <v>8</v>
          </cell>
          <cell r="R101">
            <v>8</v>
          </cell>
          <cell r="S101">
            <v>8</v>
          </cell>
          <cell r="T101">
            <v>8</v>
          </cell>
          <cell r="U101">
            <v>8</v>
          </cell>
          <cell r="V101" t="str">
            <v>PO</v>
          </cell>
          <cell r="W101" t="str">
            <v>HCVP</v>
          </cell>
          <cell r="X101" t="str">
            <v>CN</v>
          </cell>
          <cell r="Y101">
            <v>8</v>
          </cell>
          <cell r="Z101">
            <v>8</v>
          </cell>
          <cell r="AA101">
            <v>8</v>
          </cell>
          <cell r="AB101">
            <v>8</v>
          </cell>
          <cell r="AC101">
            <v>8</v>
          </cell>
          <cell r="AD101" t="str">
            <v>PO</v>
          </cell>
          <cell r="AE101" t="str">
            <v>HCVP</v>
          </cell>
          <cell r="AF101" t="str">
            <v>CN</v>
          </cell>
          <cell r="AG101">
            <v>8</v>
          </cell>
          <cell r="AH101">
            <v>8</v>
          </cell>
          <cell r="AI101" t="str">
            <v>NP</v>
          </cell>
          <cell r="AJ101">
            <v>8</v>
          </cell>
          <cell r="AK101">
            <v>8</v>
          </cell>
          <cell r="AL101" t="str">
            <v>PO</v>
          </cell>
          <cell r="AM101" t="str">
            <v>HCVP</v>
          </cell>
          <cell r="AN101" t="str">
            <v>CN</v>
          </cell>
          <cell r="AO101">
            <v>8</v>
          </cell>
          <cell r="AP101">
            <v>8</v>
          </cell>
          <cell r="AQ101">
            <v>8</v>
          </cell>
          <cell r="AR101">
            <v>8</v>
          </cell>
          <cell r="AS101" t="str">
            <v>NP</v>
          </cell>
          <cell r="AT101" t="str">
            <v>PO</v>
          </cell>
          <cell r="AU101" t="str">
            <v>HCVP</v>
          </cell>
          <cell r="AV101" t="str">
            <v>H</v>
          </cell>
          <cell r="AW101" t="str">
            <v>X</v>
          </cell>
          <cell r="AX101" t="str">
            <v>NP</v>
          </cell>
          <cell r="AY101" t="str">
            <v>NP</v>
          </cell>
          <cell r="AZ101" t="str">
            <v>H</v>
          </cell>
          <cell r="BA101" t="str">
            <v/>
          </cell>
          <cell r="BB101" t="str">
            <v/>
          </cell>
          <cell r="BC101" t="str">
            <v>HCVP</v>
          </cell>
          <cell r="BD101" t="str">
            <v/>
          </cell>
          <cell r="BE101">
            <v>0</v>
          </cell>
          <cell r="BF101">
            <v>160</v>
          </cell>
          <cell r="BG101">
            <v>0</v>
          </cell>
          <cell r="BH101">
            <v>0</v>
          </cell>
          <cell r="BI101">
            <v>0</v>
          </cell>
          <cell r="BJ101">
            <v>0</v>
          </cell>
          <cell r="BK101">
            <v>4</v>
          </cell>
          <cell r="BL101">
            <v>0</v>
          </cell>
          <cell r="BM101">
            <v>40</v>
          </cell>
          <cell r="BN101">
            <v>0</v>
          </cell>
          <cell r="BO101">
            <v>0</v>
          </cell>
          <cell r="BP101">
            <v>0</v>
          </cell>
          <cell r="BQ101">
            <v>0</v>
          </cell>
          <cell r="BR101">
            <v>0</v>
          </cell>
          <cell r="BS101">
            <v>16</v>
          </cell>
          <cell r="BT101">
            <v>0</v>
          </cell>
          <cell r="BU101">
            <v>0</v>
          </cell>
          <cell r="BV101">
            <v>0</v>
          </cell>
          <cell r="BW101">
            <v>0</v>
          </cell>
          <cell r="BX101">
            <v>216</v>
          </cell>
          <cell r="BY101">
            <v>0</v>
          </cell>
          <cell r="BZ101">
            <v>0</v>
          </cell>
          <cell r="CA101">
            <v>0</v>
          </cell>
          <cell r="CB101">
            <v>0</v>
          </cell>
          <cell r="CC101">
            <v>0</v>
          </cell>
          <cell r="CD101"/>
          <cell r="CE101"/>
          <cell r="CF101"/>
          <cell r="CG101">
            <v>0</v>
          </cell>
          <cell r="CH101">
            <v>0</v>
          </cell>
          <cell r="CI101">
            <v>0</v>
          </cell>
          <cell r="CJ101">
            <v>0</v>
          </cell>
          <cell r="CK101">
            <v>0</v>
          </cell>
          <cell r="CL101">
            <v>0</v>
          </cell>
          <cell r="CM101">
            <v>0</v>
          </cell>
          <cell r="CN101">
            <v>0</v>
          </cell>
          <cell r="CO101">
            <v>0</v>
          </cell>
          <cell r="CP101">
            <v>0</v>
          </cell>
          <cell r="CQ101">
            <v>0</v>
          </cell>
          <cell r="CR101">
            <v>0</v>
          </cell>
          <cell r="CS101">
            <v>0</v>
          </cell>
          <cell r="CT101">
            <v>0</v>
          </cell>
          <cell r="CU101">
            <v>0</v>
          </cell>
          <cell r="CV101">
            <v>1.25</v>
          </cell>
          <cell r="CW101">
            <v>0</v>
          </cell>
          <cell r="CX101">
            <v>0</v>
          </cell>
          <cell r="CY101">
            <v>0</v>
          </cell>
          <cell r="CZ101">
            <v>0</v>
          </cell>
          <cell r="DA101">
            <v>0</v>
          </cell>
          <cell r="DB101">
            <v>0</v>
          </cell>
          <cell r="DC101">
            <v>1.25</v>
          </cell>
          <cell r="DD101">
            <v>0</v>
          </cell>
          <cell r="DE101">
            <v>0</v>
          </cell>
          <cell r="DF101">
            <v>0.5</v>
          </cell>
          <cell r="DG101">
            <v>0</v>
          </cell>
          <cell r="DH101">
            <v>0</v>
          </cell>
          <cell r="DI101">
            <v>0</v>
          </cell>
          <cell r="DJ101">
            <v>0</v>
          </cell>
          <cell r="DK101">
            <v>0</v>
          </cell>
          <cell r="DL101">
            <v>0</v>
          </cell>
          <cell r="DM101">
            <v>0</v>
          </cell>
          <cell r="DN101" t="str">
            <v/>
          </cell>
          <cell r="DO101" t="str">
            <v/>
          </cell>
          <cell r="DP101" t="str">
            <v/>
          </cell>
          <cell r="DQ101"/>
          <cell r="DR101"/>
          <cell r="DS101"/>
          <cell r="DT101">
            <v>3</v>
          </cell>
          <cell r="DU101">
            <v>0</v>
          </cell>
          <cell r="DV101"/>
          <cell r="DW101"/>
          <cell r="DX101"/>
          <cell r="DY101"/>
        </row>
        <row r="102">
          <cell r="E102" t="str">
            <v>04240</v>
          </cell>
          <cell r="F102" t="str">
            <v>Trầm Công Lý</v>
          </cell>
          <cell r="G102" t="str">
            <v>Foaming</v>
          </cell>
          <cell r="H102" t="str">
            <v>FOAMING Production control</v>
          </cell>
          <cell r="I102" t="str">
            <v>Junior Technician</v>
          </cell>
          <cell r="J102" t="str">
            <v>30/09/2024</v>
          </cell>
          <cell r="K102"/>
          <cell r="L102">
            <v>8</v>
          </cell>
          <cell r="M102">
            <v>8</v>
          </cell>
          <cell r="N102">
            <v>8</v>
          </cell>
          <cell r="O102" t="str">
            <v>HCSX</v>
          </cell>
          <cell r="P102" t="str">
            <v>CN</v>
          </cell>
          <cell r="Q102">
            <v>8</v>
          </cell>
          <cell r="R102">
            <v>8</v>
          </cell>
          <cell r="S102">
            <v>8</v>
          </cell>
          <cell r="T102">
            <v>8</v>
          </cell>
          <cell r="U102">
            <v>8</v>
          </cell>
          <cell r="V102">
            <v>8</v>
          </cell>
          <cell r="W102" t="str">
            <v>HCSX</v>
          </cell>
          <cell r="X102" t="str">
            <v>CN</v>
          </cell>
          <cell r="Y102">
            <v>8</v>
          </cell>
          <cell r="Z102">
            <v>8</v>
          </cell>
          <cell r="AA102">
            <v>8</v>
          </cell>
          <cell r="AB102">
            <v>8</v>
          </cell>
          <cell r="AC102">
            <v>8</v>
          </cell>
          <cell r="AD102">
            <v>8</v>
          </cell>
          <cell r="AE102" t="str">
            <v>HCSX</v>
          </cell>
          <cell r="AF102" t="str">
            <v>CN</v>
          </cell>
          <cell r="AG102" t="str">
            <v>NP</v>
          </cell>
          <cell r="AH102" t="str">
            <v>NP</v>
          </cell>
          <cell r="AI102">
            <v>8</v>
          </cell>
          <cell r="AJ102">
            <v>8</v>
          </cell>
          <cell r="AK102">
            <v>8</v>
          </cell>
          <cell r="AL102">
            <v>8</v>
          </cell>
          <cell r="AM102" t="str">
            <v>HCSX</v>
          </cell>
          <cell r="AN102" t="str">
            <v>CN</v>
          </cell>
          <cell r="AO102">
            <v>8</v>
          </cell>
          <cell r="AP102">
            <v>8</v>
          </cell>
          <cell r="AQ102">
            <v>8</v>
          </cell>
          <cell r="AR102">
            <v>8</v>
          </cell>
          <cell r="AS102">
            <v>8</v>
          </cell>
          <cell r="AT102">
            <v>8</v>
          </cell>
          <cell r="AU102" t="str">
            <v>HCSX</v>
          </cell>
          <cell r="AV102" t="str">
            <v>H</v>
          </cell>
          <cell r="AW102" t="str">
            <v>X</v>
          </cell>
          <cell r="AX102" t="str">
            <v>NP</v>
          </cell>
          <cell r="AY102" t="str">
            <v>NP</v>
          </cell>
          <cell r="AZ102" t="str">
            <v>H</v>
          </cell>
          <cell r="BA102" t="str">
            <v/>
          </cell>
          <cell r="BB102" t="str">
            <v/>
          </cell>
          <cell r="BC102" t="str">
            <v>HCSX</v>
          </cell>
          <cell r="BD102" t="str">
            <v/>
          </cell>
          <cell r="BE102">
            <v>0</v>
          </cell>
          <cell r="BF102">
            <v>200</v>
          </cell>
          <cell r="BG102">
            <v>0</v>
          </cell>
          <cell r="BH102">
            <v>0</v>
          </cell>
          <cell r="BI102">
            <v>0</v>
          </cell>
          <cell r="BJ102">
            <v>0</v>
          </cell>
          <cell r="BK102">
            <v>4</v>
          </cell>
          <cell r="BL102">
            <v>0</v>
          </cell>
          <cell r="BM102">
            <v>0</v>
          </cell>
          <cell r="BN102">
            <v>0</v>
          </cell>
          <cell r="BO102">
            <v>0</v>
          </cell>
          <cell r="BP102">
            <v>0</v>
          </cell>
          <cell r="BQ102">
            <v>0</v>
          </cell>
          <cell r="BR102">
            <v>0</v>
          </cell>
          <cell r="BS102">
            <v>16</v>
          </cell>
          <cell r="BT102">
            <v>0</v>
          </cell>
          <cell r="BU102">
            <v>0</v>
          </cell>
          <cell r="BV102">
            <v>0</v>
          </cell>
          <cell r="BW102">
            <v>0</v>
          </cell>
          <cell r="BX102">
            <v>216</v>
          </cell>
          <cell r="BY102">
            <v>0</v>
          </cell>
          <cell r="BZ102">
            <v>0</v>
          </cell>
          <cell r="CA102">
            <v>0</v>
          </cell>
          <cell r="CB102">
            <v>0</v>
          </cell>
          <cell r="CC102">
            <v>0</v>
          </cell>
          <cell r="CD102"/>
          <cell r="CE102"/>
          <cell r="CF102"/>
          <cell r="CG102">
            <v>0</v>
          </cell>
          <cell r="CH102">
            <v>0</v>
          </cell>
          <cell r="CI102">
            <v>0</v>
          </cell>
          <cell r="CJ102">
            <v>0</v>
          </cell>
          <cell r="CK102">
            <v>0</v>
          </cell>
          <cell r="CL102">
            <v>0</v>
          </cell>
          <cell r="CM102">
            <v>0</v>
          </cell>
          <cell r="CN102">
            <v>0</v>
          </cell>
          <cell r="CO102">
            <v>0</v>
          </cell>
          <cell r="CP102">
            <v>0</v>
          </cell>
          <cell r="CQ102">
            <v>0</v>
          </cell>
          <cell r="CR102">
            <v>0</v>
          </cell>
          <cell r="CS102">
            <v>0</v>
          </cell>
          <cell r="CT102">
            <v>0</v>
          </cell>
          <cell r="CU102">
            <v>0</v>
          </cell>
          <cell r="CV102">
            <v>0</v>
          </cell>
          <cell r="CW102">
            <v>0</v>
          </cell>
          <cell r="CX102">
            <v>0</v>
          </cell>
          <cell r="CY102">
            <v>0</v>
          </cell>
          <cell r="CZ102">
            <v>0</v>
          </cell>
          <cell r="DA102">
            <v>0</v>
          </cell>
          <cell r="DB102">
            <v>0</v>
          </cell>
          <cell r="DC102">
            <v>0</v>
          </cell>
          <cell r="DD102">
            <v>0</v>
          </cell>
          <cell r="DE102">
            <v>0</v>
          </cell>
          <cell r="DF102">
            <v>0</v>
          </cell>
          <cell r="DG102">
            <v>0</v>
          </cell>
          <cell r="DH102">
            <v>0</v>
          </cell>
          <cell r="DI102">
            <v>0</v>
          </cell>
          <cell r="DJ102">
            <v>0</v>
          </cell>
          <cell r="DK102">
            <v>0</v>
          </cell>
          <cell r="DL102">
            <v>0</v>
          </cell>
          <cell r="DM102">
            <v>0</v>
          </cell>
          <cell r="DN102" t="str">
            <v/>
          </cell>
          <cell r="DO102" t="str">
            <v/>
          </cell>
          <cell r="DP102" t="str">
            <v/>
          </cell>
          <cell r="DQ102"/>
          <cell r="DR102"/>
          <cell r="DS102"/>
          <cell r="DT102">
            <v>0</v>
          </cell>
          <cell r="DU102">
            <v>0</v>
          </cell>
          <cell r="DV102"/>
          <cell r="DW102"/>
          <cell r="DX102"/>
          <cell r="DY102"/>
        </row>
        <row r="103">
          <cell r="E103" t="str">
            <v>04283</v>
          </cell>
          <cell r="F103" t="str">
            <v>Lê Trung Lil</v>
          </cell>
          <cell r="G103" t="str">
            <v>Foaming</v>
          </cell>
          <cell r="H103" t="str">
            <v>FOAMING Splitting</v>
          </cell>
          <cell r="I103" t="str">
            <v>Worker</v>
          </cell>
          <cell r="J103" t="str">
            <v>15/10/2024</v>
          </cell>
          <cell r="K103"/>
          <cell r="L103">
            <v>8</v>
          </cell>
          <cell r="M103">
            <v>8</v>
          </cell>
          <cell r="N103">
            <v>8</v>
          </cell>
          <cell r="O103" t="str">
            <v>Ca 1</v>
          </cell>
          <cell r="P103" t="str">
            <v>CN</v>
          </cell>
          <cell r="Q103" t="str">
            <v>Đ</v>
          </cell>
          <cell r="R103" t="str">
            <v>Đ</v>
          </cell>
          <cell r="S103" t="str">
            <v>Đ</v>
          </cell>
          <cell r="T103" t="str">
            <v>Đ</v>
          </cell>
          <cell r="U103" t="str">
            <v>Đ</v>
          </cell>
          <cell r="V103" t="str">
            <v>Đ</v>
          </cell>
          <cell r="W103" t="str">
            <v>Ca 3</v>
          </cell>
          <cell r="X103" t="str">
            <v>CN</v>
          </cell>
          <cell r="Y103">
            <v>8</v>
          </cell>
          <cell r="Z103">
            <v>8</v>
          </cell>
          <cell r="AA103">
            <v>8</v>
          </cell>
          <cell r="AB103">
            <v>8</v>
          </cell>
          <cell r="AC103" t="str">
            <v>CN</v>
          </cell>
          <cell r="AD103" t="str">
            <v>Đ</v>
          </cell>
          <cell r="AE103" t="str">
            <v>Ca 2</v>
          </cell>
          <cell r="AF103" t="str">
            <v>Đ</v>
          </cell>
          <cell r="AG103" t="str">
            <v>Đ</v>
          </cell>
          <cell r="AH103" t="str">
            <v>Đ</v>
          </cell>
          <cell r="AI103" t="str">
            <v>Đ</v>
          </cell>
          <cell r="AJ103" t="str">
            <v>Đ</v>
          </cell>
          <cell r="AK103" t="str">
            <v>CN</v>
          </cell>
          <cell r="AL103">
            <v>8</v>
          </cell>
          <cell r="AM103" t="str">
            <v>Ca 3</v>
          </cell>
          <cell r="AN103">
            <v>8</v>
          </cell>
          <cell r="AO103">
            <v>8</v>
          </cell>
          <cell r="AP103">
            <v>8</v>
          </cell>
          <cell r="AQ103">
            <v>8</v>
          </cell>
          <cell r="AR103">
            <v>8</v>
          </cell>
          <cell r="AS103" t="str">
            <v>NP</v>
          </cell>
          <cell r="AT103">
            <v>8</v>
          </cell>
          <cell r="AU103" t="str">
            <v>Ca 2</v>
          </cell>
          <cell r="AV103" t="str">
            <v>H</v>
          </cell>
          <cell r="AW103" t="str">
            <v>X</v>
          </cell>
          <cell r="AX103" t="str">
            <v>NP</v>
          </cell>
          <cell r="AY103" t="str">
            <v>NP</v>
          </cell>
          <cell r="AZ103" t="str">
            <v>H</v>
          </cell>
          <cell r="BA103" t="str">
            <v/>
          </cell>
          <cell r="BB103" t="str">
            <v/>
          </cell>
          <cell r="BC103" t="str">
            <v>Ca 2</v>
          </cell>
          <cell r="BD103" t="str">
            <v/>
          </cell>
          <cell r="BE103">
            <v>96</v>
          </cell>
          <cell r="BF103">
            <v>112</v>
          </cell>
          <cell r="BG103">
            <v>0</v>
          </cell>
          <cell r="BH103">
            <v>0</v>
          </cell>
          <cell r="BI103">
            <v>0</v>
          </cell>
          <cell r="BJ103">
            <v>0</v>
          </cell>
          <cell r="BK103">
            <v>3</v>
          </cell>
          <cell r="BL103">
            <v>0</v>
          </cell>
          <cell r="BM103">
            <v>0</v>
          </cell>
          <cell r="BN103">
            <v>0</v>
          </cell>
          <cell r="BO103">
            <v>0</v>
          </cell>
          <cell r="BP103">
            <v>0</v>
          </cell>
          <cell r="BQ103">
            <v>0</v>
          </cell>
          <cell r="BR103">
            <v>0</v>
          </cell>
          <cell r="BS103">
            <v>16</v>
          </cell>
          <cell r="BT103">
            <v>0</v>
          </cell>
          <cell r="BU103">
            <v>0</v>
          </cell>
          <cell r="BV103">
            <v>0</v>
          </cell>
          <cell r="BW103">
            <v>0</v>
          </cell>
          <cell r="BX103">
            <v>224</v>
          </cell>
          <cell r="BY103">
            <v>0</v>
          </cell>
          <cell r="BZ103">
            <v>0</v>
          </cell>
          <cell r="CA103">
            <v>0</v>
          </cell>
          <cell r="CB103">
            <v>0</v>
          </cell>
          <cell r="CC103">
            <v>0</v>
          </cell>
          <cell r="CD103"/>
          <cell r="CE103"/>
          <cell r="CF103"/>
          <cell r="CG103">
            <v>4</v>
          </cell>
          <cell r="CH103">
            <v>4</v>
          </cell>
          <cell r="CI103">
            <v>4</v>
          </cell>
          <cell r="CJ103">
            <v>0</v>
          </cell>
          <cell r="CK103">
            <v>0</v>
          </cell>
          <cell r="CL103">
            <v>2</v>
          </cell>
          <cell r="CM103">
            <v>2</v>
          </cell>
          <cell r="CN103">
            <v>2</v>
          </cell>
          <cell r="CO103">
            <v>2</v>
          </cell>
          <cell r="CP103">
            <v>2</v>
          </cell>
          <cell r="CQ103">
            <v>0</v>
          </cell>
          <cell r="CR103">
            <v>0</v>
          </cell>
          <cell r="CS103">
            <v>0</v>
          </cell>
          <cell r="CT103">
            <v>0</v>
          </cell>
          <cell r="CU103">
            <v>2</v>
          </cell>
          <cell r="CV103">
            <v>0</v>
          </cell>
          <cell r="CW103">
            <v>4</v>
          </cell>
          <cell r="CX103">
            <v>4</v>
          </cell>
          <cell r="CY103">
            <v>0</v>
          </cell>
          <cell r="CZ103">
            <v>0</v>
          </cell>
          <cell r="DA103">
            <v>0</v>
          </cell>
          <cell r="DB103">
            <v>0</v>
          </cell>
          <cell r="DC103">
            <v>0</v>
          </cell>
          <cell r="DD103">
            <v>4</v>
          </cell>
          <cell r="DE103">
            <v>0</v>
          </cell>
          <cell r="DF103">
            <v>0</v>
          </cell>
          <cell r="DG103">
            <v>0</v>
          </cell>
          <cell r="DH103">
            <v>0</v>
          </cell>
          <cell r="DI103">
            <v>0</v>
          </cell>
          <cell r="DJ103">
            <v>0</v>
          </cell>
          <cell r="DK103">
            <v>0</v>
          </cell>
          <cell r="DL103">
            <v>0</v>
          </cell>
          <cell r="DM103">
            <v>0</v>
          </cell>
          <cell r="DN103" t="str">
            <v/>
          </cell>
          <cell r="DO103" t="str">
            <v/>
          </cell>
          <cell r="DP103" t="str">
            <v/>
          </cell>
          <cell r="DQ103">
            <v>0</v>
          </cell>
          <cell r="DR103"/>
          <cell r="DS103"/>
          <cell r="DT103">
            <v>32</v>
          </cell>
          <cell r="DU103">
            <v>4</v>
          </cell>
          <cell r="DV103"/>
          <cell r="DW103"/>
          <cell r="DX103"/>
          <cell r="DY103"/>
        </row>
        <row r="104">
          <cell r="E104" t="str">
            <v>04313</v>
          </cell>
          <cell r="F104" t="str">
            <v>Nguyễn Hồng Thuận</v>
          </cell>
          <cell r="G104" t="str">
            <v>Foaming</v>
          </cell>
          <cell r="H104" t="str">
            <v>FOAMING Rectangular</v>
          </cell>
          <cell r="I104" t="str">
            <v>Worker</v>
          </cell>
          <cell r="J104" t="str">
            <v>21/10/2024</v>
          </cell>
          <cell r="K104"/>
          <cell r="L104">
            <v>8</v>
          </cell>
          <cell r="M104">
            <v>8</v>
          </cell>
          <cell r="N104">
            <v>8</v>
          </cell>
          <cell r="O104" t="str">
            <v>Ca 1</v>
          </cell>
          <cell r="P104" t="str">
            <v>CN</v>
          </cell>
          <cell r="Q104" t="str">
            <v>Đ</v>
          </cell>
          <cell r="R104" t="str">
            <v>Đ</v>
          </cell>
          <cell r="S104" t="str">
            <v>Đ</v>
          </cell>
          <cell r="T104" t="str">
            <v>Đ</v>
          </cell>
          <cell r="U104" t="str">
            <v>Đ</v>
          </cell>
          <cell r="V104" t="str">
            <v>Đ</v>
          </cell>
          <cell r="W104" t="str">
            <v>Ca 3</v>
          </cell>
          <cell r="X104" t="str">
            <v>CN</v>
          </cell>
          <cell r="Y104">
            <v>8</v>
          </cell>
          <cell r="Z104" t="str">
            <v>NP</v>
          </cell>
          <cell r="AA104">
            <v>8</v>
          </cell>
          <cell r="AB104">
            <v>8</v>
          </cell>
          <cell r="AC104">
            <v>8</v>
          </cell>
          <cell r="AD104">
            <v>8</v>
          </cell>
          <cell r="AE104" t="str">
            <v>Ca 2</v>
          </cell>
          <cell r="AF104" t="str">
            <v>CN</v>
          </cell>
          <cell r="AG104">
            <v>8</v>
          </cell>
          <cell r="AH104">
            <v>8</v>
          </cell>
          <cell r="AI104">
            <v>8</v>
          </cell>
          <cell r="AJ104">
            <v>8</v>
          </cell>
          <cell r="AK104">
            <v>8</v>
          </cell>
          <cell r="AL104">
            <v>8</v>
          </cell>
          <cell r="AM104" t="str">
            <v>Ca 1</v>
          </cell>
          <cell r="AN104" t="str">
            <v>CN</v>
          </cell>
          <cell r="AO104" t="str">
            <v>NP</v>
          </cell>
          <cell r="AP104" t="str">
            <v>Đ</v>
          </cell>
          <cell r="AQ104" t="str">
            <v>Đ</v>
          </cell>
          <cell r="AR104" t="str">
            <v>Đ</v>
          </cell>
          <cell r="AS104" t="str">
            <v>Đ</v>
          </cell>
          <cell r="AT104" t="str">
            <v>AL8</v>
          </cell>
          <cell r="AU104" t="str">
            <v>Ca 3</v>
          </cell>
          <cell r="AV104" t="str">
            <v>H</v>
          </cell>
          <cell r="AW104" t="str">
            <v>X</v>
          </cell>
          <cell r="AX104" t="str">
            <v>Đ</v>
          </cell>
          <cell r="AY104" t="str">
            <v>NP</v>
          </cell>
          <cell r="AZ104" t="str">
            <v>H</v>
          </cell>
          <cell r="BA104" t="str">
            <v/>
          </cell>
          <cell r="BB104" t="str">
            <v/>
          </cell>
          <cell r="BC104" t="str">
            <v>Ca 3</v>
          </cell>
          <cell r="BD104" t="str">
            <v/>
          </cell>
          <cell r="BE104">
            <v>88</v>
          </cell>
          <cell r="BF104">
            <v>112</v>
          </cell>
          <cell r="BG104">
            <v>0</v>
          </cell>
          <cell r="BH104">
            <v>0</v>
          </cell>
          <cell r="BI104">
            <v>0</v>
          </cell>
          <cell r="BJ104">
            <v>0</v>
          </cell>
          <cell r="BK104">
            <v>3</v>
          </cell>
          <cell r="BL104">
            <v>0</v>
          </cell>
          <cell r="BM104">
            <v>0</v>
          </cell>
          <cell r="BN104">
            <v>0</v>
          </cell>
          <cell r="BO104">
            <v>0</v>
          </cell>
          <cell r="BP104">
            <v>0</v>
          </cell>
          <cell r="BQ104">
            <v>0</v>
          </cell>
          <cell r="BR104">
            <v>8</v>
          </cell>
          <cell r="BS104">
            <v>16</v>
          </cell>
          <cell r="BT104">
            <v>0</v>
          </cell>
          <cell r="BU104">
            <v>0</v>
          </cell>
          <cell r="BV104">
            <v>0</v>
          </cell>
          <cell r="BW104">
            <v>0</v>
          </cell>
          <cell r="BX104">
            <v>224</v>
          </cell>
          <cell r="BY104">
            <v>1</v>
          </cell>
          <cell r="BZ104">
            <v>0</v>
          </cell>
          <cell r="CA104">
            <v>0</v>
          </cell>
          <cell r="CB104">
            <v>1</v>
          </cell>
          <cell r="CC104">
            <v>1</v>
          </cell>
          <cell r="CD104"/>
          <cell r="CE104"/>
          <cell r="CF104"/>
          <cell r="CG104">
            <v>0</v>
          </cell>
          <cell r="CH104">
            <v>4</v>
          </cell>
          <cell r="CI104">
            <v>4</v>
          </cell>
          <cell r="CJ104">
            <v>0</v>
          </cell>
          <cell r="CK104">
            <v>0</v>
          </cell>
          <cell r="CL104">
            <v>0</v>
          </cell>
          <cell r="CM104">
            <v>0</v>
          </cell>
          <cell r="CN104">
            <v>0</v>
          </cell>
          <cell r="CO104">
            <v>0</v>
          </cell>
          <cell r="CP104">
            <v>0</v>
          </cell>
          <cell r="CQ104">
            <v>0</v>
          </cell>
          <cell r="CR104">
            <v>0</v>
          </cell>
          <cell r="CS104">
            <v>0</v>
          </cell>
          <cell r="CT104">
            <v>0</v>
          </cell>
          <cell r="CU104">
            <v>0</v>
          </cell>
          <cell r="CV104">
            <v>0</v>
          </cell>
          <cell r="CW104">
            <v>0</v>
          </cell>
          <cell r="CX104">
            <v>0</v>
          </cell>
          <cell r="CY104">
            <v>0</v>
          </cell>
          <cell r="CZ104">
            <v>0</v>
          </cell>
          <cell r="DA104">
            <v>0</v>
          </cell>
          <cell r="DB104">
            <v>4</v>
          </cell>
          <cell r="DC104">
            <v>4</v>
          </cell>
          <cell r="DD104">
            <v>0</v>
          </cell>
          <cell r="DE104">
            <v>0</v>
          </cell>
          <cell r="DF104">
            <v>0</v>
          </cell>
          <cell r="DG104">
            <v>0</v>
          </cell>
          <cell r="DH104">
            <v>0</v>
          </cell>
          <cell r="DI104">
            <v>0</v>
          </cell>
          <cell r="DJ104">
            <v>4</v>
          </cell>
          <cell r="DK104">
            <v>0</v>
          </cell>
          <cell r="DL104">
            <v>0</v>
          </cell>
          <cell r="DM104">
            <v>0</v>
          </cell>
          <cell r="DN104" t="str">
            <v/>
          </cell>
          <cell r="DO104" t="str">
            <v/>
          </cell>
          <cell r="DP104" t="str">
            <v/>
          </cell>
          <cell r="DQ104"/>
          <cell r="DR104"/>
          <cell r="DS104"/>
          <cell r="DT104">
            <v>20</v>
          </cell>
          <cell r="DU104">
            <v>0</v>
          </cell>
          <cell r="DV104"/>
          <cell r="DW104"/>
          <cell r="DX104"/>
          <cell r="DY104"/>
        </row>
        <row r="105">
          <cell r="E105" t="str">
            <v>04314</v>
          </cell>
          <cell r="F105" t="str">
            <v>Nguyễn Trọng Sơn</v>
          </cell>
          <cell r="G105" t="str">
            <v>Foaming</v>
          </cell>
          <cell r="H105" t="str">
            <v>FOAMING Rectangular</v>
          </cell>
          <cell r="I105" t="str">
            <v>Worker</v>
          </cell>
          <cell r="J105" t="str">
            <v>21/10/2024</v>
          </cell>
          <cell r="K105"/>
          <cell r="L105">
            <v>8</v>
          </cell>
          <cell r="M105">
            <v>8</v>
          </cell>
          <cell r="N105">
            <v>8</v>
          </cell>
          <cell r="O105" t="str">
            <v>Ca 1</v>
          </cell>
          <cell r="P105" t="str">
            <v>CN</v>
          </cell>
          <cell r="Q105" t="str">
            <v>Đ</v>
          </cell>
          <cell r="R105" t="str">
            <v>Đ</v>
          </cell>
          <cell r="S105" t="str">
            <v>Đ</v>
          </cell>
          <cell r="T105" t="str">
            <v>Đ</v>
          </cell>
          <cell r="U105" t="str">
            <v>Đ</v>
          </cell>
          <cell r="V105" t="str">
            <v>Đ</v>
          </cell>
          <cell r="W105" t="str">
            <v>Ca 3</v>
          </cell>
          <cell r="X105" t="str">
            <v>CN</v>
          </cell>
          <cell r="Y105">
            <v>8</v>
          </cell>
          <cell r="Z105">
            <v>8</v>
          </cell>
          <cell r="AA105">
            <v>8</v>
          </cell>
          <cell r="AB105">
            <v>8</v>
          </cell>
          <cell r="AC105">
            <v>8</v>
          </cell>
          <cell r="AD105">
            <v>8</v>
          </cell>
          <cell r="AE105" t="str">
            <v>Ca 2</v>
          </cell>
          <cell r="AF105" t="str">
            <v>CN</v>
          </cell>
          <cell r="AG105" t="str">
            <v>Đ</v>
          </cell>
          <cell r="AH105" t="str">
            <v>Đ</v>
          </cell>
          <cell r="AI105" t="str">
            <v>Đ</v>
          </cell>
          <cell r="AJ105" t="str">
            <v>Đ</v>
          </cell>
          <cell r="AK105">
            <v>8</v>
          </cell>
          <cell r="AL105" t="str">
            <v>Đ</v>
          </cell>
          <cell r="AM105" t="str">
            <v>Ca 3</v>
          </cell>
          <cell r="AN105" t="str">
            <v>CN</v>
          </cell>
          <cell r="AO105">
            <v>8</v>
          </cell>
          <cell r="AP105">
            <v>8</v>
          </cell>
          <cell r="AQ105">
            <v>8</v>
          </cell>
          <cell r="AR105">
            <v>8</v>
          </cell>
          <cell r="AS105">
            <v>8</v>
          </cell>
          <cell r="AT105">
            <v>8</v>
          </cell>
          <cell r="AU105" t="str">
            <v>Ca 1</v>
          </cell>
          <cell r="AV105" t="str">
            <v>H</v>
          </cell>
          <cell r="AW105" t="str">
            <v>X</v>
          </cell>
          <cell r="AX105">
            <v>8</v>
          </cell>
          <cell r="AY105">
            <v>8</v>
          </cell>
          <cell r="AZ105" t="str">
            <v>H</v>
          </cell>
          <cell r="BA105" t="str">
            <v/>
          </cell>
          <cell r="BB105" t="str">
            <v/>
          </cell>
          <cell r="BC105" t="str">
            <v>Ca 1</v>
          </cell>
          <cell r="BD105" t="str">
            <v/>
          </cell>
          <cell r="BE105">
            <v>88</v>
          </cell>
          <cell r="BF105">
            <v>144</v>
          </cell>
          <cell r="BG105">
            <v>0</v>
          </cell>
          <cell r="BH105">
            <v>0</v>
          </cell>
          <cell r="BI105">
            <v>0</v>
          </cell>
          <cell r="BJ105">
            <v>0</v>
          </cell>
          <cell r="BK105">
            <v>0</v>
          </cell>
          <cell r="BL105">
            <v>0</v>
          </cell>
          <cell r="BM105">
            <v>0</v>
          </cell>
          <cell r="BN105">
            <v>0</v>
          </cell>
          <cell r="BO105">
            <v>0</v>
          </cell>
          <cell r="BP105">
            <v>0</v>
          </cell>
          <cell r="BQ105">
            <v>0</v>
          </cell>
          <cell r="BR105">
            <v>0</v>
          </cell>
          <cell r="BS105">
            <v>16</v>
          </cell>
          <cell r="BT105">
            <v>0</v>
          </cell>
          <cell r="BU105">
            <v>0</v>
          </cell>
          <cell r="BV105">
            <v>0</v>
          </cell>
          <cell r="BW105">
            <v>0</v>
          </cell>
          <cell r="BX105">
            <v>248</v>
          </cell>
          <cell r="BY105">
            <v>0</v>
          </cell>
          <cell r="BZ105">
            <v>0</v>
          </cell>
          <cell r="CA105">
            <v>0</v>
          </cell>
          <cell r="CB105">
            <v>0</v>
          </cell>
          <cell r="CC105">
            <v>0</v>
          </cell>
          <cell r="CD105"/>
          <cell r="CE105"/>
          <cell r="CF105"/>
          <cell r="CG105">
            <v>4</v>
          </cell>
          <cell r="CH105">
            <v>4</v>
          </cell>
          <cell r="CI105">
            <v>0</v>
          </cell>
          <cell r="CJ105">
            <v>0</v>
          </cell>
          <cell r="CK105">
            <v>0</v>
          </cell>
          <cell r="CL105">
            <v>0</v>
          </cell>
          <cell r="CM105">
            <v>0</v>
          </cell>
          <cell r="CN105">
            <v>4</v>
          </cell>
          <cell r="CO105">
            <v>4</v>
          </cell>
          <cell r="CP105">
            <v>4</v>
          </cell>
          <cell r="CQ105">
            <v>0</v>
          </cell>
          <cell r="CR105">
            <v>0</v>
          </cell>
          <cell r="CS105">
            <v>0</v>
          </cell>
          <cell r="CT105">
            <v>0</v>
          </cell>
          <cell r="CU105">
            <v>0</v>
          </cell>
          <cell r="CV105">
            <v>0</v>
          </cell>
          <cell r="CW105">
            <v>0</v>
          </cell>
          <cell r="CX105">
            <v>0</v>
          </cell>
          <cell r="CY105">
            <v>0</v>
          </cell>
          <cell r="CZ105">
            <v>0</v>
          </cell>
          <cell r="DA105">
            <v>0</v>
          </cell>
          <cell r="DB105">
            <v>4</v>
          </cell>
          <cell r="DC105">
            <v>4</v>
          </cell>
          <cell r="DD105">
            <v>4</v>
          </cell>
          <cell r="DE105">
            <v>0</v>
          </cell>
          <cell r="DF105">
            <v>0</v>
          </cell>
          <cell r="DG105">
            <v>0</v>
          </cell>
          <cell r="DH105">
            <v>0</v>
          </cell>
          <cell r="DI105">
            <v>0</v>
          </cell>
          <cell r="DJ105">
            <v>0</v>
          </cell>
          <cell r="DK105">
            <v>0</v>
          </cell>
          <cell r="DL105">
            <v>0</v>
          </cell>
          <cell r="DM105">
            <v>0</v>
          </cell>
          <cell r="DN105" t="str">
            <v/>
          </cell>
          <cell r="DO105" t="str">
            <v/>
          </cell>
          <cell r="DP105" t="str">
            <v/>
          </cell>
          <cell r="DQ105"/>
          <cell r="DR105"/>
          <cell r="DS105"/>
          <cell r="DT105">
            <v>32</v>
          </cell>
          <cell r="DU105">
            <v>0</v>
          </cell>
          <cell r="DV105"/>
          <cell r="DW105"/>
          <cell r="DX105"/>
          <cell r="DY105"/>
        </row>
        <row r="106">
          <cell r="E106" t="str">
            <v>04392</v>
          </cell>
          <cell r="F106" t="str">
            <v>Lê Phi Công</v>
          </cell>
          <cell r="G106" t="str">
            <v>Foaming</v>
          </cell>
          <cell r="H106" t="str">
            <v>FOAMING Splitting</v>
          </cell>
          <cell r="I106" t="str">
            <v>Worker</v>
          </cell>
          <cell r="J106" t="str">
            <v>02/01/2025</v>
          </cell>
          <cell r="K106"/>
          <cell r="L106" t="str">
            <v>Đ</v>
          </cell>
          <cell r="M106" t="str">
            <v>Đ</v>
          </cell>
          <cell r="N106" t="str">
            <v>UP8</v>
          </cell>
          <cell r="O106" t="str">
            <v>Ca 3</v>
          </cell>
          <cell r="P106" t="str">
            <v>CN</v>
          </cell>
          <cell r="Q106">
            <v>8</v>
          </cell>
          <cell r="R106">
            <v>8</v>
          </cell>
          <cell r="S106">
            <v>8</v>
          </cell>
          <cell r="T106">
            <v>8</v>
          </cell>
          <cell r="U106">
            <v>8</v>
          </cell>
          <cell r="V106">
            <v>8</v>
          </cell>
          <cell r="W106" t="str">
            <v>Ca 1</v>
          </cell>
          <cell r="X106" t="str">
            <v>CN</v>
          </cell>
          <cell r="Y106" t="str">
            <v>Đ</v>
          </cell>
          <cell r="Z106" t="str">
            <v>Đ</v>
          </cell>
          <cell r="AA106" t="str">
            <v>Đ</v>
          </cell>
          <cell r="AB106" t="str">
            <v>Đ</v>
          </cell>
          <cell r="AC106" t="str">
            <v>Đ</v>
          </cell>
          <cell r="AD106">
            <v>0</v>
          </cell>
          <cell r="AE106" t="str">
            <v>Ca 3</v>
          </cell>
          <cell r="AF106">
            <v>8</v>
          </cell>
          <cell r="AG106">
            <v>8</v>
          </cell>
          <cell r="AH106">
            <v>8</v>
          </cell>
          <cell r="AI106">
            <v>8</v>
          </cell>
          <cell r="AJ106">
            <v>8</v>
          </cell>
          <cell r="AK106">
            <v>8</v>
          </cell>
          <cell r="AL106" t="str">
            <v>CN</v>
          </cell>
          <cell r="AM106" t="str">
            <v>Ca 1</v>
          </cell>
          <cell r="AN106" t="str">
            <v>Đ</v>
          </cell>
          <cell r="AO106" t="str">
            <v>Đ</v>
          </cell>
          <cell r="AP106" t="str">
            <v>Đ</v>
          </cell>
          <cell r="AQ106" t="str">
            <v>Đ</v>
          </cell>
          <cell r="AR106" t="str">
            <v>Đ</v>
          </cell>
          <cell r="AS106" t="str">
            <v>Đ</v>
          </cell>
          <cell r="AT106" t="str">
            <v>CN</v>
          </cell>
          <cell r="AU106" t="str">
            <v>Ca 3</v>
          </cell>
          <cell r="AV106" t="str">
            <v>H</v>
          </cell>
          <cell r="AW106" t="str">
            <v>X</v>
          </cell>
          <cell r="AX106" t="str">
            <v>Đ</v>
          </cell>
          <cell r="AY106" t="str">
            <v>NP</v>
          </cell>
          <cell r="AZ106" t="str">
            <v>H</v>
          </cell>
          <cell r="BA106" t="str">
            <v/>
          </cell>
          <cell r="BB106" t="str">
            <v/>
          </cell>
          <cell r="BC106" t="str">
            <v>Ca 3</v>
          </cell>
          <cell r="BD106" t="str">
            <v/>
          </cell>
          <cell r="BE106">
            <v>112</v>
          </cell>
          <cell r="BF106">
            <v>96</v>
          </cell>
          <cell r="BG106">
            <v>0</v>
          </cell>
          <cell r="BH106">
            <v>0</v>
          </cell>
          <cell r="BI106">
            <v>0</v>
          </cell>
          <cell r="BJ106">
            <v>8</v>
          </cell>
          <cell r="BK106">
            <v>1</v>
          </cell>
          <cell r="BL106">
            <v>0</v>
          </cell>
          <cell r="BM106">
            <v>0</v>
          </cell>
          <cell r="BN106">
            <v>0</v>
          </cell>
          <cell r="BO106">
            <v>0</v>
          </cell>
          <cell r="BP106">
            <v>0</v>
          </cell>
          <cell r="BQ106">
            <v>0</v>
          </cell>
          <cell r="BR106">
            <v>0</v>
          </cell>
          <cell r="BS106">
            <v>16</v>
          </cell>
          <cell r="BT106">
            <v>0</v>
          </cell>
          <cell r="BU106">
            <v>0</v>
          </cell>
          <cell r="BV106">
            <v>0</v>
          </cell>
          <cell r="BW106">
            <v>0</v>
          </cell>
          <cell r="BX106">
            <v>224</v>
          </cell>
          <cell r="BY106">
            <v>0</v>
          </cell>
          <cell r="BZ106">
            <v>0</v>
          </cell>
          <cell r="CA106">
            <v>1</v>
          </cell>
          <cell r="CB106">
            <v>0</v>
          </cell>
          <cell r="CC106">
            <v>0</v>
          </cell>
          <cell r="CD106"/>
          <cell r="CE106"/>
          <cell r="CF106"/>
          <cell r="CG106">
            <v>4</v>
          </cell>
          <cell r="CH106">
            <v>0</v>
          </cell>
          <cell r="CI106">
            <v>0</v>
          </cell>
          <cell r="CJ106">
            <v>0</v>
          </cell>
          <cell r="CK106">
            <v>2</v>
          </cell>
          <cell r="CL106">
            <v>2</v>
          </cell>
          <cell r="CM106">
            <v>2</v>
          </cell>
          <cell r="CN106">
            <v>2</v>
          </cell>
          <cell r="CO106">
            <v>2</v>
          </cell>
          <cell r="CP106">
            <v>2</v>
          </cell>
          <cell r="CQ106">
            <v>0</v>
          </cell>
          <cell r="CR106">
            <v>0</v>
          </cell>
          <cell r="CS106">
            <v>0</v>
          </cell>
          <cell r="CT106">
            <v>0</v>
          </cell>
          <cell r="CU106">
            <v>2</v>
          </cell>
          <cell r="CV106">
            <v>4</v>
          </cell>
          <cell r="CW106">
            <v>0</v>
          </cell>
          <cell r="CX106">
            <v>4</v>
          </cell>
          <cell r="CY106">
            <v>0</v>
          </cell>
          <cell r="CZ106">
            <v>0</v>
          </cell>
          <cell r="DA106">
            <v>0</v>
          </cell>
          <cell r="DB106">
            <v>0</v>
          </cell>
          <cell r="DC106">
            <v>2</v>
          </cell>
          <cell r="DD106">
            <v>0</v>
          </cell>
          <cell r="DE106">
            <v>4</v>
          </cell>
          <cell r="DF106">
            <v>0</v>
          </cell>
          <cell r="DG106">
            <v>0</v>
          </cell>
          <cell r="DH106">
            <v>0</v>
          </cell>
          <cell r="DI106">
            <v>0</v>
          </cell>
          <cell r="DJ106">
            <v>0</v>
          </cell>
          <cell r="DK106">
            <v>0</v>
          </cell>
          <cell r="DL106">
            <v>0</v>
          </cell>
          <cell r="DM106">
            <v>0</v>
          </cell>
          <cell r="DN106" t="str">
            <v/>
          </cell>
          <cell r="DO106" t="str">
            <v/>
          </cell>
          <cell r="DP106" t="str">
            <v/>
          </cell>
          <cell r="DQ106">
            <v>0</v>
          </cell>
          <cell r="DR106"/>
          <cell r="DS106"/>
          <cell r="DT106">
            <v>24</v>
          </cell>
          <cell r="DU106">
            <v>8</v>
          </cell>
          <cell r="DV106"/>
          <cell r="DW106"/>
          <cell r="DX106"/>
          <cell r="DY106"/>
        </row>
        <row r="107">
          <cell r="E107" t="str">
            <v>04393</v>
          </cell>
          <cell r="F107" t="str">
            <v>Ngô Vũ Phương</v>
          </cell>
          <cell r="G107" t="str">
            <v>Foaming</v>
          </cell>
          <cell r="H107" t="str">
            <v>FOAMING Splitting</v>
          </cell>
          <cell r="I107" t="str">
            <v>Worker</v>
          </cell>
          <cell r="J107" t="str">
            <v>02/01/2025</v>
          </cell>
          <cell r="K107"/>
          <cell r="L107" t="str">
            <v>Đ</v>
          </cell>
          <cell r="M107" t="str">
            <v>Đ</v>
          </cell>
          <cell r="N107" t="str">
            <v>Đ</v>
          </cell>
          <cell r="O107" t="str">
            <v>Ca 3</v>
          </cell>
          <cell r="P107" t="str">
            <v>CN</v>
          </cell>
          <cell r="Q107">
            <v>8</v>
          </cell>
          <cell r="R107">
            <v>8</v>
          </cell>
          <cell r="S107">
            <v>8</v>
          </cell>
          <cell r="T107">
            <v>8</v>
          </cell>
          <cell r="U107">
            <v>8</v>
          </cell>
          <cell r="V107">
            <v>8</v>
          </cell>
          <cell r="W107" t="str">
            <v>HCSX</v>
          </cell>
          <cell r="X107" t="str">
            <v>CN</v>
          </cell>
          <cell r="Y107">
            <v>8</v>
          </cell>
          <cell r="Z107">
            <v>8</v>
          </cell>
          <cell r="AA107">
            <v>8</v>
          </cell>
          <cell r="AB107">
            <v>8</v>
          </cell>
          <cell r="AC107">
            <v>8</v>
          </cell>
          <cell r="AD107">
            <v>8</v>
          </cell>
          <cell r="AE107" t="str">
            <v>HCSX</v>
          </cell>
          <cell r="AF107" t="str">
            <v>CN</v>
          </cell>
          <cell r="AG107">
            <v>8</v>
          </cell>
          <cell r="AH107">
            <v>8</v>
          </cell>
          <cell r="AI107">
            <v>8</v>
          </cell>
          <cell r="AJ107">
            <v>8</v>
          </cell>
          <cell r="AK107">
            <v>8</v>
          </cell>
          <cell r="AL107">
            <v>8</v>
          </cell>
          <cell r="AM107" t="str">
            <v>Ca 1</v>
          </cell>
          <cell r="AN107" t="str">
            <v>CN</v>
          </cell>
          <cell r="AO107" t="str">
            <v>Đ</v>
          </cell>
          <cell r="AP107" t="str">
            <v>Đ</v>
          </cell>
          <cell r="AQ107" t="str">
            <v>Đ</v>
          </cell>
          <cell r="AR107" t="str">
            <v>Đ</v>
          </cell>
          <cell r="AS107" t="str">
            <v>Đ</v>
          </cell>
          <cell r="AT107" t="str">
            <v>AL8</v>
          </cell>
          <cell r="AU107" t="str">
            <v>Ca 3</v>
          </cell>
          <cell r="AV107" t="str">
            <v>H</v>
          </cell>
          <cell r="AW107" t="str">
            <v>X</v>
          </cell>
          <cell r="AX107" t="str">
            <v>Đ</v>
          </cell>
          <cell r="AY107" t="str">
            <v>NP</v>
          </cell>
          <cell r="AZ107" t="str">
            <v>H</v>
          </cell>
          <cell r="BA107" t="str">
            <v/>
          </cell>
          <cell r="BB107" t="str">
            <v/>
          </cell>
          <cell r="BC107" t="str">
            <v>Ca 3</v>
          </cell>
          <cell r="BD107" t="str">
            <v/>
          </cell>
          <cell r="BE107">
            <v>72</v>
          </cell>
          <cell r="BF107">
            <v>144</v>
          </cell>
          <cell r="BG107">
            <v>0</v>
          </cell>
          <cell r="BH107">
            <v>0</v>
          </cell>
          <cell r="BI107">
            <v>0</v>
          </cell>
          <cell r="BJ107">
            <v>0</v>
          </cell>
          <cell r="BK107">
            <v>1</v>
          </cell>
          <cell r="BL107">
            <v>0</v>
          </cell>
          <cell r="BM107">
            <v>0</v>
          </cell>
          <cell r="BN107">
            <v>0</v>
          </cell>
          <cell r="BO107">
            <v>0</v>
          </cell>
          <cell r="BP107">
            <v>0</v>
          </cell>
          <cell r="BQ107">
            <v>0</v>
          </cell>
          <cell r="BR107">
            <v>8</v>
          </cell>
          <cell r="BS107">
            <v>16</v>
          </cell>
          <cell r="BT107">
            <v>0</v>
          </cell>
          <cell r="BU107">
            <v>0</v>
          </cell>
          <cell r="BV107">
            <v>0</v>
          </cell>
          <cell r="BW107">
            <v>0</v>
          </cell>
          <cell r="BX107">
            <v>240</v>
          </cell>
          <cell r="BY107">
            <v>1</v>
          </cell>
          <cell r="BZ107">
            <v>0</v>
          </cell>
          <cell r="CA107">
            <v>0</v>
          </cell>
          <cell r="CB107">
            <v>1</v>
          </cell>
          <cell r="CC107">
            <v>1</v>
          </cell>
          <cell r="CD107"/>
          <cell r="CE107"/>
          <cell r="CF107"/>
          <cell r="CG107">
            <v>4</v>
          </cell>
          <cell r="CH107">
            <v>0</v>
          </cell>
          <cell r="CI107">
            <v>0</v>
          </cell>
          <cell r="CJ107">
            <v>0</v>
          </cell>
          <cell r="CK107">
            <v>0</v>
          </cell>
          <cell r="CL107">
            <v>3</v>
          </cell>
          <cell r="CM107">
            <v>3</v>
          </cell>
          <cell r="CN107">
            <v>3</v>
          </cell>
          <cell r="CO107">
            <v>3</v>
          </cell>
          <cell r="CP107">
            <v>0</v>
          </cell>
          <cell r="CQ107">
            <v>0</v>
          </cell>
          <cell r="CR107">
            <v>0</v>
          </cell>
          <cell r="CS107">
            <v>0</v>
          </cell>
          <cell r="CT107">
            <v>3</v>
          </cell>
          <cell r="CU107">
            <v>3</v>
          </cell>
          <cell r="CV107">
            <v>3</v>
          </cell>
          <cell r="CW107">
            <v>0</v>
          </cell>
          <cell r="CX107">
            <v>0</v>
          </cell>
          <cell r="CY107">
            <v>2</v>
          </cell>
          <cell r="CZ107">
            <v>2</v>
          </cell>
          <cell r="DA107">
            <v>0</v>
          </cell>
          <cell r="DB107">
            <v>2</v>
          </cell>
          <cell r="DC107">
            <v>2</v>
          </cell>
          <cell r="DD107">
            <v>2</v>
          </cell>
          <cell r="DE107">
            <v>0</v>
          </cell>
          <cell r="DF107">
            <v>0</v>
          </cell>
          <cell r="DG107">
            <v>0</v>
          </cell>
          <cell r="DH107">
            <v>0</v>
          </cell>
          <cell r="DI107">
            <v>0</v>
          </cell>
          <cell r="DJ107">
            <v>0</v>
          </cell>
          <cell r="DK107">
            <v>0</v>
          </cell>
          <cell r="DL107">
            <v>0</v>
          </cell>
          <cell r="DM107">
            <v>0</v>
          </cell>
          <cell r="DN107" t="str">
            <v/>
          </cell>
          <cell r="DO107" t="str">
            <v/>
          </cell>
          <cell r="DP107" t="str">
            <v/>
          </cell>
          <cell r="DQ107"/>
          <cell r="DR107"/>
          <cell r="DS107"/>
          <cell r="DT107">
            <v>35</v>
          </cell>
          <cell r="DU107">
            <v>0</v>
          </cell>
          <cell r="DV107"/>
          <cell r="DW107"/>
          <cell r="DX107"/>
          <cell r="DY107"/>
        </row>
        <row r="108">
          <cell r="E108" t="str">
            <v>04420</v>
          </cell>
          <cell r="F108" t="str">
            <v>Nguyễn Quốc Nam</v>
          </cell>
          <cell r="G108" t="str">
            <v>Foaming</v>
          </cell>
          <cell r="H108" t="str">
            <v>FOAMING Splitting</v>
          </cell>
          <cell r="I108" t="str">
            <v>Worker</v>
          </cell>
          <cell r="J108" t="str">
            <v>17/02/2025</v>
          </cell>
          <cell r="K108"/>
          <cell r="L108">
            <v>8</v>
          </cell>
          <cell r="M108">
            <v>8</v>
          </cell>
          <cell r="N108">
            <v>8</v>
          </cell>
          <cell r="O108" t="str">
            <v>Ca 1</v>
          </cell>
          <cell r="P108" t="str">
            <v>CN</v>
          </cell>
          <cell r="Q108">
            <v>8</v>
          </cell>
          <cell r="R108">
            <v>8</v>
          </cell>
          <cell r="S108">
            <v>8</v>
          </cell>
          <cell r="T108">
            <v>8</v>
          </cell>
          <cell r="U108">
            <v>8</v>
          </cell>
          <cell r="V108">
            <v>8</v>
          </cell>
          <cell r="W108" t="str">
            <v>HCSX</v>
          </cell>
          <cell r="X108" t="str">
            <v>CN</v>
          </cell>
          <cell r="Y108">
            <v>8</v>
          </cell>
          <cell r="Z108">
            <v>8</v>
          </cell>
          <cell r="AA108">
            <v>8</v>
          </cell>
          <cell r="AB108">
            <v>8</v>
          </cell>
          <cell r="AC108">
            <v>8</v>
          </cell>
          <cell r="AD108">
            <v>8</v>
          </cell>
          <cell r="AE108" t="str">
            <v>HCSX</v>
          </cell>
          <cell r="AF108" t="str">
            <v>CN</v>
          </cell>
          <cell r="AG108" t="str">
            <v>NP</v>
          </cell>
          <cell r="AH108" t="str">
            <v>NP</v>
          </cell>
          <cell r="AI108">
            <v>8</v>
          </cell>
          <cell r="AJ108">
            <v>8</v>
          </cell>
          <cell r="AK108">
            <v>8</v>
          </cell>
          <cell r="AL108">
            <v>8</v>
          </cell>
          <cell r="AM108" t="str">
            <v>Ca 1</v>
          </cell>
          <cell r="AN108" t="str">
            <v>CN</v>
          </cell>
          <cell r="AO108">
            <v>8</v>
          </cell>
          <cell r="AP108">
            <v>8</v>
          </cell>
          <cell r="AQ108">
            <v>8</v>
          </cell>
          <cell r="AR108">
            <v>8</v>
          </cell>
          <cell r="AS108">
            <v>8</v>
          </cell>
          <cell r="AT108">
            <v>8</v>
          </cell>
          <cell r="AU108" t="str">
            <v>Ca 1</v>
          </cell>
          <cell r="AV108" t="str">
            <v>H</v>
          </cell>
          <cell r="AW108" t="str">
            <v>X</v>
          </cell>
          <cell r="AX108">
            <v>8</v>
          </cell>
          <cell r="AY108">
            <v>8</v>
          </cell>
          <cell r="AZ108" t="str">
            <v>H</v>
          </cell>
          <cell r="BA108" t="str">
            <v/>
          </cell>
          <cell r="BB108" t="str">
            <v/>
          </cell>
          <cell r="BC108" t="str">
            <v>HCSX</v>
          </cell>
          <cell r="BD108" t="str">
            <v/>
          </cell>
          <cell r="BE108">
            <v>0</v>
          </cell>
          <cell r="BF108">
            <v>216</v>
          </cell>
          <cell r="BG108">
            <v>0</v>
          </cell>
          <cell r="BH108">
            <v>0</v>
          </cell>
          <cell r="BI108">
            <v>0</v>
          </cell>
          <cell r="BJ108">
            <v>0</v>
          </cell>
          <cell r="BK108">
            <v>2</v>
          </cell>
          <cell r="BL108">
            <v>0</v>
          </cell>
          <cell r="BM108">
            <v>0</v>
          </cell>
          <cell r="BN108">
            <v>0</v>
          </cell>
          <cell r="BO108">
            <v>0</v>
          </cell>
          <cell r="BP108">
            <v>0</v>
          </cell>
          <cell r="BQ108">
            <v>0</v>
          </cell>
          <cell r="BR108">
            <v>0</v>
          </cell>
          <cell r="BS108">
            <v>16</v>
          </cell>
          <cell r="BT108">
            <v>0</v>
          </cell>
          <cell r="BU108">
            <v>0</v>
          </cell>
          <cell r="BV108">
            <v>0</v>
          </cell>
          <cell r="BW108">
            <v>0</v>
          </cell>
          <cell r="BX108">
            <v>232</v>
          </cell>
          <cell r="BY108">
            <v>0</v>
          </cell>
          <cell r="BZ108">
            <v>0</v>
          </cell>
          <cell r="CA108">
            <v>0</v>
          </cell>
          <cell r="CB108">
            <v>0</v>
          </cell>
          <cell r="CC108">
            <v>0</v>
          </cell>
          <cell r="CD108"/>
          <cell r="CE108"/>
          <cell r="CF108"/>
          <cell r="CG108">
            <v>4</v>
          </cell>
          <cell r="CH108">
            <v>4</v>
          </cell>
          <cell r="CI108">
            <v>4</v>
          </cell>
          <cell r="CJ108">
            <v>0</v>
          </cell>
          <cell r="CK108">
            <v>0</v>
          </cell>
          <cell r="CL108">
            <v>2</v>
          </cell>
          <cell r="CM108">
            <v>2</v>
          </cell>
          <cell r="CN108">
            <v>2</v>
          </cell>
          <cell r="CO108">
            <v>2</v>
          </cell>
          <cell r="CP108">
            <v>2</v>
          </cell>
          <cell r="CQ108">
            <v>0</v>
          </cell>
          <cell r="CR108">
            <v>0</v>
          </cell>
          <cell r="CS108">
            <v>0</v>
          </cell>
          <cell r="CT108">
            <v>2</v>
          </cell>
          <cell r="CU108">
            <v>0</v>
          </cell>
          <cell r="CV108">
            <v>0</v>
          </cell>
          <cell r="CW108">
            <v>0</v>
          </cell>
          <cell r="CX108">
            <v>0</v>
          </cell>
          <cell r="CY108">
            <v>0</v>
          </cell>
          <cell r="CZ108">
            <v>0</v>
          </cell>
          <cell r="DA108">
            <v>0</v>
          </cell>
          <cell r="DB108">
            <v>2</v>
          </cell>
          <cell r="DC108">
            <v>2</v>
          </cell>
          <cell r="DD108">
            <v>0</v>
          </cell>
          <cell r="DE108">
            <v>0</v>
          </cell>
          <cell r="DF108">
            <v>2</v>
          </cell>
          <cell r="DG108">
            <v>0</v>
          </cell>
          <cell r="DH108">
            <v>0</v>
          </cell>
          <cell r="DI108">
            <v>0</v>
          </cell>
          <cell r="DJ108">
            <v>2</v>
          </cell>
          <cell r="DK108">
            <v>2</v>
          </cell>
          <cell r="DL108">
            <v>0</v>
          </cell>
          <cell r="DM108">
            <v>0</v>
          </cell>
          <cell r="DN108" t="str">
            <v/>
          </cell>
          <cell r="DO108" t="str">
            <v/>
          </cell>
          <cell r="DP108" t="str">
            <v/>
          </cell>
          <cell r="DQ108"/>
          <cell r="DR108"/>
          <cell r="DS108"/>
          <cell r="DT108">
            <v>34</v>
          </cell>
          <cell r="DU108">
            <v>0</v>
          </cell>
          <cell r="DV108"/>
          <cell r="DW108"/>
          <cell r="DX108"/>
          <cell r="DY108"/>
        </row>
        <row r="109">
          <cell r="E109" t="str">
            <v>04421</v>
          </cell>
          <cell r="F109" t="str">
            <v>Lâm Tấn Đạt</v>
          </cell>
          <cell r="G109" t="str">
            <v>Foaming</v>
          </cell>
          <cell r="H109" t="str">
            <v>FOAMING Splitting</v>
          </cell>
          <cell r="I109" t="str">
            <v>Worker</v>
          </cell>
          <cell r="J109" t="str">
            <v>17/02/2025</v>
          </cell>
          <cell r="K109"/>
          <cell r="L109">
            <v>8</v>
          </cell>
          <cell r="M109">
            <v>8</v>
          </cell>
          <cell r="N109">
            <v>8</v>
          </cell>
          <cell r="O109" t="str">
            <v>HCSX</v>
          </cell>
          <cell r="P109" t="str">
            <v>CN</v>
          </cell>
          <cell r="Q109">
            <v>8</v>
          </cell>
          <cell r="R109">
            <v>8</v>
          </cell>
          <cell r="S109">
            <v>8</v>
          </cell>
          <cell r="T109">
            <v>8</v>
          </cell>
          <cell r="U109">
            <v>8</v>
          </cell>
          <cell r="V109">
            <v>8</v>
          </cell>
          <cell r="W109" t="str">
            <v>Ca 1</v>
          </cell>
          <cell r="X109" t="str">
            <v>CN</v>
          </cell>
          <cell r="Y109">
            <v>8</v>
          </cell>
          <cell r="Z109">
            <v>8</v>
          </cell>
          <cell r="AA109">
            <v>8</v>
          </cell>
          <cell r="AB109">
            <v>8</v>
          </cell>
          <cell r="AC109">
            <v>8</v>
          </cell>
          <cell r="AD109">
            <v>8</v>
          </cell>
          <cell r="AE109" t="str">
            <v>HCSX</v>
          </cell>
          <cell r="AF109" t="str">
            <v>CN</v>
          </cell>
          <cell r="AG109" t="str">
            <v>Đ</v>
          </cell>
          <cell r="AH109" t="str">
            <v>Đ</v>
          </cell>
          <cell r="AI109" t="str">
            <v>Đ</v>
          </cell>
          <cell r="AJ109" t="str">
            <v>Đ</v>
          </cell>
          <cell r="AK109" t="str">
            <v>Đ</v>
          </cell>
          <cell r="AL109" t="str">
            <v>Đ</v>
          </cell>
          <cell r="AM109" t="str">
            <v>Ca 3</v>
          </cell>
          <cell r="AN109" t="str">
            <v>CN</v>
          </cell>
          <cell r="AO109">
            <v>8</v>
          </cell>
          <cell r="AP109">
            <v>8</v>
          </cell>
          <cell r="AQ109">
            <v>8</v>
          </cell>
          <cell r="AR109">
            <v>8</v>
          </cell>
          <cell r="AS109">
            <v>8</v>
          </cell>
          <cell r="AT109">
            <v>8</v>
          </cell>
          <cell r="AU109" t="str">
            <v>HCSX</v>
          </cell>
          <cell r="AV109" t="str">
            <v>H</v>
          </cell>
          <cell r="AW109" t="str">
            <v>X</v>
          </cell>
          <cell r="AX109">
            <v>8</v>
          </cell>
          <cell r="AY109">
            <v>8</v>
          </cell>
          <cell r="AZ109" t="str">
            <v>H</v>
          </cell>
          <cell r="BA109" t="str">
            <v/>
          </cell>
          <cell r="BB109" t="str">
            <v/>
          </cell>
          <cell r="BC109" t="str">
            <v>HCSX</v>
          </cell>
          <cell r="BD109" t="str">
            <v/>
          </cell>
          <cell r="BE109">
            <v>48</v>
          </cell>
          <cell r="BF109">
            <v>184</v>
          </cell>
          <cell r="BG109">
            <v>0</v>
          </cell>
          <cell r="BH109">
            <v>0</v>
          </cell>
          <cell r="BI109">
            <v>0</v>
          </cell>
          <cell r="BJ109">
            <v>0</v>
          </cell>
          <cell r="BK109">
            <v>0</v>
          </cell>
          <cell r="BL109">
            <v>0</v>
          </cell>
          <cell r="BM109">
            <v>0</v>
          </cell>
          <cell r="BN109">
            <v>0</v>
          </cell>
          <cell r="BO109">
            <v>0</v>
          </cell>
          <cell r="BP109">
            <v>0</v>
          </cell>
          <cell r="BQ109">
            <v>0</v>
          </cell>
          <cell r="BR109">
            <v>0</v>
          </cell>
          <cell r="BS109">
            <v>16</v>
          </cell>
          <cell r="BT109">
            <v>0</v>
          </cell>
          <cell r="BU109">
            <v>0</v>
          </cell>
          <cell r="BV109">
            <v>0</v>
          </cell>
          <cell r="BW109">
            <v>0</v>
          </cell>
          <cell r="BX109">
            <v>248</v>
          </cell>
          <cell r="BY109">
            <v>0</v>
          </cell>
          <cell r="BZ109">
            <v>0</v>
          </cell>
          <cell r="CA109">
            <v>0</v>
          </cell>
          <cell r="CB109">
            <v>0</v>
          </cell>
          <cell r="CC109">
            <v>0</v>
          </cell>
          <cell r="CD109"/>
          <cell r="CE109"/>
          <cell r="CF109"/>
          <cell r="CG109">
            <v>3</v>
          </cell>
          <cell r="CH109">
            <v>3</v>
          </cell>
          <cell r="CI109">
            <v>3</v>
          </cell>
          <cell r="CJ109">
            <v>0</v>
          </cell>
          <cell r="CK109">
            <v>0</v>
          </cell>
          <cell r="CL109">
            <v>4</v>
          </cell>
          <cell r="CM109">
            <v>0</v>
          </cell>
          <cell r="CN109">
            <v>0</v>
          </cell>
          <cell r="CO109">
            <v>3</v>
          </cell>
          <cell r="CP109">
            <v>0</v>
          </cell>
          <cell r="CQ109">
            <v>0</v>
          </cell>
          <cell r="CR109">
            <v>0</v>
          </cell>
          <cell r="CS109">
            <v>0</v>
          </cell>
          <cell r="CT109">
            <v>2</v>
          </cell>
          <cell r="CU109">
            <v>0</v>
          </cell>
          <cell r="CV109">
            <v>3</v>
          </cell>
          <cell r="CW109">
            <v>3</v>
          </cell>
          <cell r="CX109">
            <v>0</v>
          </cell>
          <cell r="CY109">
            <v>0</v>
          </cell>
          <cell r="CZ109">
            <v>2</v>
          </cell>
          <cell r="DA109">
            <v>2</v>
          </cell>
          <cell r="DB109">
            <v>2</v>
          </cell>
          <cell r="DC109">
            <v>0</v>
          </cell>
          <cell r="DD109">
            <v>0</v>
          </cell>
          <cell r="DE109">
            <v>0</v>
          </cell>
          <cell r="DF109">
            <v>0</v>
          </cell>
          <cell r="DG109">
            <v>0</v>
          </cell>
          <cell r="DH109">
            <v>0</v>
          </cell>
          <cell r="DI109">
            <v>0</v>
          </cell>
          <cell r="DJ109">
            <v>0</v>
          </cell>
          <cell r="DK109">
            <v>0</v>
          </cell>
          <cell r="DL109">
            <v>0</v>
          </cell>
          <cell r="DM109">
            <v>0</v>
          </cell>
          <cell r="DN109" t="str">
            <v/>
          </cell>
          <cell r="DO109" t="str">
            <v/>
          </cell>
          <cell r="DP109" t="str">
            <v/>
          </cell>
          <cell r="DQ109"/>
          <cell r="DR109"/>
          <cell r="DS109"/>
          <cell r="DT109">
            <v>30</v>
          </cell>
          <cell r="DU109">
            <v>0</v>
          </cell>
          <cell r="DV109"/>
          <cell r="DW109"/>
          <cell r="DX109"/>
          <cell r="DY109"/>
        </row>
        <row r="110">
          <cell r="E110" t="str">
            <v>04424</v>
          </cell>
          <cell r="F110" t="str">
            <v>Huỳnh Tài Chánh</v>
          </cell>
          <cell r="G110" t="str">
            <v>Foaming</v>
          </cell>
          <cell r="H110" t="str">
            <v>FOAMING Rectangular</v>
          </cell>
          <cell r="I110" t="str">
            <v>Worker</v>
          </cell>
          <cell r="J110" t="str">
            <v>17/02/2025</v>
          </cell>
          <cell r="K110"/>
          <cell r="L110">
            <v>8</v>
          </cell>
          <cell r="M110">
            <v>8</v>
          </cell>
          <cell r="N110">
            <v>8</v>
          </cell>
          <cell r="O110" t="str">
            <v>Ca 1</v>
          </cell>
          <cell r="P110" t="str">
            <v>CN</v>
          </cell>
          <cell r="Q110" t="str">
            <v>Đ</v>
          </cell>
          <cell r="R110" t="str">
            <v>Đ</v>
          </cell>
          <cell r="S110" t="str">
            <v>Đ</v>
          </cell>
          <cell r="T110" t="str">
            <v>Đ</v>
          </cell>
          <cell r="U110" t="str">
            <v>Đ</v>
          </cell>
          <cell r="V110" t="str">
            <v>Đ</v>
          </cell>
          <cell r="W110" t="str">
            <v>Ca 3</v>
          </cell>
          <cell r="X110" t="str">
            <v>CN</v>
          </cell>
          <cell r="Y110">
            <v>8</v>
          </cell>
          <cell r="Z110">
            <v>8</v>
          </cell>
          <cell r="AA110">
            <v>8</v>
          </cell>
          <cell r="AB110">
            <v>8</v>
          </cell>
          <cell r="AC110">
            <v>8</v>
          </cell>
          <cell r="AD110">
            <v>8</v>
          </cell>
          <cell r="AE110" t="str">
            <v>Ca 2</v>
          </cell>
          <cell r="AF110" t="str">
            <v>CN</v>
          </cell>
          <cell r="AG110">
            <v>8</v>
          </cell>
          <cell r="AH110">
            <v>8</v>
          </cell>
          <cell r="AI110">
            <v>8</v>
          </cell>
          <cell r="AJ110">
            <v>8</v>
          </cell>
          <cell r="AK110">
            <v>8</v>
          </cell>
          <cell r="AL110">
            <v>8</v>
          </cell>
          <cell r="AM110" t="str">
            <v>Ca 1</v>
          </cell>
          <cell r="AN110" t="str">
            <v>CN</v>
          </cell>
          <cell r="AO110" t="str">
            <v>Đ</v>
          </cell>
          <cell r="AP110" t="str">
            <v>Đ</v>
          </cell>
          <cell r="AQ110" t="str">
            <v>Đ</v>
          </cell>
          <cell r="AR110" t="str">
            <v>Đ</v>
          </cell>
          <cell r="AS110" t="str">
            <v>Đ</v>
          </cell>
          <cell r="AT110" t="str">
            <v>UP8</v>
          </cell>
          <cell r="AU110" t="str">
            <v>Ca 3</v>
          </cell>
          <cell r="AV110" t="str">
            <v>H</v>
          </cell>
          <cell r="AW110" t="str">
            <v>X</v>
          </cell>
          <cell r="AX110" t="str">
            <v>Đ</v>
          </cell>
          <cell r="AY110" t="str">
            <v>NP</v>
          </cell>
          <cell r="AZ110" t="str">
            <v>H</v>
          </cell>
          <cell r="BA110" t="str">
            <v/>
          </cell>
          <cell r="BB110" t="str">
            <v/>
          </cell>
          <cell r="BC110" t="str">
            <v>Ca 3</v>
          </cell>
          <cell r="BD110" t="str">
            <v/>
          </cell>
          <cell r="BE110">
            <v>96</v>
          </cell>
          <cell r="BF110">
            <v>120</v>
          </cell>
          <cell r="BG110">
            <v>0</v>
          </cell>
          <cell r="BH110">
            <v>0</v>
          </cell>
          <cell r="BI110">
            <v>0</v>
          </cell>
          <cell r="BJ110">
            <v>8</v>
          </cell>
          <cell r="BK110">
            <v>1</v>
          </cell>
          <cell r="BL110">
            <v>0</v>
          </cell>
          <cell r="BM110">
            <v>0</v>
          </cell>
          <cell r="BN110">
            <v>0</v>
          </cell>
          <cell r="BO110">
            <v>0</v>
          </cell>
          <cell r="BP110">
            <v>0</v>
          </cell>
          <cell r="BQ110">
            <v>0</v>
          </cell>
          <cell r="BR110">
            <v>0</v>
          </cell>
          <cell r="BS110">
            <v>16</v>
          </cell>
          <cell r="BT110">
            <v>0</v>
          </cell>
          <cell r="BU110">
            <v>0</v>
          </cell>
          <cell r="BV110">
            <v>0</v>
          </cell>
          <cell r="BW110">
            <v>0</v>
          </cell>
          <cell r="BX110">
            <v>232</v>
          </cell>
          <cell r="BY110">
            <v>0</v>
          </cell>
          <cell r="BZ110">
            <v>0</v>
          </cell>
          <cell r="CA110">
            <v>1</v>
          </cell>
          <cell r="CB110">
            <v>0</v>
          </cell>
          <cell r="CC110">
            <v>0</v>
          </cell>
          <cell r="CD110"/>
          <cell r="CE110"/>
          <cell r="CF110"/>
          <cell r="CG110">
            <v>4</v>
          </cell>
          <cell r="CH110">
            <v>4</v>
          </cell>
          <cell r="CI110">
            <v>4</v>
          </cell>
          <cell r="CJ110">
            <v>0</v>
          </cell>
          <cell r="CK110">
            <v>4</v>
          </cell>
          <cell r="CL110">
            <v>4</v>
          </cell>
          <cell r="CM110">
            <v>4</v>
          </cell>
          <cell r="CN110">
            <v>0</v>
          </cell>
          <cell r="CO110">
            <v>0</v>
          </cell>
          <cell r="CP110">
            <v>0</v>
          </cell>
          <cell r="CQ110">
            <v>0</v>
          </cell>
          <cell r="CR110">
            <v>0</v>
          </cell>
          <cell r="CS110">
            <v>0</v>
          </cell>
          <cell r="CT110">
            <v>0</v>
          </cell>
          <cell r="CU110">
            <v>0</v>
          </cell>
          <cell r="CV110">
            <v>0</v>
          </cell>
          <cell r="CW110">
            <v>0</v>
          </cell>
          <cell r="CX110">
            <v>0</v>
          </cell>
          <cell r="CY110">
            <v>0</v>
          </cell>
          <cell r="CZ110">
            <v>3</v>
          </cell>
          <cell r="DA110">
            <v>4</v>
          </cell>
          <cell r="DB110">
            <v>4</v>
          </cell>
          <cell r="DC110">
            <v>0</v>
          </cell>
          <cell r="DD110">
            <v>0</v>
          </cell>
          <cell r="DE110">
            <v>0</v>
          </cell>
          <cell r="DF110">
            <v>0</v>
          </cell>
          <cell r="DG110">
            <v>0</v>
          </cell>
          <cell r="DH110">
            <v>0</v>
          </cell>
          <cell r="DI110">
            <v>0</v>
          </cell>
          <cell r="DJ110">
            <v>0</v>
          </cell>
          <cell r="DK110">
            <v>0</v>
          </cell>
          <cell r="DL110">
            <v>0</v>
          </cell>
          <cell r="DM110">
            <v>0</v>
          </cell>
          <cell r="DN110" t="str">
            <v/>
          </cell>
          <cell r="DO110" t="str">
            <v/>
          </cell>
          <cell r="DP110" t="str">
            <v/>
          </cell>
          <cell r="DQ110"/>
          <cell r="DR110"/>
          <cell r="DS110"/>
          <cell r="DT110">
            <v>35</v>
          </cell>
          <cell r="DU110">
            <v>0</v>
          </cell>
          <cell r="DV110"/>
          <cell r="DW110"/>
          <cell r="DX110"/>
          <cell r="DY110"/>
        </row>
        <row r="111">
          <cell r="E111" t="str">
            <v>04425</v>
          </cell>
          <cell r="F111" t="str">
            <v>Trương Văn Trong</v>
          </cell>
          <cell r="G111" t="str">
            <v>Foaming</v>
          </cell>
          <cell r="H111" t="str">
            <v>FOAMING Rectangular</v>
          </cell>
          <cell r="I111" t="str">
            <v>Worker</v>
          </cell>
          <cell r="J111" t="str">
            <v>17/02/2025</v>
          </cell>
          <cell r="K111"/>
          <cell r="L111">
            <v>8</v>
          </cell>
          <cell r="M111">
            <v>8</v>
          </cell>
          <cell r="N111">
            <v>8</v>
          </cell>
          <cell r="O111" t="str">
            <v>Ca 1</v>
          </cell>
          <cell r="P111" t="str">
            <v>CN</v>
          </cell>
          <cell r="Q111" t="str">
            <v>NP</v>
          </cell>
          <cell r="R111" t="str">
            <v>NP</v>
          </cell>
          <cell r="S111" t="str">
            <v>NP</v>
          </cell>
          <cell r="T111" t="str">
            <v>NP</v>
          </cell>
          <cell r="U111" t="str">
            <v>NP</v>
          </cell>
          <cell r="V111" t="str">
            <v>NP</v>
          </cell>
          <cell r="W111" t="str">
            <v>Ca 2</v>
          </cell>
          <cell r="X111" t="str">
            <v>CN</v>
          </cell>
          <cell r="Y111">
            <v>8</v>
          </cell>
          <cell r="Z111">
            <v>8</v>
          </cell>
          <cell r="AA111">
            <v>8</v>
          </cell>
          <cell r="AB111">
            <v>8</v>
          </cell>
          <cell r="AC111">
            <v>8</v>
          </cell>
          <cell r="AD111">
            <v>8</v>
          </cell>
          <cell r="AE111" t="str">
            <v>Ca 1</v>
          </cell>
          <cell r="AF111" t="str">
            <v>CN</v>
          </cell>
          <cell r="AG111" t="str">
            <v>Đ</v>
          </cell>
          <cell r="AH111" t="str">
            <v>Đ</v>
          </cell>
          <cell r="AI111" t="str">
            <v>Đ</v>
          </cell>
          <cell r="AJ111" t="str">
            <v>Đ</v>
          </cell>
          <cell r="AK111">
            <v>8</v>
          </cell>
          <cell r="AL111" t="str">
            <v>Đ</v>
          </cell>
          <cell r="AM111" t="str">
            <v>Ca 3</v>
          </cell>
          <cell r="AN111" t="str">
            <v>CN</v>
          </cell>
          <cell r="AO111">
            <v>8</v>
          </cell>
          <cell r="AP111">
            <v>8</v>
          </cell>
          <cell r="AQ111">
            <v>8</v>
          </cell>
          <cell r="AR111">
            <v>8</v>
          </cell>
          <cell r="AS111">
            <v>8</v>
          </cell>
          <cell r="AT111">
            <v>8</v>
          </cell>
          <cell r="AU111" t="str">
            <v>Ca 2</v>
          </cell>
          <cell r="AV111" t="str">
            <v>H</v>
          </cell>
          <cell r="AW111" t="str">
            <v>X</v>
          </cell>
          <cell r="AX111">
            <v>8</v>
          </cell>
          <cell r="AY111">
            <v>8</v>
          </cell>
          <cell r="AZ111" t="str">
            <v>H</v>
          </cell>
          <cell r="BA111" t="str">
            <v/>
          </cell>
          <cell r="BB111" t="str">
            <v/>
          </cell>
          <cell r="BC111" t="str">
            <v>Ca 2</v>
          </cell>
          <cell r="BD111" t="str">
            <v/>
          </cell>
          <cell r="BE111">
            <v>40</v>
          </cell>
          <cell r="BF111">
            <v>144</v>
          </cell>
          <cell r="BG111">
            <v>0</v>
          </cell>
          <cell r="BH111">
            <v>0</v>
          </cell>
          <cell r="BI111">
            <v>0</v>
          </cell>
          <cell r="BJ111">
            <v>0</v>
          </cell>
          <cell r="BK111">
            <v>6</v>
          </cell>
          <cell r="BL111">
            <v>0</v>
          </cell>
          <cell r="BM111">
            <v>0</v>
          </cell>
          <cell r="BN111">
            <v>0</v>
          </cell>
          <cell r="BO111">
            <v>0</v>
          </cell>
          <cell r="BP111">
            <v>0</v>
          </cell>
          <cell r="BQ111">
            <v>0</v>
          </cell>
          <cell r="BR111">
            <v>0</v>
          </cell>
          <cell r="BS111">
            <v>16</v>
          </cell>
          <cell r="BT111">
            <v>0</v>
          </cell>
          <cell r="BU111">
            <v>0</v>
          </cell>
          <cell r="BV111">
            <v>0</v>
          </cell>
          <cell r="BW111">
            <v>0</v>
          </cell>
          <cell r="BX111">
            <v>200</v>
          </cell>
          <cell r="BY111">
            <v>0</v>
          </cell>
          <cell r="BZ111">
            <v>0</v>
          </cell>
          <cell r="CA111">
            <v>0</v>
          </cell>
          <cell r="CB111">
            <v>0</v>
          </cell>
          <cell r="CC111">
            <v>0</v>
          </cell>
          <cell r="CD111"/>
          <cell r="CE111"/>
          <cell r="CF111"/>
          <cell r="CG111">
            <v>4</v>
          </cell>
          <cell r="CH111">
            <v>4</v>
          </cell>
          <cell r="CI111">
            <v>0</v>
          </cell>
          <cell r="CJ111">
            <v>0</v>
          </cell>
          <cell r="CK111">
            <v>0</v>
          </cell>
          <cell r="CL111">
            <v>0</v>
          </cell>
          <cell r="CM111">
            <v>0</v>
          </cell>
          <cell r="CN111">
            <v>0</v>
          </cell>
          <cell r="CO111">
            <v>0</v>
          </cell>
          <cell r="CP111">
            <v>0</v>
          </cell>
          <cell r="CQ111">
            <v>0</v>
          </cell>
          <cell r="CR111">
            <v>0</v>
          </cell>
          <cell r="CS111">
            <v>0</v>
          </cell>
          <cell r="CT111">
            <v>0</v>
          </cell>
          <cell r="CU111">
            <v>0</v>
          </cell>
          <cell r="CV111">
            <v>0</v>
          </cell>
          <cell r="CW111">
            <v>0</v>
          </cell>
          <cell r="CX111">
            <v>0</v>
          </cell>
          <cell r="CY111">
            <v>0</v>
          </cell>
          <cell r="CZ111">
            <v>0</v>
          </cell>
          <cell r="DA111">
            <v>0</v>
          </cell>
          <cell r="DB111">
            <v>0</v>
          </cell>
          <cell r="DC111">
            <v>0</v>
          </cell>
          <cell r="DD111">
            <v>0</v>
          </cell>
          <cell r="DE111">
            <v>0</v>
          </cell>
          <cell r="DF111">
            <v>0</v>
          </cell>
          <cell r="DG111">
            <v>0</v>
          </cell>
          <cell r="DH111">
            <v>0</v>
          </cell>
          <cell r="DI111">
            <v>0</v>
          </cell>
          <cell r="DJ111">
            <v>0</v>
          </cell>
          <cell r="DK111">
            <v>0</v>
          </cell>
          <cell r="DL111">
            <v>0</v>
          </cell>
          <cell r="DM111">
            <v>0</v>
          </cell>
          <cell r="DN111" t="str">
            <v/>
          </cell>
          <cell r="DO111" t="str">
            <v/>
          </cell>
          <cell r="DP111" t="str">
            <v/>
          </cell>
          <cell r="DQ111"/>
          <cell r="DR111"/>
          <cell r="DS111"/>
          <cell r="DT111">
            <v>8</v>
          </cell>
          <cell r="DU111">
            <v>0</v>
          </cell>
          <cell r="DV111"/>
          <cell r="DW111"/>
          <cell r="DX111"/>
          <cell r="DY111"/>
        </row>
        <row r="112">
          <cell r="E112" t="str">
            <v>04462</v>
          </cell>
          <cell r="F112" t="str">
            <v>Danh Tiền</v>
          </cell>
          <cell r="G112" t="str">
            <v>Foaming</v>
          </cell>
          <cell r="H112" t="str">
            <v>FOAMING Splitting</v>
          </cell>
          <cell r="I112" t="str">
            <v>Worker</v>
          </cell>
          <cell r="J112" t="str">
            <v>26/02/2025</v>
          </cell>
          <cell r="K112"/>
          <cell r="L112">
            <v>8</v>
          </cell>
          <cell r="M112">
            <v>8</v>
          </cell>
          <cell r="N112">
            <v>8</v>
          </cell>
          <cell r="O112" t="str">
            <v>HCSX</v>
          </cell>
          <cell r="P112" t="str">
            <v>CN</v>
          </cell>
          <cell r="Q112">
            <v>8</v>
          </cell>
          <cell r="R112">
            <v>8</v>
          </cell>
          <cell r="S112">
            <v>8</v>
          </cell>
          <cell r="T112">
            <v>8</v>
          </cell>
          <cell r="U112">
            <v>8</v>
          </cell>
          <cell r="V112">
            <v>8</v>
          </cell>
          <cell r="W112" t="str">
            <v>Ca 1</v>
          </cell>
          <cell r="X112" t="str">
            <v>CN</v>
          </cell>
          <cell r="Y112">
            <v>8</v>
          </cell>
          <cell r="Z112">
            <v>8</v>
          </cell>
          <cell r="AA112">
            <v>8</v>
          </cell>
          <cell r="AB112" t="str">
            <v>Đ</v>
          </cell>
          <cell r="AC112" t="str">
            <v>Đ</v>
          </cell>
          <cell r="AD112" t="str">
            <v>Đ</v>
          </cell>
          <cell r="AE112" t="str">
            <v>HCSX</v>
          </cell>
          <cell r="AF112" t="str">
            <v>CN</v>
          </cell>
          <cell r="AG112">
            <v>8</v>
          </cell>
          <cell r="AH112">
            <v>8</v>
          </cell>
          <cell r="AI112">
            <v>8</v>
          </cell>
          <cell r="AJ112">
            <v>8</v>
          </cell>
          <cell r="AK112">
            <v>8</v>
          </cell>
          <cell r="AL112">
            <v>8</v>
          </cell>
          <cell r="AM112" t="str">
            <v>Ca 1</v>
          </cell>
          <cell r="AN112" t="str">
            <v>CN</v>
          </cell>
          <cell r="AO112" t="str">
            <v>Đ</v>
          </cell>
          <cell r="AP112" t="str">
            <v>Đ</v>
          </cell>
          <cell r="AQ112" t="str">
            <v>Đ</v>
          </cell>
          <cell r="AR112" t="str">
            <v>Đ</v>
          </cell>
          <cell r="AS112" t="str">
            <v>Đ</v>
          </cell>
          <cell r="AT112" t="str">
            <v>AL8</v>
          </cell>
          <cell r="AU112" t="str">
            <v>Ca 3</v>
          </cell>
          <cell r="AV112" t="str">
            <v>H</v>
          </cell>
          <cell r="AW112" t="str">
            <v>X</v>
          </cell>
          <cell r="AX112" t="str">
            <v>Đ</v>
          </cell>
          <cell r="AY112" t="str">
            <v>AL8</v>
          </cell>
          <cell r="AZ112" t="str">
            <v>H</v>
          </cell>
          <cell r="BA112" t="str">
            <v/>
          </cell>
          <cell r="BB112" t="str">
            <v/>
          </cell>
          <cell r="BC112" t="str">
            <v>Ca 3</v>
          </cell>
          <cell r="BD112" t="str">
            <v/>
          </cell>
          <cell r="BE112">
            <v>72</v>
          </cell>
          <cell r="BF112">
            <v>144</v>
          </cell>
          <cell r="BG112">
            <v>0</v>
          </cell>
          <cell r="BH112">
            <v>0</v>
          </cell>
          <cell r="BI112">
            <v>0</v>
          </cell>
          <cell r="BJ112">
            <v>0</v>
          </cell>
          <cell r="BK112">
            <v>0</v>
          </cell>
          <cell r="BL112">
            <v>0</v>
          </cell>
          <cell r="BM112">
            <v>0</v>
          </cell>
          <cell r="BN112">
            <v>0</v>
          </cell>
          <cell r="BO112">
            <v>0</v>
          </cell>
          <cell r="BP112">
            <v>0</v>
          </cell>
          <cell r="BQ112">
            <v>0</v>
          </cell>
          <cell r="BR112">
            <v>16</v>
          </cell>
          <cell r="BS112">
            <v>16</v>
          </cell>
          <cell r="BT112">
            <v>0</v>
          </cell>
          <cell r="BU112">
            <v>0</v>
          </cell>
          <cell r="BV112">
            <v>0</v>
          </cell>
          <cell r="BW112">
            <v>0</v>
          </cell>
          <cell r="BX112">
            <v>248</v>
          </cell>
          <cell r="BY112">
            <v>2</v>
          </cell>
          <cell r="BZ112">
            <v>0</v>
          </cell>
          <cell r="CA112">
            <v>0</v>
          </cell>
          <cell r="CB112">
            <v>2</v>
          </cell>
          <cell r="CC112">
            <v>2</v>
          </cell>
          <cell r="CD112"/>
          <cell r="CE112"/>
          <cell r="CF112"/>
          <cell r="CG112">
            <v>3</v>
          </cell>
          <cell r="CH112">
            <v>3</v>
          </cell>
          <cell r="CI112">
            <v>3</v>
          </cell>
          <cell r="CJ112">
            <v>0</v>
          </cell>
          <cell r="CK112">
            <v>0</v>
          </cell>
          <cell r="CL112">
            <v>0</v>
          </cell>
          <cell r="CM112">
            <v>4</v>
          </cell>
          <cell r="CN112">
            <v>0</v>
          </cell>
          <cell r="CO112">
            <v>3</v>
          </cell>
          <cell r="CP112">
            <v>0</v>
          </cell>
          <cell r="CQ112">
            <v>0</v>
          </cell>
          <cell r="CR112">
            <v>0</v>
          </cell>
          <cell r="CS112">
            <v>0</v>
          </cell>
          <cell r="CT112">
            <v>2</v>
          </cell>
          <cell r="CU112">
            <v>2</v>
          </cell>
          <cell r="CV112">
            <v>2</v>
          </cell>
          <cell r="CW112">
            <v>2</v>
          </cell>
          <cell r="CX112">
            <v>0</v>
          </cell>
          <cell r="CY112">
            <v>4</v>
          </cell>
          <cell r="CZ112">
            <v>4</v>
          </cell>
          <cell r="DA112">
            <v>0</v>
          </cell>
          <cell r="DB112">
            <v>0</v>
          </cell>
          <cell r="DC112">
            <v>0</v>
          </cell>
          <cell r="DD112">
            <v>0</v>
          </cell>
          <cell r="DE112">
            <v>0</v>
          </cell>
          <cell r="DF112">
            <v>0</v>
          </cell>
          <cell r="DG112">
            <v>0</v>
          </cell>
          <cell r="DH112">
            <v>0</v>
          </cell>
          <cell r="DI112">
            <v>0</v>
          </cell>
          <cell r="DJ112">
            <v>0</v>
          </cell>
          <cell r="DK112">
            <v>0</v>
          </cell>
          <cell r="DL112">
            <v>0</v>
          </cell>
          <cell r="DM112">
            <v>0</v>
          </cell>
          <cell r="DN112" t="str">
            <v/>
          </cell>
          <cell r="DO112" t="str">
            <v/>
          </cell>
          <cell r="DP112" t="str">
            <v/>
          </cell>
          <cell r="DQ112"/>
          <cell r="DR112"/>
          <cell r="DS112"/>
          <cell r="DT112">
            <v>32</v>
          </cell>
          <cell r="DU112">
            <v>0</v>
          </cell>
          <cell r="DV112"/>
          <cell r="DW112"/>
          <cell r="DX112"/>
          <cell r="DY112"/>
        </row>
        <row r="113">
          <cell r="E113" t="str">
            <v>04464</v>
          </cell>
          <cell r="F113" t="str">
            <v>Hà Thành Đạt</v>
          </cell>
          <cell r="G113" t="str">
            <v>Foaming</v>
          </cell>
          <cell r="H113" t="str">
            <v>FOAMING Rectangular</v>
          </cell>
          <cell r="I113" t="str">
            <v>Worker</v>
          </cell>
          <cell r="J113" t="str">
            <v>26/02/2025</v>
          </cell>
          <cell r="K113"/>
          <cell r="L113">
            <v>8</v>
          </cell>
          <cell r="M113">
            <v>8</v>
          </cell>
          <cell r="N113">
            <v>8</v>
          </cell>
          <cell r="O113" t="str">
            <v>Ca 1</v>
          </cell>
          <cell r="P113" t="str">
            <v>CN</v>
          </cell>
          <cell r="Q113" t="str">
            <v>Đ</v>
          </cell>
          <cell r="R113" t="str">
            <v>Đ</v>
          </cell>
          <cell r="S113" t="str">
            <v>Đ</v>
          </cell>
          <cell r="T113" t="str">
            <v>Đ</v>
          </cell>
          <cell r="U113" t="str">
            <v>Đ</v>
          </cell>
          <cell r="V113" t="str">
            <v>Đ</v>
          </cell>
          <cell r="W113" t="str">
            <v>Ca 3</v>
          </cell>
          <cell r="X113" t="str">
            <v>CN</v>
          </cell>
          <cell r="Y113" t="str">
            <v>NP</v>
          </cell>
          <cell r="Z113" t="str">
            <v>NP</v>
          </cell>
          <cell r="AA113" t="str">
            <v>NP</v>
          </cell>
          <cell r="AB113">
            <v>8</v>
          </cell>
          <cell r="AC113">
            <v>8</v>
          </cell>
          <cell r="AD113">
            <v>8</v>
          </cell>
          <cell r="AE113" t="str">
            <v>HCSX</v>
          </cell>
          <cell r="AF113" t="str">
            <v>CN</v>
          </cell>
          <cell r="AG113" t="str">
            <v>Đ</v>
          </cell>
          <cell r="AH113" t="str">
            <v>Đ</v>
          </cell>
          <cell r="AI113" t="str">
            <v>Đ</v>
          </cell>
          <cell r="AJ113" t="str">
            <v>Đ</v>
          </cell>
          <cell r="AK113">
            <v>8</v>
          </cell>
          <cell r="AL113" t="str">
            <v>Đ</v>
          </cell>
          <cell r="AM113" t="str">
            <v>Ca 3</v>
          </cell>
          <cell r="AN113" t="str">
            <v>CN</v>
          </cell>
          <cell r="AO113">
            <v>8</v>
          </cell>
          <cell r="AP113">
            <v>8</v>
          </cell>
          <cell r="AQ113">
            <v>8</v>
          </cell>
          <cell r="AR113">
            <v>8</v>
          </cell>
          <cell r="AS113">
            <v>8</v>
          </cell>
          <cell r="AT113">
            <v>8</v>
          </cell>
          <cell r="AU113" t="str">
            <v>Ca 2</v>
          </cell>
          <cell r="AV113" t="str">
            <v>H</v>
          </cell>
          <cell r="AW113" t="str">
            <v>X</v>
          </cell>
          <cell r="AX113">
            <v>8</v>
          </cell>
          <cell r="AY113">
            <v>8</v>
          </cell>
          <cell r="AZ113" t="str">
            <v>H</v>
          </cell>
          <cell r="BA113" t="str">
            <v/>
          </cell>
          <cell r="BB113" t="str">
            <v/>
          </cell>
          <cell r="BC113" t="str">
            <v>Ca 2</v>
          </cell>
          <cell r="BD113" t="str">
            <v/>
          </cell>
          <cell r="BE113">
            <v>88</v>
          </cell>
          <cell r="BF113">
            <v>120</v>
          </cell>
          <cell r="BG113">
            <v>0</v>
          </cell>
          <cell r="BH113">
            <v>0</v>
          </cell>
          <cell r="BI113">
            <v>0</v>
          </cell>
          <cell r="BJ113">
            <v>0</v>
          </cell>
          <cell r="BK113">
            <v>3</v>
          </cell>
          <cell r="BL113">
            <v>0</v>
          </cell>
          <cell r="BM113">
            <v>0</v>
          </cell>
          <cell r="BN113">
            <v>0</v>
          </cell>
          <cell r="BO113">
            <v>0</v>
          </cell>
          <cell r="BP113">
            <v>0</v>
          </cell>
          <cell r="BQ113">
            <v>0</v>
          </cell>
          <cell r="BR113">
            <v>0</v>
          </cell>
          <cell r="BS113">
            <v>16</v>
          </cell>
          <cell r="BT113">
            <v>0</v>
          </cell>
          <cell r="BU113">
            <v>0</v>
          </cell>
          <cell r="BV113">
            <v>0</v>
          </cell>
          <cell r="BW113">
            <v>0</v>
          </cell>
          <cell r="BX113">
            <v>224</v>
          </cell>
          <cell r="BY113">
            <v>0</v>
          </cell>
          <cell r="BZ113">
            <v>0</v>
          </cell>
          <cell r="CA113">
            <v>0</v>
          </cell>
          <cell r="CB113">
            <v>0</v>
          </cell>
          <cell r="CC113">
            <v>0</v>
          </cell>
          <cell r="CD113"/>
          <cell r="CE113"/>
          <cell r="CF113"/>
          <cell r="CG113">
            <v>4</v>
          </cell>
          <cell r="CH113">
            <v>4</v>
          </cell>
          <cell r="CI113">
            <v>4</v>
          </cell>
          <cell r="CJ113">
            <v>0</v>
          </cell>
          <cell r="CK113">
            <v>0</v>
          </cell>
          <cell r="CL113">
            <v>0</v>
          </cell>
          <cell r="CM113">
            <v>0</v>
          </cell>
          <cell r="CN113">
            <v>0</v>
          </cell>
          <cell r="CO113">
            <v>0</v>
          </cell>
          <cell r="CP113">
            <v>0</v>
          </cell>
          <cell r="CQ113">
            <v>0</v>
          </cell>
          <cell r="CR113">
            <v>0</v>
          </cell>
          <cell r="CS113">
            <v>0</v>
          </cell>
          <cell r="CT113">
            <v>0</v>
          </cell>
          <cell r="CU113">
            <v>3</v>
          </cell>
          <cell r="CV113">
            <v>3</v>
          </cell>
          <cell r="CW113">
            <v>3</v>
          </cell>
          <cell r="CX113">
            <v>0</v>
          </cell>
          <cell r="CY113">
            <v>0</v>
          </cell>
          <cell r="CZ113">
            <v>0</v>
          </cell>
          <cell r="DA113">
            <v>4</v>
          </cell>
          <cell r="DB113">
            <v>3</v>
          </cell>
          <cell r="DC113">
            <v>4</v>
          </cell>
          <cell r="DD113">
            <v>0</v>
          </cell>
          <cell r="DE113">
            <v>0</v>
          </cell>
          <cell r="DF113">
            <v>0</v>
          </cell>
          <cell r="DG113">
            <v>0</v>
          </cell>
          <cell r="DH113">
            <v>0</v>
          </cell>
          <cell r="DI113">
            <v>0</v>
          </cell>
          <cell r="DJ113">
            <v>0</v>
          </cell>
          <cell r="DK113">
            <v>0</v>
          </cell>
          <cell r="DL113">
            <v>0</v>
          </cell>
          <cell r="DM113">
            <v>0</v>
          </cell>
          <cell r="DN113" t="str">
            <v/>
          </cell>
          <cell r="DO113" t="str">
            <v/>
          </cell>
          <cell r="DP113" t="str">
            <v/>
          </cell>
          <cell r="DQ113"/>
          <cell r="DR113"/>
          <cell r="DS113"/>
          <cell r="DT113">
            <v>32</v>
          </cell>
          <cell r="DU113">
            <v>0</v>
          </cell>
          <cell r="DV113"/>
          <cell r="DW113"/>
          <cell r="DX113"/>
          <cell r="DY113"/>
        </row>
        <row r="114">
          <cell r="E114" t="str">
            <v>04465</v>
          </cell>
          <cell r="F114" t="str">
            <v>Trần Văn Linh</v>
          </cell>
          <cell r="G114" t="str">
            <v>Foaming</v>
          </cell>
          <cell r="H114" t="str">
            <v>FOAMING Rectangular</v>
          </cell>
          <cell r="I114" t="str">
            <v>Worker</v>
          </cell>
          <cell r="J114" t="str">
            <v>26/02/2025</v>
          </cell>
          <cell r="K114"/>
          <cell r="L114" t="str">
            <v>Đ</v>
          </cell>
          <cell r="M114" t="str">
            <v>Đ</v>
          </cell>
          <cell r="N114" t="str">
            <v>Đ</v>
          </cell>
          <cell r="O114" t="str">
            <v>Ca 3</v>
          </cell>
          <cell r="P114" t="str">
            <v>CN</v>
          </cell>
          <cell r="Q114">
            <v>8</v>
          </cell>
          <cell r="R114">
            <v>8</v>
          </cell>
          <cell r="S114">
            <v>8</v>
          </cell>
          <cell r="T114">
            <v>8</v>
          </cell>
          <cell r="U114">
            <v>8</v>
          </cell>
          <cell r="V114">
            <v>8</v>
          </cell>
          <cell r="W114" t="str">
            <v>Ca 1</v>
          </cell>
          <cell r="X114" t="str">
            <v>CN</v>
          </cell>
          <cell r="Y114" t="str">
            <v>Đ</v>
          </cell>
          <cell r="Z114" t="str">
            <v>Đ</v>
          </cell>
          <cell r="AA114" t="str">
            <v>NP</v>
          </cell>
          <cell r="AB114" t="str">
            <v>Đ</v>
          </cell>
          <cell r="AC114" t="str">
            <v>Đ</v>
          </cell>
          <cell r="AD114" t="str">
            <v>Đ</v>
          </cell>
          <cell r="AE114" t="str">
            <v>Ca 3</v>
          </cell>
          <cell r="AF114" t="str">
            <v>CN</v>
          </cell>
          <cell r="AG114">
            <v>8</v>
          </cell>
          <cell r="AH114">
            <v>8</v>
          </cell>
          <cell r="AI114">
            <v>8</v>
          </cell>
          <cell r="AJ114">
            <v>8</v>
          </cell>
          <cell r="AK114">
            <v>8</v>
          </cell>
          <cell r="AL114">
            <v>8</v>
          </cell>
          <cell r="AM114" t="str">
            <v>Ca 2</v>
          </cell>
          <cell r="AN114" t="str">
            <v>CN</v>
          </cell>
          <cell r="AO114">
            <v>8</v>
          </cell>
          <cell r="AP114">
            <v>8</v>
          </cell>
          <cell r="AQ114">
            <v>8</v>
          </cell>
          <cell r="AR114">
            <v>8</v>
          </cell>
          <cell r="AS114">
            <v>8</v>
          </cell>
          <cell r="AT114">
            <v>8</v>
          </cell>
          <cell r="AU114" t="str">
            <v>Ca 1</v>
          </cell>
          <cell r="AV114" t="str">
            <v>H</v>
          </cell>
          <cell r="AW114" t="str">
            <v>X</v>
          </cell>
          <cell r="AX114">
            <v>8</v>
          </cell>
          <cell r="AY114">
            <v>8</v>
          </cell>
          <cell r="AZ114" t="str">
            <v>H</v>
          </cell>
          <cell r="BA114" t="str">
            <v/>
          </cell>
          <cell r="BB114" t="str">
            <v/>
          </cell>
          <cell r="BC114" t="str">
            <v>Ca 1</v>
          </cell>
          <cell r="BD114" t="str">
            <v/>
          </cell>
          <cell r="BE114">
            <v>64</v>
          </cell>
          <cell r="BF114">
            <v>160</v>
          </cell>
          <cell r="BG114">
            <v>0</v>
          </cell>
          <cell r="BH114">
            <v>0</v>
          </cell>
          <cell r="BI114">
            <v>0</v>
          </cell>
          <cell r="BJ114">
            <v>0</v>
          </cell>
          <cell r="BK114">
            <v>1</v>
          </cell>
          <cell r="BL114">
            <v>0</v>
          </cell>
          <cell r="BM114">
            <v>0</v>
          </cell>
          <cell r="BN114">
            <v>0</v>
          </cell>
          <cell r="BO114">
            <v>0</v>
          </cell>
          <cell r="BP114">
            <v>0</v>
          </cell>
          <cell r="BQ114">
            <v>0</v>
          </cell>
          <cell r="BR114">
            <v>0</v>
          </cell>
          <cell r="BS114">
            <v>16</v>
          </cell>
          <cell r="BT114">
            <v>0</v>
          </cell>
          <cell r="BU114">
            <v>0</v>
          </cell>
          <cell r="BV114">
            <v>0</v>
          </cell>
          <cell r="BW114">
            <v>0</v>
          </cell>
          <cell r="BX114">
            <v>240</v>
          </cell>
          <cell r="BY114">
            <v>0</v>
          </cell>
          <cell r="BZ114">
            <v>0</v>
          </cell>
          <cell r="CA114">
            <v>0</v>
          </cell>
          <cell r="CB114">
            <v>0</v>
          </cell>
          <cell r="CC114">
            <v>0</v>
          </cell>
          <cell r="CD114"/>
          <cell r="CE114"/>
          <cell r="CF114"/>
          <cell r="CG114">
            <v>4</v>
          </cell>
          <cell r="CH114">
            <v>4</v>
          </cell>
          <cell r="CI114">
            <v>4</v>
          </cell>
          <cell r="CJ114">
            <v>0</v>
          </cell>
          <cell r="CK114">
            <v>4</v>
          </cell>
          <cell r="CL114">
            <v>0</v>
          </cell>
          <cell r="CM114">
            <v>0</v>
          </cell>
          <cell r="CN114">
            <v>0</v>
          </cell>
          <cell r="CO114">
            <v>0</v>
          </cell>
          <cell r="CP114">
            <v>0</v>
          </cell>
          <cell r="CQ114">
            <v>0</v>
          </cell>
          <cell r="CR114">
            <v>0</v>
          </cell>
          <cell r="CS114">
            <v>0</v>
          </cell>
          <cell r="CT114">
            <v>0</v>
          </cell>
          <cell r="CU114">
            <v>0</v>
          </cell>
          <cell r="CV114">
            <v>4</v>
          </cell>
          <cell r="CW114">
            <v>0</v>
          </cell>
          <cell r="CX114">
            <v>0</v>
          </cell>
          <cell r="CY114">
            <v>0</v>
          </cell>
          <cell r="CZ114">
            <v>0</v>
          </cell>
          <cell r="DA114">
            <v>4</v>
          </cell>
          <cell r="DB114">
            <v>0</v>
          </cell>
          <cell r="DC114">
            <v>0</v>
          </cell>
          <cell r="DD114">
            <v>0</v>
          </cell>
          <cell r="DE114">
            <v>0</v>
          </cell>
          <cell r="DF114">
            <v>4</v>
          </cell>
          <cell r="DG114">
            <v>0</v>
          </cell>
          <cell r="DH114">
            <v>4</v>
          </cell>
          <cell r="DI114">
            <v>4</v>
          </cell>
          <cell r="DJ114">
            <v>0</v>
          </cell>
          <cell r="DK114">
            <v>0</v>
          </cell>
          <cell r="DL114">
            <v>0</v>
          </cell>
          <cell r="DM114">
            <v>0</v>
          </cell>
          <cell r="DN114" t="str">
            <v/>
          </cell>
          <cell r="DO114" t="str">
            <v/>
          </cell>
          <cell r="DP114" t="str">
            <v/>
          </cell>
          <cell r="DQ114"/>
          <cell r="DR114"/>
          <cell r="DS114"/>
          <cell r="DT114">
            <v>36</v>
          </cell>
          <cell r="DU114">
            <v>0</v>
          </cell>
          <cell r="DV114"/>
          <cell r="DW114"/>
          <cell r="DX114"/>
          <cell r="DY114"/>
        </row>
        <row r="115">
          <cell r="E115" t="str">
            <v>04517</v>
          </cell>
          <cell r="F115" t="str">
            <v>Hoàng Văn Anh</v>
          </cell>
          <cell r="G115" t="str">
            <v>Foaming</v>
          </cell>
          <cell r="H115" t="str">
            <v>FOAMING Rectangular</v>
          </cell>
          <cell r="I115" t="str">
            <v>Worker</v>
          </cell>
          <cell r="J115" t="str">
            <v>05/03/2025</v>
          </cell>
          <cell r="K115"/>
          <cell r="L115" t="str">
            <v>Đ</v>
          </cell>
          <cell r="M115" t="str">
            <v>Đ</v>
          </cell>
          <cell r="N115" t="str">
            <v>Đ</v>
          </cell>
          <cell r="O115" t="str">
            <v>Ca 3</v>
          </cell>
          <cell r="P115" t="str">
            <v>CN</v>
          </cell>
          <cell r="Q115">
            <v>8</v>
          </cell>
          <cell r="R115">
            <v>8</v>
          </cell>
          <cell r="S115">
            <v>8</v>
          </cell>
          <cell r="T115">
            <v>8</v>
          </cell>
          <cell r="U115">
            <v>8</v>
          </cell>
          <cell r="V115">
            <v>8</v>
          </cell>
          <cell r="W115" t="str">
            <v>Ca 1</v>
          </cell>
          <cell r="X115" t="str">
            <v>CN</v>
          </cell>
          <cell r="Y115" t="str">
            <v>Đ</v>
          </cell>
          <cell r="Z115" t="str">
            <v>Đ</v>
          </cell>
          <cell r="AA115" t="str">
            <v>Đ</v>
          </cell>
          <cell r="AB115" t="str">
            <v>Đ</v>
          </cell>
          <cell r="AC115" t="str">
            <v>Đ</v>
          </cell>
          <cell r="AD115" t="str">
            <v>Đ</v>
          </cell>
          <cell r="AE115" t="str">
            <v>Ca 3</v>
          </cell>
          <cell r="AF115" t="str">
            <v>CN</v>
          </cell>
          <cell r="AG115">
            <v>8</v>
          </cell>
          <cell r="AH115">
            <v>8</v>
          </cell>
          <cell r="AI115">
            <v>8</v>
          </cell>
          <cell r="AJ115">
            <v>8</v>
          </cell>
          <cell r="AK115">
            <v>8</v>
          </cell>
          <cell r="AL115">
            <v>8</v>
          </cell>
          <cell r="AM115" t="str">
            <v>Ca 2</v>
          </cell>
          <cell r="AN115" t="str">
            <v>CN</v>
          </cell>
          <cell r="AO115">
            <v>8</v>
          </cell>
          <cell r="AP115">
            <v>8</v>
          </cell>
          <cell r="AQ115">
            <v>8</v>
          </cell>
          <cell r="AR115">
            <v>8</v>
          </cell>
          <cell r="AS115">
            <v>8</v>
          </cell>
          <cell r="AT115">
            <v>8</v>
          </cell>
          <cell r="AU115" t="str">
            <v>Ca 1</v>
          </cell>
          <cell r="AV115" t="str">
            <v>H</v>
          </cell>
          <cell r="AW115" t="str">
            <v>X</v>
          </cell>
          <cell r="AX115">
            <v>8</v>
          </cell>
          <cell r="AY115">
            <v>8</v>
          </cell>
          <cell r="AZ115" t="str">
            <v>H</v>
          </cell>
          <cell r="BA115" t="str">
            <v/>
          </cell>
          <cell r="BB115" t="str">
            <v/>
          </cell>
          <cell r="BC115" t="str">
            <v>Ca 1</v>
          </cell>
          <cell r="BD115" t="str">
            <v/>
          </cell>
          <cell r="BE115">
            <v>72</v>
          </cell>
          <cell r="BF115">
            <v>160</v>
          </cell>
          <cell r="BG115">
            <v>0</v>
          </cell>
          <cell r="BH115">
            <v>0</v>
          </cell>
          <cell r="BI115">
            <v>0</v>
          </cell>
          <cell r="BJ115">
            <v>0</v>
          </cell>
          <cell r="BK115">
            <v>0</v>
          </cell>
          <cell r="BL115">
            <v>0</v>
          </cell>
          <cell r="BM115">
            <v>0</v>
          </cell>
          <cell r="BN115">
            <v>0</v>
          </cell>
          <cell r="BO115">
            <v>0</v>
          </cell>
          <cell r="BP115">
            <v>0</v>
          </cell>
          <cell r="BQ115">
            <v>0</v>
          </cell>
          <cell r="BR115">
            <v>0</v>
          </cell>
          <cell r="BS115">
            <v>16</v>
          </cell>
          <cell r="BT115">
            <v>0</v>
          </cell>
          <cell r="BU115">
            <v>0</v>
          </cell>
          <cell r="BV115">
            <v>0</v>
          </cell>
          <cell r="BW115">
            <v>0</v>
          </cell>
          <cell r="BX115">
            <v>248</v>
          </cell>
          <cell r="BY115">
            <v>0</v>
          </cell>
          <cell r="BZ115">
            <v>0</v>
          </cell>
          <cell r="CA115">
            <v>0</v>
          </cell>
          <cell r="CB115">
            <v>0</v>
          </cell>
          <cell r="CC115">
            <v>0</v>
          </cell>
          <cell r="CD115"/>
          <cell r="CE115"/>
          <cell r="CF115"/>
          <cell r="CG115">
            <v>4</v>
          </cell>
          <cell r="CH115">
            <v>4</v>
          </cell>
          <cell r="CI115">
            <v>4</v>
          </cell>
          <cell r="CJ115">
            <v>0</v>
          </cell>
          <cell r="CK115">
            <v>0</v>
          </cell>
          <cell r="CL115">
            <v>4</v>
          </cell>
          <cell r="CM115">
            <v>0</v>
          </cell>
          <cell r="CN115">
            <v>0</v>
          </cell>
          <cell r="CO115">
            <v>0</v>
          </cell>
          <cell r="CP115">
            <v>0</v>
          </cell>
          <cell r="CQ115">
            <v>0</v>
          </cell>
          <cell r="CR115">
            <v>0</v>
          </cell>
          <cell r="CS115">
            <v>0</v>
          </cell>
          <cell r="CT115">
            <v>0</v>
          </cell>
          <cell r="CU115">
            <v>2</v>
          </cell>
          <cell r="CV115">
            <v>2</v>
          </cell>
          <cell r="CW115">
            <v>2</v>
          </cell>
          <cell r="CX115">
            <v>0</v>
          </cell>
          <cell r="CY115">
            <v>0</v>
          </cell>
          <cell r="CZ115">
            <v>0</v>
          </cell>
          <cell r="DA115">
            <v>0</v>
          </cell>
          <cell r="DB115">
            <v>0</v>
          </cell>
          <cell r="DC115">
            <v>0</v>
          </cell>
          <cell r="DD115">
            <v>0</v>
          </cell>
          <cell r="DE115">
            <v>0</v>
          </cell>
          <cell r="DF115">
            <v>0</v>
          </cell>
          <cell r="DG115">
            <v>0</v>
          </cell>
          <cell r="DH115">
            <v>0</v>
          </cell>
          <cell r="DI115">
            <v>0</v>
          </cell>
          <cell r="DJ115">
            <v>0</v>
          </cell>
          <cell r="DK115">
            <v>0</v>
          </cell>
          <cell r="DL115">
            <v>0</v>
          </cell>
          <cell r="DM115">
            <v>0</v>
          </cell>
          <cell r="DN115" t="str">
            <v/>
          </cell>
          <cell r="DO115" t="str">
            <v/>
          </cell>
          <cell r="DP115" t="str">
            <v/>
          </cell>
          <cell r="DQ115"/>
          <cell r="DR115"/>
          <cell r="DS115"/>
          <cell r="DT115">
            <v>22</v>
          </cell>
          <cell r="DU115">
            <v>0</v>
          </cell>
          <cell r="DV115"/>
          <cell r="DW115"/>
          <cell r="DX115"/>
          <cell r="DY115"/>
        </row>
        <row r="116">
          <cell r="E116" t="str">
            <v>04546</v>
          </cell>
          <cell r="F116" t="str">
            <v>Nguyễn Thái Hoàng</v>
          </cell>
          <cell r="G116" t="str">
            <v>Foaming</v>
          </cell>
          <cell r="H116" t="str">
            <v>FOAMING Rectangular</v>
          </cell>
          <cell r="I116" t="str">
            <v>Worker</v>
          </cell>
          <cell r="J116" t="str">
            <v>14/03/2025</v>
          </cell>
          <cell r="K116"/>
          <cell r="L116" t="str">
            <v>Đ</v>
          </cell>
          <cell r="M116" t="str">
            <v>Đ</v>
          </cell>
          <cell r="N116" t="str">
            <v>Đ</v>
          </cell>
          <cell r="O116" t="str">
            <v>Ca 3</v>
          </cell>
          <cell r="P116" t="str">
            <v>CN</v>
          </cell>
          <cell r="Q116">
            <v>8</v>
          </cell>
          <cell r="R116">
            <v>8</v>
          </cell>
          <cell r="S116">
            <v>8</v>
          </cell>
          <cell r="T116">
            <v>8</v>
          </cell>
          <cell r="U116">
            <v>8</v>
          </cell>
          <cell r="V116">
            <v>8</v>
          </cell>
          <cell r="W116" t="str">
            <v>Ca 1</v>
          </cell>
          <cell r="X116" t="str">
            <v>CN</v>
          </cell>
          <cell r="Y116">
            <v>8</v>
          </cell>
          <cell r="Z116">
            <v>8</v>
          </cell>
          <cell r="AA116">
            <v>8</v>
          </cell>
          <cell r="AB116">
            <v>8</v>
          </cell>
          <cell r="AC116">
            <v>8</v>
          </cell>
          <cell r="AD116">
            <v>8</v>
          </cell>
          <cell r="AE116" t="str">
            <v>Ca 1</v>
          </cell>
          <cell r="AF116" t="str">
            <v>CN</v>
          </cell>
          <cell r="AG116">
            <v>8</v>
          </cell>
          <cell r="AH116">
            <v>8</v>
          </cell>
          <cell r="AI116">
            <v>8</v>
          </cell>
          <cell r="AJ116" t="str">
            <v>NP</v>
          </cell>
          <cell r="AK116" t="str">
            <v>NP</v>
          </cell>
          <cell r="AL116" t="str">
            <v>NP</v>
          </cell>
          <cell r="AM116" t="str">
            <v>Ca 1</v>
          </cell>
          <cell r="AN116" t="str">
            <v>CN</v>
          </cell>
          <cell r="AO116">
            <v>8</v>
          </cell>
          <cell r="AP116">
            <v>8</v>
          </cell>
          <cell r="AQ116">
            <v>8</v>
          </cell>
          <cell r="AR116">
            <v>8</v>
          </cell>
          <cell r="AS116">
            <v>8</v>
          </cell>
          <cell r="AT116">
            <v>8</v>
          </cell>
          <cell r="AU116" t="str">
            <v>Ca 2</v>
          </cell>
          <cell r="AV116" t="str">
            <v>H</v>
          </cell>
          <cell r="AW116" t="str">
            <v>X</v>
          </cell>
          <cell r="AX116">
            <v>8</v>
          </cell>
          <cell r="AY116">
            <v>8</v>
          </cell>
          <cell r="AZ116" t="str">
            <v>H</v>
          </cell>
          <cell r="BA116" t="str">
            <v/>
          </cell>
          <cell r="BB116" t="str">
            <v/>
          </cell>
          <cell r="BC116" t="str">
            <v>Ca 2</v>
          </cell>
          <cell r="BD116" t="str">
            <v/>
          </cell>
          <cell r="BE116">
            <v>24</v>
          </cell>
          <cell r="BF116">
            <v>184</v>
          </cell>
          <cell r="BG116">
            <v>0</v>
          </cell>
          <cell r="BH116">
            <v>0</v>
          </cell>
          <cell r="BI116">
            <v>0</v>
          </cell>
          <cell r="BJ116">
            <v>0</v>
          </cell>
          <cell r="BK116">
            <v>3</v>
          </cell>
          <cell r="BL116">
            <v>0</v>
          </cell>
          <cell r="BM116">
            <v>0</v>
          </cell>
          <cell r="BN116">
            <v>0</v>
          </cell>
          <cell r="BO116">
            <v>0</v>
          </cell>
          <cell r="BP116">
            <v>0</v>
          </cell>
          <cell r="BQ116">
            <v>0</v>
          </cell>
          <cell r="BR116">
            <v>0</v>
          </cell>
          <cell r="BS116">
            <v>16</v>
          </cell>
          <cell r="BT116">
            <v>0</v>
          </cell>
          <cell r="BU116">
            <v>0</v>
          </cell>
          <cell r="BV116">
            <v>0</v>
          </cell>
          <cell r="BW116">
            <v>0</v>
          </cell>
          <cell r="BX116">
            <v>224</v>
          </cell>
          <cell r="BY116">
            <v>0</v>
          </cell>
          <cell r="BZ116">
            <v>0</v>
          </cell>
          <cell r="CA116">
            <v>0</v>
          </cell>
          <cell r="CB116">
            <v>0</v>
          </cell>
          <cell r="CC116">
            <v>0</v>
          </cell>
          <cell r="CD116"/>
          <cell r="CE116"/>
          <cell r="CF116"/>
          <cell r="CG116">
            <v>4</v>
          </cell>
          <cell r="CH116">
            <v>4</v>
          </cell>
          <cell r="CI116">
            <v>4</v>
          </cell>
          <cell r="CJ116">
            <v>0</v>
          </cell>
          <cell r="CK116">
            <v>0</v>
          </cell>
          <cell r="CL116">
            <v>0</v>
          </cell>
          <cell r="CM116">
            <v>4</v>
          </cell>
          <cell r="CN116">
            <v>4</v>
          </cell>
          <cell r="CO116">
            <v>2</v>
          </cell>
          <cell r="CP116">
            <v>2</v>
          </cell>
          <cell r="CQ116">
            <v>0</v>
          </cell>
          <cell r="CR116">
            <v>0</v>
          </cell>
          <cell r="CS116">
            <v>0</v>
          </cell>
          <cell r="CT116">
            <v>0</v>
          </cell>
          <cell r="CU116">
            <v>0</v>
          </cell>
          <cell r="CV116">
            <v>0</v>
          </cell>
          <cell r="CW116">
            <v>0</v>
          </cell>
          <cell r="CX116">
            <v>0</v>
          </cell>
          <cell r="CY116">
            <v>4</v>
          </cell>
          <cell r="CZ116">
            <v>4</v>
          </cell>
          <cell r="DA116">
            <v>4</v>
          </cell>
          <cell r="DB116">
            <v>0</v>
          </cell>
          <cell r="DC116">
            <v>0</v>
          </cell>
          <cell r="DD116">
            <v>0</v>
          </cell>
          <cell r="DE116">
            <v>0</v>
          </cell>
          <cell r="DF116">
            <v>0</v>
          </cell>
          <cell r="DG116">
            <v>0</v>
          </cell>
          <cell r="DH116">
            <v>0</v>
          </cell>
          <cell r="DI116">
            <v>0</v>
          </cell>
          <cell r="DJ116">
            <v>0</v>
          </cell>
          <cell r="DK116">
            <v>0</v>
          </cell>
          <cell r="DL116">
            <v>0</v>
          </cell>
          <cell r="DM116">
            <v>0</v>
          </cell>
          <cell r="DN116" t="str">
            <v/>
          </cell>
          <cell r="DO116" t="str">
            <v/>
          </cell>
          <cell r="DP116" t="str">
            <v/>
          </cell>
          <cell r="DQ116"/>
          <cell r="DR116"/>
          <cell r="DS116"/>
          <cell r="DT116">
            <v>36</v>
          </cell>
          <cell r="DU116">
            <v>0</v>
          </cell>
          <cell r="DV116"/>
          <cell r="DW116"/>
          <cell r="DX116"/>
          <cell r="DY116"/>
        </row>
        <row r="117">
          <cell r="E117" t="str">
            <v>04667</v>
          </cell>
          <cell r="F117" t="str">
            <v>Hoàng Minh Thuỳ</v>
          </cell>
          <cell r="G117" t="str">
            <v>Foaming</v>
          </cell>
          <cell r="H117" t="str">
            <v>FOAMING Production control</v>
          </cell>
          <cell r="I117" t="str">
            <v xml:space="preserve">Chemical Associate Engineer </v>
          </cell>
          <cell r="J117" t="str">
            <v>26/06/2025</v>
          </cell>
          <cell r="K117"/>
          <cell r="L117">
            <v>8</v>
          </cell>
          <cell r="M117">
            <v>8</v>
          </cell>
          <cell r="N117" t="str">
            <v>PO</v>
          </cell>
          <cell r="O117" t="str">
            <v>HCVP</v>
          </cell>
          <cell r="P117" t="str">
            <v>CN</v>
          </cell>
          <cell r="Q117">
            <v>8</v>
          </cell>
          <cell r="R117">
            <v>8</v>
          </cell>
          <cell r="S117">
            <v>8</v>
          </cell>
          <cell r="T117">
            <v>8</v>
          </cell>
          <cell r="U117">
            <v>8</v>
          </cell>
          <cell r="V117" t="str">
            <v>PO</v>
          </cell>
          <cell r="W117" t="str">
            <v>HCVP</v>
          </cell>
          <cell r="X117" t="str">
            <v>CN</v>
          </cell>
          <cell r="Y117">
            <v>8</v>
          </cell>
          <cell r="Z117">
            <v>8</v>
          </cell>
          <cell r="AA117">
            <v>8</v>
          </cell>
          <cell r="AB117">
            <v>8</v>
          </cell>
          <cell r="AC117">
            <v>8</v>
          </cell>
          <cell r="AD117" t="str">
            <v>PO</v>
          </cell>
          <cell r="AE117" t="str">
            <v>HCVP</v>
          </cell>
          <cell r="AF117" t="str">
            <v>CN</v>
          </cell>
          <cell r="AG117">
            <v>8</v>
          </cell>
          <cell r="AH117">
            <v>8</v>
          </cell>
          <cell r="AI117">
            <v>8</v>
          </cell>
          <cell r="AJ117">
            <v>8</v>
          </cell>
          <cell r="AK117">
            <v>8</v>
          </cell>
          <cell r="AL117" t="str">
            <v>PO</v>
          </cell>
          <cell r="AM117" t="str">
            <v>HCVP</v>
          </cell>
          <cell r="AN117" t="str">
            <v>CN</v>
          </cell>
          <cell r="AO117">
            <v>8</v>
          </cell>
          <cell r="AP117">
            <v>8</v>
          </cell>
          <cell r="AQ117">
            <v>8</v>
          </cell>
          <cell r="AR117">
            <v>8</v>
          </cell>
          <cell r="AS117">
            <v>8</v>
          </cell>
          <cell r="AT117" t="str">
            <v>PO</v>
          </cell>
          <cell r="AU117" t="str">
            <v>HCVP</v>
          </cell>
          <cell r="AV117" t="str">
            <v>H</v>
          </cell>
          <cell r="AW117" t="str">
            <v>X</v>
          </cell>
          <cell r="AX117" t="str">
            <v>AL8</v>
          </cell>
          <cell r="AY117" t="str">
            <v>AL8</v>
          </cell>
          <cell r="AZ117" t="str">
            <v>H</v>
          </cell>
          <cell r="BA117" t="str">
            <v/>
          </cell>
          <cell r="BB117" t="str">
            <v/>
          </cell>
          <cell r="BC117" t="str">
            <v>HCVP</v>
          </cell>
          <cell r="BD117" t="str">
            <v/>
          </cell>
          <cell r="BE117">
            <v>0</v>
          </cell>
          <cell r="BF117">
            <v>176</v>
          </cell>
          <cell r="BG117">
            <v>0</v>
          </cell>
          <cell r="BH117">
            <v>0</v>
          </cell>
          <cell r="BI117">
            <v>0</v>
          </cell>
          <cell r="BJ117">
            <v>0</v>
          </cell>
          <cell r="BK117">
            <v>0</v>
          </cell>
          <cell r="BL117">
            <v>0</v>
          </cell>
          <cell r="BM117">
            <v>40</v>
          </cell>
          <cell r="BN117">
            <v>0</v>
          </cell>
          <cell r="BO117">
            <v>0</v>
          </cell>
          <cell r="BP117">
            <v>0</v>
          </cell>
          <cell r="BQ117">
            <v>0</v>
          </cell>
          <cell r="BR117">
            <v>16</v>
          </cell>
          <cell r="BS117">
            <v>16</v>
          </cell>
          <cell r="BT117">
            <v>0</v>
          </cell>
          <cell r="BU117">
            <v>0</v>
          </cell>
          <cell r="BV117">
            <v>0</v>
          </cell>
          <cell r="BW117">
            <v>0</v>
          </cell>
          <cell r="BX117">
            <v>248</v>
          </cell>
          <cell r="BY117">
            <v>2</v>
          </cell>
          <cell r="BZ117">
            <v>0</v>
          </cell>
          <cell r="CA117">
            <v>0</v>
          </cell>
          <cell r="CB117">
            <v>2</v>
          </cell>
          <cell r="CC117">
            <v>2</v>
          </cell>
          <cell r="CD117"/>
          <cell r="CE117"/>
          <cell r="CF117"/>
          <cell r="CG117">
            <v>0</v>
          </cell>
          <cell r="CH117">
            <v>0</v>
          </cell>
          <cell r="CI117">
            <v>0</v>
          </cell>
          <cell r="CJ117">
            <v>0</v>
          </cell>
          <cell r="CK117">
            <v>0</v>
          </cell>
          <cell r="CL117">
            <v>0</v>
          </cell>
          <cell r="CM117">
            <v>0</v>
          </cell>
          <cell r="CN117">
            <v>0</v>
          </cell>
          <cell r="CO117">
            <v>0</v>
          </cell>
          <cell r="CP117">
            <v>0</v>
          </cell>
          <cell r="CQ117">
            <v>0</v>
          </cell>
          <cell r="CR117">
            <v>0</v>
          </cell>
          <cell r="CS117">
            <v>0</v>
          </cell>
          <cell r="CT117">
            <v>0</v>
          </cell>
          <cell r="CU117">
            <v>0</v>
          </cell>
          <cell r="CV117">
            <v>0</v>
          </cell>
          <cell r="CW117">
            <v>0</v>
          </cell>
          <cell r="CX117">
            <v>0</v>
          </cell>
          <cell r="CY117">
            <v>0</v>
          </cell>
          <cell r="CZ117">
            <v>0</v>
          </cell>
          <cell r="DA117">
            <v>0</v>
          </cell>
          <cell r="DB117">
            <v>0</v>
          </cell>
          <cell r="DC117">
            <v>0</v>
          </cell>
          <cell r="DD117">
            <v>0</v>
          </cell>
          <cell r="DE117">
            <v>0</v>
          </cell>
          <cell r="DF117">
            <v>0</v>
          </cell>
          <cell r="DG117">
            <v>0</v>
          </cell>
          <cell r="DH117">
            <v>0</v>
          </cell>
          <cell r="DI117">
            <v>0</v>
          </cell>
          <cell r="DJ117">
            <v>0</v>
          </cell>
          <cell r="DK117">
            <v>0</v>
          </cell>
          <cell r="DL117">
            <v>0</v>
          </cell>
          <cell r="DM117">
            <v>0</v>
          </cell>
          <cell r="DN117" t="str">
            <v/>
          </cell>
          <cell r="DO117" t="str">
            <v/>
          </cell>
          <cell r="DP117" t="str">
            <v/>
          </cell>
          <cell r="DQ117"/>
          <cell r="DR117"/>
          <cell r="DS117"/>
          <cell r="DT117">
            <v>0</v>
          </cell>
          <cell r="DU117">
            <v>0</v>
          </cell>
          <cell r="DV117"/>
          <cell r="DW117"/>
          <cell r="DX117"/>
          <cell r="DY117"/>
        </row>
        <row r="118">
          <cell r="E118" t="str">
            <v>04681</v>
          </cell>
          <cell r="F118" t="str">
            <v>Đoàn Minh Trí</v>
          </cell>
          <cell r="G118" t="str">
            <v>Foaming</v>
          </cell>
          <cell r="H118" t="str">
            <v>FOAMING Splitting</v>
          </cell>
          <cell r="I118" t="str">
            <v>Forklift Driver</v>
          </cell>
          <cell r="J118" t="str">
            <v>21/07/2025</v>
          </cell>
          <cell r="K118"/>
          <cell r="L118">
            <v>8</v>
          </cell>
          <cell r="M118">
            <v>8</v>
          </cell>
          <cell r="N118">
            <v>8</v>
          </cell>
          <cell r="O118" t="str">
            <v>Ca 1</v>
          </cell>
          <cell r="P118" t="str">
            <v>CN</v>
          </cell>
          <cell r="Q118">
            <v>8</v>
          </cell>
          <cell r="R118">
            <v>8</v>
          </cell>
          <cell r="S118">
            <v>8</v>
          </cell>
          <cell r="T118">
            <v>8</v>
          </cell>
          <cell r="U118">
            <v>8</v>
          </cell>
          <cell r="V118">
            <v>8</v>
          </cell>
          <cell r="W118" t="str">
            <v>HCSX</v>
          </cell>
          <cell r="X118" t="str">
            <v>CN</v>
          </cell>
          <cell r="Y118">
            <v>8</v>
          </cell>
          <cell r="Z118">
            <v>8</v>
          </cell>
          <cell r="AA118">
            <v>8</v>
          </cell>
          <cell r="AB118">
            <v>8</v>
          </cell>
          <cell r="AC118">
            <v>8</v>
          </cell>
          <cell r="AD118">
            <v>8</v>
          </cell>
          <cell r="AE118" t="str">
            <v>HCSX</v>
          </cell>
          <cell r="AF118" t="str">
            <v>CN</v>
          </cell>
          <cell r="AG118" t="str">
            <v>NP</v>
          </cell>
          <cell r="AH118">
            <v>8</v>
          </cell>
          <cell r="AI118">
            <v>8</v>
          </cell>
          <cell r="AJ118">
            <v>8</v>
          </cell>
          <cell r="AK118">
            <v>8</v>
          </cell>
          <cell r="AL118">
            <v>8</v>
          </cell>
          <cell r="AM118" t="str">
            <v>HCSX</v>
          </cell>
          <cell r="AN118" t="str">
            <v>CN</v>
          </cell>
          <cell r="AO118">
            <v>8</v>
          </cell>
          <cell r="AP118">
            <v>8</v>
          </cell>
          <cell r="AQ118">
            <v>8</v>
          </cell>
          <cell r="AR118">
            <v>8</v>
          </cell>
          <cell r="AS118">
            <v>8</v>
          </cell>
          <cell r="AT118">
            <v>8</v>
          </cell>
          <cell r="AU118" t="str">
            <v>HCSX</v>
          </cell>
          <cell r="AV118" t="str">
            <v>H</v>
          </cell>
          <cell r="AW118" t="str">
            <v>X</v>
          </cell>
          <cell r="AX118">
            <v>8</v>
          </cell>
          <cell r="AY118">
            <v>8</v>
          </cell>
          <cell r="AZ118" t="str">
            <v>H</v>
          </cell>
          <cell r="BA118" t="str">
            <v/>
          </cell>
          <cell r="BB118" t="str">
            <v/>
          </cell>
          <cell r="BC118" t="str">
            <v>HCSX</v>
          </cell>
          <cell r="BD118" t="str">
            <v/>
          </cell>
          <cell r="BE118">
            <v>0</v>
          </cell>
          <cell r="BF118">
            <v>224</v>
          </cell>
          <cell r="BG118">
            <v>0</v>
          </cell>
          <cell r="BH118">
            <v>0</v>
          </cell>
          <cell r="BI118">
            <v>0</v>
          </cell>
          <cell r="BJ118">
            <v>0</v>
          </cell>
          <cell r="BK118">
            <v>1</v>
          </cell>
          <cell r="BL118">
            <v>0</v>
          </cell>
          <cell r="BM118">
            <v>0</v>
          </cell>
          <cell r="BN118">
            <v>0</v>
          </cell>
          <cell r="BO118">
            <v>0</v>
          </cell>
          <cell r="BP118">
            <v>0</v>
          </cell>
          <cell r="BQ118">
            <v>0</v>
          </cell>
          <cell r="BR118">
            <v>0</v>
          </cell>
          <cell r="BS118">
            <v>16</v>
          </cell>
          <cell r="BT118">
            <v>0</v>
          </cell>
          <cell r="BU118">
            <v>0</v>
          </cell>
          <cell r="BV118">
            <v>0</v>
          </cell>
          <cell r="BW118">
            <v>0</v>
          </cell>
          <cell r="BX118">
            <v>240</v>
          </cell>
          <cell r="BY118">
            <v>0</v>
          </cell>
          <cell r="BZ118">
            <v>0</v>
          </cell>
          <cell r="CA118">
            <v>0</v>
          </cell>
          <cell r="CB118">
            <v>0</v>
          </cell>
          <cell r="CC118">
            <v>0</v>
          </cell>
          <cell r="CD118"/>
          <cell r="CE118"/>
          <cell r="CF118"/>
          <cell r="CG118">
            <v>4</v>
          </cell>
          <cell r="CH118">
            <v>4</v>
          </cell>
          <cell r="CI118">
            <v>4</v>
          </cell>
          <cell r="CJ118">
            <v>0</v>
          </cell>
          <cell r="CK118">
            <v>0</v>
          </cell>
          <cell r="CL118">
            <v>3</v>
          </cell>
          <cell r="CM118">
            <v>2</v>
          </cell>
          <cell r="CN118">
            <v>2</v>
          </cell>
          <cell r="CO118">
            <v>2</v>
          </cell>
          <cell r="CP118">
            <v>2</v>
          </cell>
          <cell r="CQ118">
            <v>0</v>
          </cell>
          <cell r="CR118">
            <v>2</v>
          </cell>
          <cell r="CS118">
            <v>2</v>
          </cell>
          <cell r="CT118">
            <v>2</v>
          </cell>
          <cell r="CU118">
            <v>2</v>
          </cell>
          <cell r="CV118">
            <v>2</v>
          </cell>
          <cell r="CW118">
            <v>0</v>
          </cell>
          <cell r="CX118">
            <v>0</v>
          </cell>
          <cell r="CY118">
            <v>0</v>
          </cell>
          <cell r="CZ118">
            <v>0</v>
          </cell>
          <cell r="DA118">
            <v>2</v>
          </cell>
          <cell r="DB118">
            <v>2</v>
          </cell>
          <cell r="DC118">
            <v>0</v>
          </cell>
          <cell r="DD118">
            <v>0</v>
          </cell>
          <cell r="DE118">
            <v>0</v>
          </cell>
          <cell r="DF118">
            <v>0</v>
          </cell>
          <cell r="DG118">
            <v>0</v>
          </cell>
          <cell r="DH118">
            <v>0</v>
          </cell>
          <cell r="DI118">
            <v>0</v>
          </cell>
          <cell r="DJ118">
            <v>0</v>
          </cell>
          <cell r="DK118">
            <v>2</v>
          </cell>
          <cell r="DL118">
            <v>0</v>
          </cell>
          <cell r="DM118">
            <v>0</v>
          </cell>
          <cell r="DN118" t="str">
            <v/>
          </cell>
          <cell r="DO118" t="str">
            <v/>
          </cell>
          <cell r="DP118" t="str">
            <v/>
          </cell>
          <cell r="DQ118"/>
          <cell r="DR118"/>
          <cell r="DS118"/>
          <cell r="DT118">
            <v>39</v>
          </cell>
          <cell r="DU118">
            <v>0</v>
          </cell>
          <cell r="DV118"/>
          <cell r="DW118"/>
          <cell r="DX118"/>
          <cell r="DY118"/>
        </row>
        <row r="119">
          <cell r="E119" t="str">
            <v>04820</v>
          </cell>
          <cell r="F119" t="str">
            <v>Trần Tuấn Anh</v>
          </cell>
          <cell r="G119" t="str">
            <v>Foaming</v>
          </cell>
          <cell r="H119" t="str">
            <v>FOAMING Splitting</v>
          </cell>
          <cell r="I119" t="str">
            <v>Supervisor</v>
          </cell>
          <cell r="J119" t="str">
            <v>29/09/2025</v>
          </cell>
          <cell r="K119"/>
          <cell r="L119">
            <v>8</v>
          </cell>
          <cell r="M119">
            <v>8</v>
          </cell>
          <cell r="N119">
            <v>8</v>
          </cell>
          <cell r="O119" t="str">
            <v>Ca 1</v>
          </cell>
          <cell r="P119" t="str">
            <v>CN</v>
          </cell>
          <cell r="Q119" t="str">
            <v>Đ</v>
          </cell>
          <cell r="R119" t="str">
            <v>Đ</v>
          </cell>
          <cell r="S119" t="str">
            <v>Đ</v>
          </cell>
          <cell r="T119" t="str">
            <v>Đ</v>
          </cell>
          <cell r="U119" t="str">
            <v>Đ</v>
          </cell>
          <cell r="V119" t="str">
            <v>Đ</v>
          </cell>
          <cell r="W119" t="str">
            <v>Ca 3</v>
          </cell>
          <cell r="X119" t="str">
            <v>CN</v>
          </cell>
          <cell r="Y119" t="str">
            <v>Đ</v>
          </cell>
          <cell r="Z119" t="str">
            <v>Đ</v>
          </cell>
          <cell r="AA119" t="str">
            <v>Đ</v>
          </cell>
          <cell r="AB119" t="str">
            <v>Đ</v>
          </cell>
          <cell r="AC119" t="str">
            <v>Đ</v>
          </cell>
          <cell r="AD119" t="str">
            <v>Đ</v>
          </cell>
          <cell r="AE119" t="str">
            <v>Ca 3</v>
          </cell>
          <cell r="AF119" t="str">
            <v>CN</v>
          </cell>
          <cell r="AG119" t="str">
            <v>Đ</v>
          </cell>
          <cell r="AH119" t="str">
            <v>Đ</v>
          </cell>
          <cell r="AI119" t="str">
            <v>Đ</v>
          </cell>
          <cell r="AJ119" t="str">
            <v>Đ</v>
          </cell>
          <cell r="AK119" t="str">
            <v>Đ</v>
          </cell>
          <cell r="AL119" t="str">
            <v>Đ</v>
          </cell>
          <cell r="AM119" t="str">
            <v>Ca 3</v>
          </cell>
          <cell r="AN119" t="str">
            <v>CN</v>
          </cell>
          <cell r="AO119">
            <v>8</v>
          </cell>
          <cell r="AP119">
            <v>8</v>
          </cell>
          <cell r="AQ119">
            <v>8</v>
          </cell>
          <cell r="AR119">
            <v>8</v>
          </cell>
          <cell r="AS119">
            <v>8</v>
          </cell>
          <cell r="AT119">
            <v>8</v>
          </cell>
          <cell r="AU119" t="str">
            <v>HCSX</v>
          </cell>
          <cell r="AV119" t="str">
            <v>H</v>
          </cell>
          <cell r="AW119" t="str">
            <v>X</v>
          </cell>
          <cell r="AX119" t="str">
            <v>Đ</v>
          </cell>
          <cell r="AY119" t="str">
            <v>AL8</v>
          </cell>
          <cell r="AZ119" t="str">
            <v>H</v>
          </cell>
          <cell r="BA119" t="str">
            <v/>
          </cell>
          <cell r="BB119" t="str">
            <v/>
          </cell>
          <cell r="BC119" t="str">
            <v>Ca 3</v>
          </cell>
          <cell r="BD119" t="str">
            <v/>
          </cell>
          <cell r="BE119">
            <v>152</v>
          </cell>
          <cell r="BF119">
            <v>72</v>
          </cell>
          <cell r="BG119">
            <v>0</v>
          </cell>
          <cell r="BH119">
            <v>0</v>
          </cell>
          <cell r="BI119">
            <v>0</v>
          </cell>
          <cell r="BJ119">
            <v>0</v>
          </cell>
          <cell r="BK119">
            <v>0</v>
          </cell>
          <cell r="BL119">
            <v>0</v>
          </cell>
          <cell r="BM119">
            <v>0</v>
          </cell>
          <cell r="BN119">
            <v>0</v>
          </cell>
          <cell r="BO119">
            <v>0</v>
          </cell>
          <cell r="BP119">
            <v>0</v>
          </cell>
          <cell r="BQ119">
            <v>0</v>
          </cell>
          <cell r="BR119">
            <v>8</v>
          </cell>
          <cell r="BS119">
            <v>16</v>
          </cell>
          <cell r="BT119">
            <v>0</v>
          </cell>
          <cell r="BU119">
            <v>0</v>
          </cell>
          <cell r="BV119">
            <v>0</v>
          </cell>
          <cell r="BW119">
            <v>0</v>
          </cell>
          <cell r="BX119">
            <v>248</v>
          </cell>
          <cell r="BY119">
            <v>1</v>
          </cell>
          <cell r="BZ119">
            <v>0</v>
          </cell>
          <cell r="CA119">
            <v>0</v>
          </cell>
          <cell r="CB119">
            <v>1</v>
          </cell>
          <cell r="CC119">
            <v>1</v>
          </cell>
          <cell r="CD119"/>
          <cell r="CE119"/>
          <cell r="CF119"/>
          <cell r="CG119">
            <v>4</v>
          </cell>
          <cell r="CH119">
            <v>4</v>
          </cell>
          <cell r="CI119">
            <v>4</v>
          </cell>
          <cell r="CJ119">
            <v>0</v>
          </cell>
          <cell r="CK119">
            <v>0</v>
          </cell>
          <cell r="CL119">
            <v>0</v>
          </cell>
          <cell r="CM119">
            <v>4</v>
          </cell>
          <cell r="CN119">
            <v>0</v>
          </cell>
          <cell r="CO119">
            <v>0</v>
          </cell>
          <cell r="CP119">
            <v>0</v>
          </cell>
          <cell r="CQ119">
            <v>0</v>
          </cell>
          <cell r="CR119">
            <v>0</v>
          </cell>
          <cell r="CS119">
            <v>0</v>
          </cell>
          <cell r="CT119">
            <v>0</v>
          </cell>
          <cell r="CU119">
            <v>0</v>
          </cell>
          <cell r="CV119">
            <v>0</v>
          </cell>
          <cell r="CW119">
            <v>0</v>
          </cell>
          <cell r="CX119">
            <v>0</v>
          </cell>
          <cell r="CY119">
            <v>0</v>
          </cell>
          <cell r="CZ119">
            <v>2</v>
          </cell>
          <cell r="DA119">
            <v>0</v>
          </cell>
          <cell r="DB119">
            <v>0</v>
          </cell>
          <cell r="DC119">
            <v>2</v>
          </cell>
          <cell r="DD119">
            <v>2</v>
          </cell>
          <cell r="DE119">
            <v>0</v>
          </cell>
          <cell r="DF119">
            <v>0</v>
          </cell>
          <cell r="DG119">
            <v>0</v>
          </cell>
          <cell r="DH119">
            <v>0</v>
          </cell>
          <cell r="DI119">
            <v>0</v>
          </cell>
          <cell r="DJ119">
            <v>0</v>
          </cell>
          <cell r="DK119">
            <v>0</v>
          </cell>
          <cell r="DL119">
            <v>0</v>
          </cell>
          <cell r="DM119">
            <v>0</v>
          </cell>
          <cell r="DN119" t="str">
            <v/>
          </cell>
          <cell r="DO119" t="str">
            <v/>
          </cell>
          <cell r="DP119" t="str">
            <v/>
          </cell>
          <cell r="DQ119"/>
          <cell r="DR119"/>
          <cell r="DS119"/>
          <cell r="DT119">
            <v>22</v>
          </cell>
          <cell r="DU119">
            <v>0</v>
          </cell>
          <cell r="DV119"/>
          <cell r="DW119"/>
          <cell r="DX119"/>
          <cell r="DY119"/>
        </row>
        <row r="120">
          <cell r="E120" t="str">
            <v>02396</v>
          </cell>
          <cell r="F120" t="str">
            <v>Trương Hồng Gấm</v>
          </cell>
          <cell r="G120" t="str">
            <v>Foaming</v>
          </cell>
          <cell r="H120" t="str">
            <v>FOAMING Splitting</v>
          </cell>
          <cell r="I120" t="str">
            <v>Worker</v>
          </cell>
          <cell r="J120">
            <v>0</v>
          </cell>
          <cell r="K120"/>
          <cell r="L120">
            <v>8</v>
          </cell>
          <cell r="M120">
            <v>8</v>
          </cell>
          <cell r="N120">
            <v>8</v>
          </cell>
          <cell r="O120" t="str">
            <v>Ca 1</v>
          </cell>
          <cell r="P120" t="str">
            <v>CN</v>
          </cell>
          <cell r="Q120">
            <v>8</v>
          </cell>
          <cell r="R120">
            <v>8</v>
          </cell>
          <cell r="S120">
            <v>8</v>
          </cell>
          <cell r="T120">
            <v>8</v>
          </cell>
          <cell r="U120">
            <v>8</v>
          </cell>
          <cell r="V120">
            <v>8</v>
          </cell>
          <cell r="W120" t="str">
            <v>HCSX</v>
          </cell>
          <cell r="X120" t="str">
            <v>CN</v>
          </cell>
          <cell r="Y120">
            <v>8</v>
          </cell>
          <cell r="Z120">
            <v>8</v>
          </cell>
          <cell r="AA120">
            <v>8</v>
          </cell>
          <cell r="AB120">
            <v>8</v>
          </cell>
          <cell r="AC120">
            <v>8</v>
          </cell>
          <cell r="AD120">
            <v>8</v>
          </cell>
          <cell r="AE120" t="str">
            <v>HCSX</v>
          </cell>
          <cell r="AF120" t="str">
            <v>CN</v>
          </cell>
          <cell r="AG120">
            <v>8</v>
          </cell>
          <cell r="AH120">
            <v>8</v>
          </cell>
          <cell r="AI120">
            <v>8</v>
          </cell>
          <cell r="AJ120">
            <v>8</v>
          </cell>
          <cell r="AK120">
            <v>8</v>
          </cell>
          <cell r="AL120">
            <v>8</v>
          </cell>
          <cell r="AM120" t="str">
            <v>HCSX</v>
          </cell>
          <cell r="AN120" t="str">
            <v>CN</v>
          </cell>
          <cell r="AO120">
            <v>8</v>
          </cell>
          <cell r="AP120">
            <v>8</v>
          </cell>
          <cell r="AQ120">
            <v>8</v>
          </cell>
          <cell r="AR120">
            <v>8</v>
          </cell>
          <cell r="AS120">
            <v>8</v>
          </cell>
          <cell r="AT120">
            <v>8</v>
          </cell>
          <cell r="AU120" t="str">
            <v>HCSX</v>
          </cell>
          <cell r="AV120" t="str">
            <v>H</v>
          </cell>
          <cell r="AW120" t="str">
            <v>X</v>
          </cell>
          <cell r="AX120" t="str">
            <v>AL8</v>
          </cell>
          <cell r="AY120" t="str">
            <v>AL8</v>
          </cell>
          <cell r="AZ120" t="str">
            <v>H</v>
          </cell>
          <cell r="BA120" t="str">
            <v/>
          </cell>
          <cell r="BB120" t="str">
            <v/>
          </cell>
          <cell r="BC120" t="str">
            <v>HCSX</v>
          </cell>
          <cell r="BD120" t="str">
            <v/>
          </cell>
          <cell r="BE120">
            <v>0</v>
          </cell>
          <cell r="BF120">
            <v>216</v>
          </cell>
          <cell r="BG120">
            <v>0</v>
          </cell>
          <cell r="BH120">
            <v>0</v>
          </cell>
          <cell r="BI120">
            <v>0</v>
          </cell>
          <cell r="BJ120">
            <v>0</v>
          </cell>
          <cell r="BK120">
            <v>0</v>
          </cell>
          <cell r="BL120">
            <v>0</v>
          </cell>
          <cell r="BM120">
            <v>0</v>
          </cell>
          <cell r="BN120">
            <v>0</v>
          </cell>
          <cell r="BO120">
            <v>0</v>
          </cell>
          <cell r="BP120">
            <v>0</v>
          </cell>
          <cell r="BQ120">
            <v>0</v>
          </cell>
          <cell r="BR120">
            <v>16</v>
          </cell>
          <cell r="BS120">
            <v>16</v>
          </cell>
          <cell r="BT120">
            <v>0</v>
          </cell>
          <cell r="BU120">
            <v>0</v>
          </cell>
          <cell r="BV120">
            <v>0</v>
          </cell>
          <cell r="BW120">
            <v>0</v>
          </cell>
          <cell r="BX120">
            <v>248</v>
          </cell>
          <cell r="BY120">
            <v>2</v>
          </cell>
          <cell r="BZ120">
            <v>0</v>
          </cell>
          <cell r="CA120">
            <v>0</v>
          </cell>
          <cell r="CB120">
            <v>2</v>
          </cell>
          <cell r="CC120">
            <v>2</v>
          </cell>
          <cell r="CD120"/>
          <cell r="CE120"/>
          <cell r="CF120"/>
          <cell r="CG120">
            <v>2</v>
          </cell>
          <cell r="CH120">
            <v>2</v>
          </cell>
          <cell r="CI120">
            <v>2</v>
          </cell>
          <cell r="CJ120">
            <v>0</v>
          </cell>
          <cell r="CK120">
            <v>0</v>
          </cell>
          <cell r="CL120">
            <v>3</v>
          </cell>
          <cell r="CM120">
            <v>3</v>
          </cell>
          <cell r="CN120">
            <v>3</v>
          </cell>
          <cell r="CO120">
            <v>3</v>
          </cell>
          <cell r="CP120">
            <v>0</v>
          </cell>
          <cell r="CQ120">
            <v>0</v>
          </cell>
          <cell r="CR120">
            <v>2</v>
          </cell>
          <cell r="CS120">
            <v>0</v>
          </cell>
          <cell r="CT120">
            <v>0</v>
          </cell>
          <cell r="CU120">
            <v>3</v>
          </cell>
          <cell r="CV120">
            <v>3</v>
          </cell>
          <cell r="CW120">
            <v>3</v>
          </cell>
          <cell r="CX120">
            <v>0</v>
          </cell>
          <cell r="CY120">
            <v>3</v>
          </cell>
          <cell r="CZ120">
            <v>2</v>
          </cell>
          <cell r="DA120">
            <v>2</v>
          </cell>
          <cell r="DB120">
            <v>0</v>
          </cell>
          <cell r="DC120">
            <v>0</v>
          </cell>
          <cell r="DD120">
            <v>0</v>
          </cell>
          <cell r="DE120">
            <v>0</v>
          </cell>
          <cell r="DF120">
            <v>0</v>
          </cell>
          <cell r="DG120">
            <v>0</v>
          </cell>
          <cell r="DH120">
            <v>0</v>
          </cell>
          <cell r="DI120">
            <v>0</v>
          </cell>
          <cell r="DJ120">
            <v>0</v>
          </cell>
          <cell r="DK120">
            <v>0</v>
          </cell>
          <cell r="DL120">
            <v>0</v>
          </cell>
          <cell r="DM120">
            <v>0</v>
          </cell>
          <cell r="DN120" t="str">
            <v/>
          </cell>
          <cell r="DO120" t="str">
            <v/>
          </cell>
          <cell r="DP120" t="str">
            <v/>
          </cell>
          <cell r="DQ120"/>
          <cell r="DR120"/>
          <cell r="DS120"/>
          <cell r="DT120">
            <v>36</v>
          </cell>
          <cell r="DU120">
            <v>0</v>
          </cell>
          <cell r="DV120"/>
          <cell r="DW120"/>
          <cell r="DX120"/>
          <cell r="DY120"/>
        </row>
        <row r="121">
          <cell r="E121" t="str">
            <v>04926</v>
          </cell>
          <cell r="F121" t="str">
            <v>Phan Hải Giang</v>
          </cell>
          <cell r="G121" t="str">
            <v>Foaming</v>
          </cell>
          <cell r="H121" t="str">
            <v>FOAMING Production control</v>
          </cell>
          <cell r="I121" t="str">
            <v>Staff</v>
          </cell>
          <cell r="J121">
            <v>46143</v>
          </cell>
          <cell r="K121"/>
          <cell r="L121">
            <v>8</v>
          </cell>
          <cell r="M121">
            <v>8</v>
          </cell>
          <cell r="N121" t="str">
            <v>PO</v>
          </cell>
          <cell r="O121" t="str">
            <v>HCVP</v>
          </cell>
          <cell r="P121" t="str">
            <v>CN</v>
          </cell>
          <cell r="Q121">
            <v>8</v>
          </cell>
          <cell r="R121">
            <v>8</v>
          </cell>
          <cell r="S121">
            <v>8</v>
          </cell>
          <cell r="T121">
            <v>8</v>
          </cell>
          <cell r="U121">
            <v>8</v>
          </cell>
          <cell r="V121" t="str">
            <v>PO</v>
          </cell>
          <cell r="W121" t="str">
            <v>HCVP</v>
          </cell>
          <cell r="X121" t="str">
            <v>CN</v>
          </cell>
          <cell r="Y121">
            <v>8</v>
          </cell>
          <cell r="Z121">
            <v>8</v>
          </cell>
          <cell r="AA121">
            <v>8</v>
          </cell>
          <cell r="AB121" t="str">
            <v>NP</v>
          </cell>
          <cell r="AC121">
            <v>8</v>
          </cell>
          <cell r="AD121" t="str">
            <v>PO</v>
          </cell>
          <cell r="AE121" t="str">
            <v>HCVP</v>
          </cell>
          <cell r="AF121" t="str">
            <v>CN</v>
          </cell>
          <cell r="AG121">
            <v>8</v>
          </cell>
          <cell r="AH121">
            <v>8</v>
          </cell>
          <cell r="AI121">
            <v>8</v>
          </cell>
          <cell r="AJ121">
            <v>8</v>
          </cell>
          <cell r="AK121">
            <v>8</v>
          </cell>
          <cell r="AL121" t="str">
            <v>PO</v>
          </cell>
          <cell r="AM121" t="str">
            <v>HCVP</v>
          </cell>
          <cell r="AN121" t="str">
            <v>CN</v>
          </cell>
          <cell r="AO121">
            <v>8</v>
          </cell>
          <cell r="AP121">
            <v>8</v>
          </cell>
          <cell r="AQ121">
            <v>8</v>
          </cell>
          <cell r="AR121">
            <v>8</v>
          </cell>
          <cell r="AS121">
            <v>8</v>
          </cell>
          <cell r="AT121" t="str">
            <v>PO</v>
          </cell>
          <cell r="AU121" t="str">
            <v>HCVP</v>
          </cell>
          <cell r="AV121" t="str">
            <v>H</v>
          </cell>
          <cell r="AW121" t="str">
            <v>X</v>
          </cell>
          <cell r="AX121" t="str">
            <v>NP</v>
          </cell>
          <cell r="AY121" t="str">
            <v>WH</v>
          </cell>
          <cell r="AZ121" t="str">
            <v>H</v>
          </cell>
          <cell r="BA121" t="str">
            <v/>
          </cell>
          <cell r="BB121" t="str">
            <v/>
          </cell>
          <cell r="BC121" t="str">
            <v>HCVP</v>
          </cell>
          <cell r="BD121" t="str">
            <v/>
          </cell>
          <cell r="BE121">
            <v>0</v>
          </cell>
          <cell r="BF121">
            <v>168</v>
          </cell>
          <cell r="BG121">
            <v>0</v>
          </cell>
          <cell r="BH121">
            <v>0</v>
          </cell>
          <cell r="BI121">
            <v>0</v>
          </cell>
          <cell r="BJ121">
            <v>0</v>
          </cell>
          <cell r="BK121">
            <v>2</v>
          </cell>
          <cell r="BL121">
            <v>0</v>
          </cell>
          <cell r="BM121">
            <v>40</v>
          </cell>
          <cell r="BN121">
            <v>0</v>
          </cell>
          <cell r="BO121">
            <v>0</v>
          </cell>
          <cell r="BP121">
            <v>0</v>
          </cell>
          <cell r="BQ121">
            <v>0</v>
          </cell>
          <cell r="BR121">
            <v>0</v>
          </cell>
          <cell r="BS121">
            <v>16</v>
          </cell>
          <cell r="BT121">
            <v>0</v>
          </cell>
          <cell r="BU121">
            <v>8</v>
          </cell>
          <cell r="BV121">
            <v>0</v>
          </cell>
          <cell r="BW121">
            <v>0</v>
          </cell>
          <cell r="BX121">
            <v>232</v>
          </cell>
          <cell r="BY121">
            <v>0</v>
          </cell>
          <cell r="BZ121">
            <v>0</v>
          </cell>
          <cell r="CA121">
            <v>0</v>
          </cell>
          <cell r="CB121">
            <v>0</v>
          </cell>
          <cell r="CC121">
            <v>0</v>
          </cell>
          <cell r="CD121"/>
          <cell r="CE121"/>
          <cell r="CF121"/>
          <cell r="CG121">
            <v>0</v>
          </cell>
          <cell r="CH121">
            <v>0</v>
          </cell>
          <cell r="CI121">
            <v>0</v>
          </cell>
          <cell r="CJ121">
            <v>0</v>
          </cell>
          <cell r="CK121">
            <v>0</v>
          </cell>
          <cell r="CL121">
            <v>0</v>
          </cell>
          <cell r="CM121">
            <v>0</v>
          </cell>
          <cell r="CN121">
            <v>0</v>
          </cell>
          <cell r="CO121">
            <v>0</v>
          </cell>
          <cell r="CP121">
            <v>0</v>
          </cell>
          <cell r="CQ121">
            <v>0</v>
          </cell>
          <cell r="CR121">
            <v>0</v>
          </cell>
          <cell r="CS121">
            <v>0</v>
          </cell>
          <cell r="CT121">
            <v>0</v>
          </cell>
          <cell r="CU121">
            <v>0</v>
          </cell>
          <cell r="CV121">
            <v>1.25</v>
          </cell>
          <cell r="CW121">
            <v>0</v>
          </cell>
          <cell r="CX121">
            <v>0</v>
          </cell>
          <cell r="CY121">
            <v>0</v>
          </cell>
          <cell r="CZ121">
            <v>0</v>
          </cell>
          <cell r="DA121">
            <v>0</v>
          </cell>
          <cell r="DB121">
            <v>0</v>
          </cell>
          <cell r="DC121">
            <v>0</v>
          </cell>
          <cell r="DD121">
            <v>0</v>
          </cell>
          <cell r="DE121">
            <v>0</v>
          </cell>
          <cell r="DF121">
            <v>0.5</v>
          </cell>
          <cell r="DG121">
            <v>0</v>
          </cell>
          <cell r="DH121">
            <v>0</v>
          </cell>
          <cell r="DI121">
            <v>0</v>
          </cell>
          <cell r="DJ121">
            <v>0</v>
          </cell>
          <cell r="DK121">
            <v>0</v>
          </cell>
          <cell r="DL121">
            <v>0</v>
          </cell>
          <cell r="DM121">
            <v>0</v>
          </cell>
          <cell r="DN121" t="str">
            <v/>
          </cell>
          <cell r="DO121" t="str">
            <v/>
          </cell>
          <cell r="DP121" t="str">
            <v/>
          </cell>
          <cell r="DQ121"/>
          <cell r="DR121"/>
          <cell r="DS121"/>
          <cell r="DT121">
            <v>1.75</v>
          </cell>
          <cell r="DU121">
            <v>0</v>
          </cell>
          <cell r="DV121"/>
          <cell r="DW121"/>
          <cell r="DX121"/>
          <cell r="DY121"/>
        </row>
        <row r="122">
          <cell r="E122" t="str">
            <v>04974</v>
          </cell>
          <cell r="F122" t="str">
            <v>Lê Đắc Đức</v>
          </cell>
          <cell r="G122" t="str">
            <v>Foaming</v>
          </cell>
          <cell r="H122" t="str">
            <v>FOAMING Splitting</v>
          </cell>
          <cell r="I122" t="str">
            <v>Worker</v>
          </cell>
          <cell r="J122" t="str">
            <v>02/03/2026</v>
          </cell>
          <cell r="K122"/>
          <cell r="L122" t="str">
            <v>Đ</v>
          </cell>
          <cell r="M122" t="str">
            <v>Đ</v>
          </cell>
          <cell r="N122" t="str">
            <v>Đ</v>
          </cell>
          <cell r="O122" t="str">
            <v>Ca 3</v>
          </cell>
          <cell r="P122" t="str">
            <v>CN</v>
          </cell>
          <cell r="Q122">
            <v>8</v>
          </cell>
          <cell r="R122">
            <v>8</v>
          </cell>
          <cell r="S122">
            <v>8</v>
          </cell>
          <cell r="T122">
            <v>8</v>
          </cell>
          <cell r="U122">
            <v>8</v>
          </cell>
          <cell r="V122">
            <v>8</v>
          </cell>
          <cell r="W122" t="str">
            <v>HCSX</v>
          </cell>
          <cell r="X122" t="str">
            <v>CN</v>
          </cell>
          <cell r="Y122" t="str">
            <v>Đ</v>
          </cell>
          <cell r="Z122" t="str">
            <v>Đ</v>
          </cell>
          <cell r="AA122" t="str">
            <v>Đ</v>
          </cell>
          <cell r="AB122" t="str">
            <v>Đ</v>
          </cell>
          <cell r="AC122" t="str">
            <v>Đ</v>
          </cell>
          <cell r="AD122" t="str">
            <v>Đ</v>
          </cell>
          <cell r="AE122" t="str">
            <v>Ca 3</v>
          </cell>
          <cell r="AF122" t="str">
            <v>CN</v>
          </cell>
          <cell r="AG122" t="str">
            <v>Đ</v>
          </cell>
          <cell r="AH122" t="str">
            <v>Đ</v>
          </cell>
          <cell r="AI122" t="str">
            <v>Đ</v>
          </cell>
          <cell r="AJ122" t="str">
            <v>Đ</v>
          </cell>
          <cell r="AK122" t="str">
            <v>Đ</v>
          </cell>
          <cell r="AL122" t="str">
            <v>Đ</v>
          </cell>
          <cell r="AM122" t="str">
            <v>Ca 3</v>
          </cell>
          <cell r="AN122" t="str">
            <v>CN</v>
          </cell>
          <cell r="AO122">
            <v>8</v>
          </cell>
          <cell r="AP122">
            <v>8</v>
          </cell>
          <cell r="AQ122">
            <v>8</v>
          </cell>
          <cell r="AR122">
            <v>8</v>
          </cell>
          <cell r="AS122">
            <v>8</v>
          </cell>
          <cell r="AT122">
            <v>8</v>
          </cell>
          <cell r="AU122" t="str">
            <v>HCSX</v>
          </cell>
          <cell r="AV122" t="str">
            <v>H</v>
          </cell>
          <cell r="AW122" t="str">
            <v>X</v>
          </cell>
          <cell r="AX122">
            <v>8</v>
          </cell>
          <cell r="AY122">
            <v>8</v>
          </cell>
          <cell r="AZ122" t="str">
            <v>H</v>
          </cell>
          <cell r="BA122" t="str">
            <v/>
          </cell>
          <cell r="BB122" t="str">
            <v/>
          </cell>
          <cell r="BC122" t="str">
            <v>HCSX</v>
          </cell>
          <cell r="BD122" t="str">
            <v/>
          </cell>
          <cell r="BE122">
            <v>120</v>
          </cell>
          <cell r="BF122">
            <v>112</v>
          </cell>
          <cell r="BG122">
            <v>0</v>
          </cell>
          <cell r="BH122">
            <v>0</v>
          </cell>
          <cell r="BI122">
            <v>0</v>
          </cell>
          <cell r="BJ122">
            <v>0</v>
          </cell>
          <cell r="BK122">
            <v>0</v>
          </cell>
          <cell r="BL122">
            <v>0</v>
          </cell>
          <cell r="BM122">
            <v>0</v>
          </cell>
          <cell r="BN122">
            <v>0</v>
          </cell>
          <cell r="BO122">
            <v>0</v>
          </cell>
          <cell r="BP122">
            <v>0</v>
          </cell>
          <cell r="BQ122">
            <v>0</v>
          </cell>
          <cell r="BR122">
            <v>0</v>
          </cell>
          <cell r="BS122">
            <v>16</v>
          </cell>
          <cell r="BT122">
            <v>0</v>
          </cell>
          <cell r="BU122">
            <v>0</v>
          </cell>
          <cell r="BV122">
            <v>0</v>
          </cell>
          <cell r="BW122">
            <v>0</v>
          </cell>
          <cell r="BX122">
            <v>248</v>
          </cell>
          <cell r="BY122">
            <v>0</v>
          </cell>
          <cell r="BZ122">
            <v>0</v>
          </cell>
          <cell r="CA122">
            <v>0</v>
          </cell>
          <cell r="CB122">
            <v>0</v>
          </cell>
          <cell r="CC122">
            <v>0</v>
          </cell>
          <cell r="CD122"/>
          <cell r="CE122"/>
          <cell r="CF122"/>
          <cell r="CG122">
            <v>4</v>
          </cell>
          <cell r="CH122">
            <v>0</v>
          </cell>
          <cell r="CI122">
            <v>4</v>
          </cell>
          <cell r="CJ122">
            <v>0</v>
          </cell>
          <cell r="CK122">
            <v>0</v>
          </cell>
          <cell r="CL122">
            <v>0</v>
          </cell>
          <cell r="CM122">
            <v>3</v>
          </cell>
          <cell r="CN122">
            <v>3</v>
          </cell>
          <cell r="CO122">
            <v>3</v>
          </cell>
          <cell r="CP122">
            <v>0</v>
          </cell>
          <cell r="CQ122">
            <v>0</v>
          </cell>
          <cell r="CR122">
            <v>0</v>
          </cell>
          <cell r="CS122">
            <v>0</v>
          </cell>
          <cell r="CT122">
            <v>0</v>
          </cell>
          <cell r="CU122">
            <v>2</v>
          </cell>
          <cell r="CV122">
            <v>2</v>
          </cell>
          <cell r="CW122">
            <v>2</v>
          </cell>
          <cell r="CX122">
            <v>0</v>
          </cell>
          <cell r="CY122">
            <v>0</v>
          </cell>
          <cell r="CZ122">
            <v>2</v>
          </cell>
          <cell r="DA122">
            <v>2</v>
          </cell>
          <cell r="DB122">
            <v>0</v>
          </cell>
          <cell r="DC122">
            <v>2</v>
          </cell>
          <cell r="DD122">
            <v>0</v>
          </cell>
          <cell r="DE122">
            <v>0</v>
          </cell>
          <cell r="DF122">
            <v>0</v>
          </cell>
          <cell r="DG122">
            <v>0</v>
          </cell>
          <cell r="DH122">
            <v>0</v>
          </cell>
          <cell r="DI122">
            <v>0</v>
          </cell>
          <cell r="DJ122">
            <v>0</v>
          </cell>
          <cell r="DK122">
            <v>0</v>
          </cell>
          <cell r="DL122">
            <v>0</v>
          </cell>
          <cell r="DM122">
            <v>0</v>
          </cell>
          <cell r="DN122" t="str">
            <v/>
          </cell>
          <cell r="DO122" t="str">
            <v/>
          </cell>
          <cell r="DP122" t="str">
            <v/>
          </cell>
          <cell r="DQ122"/>
          <cell r="DR122"/>
          <cell r="DS122"/>
          <cell r="DT122">
            <v>29</v>
          </cell>
          <cell r="DU122">
            <v>0</v>
          </cell>
          <cell r="DV122"/>
          <cell r="DW122"/>
          <cell r="DX122"/>
          <cell r="DY122"/>
        </row>
        <row r="123">
          <cell r="E123" t="str">
            <v>04975</v>
          </cell>
          <cell r="F123" t="str">
            <v>Lê Bá Thế Anh</v>
          </cell>
          <cell r="G123" t="str">
            <v>Foaming</v>
          </cell>
          <cell r="H123" t="str">
            <v>FOAMING Rectangular</v>
          </cell>
          <cell r="I123" t="str">
            <v>Worker</v>
          </cell>
          <cell r="J123" t="str">
            <v>02/03/2026</v>
          </cell>
          <cell r="K123"/>
          <cell r="L123">
            <v>8</v>
          </cell>
          <cell r="M123">
            <v>8</v>
          </cell>
          <cell r="N123">
            <v>8</v>
          </cell>
          <cell r="O123" t="str">
            <v>Ca 1</v>
          </cell>
          <cell r="P123" t="str">
            <v>CN</v>
          </cell>
          <cell r="Q123">
            <v>8</v>
          </cell>
          <cell r="R123">
            <v>8</v>
          </cell>
          <cell r="S123">
            <v>8</v>
          </cell>
          <cell r="T123">
            <v>8</v>
          </cell>
          <cell r="U123">
            <v>8</v>
          </cell>
          <cell r="V123">
            <v>8</v>
          </cell>
          <cell r="W123" t="str">
            <v>Ca 1</v>
          </cell>
          <cell r="X123" t="str">
            <v>CN</v>
          </cell>
          <cell r="Y123">
            <v>8</v>
          </cell>
          <cell r="Z123">
            <v>8</v>
          </cell>
          <cell r="AA123">
            <v>8</v>
          </cell>
          <cell r="AB123">
            <v>8</v>
          </cell>
          <cell r="AC123">
            <v>8</v>
          </cell>
          <cell r="AD123">
            <v>8</v>
          </cell>
          <cell r="AE123" t="str">
            <v>Ca 1</v>
          </cell>
          <cell r="AF123" t="str">
            <v>CN</v>
          </cell>
          <cell r="AG123" t="str">
            <v>Đ</v>
          </cell>
          <cell r="AH123" t="str">
            <v>Đ</v>
          </cell>
          <cell r="AI123" t="str">
            <v>Đ</v>
          </cell>
          <cell r="AJ123" t="str">
            <v>Đ</v>
          </cell>
          <cell r="AK123">
            <v>8</v>
          </cell>
          <cell r="AL123" t="str">
            <v>Đ</v>
          </cell>
          <cell r="AM123" t="str">
            <v>Ca 3</v>
          </cell>
          <cell r="AN123" t="str">
            <v>CN</v>
          </cell>
          <cell r="AO123">
            <v>8</v>
          </cell>
          <cell r="AP123">
            <v>8</v>
          </cell>
          <cell r="AQ123">
            <v>8</v>
          </cell>
          <cell r="AR123">
            <v>8</v>
          </cell>
          <cell r="AS123">
            <v>8</v>
          </cell>
          <cell r="AT123">
            <v>8</v>
          </cell>
          <cell r="AU123" t="str">
            <v>Ca 2</v>
          </cell>
          <cell r="AV123" t="str">
            <v>H</v>
          </cell>
          <cell r="AW123" t="str">
            <v>X</v>
          </cell>
          <cell r="AX123">
            <v>8</v>
          </cell>
          <cell r="AY123">
            <v>8</v>
          </cell>
          <cell r="AZ123" t="str">
            <v>H</v>
          </cell>
          <cell r="BA123" t="str">
            <v/>
          </cell>
          <cell r="BB123" t="str">
            <v/>
          </cell>
          <cell r="BC123" t="str">
            <v>Ca 2</v>
          </cell>
          <cell r="BD123" t="str">
            <v/>
          </cell>
          <cell r="BE123">
            <v>40</v>
          </cell>
          <cell r="BF123">
            <v>192</v>
          </cell>
          <cell r="BG123">
            <v>0</v>
          </cell>
          <cell r="BH123">
            <v>0</v>
          </cell>
          <cell r="BI123">
            <v>0</v>
          </cell>
          <cell r="BJ123">
            <v>0</v>
          </cell>
          <cell r="BK123">
            <v>0</v>
          </cell>
          <cell r="BL123">
            <v>0</v>
          </cell>
          <cell r="BM123">
            <v>0</v>
          </cell>
          <cell r="BN123">
            <v>0</v>
          </cell>
          <cell r="BO123">
            <v>0</v>
          </cell>
          <cell r="BP123">
            <v>0</v>
          </cell>
          <cell r="BQ123">
            <v>0</v>
          </cell>
          <cell r="BR123">
            <v>0</v>
          </cell>
          <cell r="BS123">
            <v>16</v>
          </cell>
          <cell r="BT123">
            <v>0</v>
          </cell>
          <cell r="BU123">
            <v>0</v>
          </cell>
          <cell r="BV123">
            <v>0</v>
          </cell>
          <cell r="BW123">
            <v>0</v>
          </cell>
          <cell r="BX123">
            <v>248</v>
          </cell>
          <cell r="BY123">
            <v>0</v>
          </cell>
          <cell r="BZ123">
            <v>0</v>
          </cell>
          <cell r="CA123">
            <v>0</v>
          </cell>
          <cell r="CB123">
            <v>0</v>
          </cell>
          <cell r="CC123">
            <v>0</v>
          </cell>
          <cell r="CD123"/>
          <cell r="CE123"/>
          <cell r="CF123"/>
          <cell r="CG123">
            <v>4</v>
          </cell>
          <cell r="CH123">
            <v>4</v>
          </cell>
          <cell r="CI123">
            <v>4</v>
          </cell>
          <cell r="CJ123">
            <v>0</v>
          </cell>
          <cell r="CK123">
            <v>4</v>
          </cell>
          <cell r="CL123">
            <v>0</v>
          </cell>
          <cell r="CM123">
            <v>0</v>
          </cell>
          <cell r="CN123">
            <v>0</v>
          </cell>
          <cell r="CO123">
            <v>0</v>
          </cell>
          <cell r="CP123">
            <v>0</v>
          </cell>
          <cell r="CQ123">
            <v>0</v>
          </cell>
          <cell r="CR123">
            <v>0</v>
          </cell>
          <cell r="CS123">
            <v>0</v>
          </cell>
          <cell r="CT123">
            <v>0</v>
          </cell>
          <cell r="CU123">
            <v>0</v>
          </cell>
          <cell r="CV123">
            <v>0</v>
          </cell>
          <cell r="CW123">
            <v>4</v>
          </cell>
          <cell r="CX123">
            <v>0</v>
          </cell>
          <cell r="CY123">
            <v>3</v>
          </cell>
          <cell r="CZ123">
            <v>3</v>
          </cell>
          <cell r="DA123">
            <v>0</v>
          </cell>
          <cell r="DB123">
            <v>4</v>
          </cell>
          <cell r="DC123">
            <v>2</v>
          </cell>
          <cell r="DD123">
            <v>0</v>
          </cell>
          <cell r="DE123">
            <v>0</v>
          </cell>
          <cell r="DF123">
            <v>4</v>
          </cell>
          <cell r="DG123">
            <v>0</v>
          </cell>
          <cell r="DH123">
            <v>0</v>
          </cell>
          <cell r="DI123">
            <v>0</v>
          </cell>
          <cell r="DJ123">
            <v>0</v>
          </cell>
          <cell r="DK123">
            <v>0</v>
          </cell>
          <cell r="DL123">
            <v>0</v>
          </cell>
          <cell r="DM123">
            <v>0</v>
          </cell>
          <cell r="DN123" t="str">
            <v/>
          </cell>
          <cell r="DO123" t="str">
            <v/>
          </cell>
          <cell r="DP123" t="str">
            <v/>
          </cell>
          <cell r="DQ123"/>
          <cell r="DR123"/>
          <cell r="DS123"/>
          <cell r="DT123">
            <v>36</v>
          </cell>
          <cell r="DU123">
            <v>0</v>
          </cell>
          <cell r="DV123"/>
          <cell r="DW123"/>
          <cell r="DX123"/>
          <cell r="DY123"/>
        </row>
        <row r="124">
          <cell r="E124" t="str">
            <v>04976</v>
          </cell>
          <cell r="F124" t="str">
            <v>Huỳnh Đức Trung</v>
          </cell>
          <cell r="G124" t="str">
            <v>Foaming</v>
          </cell>
          <cell r="H124" t="str">
            <v>FOAMING Rectangular</v>
          </cell>
          <cell r="I124" t="str">
            <v>Worker</v>
          </cell>
          <cell r="J124" t="str">
            <v>02/03/2026</v>
          </cell>
          <cell r="K124"/>
          <cell r="L124" t="str">
            <v>Đ</v>
          </cell>
          <cell r="M124" t="str">
            <v>Đ</v>
          </cell>
          <cell r="N124" t="str">
            <v>Đ</v>
          </cell>
          <cell r="O124" t="str">
            <v>Ca 3</v>
          </cell>
          <cell r="P124" t="str">
            <v>CN</v>
          </cell>
          <cell r="Q124">
            <v>8</v>
          </cell>
          <cell r="R124">
            <v>8</v>
          </cell>
          <cell r="S124">
            <v>8</v>
          </cell>
          <cell r="T124">
            <v>8</v>
          </cell>
          <cell r="U124">
            <v>8</v>
          </cell>
          <cell r="V124">
            <v>8</v>
          </cell>
          <cell r="W124" t="str">
            <v>Ca 1</v>
          </cell>
          <cell r="X124" t="str">
            <v>CN</v>
          </cell>
          <cell r="Y124" t="str">
            <v>Đ</v>
          </cell>
          <cell r="Z124" t="str">
            <v>Đ</v>
          </cell>
          <cell r="AA124" t="str">
            <v>Đ</v>
          </cell>
          <cell r="AB124" t="str">
            <v>Đ</v>
          </cell>
          <cell r="AC124" t="str">
            <v>Đ</v>
          </cell>
          <cell r="AD124" t="str">
            <v>Đ</v>
          </cell>
          <cell r="AE124" t="str">
            <v>Ca 3</v>
          </cell>
          <cell r="AF124" t="str">
            <v>CN</v>
          </cell>
          <cell r="AG124">
            <v>8</v>
          </cell>
          <cell r="AH124">
            <v>8</v>
          </cell>
          <cell r="AI124">
            <v>8</v>
          </cell>
          <cell r="AJ124">
            <v>8</v>
          </cell>
          <cell r="AK124">
            <v>8</v>
          </cell>
          <cell r="AL124">
            <v>8</v>
          </cell>
          <cell r="AM124" t="str">
            <v>Ca 2</v>
          </cell>
          <cell r="AN124" t="str">
            <v>CN</v>
          </cell>
          <cell r="AO124">
            <v>8</v>
          </cell>
          <cell r="AP124">
            <v>8</v>
          </cell>
          <cell r="AQ124">
            <v>8</v>
          </cell>
          <cell r="AR124">
            <v>8</v>
          </cell>
          <cell r="AS124">
            <v>8</v>
          </cell>
          <cell r="AT124">
            <v>8</v>
          </cell>
          <cell r="AU124" t="str">
            <v>Ca 1</v>
          </cell>
          <cell r="AV124" t="str">
            <v>H</v>
          </cell>
          <cell r="AW124" t="str">
            <v>X</v>
          </cell>
          <cell r="AX124">
            <v>8</v>
          </cell>
          <cell r="AY124">
            <v>8</v>
          </cell>
          <cell r="AZ124" t="str">
            <v>H</v>
          </cell>
          <cell r="BA124" t="str">
            <v/>
          </cell>
          <cell r="BB124" t="str">
            <v/>
          </cell>
          <cell r="BC124" t="str">
            <v>Ca 1</v>
          </cell>
          <cell r="BD124" t="str">
            <v/>
          </cell>
          <cell r="BE124">
            <v>72</v>
          </cell>
          <cell r="BF124">
            <v>160</v>
          </cell>
          <cell r="BG124">
            <v>0</v>
          </cell>
          <cell r="BH124">
            <v>0</v>
          </cell>
          <cell r="BI124">
            <v>0</v>
          </cell>
          <cell r="BJ124">
            <v>0</v>
          </cell>
          <cell r="BK124">
            <v>0</v>
          </cell>
          <cell r="BL124">
            <v>0</v>
          </cell>
          <cell r="BM124">
            <v>0</v>
          </cell>
          <cell r="BN124">
            <v>0</v>
          </cell>
          <cell r="BO124">
            <v>0</v>
          </cell>
          <cell r="BP124">
            <v>0</v>
          </cell>
          <cell r="BQ124">
            <v>0</v>
          </cell>
          <cell r="BR124">
            <v>0</v>
          </cell>
          <cell r="BS124">
            <v>16</v>
          </cell>
          <cell r="BT124">
            <v>0</v>
          </cell>
          <cell r="BU124">
            <v>0</v>
          </cell>
          <cell r="BV124">
            <v>0</v>
          </cell>
          <cell r="BW124">
            <v>0</v>
          </cell>
          <cell r="BX124">
            <v>248</v>
          </cell>
          <cell r="BY124">
            <v>0</v>
          </cell>
          <cell r="BZ124">
            <v>0</v>
          </cell>
          <cell r="CA124">
            <v>0</v>
          </cell>
          <cell r="CB124">
            <v>0</v>
          </cell>
          <cell r="CC124">
            <v>0</v>
          </cell>
          <cell r="CD124"/>
          <cell r="CE124"/>
          <cell r="CF124"/>
          <cell r="CG124">
            <v>4</v>
          </cell>
          <cell r="CH124">
            <v>4</v>
          </cell>
          <cell r="CI124">
            <v>4</v>
          </cell>
          <cell r="CJ124">
            <v>0</v>
          </cell>
          <cell r="CK124">
            <v>0</v>
          </cell>
          <cell r="CL124">
            <v>4</v>
          </cell>
          <cell r="CM124">
            <v>4</v>
          </cell>
          <cell r="CN124">
            <v>0</v>
          </cell>
          <cell r="CO124">
            <v>0</v>
          </cell>
          <cell r="CP124">
            <v>0</v>
          </cell>
          <cell r="CQ124">
            <v>0</v>
          </cell>
          <cell r="CR124">
            <v>0</v>
          </cell>
          <cell r="CS124">
            <v>0</v>
          </cell>
          <cell r="CT124">
            <v>0</v>
          </cell>
          <cell r="CU124">
            <v>2</v>
          </cell>
          <cell r="CV124">
            <v>2</v>
          </cell>
          <cell r="CW124">
            <v>2</v>
          </cell>
          <cell r="CX124">
            <v>0</v>
          </cell>
          <cell r="CY124">
            <v>0</v>
          </cell>
          <cell r="CZ124">
            <v>0</v>
          </cell>
          <cell r="DA124">
            <v>0</v>
          </cell>
          <cell r="DB124">
            <v>4</v>
          </cell>
          <cell r="DC124">
            <v>0</v>
          </cell>
          <cell r="DD124">
            <v>0</v>
          </cell>
          <cell r="DE124">
            <v>0</v>
          </cell>
          <cell r="DF124">
            <v>2</v>
          </cell>
          <cell r="DG124">
            <v>4</v>
          </cell>
          <cell r="DH124">
            <v>0</v>
          </cell>
          <cell r="DI124">
            <v>0</v>
          </cell>
          <cell r="DJ124">
            <v>0</v>
          </cell>
          <cell r="DK124">
            <v>0</v>
          </cell>
          <cell r="DL124">
            <v>0</v>
          </cell>
          <cell r="DM124">
            <v>0</v>
          </cell>
          <cell r="DN124" t="str">
            <v/>
          </cell>
          <cell r="DO124" t="str">
            <v/>
          </cell>
          <cell r="DP124" t="str">
            <v/>
          </cell>
          <cell r="DQ124"/>
          <cell r="DR124"/>
          <cell r="DS124"/>
          <cell r="DT124">
            <v>36</v>
          </cell>
          <cell r="DU124">
            <v>0</v>
          </cell>
          <cell r="DV124"/>
          <cell r="DW124"/>
          <cell r="DX124"/>
          <cell r="DY124"/>
        </row>
        <row r="125">
          <cell r="E125" t="str">
            <v>04981</v>
          </cell>
          <cell r="F125" t="str">
            <v>Trần Thanh Phúc</v>
          </cell>
          <cell r="G125" t="str">
            <v>Foaming</v>
          </cell>
          <cell r="H125" t="str">
            <v>FOAMING Splitting</v>
          </cell>
          <cell r="I125" t="str">
            <v>Worker</v>
          </cell>
          <cell r="J125" t="str">
            <v>02/03/2026</v>
          </cell>
          <cell r="K125"/>
          <cell r="L125" t="str">
            <v>Đ</v>
          </cell>
          <cell r="M125" t="str">
            <v>Đ</v>
          </cell>
          <cell r="N125" t="str">
            <v>Đ</v>
          </cell>
          <cell r="O125" t="str">
            <v>Ca 3</v>
          </cell>
          <cell r="P125" t="str">
            <v>CN</v>
          </cell>
          <cell r="Q125">
            <v>8</v>
          </cell>
          <cell r="R125">
            <v>8</v>
          </cell>
          <cell r="S125">
            <v>8</v>
          </cell>
          <cell r="T125">
            <v>8</v>
          </cell>
          <cell r="U125">
            <v>8</v>
          </cell>
          <cell r="V125">
            <v>8</v>
          </cell>
          <cell r="W125" t="str">
            <v>HCSX</v>
          </cell>
          <cell r="X125" t="str">
            <v>CN</v>
          </cell>
          <cell r="Y125" t="str">
            <v>Đ</v>
          </cell>
          <cell r="Z125" t="str">
            <v>Đ</v>
          </cell>
          <cell r="AA125" t="str">
            <v>Đ</v>
          </cell>
          <cell r="AB125" t="str">
            <v>Đ</v>
          </cell>
          <cell r="AC125" t="str">
            <v>Đ</v>
          </cell>
          <cell r="AD125" t="str">
            <v>Đ</v>
          </cell>
          <cell r="AE125" t="str">
            <v>Ca 3</v>
          </cell>
          <cell r="AF125" t="str">
            <v>CN</v>
          </cell>
          <cell r="AG125" t="str">
            <v>Đ</v>
          </cell>
          <cell r="AH125" t="str">
            <v>Đ</v>
          </cell>
          <cell r="AI125" t="str">
            <v>Đ</v>
          </cell>
          <cell r="AJ125" t="str">
            <v>Đ</v>
          </cell>
          <cell r="AK125" t="str">
            <v>Đ</v>
          </cell>
          <cell r="AL125" t="str">
            <v>Đ</v>
          </cell>
          <cell r="AM125" t="str">
            <v>Ca 3</v>
          </cell>
          <cell r="AN125" t="str">
            <v>CN</v>
          </cell>
          <cell r="AO125">
            <v>8</v>
          </cell>
          <cell r="AP125" t="str">
            <v>UP8</v>
          </cell>
          <cell r="AQ125" t="str">
            <v>NP</v>
          </cell>
          <cell r="AR125" t="str">
            <v>NP</v>
          </cell>
          <cell r="AS125" t="str">
            <v>NP</v>
          </cell>
          <cell r="AT125" t="str">
            <v>SL</v>
          </cell>
          <cell r="AU125" t="str">
            <v>HCSX</v>
          </cell>
          <cell r="AV125" t="str">
            <v>H</v>
          </cell>
          <cell r="AW125" t="str">
            <v>X</v>
          </cell>
          <cell r="AX125" t="str">
            <v>SL</v>
          </cell>
          <cell r="AY125" t="str">
            <v>SL</v>
          </cell>
          <cell r="AZ125" t="str">
            <v>H</v>
          </cell>
          <cell r="BA125" t="str">
            <v/>
          </cell>
          <cell r="BB125" t="str">
            <v/>
          </cell>
          <cell r="BC125" t="str">
            <v>HCSX</v>
          </cell>
          <cell r="BD125" t="str">
            <v/>
          </cell>
          <cell r="BE125">
            <v>120</v>
          </cell>
          <cell r="BF125">
            <v>56</v>
          </cell>
          <cell r="BG125">
            <v>0</v>
          </cell>
          <cell r="BH125">
            <v>3</v>
          </cell>
          <cell r="BI125">
            <v>0</v>
          </cell>
          <cell r="BJ125">
            <v>8</v>
          </cell>
          <cell r="BK125">
            <v>3</v>
          </cell>
          <cell r="BL125">
            <v>0</v>
          </cell>
          <cell r="BM125">
            <v>0</v>
          </cell>
          <cell r="BN125">
            <v>0</v>
          </cell>
          <cell r="BO125">
            <v>0</v>
          </cell>
          <cell r="BP125">
            <v>0</v>
          </cell>
          <cell r="BQ125">
            <v>0</v>
          </cell>
          <cell r="BR125">
            <v>0</v>
          </cell>
          <cell r="BS125">
            <v>16</v>
          </cell>
          <cell r="BT125">
            <v>0</v>
          </cell>
          <cell r="BU125">
            <v>0</v>
          </cell>
          <cell r="BV125">
            <v>0</v>
          </cell>
          <cell r="BW125">
            <v>0</v>
          </cell>
          <cell r="BX125">
            <v>192</v>
          </cell>
          <cell r="BY125">
            <v>0</v>
          </cell>
          <cell r="BZ125">
            <v>0</v>
          </cell>
          <cell r="CA125">
            <v>1</v>
          </cell>
          <cell r="CB125">
            <v>0</v>
          </cell>
          <cell r="CC125">
            <v>0</v>
          </cell>
          <cell r="CD125"/>
          <cell r="CE125"/>
          <cell r="CF125"/>
          <cell r="CG125">
            <v>4</v>
          </cell>
          <cell r="CH125">
            <v>0</v>
          </cell>
          <cell r="CI125">
            <v>4</v>
          </cell>
          <cell r="CJ125">
            <v>0</v>
          </cell>
          <cell r="CK125">
            <v>0</v>
          </cell>
          <cell r="CL125">
            <v>3</v>
          </cell>
          <cell r="CM125">
            <v>0</v>
          </cell>
          <cell r="CN125">
            <v>3</v>
          </cell>
          <cell r="CO125">
            <v>3</v>
          </cell>
          <cell r="CP125">
            <v>0</v>
          </cell>
          <cell r="CQ125">
            <v>0</v>
          </cell>
          <cell r="CR125">
            <v>0</v>
          </cell>
          <cell r="CS125">
            <v>0</v>
          </cell>
          <cell r="CT125">
            <v>0</v>
          </cell>
          <cell r="CU125">
            <v>2</v>
          </cell>
          <cell r="CV125">
            <v>2</v>
          </cell>
          <cell r="CW125">
            <v>2</v>
          </cell>
          <cell r="CX125">
            <v>0</v>
          </cell>
          <cell r="CY125">
            <v>0</v>
          </cell>
          <cell r="CZ125">
            <v>2</v>
          </cell>
          <cell r="DA125">
            <v>2</v>
          </cell>
          <cell r="DB125">
            <v>2</v>
          </cell>
          <cell r="DC125">
            <v>2</v>
          </cell>
          <cell r="DD125">
            <v>2</v>
          </cell>
          <cell r="DE125">
            <v>0</v>
          </cell>
          <cell r="DF125">
            <v>0</v>
          </cell>
          <cell r="DG125">
            <v>0</v>
          </cell>
          <cell r="DH125">
            <v>0</v>
          </cell>
          <cell r="DI125">
            <v>0</v>
          </cell>
          <cell r="DJ125">
            <v>0</v>
          </cell>
          <cell r="DK125">
            <v>0</v>
          </cell>
          <cell r="DL125">
            <v>0</v>
          </cell>
          <cell r="DM125">
            <v>0</v>
          </cell>
          <cell r="DN125" t="str">
            <v/>
          </cell>
          <cell r="DO125" t="str">
            <v/>
          </cell>
          <cell r="DP125" t="str">
            <v/>
          </cell>
          <cell r="DQ125"/>
          <cell r="DR125"/>
          <cell r="DS125"/>
          <cell r="DT125">
            <v>33</v>
          </cell>
          <cell r="DU125">
            <v>0</v>
          </cell>
          <cell r="DV125"/>
          <cell r="DW125"/>
          <cell r="DX125"/>
          <cell r="DY125"/>
        </row>
        <row r="126">
          <cell r="E126" t="str">
            <v>04982</v>
          </cell>
          <cell r="F126" t="str">
            <v>Đoàn Quốc Lập</v>
          </cell>
          <cell r="G126" t="str">
            <v>Foaming</v>
          </cell>
          <cell r="H126" t="str">
            <v>FOAMING Rectangular</v>
          </cell>
          <cell r="I126" t="str">
            <v>Worker</v>
          </cell>
          <cell r="J126" t="str">
            <v>02/03/2026</v>
          </cell>
          <cell r="K126"/>
          <cell r="L126">
            <v>8</v>
          </cell>
          <cell r="M126">
            <v>8</v>
          </cell>
          <cell r="N126" t="str">
            <v>UP6</v>
          </cell>
          <cell r="O126" t="str">
            <v>Ca 1</v>
          </cell>
          <cell r="P126" t="str">
            <v>CN</v>
          </cell>
          <cell r="Q126">
            <v>8</v>
          </cell>
          <cell r="R126">
            <v>8</v>
          </cell>
          <cell r="S126">
            <v>8</v>
          </cell>
          <cell r="T126">
            <v>8</v>
          </cell>
          <cell r="U126">
            <v>8</v>
          </cell>
          <cell r="V126">
            <v>8</v>
          </cell>
          <cell r="W126" t="str">
            <v>Ca 2</v>
          </cell>
          <cell r="X126" t="str">
            <v>CN</v>
          </cell>
          <cell r="Y126">
            <v>8</v>
          </cell>
          <cell r="Z126">
            <v>8</v>
          </cell>
          <cell r="AA126">
            <v>8</v>
          </cell>
          <cell r="AB126">
            <v>8</v>
          </cell>
          <cell r="AC126">
            <v>8</v>
          </cell>
          <cell r="AD126">
            <v>8</v>
          </cell>
          <cell r="AE126" t="str">
            <v>HCSX</v>
          </cell>
          <cell r="AF126" t="str">
            <v>CN</v>
          </cell>
          <cell r="AG126" t="str">
            <v>Đ</v>
          </cell>
          <cell r="AH126" t="str">
            <v>Đ</v>
          </cell>
          <cell r="AI126" t="str">
            <v>Đ</v>
          </cell>
          <cell r="AJ126" t="str">
            <v>Đ</v>
          </cell>
          <cell r="AK126">
            <v>8</v>
          </cell>
          <cell r="AL126" t="str">
            <v>NP</v>
          </cell>
          <cell r="AM126" t="str">
            <v>Ca 3</v>
          </cell>
          <cell r="AN126" t="str">
            <v>CN</v>
          </cell>
          <cell r="AO126">
            <v>8</v>
          </cell>
          <cell r="AP126">
            <v>8</v>
          </cell>
          <cell r="AQ126">
            <v>8</v>
          </cell>
          <cell r="AR126">
            <v>8</v>
          </cell>
          <cell r="AS126">
            <v>8</v>
          </cell>
          <cell r="AT126">
            <v>8</v>
          </cell>
          <cell r="AU126" t="str">
            <v>Ca 1</v>
          </cell>
          <cell r="AV126" t="str">
            <v>H</v>
          </cell>
          <cell r="AW126" t="str">
            <v>X</v>
          </cell>
          <cell r="AX126">
            <v>8</v>
          </cell>
          <cell r="AY126">
            <v>8</v>
          </cell>
          <cell r="AZ126" t="str">
            <v>H</v>
          </cell>
          <cell r="BA126" t="str">
            <v/>
          </cell>
          <cell r="BB126" t="str">
            <v/>
          </cell>
          <cell r="BC126" t="str">
            <v>Ca 1</v>
          </cell>
          <cell r="BD126" t="str">
            <v/>
          </cell>
          <cell r="BE126">
            <v>32</v>
          </cell>
          <cell r="BF126">
            <v>190</v>
          </cell>
          <cell r="BG126">
            <v>0</v>
          </cell>
          <cell r="BH126">
            <v>0</v>
          </cell>
          <cell r="BI126">
            <v>6</v>
          </cell>
          <cell r="BJ126">
            <v>0</v>
          </cell>
          <cell r="BK126">
            <v>1</v>
          </cell>
          <cell r="BL126">
            <v>0</v>
          </cell>
          <cell r="BM126">
            <v>0</v>
          </cell>
          <cell r="BN126">
            <v>0</v>
          </cell>
          <cell r="BO126">
            <v>0</v>
          </cell>
          <cell r="BP126">
            <v>0</v>
          </cell>
          <cell r="BQ126">
            <v>0</v>
          </cell>
          <cell r="BR126">
            <v>0</v>
          </cell>
          <cell r="BS126">
            <v>16</v>
          </cell>
          <cell r="BT126">
            <v>0</v>
          </cell>
          <cell r="BU126">
            <v>0</v>
          </cell>
          <cell r="BV126">
            <v>0</v>
          </cell>
          <cell r="BW126">
            <v>0</v>
          </cell>
          <cell r="BX126">
            <v>238</v>
          </cell>
          <cell r="BY126">
            <v>0</v>
          </cell>
          <cell r="BZ126">
            <v>0</v>
          </cell>
          <cell r="CA126">
            <v>0</v>
          </cell>
          <cell r="CB126">
            <v>0</v>
          </cell>
          <cell r="CC126">
            <v>0</v>
          </cell>
          <cell r="CD126"/>
          <cell r="CE126"/>
          <cell r="CF126"/>
          <cell r="CG126">
            <v>4</v>
          </cell>
          <cell r="CH126">
            <v>4</v>
          </cell>
          <cell r="CI126">
            <v>4</v>
          </cell>
          <cell r="CJ126">
            <v>0</v>
          </cell>
          <cell r="CK126">
            <v>0</v>
          </cell>
          <cell r="CL126">
            <v>0</v>
          </cell>
          <cell r="CM126">
            <v>0</v>
          </cell>
          <cell r="CN126">
            <v>0</v>
          </cell>
          <cell r="CO126">
            <v>0</v>
          </cell>
          <cell r="CP126">
            <v>0</v>
          </cell>
          <cell r="CQ126">
            <v>0</v>
          </cell>
          <cell r="CR126">
            <v>0</v>
          </cell>
          <cell r="CS126">
            <v>0</v>
          </cell>
          <cell r="CT126">
            <v>2</v>
          </cell>
          <cell r="CU126">
            <v>3</v>
          </cell>
          <cell r="CV126">
            <v>3</v>
          </cell>
          <cell r="CW126">
            <v>3</v>
          </cell>
          <cell r="CX126">
            <v>0</v>
          </cell>
          <cell r="CY126">
            <v>4</v>
          </cell>
          <cell r="CZ126">
            <v>4</v>
          </cell>
          <cell r="DA126">
            <v>3</v>
          </cell>
          <cell r="DB126">
            <v>0</v>
          </cell>
          <cell r="DC126">
            <v>0</v>
          </cell>
          <cell r="DD126">
            <v>0</v>
          </cell>
          <cell r="DE126">
            <v>0</v>
          </cell>
          <cell r="DF126">
            <v>2</v>
          </cell>
          <cell r="DG126">
            <v>0</v>
          </cell>
          <cell r="DH126">
            <v>0</v>
          </cell>
          <cell r="DI126">
            <v>0</v>
          </cell>
          <cell r="DJ126">
            <v>0</v>
          </cell>
          <cell r="DK126">
            <v>0</v>
          </cell>
          <cell r="DL126">
            <v>0</v>
          </cell>
          <cell r="DM126">
            <v>0</v>
          </cell>
          <cell r="DN126" t="str">
            <v/>
          </cell>
          <cell r="DO126" t="str">
            <v/>
          </cell>
          <cell r="DP126" t="str">
            <v/>
          </cell>
          <cell r="DQ126"/>
          <cell r="DR126"/>
          <cell r="DS126"/>
          <cell r="DT126">
            <v>36</v>
          </cell>
          <cell r="DU126">
            <v>0</v>
          </cell>
          <cell r="DV126"/>
          <cell r="DW126"/>
          <cell r="DX126"/>
          <cell r="DY126"/>
        </row>
        <row r="127">
          <cell r="E127" t="str">
            <v>04983</v>
          </cell>
          <cell r="F127" t="str">
            <v>Lê Hà Gia Phát</v>
          </cell>
          <cell r="G127" t="str">
            <v>Foaming</v>
          </cell>
          <cell r="H127" t="str">
            <v>FOAMING Rectangular</v>
          </cell>
          <cell r="I127" t="str">
            <v>Worker</v>
          </cell>
          <cell r="J127" t="str">
            <v>02/03/2026</v>
          </cell>
          <cell r="K127"/>
          <cell r="L127">
            <v>8</v>
          </cell>
          <cell r="M127">
            <v>8</v>
          </cell>
          <cell r="N127">
            <v>8</v>
          </cell>
          <cell r="O127" t="str">
            <v>Ca 1</v>
          </cell>
          <cell r="P127" t="str">
            <v>CN</v>
          </cell>
          <cell r="Q127" t="str">
            <v>Đ</v>
          </cell>
          <cell r="R127" t="str">
            <v>Đ</v>
          </cell>
          <cell r="S127" t="str">
            <v>Đ</v>
          </cell>
          <cell r="T127" t="str">
            <v>Đ</v>
          </cell>
          <cell r="U127" t="str">
            <v>Đ</v>
          </cell>
          <cell r="V127" t="str">
            <v>Đ</v>
          </cell>
          <cell r="W127" t="str">
            <v>Ca 3</v>
          </cell>
          <cell r="X127" t="str">
            <v>CN</v>
          </cell>
          <cell r="Y127">
            <v>8</v>
          </cell>
          <cell r="Z127">
            <v>8</v>
          </cell>
          <cell r="AA127">
            <v>8</v>
          </cell>
          <cell r="AB127">
            <v>8</v>
          </cell>
          <cell r="AC127">
            <v>8</v>
          </cell>
          <cell r="AD127">
            <v>8</v>
          </cell>
          <cell r="AE127" t="str">
            <v>HCSX</v>
          </cell>
          <cell r="AF127" t="str">
            <v>CN</v>
          </cell>
          <cell r="AG127">
            <v>8</v>
          </cell>
          <cell r="AH127">
            <v>8</v>
          </cell>
          <cell r="AI127">
            <v>8</v>
          </cell>
          <cell r="AJ127">
            <v>8</v>
          </cell>
          <cell r="AK127">
            <v>8</v>
          </cell>
          <cell r="AL127">
            <v>8</v>
          </cell>
          <cell r="AM127" t="str">
            <v>Ca 1</v>
          </cell>
          <cell r="AN127" t="str">
            <v>CN</v>
          </cell>
          <cell r="AO127" t="str">
            <v>Đ</v>
          </cell>
          <cell r="AP127" t="str">
            <v>Đ</v>
          </cell>
          <cell r="AQ127" t="str">
            <v>Đ</v>
          </cell>
          <cell r="AR127" t="str">
            <v>Đ</v>
          </cell>
          <cell r="AS127" t="str">
            <v>Đ</v>
          </cell>
          <cell r="AT127" t="str">
            <v>AL8</v>
          </cell>
          <cell r="AU127" t="str">
            <v>Ca 3</v>
          </cell>
          <cell r="AV127" t="str">
            <v>H</v>
          </cell>
          <cell r="AW127" t="str">
            <v>X</v>
          </cell>
          <cell r="AX127" t="str">
            <v>Đ</v>
          </cell>
          <cell r="AY127" t="str">
            <v>NP</v>
          </cell>
          <cell r="AZ127" t="str">
            <v>H</v>
          </cell>
          <cell r="BA127" t="str">
            <v/>
          </cell>
          <cell r="BB127" t="str">
            <v/>
          </cell>
          <cell r="BC127" t="str">
            <v>Ca 3</v>
          </cell>
          <cell r="BD127" t="str">
            <v/>
          </cell>
          <cell r="BE127">
            <v>96</v>
          </cell>
          <cell r="BF127">
            <v>120</v>
          </cell>
          <cell r="BG127">
            <v>0</v>
          </cell>
          <cell r="BH127">
            <v>0</v>
          </cell>
          <cell r="BI127">
            <v>0</v>
          </cell>
          <cell r="BJ127">
            <v>0</v>
          </cell>
          <cell r="BK127">
            <v>1</v>
          </cell>
          <cell r="BL127">
            <v>0</v>
          </cell>
          <cell r="BM127">
            <v>0</v>
          </cell>
          <cell r="BN127">
            <v>0</v>
          </cell>
          <cell r="BO127">
            <v>0</v>
          </cell>
          <cell r="BP127">
            <v>0</v>
          </cell>
          <cell r="BQ127">
            <v>0</v>
          </cell>
          <cell r="BR127">
            <v>8</v>
          </cell>
          <cell r="BS127">
            <v>16</v>
          </cell>
          <cell r="BT127">
            <v>0</v>
          </cell>
          <cell r="BU127">
            <v>0</v>
          </cell>
          <cell r="BV127">
            <v>0</v>
          </cell>
          <cell r="BW127">
            <v>0</v>
          </cell>
          <cell r="BX127">
            <v>240</v>
          </cell>
          <cell r="BY127">
            <v>1</v>
          </cell>
          <cell r="BZ127">
            <v>0</v>
          </cell>
          <cell r="CA127">
            <v>0</v>
          </cell>
          <cell r="CB127">
            <v>1</v>
          </cell>
          <cell r="CC127">
            <v>1</v>
          </cell>
          <cell r="CD127"/>
          <cell r="CE127"/>
          <cell r="CF127"/>
          <cell r="CG127">
            <v>4</v>
          </cell>
          <cell r="CH127">
            <v>4</v>
          </cell>
          <cell r="CI127">
            <v>4</v>
          </cell>
          <cell r="CJ127">
            <v>0</v>
          </cell>
          <cell r="CK127">
            <v>0</v>
          </cell>
          <cell r="CL127">
            <v>0</v>
          </cell>
          <cell r="CM127">
            <v>0</v>
          </cell>
          <cell r="CN127">
            <v>0</v>
          </cell>
          <cell r="CO127">
            <v>0</v>
          </cell>
          <cell r="CP127">
            <v>0</v>
          </cell>
          <cell r="CQ127">
            <v>0</v>
          </cell>
          <cell r="CR127">
            <v>0</v>
          </cell>
          <cell r="CS127">
            <v>0</v>
          </cell>
          <cell r="CT127">
            <v>0</v>
          </cell>
          <cell r="CU127">
            <v>0</v>
          </cell>
          <cell r="CV127">
            <v>3</v>
          </cell>
          <cell r="CW127">
            <v>3</v>
          </cell>
          <cell r="CX127">
            <v>0</v>
          </cell>
          <cell r="CY127">
            <v>0</v>
          </cell>
          <cell r="CZ127">
            <v>0</v>
          </cell>
          <cell r="DA127">
            <v>4</v>
          </cell>
          <cell r="DB127">
            <v>4</v>
          </cell>
          <cell r="DC127">
            <v>4</v>
          </cell>
          <cell r="DD127">
            <v>0</v>
          </cell>
          <cell r="DE127">
            <v>0</v>
          </cell>
          <cell r="DF127">
            <v>0</v>
          </cell>
          <cell r="DG127">
            <v>4</v>
          </cell>
          <cell r="DH127">
            <v>0</v>
          </cell>
          <cell r="DI127">
            <v>0</v>
          </cell>
          <cell r="DJ127">
            <v>0</v>
          </cell>
          <cell r="DK127">
            <v>0</v>
          </cell>
          <cell r="DL127">
            <v>0</v>
          </cell>
          <cell r="DM127">
            <v>0</v>
          </cell>
          <cell r="DN127" t="str">
            <v/>
          </cell>
          <cell r="DO127" t="str">
            <v/>
          </cell>
          <cell r="DP127" t="str">
            <v/>
          </cell>
          <cell r="DQ127"/>
          <cell r="DR127"/>
          <cell r="DS127"/>
          <cell r="DT127">
            <v>34</v>
          </cell>
          <cell r="DU127">
            <v>0</v>
          </cell>
          <cell r="DV127"/>
          <cell r="DW127"/>
          <cell r="DX127"/>
          <cell r="DY127"/>
        </row>
        <row r="128">
          <cell r="E128" t="str">
            <v>04993</v>
          </cell>
          <cell r="F128" t="str">
            <v>Võ Văn Long</v>
          </cell>
          <cell r="G128" t="str">
            <v>Foaming</v>
          </cell>
          <cell r="H128" t="str">
            <v>FOAMING Splitting</v>
          </cell>
          <cell r="I128" t="str">
            <v>Worker</v>
          </cell>
          <cell r="J128" t="str">
            <v>05/03/2026</v>
          </cell>
          <cell r="K128"/>
          <cell r="L128">
            <v>8</v>
          </cell>
          <cell r="M128">
            <v>8</v>
          </cell>
          <cell r="N128">
            <v>8</v>
          </cell>
          <cell r="O128" t="str">
            <v>Ca 1</v>
          </cell>
          <cell r="P128" t="str">
            <v>CN</v>
          </cell>
          <cell r="Q128">
            <v>8</v>
          </cell>
          <cell r="R128">
            <v>8</v>
          </cell>
          <cell r="S128">
            <v>8</v>
          </cell>
          <cell r="T128">
            <v>8</v>
          </cell>
          <cell r="U128">
            <v>8</v>
          </cell>
          <cell r="V128">
            <v>8</v>
          </cell>
          <cell r="W128" t="str">
            <v>HCSX</v>
          </cell>
          <cell r="X128" t="str">
            <v>CN</v>
          </cell>
          <cell r="Y128">
            <v>8</v>
          </cell>
          <cell r="Z128">
            <v>8</v>
          </cell>
          <cell r="AA128">
            <v>8</v>
          </cell>
          <cell r="AB128">
            <v>8</v>
          </cell>
          <cell r="AC128">
            <v>8</v>
          </cell>
          <cell r="AD128">
            <v>8</v>
          </cell>
          <cell r="AE128" t="str">
            <v>HCSX</v>
          </cell>
          <cell r="AF128" t="str">
            <v>CN</v>
          </cell>
          <cell r="AG128">
            <v>8</v>
          </cell>
          <cell r="AH128">
            <v>8</v>
          </cell>
          <cell r="AI128">
            <v>8</v>
          </cell>
          <cell r="AJ128">
            <v>8</v>
          </cell>
          <cell r="AK128">
            <v>8</v>
          </cell>
          <cell r="AL128">
            <v>8</v>
          </cell>
          <cell r="AM128" t="str">
            <v>HCSX</v>
          </cell>
          <cell r="AN128" t="str">
            <v>CN</v>
          </cell>
          <cell r="AO128">
            <v>8</v>
          </cell>
          <cell r="AP128">
            <v>8</v>
          </cell>
          <cell r="AQ128">
            <v>8</v>
          </cell>
          <cell r="AR128">
            <v>4</v>
          </cell>
          <cell r="AS128">
            <v>8</v>
          </cell>
          <cell r="AT128">
            <v>8</v>
          </cell>
          <cell r="AU128" t="str">
            <v>HCSX</v>
          </cell>
          <cell r="AV128" t="str">
            <v>H</v>
          </cell>
          <cell r="AW128" t="str">
            <v>X</v>
          </cell>
          <cell r="AX128">
            <v>8</v>
          </cell>
          <cell r="AY128">
            <v>8</v>
          </cell>
          <cell r="AZ128" t="str">
            <v>H</v>
          </cell>
          <cell r="BA128" t="str">
            <v/>
          </cell>
          <cell r="BB128" t="str">
            <v/>
          </cell>
          <cell r="BC128" t="str">
            <v>HCSX</v>
          </cell>
          <cell r="BD128" t="str">
            <v/>
          </cell>
          <cell r="BE128">
            <v>0</v>
          </cell>
          <cell r="BF128">
            <v>228</v>
          </cell>
          <cell r="BG128">
            <v>0</v>
          </cell>
          <cell r="BH128">
            <v>0</v>
          </cell>
          <cell r="BI128">
            <v>0</v>
          </cell>
          <cell r="BJ128">
            <v>0</v>
          </cell>
          <cell r="BK128">
            <v>0</v>
          </cell>
          <cell r="BL128">
            <v>0</v>
          </cell>
          <cell r="BM128">
            <v>0</v>
          </cell>
          <cell r="BN128">
            <v>0</v>
          </cell>
          <cell r="BO128">
            <v>0</v>
          </cell>
          <cell r="BP128">
            <v>0</v>
          </cell>
          <cell r="BQ128">
            <v>0</v>
          </cell>
          <cell r="BR128">
            <v>0</v>
          </cell>
          <cell r="BS128">
            <v>16</v>
          </cell>
          <cell r="BT128">
            <v>0</v>
          </cell>
          <cell r="BU128">
            <v>0</v>
          </cell>
          <cell r="BV128">
            <v>0</v>
          </cell>
          <cell r="BW128">
            <v>0</v>
          </cell>
          <cell r="BX128">
            <v>244</v>
          </cell>
          <cell r="BY128">
            <v>0</v>
          </cell>
          <cell r="BZ128">
            <v>0</v>
          </cell>
          <cell r="CA128">
            <v>0</v>
          </cell>
          <cell r="CB128">
            <v>0</v>
          </cell>
          <cell r="CC128">
            <v>0</v>
          </cell>
          <cell r="CD128"/>
          <cell r="CE128"/>
          <cell r="CF128"/>
          <cell r="CG128">
            <v>2</v>
          </cell>
          <cell r="CH128">
            <v>2</v>
          </cell>
          <cell r="CI128">
            <v>4</v>
          </cell>
          <cell r="CJ128">
            <v>0</v>
          </cell>
          <cell r="CK128">
            <v>0</v>
          </cell>
          <cell r="CL128">
            <v>3</v>
          </cell>
          <cell r="CM128">
            <v>3</v>
          </cell>
          <cell r="CN128">
            <v>3</v>
          </cell>
          <cell r="CO128">
            <v>3</v>
          </cell>
          <cell r="CP128">
            <v>0</v>
          </cell>
          <cell r="CQ128">
            <v>0</v>
          </cell>
          <cell r="CR128">
            <v>0</v>
          </cell>
          <cell r="CS128">
            <v>0</v>
          </cell>
          <cell r="CT128">
            <v>0</v>
          </cell>
          <cell r="CU128">
            <v>3</v>
          </cell>
          <cell r="CV128">
            <v>3</v>
          </cell>
          <cell r="CW128">
            <v>3</v>
          </cell>
          <cell r="CX128">
            <v>0</v>
          </cell>
          <cell r="CY128">
            <v>3</v>
          </cell>
          <cell r="CZ128">
            <v>2</v>
          </cell>
          <cell r="DA128">
            <v>2</v>
          </cell>
          <cell r="DB128">
            <v>0</v>
          </cell>
          <cell r="DC128">
            <v>0</v>
          </cell>
          <cell r="DD128">
            <v>0</v>
          </cell>
          <cell r="DE128">
            <v>0</v>
          </cell>
          <cell r="DF128">
            <v>0</v>
          </cell>
          <cell r="DG128">
            <v>0</v>
          </cell>
          <cell r="DH128">
            <v>0</v>
          </cell>
          <cell r="DI128">
            <v>0</v>
          </cell>
          <cell r="DJ128">
            <v>0</v>
          </cell>
          <cell r="DK128">
            <v>0</v>
          </cell>
          <cell r="DL128">
            <v>0</v>
          </cell>
          <cell r="DM128">
            <v>0</v>
          </cell>
          <cell r="DN128" t="str">
            <v/>
          </cell>
          <cell r="DO128" t="str">
            <v/>
          </cell>
          <cell r="DP128" t="str">
            <v/>
          </cell>
          <cell r="DQ128"/>
          <cell r="DR128"/>
          <cell r="DS128"/>
          <cell r="DT128">
            <v>36</v>
          </cell>
          <cell r="DU128">
            <v>0</v>
          </cell>
          <cell r="DV128"/>
          <cell r="DW128"/>
          <cell r="DX128"/>
          <cell r="DY128"/>
        </row>
        <row r="129">
          <cell r="E129" t="str">
            <v>05001</v>
          </cell>
          <cell r="F129" t="str">
            <v>Thạch Som</v>
          </cell>
          <cell r="G129" t="str">
            <v>Foaming</v>
          </cell>
          <cell r="H129" t="str">
            <v>FOAMING Splitting</v>
          </cell>
          <cell r="I129" t="str">
            <v>Worker</v>
          </cell>
          <cell r="J129" t="str">
            <v>05/03/2026</v>
          </cell>
          <cell r="K129"/>
          <cell r="L129" t="str">
            <v>Đ</v>
          </cell>
          <cell r="M129" t="str">
            <v>Đ</v>
          </cell>
          <cell r="N129" t="str">
            <v>Đ</v>
          </cell>
          <cell r="O129" t="str">
            <v>Ca 3</v>
          </cell>
          <cell r="P129" t="str">
            <v>CN</v>
          </cell>
          <cell r="Q129">
            <v>8</v>
          </cell>
          <cell r="R129">
            <v>8</v>
          </cell>
          <cell r="S129">
            <v>8</v>
          </cell>
          <cell r="T129">
            <v>8</v>
          </cell>
          <cell r="U129">
            <v>8</v>
          </cell>
          <cell r="V129">
            <v>8</v>
          </cell>
          <cell r="W129" t="str">
            <v>HCSX</v>
          </cell>
          <cell r="X129" t="str">
            <v>CN</v>
          </cell>
          <cell r="Y129" t="str">
            <v>Đ</v>
          </cell>
          <cell r="Z129" t="str">
            <v>Đ</v>
          </cell>
          <cell r="AA129" t="str">
            <v>Đ</v>
          </cell>
          <cell r="AB129" t="str">
            <v>Đ</v>
          </cell>
          <cell r="AC129" t="str">
            <v>Đ</v>
          </cell>
          <cell r="AD129" t="str">
            <v>Đ</v>
          </cell>
          <cell r="AE129" t="str">
            <v>Ca 3</v>
          </cell>
          <cell r="AF129" t="str">
            <v>CN</v>
          </cell>
          <cell r="AG129" t="str">
            <v>Đ</v>
          </cell>
          <cell r="AH129" t="str">
            <v>Đ</v>
          </cell>
          <cell r="AI129" t="str">
            <v>Đ</v>
          </cell>
          <cell r="AJ129" t="str">
            <v>Đ</v>
          </cell>
          <cell r="AK129" t="str">
            <v>Đ</v>
          </cell>
          <cell r="AL129" t="str">
            <v>Đ</v>
          </cell>
          <cell r="AM129" t="str">
            <v>Ca 3</v>
          </cell>
          <cell r="AN129" t="str">
            <v>CN</v>
          </cell>
          <cell r="AO129">
            <v>8</v>
          </cell>
          <cell r="AP129">
            <v>8</v>
          </cell>
          <cell r="AQ129">
            <v>8</v>
          </cell>
          <cell r="AR129">
            <v>8</v>
          </cell>
          <cell r="AS129">
            <v>8</v>
          </cell>
          <cell r="AT129">
            <v>8</v>
          </cell>
          <cell r="AU129" t="str">
            <v>HCSX</v>
          </cell>
          <cell r="AV129" t="str">
            <v>H</v>
          </cell>
          <cell r="AW129" t="str">
            <v>X</v>
          </cell>
          <cell r="AX129">
            <v>8</v>
          </cell>
          <cell r="AY129">
            <v>8</v>
          </cell>
          <cell r="AZ129" t="str">
            <v>H</v>
          </cell>
          <cell r="BA129" t="str">
            <v/>
          </cell>
          <cell r="BB129" t="str">
            <v/>
          </cell>
          <cell r="BC129" t="str">
            <v>HCSX</v>
          </cell>
          <cell r="BD129" t="str">
            <v/>
          </cell>
          <cell r="BE129">
            <v>120</v>
          </cell>
          <cell r="BF129">
            <v>112</v>
          </cell>
          <cell r="BG129">
            <v>0</v>
          </cell>
          <cell r="BH129">
            <v>0</v>
          </cell>
          <cell r="BI129">
            <v>0</v>
          </cell>
          <cell r="BJ129">
            <v>0</v>
          </cell>
          <cell r="BK129">
            <v>0</v>
          </cell>
          <cell r="BL129">
            <v>0</v>
          </cell>
          <cell r="BM129">
            <v>0</v>
          </cell>
          <cell r="BN129">
            <v>0</v>
          </cell>
          <cell r="BO129">
            <v>0</v>
          </cell>
          <cell r="BP129">
            <v>0</v>
          </cell>
          <cell r="BQ129">
            <v>0</v>
          </cell>
          <cell r="BR129">
            <v>0</v>
          </cell>
          <cell r="BS129">
            <v>16</v>
          </cell>
          <cell r="BT129">
            <v>0</v>
          </cell>
          <cell r="BU129">
            <v>0</v>
          </cell>
          <cell r="BV129">
            <v>0</v>
          </cell>
          <cell r="BW129">
            <v>0</v>
          </cell>
          <cell r="BX129">
            <v>248</v>
          </cell>
          <cell r="BY129">
            <v>0</v>
          </cell>
          <cell r="BZ129">
            <v>0</v>
          </cell>
          <cell r="CA129">
            <v>0</v>
          </cell>
          <cell r="CB129">
            <v>0</v>
          </cell>
          <cell r="CC129">
            <v>0</v>
          </cell>
          <cell r="CD129"/>
          <cell r="CE129"/>
          <cell r="CF129"/>
          <cell r="CG129">
            <v>4</v>
          </cell>
          <cell r="CH129">
            <v>0</v>
          </cell>
          <cell r="CI129">
            <v>4</v>
          </cell>
          <cell r="CJ129">
            <v>0</v>
          </cell>
          <cell r="CK129">
            <v>0</v>
          </cell>
          <cell r="CL129">
            <v>3</v>
          </cell>
          <cell r="CM129">
            <v>3</v>
          </cell>
          <cell r="CN129">
            <v>3</v>
          </cell>
          <cell r="CO129">
            <v>3</v>
          </cell>
          <cell r="CP129">
            <v>0</v>
          </cell>
          <cell r="CQ129">
            <v>0</v>
          </cell>
          <cell r="CR129">
            <v>0</v>
          </cell>
          <cell r="CS129">
            <v>0</v>
          </cell>
          <cell r="CT129">
            <v>0</v>
          </cell>
          <cell r="CU129">
            <v>2</v>
          </cell>
          <cell r="CV129">
            <v>2</v>
          </cell>
          <cell r="CW129">
            <v>2.75</v>
          </cell>
          <cell r="CX129">
            <v>0</v>
          </cell>
          <cell r="CY129">
            <v>0</v>
          </cell>
          <cell r="CZ129">
            <v>2</v>
          </cell>
          <cell r="DA129">
            <v>2</v>
          </cell>
          <cell r="DB129">
            <v>2</v>
          </cell>
          <cell r="DC129">
            <v>0</v>
          </cell>
          <cell r="DD129">
            <v>0</v>
          </cell>
          <cell r="DE129">
            <v>0</v>
          </cell>
          <cell r="DF129">
            <v>0</v>
          </cell>
          <cell r="DG129">
            <v>0</v>
          </cell>
          <cell r="DH129">
            <v>0</v>
          </cell>
          <cell r="DI129">
            <v>0</v>
          </cell>
          <cell r="DJ129">
            <v>0</v>
          </cell>
          <cell r="DK129">
            <v>0</v>
          </cell>
          <cell r="DL129">
            <v>0</v>
          </cell>
          <cell r="DM129">
            <v>0</v>
          </cell>
          <cell r="DN129" t="str">
            <v/>
          </cell>
          <cell r="DO129" t="str">
            <v/>
          </cell>
          <cell r="DP129" t="str">
            <v/>
          </cell>
          <cell r="DQ129"/>
          <cell r="DR129"/>
          <cell r="DS129"/>
          <cell r="DT129">
            <v>32.75</v>
          </cell>
          <cell r="DU129">
            <v>0</v>
          </cell>
          <cell r="DV129"/>
          <cell r="DW129"/>
          <cell r="DX129"/>
          <cell r="DY129"/>
        </row>
        <row r="130">
          <cell r="E130" t="str">
            <v>05064</v>
          </cell>
          <cell r="F130" t="str">
            <v>Dương Trùng Vương</v>
          </cell>
          <cell r="G130" t="str">
            <v>Foaming</v>
          </cell>
          <cell r="H130" t="str">
            <v>FOAMING Splitting</v>
          </cell>
          <cell r="I130" t="str">
            <v>Worker</v>
          </cell>
          <cell r="J130" t="str">
            <v>19/03/2026</v>
          </cell>
          <cell r="K130"/>
          <cell r="L130">
            <v>8</v>
          </cell>
          <cell r="M130">
            <v>8</v>
          </cell>
          <cell r="N130">
            <v>8</v>
          </cell>
          <cell r="O130" t="str">
            <v>Ca 1</v>
          </cell>
          <cell r="P130" t="str">
            <v>CN</v>
          </cell>
          <cell r="Q130" t="str">
            <v>Đ</v>
          </cell>
          <cell r="R130" t="str">
            <v>Đ</v>
          </cell>
          <cell r="S130" t="str">
            <v>Đ</v>
          </cell>
          <cell r="T130" t="str">
            <v>Đ</v>
          </cell>
          <cell r="U130" t="str">
            <v>Đ</v>
          </cell>
          <cell r="V130" t="str">
            <v>Đ</v>
          </cell>
          <cell r="W130" t="str">
            <v>Ca 3</v>
          </cell>
          <cell r="X130" t="str">
            <v>CN</v>
          </cell>
          <cell r="Y130">
            <v>8</v>
          </cell>
          <cell r="Z130">
            <v>8</v>
          </cell>
          <cell r="AA130">
            <v>8</v>
          </cell>
          <cell r="AB130">
            <v>8</v>
          </cell>
          <cell r="AC130">
            <v>8</v>
          </cell>
          <cell r="AD130">
            <v>8</v>
          </cell>
          <cell r="AE130" t="str">
            <v>HCSX</v>
          </cell>
          <cell r="AF130" t="str">
            <v>CN</v>
          </cell>
          <cell r="AG130" t="str">
            <v>Đ</v>
          </cell>
          <cell r="AH130" t="str">
            <v>Đ</v>
          </cell>
          <cell r="AI130" t="str">
            <v>Đ</v>
          </cell>
          <cell r="AJ130" t="str">
            <v>Đ</v>
          </cell>
          <cell r="AK130" t="str">
            <v>Đ</v>
          </cell>
          <cell r="AL130" t="str">
            <v>Đ</v>
          </cell>
          <cell r="AM130" t="str">
            <v>Ca 3</v>
          </cell>
          <cell r="AN130" t="str">
            <v>CN</v>
          </cell>
          <cell r="AO130">
            <v>8</v>
          </cell>
          <cell r="AP130">
            <v>8</v>
          </cell>
          <cell r="AQ130">
            <v>8</v>
          </cell>
          <cell r="AR130">
            <v>8</v>
          </cell>
          <cell r="AS130">
            <v>8</v>
          </cell>
          <cell r="AT130">
            <v>8</v>
          </cell>
          <cell r="AU130" t="str">
            <v>Ca 1</v>
          </cell>
          <cell r="AV130" t="str">
            <v>H</v>
          </cell>
          <cell r="AW130" t="str">
            <v>X</v>
          </cell>
          <cell r="AX130">
            <v>8</v>
          </cell>
          <cell r="AY130">
            <v>8</v>
          </cell>
          <cell r="AZ130" t="str">
            <v>H</v>
          </cell>
          <cell r="BA130" t="str">
            <v/>
          </cell>
          <cell r="BB130" t="str">
            <v/>
          </cell>
          <cell r="BC130" t="str">
            <v>Ca 1</v>
          </cell>
          <cell r="BD130" t="str">
            <v/>
          </cell>
          <cell r="BE130">
            <v>96</v>
          </cell>
          <cell r="BF130">
            <v>136</v>
          </cell>
          <cell r="BG130">
            <v>0</v>
          </cell>
          <cell r="BH130">
            <v>0</v>
          </cell>
          <cell r="BI130">
            <v>0</v>
          </cell>
          <cell r="BJ130">
            <v>0</v>
          </cell>
          <cell r="BK130">
            <v>0</v>
          </cell>
          <cell r="BL130">
            <v>0</v>
          </cell>
          <cell r="BM130">
            <v>0</v>
          </cell>
          <cell r="BN130">
            <v>0</v>
          </cell>
          <cell r="BO130">
            <v>0</v>
          </cell>
          <cell r="BP130">
            <v>0</v>
          </cell>
          <cell r="BQ130">
            <v>0</v>
          </cell>
          <cell r="BR130">
            <v>0</v>
          </cell>
          <cell r="BS130">
            <v>16</v>
          </cell>
          <cell r="BT130">
            <v>0</v>
          </cell>
          <cell r="BU130">
            <v>0</v>
          </cell>
          <cell r="BV130">
            <v>0</v>
          </cell>
          <cell r="BW130">
            <v>0</v>
          </cell>
          <cell r="BX130">
            <v>248</v>
          </cell>
          <cell r="BY130">
            <v>0</v>
          </cell>
          <cell r="BZ130">
            <v>0</v>
          </cell>
          <cell r="CA130">
            <v>0</v>
          </cell>
          <cell r="CB130">
            <v>0</v>
          </cell>
          <cell r="CC130">
            <v>0</v>
          </cell>
          <cell r="CD130"/>
          <cell r="CE130"/>
          <cell r="CF130"/>
          <cell r="CG130">
            <v>4</v>
          </cell>
          <cell r="CH130">
            <v>4</v>
          </cell>
          <cell r="CI130">
            <v>4</v>
          </cell>
          <cell r="CJ130">
            <v>0</v>
          </cell>
          <cell r="CK130">
            <v>0</v>
          </cell>
          <cell r="CL130">
            <v>0</v>
          </cell>
          <cell r="CM130">
            <v>0</v>
          </cell>
          <cell r="CN130">
            <v>0</v>
          </cell>
          <cell r="CO130">
            <v>0</v>
          </cell>
          <cell r="CP130">
            <v>0</v>
          </cell>
          <cell r="CQ130">
            <v>0</v>
          </cell>
          <cell r="CR130">
            <v>0</v>
          </cell>
          <cell r="CS130">
            <v>0</v>
          </cell>
          <cell r="CT130">
            <v>0</v>
          </cell>
          <cell r="CU130">
            <v>3</v>
          </cell>
          <cell r="CV130">
            <v>0</v>
          </cell>
          <cell r="CW130">
            <v>3</v>
          </cell>
          <cell r="CX130">
            <v>0</v>
          </cell>
          <cell r="CY130">
            <v>0</v>
          </cell>
          <cell r="CZ130">
            <v>3</v>
          </cell>
          <cell r="DA130">
            <v>3</v>
          </cell>
          <cell r="DB130">
            <v>3</v>
          </cell>
          <cell r="DC130">
            <v>3</v>
          </cell>
          <cell r="DD130">
            <v>0</v>
          </cell>
          <cell r="DE130">
            <v>0</v>
          </cell>
          <cell r="DF130">
            <v>0</v>
          </cell>
          <cell r="DG130">
            <v>3</v>
          </cell>
          <cell r="DH130">
            <v>3</v>
          </cell>
          <cell r="DI130">
            <v>0</v>
          </cell>
          <cell r="DJ130">
            <v>0</v>
          </cell>
          <cell r="DK130">
            <v>0</v>
          </cell>
          <cell r="DL130">
            <v>0</v>
          </cell>
          <cell r="DM130">
            <v>0</v>
          </cell>
          <cell r="DN130" t="str">
            <v/>
          </cell>
          <cell r="DO130" t="str">
            <v/>
          </cell>
          <cell r="DP130" t="str">
            <v/>
          </cell>
          <cell r="DQ130"/>
          <cell r="DR130"/>
          <cell r="DS130"/>
          <cell r="DT130">
            <v>36</v>
          </cell>
          <cell r="DU130">
            <v>0</v>
          </cell>
          <cell r="DV130"/>
          <cell r="DW130"/>
          <cell r="DX130"/>
          <cell r="DY130"/>
        </row>
        <row r="131">
          <cell r="E131" t="str">
            <v>05065</v>
          </cell>
          <cell r="F131" t="str">
            <v>Nguyễn Bá Kiên</v>
          </cell>
          <cell r="G131" t="str">
            <v>Foaming</v>
          </cell>
          <cell r="H131" t="str">
            <v>FOAMING Splitting</v>
          </cell>
          <cell r="I131" t="str">
            <v>Worker</v>
          </cell>
          <cell r="J131" t="str">
            <v>19/03/2026</v>
          </cell>
          <cell r="K131"/>
          <cell r="L131">
            <v>8</v>
          </cell>
          <cell r="M131">
            <v>8</v>
          </cell>
          <cell r="N131">
            <v>8</v>
          </cell>
          <cell r="O131" t="str">
            <v>Ca 1</v>
          </cell>
          <cell r="P131" t="str">
            <v>CN</v>
          </cell>
          <cell r="Q131" t="str">
            <v>Đ</v>
          </cell>
          <cell r="R131" t="str">
            <v>Đ</v>
          </cell>
          <cell r="S131" t="str">
            <v>Đ</v>
          </cell>
          <cell r="T131" t="str">
            <v>Đ</v>
          </cell>
          <cell r="U131" t="str">
            <v>Đ</v>
          </cell>
          <cell r="V131" t="str">
            <v>Đ</v>
          </cell>
          <cell r="W131" t="str">
            <v>Ca 3</v>
          </cell>
          <cell r="X131" t="str">
            <v>CN</v>
          </cell>
          <cell r="Y131">
            <v>8</v>
          </cell>
          <cell r="Z131">
            <v>8</v>
          </cell>
          <cell r="AA131">
            <v>8</v>
          </cell>
          <cell r="AB131" t="str">
            <v>Đ</v>
          </cell>
          <cell r="AC131" t="str">
            <v>Đ</v>
          </cell>
          <cell r="AD131" t="str">
            <v>Đ</v>
          </cell>
          <cell r="AE131" t="str">
            <v>HCSX</v>
          </cell>
          <cell r="AF131" t="str">
            <v>CN</v>
          </cell>
          <cell r="AG131">
            <v>8</v>
          </cell>
          <cell r="AH131">
            <v>8</v>
          </cell>
          <cell r="AI131">
            <v>8</v>
          </cell>
          <cell r="AJ131">
            <v>8</v>
          </cell>
          <cell r="AK131">
            <v>8</v>
          </cell>
          <cell r="AL131">
            <v>8</v>
          </cell>
          <cell r="AM131" t="str">
            <v>HCSX</v>
          </cell>
          <cell r="AN131" t="str">
            <v>CN</v>
          </cell>
          <cell r="AO131" t="str">
            <v>Đ</v>
          </cell>
          <cell r="AP131" t="str">
            <v>Đ</v>
          </cell>
          <cell r="AQ131" t="str">
            <v>Đ</v>
          </cell>
          <cell r="AR131" t="str">
            <v>Đ</v>
          </cell>
          <cell r="AS131" t="str">
            <v>Đ</v>
          </cell>
          <cell r="AT131" t="str">
            <v>AL8</v>
          </cell>
          <cell r="AU131" t="str">
            <v>Ca 3</v>
          </cell>
          <cell r="AV131" t="str">
            <v>H</v>
          </cell>
          <cell r="AW131" t="str">
            <v>X</v>
          </cell>
          <cell r="AX131" t="str">
            <v>UP8</v>
          </cell>
          <cell r="AY131" t="str">
            <v>AL8</v>
          </cell>
          <cell r="AZ131" t="str">
            <v>H</v>
          </cell>
          <cell r="BA131" t="str">
            <v/>
          </cell>
          <cell r="BB131" t="str">
            <v/>
          </cell>
          <cell r="BC131" t="str">
            <v>Ca 3</v>
          </cell>
          <cell r="BD131" t="str">
            <v/>
          </cell>
          <cell r="BE131">
            <v>112</v>
          </cell>
          <cell r="BF131">
            <v>96</v>
          </cell>
          <cell r="BG131">
            <v>0</v>
          </cell>
          <cell r="BH131">
            <v>0</v>
          </cell>
          <cell r="BI131">
            <v>0</v>
          </cell>
          <cell r="BJ131">
            <v>8</v>
          </cell>
          <cell r="BK131">
            <v>0</v>
          </cell>
          <cell r="BL131">
            <v>0</v>
          </cell>
          <cell r="BM131">
            <v>0</v>
          </cell>
          <cell r="BN131">
            <v>0</v>
          </cell>
          <cell r="BO131">
            <v>0</v>
          </cell>
          <cell r="BP131">
            <v>0</v>
          </cell>
          <cell r="BQ131">
            <v>0</v>
          </cell>
          <cell r="BR131">
            <v>16</v>
          </cell>
          <cell r="BS131">
            <v>16</v>
          </cell>
          <cell r="BT131">
            <v>0</v>
          </cell>
          <cell r="BU131">
            <v>0</v>
          </cell>
          <cell r="BV131">
            <v>0</v>
          </cell>
          <cell r="BW131">
            <v>0</v>
          </cell>
          <cell r="BX131">
            <v>240</v>
          </cell>
          <cell r="BY131">
            <v>2</v>
          </cell>
          <cell r="BZ131">
            <v>0</v>
          </cell>
          <cell r="CA131">
            <v>1</v>
          </cell>
          <cell r="CB131">
            <v>2</v>
          </cell>
          <cell r="CC131">
            <v>2</v>
          </cell>
          <cell r="CD131"/>
          <cell r="CE131"/>
          <cell r="CF131"/>
          <cell r="CG131">
            <v>4</v>
          </cell>
          <cell r="CH131">
            <v>0</v>
          </cell>
          <cell r="CI131">
            <v>4</v>
          </cell>
          <cell r="CJ131">
            <v>0</v>
          </cell>
          <cell r="CK131">
            <v>0</v>
          </cell>
          <cell r="CL131">
            <v>2</v>
          </cell>
          <cell r="CM131">
            <v>2</v>
          </cell>
          <cell r="CN131">
            <v>2</v>
          </cell>
          <cell r="CO131">
            <v>2</v>
          </cell>
          <cell r="CP131">
            <v>2</v>
          </cell>
          <cell r="CQ131">
            <v>0</v>
          </cell>
          <cell r="CR131">
            <v>0</v>
          </cell>
          <cell r="CS131">
            <v>0</v>
          </cell>
          <cell r="CT131">
            <v>3</v>
          </cell>
          <cell r="CU131">
            <v>2</v>
          </cell>
          <cell r="CV131">
            <v>2</v>
          </cell>
          <cell r="CW131">
            <v>2</v>
          </cell>
          <cell r="CX131">
            <v>0</v>
          </cell>
          <cell r="CY131">
            <v>0</v>
          </cell>
          <cell r="CZ131">
            <v>2</v>
          </cell>
          <cell r="DA131">
            <v>2</v>
          </cell>
          <cell r="DB131">
            <v>2</v>
          </cell>
          <cell r="DC131">
            <v>2</v>
          </cell>
          <cell r="DD131">
            <v>2</v>
          </cell>
          <cell r="DE131">
            <v>0</v>
          </cell>
          <cell r="DF131">
            <v>0</v>
          </cell>
          <cell r="DG131">
            <v>0</v>
          </cell>
          <cell r="DH131">
            <v>0</v>
          </cell>
          <cell r="DI131">
            <v>0</v>
          </cell>
          <cell r="DJ131">
            <v>0</v>
          </cell>
          <cell r="DK131">
            <v>0</v>
          </cell>
          <cell r="DL131">
            <v>0</v>
          </cell>
          <cell r="DM131">
            <v>0</v>
          </cell>
          <cell r="DN131" t="str">
            <v/>
          </cell>
          <cell r="DO131" t="str">
            <v/>
          </cell>
          <cell r="DP131" t="str">
            <v/>
          </cell>
          <cell r="DQ131"/>
          <cell r="DR131"/>
          <cell r="DS131"/>
          <cell r="DT131">
            <v>37</v>
          </cell>
          <cell r="DU131">
            <v>0</v>
          </cell>
          <cell r="DV131"/>
          <cell r="DW131"/>
          <cell r="DX131"/>
          <cell r="DY131"/>
        </row>
        <row r="132">
          <cell r="E132" t="str">
            <v>05066</v>
          </cell>
          <cell r="F132" t="str">
            <v>Phạm Văn Trường</v>
          </cell>
          <cell r="G132" t="str">
            <v>Foaming</v>
          </cell>
          <cell r="H132" t="str">
            <v>FOAMING Rectangular</v>
          </cell>
          <cell r="I132" t="str">
            <v>Worker</v>
          </cell>
          <cell r="J132" t="str">
            <v>19/03/2026</v>
          </cell>
          <cell r="K132"/>
          <cell r="L132">
            <v>8</v>
          </cell>
          <cell r="M132">
            <v>8</v>
          </cell>
          <cell r="N132">
            <v>8</v>
          </cell>
          <cell r="O132" t="str">
            <v>Ca 1</v>
          </cell>
          <cell r="P132" t="str">
            <v>CN</v>
          </cell>
          <cell r="Q132">
            <v>8</v>
          </cell>
          <cell r="R132">
            <v>8</v>
          </cell>
          <cell r="S132">
            <v>8</v>
          </cell>
          <cell r="T132">
            <v>8</v>
          </cell>
          <cell r="U132">
            <v>8</v>
          </cell>
          <cell r="V132">
            <v>4</v>
          </cell>
          <cell r="W132" t="str">
            <v>Ca 2</v>
          </cell>
          <cell r="X132" t="str">
            <v>CN</v>
          </cell>
          <cell r="Y132">
            <v>8</v>
          </cell>
          <cell r="Z132">
            <v>8</v>
          </cell>
          <cell r="AA132">
            <v>8</v>
          </cell>
          <cell r="AB132" t="str">
            <v>Đ</v>
          </cell>
          <cell r="AC132" t="str">
            <v>NP</v>
          </cell>
          <cell r="AD132" t="str">
            <v>Đ</v>
          </cell>
          <cell r="AE132" t="str">
            <v>HCSX</v>
          </cell>
          <cell r="AF132" t="str">
            <v>CN</v>
          </cell>
          <cell r="AG132">
            <v>8</v>
          </cell>
          <cell r="AH132">
            <v>8</v>
          </cell>
          <cell r="AI132">
            <v>8</v>
          </cell>
          <cell r="AJ132">
            <v>8</v>
          </cell>
          <cell r="AK132">
            <v>4</v>
          </cell>
          <cell r="AL132">
            <v>8</v>
          </cell>
          <cell r="AM132" t="str">
            <v>Ca 1</v>
          </cell>
          <cell r="AN132" t="str">
            <v>CN</v>
          </cell>
          <cell r="AO132" t="str">
            <v>Đ</v>
          </cell>
          <cell r="AP132" t="str">
            <v>NP</v>
          </cell>
          <cell r="AQ132" t="str">
            <v>NP</v>
          </cell>
          <cell r="AR132" t="str">
            <v>NP</v>
          </cell>
          <cell r="AS132" t="str">
            <v>NP</v>
          </cell>
          <cell r="AT132" t="str">
            <v>UP8</v>
          </cell>
          <cell r="AU132" t="str">
            <v>Ca 3</v>
          </cell>
          <cell r="AV132" t="str">
            <v>H</v>
          </cell>
          <cell r="AW132" t="str">
            <v>X</v>
          </cell>
          <cell r="AX132" t="str">
            <v>UP8</v>
          </cell>
          <cell r="AY132" t="str">
            <v>NP</v>
          </cell>
          <cell r="AZ132" t="str">
            <v>H</v>
          </cell>
          <cell r="BA132" t="str">
            <v/>
          </cell>
          <cell r="BB132" t="str">
            <v/>
          </cell>
          <cell r="BC132" t="str">
            <v>Ca 3</v>
          </cell>
          <cell r="BD132" t="str">
            <v/>
          </cell>
          <cell r="BE132">
            <v>24</v>
          </cell>
          <cell r="BF132">
            <v>136</v>
          </cell>
          <cell r="BG132">
            <v>0</v>
          </cell>
          <cell r="BH132">
            <v>0</v>
          </cell>
          <cell r="BI132">
            <v>0</v>
          </cell>
          <cell r="BJ132">
            <v>16</v>
          </cell>
          <cell r="BK132">
            <v>6</v>
          </cell>
          <cell r="BL132">
            <v>0</v>
          </cell>
          <cell r="BM132">
            <v>0</v>
          </cell>
          <cell r="BN132">
            <v>0</v>
          </cell>
          <cell r="BO132">
            <v>0</v>
          </cell>
          <cell r="BP132">
            <v>0</v>
          </cell>
          <cell r="BQ132">
            <v>0</v>
          </cell>
          <cell r="BR132">
            <v>0</v>
          </cell>
          <cell r="BS132">
            <v>16</v>
          </cell>
          <cell r="BT132">
            <v>0</v>
          </cell>
          <cell r="BU132">
            <v>0</v>
          </cell>
          <cell r="BV132">
            <v>0</v>
          </cell>
          <cell r="BW132">
            <v>0</v>
          </cell>
          <cell r="BX132">
            <v>176</v>
          </cell>
          <cell r="BY132">
            <v>0</v>
          </cell>
          <cell r="BZ132">
            <v>0</v>
          </cell>
          <cell r="CA132">
            <v>2</v>
          </cell>
          <cell r="CB132">
            <v>0</v>
          </cell>
          <cell r="CC132">
            <v>0</v>
          </cell>
          <cell r="CD132"/>
          <cell r="CE132"/>
          <cell r="CF132"/>
          <cell r="CG132">
            <v>4</v>
          </cell>
          <cell r="CH132">
            <v>4</v>
          </cell>
          <cell r="CI132">
            <v>4</v>
          </cell>
          <cell r="CJ132">
            <v>0</v>
          </cell>
          <cell r="CK132">
            <v>0</v>
          </cell>
          <cell r="CL132">
            <v>0</v>
          </cell>
          <cell r="CM132">
            <v>0</v>
          </cell>
          <cell r="CN132">
            <v>0</v>
          </cell>
          <cell r="CO132">
            <v>0</v>
          </cell>
          <cell r="CP132">
            <v>0</v>
          </cell>
          <cell r="CQ132">
            <v>0</v>
          </cell>
          <cell r="CR132">
            <v>0</v>
          </cell>
          <cell r="CS132">
            <v>0</v>
          </cell>
          <cell r="CT132">
            <v>0</v>
          </cell>
          <cell r="CU132">
            <v>2</v>
          </cell>
          <cell r="CV132">
            <v>0</v>
          </cell>
          <cell r="CW132">
            <v>2</v>
          </cell>
          <cell r="CX132">
            <v>0</v>
          </cell>
          <cell r="CY132">
            <v>0</v>
          </cell>
          <cell r="CZ132">
            <v>0</v>
          </cell>
          <cell r="DA132">
            <v>0</v>
          </cell>
          <cell r="DB132">
            <v>4</v>
          </cell>
          <cell r="DC132">
            <v>0</v>
          </cell>
          <cell r="DD132">
            <v>0</v>
          </cell>
          <cell r="DE132">
            <v>0</v>
          </cell>
          <cell r="DF132">
            <v>0</v>
          </cell>
          <cell r="DG132">
            <v>0</v>
          </cell>
          <cell r="DH132">
            <v>0</v>
          </cell>
          <cell r="DI132">
            <v>0</v>
          </cell>
          <cell r="DJ132">
            <v>0</v>
          </cell>
          <cell r="DK132">
            <v>0</v>
          </cell>
          <cell r="DL132">
            <v>0</v>
          </cell>
          <cell r="DM132">
            <v>0</v>
          </cell>
          <cell r="DN132" t="str">
            <v/>
          </cell>
          <cell r="DO132" t="str">
            <v/>
          </cell>
          <cell r="DP132" t="str">
            <v/>
          </cell>
          <cell r="DQ132"/>
          <cell r="DR132"/>
          <cell r="DS132"/>
          <cell r="DT132">
            <v>20</v>
          </cell>
          <cell r="DU132">
            <v>0</v>
          </cell>
          <cell r="DV132"/>
          <cell r="DW132"/>
          <cell r="DX132"/>
          <cell r="DY132"/>
        </row>
        <row r="133">
          <cell r="E133" t="str">
            <v>05067</v>
          </cell>
          <cell r="F133" t="str">
            <v>Dương Văn Bảo</v>
          </cell>
          <cell r="G133" t="str">
            <v>Foaming</v>
          </cell>
          <cell r="H133" t="str">
            <v>FOAMING Splitting</v>
          </cell>
          <cell r="I133" t="str">
            <v>Worker</v>
          </cell>
          <cell r="J133" t="str">
            <v>19/03/2026</v>
          </cell>
          <cell r="K133"/>
          <cell r="L133">
            <v>8</v>
          </cell>
          <cell r="M133">
            <v>8</v>
          </cell>
          <cell r="N133">
            <v>8</v>
          </cell>
          <cell r="O133" t="str">
            <v>Ca 1</v>
          </cell>
          <cell r="P133" t="str">
            <v>CN</v>
          </cell>
          <cell r="Q133">
            <v>8</v>
          </cell>
          <cell r="R133">
            <v>8</v>
          </cell>
          <cell r="S133">
            <v>8</v>
          </cell>
          <cell r="T133">
            <v>8</v>
          </cell>
          <cell r="U133">
            <v>8</v>
          </cell>
          <cell r="V133">
            <v>8</v>
          </cell>
          <cell r="W133" t="str">
            <v>Ca 2</v>
          </cell>
          <cell r="X133" t="str">
            <v>CN</v>
          </cell>
          <cell r="Y133">
            <v>8</v>
          </cell>
          <cell r="Z133">
            <v>8</v>
          </cell>
          <cell r="AA133">
            <v>8</v>
          </cell>
          <cell r="AB133" t="str">
            <v>Đ</v>
          </cell>
          <cell r="AC133" t="str">
            <v>Đ</v>
          </cell>
          <cell r="AD133" t="str">
            <v>Đ</v>
          </cell>
          <cell r="AE133" t="str">
            <v>HCSX</v>
          </cell>
          <cell r="AF133" t="str">
            <v>CN</v>
          </cell>
          <cell r="AG133">
            <v>8</v>
          </cell>
          <cell r="AH133">
            <v>8</v>
          </cell>
          <cell r="AI133">
            <v>8</v>
          </cell>
          <cell r="AJ133">
            <v>8</v>
          </cell>
          <cell r="AK133">
            <v>8</v>
          </cell>
          <cell r="AL133">
            <v>8</v>
          </cell>
          <cell r="AM133" t="str">
            <v>Ca 1</v>
          </cell>
          <cell r="AN133" t="str">
            <v>CN</v>
          </cell>
          <cell r="AO133" t="str">
            <v>Đ</v>
          </cell>
          <cell r="AP133" t="str">
            <v>Đ</v>
          </cell>
          <cell r="AQ133" t="str">
            <v>Đ</v>
          </cell>
          <cell r="AR133" t="str">
            <v>Đ</v>
          </cell>
          <cell r="AS133" t="str">
            <v>Đ</v>
          </cell>
          <cell r="AT133" t="str">
            <v>AL8</v>
          </cell>
          <cell r="AU133" t="str">
            <v>Ca 3</v>
          </cell>
          <cell r="AV133" t="str">
            <v>H</v>
          </cell>
          <cell r="AW133" t="str">
            <v>X</v>
          </cell>
          <cell r="AX133" t="str">
            <v>Đ</v>
          </cell>
          <cell r="AY133" t="str">
            <v>AL8</v>
          </cell>
          <cell r="AZ133" t="str">
            <v>H</v>
          </cell>
          <cell r="BA133" t="str">
            <v/>
          </cell>
          <cell r="BB133" t="str">
            <v/>
          </cell>
          <cell r="BC133" t="str">
            <v>Ca 3</v>
          </cell>
          <cell r="BD133" t="str">
            <v/>
          </cell>
          <cell r="BE133">
            <v>72</v>
          </cell>
          <cell r="BF133">
            <v>144</v>
          </cell>
          <cell r="BG133">
            <v>0</v>
          </cell>
          <cell r="BH133">
            <v>0</v>
          </cell>
          <cell r="BI133">
            <v>0</v>
          </cell>
          <cell r="BJ133">
            <v>0</v>
          </cell>
          <cell r="BK133">
            <v>0</v>
          </cell>
          <cell r="BL133">
            <v>0</v>
          </cell>
          <cell r="BM133">
            <v>0</v>
          </cell>
          <cell r="BN133">
            <v>0</v>
          </cell>
          <cell r="BO133">
            <v>0</v>
          </cell>
          <cell r="BP133">
            <v>0</v>
          </cell>
          <cell r="BQ133">
            <v>0</v>
          </cell>
          <cell r="BR133">
            <v>16</v>
          </cell>
          <cell r="BS133">
            <v>16</v>
          </cell>
          <cell r="BT133">
            <v>0</v>
          </cell>
          <cell r="BU133">
            <v>0</v>
          </cell>
          <cell r="BV133">
            <v>0</v>
          </cell>
          <cell r="BW133">
            <v>0</v>
          </cell>
          <cell r="BX133">
            <v>248</v>
          </cell>
          <cell r="BY133">
            <v>2</v>
          </cell>
          <cell r="BZ133">
            <v>0</v>
          </cell>
          <cell r="CA133">
            <v>0</v>
          </cell>
          <cell r="CB133">
            <v>2</v>
          </cell>
          <cell r="CC133">
            <v>2</v>
          </cell>
          <cell r="CD133"/>
          <cell r="CE133"/>
          <cell r="CF133"/>
          <cell r="CG133">
            <v>4</v>
          </cell>
          <cell r="CH133">
            <v>4</v>
          </cell>
          <cell r="CI133">
            <v>4</v>
          </cell>
          <cell r="CJ133">
            <v>0</v>
          </cell>
          <cell r="CK133">
            <v>0</v>
          </cell>
          <cell r="CL133">
            <v>0</v>
          </cell>
          <cell r="CM133">
            <v>0</v>
          </cell>
          <cell r="CN133">
            <v>0</v>
          </cell>
          <cell r="CO133">
            <v>0</v>
          </cell>
          <cell r="CP133">
            <v>0</v>
          </cell>
          <cell r="CQ133">
            <v>0</v>
          </cell>
          <cell r="CR133">
            <v>0</v>
          </cell>
          <cell r="CS133">
            <v>0</v>
          </cell>
          <cell r="CT133">
            <v>0</v>
          </cell>
          <cell r="CU133">
            <v>2</v>
          </cell>
          <cell r="CV133">
            <v>0</v>
          </cell>
          <cell r="CW133">
            <v>0</v>
          </cell>
          <cell r="CX133">
            <v>0</v>
          </cell>
          <cell r="CY133">
            <v>3</v>
          </cell>
          <cell r="CZ133">
            <v>3</v>
          </cell>
          <cell r="DA133">
            <v>3</v>
          </cell>
          <cell r="DB133">
            <v>3</v>
          </cell>
          <cell r="DC133">
            <v>0</v>
          </cell>
          <cell r="DD133">
            <v>0</v>
          </cell>
          <cell r="DE133">
            <v>0</v>
          </cell>
          <cell r="DF133">
            <v>0</v>
          </cell>
          <cell r="DG133">
            <v>4</v>
          </cell>
          <cell r="DH133">
            <v>0</v>
          </cell>
          <cell r="DI133">
            <v>0</v>
          </cell>
          <cell r="DJ133">
            <v>0</v>
          </cell>
          <cell r="DK133">
            <v>0</v>
          </cell>
          <cell r="DL133">
            <v>0</v>
          </cell>
          <cell r="DM133">
            <v>0</v>
          </cell>
          <cell r="DN133" t="str">
            <v/>
          </cell>
          <cell r="DO133" t="str">
            <v/>
          </cell>
          <cell r="DP133" t="str">
            <v/>
          </cell>
          <cell r="DQ133"/>
          <cell r="DR133"/>
          <cell r="DS133"/>
          <cell r="DT133">
            <v>30</v>
          </cell>
          <cell r="DU133">
            <v>0</v>
          </cell>
          <cell r="DV133"/>
          <cell r="DW133"/>
          <cell r="DX133"/>
          <cell r="DY133"/>
        </row>
        <row r="134">
          <cell r="E134" t="str">
            <v>05089</v>
          </cell>
          <cell r="F134" t="str">
            <v xml:space="preserve">Dương Đại Vĩ </v>
          </cell>
          <cell r="G134" t="str">
            <v>Foaming</v>
          </cell>
          <cell r="H134" t="str">
            <v>FOAMING Splitting</v>
          </cell>
          <cell r="I134" t="str">
            <v>Worker</v>
          </cell>
          <cell r="J134" t="str">
            <v>27/03/2026</v>
          </cell>
          <cell r="K134"/>
          <cell r="L134" t="str">
            <v/>
          </cell>
          <cell r="M134">
            <v>8</v>
          </cell>
          <cell r="N134">
            <v>8</v>
          </cell>
          <cell r="O134" t="str">
            <v>HCSX</v>
          </cell>
          <cell r="P134" t="str">
            <v>CN</v>
          </cell>
          <cell r="Q134">
            <v>8</v>
          </cell>
          <cell r="R134">
            <v>8</v>
          </cell>
          <cell r="S134">
            <v>8</v>
          </cell>
          <cell r="T134">
            <v>8</v>
          </cell>
          <cell r="U134">
            <v>8</v>
          </cell>
          <cell r="V134">
            <v>8</v>
          </cell>
          <cell r="W134" t="str">
            <v>HCSX</v>
          </cell>
          <cell r="X134" t="str">
            <v>CN</v>
          </cell>
          <cell r="Y134">
            <v>8</v>
          </cell>
          <cell r="Z134">
            <v>8</v>
          </cell>
          <cell r="AA134" t="str">
            <v>NP</v>
          </cell>
          <cell r="AB134">
            <v>8</v>
          </cell>
          <cell r="AC134">
            <v>8</v>
          </cell>
          <cell r="AD134">
            <v>8</v>
          </cell>
          <cell r="AE134" t="str">
            <v>HCSX</v>
          </cell>
          <cell r="AF134" t="str">
            <v>CN</v>
          </cell>
          <cell r="AG134" t="str">
            <v>NP</v>
          </cell>
          <cell r="AH134" t="str">
            <v>NP</v>
          </cell>
          <cell r="AI134" t="str">
            <v>NP</v>
          </cell>
          <cell r="AJ134" t="str">
            <v>NP</v>
          </cell>
          <cell r="AK134" t="str">
            <v>NP</v>
          </cell>
          <cell r="AL134" t="str">
            <v>NP</v>
          </cell>
          <cell r="AM134" t="str">
            <v>Ca 1</v>
          </cell>
          <cell r="AN134" t="str">
            <v>CN</v>
          </cell>
          <cell r="AO134" t="str">
            <v>NP</v>
          </cell>
          <cell r="AP134" t="str">
            <v>NP</v>
          </cell>
          <cell r="AQ134" t="str">
            <v>NP</v>
          </cell>
          <cell r="AR134" t="str">
            <v>NP</v>
          </cell>
          <cell r="AS134" t="str">
            <v>NP</v>
          </cell>
          <cell r="AT134" t="str">
            <v>TV</v>
          </cell>
          <cell r="AU134" t="str">
            <v>TV</v>
          </cell>
          <cell r="AV134"/>
          <cell r="AW134" t="str">
            <v>TV</v>
          </cell>
          <cell r="AX134" t="str">
            <v>TV</v>
          </cell>
          <cell r="AY134" t="str">
            <v>TV</v>
          </cell>
          <cell r="AZ134" t="str">
            <v>TV</v>
          </cell>
          <cell r="BA134" t="str">
            <v/>
          </cell>
          <cell r="BB134" t="str">
            <v/>
          </cell>
          <cell r="BC134" t="str">
            <v>TV</v>
          </cell>
          <cell r="BD134" t="str">
            <v/>
          </cell>
          <cell r="BE134">
            <v>0</v>
          </cell>
          <cell r="BF134">
            <v>104</v>
          </cell>
          <cell r="BG134">
            <v>0</v>
          </cell>
          <cell r="BH134">
            <v>0</v>
          </cell>
          <cell r="BI134">
            <v>0</v>
          </cell>
          <cell r="BJ134">
            <v>0</v>
          </cell>
          <cell r="BK134">
            <v>12</v>
          </cell>
          <cell r="BL134">
            <v>0</v>
          </cell>
          <cell r="BM134">
            <v>0</v>
          </cell>
          <cell r="BN134">
            <v>0</v>
          </cell>
          <cell r="BO134">
            <v>0</v>
          </cell>
          <cell r="BP134">
            <v>0</v>
          </cell>
          <cell r="BQ134">
            <v>0</v>
          </cell>
          <cell r="BR134">
            <v>0</v>
          </cell>
          <cell r="BS134">
            <v>0</v>
          </cell>
          <cell r="BT134">
            <v>0</v>
          </cell>
          <cell r="BU134">
            <v>0</v>
          </cell>
          <cell r="BV134">
            <v>0</v>
          </cell>
          <cell r="BW134">
            <v>0</v>
          </cell>
          <cell r="BX134">
            <v>104</v>
          </cell>
          <cell r="BY134">
            <v>0</v>
          </cell>
          <cell r="BZ134">
            <v>0</v>
          </cell>
          <cell r="CA134">
            <v>0</v>
          </cell>
          <cell r="CB134">
            <v>0</v>
          </cell>
          <cell r="CC134">
            <v>0</v>
          </cell>
          <cell r="CD134"/>
          <cell r="CE134"/>
          <cell r="CF134"/>
          <cell r="CG134" t="str">
            <v/>
          </cell>
          <cell r="CH134">
            <v>0</v>
          </cell>
          <cell r="CI134">
            <v>0</v>
          </cell>
          <cell r="CJ134">
            <v>0</v>
          </cell>
          <cell r="CK134">
            <v>0</v>
          </cell>
          <cell r="CL134">
            <v>0</v>
          </cell>
          <cell r="CM134">
            <v>0</v>
          </cell>
          <cell r="CN134">
            <v>0</v>
          </cell>
          <cell r="CO134">
            <v>0</v>
          </cell>
          <cell r="CP134">
            <v>0</v>
          </cell>
          <cell r="CQ134">
            <v>0</v>
          </cell>
          <cell r="CR134">
            <v>0</v>
          </cell>
          <cell r="CS134">
            <v>0</v>
          </cell>
          <cell r="CT134">
            <v>0</v>
          </cell>
          <cell r="CU134">
            <v>3</v>
          </cell>
          <cell r="CV134">
            <v>3</v>
          </cell>
          <cell r="CW134">
            <v>0</v>
          </cell>
          <cell r="CX134">
            <v>0</v>
          </cell>
          <cell r="CY134">
            <v>0</v>
          </cell>
          <cell r="CZ134">
            <v>0</v>
          </cell>
          <cell r="DA134">
            <v>0</v>
          </cell>
          <cell r="DB134">
            <v>0</v>
          </cell>
          <cell r="DC134">
            <v>0</v>
          </cell>
          <cell r="DD134">
            <v>0</v>
          </cell>
          <cell r="DE134">
            <v>0</v>
          </cell>
          <cell r="DF134">
            <v>0</v>
          </cell>
          <cell r="DG134">
            <v>0</v>
          </cell>
          <cell r="DH134">
            <v>0</v>
          </cell>
          <cell r="DI134">
            <v>0</v>
          </cell>
          <cell r="DJ134">
            <v>0</v>
          </cell>
          <cell r="DK134">
            <v>0</v>
          </cell>
          <cell r="DL134" t="str">
            <v/>
          </cell>
          <cell r="DM134" t="str">
            <v/>
          </cell>
          <cell r="DN134" t="str">
            <v/>
          </cell>
          <cell r="DO134" t="str">
            <v/>
          </cell>
          <cell r="DP134" t="str">
            <v/>
          </cell>
          <cell r="DQ134"/>
          <cell r="DR134"/>
          <cell r="DS134"/>
          <cell r="DT134">
            <v>6</v>
          </cell>
          <cell r="DU134">
            <v>0</v>
          </cell>
          <cell r="DV134"/>
          <cell r="DW134"/>
          <cell r="DX134"/>
          <cell r="DY134"/>
        </row>
        <row r="135">
          <cell r="E135" t="str">
            <v>05091</v>
          </cell>
          <cell r="F135" t="str">
            <v>Phan Nguyễn Trọng Đức</v>
          </cell>
          <cell r="G135" t="str">
            <v>Foaming</v>
          </cell>
          <cell r="H135" t="str">
            <v>FOAMING Production control</v>
          </cell>
          <cell r="I135" t="str">
            <v>Foaming Manager</v>
          </cell>
          <cell r="J135" t="str">
            <v>31/03/2026</v>
          </cell>
          <cell r="K135"/>
          <cell r="L135" t="str">
            <v/>
          </cell>
          <cell r="M135" t="str">
            <v/>
          </cell>
          <cell r="N135" t="str">
            <v/>
          </cell>
          <cell r="O135" t="str">
            <v/>
          </cell>
          <cell r="P135" t="str">
            <v/>
          </cell>
          <cell r="Q135" t="str">
            <v/>
          </cell>
          <cell r="R135" t="str">
            <v/>
          </cell>
          <cell r="S135">
            <v>8</v>
          </cell>
          <cell r="T135">
            <v>8</v>
          </cell>
          <cell r="U135">
            <v>8</v>
          </cell>
          <cell r="V135" t="str">
            <v>PO</v>
          </cell>
          <cell r="W135" t="str">
            <v>HCVP</v>
          </cell>
          <cell r="X135" t="str">
            <v>CN</v>
          </cell>
          <cell r="Y135" t="str">
            <v>NP</v>
          </cell>
          <cell r="Z135" t="str">
            <v>NP</v>
          </cell>
          <cell r="AA135" t="str">
            <v>NP</v>
          </cell>
          <cell r="AB135" t="str">
            <v>NP</v>
          </cell>
          <cell r="AC135" t="str">
            <v>NP</v>
          </cell>
          <cell r="AD135" t="str">
            <v>NP</v>
          </cell>
          <cell r="AE135" t="str">
            <v>HCVP</v>
          </cell>
          <cell r="AF135" t="str">
            <v>CN</v>
          </cell>
          <cell r="AG135" t="str">
            <v>NP</v>
          </cell>
          <cell r="AH135" t="str">
            <v>NP</v>
          </cell>
          <cell r="AI135" t="str">
            <v>NP</v>
          </cell>
          <cell r="AJ135" t="str">
            <v>NP</v>
          </cell>
          <cell r="AK135" t="str">
            <v>NP</v>
          </cell>
          <cell r="AL135" t="str">
            <v>NP</v>
          </cell>
          <cell r="AM135" t="str">
            <v>HCVP</v>
          </cell>
          <cell r="AN135" t="str">
            <v>CN</v>
          </cell>
          <cell r="AO135">
            <v>8</v>
          </cell>
          <cell r="AP135">
            <v>8</v>
          </cell>
          <cell r="AQ135">
            <v>8</v>
          </cell>
          <cell r="AR135">
            <v>8</v>
          </cell>
          <cell r="AS135">
            <v>8</v>
          </cell>
          <cell r="AT135">
            <v>8</v>
          </cell>
          <cell r="AU135" t="str">
            <v>HCVP</v>
          </cell>
          <cell r="AV135"/>
          <cell r="AW135" t="str">
            <v>X</v>
          </cell>
          <cell r="AX135">
            <v>8</v>
          </cell>
          <cell r="AY135">
            <v>8</v>
          </cell>
          <cell r="AZ135" t="str">
            <v>H</v>
          </cell>
          <cell r="BA135" t="str">
            <v/>
          </cell>
          <cell r="BB135" t="str">
            <v/>
          </cell>
          <cell r="BC135" t="str">
            <v>HCVP</v>
          </cell>
          <cell r="BD135" t="str">
            <v/>
          </cell>
          <cell r="BE135">
            <v>0</v>
          </cell>
          <cell r="BF135">
            <v>88</v>
          </cell>
          <cell r="BG135">
            <v>0</v>
          </cell>
          <cell r="BH135">
            <v>0</v>
          </cell>
          <cell r="BI135">
            <v>0</v>
          </cell>
          <cell r="BJ135">
            <v>0</v>
          </cell>
          <cell r="BK135">
            <v>12</v>
          </cell>
          <cell r="BL135">
            <v>0</v>
          </cell>
          <cell r="BM135">
            <v>8</v>
          </cell>
          <cell r="BN135">
            <v>0</v>
          </cell>
          <cell r="BO135">
            <v>0</v>
          </cell>
          <cell r="BP135">
            <v>0</v>
          </cell>
          <cell r="BQ135">
            <v>0</v>
          </cell>
          <cell r="BR135">
            <v>0</v>
          </cell>
          <cell r="BS135">
            <v>8</v>
          </cell>
          <cell r="BT135">
            <v>0</v>
          </cell>
          <cell r="BU135">
            <v>0</v>
          </cell>
          <cell r="BV135">
            <v>0</v>
          </cell>
          <cell r="BW135">
            <v>0</v>
          </cell>
          <cell r="BX135">
            <v>104</v>
          </cell>
          <cell r="BY135">
            <v>0</v>
          </cell>
          <cell r="BZ135">
            <v>0</v>
          </cell>
          <cell r="CA135">
            <v>0</v>
          </cell>
          <cell r="CB135">
            <v>0</v>
          </cell>
          <cell r="CC135">
            <v>0</v>
          </cell>
          <cell r="CD135"/>
          <cell r="CE135"/>
          <cell r="CF135"/>
          <cell r="CG135" t="str">
            <v/>
          </cell>
          <cell r="CH135" t="str">
            <v/>
          </cell>
          <cell r="CI135" t="str">
            <v/>
          </cell>
          <cell r="CJ135" t="str">
            <v/>
          </cell>
          <cell r="CK135" t="str">
            <v/>
          </cell>
          <cell r="CL135" t="str">
            <v/>
          </cell>
          <cell r="CM135">
            <v>0</v>
          </cell>
          <cell r="CN135">
            <v>0</v>
          </cell>
          <cell r="CO135">
            <v>0</v>
          </cell>
          <cell r="CP135">
            <v>0</v>
          </cell>
          <cell r="CQ135">
            <v>0</v>
          </cell>
          <cell r="CR135">
            <v>0</v>
          </cell>
          <cell r="CS135">
            <v>0</v>
          </cell>
          <cell r="CT135">
            <v>0</v>
          </cell>
          <cell r="CU135">
            <v>0</v>
          </cell>
          <cell r="CV135">
            <v>0</v>
          </cell>
          <cell r="CW135">
            <v>0</v>
          </cell>
          <cell r="CX135">
            <v>0</v>
          </cell>
          <cell r="CY135">
            <v>0</v>
          </cell>
          <cell r="CZ135">
            <v>0</v>
          </cell>
          <cell r="DA135">
            <v>0</v>
          </cell>
          <cell r="DB135">
            <v>0</v>
          </cell>
          <cell r="DC135">
            <v>0</v>
          </cell>
          <cell r="DD135">
            <v>0</v>
          </cell>
          <cell r="DE135">
            <v>0</v>
          </cell>
          <cell r="DF135">
            <v>0</v>
          </cell>
          <cell r="DG135">
            <v>0</v>
          </cell>
          <cell r="DH135">
            <v>0</v>
          </cell>
          <cell r="DI135">
            <v>0</v>
          </cell>
          <cell r="DJ135">
            <v>0</v>
          </cell>
          <cell r="DK135">
            <v>0</v>
          </cell>
          <cell r="DL135">
            <v>0</v>
          </cell>
          <cell r="DM135">
            <v>0</v>
          </cell>
          <cell r="DN135" t="str">
            <v/>
          </cell>
          <cell r="DO135" t="str">
            <v/>
          </cell>
          <cell r="DP135" t="str">
            <v/>
          </cell>
          <cell r="DQ135"/>
          <cell r="DR135"/>
          <cell r="DS135"/>
          <cell r="DT135">
            <v>0</v>
          </cell>
          <cell r="DU135">
            <v>0</v>
          </cell>
          <cell r="DV135"/>
          <cell r="DW135"/>
          <cell r="DX135"/>
          <cell r="DY135"/>
        </row>
        <row r="136">
          <cell r="E136" t="str">
            <v>05094</v>
          </cell>
          <cell r="F136" t="str">
            <v>Nguyễn Văn Đầy</v>
          </cell>
          <cell r="G136" t="str">
            <v>Foaming</v>
          </cell>
          <cell r="H136" t="str">
            <v>FOAMING Rectangular</v>
          </cell>
          <cell r="I136" t="str">
            <v>Worker</v>
          </cell>
          <cell r="J136" t="str">
            <v>02/04/2026</v>
          </cell>
          <cell r="K136"/>
          <cell r="L136" t="str">
            <v/>
          </cell>
          <cell r="M136" t="str">
            <v/>
          </cell>
          <cell r="N136" t="str">
            <v/>
          </cell>
          <cell r="O136" t="str">
            <v/>
          </cell>
          <cell r="P136" t="str">
            <v/>
          </cell>
          <cell r="Q136" t="str">
            <v/>
          </cell>
          <cell r="R136" t="str">
            <v/>
          </cell>
          <cell r="S136" t="str">
            <v/>
          </cell>
          <cell r="T136">
            <v>8</v>
          </cell>
          <cell r="U136">
            <v>8</v>
          </cell>
          <cell r="V136">
            <v>8</v>
          </cell>
          <cell r="W136" t="str">
            <v>HCSX</v>
          </cell>
          <cell r="X136" t="str">
            <v>CN</v>
          </cell>
          <cell r="Y136">
            <v>8</v>
          </cell>
          <cell r="Z136">
            <v>8</v>
          </cell>
          <cell r="AA136">
            <v>8</v>
          </cell>
          <cell r="AB136">
            <v>8</v>
          </cell>
          <cell r="AC136">
            <v>8</v>
          </cell>
          <cell r="AD136">
            <v>8</v>
          </cell>
          <cell r="AE136" t="str">
            <v>HCSX</v>
          </cell>
          <cell r="AF136" t="str">
            <v>CN</v>
          </cell>
          <cell r="AG136" t="str">
            <v>Đ</v>
          </cell>
          <cell r="AH136" t="str">
            <v>Đ</v>
          </cell>
          <cell r="AI136" t="str">
            <v>Đ</v>
          </cell>
          <cell r="AJ136" t="str">
            <v>Đ</v>
          </cell>
          <cell r="AK136">
            <v>8</v>
          </cell>
          <cell r="AL136" t="str">
            <v>Đ</v>
          </cell>
          <cell r="AM136" t="str">
            <v>Ca 3</v>
          </cell>
          <cell r="AN136" t="str">
            <v>CN</v>
          </cell>
          <cell r="AO136" t="str">
            <v>Đ</v>
          </cell>
          <cell r="AP136" t="str">
            <v>Đ</v>
          </cell>
          <cell r="AQ136" t="str">
            <v>Đ</v>
          </cell>
          <cell r="AR136" t="str">
            <v>Đ</v>
          </cell>
          <cell r="AS136" t="str">
            <v>Đ</v>
          </cell>
          <cell r="AT136" t="str">
            <v>UP8</v>
          </cell>
          <cell r="AU136" t="str">
            <v>Ca 3</v>
          </cell>
          <cell r="AV136"/>
          <cell r="AW136" t="str">
            <v>X</v>
          </cell>
          <cell r="AX136" t="str">
            <v>Đ</v>
          </cell>
          <cell r="AY136" t="str">
            <v>NP</v>
          </cell>
          <cell r="AZ136" t="str">
            <v>H</v>
          </cell>
          <cell r="BA136" t="str">
            <v/>
          </cell>
          <cell r="BB136" t="str">
            <v/>
          </cell>
          <cell r="BC136" t="str">
            <v>Ca 3</v>
          </cell>
          <cell r="BD136" t="str">
            <v/>
          </cell>
          <cell r="BE136">
            <v>88</v>
          </cell>
          <cell r="BF136">
            <v>80</v>
          </cell>
          <cell r="BG136">
            <v>0</v>
          </cell>
          <cell r="BH136">
            <v>0</v>
          </cell>
          <cell r="BI136">
            <v>0</v>
          </cell>
          <cell r="BJ136">
            <v>8</v>
          </cell>
          <cell r="BK136">
            <v>1</v>
          </cell>
          <cell r="BL136">
            <v>0</v>
          </cell>
          <cell r="BM136">
            <v>0</v>
          </cell>
          <cell r="BN136">
            <v>0</v>
          </cell>
          <cell r="BO136">
            <v>0</v>
          </cell>
          <cell r="BP136">
            <v>0</v>
          </cell>
          <cell r="BQ136">
            <v>0</v>
          </cell>
          <cell r="BR136">
            <v>0</v>
          </cell>
          <cell r="BS136">
            <v>8</v>
          </cell>
          <cell r="BT136">
            <v>0</v>
          </cell>
          <cell r="BU136">
            <v>0</v>
          </cell>
          <cell r="BV136">
            <v>0</v>
          </cell>
          <cell r="BW136">
            <v>0</v>
          </cell>
          <cell r="BX136">
            <v>176</v>
          </cell>
          <cell r="BY136">
            <v>0</v>
          </cell>
          <cell r="BZ136">
            <v>0</v>
          </cell>
          <cell r="CA136">
            <v>1</v>
          </cell>
          <cell r="CB136">
            <v>0</v>
          </cell>
          <cell r="CC136">
            <v>0</v>
          </cell>
          <cell r="CD136"/>
          <cell r="CE136"/>
          <cell r="CF136"/>
          <cell r="CG136" t="str">
            <v/>
          </cell>
          <cell r="CH136" t="str">
            <v/>
          </cell>
          <cell r="CI136" t="str">
            <v/>
          </cell>
          <cell r="CJ136" t="str">
            <v/>
          </cell>
          <cell r="CK136" t="str">
            <v/>
          </cell>
          <cell r="CL136" t="str">
            <v/>
          </cell>
          <cell r="CM136" t="str">
            <v/>
          </cell>
          <cell r="CN136">
            <v>0</v>
          </cell>
          <cell r="CO136">
            <v>3</v>
          </cell>
          <cell r="CP136">
            <v>3</v>
          </cell>
          <cell r="CQ136">
            <v>0</v>
          </cell>
          <cell r="CR136">
            <v>0</v>
          </cell>
          <cell r="CS136">
            <v>0</v>
          </cell>
          <cell r="CT136">
            <v>3</v>
          </cell>
          <cell r="CU136">
            <v>3</v>
          </cell>
          <cell r="CV136">
            <v>3</v>
          </cell>
          <cell r="CW136">
            <v>3</v>
          </cell>
          <cell r="CX136">
            <v>0</v>
          </cell>
          <cell r="CY136">
            <v>0</v>
          </cell>
          <cell r="CZ136">
            <v>2</v>
          </cell>
          <cell r="DA136">
            <v>2</v>
          </cell>
          <cell r="DB136">
            <v>2</v>
          </cell>
          <cell r="DC136">
            <v>2</v>
          </cell>
          <cell r="DD136">
            <v>0</v>
          </cell>
          <cell r="DE136">
            <v>0</v>
          </cell>
          <cell r="DF136">
            <v>0</v>
          </cell>
          <cell r="DG136">
            <v>0</v>
          </cell>
          <cell r="DH136">
            <v>0</v>
          </cell>
          <cell r="DI136">
            <v>4</v>
          </cell>
          <cell r="DJ136">
            <v>4</v>
          </cell>
          <cell r="DK136">
            <v>0</v>
          </cell>
          <cell r="DL136">
            <v>0</v>
          </cell>
          <cell r="DM136">
            <v>0</v>
          </cell>
          <cell r="DN136" t="str">
            <v/>
          </cell>
          <cell r="DO136" t="str">
            <v/>
          </cell>
          <cell r="DP136" t="str">
            <v/>
          </cell>
          <cell r="DQ136"/>
          <cell r="DR136"/>
          <cell r="DS136"/>
          <cell r="DT136">
            <v>34</v>
          </cell>
          <cell r="DU136">
            <v>0</v>
          </cell>
          <cell r="DV136"/>
          <cell r="DW136"/>
          <cell r="DX136"/>
          <cell r="DY136"/>
        </row>
        <row r="137">
          <cell r="E137" t="str">
            <v>05110</v>
          </cell>
          <cell r="F137" t="str">
            <v>Trịnh Văn Túc</v>
          </cell>
          <cell r="G137" t="str">
            <v>Foaming</v>
          </cell>
          <cell r="H137" t="str">
            <v>FOAMING Splitting</v>
          </cell>
          <cell r="I137" t="str">
            <v>Worker</v>
          </cell>
          <cell r="J137" t="str">
            <v>02/04/2026</v>
          </cell>
          <cell r="K137"/>
          <cell r="L137" t="str">
            <v/>
          </cell>
          <cell r="M137" t="str">
            <v/>
          </cell>
          <cell r="N137" t="str">
            <v/>
          </cell>
          <cell r="O137" t="str">
            <v/>
          </cell>
          <cell r="P137" t="str">
            <v/>
          </cell>
          <cell r="Q137" t="str">
            <v/>
          </cell>
          <cell r="R137" t="str">
            <v/>
          </cell>
          <cell r="S137" t="str">
            <v/>
          </cell>
          <cell r="T137">
            <v>8</v>
          </cell>
          <cell r="U137">
            <v>8</v>
          </cell>
          <cell r="V137">
            <v>8</v>
          </cell>
          <cell r="W137" t="str">
            <v>HCSX</v>
          </cell>
          <cell r="X137" t="str">
            <v>CN</v>
          </cell>
          <cell r="Y137">
            <v>8</v>
          </cell>
          <cell r="Z137">
            <v>8</v>
          </cell>
          <cell r="AA137">
            <v>8</v>
          </cell>
          <cell r="AB137">
            <v>8</v>
          </cell>
          <cell r="AC137">
            <v>8</v>
          </cell>
          <cell r="AD137">
            <v>8</v>
          </cell>
          <cell r="AE137" t="str">
            <v>HCSX</v>
          </cell>
          <cell r="AF137" t="str">
            <v>CN</v>
          </cell>
          <cell r="AG137" t="str">
            <v>Đ</v>
          </cell>
          <cell r="AH137" t="str">
            <v>Đ</v>
          </cell>
          <cell r="AI137" t="str">
            <v>Đ</v>
          </cell>
          <cell r="AJ137" t="str">
            <v>Đ</v>
          </cell>
          <cell r="AK137" t="str">
            <v>Đ</v>
          </cell>
          <cell r="AL137" t="str">
            <v>Đ</v>
          </cell>
          <cell r="AM137" t="str">
            <v>Ca 3</v>
          </cell>
          <cell r="AN137" t="str">
            <v>CN</v>
          </cell>
          <cell r="AO137" t="str">
            <v>Đ</v>
          </cell>
          <cell r="AP137" t="str">
            <v>Đ</v>
          </cell>
          <cell r="AQ137" t="str">
            <v>Đ</v>
          </cell>
          <cell r="AR137" t="str">
            <v>Đ</v>
          </cell>
          <cell r="AS137" t="str">
            <v>Đ</v>
          </cell>
          <cell r="AT137" t="str">
            <v>UP8</v>
          </cell>
          <cell r="AU137" t="str">
            <v>Ca 3</v>
          </cell>
          <cell r="AV137"/>
          <cell r="AW137" t="str">
            <v>X</v>
          </cell>
          <cell r="AX137" t="str">
            <v>Đ</v>
          </cell>
          <cell r="AY137" t="str">
            <v>UP8</v>
          </cell>
          <cell r="AZ137" t="str">
            <v>H</v>
          </cell>
          <cell r="BA137" t="str">
            <v/>
          </cell>
          <cell r="BB137" t="str">
            <v/>
          </cell>
          <cell r="BC137" t="str">
            <v>Ca 3</v>
          </cell>
          <cell r="BD137" t="str">
            <v/>
          </cell>
          <cell r="BE137">
            <v>96</v>
          </cell>
          <cell r="BF137">
            <v>72</v>
          </cell>
          <cell r="BG137">
            <v>0</v>
          </cell>
          <cell r="BH137">
            <v>0</v>
          </cell>
          <cell r="BI137">
            <v>0</v>
          </cell>
          <cell r="BJ137">
            <v>16</v>
          </cell>
          <cell r="BK137">
            <v>0</v>
          </cell>
          <cell r="BL137">
            <v>0</v>
          </cell>
          <cell r="BM137">
            <v>0</v>
          </cell>
          <cell r="BN137">
            <v>0</v>
          </cell>
          <cell r="BO137">
            <v>0</v>
          </cell>
          <cell r="BP137">
            <v>0</v>
          </cell>
          <cell r="BQ137">
            <v>0</v>
          </cell>
          <cell r="BR137">
            <v>0</v>
          </cell>
          <cell r="BS137">
            <v>8</v>
          </cell>
          <cell r="BT137">
            <v>0</v>
          </cell>
          <cell r="BU137">
            <v>0</v>
          </cell>
          <cell r="BV137">
            <v>0</v>
          </cell>
          <cell r="BW137">
            <v>0</v>
          </cell>
          <cell r="BX137">
            <v>176</v>
          </cell>
          <cell r="BY137">
            <v>0</v>
          </cell>
          <cell r="BZ137">
            <v>0</v>
          </cell>
          <cell r="CA137">
            <v>2</v>
          </cell>
          <cell r="CB137">
            <v>0</v>
          </cell>
          <cell r="CC137">
            <v>0</v>
          </cell>
          <cell r="CD137"/>
          <cell r="CE137"/>
          <cell r="CF137"/>
          <cell r="CG137" t="str">
            <v/>
          </cell>
          <cell r="CH137" t="str">
            <v/>
          </cell>
          <cell r="CI137" t="str">
            <v/>
          </cell>
          <cell r="CJ137" t="str">
            <v/>
          </cell>
          <cell r="CK137" t="str">
            <v/>
          </cell>
          <cell r="CL137" t="str">
            <v/>
          </cell>
          <cell r="CM137" t="str">
            <v/>
          </cell>
          <cell r="CN137">
            <v>0</v>
          </cell>
          <cell r="CO137">
            <v>3</v>
          </cell>
          <cell r="CP137">
            <v>3</v>
          </cell>
          <cell r="CQ137">
            <v>0</v>
          </cell>
          <cell r="CR137">
            <v>0</v>
          </cell>
          <cell r="CS137">
            <v>0</v>
          </cell>
          <cell r="CT137">
            <v>3</v>
          </cell>
          <cell r="CU137">
            <v>3</v>
          </cell>
          <cell r="CV137">
            <v>3</v>
          </cell>
          <cell r="CW137">
            <v>3</v>
          </cell>
          <cell r="CX137">
            <v>0</v>
          </cell>
          <cell r="CY137">
            <v>0</v>
          </cell>
          <cell r="CZ137">
            <v>2</v>
          </cell>
          <cell r="DA137">
            <v>2</v>
          </cell>
          <cell r="DB137">
            <v>2</v>
          </cell>
          <cell r="DC137">
            <v>2</v>
          </cell>
          <cell r="DD137">
            <v>0</v>
          </cell>
          <cell r="DE137">
            <v>0</v>
          </cell>
          <cell r="DF137">
            <v>0</v>
          </cell>
          <cell r="DG137">
            <v>0</v>
          </cell>
          <cell r="DH137">
            <v>0</v>
          </cell>
          <cell r="DI137">
            <v>4</v>
          </cell>
          <cell r="DJ137">
            <v>4</v>
          </cell>
          <cell r="DK137">
            <v>0</v>
          </cell>
          <cell r="DL137">
            <v>0</v>
          </cell>
          <cell r="DM137">
            <v>0</v>
          </cell>
          <cell r="DN137" t="str">
            <v/>
          </cell>
          <cell r="DO137" t="str">
            <v/>
          </cell>
          <cell r="DP137" t="str">
            <v/>
          </cell>
          <cell r="DQ137"/>
          <cell r="DR137"/>
          <cell r="DS137"/>
          <cell r="DT137">
            <v>34</v>
          </cell>
          <cell r="DU137">
            <v>0</v>
          </cell>
          <cell r="DV137"/>
          <cell r="DW137"/>
          <cell r="DX137"/>
          <cell r="DY137"/>
        </row>
        <row r="138">
          <cell r="E138" t="str">
            <v>05111</v>
          </cell>
          <cell r="F138" t="str">
            <v>Châu Hoàng Giang</v>
          </cell>
          <cell r="G138" t="str">
            <v>Foaming</v>
          </cell>
          <cell r="H138" t="str">
            <v>FOAMING Rectangular</v>
          </cell>
          <cell r="I138" t="str">
            <v>Worker</v>
          </cell>
          <cell r="J138" t="str">
            <v>02/04/2026</v>
          </cell>
          <cell r="K138"/>
          <cell r="L138" t="str">
            <v/>
          </cell>
          <cell r="M138" t="str">
            <v/>
          </cell>
          <cell r="N138" t="str">
            <v/>
          </cell>
          <cell r="O138" t="str">
            <v/>
          </cell>
          <cell r="P138" t="str">
            <v/>
          </cell>
          <cell r="Q138" t="str">
            <v/>
          </cell>
          <cell r="R138" t="str">
            <v/>
          </cell>
          <cell r="S138" t="str">
            <v/>
          </cell>
          <cell r="T138">
            <v>8</v>
          </cell>
          <cell r="U138">
            <v>8</v>
          </cell>
          <cell r="V138">
            <v>8</v>
          </cell>
          <cell r="W138" t="str">
            <v>HCSX</v>
          </cell>
          <cell r="X138" t="str">
            <v>CN</v>
          </cell>
          <cell r="Y138">
            <v>8</v>
          </cell>
          <cell r="Z138">
            <v>8</v>
          </cell>
          <cell r="AA138">
            <v>8</v>
          </cell>
          <cell r="AB138">
            <v>8</v>
          </cell>
          <cell r="AC138">
            <v>8</v>
          </cell>
          <cell r="AD138">
            <v>8</v>
          </cell>
          <cell r="AE138" t="str">
            <v>HCSX</v>
          </cell>
          <cell r="AF138" t="str">
            <v>CN</v>
          </cell>
          <cell r="AG138">
            <v>8</v>
          </cell>
          <cell r="AH138">
            <v>8</v>
          </cell>
          <cell r="AI138">
            <v>8</v>
          </cell>
          <cell r="AJ138">
            <v>8</v>
          </cell>
          <cell r="AK138">
            <v>8</v>
          </cell>
          <cell r="AL138">
            <v>8</v>
          </cell>
          <cell r="AM138" t="str">
            <v>Ca 1</v>
          </cell>
          <cell r="AN138" t="str">
            <v>CN</v>
          </cell>
          <cell r="AO138" t="str">
            <v>Đ</v>
          </cell>
          <cell r="AP138" t="str">
            <v>Đ</v>
          </cell>
          <cell r="AQ138" t="str">
            <v>Đ</v>
          </cell>
          <cell r="AR138" t="str">
            <v>Đ</v>
          </cell>
          <cell r="AS138" t="str">
            <v>Đ</v>
          </cell>
          <cell r="AT138" t="str">
            <v>UP8</v>
          </cell>
          <cell r="AU138" t="str">
            <v>Ca 3</v>
          </cell>
          <cell r="AV138"/>
          <cell r="AW138" t="str">
            <v>X</v>
          </cell>
          <cell r="AX138" t="str">
            <v>Đ</v>
          </cell>
          <cell r="AY138" t="str">
            <v>UP8</v>
          </cell>
          <cell r="AZ138" t="str">
            <v>H</v>
          </cell>
          <cell r="BA138" t="str">
            <v/>
          </cell>
          <cell r="BB138" t="str">
            <v/>
          </cell>
          <cell r="BC138" t="str">
            <v>Ca 3</v>
          </cell>
          <cell r="BD138" t="str">
            <v/>
          </cell>
          <cell r="BE138">
            <v>48</v>
          </cell>
          <cell r="BF138">
            <v>120</v>
          </cell>
          <cell r="BG138">
            <v>0</v>
          </cell>
          <cell r="BH138">
            <v>0</v>
          </cell>
          <cell r="BI138">
            <v>0</v>
          </cell>
          <cell r="BJ138">
            <v>16</v>
          </cell>
          <cell r="BK138">
            <v>0</v>
          </cell>
          <cell r="BL138">
            <v>0</v>
          </cell>
          <cell r="BM138">
            <v>0</v>
          </cell>
          <cell r="BN138">
            <v>0</v>
          </cell>
          <cell r="BO138">
            <v>0</v>
          </cell>
          <cell r="BP138">
            <v>0</v>
          </cell>
          <cell r="BQ138">
            <v>0</v>
          </cell>
          <cell r="BR138">
            <v>0</v>
          </cell>
          <cell r="BS138">
            <v>8</v>
          </cell>
          <cell r="BT138">
            <v>0</v>
          </cell>
          <cell r="BU138">
            <v>0</v>
          </cell>
          <cell r="BV138">
            <v>0</v>
          </cell>
          <cell r="BW138">
            <v>0</v>
          </cell>
          <cell r="BX138">
            <v>176</v>
          </cell>
          <cell r="BY138">
            <v>0</v>
          </cell>
          <cell r="BZ138">
            <v>0</v>
          </cell>
          <cell r="CA138">
            <v>2</v>
          </cell>
          <cell r="CB138">
            <v>0</v>
          </cell>
          <cell r="CC138">
            <v>0</v>
          </cell>
          <cell r="CD138"/>
          <cell r="CE138"/>
          <cell r="CF138"/>
          <cell r="CG138" t="str">
            <v/>
          </cell>
          <cell r="CH138" t="str">
            <v/>
          </cell>
          <cell r="CI138" t="str">
            <v/>
          </cell>
          <cell r="CJ138" t="str">
            <v/>
          </cell>
          <cell r="CK138" t="str">
            <v/>
          </cell>
          <cell r="CL138" t="str">
            <v/>
          </cell>
          <cell r="CM138" t="str">
            <v/>
          </cell>
          <cell r="CN138">
            <v>0</v>
          </cell>
          <cell r="CO138">
            <v>3</v>
          </cell>
          <cell r="CP138">
            <v>3</v>
          </cell>
          <cell r="CQ138">
            <v>0</v>
          </cell>
          <cell r="CR138">
            <v>0</v>
          </cell>
          <cell r="CS138">
            <v>0</v>
          </cell>
          <cell r="CT138">
            <v>3</v>
          </cell>
          <cell r="CU138">
            <v>3</v>
          </cell>
          <cell r="CV138">
            <v>3</v>
          </cell>
          <cell r="CW138">
            <v>3</v>
          </cell>
          <cell r="CX138">
            <v>0</v>
          </cell>
          <cell r="CY138">
            <v>4</v>
          </cell>
          <cell r="CZ138">
            <v>2</v>
          </cell>
          <cell r="DA138">
            <v>3</v>
          </cell>
          <cell r="DB138">
            <v>2</v>
          </cell>
          <cell r="DC138">
            <v>0</v>
          </cell>
          <cell r="DD138">
            <v>1</v>
          </cell>
          <cell r="DE138">
            <v>0</v>
          </cell>
          <cell r="DF138">
            <v>0</v>
          </cell>
          <cell r="DG138">
            <v>0</v>
          </cell>
          <cell r="DH138">
            <v>0</v>
          </cell>
          <cell r="DI138">
            <v>4</v>
          </cell>
          <cell r="DJ138">
            <v>4</v>
          </cell>
          <cell r="DK138">
            <v>0</v>
          </cell>
          <cell r="DL138">
            <v>0</v>
          </cell>
          <cell r="DM138">
            <v>0</v>
          </cell>
          <cell r="DN138" t="str">
            <v/>
          </cell>
          <cell r="DO138" t="str">
            <v/>
          </cell>
          <cell r="DP138" t="str">
            <v/>
          </cell>
          <cell r="DQ138"/>
          <cell r="DR138"/>
          <cell r="DS138"/>
          <cell r="DT138">
            <v>38</v>
          </cell>
          <cell r="DU138">
            <v>0</v>
          </cell>
          <cell r="DV138"/>
          <cell r="DW138"/>
          <cell r="DX138"/>
          <cell r="DY138"/>
        </row>
        <row r="139">
          <cell r="E139" t="str">
            <v>05112</v>
          </cell>
          <cell r="F139" t="str">
            <v>Phạm Trọng Nghĩa</v>
          </cell>
          <cell r="G139" t="str">
            <v>Foaming</v>
          </cell>
          <cell r="H139" t="str">
            <v>FOAMING Splitting</v>
          </cell>
          <cell r="I139" t="str">
            <v>Worker</v>
          </cell>
          <cell r="J139" t="str">
            <v>02/04/2026</v>
          </cell>
          <cell r="K139"/>
          <cell r="L139" t="str">
            <v/>
          </cell>
          <cell r="M139" t="str">
            <v/>
          </cell>
          <cell r="N139" t="str">
            <v/>
          </cell>
          <cell r="O139" t="str">
            <v/>
          </cell>
          <cell r="P139" t="str">
            <v/>
          </cell>
          <cell r="Q139" t="str">
            <v/>
          </cell>
          <cell r="R139" t="str">
            <v/>
          </cell>
          <cell r="S139" t="str">
            <v/>
          </cell>
          <cell r="T139">
            <v>8</v>
          </cell>
          <cell r="U139">
            <v>8</v>
          </cell>
          <cell r="V139">
            <v>8</v>
          </cell>
          <cell r="W139" t="str">
            <v>HCSX</v>
          </cell>
          <cell r="X139" t="str">
            <v>CN</v>
          </cell>
          <cell r="Y139">
            <v>8</v>
          </cell>
          <cell r="Z139">
            <v>8</v>
          </cell>
          <cell r="AA139">
            <v>8</v>
          </cell>
          <cell r="AB139">
            <v>8</v>
          </cell>
          <cell r="AC139">
            <v>8</v>
          </cell>
          <cell r="AD139">
            <v>8</v>
          </cell>
          <cell r="AE139" t="str">
            <v>HCSX</v>
          </cell>
          <cell r="AF139" t="str">
            <v>CN</v>
          </cell>
          <cell r="AG139" t="str">
            <v>Đ</v>
          </cell>
          <cell r="AH139" t="str">
            <v>Đ</v>
          </cell>
          <cell r="AI139" t="str">
            <v>Đ</v>
          </cell>
          <cell r="AJ139" t="str">
            <v>Đ</v>
          </cell>
          <cell r="AK139" t="str">
            <v>Đ</v>
          </cell>
          <cell r="AL139" t="str">
            <v>Đ</v>
          </cell>
          <cell r="AM139" t="str">
            <v>Ca 3</v>
          </cell>
          <cell r="AN139" t="str">
            <v>CN</v>
          </cell>
          <cell r="AO139" t="str">
            <v>Đ</v>
          </cell>
          <cell r="AP139" t="str">
            <v>Đ</v>
          </cell>
          <cell r="AQ139" t="str">
            <v>Đ</v>
          </cell>
          <cell r="AR139" t="str">
            <v>Đ</v>
          </cell>
          <cell r="AS139" t="str">
            <v>Đ</v>
          </cell>
          <cell r="AT139" t="str">
            <v>UP8</v>
          </cell>
          <cell r="AU139" t="str">
            <v>Ca 3</v>
          </cell>
          <cell r="AV139"/>
          <cell r="AW139" t="str">
            <v>X</v>
          </cell>
          <cell r="AX139" t="str">
            <v>Đ</v>
          </cell>
          <cell r="AY139" t="str">
            <v>UP8</v>
          </cell>
          <cell r="AZ139" t="str">
            <v>H</v>
          </cell>
          <cell r="BA139" t="str">
            <v/>
          </cell>
          <cell r="BB139" t="str">
            <v/>
          </cell>
          <cell r="BC139" t="str">
            <v>Ca 3</v>
          </cell>
          <cell r="BD139" t="str">
            <v/>
          </cell>
          <cell r="BE139">
            <v>96</v>
          </cell>
          <cell r="BF139">
            <v>72</v>
          </cell>
          <cell r="BG139">
            <v>0</v>
          </cell>
          <cell r="BH139">
            <v>0</v>
          </cell>
          <cell r="BI139">
            <v>0</v>
          </cell>
          <cell r="BJ139">
            <v>16</v>
          </cell>
          <cell r="BK139">
            <v>0</v>
          </cell>
          <cell r="BL139">
            <v>0</v>
          </cell>
          <cell r="BM139">
            <v>0</v>
          </cell>
          <cell r="BN139">
            <v>0</v>
          </cell>
          <cell r="BO139">
            <v>0</v>
          </cell>
          <cell r="BP139">
            <v>0</v>
          </cell>
          <cell r="BQ139">
            <v>0</v>
          </cell>
          <cell r="BR139">
            <v>0</v>
          </cell>
          <cell r="BS139">
            <v>8</v>
          </cell>
          <cell r="BT139">
            <v>0</v>
          </cell>
          <cell r="BU139">
            <v>0</v>
          </cell>
          <cell r="BV139">
            <v>0</v>
          </cell>
          <cell r="BW139">
            <v>0</v>
          </cell>
          <cell r="BX139">
            <v>176</v>
          </cell>
          <cell r="BY139">
            <v>0</v>
          </cell>
          <cell r="BZ139">
            <v>0</v>
          </cell>
          <cell r="CA139">
            <v>2</v>
          </cell>
          <cell r="CB139">
            <v>0</v>
          </cell>
          <cell r="CC139">
            <v>0</v>
          </cell>
          <cell r="CD139"/>
          <cell r="CE139"/>
          <cell r="CF139"/>
          <cell r="CG139" t="str">
            <v/>
          </cell>
          <cell r="CH139" t="str">
            <v/>
          </cell>
          <cell r="CI139" t="str">
            <v/>
          </cell>
          <cell r="CJ139" t="str">
            <v/>
          </cell>
          <cell r="CK139" t="str">
            <v/>
          </cell>
          <cell r="CL139" t="str">
            <v/>
          </cell>
          <cell r="CM139" t="str">
            <v/>
          </cell>
          <cell r="CN139">
            <v>0</v>
          </cell>
          <cell r="CO139">
            <v>3</v>
          </cell>
          <cell r="CP139">
            <v>3</v>
          </cell>
          <cell r="CQ139">
            <v>0</v>
          </cell>
          <cell r="CR139">
            <v>0</v>
          </cell>
          <cell r="CS139">
            <v>0</v>
          </cell>
          <cell r="CT139">
            <v>3</v>
          </cell>
          <cell r="CU139">
            <v>3</v>
          </cell>
          <cell r="CV139">
            <v>3</v>
          </cell>
          <cell r="CW139">
            <v>3</v>
          </cell>
          <cell r="CX139">
            <v>0</v>
          </cell>
          <cell r="CY139">
            <v>0</v>
          </cell>
          <cell r="CZ139">
            <v>2</v>
          </cell>
          <cell r="DA139">
            <v>2</v>
          </cell>
          <cell r="DB139">
            <v>2</v>
          </cell>
          <cell r="DC139">
            <v>2</v>
          </cell>
          <cell r="DD139">
            <v>0</v>
          </cell>
          <cell r="DE139">
            <v>0</v>
          </cell>
          <cell r="DF139">
            <v>0</v>
          </cell>
          <cell r="DG139">
            <v>0</v>
          </cell>
          <cell r="DH139">
            <v>0</v>
          </cell>
          <cell r="DI139">
            <v>4</v>
          </cell>
          <cell r="DJ139">
            <v>4</v>
          </cell>
          <cell r="DK139">
            <v>0</v>
          </cell>
          <cell r="DL139">
            <v>0</v>
          </cell>
          <cell r="DM139">
            <v>0</v>
          </cell>
          <cell r="DN139" t="str">
            <v/>
          </cell>
          <cell r="DO139" t="str">
            <v/>
          </cell>
          <cell r="DP139" t="str">
            <v/>
          </cell>
          <cell r="DQ139"/>
          <cell r="DR139"/>
          <cell r="DS139"/>
          <cell r="DT139">
            <v>34</v>
          </cell>
          <cell r="DU139">
            <v>0</v>
          </cell>
          <cell r="DV139"/>
          <cell r="DW139"/>
          <cell r="DX139"/>
          <cell r="DY139"/>
        </row>
        <row r="140">
          <cell r="E140"/>
          <cell r="F140"/>
          <cell r="G140"/>
          <cell r="H140"/>
          <cell r="I140"/>
          <cell r="J140"/>
          <cell r="K140"/>
          <cell r="L140" t="str">
            <v/>
          </cell>
          <cell r="M140" t="str">
            <v/>
          </cell>
          <cell r="N140" t="str">
            <v/>
          </cell>
          <cell r="O140" t="str">
            <v/>
          </cell>
          <cell r="P140" t="str">
            <v/>
          </cell>
          <cell r="Q140" t="str">
            <v/>
          </cell>
          <cell r="R140" t="str">
            <v/>
          </cell>
          <cell r="S140" t="str">
            <v/>
          </cell>
          <cell r="T140" t="str">
            <v/>
          </cell>
          <cell r="U140" t="str">
            <v/>
          </cell>
          <cell r="V140" t="str">
            <v/>
          </cell>
          <cell r="W140" t="str">
            <v/>
          </cell>
          <cell r="X140" t="str">
            <v/>
          </cell>
          <cell r="Y140" t="str">
            <v/>
          </cell>
          <cell r="Z140" t="str">
            <v/>
          </cell>
          <cell r="AA140" t="str">
            <v/>
          </cell>
          <cell r="AB140" t="str">
            <v/>
          </cell>
          <cell r="AC140" t="str">
            <v/>
          </cell>
          <cell r="AD140" t="str">
            <v/>
          </cell>
          <cell r="AE140" t="str">
            <v/>
          </cell>
          <cell r="AF140" t="str">
            <v/>
          </cell>
          <cell r="AG140" t="str">
            <v/>
          </cell>
          <cell r="AH140" t="str">
            <v/>
          </cell>
          <cell r="AI140" t="str">
            <v/>
          </cell>
          <cell r="AJ140" t="str">
            <v/>
          </cell>
          <cell r="AK140" t="str">
            <v/>
          </cell>
          <cell r="AL140" t="str">
            <v/>
          </cell>
          <cell r="AM140" t="str">
            <v/>
          </cell>
          <cell r="AN140" t="str">
            <v/>
          </cell>
          <cell r="AO140" t="str">
            <v/>
          </cell>
          <cell r="AP140" t="str">
            <v/>
          </cell>
          <cell r="AQ140" t="str">
            <v/>
          </cell>
          <cell r="AR140" t="str">
            <v/>
          </cell>
          <cell r="AS140" t="str">
            <v/>
          </cell>
          <cell r="AT140" t="str">
            <v/>
          </cell>
          <cell r="AU140" t="str">
            <v/>
          </cell>
          <cell r="AV140"/>
          <cell r="AW140"/>
          <cell r="AX140"/>
          <cell r="AY140"/>
          <cell r="AZ140"/>
          <cell r="BA140"/>
          <cell r="BB140"/>
          <cell r="BC140"/>
          <cell r="BD140"/>
          <cell r="BE140">
            <v>0</v>
          </cell>
          <cell r="BF140">
            <v>0</v>
          </cell>
          <cell r="BG140">
            <v>0</v>
          </cell>
          <cell r="BH140">
            <v>0</v>
          </cell>
          <cell r="BI140">
            <v>0</v>
          </cell>
          <cell r="BJ140">
            <v>0</v>
          </cell>
          <cell r="BK140">
            <v>0</v>
          </cell>
          <cell r="BL140">
            <v>0</v>
          </cell>
          <cell r="BM140">
            <v>0</v>
          </cell>
          <cell r="BN140">
            <v>0</v>
          </cell>
          <cell r="BO140">
            <v>0</v>
          </cell>
          <cell r="BP140">
            <v>0</v>
          </cell>
          <cell r="BQ140">
            <v>0</v>
          </cell>
          <cell r="BR140">
            <v>0</v>
          </cell>
          <cell r="BS140">
            <v>0</v>
          </cell>
          <cell r="BT140">
            <v>0</v>
          </cell>
          <cell r="BU140">
            <v>0</v>
          </cell>
          <cell r="BV140">
            <v>0</v>
          </cell>
          <cell r="BW140">
            <v>0</v>
          </cell>
          <cell r="BX140">
            <v>0</v>
          </cell>
          <cell r="BY140">
            <v>0</v>
          </cell>
          <cell r="BZ140">
            <v>0</v>
          </cell>
          <cell r="CA140">
            <v>0</v>
          </cell>
          <cell r="CB140">
            <v>0</v>
          </cell>
          <cell r="CC140">
            <v>0</v>
          </cell>
          <cell r="CD140"/>
          <cell r="CE140"/>
          <cell r="CF140"/>
          <cell r="CG140" t="str">
            <v/>
          </cell>
          <cell r="CH140" t="str">
            <v/>
          </cell>
          <cell r="CI140" t="str">
            <v/>
          </cell>
          <cell r="CJ140" t="str">
            <v/>
          </cell>
          <cell r="CK140" t="str">
            <v/>
          </cell>
          <cell r="CL140" t="str">
            <v/>
          </cell>
          <cell r="CM140" t="str">
            <v/>
          </cell>
          <cell r="CN140" t="str">
            <v/>
          </cell>
          <cell r="CO140" t="str">
            <v/>
          </cell>
          <cell r="CP140" t="str">
            <v/>
          </cell>
          <cell r="CQ140" t="str">
            <v/>
          </cell>
          <cell r="CR140" t="str">
            <v/>
          </cell>
          <cell r="CS140" t="str">
            <v/>
          </cell>
          <cell r="CT140" t="str">
            <v/>
          </cell>
          <cell r="CU140" t="str">
            <v/>
          </cell>
          <cell r="CV140" t="str">
            <v/>
          </cell>
          <cell r="CW140" t="str">
            <v/>
          </cell>
          <cell r="CX140" t="str">
            <v/>
          </cell>
          <cell r="CY140" t="str">
            <v/>
          </cell>
          <cell r="CZ140" t="str">
            <v/>
          </cell>
          <cell r="DA140" t="str">
            <v/>
          </cell>
          <cell r="DB140" t="str">
            <v/>
          </cell>
          <cell r="DC140" t="str">
            <v/>
          </cell>
          <cell r="DD140" t="str">
            <v/>
          </cell>
          <cell r="DE140" t="str">
            <v/>
          </cell>
          <cell r="DF140" t="str">
            <v/>
          </cell>
          <cell r="DG140" t="str">
            <v/>
          </cell>
          <cell r="DH140" t="str">
            <v/>
          </cell>
          <cell r="DI140" t="str">
            <v/>
          </cell>
          <cell r="DJ140" t="str">
            <v/>
          </cell>
          <cell r="DK140" t="str">
            <v/>
          </cell>
          <cell r="DL140" t="str">
            <v/>
          </cell>
          <cell r="DM140" t="str">
            <v/>
          </cell>
          <cell r="DN140" t="str">
            <v/>
          </cell>
          <cell r="DO140" t="str">
            <v/>
          </cell>
          <cell r="DP140" t="str">
            <v/>
          </cell>
          <cell r="DQ140"/>
          <cell r="DR140"/>
          <cell r="DS140"/>
          <cell r="DT140">
            <v>0</v>
          </cell>
          <cell r="DU140">
            <v>0</v>
          </cell>
          <cell r="DV140"/>
          <cell r="DW140"/>
          <cell r="DX140"/>
          <cell r="DY140"/>
        </row>
        <row r="141">
          <cell r="E141"/>
          <cell r="F141"/>
          <cell r="G141"/>
          <cell r="H141"/>
          <cell r="I141"/>
          <cell r="J141"/>
          <cell r="K141"/>
          <cell r="L141" t="str">
            <v/>
          </cell>
          <cell r="M141" t="str">
            <v/>
          </cell>
          <cell r="N141" t="str">
            <v/>
          </cell>
          <cell r="O141" t="str">
            <v/>
          </cell>
          <cell r="P141" t="str">
            <v/>
          </cell>
          <cell r="Q141" t="str">
            <v/>
          </cell>
          <cell r="R141" t="str">
            <v/>
          </cell>
          <cell r="S141" t="str">
            <v/>
          </cell>
          <cell r="T141" t="str">
            <v/>
          </cell>
          <cell r="U141" t="str">
            <v/>
          </cell>
          <cell r="V141" t="str">
            <v/>
          </cell>
          <cell r="W141" t="str">
            <v/>
          </cell>
          <cell r="X141" t="str">
            <v/>
          </cell>
          <cell r="Y141" t="str">
            <v/>
          </cell>
          <cell r="Z141" t="str">
            <v/>
          </cell>
          <cell r="AA141" t="str">
            <v/>
          </cell>
          <cell r="AB141" t="str">
            <v/>
          </cell>
          <cell r="AC141" t="str">
            <v/>
          </cell>
          <cell r="AD141" t="str">
            <v/>
          </cell>
          <cell r="AE141" t="str">
            <v/>
          </cell>
          <cell r="AF141" t="str">
            <v/>
          </cell>
          <cell r="AG141" t="str">
            <v/>
          </cell>
          <cell r="AH141" t="str">
            <v/>
          </cell>
          <cell r="AI141" t="str">
            <v/>
          </cell>
          <cell r="AJ141" t="str">
            <v/>
          </cell>
          <cell r="AK141" t="str">
            <v/>
          </cell>
          <cell r="AL141" t="str">
            <v/>
          </cell>
          <cell r="AM141" t="str">
            <v/>
          </cell>
          <cell r="AN141" t="str">
            <v/>
          </cell>
          <cell r="AO141" t="str">
            <v/>
          </cell>
          <cell r="AP141" t="str">
            <v/>
          </cell>
          <cell r="AQ141" t="str">
            <v/>
          </cell>
          <cell r="AR141" t="str">
            <v/>
          </cell>
          <cell r="AS141" t="str">
            <v/>
          </cell>
          <cell r="AT141" t="str">
            <v/>
          </cell>
          <cell r="AU141" t="str">
            <v/>
          </cell>
          <cell r="AV141"/>
          <cell r="AW141"/>
          <cell r="AX141"/>
          <cell r="AY141"/>
          <cell r="AZ141"/>
          <cell r="BA141"/>
          <cell r="BB141"/>
          <cell r="BC141"/>
          <cell r="BD141"/>
          <cell r="BE141">
            <v>0</v>
          </cell>
          <cell r="BF141">
            <v>0</v>
          </cell>
          <cell r="BG141">
            <v>0</v>
          </cell>
          <cell r="BH141">
            <v>0</v>
          </cell>
          <cell r="BI141">
            <v>0</v>
          </cell>
          <cell r="BJ141">
            <v>0</v>
          </cell>
          <cell r="BK141">
            <v>0</v>
          </cell>
          <cell r="BL141">
            <v>0</v>
          </cell>
          <cell r="BM141">
            <v>0</v>
          </cell>
          <cell r="BN141">
            <v>0</v>
          </cell>
          <cell r="BO141">
            <v>0</v>
          </cell>
          <cell r="BP141">
            <v>0</v>
          </cell>
          <cell r="BQ141">
            <v>0</v>
          </cell>
          <cell r="BR141">
            <v>0</v>
          </cell>
          <cell r="BS141">
            <v>0</v>
          </cell>
          <cell r="BT141">
            <v>0</v>
          </cell>
          <cell r="BU141">
            <v>0</v>
          </cell>
          <cell r="BV141">
            <v>0</v>
          </cell>
          <cell r="BW141">
            <v>0</v>
          </cell>
          <cell r="BX141">
            <v>0</v>
          </cell>
          <cell r="BY141">
            <v>0</v>
          </cell>
          <cell r="BZ141">
            <v>0</v>
          </cell>
          <cell r="CA141">
            <v>0</v>
          </cell>
          <cell r="CB141">
            <v>0</v>
          </cell>
          <cell r="CC141">
            <v>0</v>
          </cell>
          <cell r="CD141"/>
          <cell r="CE141"/>
          <cell r="CF141"/>
          <cell r="CG141" t="str">
            <v/>
          </cell>
          <cell r="CH141" t="str">
            <v/>
          </cell>
          <cell r="CI141" t="str">
            <v/>
          </cell>
          <cell r="CJ141" t="str">
            <v/>
          </cell>
          <cell r="CK141" t="str">
            <v/>
          </cell>
          <cell r="CL141" t="str">
            <v/>
          </cell>
          <cell r="CM141" t="str">
            <v/>
          </cell>
          <cell r="CN141" t="str">
            <v/>
          </cell>
          <cell r="CO141" t="str">
            <v/>
          </cell>
          <cell r="CP141" t="str">
            <v/>
          </cell>
          <cell r="CQ141" t="str">
            <v/>
          </cell>
          <cell r="CR141" t="str">
            <v/>
          </cell>
          <cell r="CS141" t="str">
            <v/>
          </cell>
          <cell r="CT141" t="str">
            <v/>
          </cell>
          <cell r="CU141" t="str">
            <v/>
          </cell>
          <cell r="CV141" t="str">
            <v/>
          </cell>
          <cell r="CW141" t="str">
            <v/>
          </cell>
          <cell r="CX141" t="str">
            <v/>
          </cell>
          <cell r="CY141" t="str">
            <v/>
          </cell>
          <cell r="CZ141" t="str">
            <v/>
          </cell>
          <cell r="DA141" t="str">
            <v/>
          </cell>
          <cell r="DB141" t="str">
            <v/>
          </cell>
          <cell r="DC141" t="str">
            <v/>
          </cell>
          <cell r="DD141" t="str">
            <v/>
          </cell>
          <cell r="DE141" t="str">
            <v/>
          </cell>
          <cell r="DF141" t="str">
            <v/>
          </cell>
          <cell r="DG141" t="str">
            <v/>
          </cell>
          <cell r="DH141" t="str">
            <v/>
          </cell>
          <cell r="DI141" t="str">
            <v/>
          </cell>
          <cell r="DJ141" t="str">
            <v/>
          </cell>
          <cell r="DK141" t="str">
            <v/>
          </cell>
          <cell r="DL141" t="str">
            <v/>
          </cell>
          <cell r="DM141" t="str">
            <v/>
          </cell>
          <cell r="DN141" t="str">
            <v/>
          </cell>
          <cell r="DO141" t="str">
            <v/>
          </cell>
          <cell r="DP141" t="str">
            <v/>
          </cell>
          <cell r="DQ141"/>
          <cell r="DR141"/>
          <cell r="DS141"/>
          <cell r="DT141">
            <v>0</v>
          </cell>
          <cell r="DU141">
            <v>0</v>
          </cell>
          <cell r="DV141"/>
          <cell r="DW141"/>
          <cell r="DX141"/>
          <cell r="DY141"/>
        </row>
        <row r="142">
          <cell r="E142"/>
          <cell r="F142"/>
          <cell r="G142"/>
          <cell r="H142"/>
          <cell r="I142"/>
          <cell r="J142"/>
          <cell r="K142"/>
          <cell r="L142" t="str">
            <v/>
          </cell>
          <cell r="M142" t="str">
            <v/>
          </cell>
          <cell r="N142" t="str">
            <v/>
          </cell>
          <cell r="O142" t="str">
            <v/>
          </cell>
          <cell r="P142" t="str">
            <v/>
          </cell>
          <cell r="Q142" t="str">
            <v/>
          </cell>
          <cell r="R142" t="str">
            <v/>
          </cell>
          <cell r="S142" t="str">
            <v/>
          </cell>
          <cell r="T142" t="str">
            <v/>
          </cell>
          <cell r="U142" t="str">
            <v/>
          </cell>
          <cell r="V142" t="str">
            <v/>
          </cell>
          <cell r="W142" t="str">
            <v/>
          </cell>
          <cell r="X142" t="str">
            <v/>
          </cell>
          <cell r="Y142" t="str">
            <v/>
          </cell>
          <cell r="Z142" t="str">
            <v/>
          </cell>
          <cell r="AA142" t="str">
            <v/>
          </cell>
          <cell r="AB142" t="str">
            <v/>
          </cell>
          <cell r="AC142" t="str">
            <v/>
          </cell>
          <cell r="AD142" t="str">
            <v/>
          </cell>
          <cell r="AE142" t="str">
            <v/>
          </cell>
          <cell r="AF142" t="str">
            <v/>
          </cell>
          <cell r="AG142" t="str">
            <v/>
          </cell>
          <cell r="AH142" t="str">
            <v/>
          </cell>
          <cell r="AI142" t="str">
            <v/>
          </cell>
          <cell r="AJ142" t="str">
            <v/>
          </cell>
          <cell r="AK142" t="str">
            <v/>
          </cell>
          <cell r="AL142" t="str">
            <v/>
          </cell>
          <cell r="AM142" t="str">
            <v/>
          </cell>
          <cell r="AN142" t="str">
            <v/>
          </cell>
          <cell r="AO142" t="str">
            <v/>
          </cell>
          <cell r="AP142" t="str">
            <v/>
          </cell>
          <cell r="AQ142" t="str">
            <v/>
          </cell>
          <cell r="AR142" t="str">
            <v/>
          </cell>
          <cell r="AS142" t="str">
            <v/>
          </cell>
          <cell r="AT142" t="str">
            <v/>
          </cell>
          <cell r="AU142" t="str">
            <v/>
          </cell>
          <cell r="AV142"/>
          <cell r="AW142"/>
          <cell r="AX142"/>
          <cell r="AY142"/>
          <cell r="AZ142"/>
          <cell r="BA142"/>
          <cell r="BB142"/>
          <cell r="BC142"/>
          <cell r="BD142"/>
          <cell r="BE142">
            <v>0</v>
          </cell>
          <cell r="BF142">
            <v>0</v>
          </cell>
          <cell r="BG142">
            <v>0</v>
          </cell>
          <cell r="BH142">
            <v>0</v>
          </cell>
          <cell r="BI142">
            <v>0</v>
          </cell>
          <cell r="BJ142">
            <v>0</v>
          </cell>
          <cell r="BK142">
            <v>0</v>
          </cell>
          <cell r="BL142">
            <v>0</v>
          </cell>
          <cell r="BM142">
            <v>0</v>
          </cell>
          <cell r="BN142">
            <v>0</v>
          </cell>
          <cell r="BO142">
            <v>0</v>
          </cell>
          <cell r="BP142">
            <v>0</v>
          </cell>
          <cell r="BQ142">
            <v>0</v>
          </cell>
          <cell r="BR142">
            <v>0</v>
          </cell>
          <cell r="BS142">
            <v>0</v>
          </cell>
          <cell r="BT142">
            <v>0</v>
          </cell>
          <cell r="BU142">
            <v>0</v>
          </cell>
          <cell r="BV142">
            <v>0</v>
          </cell>
          <cell r="BW142">
            <v>0</v>
          </cell>
          <cell r="BX142">
            <v>0</v>
          </cell>
          <cell r="BY142">
            <v>0</v>
          </cell>
          <cell r="BZ142">
            <v>0</v>
          </cell>
          <cell r="CA142">
            <v>0</v>
          </cell>
          <cell r="CB142">
            <v>0</v>
          </cell>
          <cell r="CC142">
            <v>0</v>
          </cell>
          <cell r="CD142"/>
          <cell r="CE142"/>
          <cell r="CF142"/>
          <cell r="CG142" t="str">
            <v/>
          </cell>
          <cell r="CH142" t="str">
            <v/>
          </cell>
          <cell r="CI142" t="str">
            <v/>
          </cell>
          <cell r="CJ142" t="str">
            <v/>
          </cell>
          <cell r="CK142" t="str">
            <v/>
          </cell>
          <cell r="CL142" t="str">
            <v/>
          </cell>
          <cell r="CM142" t="str">
            <v/>
          </cell>
          <cell r="CN142" t="str">
            <v/>
          </cell>
          <cell r="CO142" t="str">
            <v/>
          </cell>
          <cell r="CP142" t="str">
            <v/>
          </cell>
          <cell r="CQ142" t="str">
            <v/>
          </cell>
          <cell r="CR142" t="str">
            <v/>
          </cell>
          <cell r="CS142" t="str">
            <v/>
          </cell>
          <cell r="CT142" t="str">
            <v/>
          </cell>
          <cell r="CU142" t="str">
            <v/>
          </cell>
          <cell r="CV142" t="str">
            <v/>
          </cell>
          <cell r="CW142" t="str">
            <v/>
          </cell>
          <cell r="CX142" t="str">
            <v/>
          </cell>
          <cell r="CY142" t="str">
            <v/>
          </cell>
          <cell r="CZ142" t="str">
            <v/>
          </cell>
          <cell r="DA142" t="str">
            <v/>
          </cell>
          <cell r="DB142" t="str">
            <v/>
          </cell>
          <cell r="DC142" t="str">
            <v/>
          </cell>
          <cell r="DD142" t="str">
            <v/>
          </cell>
          <cell r="DE142" t="str">
            <v/>
          </cell>
          <cell r="DF142" t="str">
            <v/>
          </cell>
          <cell r="DG142" t="str">
            <v/>
          </cell>
          <cell r="DH142" t="str">
            <v/>
          </cell>
          <cell r="DI142" t="str">
            <v/>
          </cell>
          <cell r="DJ142" t="str">
            <v/>
          </cell>
          <cell r="DK142" t="str">
            <v/>
          </cell>
          <cell r="DL142" t="str">
            <v/>
          </cell>
          <cell r="DM142" t="str">
            <v/>
          </cell>
          <cell r="DN142" t="str">
            <v/>
          </cell>
          <cell r="DO142" t="str">
            <v/>
          </cell>
          <cell r="DP142" t="str">
            <v/>
          </cell>
          <cell r="DQ142"/>
          <cell r="DR142"/>
          <cell r="DS142"/>
          <cell r="DT142">
            <v>0</v>
          </cell>
          <cell r="DU142">
            <v>0</v>
          </cell>
          <cell r="DV142"/>
          <cell r="DW142"/>
          <cell r="DX142"/>
          <cell r="DY142"/>
        </row>
        <row r="143">
          <cell r="E143"/>
          <cell r="F143"/>
          <cell r="G143"/>
          <cell r="H143"/>
          <cell r="I143"/>
          <cell r="J143"/>
          <cell r="K143"/>
          <cell r="L143" t="str">
            <v/>
          </cell>
          <cell r="M143" t="str">
            <v/>
          </cell>
          <cell r="N143" t="str">
            <v/>
          </cell>
          <cell r="O143" t="str">
            <v/>
          </cell>
          <cell r="P143" t="str">
            <v/>
          </cell>
          <cell r="Q143" t="str">
            <v/>
          </cell>
          <cell r="R143" t="str">
            <v/>
          </cell>
          <cell r="S143" t="str">
            <v/>
          </cell>
          <cell r="T143" t="str">
            <v/>
          </cell>
          <cell r="U143" t="str">
            <v/>
          </cell>
          <cell r="V143" t="str">
            <v/>
          </cell>
          <cell r="W143" t="str">
            <v/>
          </cell>
          <cell r="X143" t="str">
            <v/>
          </cell>
          <cell r="Y143" t="str">
            <v/>
          </cell>
          <cell r="Z143" t="str">
            <v/>
          </cell>
          <cell r="AA143" t="str">
            <v/>
          </cell>
          <cell r="AB143" t="str">
            <v/>
          </cell>
          <cell r="AC143" t="str">
            <v/>
          </cell>
          <cell r="AD143" t="str">
            <v/>
          </cell>
          <cell r="AE143" t="str">
            <v/>
          </cell>
          <cell r="AF143" t="str">
            <v/>
          </cell>
          <cell r="AG143" t="str">
            <v/>
          </cell>
          <cell r="AH143" t="str">
            <v/>
          </cell>
          <cell r="AI143" t="str">
            <v/>
          </cell>
          <cell r="AJ143" t="str">
            <v/>
          </cell>
          <cell r="AK143" t="str">
            <v/>
          </cell>
          <cell r="AL143" t="str">
            <v/>
          </cell>
          <cell r="AM143" t="str">
            <v/>
          </cell>
          <cell r="AN143" t="str">
            <v/>
          </cell>
          <cell r="AO143" t="str">
            <v/>
          </cell>
          <cell r="AP143" t="str">
            <v/>
          </cell>
          <cell r="AQ143" t="str">
            <v/>
          </cell>
          <cell r="AR143" t="str">
            <v/>
          </cell>
          <cell r="AS143" t="str">
            <v/>
          </cell>
          <cell r="AT143" t="str">
            <v/>
          </cell>
          <cell r="AU143" t="str">
            <v/>
          </cell>
          <cell r="AV143"/>
          <cell r="AW143"/>
          <cell r="AX143"/>
          <cell r="AY143"/>
          <cell r="AZ143"/>
          <cell r="BA143"/>
          <cell r="BB143"/>
          <cell r="BC143"/>
          <cell r="BD143"/>
          <cell r="BE143">
            <v>0</v>
          </cell>
          <cell r="BF143">
            <v>0</v>
          </cell>
          <cell r="BG143">
            <v>0</v>
          </cell>
          <cell r="BH143">
            <v>0</v>
          </cell>
          <cell r="BI143">
            <v>0</v>
          </cell>
          <cell r="BJ143">
            <v>0</v>
          </cell>
          <cell r="BK143">
            <v>0</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0</v>
          </cell>
          <cell r="CB143">
            <v>0</v>
          </cell>
          <cell r="CC143">
            <v>0</v>
          </cell>
          <cell r="CD143"/>
          <cell r="CE143"/>
          <cell r="CF143"/>
          <cell r="CG143" t="str">
            <v/>
          </cell>
          <cell r="CH143" t="str">
            <v/>
          </cell>
          <cell r="CI143" t="str">
            <v/>
          </cell>
          <cell r="CJ143" t="str">
            <v/>
          </cell>
          <cell r="CK143" t="str">
            <v/>
          </cell>
          <cell r="CL143" t="str">
            <v/>
          </cell>
          <cell r="CM143" t="str">
            <v/>
          </cell>
          <cell r="CN143" t="str">
            <v/>
          </cell>
          <cell r="CO143" t="str">
            <v/>
          </cell>
          <cell r="CP143" t="str">
            <v/>
          </cell>
          <cell r="CQ143" t="str">
            <v/>
          </cell>
          <cell r="CR143" t="str">
            <v/>
          </cell>
          <cell r="CS143" t="str">
            <v/>
          </cell>
          <cell r="CT143" t="str">
            <v/>
          </cell>
          <cell r="CU143" t="str">
            <v/>
          </cell>
          <cell r="CV143" t="str">
            <v/>
          </cell>
          <cell r="CW143" t="str">
            <v/>
          </cell>
          <cell r="CX143" t="str">
            <v/>
          </cell>
          <cell r="CY143" t="str">
            <v/>
          </cell>
          <cell r="CZ143" t="str">
            <v/>
          </cell>
          <cell r="DA143" t="str">
            <v/>
          </cell>
          <cell r="DB143" t="str">
            <v/>
          </cell>
          <cell r="DC143" t="str">
            <v/>
          </cell>
          <cell r="DD143" t="str">
            <v/>
          </cell>
          <cell r="DE143" t="str">
            <v/>
          </cell>
          <cell r="DF143" t="str">
            <v/>
          </cell>
          <cell r="DG143" t="str">
            <v/>
          </cell>
          <cell r="DH143" t="str">
            <v/>
          </cell>
          <cell r="DI143" t="str">
            <v/>
          </cell>
          <cell r="DJ143" t="str">
            <v/>
          </cell>
          <cell r="DK143" t="str">
            <v/>
          </cell>
          <cell r="DL143" t="str">
            <v/>
          </cell>
          <cell r="DM143" t="str">
            <v/>
          </cell>
          <cell r="DN143" t="str">
            <v/>
          </cell>
          <cell r="DO143" t="str">
            <v/>
          </cell>
          <cell r="DP143" t="str">
            <v/>
          </cell>
          <cell r="DQ143"/>
          <cell r="DR143"/>
          <cell r="DS143"/>
          <cell r="DT143">
            <v>0</v>
          </cell>
          <cell r="DU143">
            <v>0</v>
          </cell>
          <cell r="DV143"/>
          <cell r="DW143"/>
          <cell r="DX143"/>
          <cell r="DY143"/>
        </row>
        <row r="144">
          <cell r="E144"/>
          <cell r="F144"/>
          <cell r="G144"/>
          <cell r="H144"/>
          <cell r="I144"/>
          <cell r="J144"/>
          <cell r="K144"/>
          <cell r="L144" t="str">
            <v/>
          </cell>
          <cell r="M144" t="str">
            <v/>
          </cell>
          <cell r="N144" t="str">
            <v/>
          </cell>
          <cell r="O144" t="str">
            <v/>
          </cell>
          <cell r="P144" t="str">
            <v/>
          </cell>
          <cell r="Q144" t="str">
            <v/>
          </cell>
          <cell r="R144" t="str">
            <v/>
          </cell>
          <cell r="S144" t="str">
            <v/>
          </cell>
          <cell r="T144" t="str">
            <v/>
          </cell>
          <cell r="U144" t="str">
            <v/>
          </cell>
          <cell r="V144" t="str">
            <v/>
          </cell>
          <cell r="W144" t="str">
            <v/>
          </cell>
          <cell r="X144" t="str">
            <v/>
          </cell>
          <cell r="Y144" t="str">
            <v/>
          </cell>
          <cell r="Z144" t="str">
            <v/>
          </cell>
          <cell r="AA144" t="str">
            <v/>
          </cell>
          <cell r="AB144" t="str">
            <v/>
          </cell>
          <cell r="AC144" t="str">
            <v/>
          </cell>
          <cell r="AD144" t="str">
            <v/>
          </cell>
          <cell r="AE144" t="str">
            <v/>
          </cell>
          <cell r="AF144" t="str">
            <v/>
          </cell>
          <cell r="AG144" t="str">
            <v/>
          </cell>
          <cell r="AH144" t="str">
            <v/>
          </cell>
          <cell r="AI144" t="str">
            <v/>
          </cell>
          <cell r="AJ144" t="str">
            <v/>
          </cell>
          <cell r="AK144" t="str">
            <v/>
          </cell>
          <cell r="AL144" t="str">
            <v/>
          </cell>
          <cell r="AM144" t="str">
            <v/>
          </cell>
          <cell r="AN144" t="str">
            <v/>
          </cell>
          <cell r="AO144" t="str">
            <v/>
          </cell>
          <cell r="AP144" t="str">
            <v/>
          </cell>
          <cell r="AQ144" t="str">
            <v/>
          </cell>
          <cell r="AR144"/>
          <cell r="AS144"/>
          <cell r="AT144"/>
          <cell r="AU144" t="str">
            <v/>
          </cell>
          <cell r="AV144"/>
          <cell r="AW144"/>
          <cell r="AX144"/>
          <cell r="AY144"/>
          <cell r="AZ144"/>
          <cell r="BA144"/>
          <cell r="BB144"/>
          <cell r="BC144"/>
          <cell r="BD144"/>
          <cell r="BE144">
            <v>0</v>
          </cell>
          <cell r="BF144">
            <v>0</v>
          </cell>
          <cell r="BG144">
            <v>0</v>
          </cell>
          <cell r="BH144">
            <v>0</v>
          </cell>
          <cell r="BI144">
            <v>0</v>
          </cell>
          <cell r="BJ144">
            <v>0</v>
          </cell>
          <cell r="BK144">
            <v>0</v>
          </cell>
          <cell r="BL144">
            <v>0</v>
          </cell>
          <cell r="BM144">
            <v>0</v>
          </cell>
          <cell r="BN144">
            <v>0</v>
          </cell>
          <cell r="BO144">
            <v>0</v>
          </cell>
          <cell r="BP144">
            <v>0</v>
          </cell>
          <cell r="BQ144">
            <v>0</v>
          </cell>
          <cell r="BR144">
            <v>0</v>
          </cell>
          <cell r="BS144">
            <v>0</v>
          </cell>
          <cell r="BT144">
            <v>0</v>
          </cell>
          <cell r="BU144">
            <v>0</v>
          </cell>
          <cell r="BV144">
            <v>0</v>
          </cell>
          <cell r="BW144">
            <v>0</v>
          </cell>
          <cell r="BX144">
            <v>0</v>
          </cell>
          <cell r="BY144">
            <v>0</v>
          </cell>
          <cell r="BZ144">
            <v>0</v>
          </cell>
          <cell r="CA144">
            <v>0</v>
          </cell>
          <cell r="CB144">
            <v>0</v>
          </cell>
          <cell r="CC144">
            <v>0</v>
          </cell>
          <cell r="CD144"/>
          <cell r="CE144"/>
          <cell r="CF144"/>
          <cell r="CG144" t="str">
            <v/>
          </cell>
          <cell r="CH144" t="str">
            <v/>
          </cell>
          <cell r="CI144" t="str">
            <v/>
          </cell>
          <cell r="CJ144" t="str">
            <v/>
          </cell>
          <cell r="CK144" t="str">
            <v/>
          </cell>
          <cell r="CL144" t="str">
            <v/>
          </cell>
          <cell r="CM144" t="str">
            <v/>
          </cell>
          <cell r="CN144" t="str">
            <v/>
          </cell>
          <cell r="CO144" t="str">
            <v/>
          </cell>
          <cell r="CP144" t="str">
            <v/>
          </cell>
          <cell r="CQ144" t="str">
            <v/>
          </cell>
          <cell r="CR144" t="str">
            <v/>
          </cell>
          <cell r="CS144" t="str">
            <v/>
          </cell>
          <cell r="CT144" t="str">
            <v/>
          </cell>
          <cell r="CU144" t="str">
            <v/>
          </cell>
          <cell r="CV144" t="str">
            <v/>
          </cell>
          <cell r="CW144" t="str">
            <v/>
          </cell>
          <cell r="CX144" t="str">
            <v/>
          </cell>
          <cell r="CY144" t="str">
            <v/>
          </cell>
          <cell r="CZ144" t="str">
            <v/>
          </cell>
          <cell r="DA144" t="str">
            <v/>
          </cell>
          <cell r="DB144" t="str">
            <v/>
          </cell>
          <cell r="DC144" t="str">
            <v/>
          </cell>
          <cell r="DD144" t="str">
            <v/>
          </cell>
          <cell r="DE144" t="str">
            <v/>
          </cell>
          <cell r="DF144" t="str">
            <v/>
          </cell>
          <cell r="DG144" t="str">
            <v/>
          </cell>
          <cell r="DH144" t="str">
            <v/>
          </cell>
          <cell r="DI144" t="str">
            <v/>
          </cell>
          <cell r="DJ144" t="str">
            <v/>
          </cell>
          <cell r="DK144" t="str">
            <v/>
          </cell>
          <cell r="DL144" t="str">
            <v/>
          </cell>
          <cell r="DM144" t="str">
            <v/>
          </cell>
          <cell r="DN144" t="str">
            <v/>
          </cell>
          <cell r="DO144" t="str">
            <v/>
          </cell>
          <cell r="DP144" t="str">
            <v/>
          </cell>
          <cell r="DQ144"/>
          <cell r="DR144"/>
          <cell r="DS144"/>
          <cell r="DT144">
            <v>0</v>
          </cell>
          <cell r="DU144">
            <v>0</v>
          </cell>
          <cell r="DV144"/>
          <cell r="DW144"/>
          <cell r="DX144"/>
          <cell r="DY144"/>
        </row>
        <row r="145">
          <cell r="E145"/>
          <cell r="F145"/>
          <cell r="G145"/>
          <cell r="H145"/>
          <cell r="I145"/>
          <cell r="J145"/>
          <cell r="K145"/>
          <cell r="L145" t="str">
            <v/>
          </cell>
          <cell r="M145" t="str">
            <v/>
          </cell>
          <cell r="N145" t="str">
            <v/>
          </cell>
          <cell r="O145" t="str">
            <v/>
          </cell>
          <cell r="P145" t="str">
            <v/>
          </cell>
          <cell r="Q145" t="str">
            <v/>
          </cell>
          <cell r="R145" t="str">
            <v/>
          </cell>
          <cell r="S145" t="str">
            <v/>
          </cell>
          <cell r="T145" t="str">
            <v/>
          </cell>
          <cell r="U145" t="str">
            <v/>
          </cell>
          <cell r="V145" t="str">
            <v/>
          </cell>
          <cell r="W145" t="str">
            <v/>
          </cell>
          <cell r="X145" t="str">
            <v/>
          </cell>
          <cell r="Y145" t="str">
            <v/>
          </cell>
          <cell r="Z145" t="str">
            <v/>
          </cell>
          <cell r="AA145" t="str">
            <v/>
          </cell>
          <cell r="AB145" t="str">
            <v/>
          </cell>
          <cell r="AC145" t="str">
            <v/>
          </cell>
          <cell r="AD145" t="str">
            <v/>
          </cell>
          <cell r="AE145" t="str">
            <v/>
          </cell>
          <cell r="AF145" t="str">
            <v/>
          </cell>
          <cell r="AG145" t="str">
            <v/>
          </cell>
          <cell r="AH145" t="str">
            <v/>
          </cell>
          <cell r="AI145" t="str">
            <v/>
          </cell>
          <cell r="AJ145" t="str">
            <v/>
          </cell>
          <cell r="AK145" t="str">
            <v/>
          </cell>
          <cell r="AL145" t="str">
            <v/>
          </cell>
          <cell r="AM145" t="str">
            <v/>
          </cell>
          <cell r="AN145" t="str">
            <v/>
          </cell>
          <cell r="AO145" t="str">
            <v/>
          </cell>
          <cell r="AP145" t="str">
            <v/>
          </cell>
          <cell r="AQ145" t="str">
            <v/>
          </cell>
          <cell r="AR145"/>
          <cell r="AS145"/>
          <cell r="AT145"/>
          <cell r="AU145" t="str">
            <v/>
          </cell>
          <cell r="AV145"/>
          <cell r="AW145"/>
          <cell r="AX145"/>
          <cell r="AY145"/>
          <cell r="AZ145"/>
          <cell r="BA145"/>
          <cell r="BB145"/>
          <cell r="BC145"/>
          <cell r="BD145"/>
          <cell r="BE145">
            <v>0</v>
          </cell>
          <cell r="BF145">
            <v>0</v>
          </cell>
          <cell r="BG145">
            <v>0</v>
          </cell>
          <cell r="BH145">
            <v>0</v>
          </cell>
          <cell r="BI145">
            <v>0</v>
          </cell>
          <cell r="BJ145">
            <v>0</v>
          </cell>
          <cell r="BK145">
            <v>0</v>
          </cell>
          <cell r="BL145">
            <v>0</v>
          </cell>
          <cell r="BM145">
            <v>0</v>
          </cell>
          <cell r="BN145">
            <v>0</v>
          </cell>
          <cell r="BO145">
            <v>0</v>
          </cell>
          <cell r="BP145">
            <v>0</v>
          </cell>
          <cell r="BQ145">
            <v>0</v>
          </cell>
          <cell r="BR145">
            <v>0</v>
          </cell>
          <cell r="BS145">
            <v>0</v>
          </cell>
          <cell r="BT145">
            <v>0</v>
          </cell>
          <cell r="BU145">
            <v>0</v>
          </cell>
          <cell r="BV145">
            <v>0</v>
          </cell>
          <cell r="BW145">
            <v>0</v>
          </cell>
          <cell r="BX145">
            <v>0</v>
          </cell>
          <cell r="BY145">
            <v>0</v>
          </cell>
          <cell r="BZ145">
            <v>0</v>
          </cell>
          <cell r="CA145">
            <v>0</v>
          </cell>
          <cell r="CB145">
            <v>0</v>
          </cell>
          <cell r="CC145">
            <v>0</v>
          </cell>
          <cell r="CD145"/>
          <cell r="CE145"/>
          <cell r="CF145"/>
          <cell r="CG145" t="str">
            <v/>
          </cell>
          <cell r="CH145" t="str">
            <v/>
          </cell>
          <cell r="CI145" t="str">
            <v/>
          </cell>
          <cell r="CJ145" t="str">
            <v/>
          </cell>
          <cell r="CK145" t="str">
            <v/>
          </cell>
          <cell r="CL145" t="str">
            <v/>
          </cell>
          <cell r="CM145" t="str">
            <v/>
          </cell>
          <cell r="CN145" t="str">
            <v/>
          </cell>
          <cell r="CO145" t="str">
            <v/>
          </cell>
          <cell r="CP145" t="str">
            <v/>
          </cell>
          <cell r="CQ145" t="str">
            <v/>
          </cell>
          <cell r="CR145" t="str">
            <v/>
          </cell>
          <cell r="CS145" t="str">
            <v/>
          </cell>
          <cell r="CT145" t="str">
            <v/>
          </cell>
          <cell r="CU145" t="str">
            <v/>
          </cell>
          <cell r="CV145" t="str">
            <v/>
          </cell>
          <cell r="CW145" t="str">
            <v/>
          </cell>
          <cell r="CX145" t="str">
            <v/>
          </cell>
          <cell r="CY145" t="str">
            <v/>
          </cell>
          <cell r="CZ145" t="str">
            <v/>
          </cell>
          <cell r="DA145" t="str">
            <v/>
          </cell>
          <cell r="DB145" t="str">
            <v/>
          </cell>
          <cell r="DC145" t="str">
            <v/>
          </cell>
          <cell r="DD145" t="str">
            <v/>
          </cell>
          <cell r="DE145" t="str">
            <v/>
          </cell>
          <cell r="DF145" t="str">
            <v/>
          </cell>
          <cell r="DG145" t="str">
            <v/>
          </cell>
          <cell r="DH145" t="str">
            <v/>
          </cell>
          <cell r="DI145" t="str">
            <v/>
          </cell>
          <cell r="DJ145" t="str">
            <v/>
          </cell>
          <cell r="DK145" t="str">
            <v/>
          </cell>
          <cell r="DL145" t="str">
            <v/>
          </cell>
          <cell r="DM145" t="str">
            <v/>
          </cell>
          <cell r="DN145" t="str">
            <v/>
          </cell>
          <cell r="DO145" t="str">
            <v/>
          </cell>
          <cell r="DP145" t="str">
            <v/>
          </cell>
          <cell r="DQ145"/>
          <cell r="DR145"/>
          <cell r="DS145"/>
          <cell r="DT145">
            <v>0</v>
          </cell>
          <cell r="DU145">
            <v>0</v>
          </cell>
          <cell r="DV145"/>
          <cell r="DW145"/>
          <cell r="DX145"/>
          <cell r="DY145"/>
        </row>
        <row r="146">
          <cell r="E146"/>
          <cell r="F146"/>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t="str">
            <v/>
          </cell>
          <cell r="AN146"/>
          <cell r="AO146"/>
          <cell r="AP146"/>
          <cell r="AQ146"/>
          <cell r="AR146"/>
          <cell r="AS146"/>
          <cell r="AT146"/>
          <cell r="AU146" t="str">
            <v/>
          </cell>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cell r="CO146"/>
          <cell r="CP146"/>
          <cell r="CQ146"/>
          <cell r="CR146"/>
          <cell r="CS146"/>
          <cell r="CT146"/>
          <cell r="CU146"/>
          <cell r="CV146"/>
          <cell r="CW146"/>
          <cell r="CX146"/>
          <cell r="CY146"/>
          <cell r="CZ146"/>
          <cell r="DA146"/>
          <cell r="DB146"/>
          <cell r="DC146"/>
          <cell r="DD146"/>
          <cell r="DE146"/>
          <cell r="DF146"/>
          <cell r="DG146"/>
          <cell r="DH146"/>
          <cell r="DI146"/>
          <cell r="DJ146"/>
          <cell r="DK146"/>
          <cell r="DL146"/>
          <cell r="DM146"/>
          <cell r="DN146"/>
          <cell r="DO146"/>
          <cell r="DP146"/>
          <cell r="DQ146">
            <v>0</v>
          </cell>
          <cell r="DR146"/>
          <cell r="DS146"/>
          <cell r="DT146"/>
          <cell r="DU146"/>
          <cell r="DV146"/>
          <cell r="DW146"/>
          <cell r="DX146"/>
          <cell r="DY146"/>
        </row>
        <row r="147">
          <cell r="E147"/>
          <cell r="F147"/>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t="str">
            <v/>
          </cell>
          <cell r="AN147"/>
          <cell r="AO147"/>
          <cell r="AP147"/>
          <cell r="AQ147"/>
          <cell r="AR147"/>
          <cell r="AS147"/>
          <cell r="AT147"/>
          <cell r="AU147" t="str">
            <v/>
          </cell>
          <cell r="AV147"/>
          <cell r="AW147"/>
          <cell r="AX147"/>
          <cell r="AY147"/>
          <cell r="AZ147"/>
          <cell r="BA147"/>
          <cell r="BB147"/>
          <cell r="BC147"/>
          <cell r="BD147"/>
          <cell r="BE147"/>
          <cell r="BF147"/>
          <cell r="BG147"/>
          <cell r="BH147"/>
          <cell r="BI147"/>
          <cell r="BJ147"/>
          <cell r="BK147"/>
          <cell r="BL147"/>
          <cell r="BM147"/>
          <cell r="BN147"/>
          <cell r="BO147"/>
          <cell r="BP147"/>
          <cell r="BQ147"/>
          <cell r="BR147"/>
          <cell r="BS147"/>
          <cell r="BT147"/>
          <cell r="BU147"/>
          <cell r="BV147"/>
          <cell r="BW147"/>
          <cell r="BX147"/>
          <cell r="BY147"/>
          <cell r="BZ147"/>
          <cell r="CA147"/>
          <cell r="CB147"/>
          <cell r="CC147"/>
          <cell r="CD147"/>
          <cell r="CE147"/>
          <cell r="CF147"/>
          <cell r="CG147"/>
          <cell r="CH147"/>
          <cell r="CI147"/>
          <cell r="CJ147"/>
          <cell r="CK147"/>
          <cell r="CL147"/>
          <cell r="CM147"/>
          <cell r="CN147"/>
          <cell r="CO147"/>
          <cell r="CP147"/>
          <cell r="CQ147"/>
          <cell r="CR147"/>
          <cell r="CS147"/>
          <cell r="CT147"/>
          <cell r="CU147"/>
          <cell r="CV147"/>
          <cell r="CW147"/>
          <cell r="CX147"/>
          <cell r="CY147"/>
          <cell r="CZ147"/>
          <cell r="DA147"/>
          <cell r="DB147"/>
          <cell r="DC147"/>
          <cell r="DD147"/>
          <cell r="DE147"/>
          <cell r="DF147"/>
          <cell r="DG147"/>
          <cell r="DH147"/>
          <cell r="DI147"/>
          <cell r="DJ147"/>
          <cell r="DK147"/>
          <cell r="DL147"/>
          <cell r="DM147"/>
          <cell r="DN147"/>
          <cell r="DO147"/>
          <cell r="DP147"/>
          <cell r="DQ147">
            <v>0</v>
          </cell>
          <cell r="DR147"/>
          <cell r="DS147"/>
          <cell r="DT147"/>
          <cell r="DU147"/>
          <cell r="DV147"/>
          <cell r="DW147"/>
          <cell r="DX147"/>
          <cell r="DY147"/>
        </row>
        <row r="148">
          <cell r="E148"/>
          <cell r="F148"/>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cell r="CO148"/>
          <cell r="CP148"/>
          <cell r="CQ148"/>
          <cell r="CR148"/>
          <cell r="CS148"/>
          <cell r="CT148"/>
          <cell r="CU148"/>
          <cell r="CV148"/>
          <cell r="CW148"/>
          <cell r="CX148"/>
          <cell r="CY148"/>
          <cell r="CZ148"/>
          <cell r="DA148"/>
          <cell r="DB148"/>
          <cell r="DC148"/>
          <cell r="DD148"/>
          <cell r="DE148"/>
          <cell r="DF148"/>
          <cell r="DG148"/>
          <cell r="DH148"/>
          <cell r="DI148"/>
          <cell r="DJ148"/>
          <cell r="DK148"/>
          <cell r="DL148"/>
          <cell r="DM148"/>
          <cell r="DN148"/>
          <cell r="DO148"/>
          <cell r="DP148"/>
          <cell r="DQ148"/>
          <cell r="DR148"/>
          <cell r="DS148"/>
          <cell r="DT148"/>
          <cell r="DU148"/>
          <cell r="DV148"/>
          <cell r="DW148"/>
          <cell r="DX148"/>
          <cell r="DY148"/>
        </row>
        <row r="149">
          <cell r="E149"/>
          <cell r="F149"/>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cell r="AR149"/>
          <cell r="AS149"/>
          <cell r="AT149"/>
          <cell r="AU149"/>
          <cell r="AV149"/>
          <cell r="AW149"/>
          <cell r="AX149"/>
          <cell r="AY149"/>
          <cell r="AZ149"/>
          <cell r="BA149"/>
          <cell r="BB149"/>
          <cell r="BC149"/>
          <cell r="BD149"/>
          <cell r="BE149"/>
          <cell r="BF149"/>
          <cell r="BG149"/>
          <cell r="BH149"/>
          <cell r="BI149"/>
          <cell r="BJ149"/>
          <cell r="BK149"/>
          <cell r="BL149"/>
          <cell r="BM149"/>
          <cell r="BN149"/>
          <cell r="BO149"/>
          <cell r="BP149"/>
          <cell r="BQ149"/>
          <cell r="BR149"/>
          <cell r="BS149"/>
          <cell r="BT149"/>
          <cell r="BU149"/>
          <cell r="BV149"/>
          <cell r="BW149"/>
          <cell r="BX149"/>
          <cell r="BY149"/>
          <cell r="BZ149"/>
          <cell r="CA149"/>
          <cell r="CB149"/>
          <cell r="CC149"/>
          <cell r="CD149"/>
          <cell r="CE149"/>
          <cell r="CF149"/>
          <cell r="CG149"/>
          <cell r="CH149"/>
          <cell r="CI149"/>
          <cell r="CJ149"/>
          <cell r="CK149"/>
          <cell r="CL149"/>
          <cell r="CM149"/>
          <cell r="CN149"/>
          <cell r="CO149"/>
          <cell r="CP149"/>
          <cell r="CQ149"/>
          <cell r="CR149"/>
          <cell r="CS149"/>
          <cell r="CT149"/>
          <cell r="CU149"/>
          <cell r="CV149"/>
          <cell r="CW149"/>
          <cell r="CX149"/>
          <cell r="CY149"/>
          <cell r="CZ149"/>
          <cell r="DA149"/>
          <cell r="DB149"/>
          <cell r="DC149"/>
          <cell r="DD149"/>
          <cell r="DE149"/>
          <cell r="DF149"/>
          <cell r="DG149"/>
          <cell r="DH149"/>
          <cell r="DI149"/>
          <cell r="DJ149"/>
          <cell r="DK149"/>
          <cell r="DL149"/>
          <cell r="DM149"/>
          <cell r="DN149"/>
          <cell r="DO149"/>
          <cell r="DP149"/>
          <cell r="DQ149"/>
          <cell r="DR149"/>
          <cell r="DS149"/>
          <cell r="DT149"/>
          <cell r="DU149"/>
          <cell r="DV149"/>
          <cell r="DW149"/>
          <cell r="DX149"/>
          <cell r="DY149"/>
        </row>
        <row r="150">
          <cell r="E150"/>
          <cell r="F150"/>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cell r="CO150"/>
          <cell r="CP150"/>
          <cell r="CQ150"/>
          <cell r="CR150"/>
          <cell r="CS150"/>
          <cell r="CT150"/>
          <cell r="CU150"/>
          <cell r="CV150"/>
          <cell r="CW150"/>
          <cell r="CX150"/>
          <cell r="CY150"/>
          <cell r="CZ150"/>
          <cell r="DA150"/>
          <cell r="DB150"/>
          <cell r="DC150"/>
          <cell r="DD150"/>
          <cell r="DE150"/>
          <cell r="DF150"/>
          <cell r="DG150"/>
          <cell r="DH150"/>
          <cell r="DI150"/>
          <cell r="DJ150"/>
          <cell r="DK150"/>
          <cell r="DL150"/>
          <cell r="DM150"/>
          <cell r="DN150"/>
          <cell r="DO150"/>
          <cell r="DP150"/>
          <cell r="DQ150"/>
          <cell r="DR150"/>
          <cell r="DS150"/>
          <cell r="DT150"/>
          <cell r="DU150"/>
          <cell r="DV150"/>
          <cell r="DW150"/>
          <cell r="DX150"/>
          <cell r="DY150"/>
        </row>
        <row r="151">
          <cell r="E151"/>
          <cell r="F151"/>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cell r="CO151"/>
          <cell r="CP151"/>
          <cell r="CQ151"/>
          <cell r="CR151"/>
          <cell r="CS151"/>
          <cell r="CT151"/>
          <cell r="CU151"/>
          <cell r="CV151"/>
          <cell r="CW151"/>
          <cell r="CX151"/>
          <cell r="CY151"/>
          <cell r="CZ151"/>
          <cell r="DA151"/>
          <cell r="DB151"/>
          <cell r="DC151"/>
          <cell r="DD151"/>
          <cell r="DE151"/>
          <cell r="DF151"/>
          <cell r="DG151"/>
          <cell r="DH151"/>
          <cell r="DI151"/>
          <cell r="DJ151"/>
          <cell r="DK151"/>
          <cell r="DL151"/>
          <cell r="DM151"/>
          <cell r="DN151"/>
          <cell r="DO151"/>
          <cell r="DP151"/>
          <cell r="DQ151"/>
          <cell r="DR151"/>
          <cell r="DS151"/>
          <cell r="DT151"/>
          <cell r="DU151"/>
          <cell r="DV151"/>
          <cell r="DW151"/>
          <cell r="DX151"/>
          <cell r="DY151"/>
        </row>
      </sheetData>
      <sheetData sheetId="9"/>
      <sheetData sheetId="10"/>
      <sheetData sheetId="11"/>
      <sheetData sheetId="12"/>
      <sheetData sheetId="13"/>
      <sheetData sheetId="14"/>
      <sheetData sheetId="15"/>
      <sheetData sheetId="16"/>
      <sheetData sheetId="17"/>
      <sheetData sheetId="18"/>
      <sheetData sheetId="19"/>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Ộ_PHẬN_Section" xr10:uid="{17DDBBA7-7FFE-42D4-811C-B0644741BBCD}" sourceName="BỘ PHẬN_x000a_Section">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Ộ PHẬN_x000a_Section" xr10:uid="{7806BC43-8B10-415B-BE05-543455DADE76}" cache="Slicer_BỘ_PHẬN_Section" caption="BỘ PHẬN_x000a_Sec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10BAFC-1D57-4595-9371-C7A10B109267}" name="Table2" displayName="Table2" ref="A3:T20" totalsRowShown="0" tableBorderDxfId="61">
  <autoFilter ref="A3:T20" xr:uid="{E810BAFC-1D57-4595-9371-C7A10B109267}"/>
  <tableColumns count="20">
    <tableColumn id="1" xr3:uid="{43C100CB-1FE2-4896-BF8B-0333B05D4436}" name="Stt" dataDxfId="60"/>
    <tableColumn id="2" xr3:uid="{BD1250BB-BD85-4178-BC5A-E9B19DEE4B77}" name="Code" dataDxfId="59"/>
    <tableColumn id="3" xr3:uid="{224719BF-5B26-436C-A0C5-5FED631074B3}" name="Số Thẻ_x000a_Code"/>
    <tableColumn id="4" xr3:uid="{795D7349-258A-400F-8648-0C81CC3D9022}" name="Họ và Tên_x000a_Full Name"/>
    <tableColumn id="5" xr3:uid="{EA357AD2-CBDF-4EAD-AE47-B39CF2EA26C7}" name="PHÒNG BAN_x000a_Department" dataDxfId="58" dataCellStyle="Normal 10"/>
    <tableColumn id="6" xr3:uid="{163074AA-CAD5-42A1-9B20-4EFC69C39F9B}" name="BỘ PHẬN_x000a_Section" dataDxfId="57" dataCellStyle="一般_Sheet1"/>
    <tableColumn id="7" xr3:uid="{F03643F3-148B-40AA-A07B-BD2069874708}" name="CHỨC VỤ _x000a_Position" dataDxfId="56" dataCellStyle="一般_Sheet1"/>
    <tableColumn id="8" xr3:uid="{8DD4998E-A998-443D-803F-17023170BFA0}" name="NGÀY VÀO LÀM _x000a_Start day worrking" dataDxfId="55" dataCellStyle="一般_Sheet1"/>
    <tableColumn id="9" xr3:uid="{51E46795-D5B0-481A-AF78-61FC342776ED}" name="Số giờ đã tăng ca theo tháng " dataDxfId="54"/>
    <tableColumn id="10" xr3:uid="{39B508CA-9E59-4B5A-8407-9EA8AE07AE1C}" name=" =&lt; 8 hr" dataDxfId="53"/>
    <tableColumn id="11" xr3:uid="{51D43B3B-94A7-4818-90B1-9329B244E4A3}" name="8 -&gt; 12 hr" dataDxfId="52"/>
    <tableColumn id="12" xr3:uid="{EFB87E6C-8770-441D-A460-B26575C4940F}" name="&gt; =12 hr" dataDxfId="51"/>
    <tableColumn id="13" xr3:uid="{E3FDC129-4B40-49EF-B3C7-7471C952E71D}" name="Số giờ đã tăng ca theo tháng 2" dataDxfId="50"/>
    <tableColumn id="14" xr3:uid="{22518FCF-9FD3-44FD-97F6-31323772FE65}" name=" =&lt;28 hr" dataDxfId="49"/>
    <tableColumn id="15" xr3:uid="{CB6A2798-9095-4358-84BD-6299A0EBB972}" name="28 -&gt; 36 hr" dataDxfId="48"/>
    <tableColumn id="16" xr3:uid="{235FEF01-FD61-4CF1-B2B6-8FF4C9937B78}" name="&gt; =36 hr" dataDxfId="47"/>
    <tableColumn id="17" xr3:uid="{BA470B2A-3A8B-42F6-AE50-ECBCD1081D98}" name="Số giờ đã tăng ca theo năm (YTD)" dataDxfId="46"/>
    <tableColumn id="18" xr3:uid="{883E422E-85FE-491D-BBA4-26E1AA335029}" name=" =&lt;250 hr" dataDxfId="45"/>
    <tableColumn id="19" xr3:uid="{4B2A68E3-3F4E-4906-BABE-CB04042C1B31}" name="250 -&gt; 300 hr" dataDxfId="44"/>
    <tableColumn id="20" xr3:uid="{35CE7232-4FB7-4980-8B04-1913147E0A11}" name="&gt; =300 hr" dataDxfId="4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8BE2A-8D8E-4BDF-8C3C-69D773839672}">
  <sheetPr filterMode="1">
    <tabColor rgb="FFFF0000"/>
  </sheetPr>
  <dimension ref="A1:EU157"/>
  <sheetViews>
    <sheetView tabSelected="1" zoomScale="70" zoomScaleNormal="70" workbookViewId="0">
      <pane xSplit="4" ySplit="36" topLeftCell="E37" activePane="bottomRight" state="frozen"/>
      <selection pane="topRight" activeCell="E1" sqref="E1"/>
      <selection pane="bottomLeft" activeCell="A37" sqref="A37"/>
      <selection pane="bottomRight" activeCell="D140" sqref="D140"/>
    </sheetView>
  </sheetViews>
  <sheetFormatPr defaultColWidth="9.1796875" defaultRowHeight="14.5" x14ac:dyDescent="0.35"/>
  <cols>
    <col min="1" max="1" width="7.81640625" customWidth="1"/>
    <col min="2" max="2" width="16" hidden="1" customWidth="1"/>
    <col min="3" max="3" width="10.26953125" customWidth="1"/>
    <col min="4" max="4" width="38.54296875" customWidth="1"/>
    <col min="5" max="5" width="12.54296875" style="44" hidden="1" customWidth="1"/>
    <col min="6" max="6" width="35.453125" style="44" bestFit="1" customWidth="1"/>
    <col min="7" max="7" width="34.453125" style="44" bestFit="1" customWidth="1"/>
    <col min="8" max="8" width="15.54296875" style="45" hidden="1" customWidth="1"/>
    <col min="9" max="9" width="10.54296875" style="51" customWidth="1"/>
    <col min="10" max="12" width="10.54296875" customWidth="1"/>
    <col min="13" max="13" width="10.54296875" style="51" customWidth="1"/>
    <col min="14" max="16" width="10.54296875" customWidth="1"/>
    <col min="17" max="17" width="10.54296875" style="51" customWidth="1"/>
    <col min="18" max="20" width="10.54296875" customWidth="1"/>
    <col min="21" max="23" width="0" hidden="1" customWidth="1"/>
    <col min="24" max="24" width="17.81640625" hidden="1" customWidth="1"/>
  </cols>
  <sheetData>
    <row r="1" spans="1:24" s="1" customFormat="1" ht="28.5" hidden="1" customHeight="1" x14ac:dyDescent="0.4">
      <c r="C1" s="2"/>
      <c r="D1" s="2"/>
      <c r="E1" s="3"/>
      <c r="F1" s="4"/>
      <c r="G1" s="3"/>
      <c r="H1" s="5"/>
      <c r="I1" s="6"/>
      <c r="M1" s="6"/>
      <c r="Q1" s="6"/>
      <c r="X1" s="1" t="s">
        <v>463</v>
      </c>
    </row>
    <row r="2" spans="1:24" s="1" customFormat="1" ht="28.5" hidden="1" customHeight="1" x14ac:dyDescent="0.4">
      <c r="C2" s="2"/>
      <c r="D2" s="2"/>
      <c r="E2" s="3"/>
      <c r="F2" s="4"/>
      <c r="G2" s="3"/>
      <c r="H2" s="5"/>
      <c r="I2" s="6"/>
      <c r="M2" s="6"/>
      <c r="Q2" s="6"/>
    </row>
    <row r="3" spans="1:24" s="9" customFormat="1" ht="18" hidden="1" customHeight="1" x14ac:dyDescent="0.35">
      <c r="A3" s="7" t="s">
        <v>0</v>
      </c>
      <c r="B3" s="8" t="s">
        <v>1</v>
      </c>
      <c r="D3" s="10" t="s">
        <v>2</v>
      </c>
      <c r="E3" s="11"/>
      <c r="F3" s="12"/>
      <c r="G3" s="12"/>
      <c r="H3" s="13"/>
      <c r="I3" s="14"/>
      <c r="M3" s="14"/>
      <c r="Q3" s="14"/>
    </row>
    <row r="4" spans="1:24" s="9" customFormat="1" ht="18" hidden="1" customHeight="1" x14ac:dyDescent="0.35">
      <c r="A4" s="7" t="s">
        <v>3</v>
      </c>
      <c r="B4" s="15" t="s">
        <v>4</v>
      </c>
      <c r="D4" s="16" t="s">
        <v>5</v>
      </c>
      <c r="E4" s="11"/>
      <c r="F4" s="12"/>
      <c r="G4" s="12"/>
      <c r="H4" s="13"/>
      <c r="I4" s="14"/>
      <c r="M4" s="14"/>
      <c r="Q4" s="14"/>
    </row>
    <row r="5" spans="1:24" s="9" customFormat="1" ht="17.149999999999999" hidden="1" customHeight="1" x14ac:dyDescent="0.35">
      <c r="A5" s="7" t="s">
        <v>6</v>
      </c>
      <c r="B5" s="15" t="s">
        <v>7</v>
      </c>
      <c r="D5" s="16" t="s">
        <v>8</v>
      </c>
      <c r="E5" s="11"/>
      <c r="F5" s="12"/>
      <c r="G5" s="12"/>
      <c r="H5" s="13"/>
      <c r="I5" s="14"/>
      <c r="M5" s="14"/>
      <c r="Q5" s="14"/>
    </row>
    <row r="6" spans="1:24" s="9" customFormat="1" ht="17.149999999999999" hidden="1" customHeight="1" x14ac:dyDescent="0.35">
      <c r="A6" s="7" t="s">
        <v>9</v>
      </c>
      <c r="B6" s="15" t="s">
        <v>10</v>
      </c>
      <c r="D6" s="16" t="s">
        <v>11</v>
      </c>
      <c r="E6" s="11"/>
      <c r="F6" s="12"/>
      <c r="G6" s="12"/>
      <c r="H6" s="13"/>
      <c r="I6" s="14"/>
      <c r="M6" s="14"/>
      <c r="Q6" s="14"/>
    </row>
    <row r="7" spans="1:24" s="9" customFormat="1" ht="17.149999999999999" hidden="1" customHeight="1" x14ac:dyDescent="0.35">
      <c r="A7" s="7" t="s">
        <v>12</v>
      </c>
      <c r="B7" s="15" t="s">
        <v>13</v>
      </c>
      <c r="D7" s="16" t="s">
        <v>14</v>
      </c>
      <c r="E7" s="11"/>
      <c r="F7" s="12"/>
      <c r="G7" s="12"/>
      <c r="H7" s="13"/>
      <c r="I7" s="14"/>
      <c r="M7" s="14"/>
      <c r="Q7" s="14"/>
    </row>
    <row r="8" spans="1:24" s="9" customFormat="1" ht="17.149999999999999" hidden="1" customHeight="1" x14ac:dyDescent="0.35">
      <c r="A8" s="7" t="s">
        <v>15</v>
      </c>
      <c r="B8" s="15" t="s">
        <v>16</v>
      </c>
      <c r="C8" s="15"/>
      <c r="D8" s="16" t="s">
        <v>17</v>
      </c>
      <c r="E8" s="11"/>
      <c r="F8" s="12"/>
      <c r="G8" s="12"/>
      <c r="H8" s="13"/>
      <c r="I8" s="14"/>
      <c r="M8" s="14"/>
      <c r="Q8" s="14"/>
    </row>
    <row r="9" spans="1:24" s="9" customFormat="1" ht="17.149999999999999" hidden="1" customHeight="1" x14ac:dyDescent="0.35">
      <c r="A9" s="7" t="s">
        <v>18</v>
      </c>
      <c r="B9" s="15" t="s">
        <v>19</v>
      </c>
      <c r="C9" s="15"/>
      <c r="D9" s="16" t="s">
        <v>20</v>
      </c>
      <c r="E9" s="11"/>
      <c r="F9" s="12"/>
      <c r="G9" s="12"/>
      <c r="H9" s="13"/>
      <c r="I9" s="14"/>
      <c r="M9" s="14"/>
      <c r="Q9" s="14"/>
    </row>
    <row r="10" spans="1:24" s="9" customFormat="1" ht="17.149999999999999" hidden="1" customHeight="1" x14ac:dyDescent="0.35">
      <c r="A10" s="7" t="s">
        <v>21</v>
      </c>
      <c r="B10" s="15" t="s">
        <v>22</v>
      </c>
      <c r="D10" s="16" t="s">
        <v>23</v>
      </c>
      <c r="E10" s="11"/>
      <c r="F10" s="12"/>
      <c r="G10" s="12"/>
      <c r="H10" s="13"/>
      <c r="I10" s="14"/>
      <c r="M10" s="14"/>
      <c r="Q10" s="14"/>
    </row>
    <row r="11" spans="1:24" s="9" customFormat="1" ht="17.149999999999999" hidden="1" customHeight="1" x14ac:dyDescent="0.35">
      <c r="A11" s="7" t="s">
        <v>24</v>
      </c>
      <c r="B11" s="15" t="s">
        <v>25</v>
      </c>
      <c r="D11" s="16" t="s">
        <v>26</v>
      </c>
      <c r="E11" s="11"/>
      <c r="F11" s="12"/>
      <c r="G11" s="12"/>
      <c r="H11" s="13"/>
      <c r="I11" s="14"/>
      <c r="M11" s="14"/>
      <c r="Q11" s="14"/>
    </row>
    <row r="12" spans="1:24" s="9" customFormat="1" ht="19.5" hidden="1" customHeight="1" x14ac:dyDescent="0.35">
      <c r="A12" s="7" t="s">
        <v>27</v>
      </c>
      <c r="B12" s="15" t="s">
        <v>28</v>
      </c>
      <c r="D12" s="16" t="s">
        <v>29</v>
      </c>
      <c r="E12" s="11"/>
      <c r="F12" s="12"/>
      <c r="G12" s="12"/>
      <c r="H12" s="13"/>
      <c r="I12" s="14"/>
      <c r="M12" s="14"/>
      <c r="Q12" s="14"/>
    </row>
    <row r="13" spans="1:24" s="9" customFormat="1" ht="19.5" hidden="1" customHeight="1" x14ac:dyDescent="0.35">
      <c r="A13" s="7" t="s">
        <v>30</v>
      </c>
      <c r="B13" s="15" t="s">
        <v>31</v>
      </c>
      <c r="D13" s="16"/>
      <c r="E13" s="11"/>
      <c r="F13" s="12"/>
      <c r="G13" s="12"/>
      <c r="H13" s="13"/>
      <c r="I13" s="14"/>
      <c r="M13" s="14"/>
      <c r="Q13" s="14"/>
    </row>
    <row r="14" spans="1:24" s="9" customFormat="1" ht="19.5" hidden="1" customHeight="1" x14ac:dyDescent="0.35">
      <c r="A14" s="7" t="s">
        <v>32</v>
      </c>
      <c r="B14" s="15" t="s">
        <v>33</v>
      </c>
      <c r="D14" s="16"/>
      <c r="E14" s="11"/>
      <c r="F14" s="12"/>
      <c r="G14" s="12"/>
      <c r="H14" s="13"/>
      <c r="I14" s="14"/>
      <c r="M14" s="14"/>
      <c r="Q14" s="14"/>
    </row>
    <row r="15" spans="1:24" s="9" customFormat="1" ht="19.5" hidden="1" customHeight="1" x14ac:dyDescent="0.35">
      <c r="A15" s="7" t="s">
        <v>34</v>
      </c>
      <c r="B15" s="15" t="s">
        <v>35</v>
      </c>
      <c r="D15" s="16"/>
      <c r="E15" s="11"/>
      <c r="F15" s="12"/>
      <c r="G15" s="12"/>
      <c r="H15" s="13"/>
      <c r="I15" s="14"/>
      <c r="M15" s="14"/>
      <c r="Q15" s="14"/>
    </row>
    <row r="16" spans="1:24" s="9" customFormat="1" ht="19.5" hidden="1" customHeight="1" x14ac:dyDescent="0.35">
      <c r="A16" s="7" t="s">
        <v>36</v>
      </c>
      <c r="B16" s="15" t="s">
        <v>37</v>
      </c>
      <c r="D16" s="16"/>
      <c r="E16" s="11"/>
      <c r="F16" s="12"/>
      <c r="G16" s="12"/>
      <c r="H16" s="13"/>
      <c r="I16" s="14"/>
      <c r="M16" s="14"/>
      <c r="Q16" s="14"/>
    </row>
    <row r="17" spans="1:17" s="9" customFormat="1" ht="19.5" hidden="1" customHeight="1" x14ac:dyDescent="0.35">
      <c r="A17" s="7" t="s">
        <v>38</v>
      </c>
      <c r="B17" s="15" t="s">
        <v>39</v>
      </c>
      <c r="D17" s="16"/>
      <c r="E17" s="11"/>
      <c r="F17" s="12"/>
      <c r="G17" s="12"/>
      <c r="H17" s="13"/>
      <c r="I17" s="14"/>
      <c r="M17" s="14"/>
      <c r="Q17" s="14"/>
    </row>
    <row r="18" spans="1:17" s="9" customFormat="1" ht="19.5" hidden="1" customHeight="1" x14ac:dyDescent="0.35">
      <c r="A18" s="7" t="s">
        <v>40</v>
      </c>
      <c r="B18" s="15" t="s">
        <v>41</v>
      </c>
      <c r="D18" s="16"/>
      <c r="E18" s="11"/>
      <c r="F18" s="12"/>
      <c r="G18" s="12"/>
      <c r="H18" s="13"/>
      <c r="I18" s="14"/>
      <c r="M18" s="14"/>
      <c r="Q18" s="14"/>
    </row>
    <row r="19" spans="1:17" s="9" customFormat="1" ht="19.5" hidden="1" customHeight="1" x14ac:dyDescent="0.35">
      <c r="A19" s="7" t="s">
        <v>42</v>
      </c>
      <c r="B19" s="15" t="s">
        <v>43</v>
      </c>
      <c r="D19" s="16" t="s">
        <v>44</v>
      </c>
      <c r="E19" s="11"/>
      <c r="F19" s="12"/>
      <c r="G19" s="12"/>
      <c r="H19" s="13"/>
      <c r="I19" s="14"/>
      <c r="M19" s="14"/>
      <c r="Q19" s="14"/>
    </row>
    <row r="20" spans="1:17" s="9" customFormat="1" ht="15" hidden="1" customHeight="1" x14ac:dyDescent="0.35">
      <c r="A20" s="7" t="s">
        <v>45</v>
      </c>
      <c r="B20" s="15" t="s">
        <v>46</v>
      </c>
      <c r="D20" s="10" t="s">
        <v>47</v>
      </c>
      <c r="E20" s="11"/>
      <c r="F20" s="12"/>
      <c r="G20" s="12"/>
      <c r="H20" s="13"/>
      <c r="I20" s="14"/>
      <c r="M20" s="14"/>
      <c r="Q20" s="14"/>
    </row>
    <row r="21" spans="1:17" s="9" customFormat="1" ht="15" hidden="1" customHeight="1" x14ac:dyDescent="0.35">
      <c r="A21" s="7" t="s">
        <v>48</v>
      </c>
      <c r="B21" s="15" t="s">
        <v>49</v>
      </c>
      <c r="D21" s="10" t="s">
        <v>50</v>
      </c>
      <c r="E21" s="11"/>
      <c r="F21" s="12"/>
      <c r="G21" s="12"/>
      <c r="H21" s="13"/>
      <c r="I21" s="14"/>
      <c r="M21" s="14"/>
      <c r="Q21" s="14"/>
    </row>
    <row r="22" spans="1:17" s="9" customFormat="1" ht="21" hidden="1" customHeight="1" x14ac:dyDescent="0.35">
      <c r="A22" s="7" t="s">
        <v>51</v>
      </c>
      <c r="B22" s="15" t="s">
        <v>52</v>
      </c>
      <c r="D22" s="16" t="s">
        <v>53</v>
      </c>
      <c r="E22" s="11"/>
      <c r="F22" s="12"/>
      <c r="G22" s="12"/>
      <c r="H22" s="13"/>
      <c r="I22" s="14"/>
      <c r="M22" s="14"/>
      <c r="Q22" s="14"/>
    </row>
    <row r="23" spans="1:17" s="9" customFormat="1" ht="20.25" hidden="1" customHeight="1" x14ac:dyDescent="0.35">
      <c r="A23" s="7" t="s">
        <v>54</v>
      </c>
      <c r="B23" s="15" t="s">
        <v>55</v>
      </c>
      <c r="D23" s="16" t="s">
        <v>56</v>
      </c>
      <c r="E23" s="11"/>
      <c r="F23" s="12"/>
      <c r="G23" s="12"/>
      <c r="H23" s="13"/>
      <c r="I23" s="14"/>
      <c r="M23" s="14"/>
      <c r="Q23" s="14"/>
    </row>
    <row r="24" spans="1:17" s="9" customFormat="1" ht="21" hidden="1" customHeight="1" x14ac:dyDescent="0.35">
      <c r="A24" s="7" t="s">
        <v>57</v>
      </c>
      <c r="B24" s="15" t="s">
        <v>58</v>
      </c>
      <c r="D24" s="16" t="s">
        <v>59</v>
      </c>
      <c r="E24" s="11"/>
      <c r="F24" s="12"/>
      <c r="G24" s="12"/>
      <c r="H24" s="13"/>
      <c r="I24" s="14"/>
      <c r="M24" s="14"/>
      <c r="Q24" s="14"/>
    </row>
    <row r="25" spans="1:17" s="9" customFormat="1" ht="17.25" hidden="1" customHeight="1" x14ac:dyDescent="0.35">
      <c r="A25" s="7" t="s">
        <v>60</v>
      </c>
      <c r="B25" s="15" t="s">
        <v>61</v>
      </c>
      <c r="D25" s="16" t="s">
        <v>62</v>
      </c>
      <c r="E25" s="11"/>
      <c r="F25" s="12"/>
      <c r="G25" s="12"/>
      <c r="H25" s="13"/>
      <c r="I25" s="14"/>
      <c r="M25" s="14"/>
      <c r="Q25" s="14"/>
    </row>
    <row r="26" spans="1:17" s="9" customFormat="1" ht="20.25" hidden="1" customHeight="1" x14ac:dyDescent="0.35">
      <c r="A26" s="7" t="s">
        <v>63</v>
      </c>
      <c r="B26" s="15" t="s">
        <v>64</v>
      </c>
      <c r="D26" s="16" t="s">
        <v>65</v>
      </c>
      <c r="E26" s="11"/>
      <c r="F26" s="12"/>
      <c r="G26" s="12"/>
      <c r="H26" s="13"/>
      <c r="I26" s="14"/>
      <c r="M26" s="14"/>
      <c r="Q26" s="14"/>
    </row>
    <row r="27" spans="1:17" s="9" customFormat="1" ht="24" hidden="1" customHeight="1" x14ac:dyDescent="0.3">
      <c r="A27" s="7" t="s">
        <v>66</v>
      </c>
      <c r="B27" s="15" t="s">
        <v>67</v>
      </c>
      <c r="D27" s="17" t="s">
        <v>68</v>
      </c>
      <c r="E27" s="11"/>
      <c r="F27" s="12"/>
      <c r="G27" s="12"/>
      <c r="H27" s="13"/>
      <c r="I27" s="14"/>
      <c r="M27" s="14"/>
      <c r="Q27" s="14"/>
    </row>
    <row r="28" spans="1:17" s="9" customFormat="1" ht="23.25" hidden="1" customHeight="1" x14ac:dyDescent="0.35">
      <c r="A28" s="7" t="s">
        <v>69</v>
      </c>
      <c r="B28" s="15" t="s">
        <v>70</v>
      </c>
      <c r="D28" s="16" t="s">
        <v>71</v>
      </c>
      <c r="E28" s="11"/>
      <c r="F28" s="12"/>
      <c r="G28" s="12"/>
      <c r="H28" s="13"/>
      <c r="I28" s="14"/>
      <c r="M28" s="14"/>
      <c r="Q28" s="14"/>
    </row>
    <row r="29" spans="1:17" s="9" customFormat="1" ht="17.25" hidden="1" customHeight="1" x14ac:dyDescent="0.35">
      <c r="A29" s="7" t="s">
        <v>72</v>
      </c>
      <c r="B29" s="15" t="s">
        <v>73</v>
      </c>
      <c r="D29" s="16" t="s">
        <v>74</v>
      </c>
      <c r="E29" s="11"/>
      <c r="F29" s="12"/>
      <c r="G29" s="12"/>
      <c r="H29" s="13"/>
      <c r="I29" s="14"/>
      <c r="M29" s="14"/>
      <c r="Q29" s="14"/>
    </row>
    <row r="30" spans="1:17" s="9" customFormat="1" ht="21" hidden="1" customHeight="1" x14ac:dyDescent="0.35">
      <c r="A30" s="7" t="s">
        <v>75</v>
      </c>
      <c r="B30" s="15" t="s">
        <v>76</v>
      </c>
      <c r="D30" s="16" t="s">
        <v>77</v>
      </c>
      <c r="E30" s="11"/>
      <c r="F30" s="12"/>
      <c r="G30" s="12"/>
      <c r="H30" s="13"/>
      <c r="I30" s="14"/>
      <c r="M30" s="14"/>
      <c r="Q30" s="14"/>
    </row>
    <row r="31" spans="1:17" s="9" customFormat="1" ht="21" hidden="1" customHeight="1" x14ac:dyDescent="0.3">
      <c r="A31" s="7" t="s">
        <v>78</v>
      </c>
      <c r="B31" s="15" t="s">
        <v>79</v>
      </c>
      <c r="D31" s="17" t="s">
        <v>80</v>
      </c>
      <c r="E31" s="11"/>
      <c r="F31" s="12"/>
      <c r="G31" s="12"/>
      <c r="H31" s="13"/>
      <c r="I31" s="14"/>
      <c r="M31" s="14"/>
      <c r="Q31" s="14"/>
    </row>
    <row r="32" spans="1:17" s="9" customFormat="1" ht="9" hidden="1" customHeight="1" x14ac:dyDescent="0.35">
      <c r="A32" s="7" t="s">
        <v>81</v>
      </c>
      <c r="B32" s="15" t="s">
        <v>82</v>
      </c>
      <c r="D32" s="16" t="s">
        <v>83</v>
      </c>
      <c r="E32" s="11"/>
      <c r="F32" s="12"/>
      <c r="G32" s="12"/>
      <c r="H32" s="13"/>
      <c r="I32" s="14"/>
      <c r="M32" s="14"/>
      <c r="Q32" s="14"/>
    </row>
    <row r="33" spans="1:151" s="9" customFormat="1" ht="15" customHeight="1" x14ac:dyDescent="0.35">
      <c r="A33" s="7"/>
      <c r="B33" s="8"/>
      <c r="D33" s="15"/>
      <c r="E33" s="11"/>
      <c r="F33" s="12"/>
      <c r="G33" s="12"/>
      <c r="H33" s="18"/>
      <c r="I33" s="14" t="s">
        <v>454</v>
      </c>
      <c r="M33" s="14"/>
      <c r="Q33" s="14"/>
    </row>
    <row r="34" spans="1:151" s="19" customFormat="1" ht="14.15" customHeight="1" thickBot="1" x14ac:dyDescent="0.4">
      <c r="D34" s="20"/>
      <c r="E34" s="21"/>
      <c r="F34" s="22"/>
      <c r="G34" s="22"/>
      <c r="H34" s="23"/>
      <c r="I34" s="24"/>
      <c r="M34" s="24"/>
      <c r="Q34" s="24"/>
    </row>
    <row r="35" spans="1:151" s="25" customFormat="1" ht="17.5" customHeight="1" x14ac:dyDescent="0.4">
      <c r="A35" s="141"/>
      <c r="B35" s="141"/>
      <c r="C35" s="141"/>
      <c r="D35" s="141"/>
      <c r="E35" s="142"/>
      <c r="F35" s="143"/>
      <c r="G35" s="144"/>
      <c r="H35" s="145"/>
      <c r="I35" s="196" t="s">
        <v>377</v>
      </c>
      <c r="J35" s="197"/>
      <c r="K35" s="197"/>
      <c r="L35" s="198"/>
      <c r="M35" s="196" t="s">
        <v>370</v>
      </c>
      <c r="N35" s="197"/>
      <c r="O35" s="197"/>
      <c r="P35" s="198"/>
      <c r="Q35" s="146" t="s">
        <v>371</v>
      </c>
      <c r="R35" s="147"/>
      <c r="S35" s="147"/>
      <c r="T35" s="148"/>
      <c r="U35" s="149"/>
      <c r="V35" s="149"/>
      <c r="W35" s="149"/>
      <c r="X35" s="149"/>
    </row>
    <row r="36" spans="1:151" s="29" customFormat="1" ht="106.5" customHeight="1" x14ac:dyDescent="0.4">
      <c r="A36" s="150" t="s">
        <v>274</v>
      </c>
      <c r="B36" s="150" t="s">
        <v>84</v>
      </c>
      <c r="C36" s="151" t="s">
        <v>85</v>
      </c>
      <c r="D36" s="152" t="s">
        <v>86</v>
      </c>
      <c r="E36" s="152" t="s">
        <v>87</v>
      </c>
      <c r="F36" s="152" t="s">
        <v>88</v>
      </c>
      <c r="G36" s="152" t="s">
        <v>89</v>
      </c>
      <c r="H36" s="153" t="s">
        <v>90</v>
      </c>
      <c r="I36" s="154" t="s">
        <v>436</v>
      </c>
      <c r="J36" s="155" t="s">
        <v>380</v>
      </c>
      <c r="K36" s="156" t="s">
        <v>379</v>
      </c>
      <c r="L36" s="157" t="s">
        <v>378</v>
      </c>
      <c r="M36" s="154" t="s">
        <v>376</v>
      </c>
      <c r="N36" s="155" t="s">
        <v>368</v>
      </c>
      <c r="O36" s="156" t="s">
        <v>367</v>
      </c>
      <c r="P36" s="157" t="s">
        <v>369</v>
      </c>
      <c r="Q36" s="154" t="s">
        <v>372</v>
      </c>
      <c r="R36" s="155" t="s">
        <v>375</v>
      </c>
      <c r="S36" s="156" t="s">
        <v>374</v>
      </c>
      <c r="T36" s="157" t="s">
        <v>373</v>
      </c>
      <c r="U36" s="158"/>
      <c r="V36" s="158"/>
      <c r="W36" s="158"/>
      <c r="X36" s="158"/>
    </row>
    <row r="37" spans="1:151" s="35" customFormat="1" ht="30.75" hidden="1" customHeight="1" x14ac:dyDescent="0.35">
      <c r="A37" s="159">
        <v>1</v>
      </c>
      <c r="B37" s="160" t="s">
        <v>109</v>
      </c>
      <c r="C37" s="167" t="s">
        <v>275</v>
      </c>
      <c r="D37" s="168" t="s">
        <v>276</v>
      </c>
      <c r="E37" s="171"/>
      <c r="F37" s="171" t="s">
        <v>336</v>
      </c>
      <c r="G37" s="171" t="s">
        <v>337</v>
      </c>
      <c r="H37" s="172">
        <v>43875</v>
      </c>
      <c r="I37" s="173">
        <f>+IFERROR(VLOOKUP($C37,'[1]Tăng ca Hr'!$E:$DN,114,0),"")</f>
        <v>1.5</v>
      </c>
      <c r="J37" s="174">
        <f t="shared" ref="J37:J64" si="0">IF(I37&lt;=8,I37,"")</f>
        <v>1.5</v>
      </c>
      <c r="K37" s="174" t="str">
        <f t="shared" ref="K37:K64" si="1">IF(AND(I37&gt;8,I37&lt;12),I37,"")</f>
        <v/>
      </c>
      <c r="L37" s="175" t="str">
        <f t="shared" ref="L37:L64" si="2">IF(I37&gt;=12,I37,"")</f>
        <v/>
      </c>
      <c r="M37" s="173">
        <f>VLOOKUP(C37,'[1]Tăng ca Hr'!$E:$DJ,110,0)</f>
        <v>1.5</v>
      </c>
      <c r="N37" s="174">
        <f t="shared" ref="N37:N64" si="3">IF(M37&lt;=28,M37,"")</f>
        <v>1.5</v>
      </c>
      <c r="O37" s="174" t="str">
        <f t="shared" ref="O37:O64" si="4">IF(AND(M37&gt;28,M37&lt;36),M37,"")</f>
        <v/>
      </c>
      <c r="P37" s="175" t="str">
        <f t="shared" ref="P37:P64" si="5">IF(M37&gt;=36,M37,"")</f>
        <v/>
      </c>
      <c r="Q37" s="173">
        <f>+IFERROR(VLOOKUP($C37,[2]Detail!$B:$AR,43,0),"")</f>
        <v>27.75</v>
      </c>
      <c r="R37" s="161">
        <f t="shared" ref="R37:R64" si="6">IF(Q37&lt;=250,Q37,"")</f>
        <v>27.75</v>
      </c>
      <c r="S37" s="161" t="str">
        <f t="shared" ref="S37:S55" si="7">IF(AND(Q37&gt;250,Q37&lt;300),Q37,"")</f>
        <v/>
      </c>
      <c r="T37" s="162" t="str">
        <f t="shared" ref="T37:T64" si="8">IF(Q37&gt;=300,Q37,"")</f>
        <v/>
      </c>
      <c r="U37" s="163" t="str">
        <f>+IFERROR(VLOOKUP(C37,'[3]20.25'!B:D,3,0),"")</f>
        <v>VP</v>
      </c>
      <c r="V37" s="163" t="s">
        <v>433</v>
      </c>
      <c r="W37" s="163"/>
      <c r="X37" s="163" t="s">
        <v>455</v>
      </c>
      <c r="AI37" s="42"/>
      <c r="AJ37" s="42"/>
      <c r="AK37" s="42"/>
      <c r="AL37" s="42"/>
      <c r="AM37" s="42"/>
      <c r="AN37" s="42"/>
      <c r="AO37" s="42"/>
      <c r="AP37" s="42"/>
      <c r="AQ37" s="42"/>
      <c r="AR37" s="42"/>
      <c r="AS37" s="42"/>
      <c r="AT37" s="42"/>
      <c r="AU37" s="42"/>
      <c r="AV37" s="42"/>
      <c r="AW37" s="42"/>
      <c r="AX37" s="42"/>
      <c r="AY37" s="42"/>
      <c r="AZ37" s="42"/>
      <c r="BA37" s="42"/>
      <c r="BB37" s="42"/>
      <c r="BC37" s="42"/>
      <c r="BD37" s="42"/>
      <c r="BE37" s="42"/>
      <c r="BF37" s="42"/>
      <c r="BG37" s="42"/>
      <c r="BH37" s="42"/>
      <c r="BI37" s="42"/>
      <c r="BJ37" s="42"/>
      <c r="BK37" s="42"/>
      <c r="BL37" s="42"/>
      <c r="BM37" s="42"/>
      <c r="BN37" s="42"/>
      <c r="BO37" s="42"/>
      <c r="BP37" s="42"/>
      <c r="BQ37" s="42"/>
      <c r="BR37" s="42"/>
      <c r="BS37" s="42"/>
      <c r="BT37" s="42"/>
      <c r="BU37" s="42"/>
      <c r="BV37" s="42"/>
      <c r="BW37" s="42"/>
      <c r="BX37" s="42"/>
      <c r="BY37" s="42"/>
      <c r="BZ37" s="42"/>
      <c r="CA37" s="42"/>
      <c r="CB37" s="42"/>
      <c r="CC37" s="42"/>
      <c r="CD37" s="42"/>
      <c r="CE37" s="42"/>
      <c r="CF37" s="42"/>
      <c r="CG37" s="42"/>
      <c r="CH37" s="42"/>
      <c r="CI37" s="42"/>
      <c r="CJ37" s="42"/>
      <c r="CK37" s="42"/>
      <c r="CL37" s="42"/>
      <c r="CM37" s="42"/>
      <c r="CN37" s="42"/>
      <c r="CO37" s="42"/>
      <c r="CP37" s="42"/>
      <c r="CQ37" s="42"/>
      <c r="CR37" s="42"/>
      <c r="CS37" s="42"/>
      <c r="CT37" s="42"/>
      <c r="CU37" s="42"/>
      <c r="CV37" s="42"/>
      <c r="CW37" s="42"/>
      <c r="CX37" s="42"/>
      <c r="CY37" s="42"/>
      <c r="CZ37" s="42"/>
      <c r="DA37" s="42"/>
      <c r="DB37" s="42"/>
      <c r="DC37" s="42"/>
      <c r="DD37" s="42"/>
      <c r="DE37" s="42"/>
      <c r="DF37" s="42"/>
      <c r="DG37" s="42"/>
      <c r="DH37" s="42"/>
      <c r="DI37" s="42"/>
      <c r="DJ37" s="42"/>
      <c r="DK37" s="42"/>
      <c r="DL37" s="42"/>
      <c r="DM37" s="42"/>
      <c r="DN37" s="42"/>
      <c r="DO37" s="42"/>
      <c r="DP37" s="42"/>
      <c r="DQ37" s="42"/>
      <c r="DR37" s="42"/>
      <c r="DS37" s="42"/>
      <c r="DT37" s="42"/>
      <c r="DU37" s="42"/>
      <c r="DV37" s="42"/>
      <c r="DW37" s="42"/>
      <c r="DX37" s="42"/>
      <c r="DY37" s="42"/>
      <c r="DZ37" s="42"/>
      <c r="EA37" s="42"/>
      <c r="EB37" s="42"/>
      <c r="EC37" s="42"/>
      <c r="ED37" s="42"/>
      <c r="EE37" s="42"/>
      <c r="EF37" s="42"/>
      <c r="EG37" s="42"/>
      <c r="EH37" s="42"/>
      <c r="EI37" s="42"/>
      <c r="EJ37" s="42"/>
      <c r="EK37" s="42"/>
      <c r="EL37" s="42"/>
      <c r="EM37" s="42"/>
      <c r="EN37" s="42"/>
      <c r="EO37" s="42"/>
      <c r="EP37" s="42"/>
      <c r="EQ37" s="42"/>
      <c r="ER37" s="42"/>
      <c r="ES37" s="42"/>
      <c r="ET37" s="42"/>
      <c r="EU37" s="42"/>
    </row>
    <row r="38" spans="1:151" s="35" customFormat="1" ht="27.75" hidden="1" customHeight="1" x14ac:dyDescent="0.35">
      <c r="A38" s="159">
        <v>2</v>
      </c>
      <c r="B38" s="164" t="s">
        <v>94</v>
      </c>
      <c r="C38" s="176" t="s">
        <v>279</v>
      </c>
      <c r="D38" s="177" t="s">
        <v>280</v>
      </c>
      <c r="E38" s="171"/>
      <c r="F38" s="171" t="s">
        <v>336</v>
      </c>
      <c r="G38" s="171" t="s">
        <v>338</v>
      </c>
      <c r="H38" s="172">
        <v>43040</v>
      </c>
      <c r="I38" s="173">
        <f>+IFERROR(VLOOKUP($C38,'[1]Tăng ca Hr'!$E:$DN,114,0),"")</f>
        <v>0</v>
      </c>
      <c r="J38" s="174">
        <f t="shared" si="0"/>
        <v>0</v>
      </c>
      <c r="K38" s="174" t="str">
        <f t="shared" si="1"/>
        <v/>
      </c>
      <c r="L38" s="175" t="str">
        <f t="shared" si="2"/>
        <v/>
      </c>
      <c r="M38" s="173">
        <f>VLOOKUP(C38,'[1]Tăng ca Hr'!$E:$DJ,110,0)</f>
        <v>0</v>
      </c>
      <c r="N38" s="174">
        <f t="shared" si="3"/>
        <v>0</v>
      </c>
      <c r="O38" s="174" t="str">
        <f t="shared" si="4"/>
        <v/>
      </c>
      <c r="P38" s="175" t="str">
        <f t="shared" si="5"/>
        <v/>
      </c>
      <c r="Q38" s="173">
        <f>+IFERROR(VLOOKUP($C38,[2]Detail!$B:$AR,43,0),"")</f>
        <v>15.25</v>
      </c>
      <c r="R38" s="161">
        <f t="shared" si="6"/>
        <v>15.25</v>
      </c>
      <c r="S38" s="161" t="str">
        <f t="shared" si="7"/>
        <v/>
      </c>
      <c r="T38" s="162" t="str">
        <f t="shared" si="8"/>
        <v/>
      </c>
      <c r="U38" s="163" t="str">
        <f>+IFERROR(VLOOKUP(C38,'[3]20.25'!B:D,3,0),"")</f>
        <v>VP</v>
      </c>
      <c r="V38" s="163">
        <v>312</v>
      </c>
      <c r="W38" s="163" t="e">
        <f>T38-V38</f>
        <v>#VALUE!</v>
      </c>
      <c r="X38" s="163" t="s">
        <v>456</v>
      </c>
    </row>
    <row r="39" spans="1:151" s="35" customFormat="1" ht="30.75" hidden="1" customHeight="1" x14ac:dyDescent="0.35">
      <c r="A39" s="159">
        <v>3</v>
      </c>
      <c r="B39" s="160" t="s">
        <v>94</v>
      </c>
      <c r="C39" s="176" t="s">
        <v>281</v>
      </c>
      <c r="D39" s="177" t="s">
        <v>282</v>
      </c>
      <c r="E39" s="171"/>
      <c r="F39" s="171" t="s">
        <v>336</v>
      </c>
      <c r="G39" s="171" t="s">
        <v>339</v>
      </c>
      <c r="H39" s="172">
        <v>41690</v>
      </c>
      <c r="I39" s="173">
        <f>+IFERROR(VLOOKUP($C39,'[1]Tăng ca Hr'!$E:$DN,114,0),"")</f>
        <v>0</v>
      </c>
      <c r="J39" s="174">
        <f t="shared" si="0"/>
        <v>0</v>
      </c>
      <c r="K39" s="174" t="str">
        <f t="shared" si="1"/>
        <v/>
      </c>
      <c r="L39" s="175" t="str">
        <f t="shared" si="2"/>
        <v/>
      </c>
      <c r="M39" s="173">
        <f>VLOOKUP(C39,'[1]Tăng ca Hr'!$E:$DJ,110,0)</f>
        <v>0</v>
      </c>
      <c r="N39" s="174">
        <f t="shared" si="3"/>
        <v>0</v>
      </c>
      <c r="O39" s="174" t="str">
        <f t="shared" si="4"/>
        <v/>
      </c>
      <c r="P39" s="175" t="str">
        <f t="shared" si="5"/>
        <v/>
      </c>
      <c r="Q39" s="173">
        <f>+IFERROR(VLOOKUP($C39,[2]Detail!$B:$AR,43,0),"")</f>
        <v>15.25</v>
      </c>
      <c r="R39" s="161">
        <f t="shared" si="6"/>
        <v>15.25</v>
      </c>
      <c r="S39" s="161" t="str">
        <f t="shared" si="7"/>
        <v/>
      </c>
      <c r="T39" s="162" t="str">
        <f t="shared" si="8"/>
        <v/>
      </c>
      <c r="U39" s="163" t="str">
        <f>+IFERROR(VLOOKUP(C39,'[3]20.25'!B:D,3,0),"")</f>
        <v>VP</v>
      </c>
      <c r="V39" s="163" t="s">
        <v>433</v>
      </c>
      <c r="W39" s="163"/>
      <c r="X39" s="163" t="s">
        <v>457</v>
      </c>
    </row>
    <row r="40" spans="1:151" s="35" customFormat="1" ht="30.75" hidden="1" customHeight="1" x14ac:dyDescent="0.35">
      <c r="A40" s="159">
        <v>4</v>
      </c>
      <c r="B40" s="164" t="s">
        <v>94</v>
      </c>
      <c r="C40" s="178" t="s">
        <v>283</v>
      </c>
      <c r="D40" s="177" t="s">
        <v>284</v>
      </c>
      <c r="E40" s="171"/>
      <c r="F40" s="171" t="s">
        <v>336</v>
      </c>
      <c r="G40" s="171" t="s">
        <v>199</v>
      </c>
      <c r="H40" s="172">
        <v>43195</v>
      </c>
      <c r="I40" s="173">
        <f>+IFERROR(VLOOKUP($C40,'[1]Tăng ca Hr'!$E:$DN,114,0),"")</f>
        <v>0</v>
      </c>
      <c r="J40" s="174">
        <f t="shared" si="0"/>
        <v>0</v>
      </c>
      <c r="K40" s="174" t="str">
        <f t="shared" si="1"/>
        <v/>
      </c>
      <c r="L40" s="175" t="str">
        <f t="shared" si="2"/>
        <v/>
      </c>
      <c r="M40" s="173">
        <f>VLOOKUP(C40,'[1]Tăng ca Hr'!$E:$DJ,110,0)</f>
        <v>0</v>
      </c>
      <c r="N40" s="174">
        <f t="shared" si="3"/>
        <v>0</v>
      </c>
      <c r="O40" s="174" t="str">
        <f t="shared" si="4"/>
        <v/>
      </c>
      <c r="P40" s="175" t="str">
        <f t="shared" si="5"/>
        <v/>
      </c>
      <c r="Q40" s="173">
        <f>+IFERROR(VLOOKUP($C40,[2]Detail!$B:$AR,43,0),"")</f>
        <v>0</v>
      </c>
      <c r="R40" s="161">
        <f t="shared" si="6"/>
        <v>0</v>
      </c>
      <c r="S40" s="161" t="str">
        <f t="shared" si="7"/>
        <v/>
      </c>
      <c r="T40" s="162" t="str">
        <f t="shared" si="8"/>
        <v/>
      </c>
      <c r="U40" s="163" t="str">
        <f>+IFERROR(VLOOKUP(C40,'[3]20.25'!B:D,3,0),"")</f>
        <v>VP</v>
      </c>
      <c r="V40" s="163">
        <v>305</v>
      </c>
      <c r="W40" s="163" t="e">
        <f>T40-V40</f>
        <v>#VALUE!</v>
      </c>
      <c r="X40" s="163" t="s">
        <v>457</v>
      </c>
    </row>
    <row r="41" spans="1:151" s="42" customFormat="1" ht="31" hidden="1" customHeight="1" x14ac:dyDescent="0.35">
      <c r="A41" s="159">
        <v>5</v>
      </c>
      <c r="B41" s="164" t="s">
        <v>94</v>
      </c>
      <c r="C41" s="167" t="s">
        <v>292</v>
      </c>
      <c r="D41" s="168" t="s">
        <v>293</v>
      </c>
      <c r="E41" s="171"/>
      <c r="F41" s="171" t="s">
        <v>336</v>
      </c>
      <c r="G41" s="171" t="s">
        <v>340</v>
      </c>
      <c r="H41" s="172">
        <v>43356</v>
      </c>
      <c r="I41" s="173">
        <f>+IFERROR(VLOOKUP($C41,'[1]Tăng ca Hr'!$E:$DN,114,0),"")</f>
        <v>0</v>
      </c>
      <c r="J41" s="174">
        <f t="shared" si="0"/>
        <v>0</v>
      </c>
      <c r="K41" s="174" t="str">
        <f t="shared" si="1"/>
        <v/>
      </c>
      <c r="L41" s="175" t="str">
        <f t="shared" si="2"/>
        <v/>
      </c>
      <c r="M41" s="173">
        <f>VLOOKUP(C41,'[1]Tăng ca Hr'!$E:$DJ,110,0)</f>
        <v>0</v>
      </c>
      <c r="N41" s="174">
        <f t="shared" si="3"/>
        <v>0</v>
      </c>
      <c r="O41" s="174" t="str">
        <f t="shared" si="4"/>
        <v/>
      </c>
      <c r="P41" s="175" t="str">
        <f t="shared" si="5"/>
        <v/>
      </c>
      <c r="Q41" s="173">
        <f>+IFERROR(VLOOKUP($C41,[2]Detail!$B:$AR,43,0),"")</f>
        <v>0</v>
      </c>
      <c r="R41" s="161">
        <f t="shared" si="6"/>
        <v>0</v>
      </c>
      <c r="S41" s="161" t="str">
        <f t="shared" si="7"/>
        <v/>
      </c>
      <c r="T41" s="162" t="str">
        <f t="shared" si="8"/>
        <v/>
      </c>
      <c r="U41" s="163" t="str">
        <f>+IFERROR(VLOOKUP(C41,'[3]20.25'!B:D,3,0),"")</f>
        <v>VP</v>
      </c>
      <c r="V41" s="163"/>
      <c r="W41" s="163" t="e">
        <f>T41-V41</f>
        <v>#VALUE!</v>
      </c>
      <c r="X41" s="163" t="s">
        <v>456</v>
      </c>
      <c r="Y41" s="35"/>
      <c r="Z41" s="35"/>
      <c r="AA41" s="35"/>
      <c r="AB41" s="35"/>
      <c r="AC41" s="35"/>
      <c r="AD41" s="35"/>
      <c r="AE41" s="35"/>
      <c r="AF41" s="35"/>
      <c r="AG41" s="35"/>
      <c r="AH41" s="35"/>
    </row>
    <row r="42" spans="1:151" s="42" customFormat="1" ht="31" hidden="1" customHeight="1" x14ac:dyDescent="0.35">
      <c r="A42" s="159">
        <v>6</v>
      </c>
      <c r="B42" s="160" t="s">
        <v>109</v>
      </c>
      <c r="C42" s="167" t="s">
        <v>296</v>
      </c>
      <c r="D42" s="168" t="s">
        <v>297</v>
      </c>
      <c r="E42" s="171"/>
      <c r="F42" s="171" t="s">
        <v>336</v>
      </c>
      <c r="G42" s="171" t="s">
        <v>341</v>
      </c>
      <c r="H42" s="172">
        <v>43720</v>
      </c>
      <c r="I42" s="173">
        <f>+IFERROR(VLOOKUP($C42,'[1]Tăng ca Hr'!$E:$DN,114,0),"")</f>
        <v>0</v>
      </c>
      <c r="J42" s="174">
        <f t="shared" si="0"/>
        <v>0</v>
      </c>
      <c r="K42" s="174" t="str">
        <f t="shared" si="1"/>
        <v/>
      </c>
      <c r="L42" s="175" t="str">
        <f t="shared" si="2"/>
        <v/>
      </c>
      <c r="M42" s="173">
        <f>VLOOKUP(C42,'[1]Tăng ca Hr'!$E:$DJ,110,0)</f>
        <v>0</v>
      </c>
      <c r="N42" s="174">
        <f t="shared" si="3"/>
        <v>0</v>
      </c>
      <c r="O42" s="174" t="str">
        <f t="shared" si="4"/>
        <v/>
      </c>
      <c r="P42" s="175" t="str">
        <f t="shared" si="5"/>
        <v/>
      </c>
      <c r="Q42" s="173">
        <f>+IFERROR(VLOOKUP($C42,[2]Detail!$B:$AR,43,0),"")</f>
        <v>10.75</v>
      </c>
      <c r="R42" s="161">
        <f t="shared" si="6"/>
        <v>10.75</v>
      </c>
      <c r="S42" s="161" t="str">
        <f t="shared" si="7"/>
        <v/>
      </c>
      <c r="T42" s="162" t="str">
        <f t="shared" si="8"/>
        <v/>
      </c>
      <c r="U42" s="163" t="str">
        <f>+IFERROR(VLOOKUP(C42,'[3]20.25'!B:D,3,0),"")</f>
        <v>VP</v>
      </c>
      <c r="V42" s="163" t="s">
        <v>433</v>
      </c>
      <c r="W42" s="163"/>
      <c r="X42" s="163" t="s">
        <v>458</v>
      </c>
      <c r="Y42" s="35"/>
      <c r="Z42" s="35"/>
      <c r="AA42" s="35"/>
      <c r="AB42" s="35"/>
      <c r="AC42" s="35"/>
      <c r="AD42" s="35"/>
      <c r="AE42" s="35"/>
      <c r="AF42" s="35"/>
      <c r="AG42" s="35"/>
      <c r="AH42" s="35"/>
    </row>
    <row r="43" spans="1:151" s="42" customFormat="1" ht="31" hidden="1" customHeight="1" x14ac:dyDescent="0.35">
      <c r="A43" s="159">
        <v>7</v>
      </c>
      <c r="B43" s="164" t="s">
        <v>109</v>
      </c>
      <c r="C43" s="167" t="s">
        <v>298</v>
      </c>
      <c r="D43" s="168" t="s">
        <v>299</v>
      </c>
      <c r="E43" s="171"/>
      <c r="F43" s="171" t="s">
        <v>336</v>
      </c>
      <c r="G43" s="171" t="s">
        <v>341</v>
      </c>
      <c r="H43" s="172">
        <v>43867</v>
      </c>
      <c r="I43" s="173">
        <f>+IFERROR(VLOOKUP($C43,'[1]Tăng ca Hr'!$E:$DN,114,0),"")</f>
        <v>0</v>
      </c>
      <c r="J43" s="174">
        <f t="shared" si="0"/>
        <v>0</v>
      </c>
      <c r="K43" s="174" t="str">
        <f t="shared" si="1"/>
        <v/>
      </c>
      <c r="L43" s="175" t="str">
        <f t="shared" si="2"/>
        <v/>
      </c>
      <c r="M43" s="173">
        <f>VLOOKUP(C43,'[1]Tăng ca Hr'!$E:$DJ,110,0)</f>
        <v>0</v>
      </c>
      <c r="N43" s="174">
        <f t="shared" si="3"/>
        <v>0</v>
      </c>
      <c r="O43" s="174" t="str">
        <f t="shared" si="4"/>
        <v/>
      </c>
      <c r="P43" s="175" t="str">
        <f t="shared" si="5"/>
        <v/>
      </c>
      <c r="Q43" s="173">
        <f>+IFERROR(VLOOKUP($C43,[2]Detail!$B:$AR,43,0),"")</f>
        <v>0</v>
      </c>
      <c r="R43" s="161">
        <f t="shared" si="6"/>
        <v>0</v>
      </c>
      <c r="S43" s="161" t="str">
        <f t="shared" si="7"/>
        <v/>
      </c>
      <c r="T43" s="162" t="str">
        <f t="shared" si="8"/>
        <v/>
      </c>
      <c r="U43" s="163" t="str">
        <f>+IFERROR(VLOOKUP(C43,'[3]20.25'!B:D,3,0),"")</f>
        <v>VP</v>
      </c>
      <c r="V43" s="163">
        <v>303</v>
      </c>
      <c r="W43" s="163" t="e">
        <f>T43-V43</f>
        <v>#VALUE!</v>
      </c>
      <c r="X43" s="163" t="s">
        <v>458</v>
      </c>
      <c r="Y43" s="35"/>
      <c r="Z43" s="35"/>
      <c r="AA43" s="35"/>
      <c r="AB43" s="35"/>
      <c r="AC43" s="35"/>
      <c r="AD43" s="35"/>
      <c r="AE43" s="35"/>
      <c r="AF43" s="35"/>
      <c r="AG43" s="35"/>
      <c r="AH43" s="35"/>
    </row>
    <row r="44" spans="1:151" s="42" customFormat="1" ht="31" hidden="1" customHeight="1" x14ac:dyDescent="0.35">
      <c r="A44" s="159">
        <v>8</v>
      </c>
      <c r="B44" s="160" t="s">
        <v>109</v>
      </c>
      <c r="C44" s="167" t="s">
        <v>302</v>
      </c>
      <c r="D44" s="168" t="s">
        <v>303</v>
      </c>
      <c r="E44" s="171"/>
      <c r="F44" s="171" t="s">
        <v>336</v>
      </c>
      <c r="G44" s="171" t="s">
        <v>343</v>
      </c>
      <c r="H44" s="172">
        <v>44077</v>
      </c>
      <c r="I44" s="173">
        <f>+IFERROR(VLOOKUP($C44,'[1]Tăng ca Hr'!$E:$DN,114,0),"")</f>
        <v>0</v>
      </c>
      <c r="J44" s="174">
        <f t="shared" si="0"/>
        <v>0</v>
      </c>
      <c r="K44" s="174" t="str">
        <f t="shared" si="1"/>
        <v/>
      </c>
      <c r="L44" s="175" t="str">
        <f t="shared" si="2"/>
        <v/>
      </c>
      <c r="M44" s="173">
        <f>VLOOKUP(C44,'[1]Tăng ca Hr'!$E:$DJ,110,0)</f>
        <v>0</v>
      </c>
      <c r="N44" s="174">
        <f t="shared" si="3"/>
        <v>0</v>
      </c>
      <c r="O44" s="174" t="str">
        <f t="shared" si="4"/>
        <v/>
      </c>
      <c r="P44" s="175" t="str">
        <f t="shared" si="5"/>
        <v/>
      </c>
      <c r="Q44" s="173">
        <f>+IFERROR(VLOOKUP($C44,[2]Detail!$B:$AR,43,0),"")</f>
        <v>0</v>
      </c>
      <c r="R44" s="161">
        <f t="shared" si="6"/>
        <v>0</v>
      </c>
      <c r="S44" s="161" t="str">
        <f t="shared" si="7"/>
        <v/>
      </c>
      <c r="T44" s="162" t="str">
        <f t="shared" si="8"/>
        <v/>
      </c>
      <c r="U44" s="163" t="str">
        <f>+IFERROR(VLOOKUP(C44,'[3]20.25'!B:D,3,0),"")</f>
        <v>VP</v>
      </c>
      <c r="V44" s="163" t="s">
        <v>433</v>
      </c>
      <c r="W44" s="163"/>
      <c r="X44" s="163" t="s">
        <v>458</v>
      </c>
      <c r="Y44" s="35"/>
      <c r="Z44" s="35"/>
      <c r="AA44" s="35"/>
      <c r="AB44" s="35"/>
      <c r="AC44" s="35"/>
      <c r="AD44" s="35"/>
      <c r="AE44" s="35"/>
      <c r="AF44" s="35"/>
      <c r="AG44" s="35"/>
      <c r="AH44" s="35"/>
    </row>
    <row r="45" spans="1:151" s="42" customFormat="1" ht="31" hidden="1" customHeight="1" x14ac:dyDescent="0.35">
      <c r="A45" s="159">
        <v>9</v>
      </c>
      <c r="B45" s="159" t="e">
        <f>#REF!+1</f>
        <v>#REF!</v>
      </c>
      <c r="C45" s="167" t="s">
        <v>314</v>
      </c>
      <c r="D45" s="168" t="s">
        <v>315</v>
      </c>
      <c r="E45" s="171"/>
      <c r="F45" s="171" t="s">
        <v>336</v>
      </c>
      <c r="G45" s="171" t="s">
        <v>346</v>
      </c>
      <c r="H45" s="172">
        <v>43871</v>
      </c>
      <c r="I45" s="173">
        <f>+IFERROR(VLOOKUP($C45,'[1]Tăng ca Hr'!$E:$DN,114,0),"")</f>
        <v>0</v>
      </c>
      <c r="J45" s="174">
        <f t="shared" si="0"/>
        <v>0</v>
      </c>
      <c r="K45" s="174" t="str">
        <f t="shared" si="1"/>
        <v/>
      </c>
      <c r="L45" s="175" t="str">
        <f t="shared" si="2"/>
        <v/>
      </c>
      <c r="M45" s="173">
        <f>VLOOKUP(C45,'[1]Tăng ca Hr'!$E:$DJ,110,0)</f>
        <v>0</v>
      </c>
      <c r="N45" s="174">
        <f t="shared" si="3"/>
        <v>0</v>
      </c>
      <c r="O45" s="174" t="str">
        <f t="shared" si="4"/>
        <v/>
      </c>
      <c r="P45" s="175" t="str">
        <f t="shared" si="5"/>
        <v/>
      </c>
      <c r="Q45" s="173">
        <f>+IFERROR(VLOOKUP($C45,[2]Detail!$B:$AR,43,0),"")</f>
        <v>18</v>
      </c>
      <c r="R45" s="161">
        <f t="shared" si="6"/>
        <v>18</v>
      </c>
      <c r="S45" s="161" t="str">
        <f t="shared" si="7"/>
        <v/>
      </c>
      <c r="T45" s="162" t="str">
        <f t="shared" si="8"/>
        <v/>
      </c>
      <c r="U45" s="163" t="str">
        <f>+IFERROR(VLOOKUP(C45,'[3]20.25'!B:D,3,0),"")</f>
        <v>VP</v>
      </c>
      <c r="V45" s="163" t="s">
        <v>433</v>
      </c>
      <c r="W45" s="163"/>
      <c r="X45" s="163">
        <v>0</v>
      </c>
      <c r="Y45" s="35"/>
      <c r="Z45" s="35"/>
      <c r="AA45" s="35"/>
      <c r="AB45" s="35"/>
      <c r="AC45" s="35"/>
      <c r="AD45" s="35"/>
      <c r="AE45" s="35"/>
      <c r="AF45" s="35"/>
      <c r="AG45" s="35"/>
      <c r="AH45" s="35"/>
    </row>
    <row r="46" spans="1:151" s="42" customFormat="1" ht="31" hidden="1" customHeight="1" x14ac:dyDescent="0.35">
      <c r="A46" s="159">
        <v>10</v>
      </c>
      <c r="B46" s="160" t="s">
        <v>109</v>
      </c>
      <c r="C46" s="167" t="s">
        <v>320</v>
      </c>
      <c r="D46" s="177" t="s">
        <v>321</v>
      </c>
      <c r="E46" s="171"/>
      <c r="F46" s="171" t="s">
        <v>336</v>
      </c>
      <c r="G46" s="171" t="s">
        <v>355</v>
      </c>
      <c r="H46" s="172">
        <v>44256</v>
      </c>
      <c r="I46" s="173">
        <f>+IFERROR(VLOOKUP($C46,'[1]Tăng ca Hr'!$E:$DN,114,0),"")</f>
        <v>0</v>
      </c>
      <c r="J46" s="174">
        <f t="shared" si="0"/>
        <v>0</v>
      </c>
      <c r="K46" s="174" t="str">
        <f t="shared" si="1"/>
        <v/>
      </c>
      <c r="L46" s="175" t="str">
        <f t="shared" si="2"/>
        <v/>
      </c>
      <c r="M46" s="173">
        <f>VLOOKUP(C46,'[1]Tăng ca Hr'!$E:$DJ,110,0)</f>
        <v>0</v>
      </c>
      <c r="N46" s="174">
        <f t="shared" si="3"/>
        <v>0</v>
      </c>
      <c r="O46" s="174" t="str">
        <f t="shared" si="4"/>
        <v/>
      </c>
      <c r="P46" s="175" t="str">
        <f t="shared" si="5"/>
        <v/>
      </c>
      <c r="Q46" s="173">
        <f>+IFERROR(VLOOKUP($C46,[2]Detail!$B:$AR,43,0),"")</f>
        <v>20.5</v>
      </c>
      <c r="R46" s="161">
        <f t="shared" si="6"/>
        <v>20.5</v>
      </c>
      <c r="S46" s="161" t="str">
        <f t="shared" si="7"/>
        <v/>
      </c>
      <c r="T46" s="162" t="str">
        <f t="shared" si="8"/>
        <v/>
      </c>
      <c r="U46" s="163" t="str">
        <f>+IFERROR(VLOOKUP(C46,'[3]20.25'!B:D,3,0),"")</f>
        <v>VP</v>
      </c>
      <c r="V46" s="163" t="s">
        <v>433</v>
      </c>
      <c r="W46" s="163"/>
      <c r="X46" s="163" t="s">
        <v>458</v>
      </c>
      <c r="Y46" s="35"/>
      <c r="Z46" s="35"/>
      <c r="AA46" s="35"/>
      <c r="AB46" s="35"/>
      <c r="AC46" s="35"/>
      <c r="AD46" s="35"/>
      <c r="AE46" s="35"/>
      <c r="AF46" s="35"/>
      <c r="AG46" s="35"/>
      <c r="AH46" s="35"/>
    </row>
    <row r="47" spans="1:151" s="42" customFormat="1" ht="31" hidden="1" customHeight="1" x14ac:dyDescent="0.35">
      <c r="A47" s="159">
        <v>11</v>
      </c>
      <c r="B47" s="160" t="s">
        <v>94</v>
      </c>
      <c r="C47" s="167" t="s">
        <v>322</v>
      </c>
      <c r="D47" s="168" t="s">
        <v>323</v>
      </c>
      <c r="E47" s="171"/>
      <c r="F47" s="171" t="s">
        <v>336</v>
      </c>
      <c r="G47" s="171" t="s">
        <v>342</v>
      </c>
      <c r="H47" s="172">
        <v>43871</v>
      </c>
      <c r="I47" s="173">
        <f>+IFERROR(VLOOKUP($C47,'[1]Tăng ca Hr'!$E:$DN,114,0),"")</f>
        <v>1.5</v>
      </c>
      <c r="J47" s="174">
        <f t="shared" si="0"/>
        <v>1.5</v>
      </c>
      <c r="K47" s="174" t="str">
        <f t="shared" si="1"/>
        <v/>
      </c>
      <c r="L47" s="175" t="str">
        <f t="shared" si="2"/>
        <v/>
      </c>
      <c r="M47" s="173">
        <f>VLOOKUP(C47,'[1]Tăng ca Hr'!$E:$DJ,110,0)</f>
        <v>1.5</v>
      </c>
      <c r="N47" s="174">
        <f t="shared" si="3"/>
        <v>1.5</v>
      </c>
      <c r="O47" s="174" t="str">
        <f t="shared" si="4"/>
        <v/>
      </c>
      <c r="P47" s="175" t="str">
        <f t="shared" si="5"/>
        <v/>
      </c>
      <c r="Q47" s="173">
        <f>+IFERROR(VLOOKUP($C47,[2]Detail!$B:$AR,43,0),"")</f>
        <v>22.25</v>
      </c>
      <c r="R47" s="161">
        <f t="shared" si="6"/>
        <v>22.25</v>
      </c>
      <c r="S47" s="161" t="str">
        <f t="shared" si="7"/>
        <v/>
      </c>
      <c r="T47" s="162" t="str">
        <f t="shared" si="8"/>
        <v/>
      </c>
      <c r="U47" s="163" t="str">
        <f>+IFERROR(VLOOKUP(C47,'[3]20.25'!B:D,3,0),"")</f>
        <v>VP</v>
      </c>
      <c r="V47" s="163" t="s">
        <v>433</v>
      </c>
      <c r="W47" s="163"/>
      <c r="X47" s="163" t="s">
        <v>457</v>
      </c>
      <c r="Y47" s="35"/>
      <c r="Z47" s="35"/>
      <c r="AA47" s="35"/>
      <c r="AB47" s="35"/>
      <c r="AC47" s="35"/>
      <c r="AD47" s="35"/>
      <c r="AE47" s="35"/>
      <c r="AF47" s="35"/>
      <c r="AG47" s="35"/>
      <c r="AH47" s="35"/>
    </row>
    <row r="48" spans="1:151" s="42" customFormat="1" ht="31" hidden="1" customHeight="1" x14ac:dyDescent="0.35">
      <c r="A48" s="159">
        <v>12</v>
      </c>
      <c r="B48" s="160" t="s">
        <v>109</v>
      </c>
      <c r="C48" s="176" t="s">
        <v>450</v>
      </c>
      <c r="D48" s="177" t="s">
        <v>451</v>
      </c>
      <c r="E48" s="171"/>
      <c r="F48" s="171" t="s">
        <v>336</v>
      </c>
      <c r="G48" s="171" t="s">
        <v>342</v>
      </c>
      <c r="H48" s="172">
        <v>43875</v>
      </c>
      <c r="I48" s="173">
        <f>+IFERROR(VLOOKUP($C48,'[1]Tăng ca Hr'!$E:$DN,114,0),"")</f>
        <v>0</v>
      </c>
      <c r="J48" s="174">
        <f t="shared" si="0"/>
        <v>0</v>
      </c>
      <c r="K48" s="174" t="str">
        <f t="shared" si="1"/>
        <v/>
      </c>
      <c r="L48" s="175" t="str">
        <f t="shared" si="2"/>
        <v/>
      </c>
      <c r="M48" s="173">
        <f>VLOOKUP(C48,'[1]Tăng ca Hr'!$E:$DJ,110,0)</f>
        <v>0</v>
      </c>
      <c r="N48" s="174">
        <f t="shared" si="3"/>
        <v>0</v>
      </c>
      <c r="O48" s="174" t="str">
        <f t="shared" si="4"/>
        <v/>
      </c>
      <c r="P48" s="175" t="str">
        <f t="shared" si="5"/>
        <v/>
      </c>
      <c r="Q48" s="173">
        <f>+IFERROR(VLOOKUP($C48,[2]Detail!$B:$AR,43,0),"")</f>
        <v>4</v>
      </c>
      <c r="R48" s="161">
        <f t="shared" si="6"/>
        <v>4</v>
      </c>
      <c r="S48" s="161" t="str">
        <f t="shared" si="7"/>
        <v/>
      </c>
      <c r="T48" s="162" t="str">
        <f t="shared" si="8"/>
        <v/>
      </c>
      <c r="U48" s="163" t="str">
        <f>+IFERROR(VLOOKUP(C48,'[3]20.25'!B:D,3,0),"")</f>
        <v/>
      </c>
      <c r="V48" s="163" t="s">
        <v>433</v>
      </c>
      <c r="W48" s="163"/>
      <c r="X48" s="163" t="s">
        <v>459</v>
      </c>
      <c r="Y48" s="35"/>
      <c r="Z48" s="35"/>
      <c r="AA48" s="35"/>
      <c r="AB48" s="35"/>
      <c r="AC48" s="35"/>
      <c r="AD48" s="35"/>
      <c r="AE48" s="35"/>
      <c r="AF48" s="35"/>
      <c r="AG48" s="35"/>
      <c r="AH48" s="35"/>
    </row>
    <row r="49" spans="1:151" s="42" customFormat="1" ht="31" hidden="1" customHeight="1" x14ac:dyDescent="0.35">
      <c r="A49" s="159">
        <v>13</v>
      </c>
      <c r="B49" s="160" t="s">
        <v>366</v>
      </c>
      <c r="C49" s="167" t="s">
        <v>443</v>
      </c>
      <c r="D49" s="168" t="s">
        <v>444</v>
      </c>
      <c r="E49" s="171"/>
      <c r="F49" s="171" t="s">
        <v>336</v>
      </c>
      <c r="G49" s="171" t="s">
        <v>342</v>
      </c>
      <c r="H49" s="172">
        <v>43903</v>
      </c>
      <c r="I49" s="173">
        <f>+IFERROR(VLOOKUP($C49,'[1]Tăng ca Hr'!$E:$DN,114,0),"")</f>
        <v>1.5</v>
      </c>
      <c r="J49" s="174">
        <f t="shared" si="0"/>
        <v>1.5</v>
      </c>
      <c r="K49" s="174" t="str">
        <f t="shared" si="1"/>
        <v/>
      </c>
      <c r="L49" s="175" t="str">
        <f t="shared" si="2"/>
        <v/>
      </c>
      <c r="M49" s="173">
        <f>VLOOKUP(C49,'[1]Tăng ca Hr'!$E:$DJ,110,0)</f>
        <v>1.5</v>
      </c>
      <c r="N49" s="174">
        <f t="shared" si="3"/>
        <v>1.5</v>
      </c>
      <c r="O49" s="174" t="str">
        <f t="shared" si="4"/>
        <v/>
      </c>
      <c r="P49" s="175" t="str">
        <f t="shared" si="5"/>
        <v/>
      </c>
      <c r="Q49" s="173">
        <f>+IFERROR(VLOOKUP($C49,[2]Detail!$B:$AR,43,0),"")</f>
        <v>12</v>
      </c>
      <c r="R49" s="161">
        <f>IF(Q49&lt;=250,Q49,"")</f>
        <v>12</v>
      </c>
      <c r="S49" s="161" t="str">
        <f t="shared" si="7"/>
        <v/>
      </c>
      <c r="T49" s="162" t="str">
        <f t="shared" si="8"/>
        <v/>
      </c>
      <c r="U49" s="163" t="str">
        <f>+IFERROR(VLOOKUP(C49,'[3]20.25'!B:D,3,0),"")</f>
        <v/>
      </c>
      <c r="V49" s="163" t="s">
        <v>433</v>
      </c>
      <c r="W49" s="163"/>
      <c r="X49" s="163">
        <v>0</v>
      </c>
      <c r="Y49" s="35"/>
      <c r="Z49" s="35"/>
      <c r="AA49" s="35"/>
      <c r="AB49" s="35"/>
      <c r="AC49" s="35"/>
      <c r="AD49" s="35"/>
      <c r="AE49" s="35"/>
      <c r="AF49" s="35"/>
      <c r="AG49" s="35"/>
      <c r="AH49" s="35"/>
    </row>
    <row r="50" spans="1:151" s="42" customFormat="1" ht="31" hidden="1" customHeight="1" x14ac:dyDescent="0.35">
      <c r="A50" s="159">
        <v>14</v>
      </c>
      <c r="B50" s="160" t="s">
        <v>366</v>
      </c>
      <c r="C50" s="167" t="s">
        <v>470</v>
      </c>
      <c r="D50" s="168" t="s">
        <v>471</v>
      </c>
      <c r="E50" s="171"/>
      <c r="F50" s="171" t="s">
        <v>336</v>
      </c>
      <c r="G50" s="171" t="s">
        <v>342</v>
      </c>
      <c r="H50" s="172">
        <v>43964</v>
      </c>
      <c r="I50" s="173">
        <f>+IFERROR(VLOOKUP($C50,'[1]Tăng ca Hr'!$E:$DN,114,0),"")</f>
        <v>2.5</v>
      </c>
      <c r="J50" s="174">
        <f t="shared" si="0"/>
        <v>2.5</v>
      </c>
      <c r="K50" s="174" t="str">
        <f t="shared" si="1"/>
        <v/>
      </c>
      <c r="L50" s="175" t="str">
        <f t="shared" si="2"/>
        <v/>
      </c>
      <c r="M50" s="173">
        <f>VLOOKUP(C50,'[1]Tăng ca Hr'!$E:$DJ,110,0)</f>
        <v>2.5</v>
      </c>
      <c r="N50" s="174">
        <f t="shared" si="3"/>
        <v>2.5</v>
      </c>
      <c r="O50" s="174" t="str">
        <f t="shared" si="4"/>
        <v/>
      </c>
      <c r="P50" s="175" t="str">
        <f t="shared" si="5"/>
        <v/>
      </c>
      <c r="Q50" s="173">
        <f>+IFERROR(VLOOKUP($C50,[2]Detail!$B:$AR,43,0),"")</f>
        <v>4.5</v>
      </c>
      <c r="R50" s="161">
        <f t="shared" si="6"/>
        <v>4.5</v>
      </c>
      <c r="S50" s="161" t="str">
        <f t="shared" si="7"/>
        <v/>
      </c>
      <c r="T50" s="162" t="str">
        <f t="shared" si="8"/>
        <v/>
      </c>
      <c r="U50" s="163" t="str">
        <f>+IFERROR(VLOOKUP(C50,'[3]20.25'!B:D,3,0),"")</f>
        <v/>
      </c>
      <c r="V50" s="163" t="s">
        <v>433</v>
      </c>
      <c r="W50" s="163"/>
      <c r="X50" s="163">
        <v>0</v>
      </c>
      <c r="Y50" s="35"/>
      <c r="Z50" s="35"/>
      <c r="AA50" s="35"/>
      <c r="AB50" s="35"/>
      <c r="AC50" s="35"/>
      <c r="AD50" s="35"/>
      <c r="AE50" s="35"/>
      <c r="AF50" s="35"/>
      <c r="AG50" s="35"/>
      <c r="AH50" s="35"/>
    </row>
    <row r="51" spans="1:151" s="42" customFormat="1" ht="31" hidden="1" customHeight="1" x14ac:dyDescent="0.35">
      <c r="A51" s="159">
        <v>15</v>
      </c>
      <c r="B51" s="160" t="s">
        <v>366</v>
      </c>
      <c r="C51" s="167" t="s">
        <v>110</v>
      </c>
      <c r="D51" s="168" t="s">
        <v>111</v>
      </c>
      <c r="E51" s="171"/>
      <c r="F51" s="171" t="s">
        <v>112</v>
      </c>
      <c r="G51" s="171" t="s">
        <v>92</v>
      </c>
      <c r="H51" s="172">
        <v>43672</v>
      </c>
      <c r="I51" s="173">
        <f>+IFERROR(VLOOKUP($C51,'[1]Tăng ca Hr'!$E:$DN,114,0),"")</f>
        <v>0</v>
      </c>
      <c r="J51" s="174">
        <f t="shared" si="0"/>
        <v>0</v>
      </c>
      <c r="K51" s="174" t="str">
        <f t="shared" si="1"/>
        <v/>
      </c>
      <c r="L51" s="175" t="str">
        <f t="shared" si="2"/>
        <v/>
      </c>
      <c r="M51" s="173">
        <f>VLOOKUP(C51,'[1]Tăng ca Hr'!$E:$DJ,110,0)</f>
        <v>0</v>
      </c>
      <c r="N51" s="174">
        <f t="shared" si="3"/>
        <v>0</v>
      </c>
      <c r="O51" s="174" t="str">
        <f t="shared" si="4"/>
        <v/>
      </c>
      <c r="P51" s="175" t="str">
        <f t="shared" si="5"/>
        <v/>
      </c>
      <c r="Q51" s="173">
        <f>+IFERROR(VLOOKUP($C51,[2]Detail!$B:$AR,43,0),"")</f>
        <v>198.5</v>
      </c>
      <c r="R51" s="161">
        <f t="shared" si="6"/>
        <v>198.5</v>
      </c>
      <c r="S51" s="161" t="str">
        <f t="shared" si="7"/>
        <v/>
      </c>
      <c r="T51" s="162" t="str">
        <f t="shared" si="8"/>
        <v/>
      </c>
      <c r="U51" s="163" t="str">
        <f>+IFERROR(VLOOKUP(C51,'[3]20.25'!B:D,3,0),"")</f>
        <v>Linh</v>
      </c>
      <c r="V51" s="163" t="s">
        <v>433</v>
      </c>
      <c r="W51" s="163"/>
      <c r="X51" s="163">
        <v>0</v>
      </c>
      <c r="Y51" s="35"/>
      <c r="Z51" s="35"/>
      <c r="AA51" s="35"/>
      <c r="AB51" s="35"/>
      <c r="AC51" s="35"/>
      <c r="AD51" s="35"/>
      <c r="AE51" s="35"/>
      <c r="AF51" s="35"/>
      <c r="AG51" s="35"/>
      <c r="AH51" s="35"/>
    </row>
    <row r="52" spans="1:151" s="42" customFormat="1" ht="31" hidden="1" customHeight="1" x14ac:dyDescent="0.35">
      <c r="A52" s="159">
        <v>16</v>
      </c>
      <c r="B52" s="160" t="s">
        <v>109</v>
      </c>
      <c r="C52" s="168" t="s">
        <v>123</v>
      </c>
      <c r="D52" s="168" t="s">
        <v>124</v>
      </c>
      <c r="E52" s="168"/>
      <c r="F52" s="168" t="s">
        <v>112</v>
      </c>
      <c r="G52" s="168" t="s">
        <v>99</v>
      </c>
      <c r="H52" s="168">
        <v>44312</v>
      </c>
      <c r="I52" s="173">
        <f>+IFERROR(VLOOKUP($C52,'[1]Tăng ca Hr'!$E:$DN,114,0),"")</f>
        <v>0</v>
      </c>
      <c r="J52" s="168">
        <f t="shared" si="0"/>
        <v>0</v>
      </c>
      <c r="K52" s="168" t="str">
        <f t="shared" si="1"/>
        <v/>
      </c>
      <c r="L52" s="168" t="str">
        <f t="shared" si="2"/>
        <v/>
      </c>
      <c r="M52" s="173">
        <f>VLOOKUP(C52,'[1]Tăng ca Hr'!$E:$DJ,110,0)</f>
        <v>0</v>
      </c>
      <c r="N52" s="168">
        <f t="shared" si="3"/>
        <v>0</v>
      </c>
      <c r="O52" s="168" t="str">
        <f t="shared" si="4"/>
        <v/>
      </c>
      <c r="P52" s="168" t="str">
        <f t="shared" si="5"/>
        <v/>
      </c>
      <c r="Q52" s="173">
        <f>+IFERROR(VLOOKUP($C52,[2]Detail!$B:$AR,43,0),"")</f>
        <v>303</v>
      </c>
      <c r="R52" s="161" t="str">
        <f t="shared" si="6"/>
        <v/>
      </c>
      <c r="S52" s="161" t="str">
        <f t="shared" si="7"/>
        <v/>
      </c>
      <c r="T52" s="162">
        <f t="shared" si="8"/>
        <v>303</v>
      </c>
      <c r="U52" s="163" t="str">
        <f>+IFERROR(VLOOKUP(C52,'[3]20.25'!B:D,3,0),"")</f>
        <v>Đổ</v>
      </c>
      <c r="V52" s="163" t="s">
        <v>433</v>
      </c>
      <c r="W52" s="163"/>
      <c r="X52" s="163" t="s">
        <v>459</v>
      </c>
      <c r="Y52" s="35"/>
      <c r="Z52" s="35"/>
      <c r="AA52" s="35"/>
      <c r="AB52" s="35"/>
      <c r="AC52" s="35"/>
      <c r="AD52" s="35"/>
      <c r="AE52" s="35"/>
      <c r="AF52" s="35"/>
      <c r="AG52" s="35"/>
      <c r="AH52" s="35"/>
    </row>
    <row r="53" spans="1:151" s="42" customFormat="1" ht="31" hidden="1" customHeight="1" x14ac:dyDescent="0.35">
      <c r="A53" s="159">
        <v>17</v>
      </c>
      <c r="B53" s="160" t="s">
        <v>109</v>
      </c>
      <c r="C53" s="176" t="s">
        <v>277</v>
      </c>
      <c r="D53" s="177" t="s">
        <v>278</v>
      </c>
      <c r="E53" s="171"/>
      <c r="F53" s="171" t="s">
        <v>112</v>
      </c>
      <c r="G53" s="171" t="s">
        <v>91</v>
      </c>
      <c r="H53" s="172">
        <v>43844</v>
      </c>
      <c r="I53" s="173">
        <f>+IFERROR(VLOOKUP($C53,'[1]Tăng ca Hr'!$E:$DN,114,0),"")</f>
        <v>0</v>
      </c>
      <c r="J53" s="174">
        <f t="shared" si="0"/>
        <v>0</v>
      </c>
      <c r="K53" s="174" t="str">
        <f t="shared" si="1"/>
        <v/>
      </c>
      <c r="L53" s="175" t="str">
        <f t="shared" si="2"/>
        <v/>
      </c>
      <c r="M53" s="173">
        <f>VLOOKUP(C53,'[1]Tăng ca Hr'!$E:$DJ,110,0)</f>
        <v>0</v>
      </c>
      <c r="N53" s="174">
        <f t="shared" si="3"/>
        <v>0</v>
      </c>
      <c r="O53" s="174" t="str">
        <f t="shared" si="4"/>
        <v/>
      </c>
      <c r="P53" s="175" t="str">
        <f t="shared" si="5"/>
        <v/>
      </c>
      <c r="Q53" s="173">
        <f>+IFERROR(VLOOKUP($C53,[2]Detail!$B:$AR,43,0),"")</f>
        <v>287.5</v>
      </c>
      <c r="R53" s="161" t="str">
        <f t="shared" si="6"/>
        <v/>
      </c>
      <c r="S53" s="161">
        <f t="shared" si="7"/>
        <v>287.5</v>
      </c>
      <c r="T53" s="162" t="str">
        <f t="shared" si="8"/>
        <v/>
      </c>
      <c r="U53" s="163" t="str">
        <f>+IFERROR(VLOOKUP(C53,'[3]20.25'!B:D,3,0),"")</f>
        <v>Đổ</v>
      </c>
      <c r="V53" s="163" t="s">
        <v>433</v>
      </c>
      <c r="W53" s="163"/>
      <c r="X53" s="163" t="s">
        <v>456</v>
      </c>
      <c r="Y53" s="35"/>
      <c r="Z53" s="35"/>
      <c r="AA53" s="35"/>
      <c r="AB53" s="35"/>
      <c r="AC53" s="35"/>
      <c r="AD53" s="35"/>
      <c r="AE53" s="35"/>
      <c r="AF53" s="35"/>
      <c r="AG53" s="35"/>
      <c r="AH53" s="35"/>
    </row>
    <row r="54" spans="1:151" s="42" customFormat="1" ht="31" hidden="1" customHeight="1" x14ac:dyDescent="0.35">
      <c r="A54" s="159">
        <v>18</v>
      </c>
      <c r="B54" s="160" t="s">
        <v>109</v>
      </c>
      <c r="C54" s="176" t="s">
        <v>285</v>
      </c>
      <c r="D54" s="177" t="s">
        <v>286</v>
      </c>
      <c r="E54" s="171"/>
      <c r="F54" s="171" t="s">
        <v>112</v>
      </c>
      <c r="G54" s="171" t="s">
        <v>91</v>
      </c>
      <c r="H54" s="172">
        <v>43867</v>
      </c>
      <c r="I54" s="173">
        <f>+IFERROR(VLOOKUP($C54,'[1]Tăng ca Hr'!$E:$DN,114,0),"")</f>
        <v>0</v>
      </c>
      <c r="J54" s="174">
        <f t="shared" si="0"/>
        <v>0</v>
      </c>
      <c r="K54" s="174" t="str">
        <f t="shared" si="1"/>
        <v/>
      </c>
      <c r="L54" s="175" t="str">
        <f t="shared" si="2"/>
        <v/>
      </c>
      <c r="M54" s="173">
        <f>VLOOKUP(C54,'[1]Tăng ca Hr'!$E:$DJ,110,0)</f>
        <v>0</v>
      </c>
      <c r="N54" s="174">
        <f t="shared" si="3"/>
        <v>0</v>
      </c>
      <c r="O54" s="174" t="str">
        <f t="shared" si="4"/>
        <v/>
      </c>
      <c r="P54" s="175" t="str">
        <f t="shared" si="5"/>
        <v/>
      </c>
      <c r="Q54" s="173">
        <f>+IFERROR(VLOOKUP($C54,[2]Detail!$B:$AR,43,0),"")</f>
        <v>299.5</v>
      </c>
      <c r="R54" s="161" t="str">
        <f t="shared" si="6"/>
        <v/>
      </c>
      <c r="S54" s="161">
        <f t="shared" si="7"/>
        <v>299.5</v>
      </c>
      <c r="T54" s="162" t="str">
        <f t="shared" si="8"/>
        <v/>
      </c>
      <c r="U54" s="163" t="str">
        <f>+IFERROR(VLOOKUP(C54,'[3]20.25'!B:D,3,0),"")</f>
        <v>Đổ</v>
      </c>
      <c r="V54" s="163" t="s">
        <v>433</v>
      </c>
      <c r="W54" s="163"/>
      <c r="X54" s="163" t="s">
        <v>457</v>
      </c>
      <c r="Y54" s="35"/>
      <c r="Z54" s="35"/>
      <c r="AA54" s="35"/>
      <c r="AB54" s="35"/>
      <c r="AC54" s="35"/>
      <c r="AD54" s="35"/>
      <c r="AE54" s="35"/>
      <c r="AF54" s="35"/>
      <c r="AG54" s="35"/>
      <c r="AH54" s="35"/>
    </row>
    <row r="55" spans="1:151" s="42" customFormat="1" ht="31" hidden="1" customHeight="1" x14ac:dyDescent="0.35">
      <c r="A55" s="159">
        <v>19</v>
      </c>
      <c r="B55" s="164" t="s">
        <v>109</v>
      </c>
      <c r="C55" s="167" t="s">
        <v>121</v>
      </c>
      <c r="D55" s="168" t="s">
        <v>122</v>
      </c>
      <c r="E55" s="171"/>
      <c r="F55" s="171" t="s">
        <v>112</v>
      </c>
      <c r="G55" s="171" t="s">
        <v>91</v>
      </c>
      <c r="H55" s="172">
        <v>44603</v>
      </c>
      <c r="I55" s="173">
        <f>+IFERROR(VLOOKUP($C55,'[1]Tăng ca Hr'!$E:$DN,114,0),"")</f>
        <v>4</v>
      </c>
      <c r="J55" s="174">
        <f t="shared" si="0"/>
        <v>4</v>
      </c>
      <c r="K55" s="174" t="str">
        <f t="shared" si="1"/>
        <v/>
      </c>
      <c r="L55" s="175" t="str">
        <f t="shared" si="2"/>
        <v/>
      </c>
      <c r="M55" s="173">
        <f>VLOOKUP(C55,'[1]Tăng ca Hr'!$E:$DJ,110,0)</f>
        <v>4</v>
      </c>
      <c r="N55" s="174">
        <f t="shared" si="3"/>
        <v>4</v>
      </c>
      <c r="O55" s="174" t="str">
        <f t="shared" si="4"/>
        <v/>
      </c>
      <c r="P55" s="175" t="str">
        <f t="shared" si="5"/>
        <v/>
      </c>
      <c r="Q55" s="173">
        <f>+IFERROR(VLOOKUP($C55,[2]Detail!$B:$AR,43,0),"")</f>
        <v>276</v>
      </c>
      <c r="R55" s="161" t="str">
        <f t="shared" si="6"/>
        <v/>
      </c>
      <c r="S55" s="161">
        <f t="shared" si="7"/>
        <v>276</v>
      </c>
      <c r="T55" s="162" t="str">
        <f t="shared" si="8"/>
        <v/>
      </c>
      <c r="U55" s="163" t="str">
        <f>+IFERROR(VLOOKUP(C55,'[3]20.25'!B:D,3,0),"")</f>
        <v>Linh</v>
      </c>
      <c r="V55" s="163"/>
      <c r="W55" s="163" t="e">
        <f>T55-V55</f>
        <v>#VALUE!</v>
      </c>
      <c r="X55" s="163" t="s">
        <v>458</v>
      </c>
      <c r="Y55" s="35"/>
      <c r="Z55" s="35"/>
      <c r="AA55" s="35"/>
      <c r="AB55" s="35"/>
      <c r="AC55" s="35"/>
      <c r="AD55" s="35"/>
      <c r="AE55" s="35"/>
      <c r="AF55" s="35"/>
      <c r="AG55" s="35"/>
      <c r="AH55" s="35"/>
    </row>
    <row r="56" spans="1:151" s="42" customFormat="1" ht="31" hidden="1" customHeight="1" x14ac:dyDescent="0.35">
      <c r="A56" s="159">
        <v>20</v>
      </c>
      <c r="B56" s="160" t="s">
        <v>109</v>
      </c>
      <c r="C56" s="167" t="s">
        <v>135</v>
      </c>
      <c r="D56" s="168" t="s">
        <v>287</v>
      </c>
      <c r="E56" s="171"/>
      <c r="F56" s="171" t="s">
        <v>112</v>
      </c>
      <c r="G56" s="171" t="s">
        <v>92</v>
      </c>
      <c r="H56" s="172">
        <v>44630</v>
      </c>
      <c r="I56" s="173">
        <f>+IFERROR(VLOOKUP($C56,'[1]Tăng ca Hr'!$E:$DN,114,0),"")</f>
        <v>0</v>
      </c>
      <c r="J56" s="174">
        <f t="shared" si="0"/>
        <v>0</v>
      </c>
      <c r="K56" s="174" t="str">
        <f t="shared" si="1"/>
        <v/>
      </c>
      <c r="L56" s="175" t="str">
        <f t="shared" si="2"/>
        <v/>
      </c>
      <c r="M56" s="173">
        <f>VLOOKUP(C56,'[1]Tăng ca Hr'!$E:$DJ,110,0)</f>
        <v>0</v>
      </c>
      <c r="N56" s="174">
        <f t="shared" si="3"/>
        <v>0</v>
      </c>
      <c r="O56" s="174" t="str">
        <f t="shared" si="4"/>
        <v/>
      </c>
      <c r="P56" s="175" t="str">
        <f t="shared" si="5"/>
        <v/>
      </c>
      <c r="Q56" s="173">
        <f>+IFERROR(VLOOKUP($C56,[2]Detail!$B:$AR,43,0),"")</f>
        <v>281</v>
      </c>
      <c r="R56" s="161" t="str">
        <f t="shared" si="6"/>
        <v/>
      </c>
      <c r="S56" s="161">
        <f t="shared" ref="S56:S58" si="9">IF(AND(Q56&gt;250,Q56&lt;300),Q56,"")</f>
        <v>281</v>
      </c>
      <c r="T56" s="162" t="str">
        <f t="shared" si="8"/>
        <v/>
      </c>
      <c r="U56" s="163" t="str">
        <f>+IFERROR(VLOOKUP(C56,'[3]20.25'!B:D,3,0),"")</f>
        <v>Đổ</v>
      </c>
      <c r="V56" s="163" t="s">
        <v>433</v>
      </c>
      <c r="W56" s="163"/>
      <c r="X56" s="163" t="s">
        <v>459</v>
      </c>
      <c r="Y56" s="35"/>
      <c r="Z56" s="35"/>
      <c r="AA56" s="35"/>
      <c r="AB56" s="35"/>
      <c r="AC56" s="35"/>
      <c r="AD56" s="35"/>
      <c r="AE56" s="35"/>
      <c r="AF56" s="35"/>
      <c r="AG56" s="35"/>
      <c r="AH56" s="35"/>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row>
    <row r="57" spans="1:151" s="42" customFormat="1" ht="31" hidden="1" customHeight="1" x14ac:dyDescent="0.45">
      <c r="A57" s="159">
        <v>21</v>
      </c>
      <c r="B57" s="160" t="s">
        <v>109</v>
      </c>
      <c r="C57" s="167" t="s">
        <v>146</v>
      </c>
      <c r="D57" s="168" t="s">
        <v>147</v>
      </c>
      <c r="E57" s="168"/>
      <c r="F57" s="171" t="s">
        <v>112</v>
      </c>
      <c r="G57" s="171" t="s">
        <v>99</v>
      </c>
      <c r="H57" s="172" t="s">
        <v>359</v>
      </c>
      <c r="I57" s="173">
        <f>+IFERROR(VLOOKUP($C57,'[1]Tăng ca Hr'!$E:$DN,114,0),"")</f>
        <v>0</v>
      </c>
      <c r="J57" s="174">
        <f t="shared" si="0"/>
        <v>0</v>
      </c>
      <c r="K57" s="174" t="str">
        <f t="shared" si="1"/>
        <v/>
      </c>
      <c r="L57" s="175" t="str">
        <f t="shared" si="2"/>
        <v/>
      </c>
      <c r="M57" s="173">
        <f>VLOOKUP(C57,'[1]Tăng ca Hr'!$E:$DJ,110,0)</f>
        <v>0</v>
      </c>
      <c r="N57" s="174">
        <f t="shared" si="3"/>
        <v>0</v>
      </c>
      <c r="O57" s="174" t="str">
        <f t="shared" si="4"/>
        <v/>
      </c>
      <c r="P57" s="175" t="str">
        <f t="shared" si="5"/>
        <v/>
      </c>
      <c r="Q57" s="173">
        <f>+IFERROR(VLOOKUP($C57,[2]Detail!$B:$AR,43,0),"")</f>
        <v>305</v>
      </c>
      <c r="R57" s="161" t="str">
        <f t="shared" si="6"/>
        <v/>
      </c>
      <c r="S57" s="161" t="str">
        <f t="shared" si="9"/>
        <v/>
      </c>
      <c r="T57" s="162">
        <f t="shared" si="8"/>
        <v>305</v>
      </c>
      <c r="U57" s="163" t="str">
        <f>+IFERROR(VLOOKUP(C57,'[3]20.25'!B:D,3,0),"")</f>
        <v>Đổ</v>
      </c>
      <c r="V57" s="163" t="s">
        <v>433</v>
      </c>
      <c r="W57" s="165"/>
      <c r="X57" s="163" t="s">
        <v>459</v>
      </c>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row>
    <row r="58" spans="1:151" s="42" customFormat="1" ht="31" hidden="1" customHeight="1" x14ac:dyDescent="0.45">
      <c r="A58" s="159">
        <v>22</v>
      </c>
      <c r="B58" s="160" t="s">
        <v>109</v>
      </c>
      <c r="C58" s="167" t="s">
        <v>149</v>
      </c>
      <c r="D58" s="168" t="s">
        <v>150</v>
      </c>
      <c r="E58" s="168"/>
      <c r="F58" s="171" t="s">
        <v>112</v>
      </c>
      <c r="G58" s="171" t="s">
        <v>93</v>
      </c>
      <c r="H58" s="172" t="s">
        <v>365</v>
      </c>
      <c r="I58" s="173">
        <f>+IFERROR(VLOOKUP($C58,'[1]Tăng ca Hr'!$E:$DN,114,0),"")</f>
        <v>0</v>
      </c>
      <c r="J58" s="174">
        <f t="shared" si="0"/>
        <v>0</v>
      </c>
      <c r="K58" s="174" t="str">
        <f t="shared" si="1"/>
        <v/>
      </c>
      <c r="L58" s="175" t="str">
        <f t="shared" si="2"/>
        <v/>
      </c>
      <c r="M58" s="173">
        <f>VLOOKUP(C58,'[1]Tăng ca Hr'!$E:$DJ,110,0)</f>
        <v>0</v>
      </c>
      <c r="N58" s="174">
        <f t="shared" si="3"/>
        <v>0</v>
      </c>
      <c r="O58" s="174" t="str">
        <f t="shared" si="4"/>
        <v/>
      </c>
      <c r="P58" s="175" t="str">
        <f t="shared" si="5"/>
        <v/>
      </c>
      <c r="Q58" s="173">
        <f>+IFERROR(VLOOKUP($C58,[2]Detail!$B:$AR,43,0),"")</f>
        <v>309</v>
      </c>
      <c r="R58" s="161" t="str">
        <f t="shared" si="6"/>
        <v/>
      </c>
      <c r="S58" s="161" t="str">
        <f t="shared" si="9"/>
        <v/>
      </c>
      <c r="T58" s="162">
        <f t="shared" si="8"/>
        <v>309</v>
      </c>
      <c r="U58" s="163" t="str">
        <f>+IFERROR(VLOOKUP(C58,'[3]20.25'!B:D,3,0),"")</f>
        <v>Đổ</v>
      </c>
      <c r="V58" s="163" t="s">
        <v>433</v>
      </c>
      <c r="W58" s="165"/>
      <c r="X58" s="163" t="s">
        <v>459</v>
      </c>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row>
    <row r="59" spans="1:151" s="42" customFormat="1" ht="31" hidden="1" customHeight="1" x14ac:dyDescent="0.45">
      <c r="A59" s="159">
        <v>23</v>
      </c>
      <c r="B59" s="160" t="s">
        <v>109</v>
      </c>
      <c r="C59" s="167" t="s">
        <v>151</v>
      </c>
      <c r="D59" s="168" t="s">
        <v>289</v>
      </c>
      <c r="E59" s="168"/>
      <c r="F59" s="171" t="s">
        <v>112</v>
      </c>
      <c r="G59" s="171" t="s">
        <v>99</v>
      </c>
      <c r="H59" s="172" t="s">
        <v>349</v>
      </c>
      <c r="I59" s="173">
        <f>+IFERROR(VLOOKUP($C59,'[1]Tăng ca Hr'!$E:$DN,114,0),"")</f>
        <v>0</v>
      </c>
      <c r="J59" s="174">
        <f t="shared" si="0"/>
        <v>0</v>
      </c>
      <c r="K59" s="174" t="str">
        <f t="shared" si="1"/>
        <v/>
      </c>
      <c r="L59" s="175" t="str">
        <f t="shared" si="2"/>
        <v/>
      </c>
      <c r="M59" s="173">
        <f>VLOOKUP(C59,'[1]Tăng ca Hr'!$E:$DJ,110,0)</f>
        <v>0</v>
      </c>
      <c r="N59" s="174">
        <f t="shared" si="3"/>
        <v>0</v>
      </c>
      <c r="O59" s="174" t="str">
        <f t="shared" si="4"/>
        <v/>
      </c>
      <c r="P59" s="175" t="str">
        <f t="shared" si="5"/>
        <v/>
      </c>
      <c r="Q59" s="173">
        <f>+IFERROR(VLOOKUP($C59,[2]Detail!$B:$AR,43,0),"")</f>
        <v>298</v>
      </c>
      <c r="R59" s="161" t="str">
        <f t="shared" si="6"/>
        <v/>
      </c>
      <c r="S59" s="161">
        <f t="shared" ref="S59:S89" si="10">IF(AND(Q59&gt;250,Q59&lt;300),Q59,"")</f>
        <v>298</v>
      </c>
      <c r="T59" s="162" t="str">
        <f t="shared" si="8"/>
        <v/>
      </c>
      <c r="U59" s="163" t="str">
        <f>+IFERROR(VLOOKUP(C59,'[3]20.25'!B:D,3,0),"")</f>
        <v>Đổ</v>
      </c>
      <c r="V59" s="163" t="s">
        <v>433</v>
      </c>
      <c r="W59" s="165"/>
      <c r="X59" s="163" t="s">
        <v>456</v>
      </c>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row>
    <row r="60" spans="1:151" s="42" customFormat="1" ht="31" hidden="1" customHeight="1" x14ac:dyDescent="0.45">
      <c r="A60" s="159">
        <v>24</v>
      </c>
      <c r="B60" s="160" t="s">
        <v>109</v>
      </c>
      <c r="C60" s="167" t="s">
        <v>164</v>
      </c>
      <c r="D60" s="168" t="s">
        <v>165</v>
      </c>
      <c r="E60" s="168"/>
      <c r="F60" s="171" t="s">
        <v>112</v>
      </c>
      <c r="G60" s="171" t="s">
        <v>92</v>
      </c>
      <c r="H60" s="172" t="s">
        <v>365</v>
      </c>
      <c r="I60" s="173">
        <f>+IFERROR(VLOOKUP($C60,'[1]Tăng ca Hr'!$E:$DN,114,0),"")</f>
        <v>0</v>
      </c>
      <c r="J60" s="174">
        <f t="shared" si="0"/>
        <v>0</v>
      </c>
      <c r="K60" s="174" t="str">
        <f t="shared" si="1"/>
        <v/>
      </c>
      <c r="L60" s="175" t="str">
        <f t="shared" si="2"/>
        <v/>
      </c>
      <c r="M60" s="173">
        <f>VLOOKUP(C60,'[1]Tăng ca Hr'!$E:$DJ,110,0)</f>
        <v>0</v>
      </c>
      <c r="N60" s="174">
        <f t="shared" si="3"/>
        <v>0</v>
      </c>
      <c r="O60" s="174" t="str">
        <f t="shared" si="4"/>
        <v/>
      </c>
      <c r="P60" s="175" t="str">
        <f t="shared" si="5"/>
        <v/>
      </c>
      <c r="Q60" s="173">
        <f>+IFERROR(VLOOKUP($C60,[2]Detail!$B:$AR,43,0),"")</f>
        <v>295</v>
      </c>
      <c r="R60" s="161" t="str">
        <f t="shared" si="6"/>
        <v/>
      </c>
      <c r="S60" s="161">
        <f t="shared" si="10"/>
        <v>295</v>
      </c>
      <c r="T60" s="162" t="str">
        <f t="shared" si="8"/>
        <v/>
      </c>
      <c r="U60" s="163" t="str">
        <f>+IFERROR(VLOOKUP(C60,'[3]20.25'!B:D,3,0),"")</f>
        <v>Đổ</v>
      </c>
      <c r="V60" s="163" t="s">
        <v>433</v>
      </c>
      <c r="W60" s="165"/>
      <c r="X60" s="163" t="s">
        <v>459</v>
      </c>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row>
    <row r="61" spans="1:151" s="42" customFormat="1" ht="31" hidden="1" customHeight="1" x14ac:dyDescent="0.35">
      <c r="A61" s="159">
        <v>25</v>
      </c>
      <c r="B61" s="160" t="s">
        <v>94</v>
      </c>
      <c r="C61" s="167" t="s">
        <v>166</v>
      </c>
      <c r="D61" s="168" t="s">
        <v>167</v>
      </c>
      <c r="E61" s="171"/>
      <c r="F61" s="171" t="s">
        <v>112</v>
      </c>
      <c r="G61" s="171" t="s">
        <v>93</v>
      </c>
      <c r="H61" s="172">
        <v>44025</v>
      </c>
      <c r="I61" s="173">
        <f>+IFERROR(VLOOKUP($C61,'[1]Tăng ca Hr'!$E:$DN,114,0),"")</f>
        <v>0</v>
      </c>
      <c r="J61" s="174">
        <f t="shared" si="0"/>
        <v>0</v>
      </c>
      <c r="K61" s="174" t="str">
        <f t="shared" si="1"/>
        <v/>
      </c>
      <c r="L61" s="175" t="str">
        <f t="shared" si="2"/>
        <v/>
      </c>
      <c r="M61" s="173">
        <f>VLOOKUP(C61,'[1]Tăng ca Hr'!$E:$DJ,110,0)</f>
        <v>0</v>
      </c>
      <c r="N61" s="174">
        <f t="shared" si="3"/>
        <v>0</v>
      </c>
      <c r="O61" s="174" t="str">
        <f t="shared" si="4"/>
        <v/>
      </c>
      <c r="P61" s="175" t="str">
        <f t="shared" si="5"/>
        <v/>
      </c>
      <c r="Q61" s="173">
        <f>+IFERROR(VLOOKUP($C61,[2]Detail!$B:$AR,43,0),"")</f>
        <v>300</v>
      </c>
      <c r="R61" s="161" t="str">
        <f t="shared" si="6"/>
        <v/>
      </c>
      <c r="S61" s="161" t="str">
        <f t="shared" si="10"/>
        <v/>
      </c>
      <c r="T61" s="162">
        <f t="shared" si="8"/>
        <v>300</v>
      </c>
      <c r="U61" s="163" t="str">
        <f>+IFERROR(VLOOKUP(C61,'[3]20.25'!B:D,3,0),"")</f>
        <v>Đổ</v>
      </c>
      <c r="V61" s="163" t="s">
        <v>433</v>
      </c>
      <c r="W61" s="163"/>
      <c r="X61" s="163" t="s">
        <v>460</v>
      </c>
      <c r="Y61" s="35"/>
      <c r="Z61" s="35"/>
      <c r="AA61" s="35"/>
      <c r="AB61" s="35"/>
      <c r="AC61" s="35"/>
      <c r="AD61" s="35"/>
      <c r="AE61" s="35"/>
      <c r="AF61" s="35"/>
      <c r="AG61" s="35"/>
      <c r="AH61" s="35"/>
    </row>
    <row r="62" spans="1:151" s="42" customFormat="1" ht="31" hidden="1" customHeight="1" x14ac:dyDescent="0.35">
      <c r="A62" s="159">
        <v>26</v>
      </c>
      <c r="B62" s="164" t="s">
        <v>109</v>
      </c>
      <c r="C62" s="167" t="s">
        <v>168</v>
      </c>
      <c r="D62" s="168" t="s">
        <v>169</v>
      </c>
      <c r="E62" s="171"/>
      <c r="F62" s="171" t="s">
        <v>112</v>
      </c>
      <c r="G62" s="171" t="s">
        <v>91</v>
      </c>
      <c r="H62" s="172">
        <v>44029</v>
      </c>
      <c r="I62" s="173">
        <f>+IFERROR(VLOOKUP($C62,'[1]Tăng ca Hr'!$E:$DN,114,0),"")</f>
        <v>0</v>
      </c>
      <c r="J62" s="174">
        <f t="shared" si="0"/>
        <v>0</v>
      </c>
      <c r="K62" s="174" t="str">
        <f t="shared" si="1"/>
        <v/>
      </c>
      <c r="L62" s="175" t="str">
        <f t="shared" si="2"/>
        <v/>
      </c>
      <c r="M62" s="173">
        <f>VLOOKUP(C62,'[1]Tăng ca Hr'!$E:$DJ,110,0)</f>
        <v>0</v>
      </c>
      <c r="N62" s="174">
        <f t="shared" si="3"/>
        <v>0</v>
      </c>
      <c r="O62" s="174" t="str">
        <f t="shared" si="4"/>
        <v/>
      </c>
      <c r="P62" s="175" t="str">
        <f t="shared" si="5"/>
        <v/>
      </c>
      <c r="Q62" s="173">
        <f>+IFERROR(VLOOKUP($C62,[2]Detail!$B:$AR,43,0),"")</f>
        <v>319</v>
      </c>
      <c r="R62" s="161" t="str">
        <f t="shared" si="6"/>
        <v/>
      </c>
      <c r="S62" s="161" t="str">
        <f t="shared" si="10"/>
        <v/>
      </c>
      <c r="T62" s="162">
        <f t="shared" si="8"/>
        <v>319</v>
      </c>
      <c r="U62" s="163" t="str">
        <f>+IFERROR(VLOOKUP(C62,'[3]20.25'!B:D,3,0),"")</f>
        <v>Sang</v>
      </c>
      <c r="V62" s="163"/>
      <c r="W62" s="163">
        <f>T62-V62</f>
        <v>319</v>
      </c>
      <c r="X62" s="163" t="s">
        <v>459</v>
      </c>
      <c r="Y62" s="35"/>
      <c r="Z62" s="35"/>
      <c r="AA62" s="35"/>
      <c r="AB62" s="35"/>
      <c r="AC62" s="35"/>
      <c r="AD62" s="35"/>
      <c r="AE62" s="35"/>
      <c r="AF62" s="35"/>
      <c r="AG62" s="35"/>
      <c r="AH62" s="35"/>
    </row>
    <row r="63" spans="1:151" s="42" customFormat="1" ht="31" hidden="1" customHeight="1" x14ac:dyDescent="0.35">
      <c r="A63" s="159">
        <v>27</v>
      </c>
      <c r="B63" s="160" t="s">
        <v>94</v>
      </c>
      <c r="C63" s="167" t="s">
        <v>172</v>
      </c>
      <c r="D63" s="168" t="s">
        <v>173</v>
      </c>
      <c r="E63" s="171"/>
      <c r="F63" s="171" t="s">
        <v>112</v>
      </c>
      <c r="G63" s="171" t="s">
        <v>99</v>
      </c>
      <c r="H63" s="172">
        <v>44025</v>
      </c>
      <c r="I63" s="173">
        <f>+IFERROR(VLOOKUP($C63,'[1]Tăng ca Hr'!$E:$DN,114,0),"")</f>
        <v>0</v>
      </c>
      <c r="J63" s="174">
        <f t="shared" si="0"/>
        <v>0</v>
      </c>
      <c r="K63" s="174" t="str">
        <f t="shared" si="1"/>
        <v/>
      </c>
      <c r="L63" s="175" t="str">
        <f t="shared" si="2"/>
        <v/>
      </c>
      <c r="M63" s="173">
        <f>VLOOKUP(C63,'[1]Tăng ca Hr'!$E:$DJ,110,0)</f>
        <v>0</v>
      </c>
      <c r="N63" s="174">
        <f t="shared" si="3"/>
        <v>0</v>
      </c>
      <c r="O63" s="174" t="str">
        <f t="shared" si="4"/>
        <v/>
      </c>
      <c r="P63" s="175" t="str">
        <f t="shared" si="5"/>
        <v/>
      </c>
      <c r="Q63" s="173">
        <f>+IFERROR(VLOOKUP($C63,[2]Detail!$B:$AR,43,0),"")</f>
        <v>299</v>
      </c>
      <c r="R63" s="161" t="str">
        <f t="shared" si="6"/>
        <v/>
      </c>
      <c r="S63" s="161">
        <f t="shared" si="10"/>
        <v>299</v>
      </c>
      <c r="T63" s="162" t="str">
        <f t="shared" si="8"/>
        <v/>
      </c>
      <c r="U63" s="163" t="str">
        <f>+IFERROR(VLOOKUP(C63,'[3]20.25'!B:D,3,0),"")</f>
        <v>Đổ</v>
      </c>
      <c r="V63" s="163" t="s">
        <v>433</v>
      </c>
      <c r="W63" s="163"/>
      <c r="X63" s="163" t="s">
        <v>460</v>
      </c>
      <c r="Y63" s="35"/>
      <c r="Z63" s="35"/>
      <c r="AA63" s="35"/>
      <c r="AB63" s="35"/>
      <c r="AC63" s="35"/>
      <c r="AD63" s="35"/>
      <c r="AE63" s="35"/>
      <c r="AF63" s="35"/>
      <c r="AG63" s="35"/>
      <c r="AH63" s="35"/>
    </row>
    <row r="64" spans="1:151" s="42" customFormat="1" ht="31" hidden="1" customHeight="1" x14ac:dyDescent="0.35">
      <c r="A64" s="159">
        <v>28</v>
      </c>
      <c r="B64" s="160" t="s">
        <v>109</v>
      </c>
      <c r="C64" s="178" t="s">
        <v>179</v>
      </c>
      <c r="D64" s="179" t="s">
        <v>180</v>
      </c>
      <c r="E64" s="171"/>
      <c r="F64" s="171" t="s">
        <v>112</v>
      </c>
      <c r="G64" s="171" t="s">
        <v>99</v>
      </c>
      <c r="H64" s="172">
        <v>44634</v>
      </c>
      <c r="I64" s="173">
        <f>+IFERROR(VLOOKUP($C64,'[1]Tăng ca Hr'!$E:$DN,114,0),"")</f>
        <v>0</v>
      </c>
      <c r="J64" s="174">
        <f t="shared" si="0"/>
        <v>0</v>
      </c>
      <c r="K64" s="174" t="str">
        <f t="shared" si="1"/>
        <v/>
      </c>
      <c r="L64" s="175" t="str">
        <f t="shared" si="2"/>
        <v/>
      </c>
      <c r="M64" s="173">
        <f>VLOOKUP(C64,'[1]Tăng ca Hr'!$E:$DJ,110,0)</f>
        <v>0</v>
      </c>
      <c r="N64" s="174">
        <f t="shared" si="3"/>
        <v>0</v>
      </c>
      <c r="O64" s="174" t="str">
        <f t="shared" si="4"/>
        <v/>
      </c>
      <c r="P64" s="175" t="str">
        <f t="shared" si="5"/>
        <v/>
      </c>
      <c r="Q64" s="173">
        <f>+IFERROR(VLOOKUP($C64,[2]Detail!$B:$AR,43,0),"")</f>
        <v>307</v>
      </c>
      <c r="R64" s="161" t="str">
        <f t="shared" si="6"/>
        <v/>
      </c>
      <c r="S64" s="161" t="str">
        <f t="shared" si="10"/>
        <v/>
      </c>
      <c r="T64" s="162">
        <f t="shared" si="8"/>
        <v>307</v>
      </c>
      <c r="U64" s="163" t="str">
        <f>+IFERROR(VLOOKUP(C64,'[3]20.25'!B:D,3,0),"")</f>
        <v>Đổ</v>
      </c>
      <c r="V64" s="163" t="s">
        <v>433</v>
      </c>
      <c r="W64" s="163"/>
      <c r="X64" s="163" t="s">
        <v>458</v>
      </c>
      <c r="Y64" s="35"/>
      <c r="Z64" s="35"/>
      <c r="AA64" s="35"/>
      <c r="AB64" s="35"/>
      <c r="AC64" s="35"/>
      <c r="AD64" s="35"/>
      <c r="AE64" s="35"/>
      <c r="AF64" s="35"/>
      <c r="AG64" s="35"/>
      <c r="AH64" s="35"/>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row>
    <row r="65" spans="1:151" s="42" customFormat="1" ht="31" hidden="1" customHeight="1" x14ac:dyDescent="0.35">
      <c r="A65" s="159">
        <v>29</v>
      </c>
      <c r="B65" s="160" t="s">
        <v>94</v>
      </c>
      <c r="C65" s="167" t="s">
        <v>181</v>
      </c>
      <c r="D65" s="168" t="s">
        <v>182</v>
      </c>
      <c r="E65" s="171"/>
      <c r="F65" s="171" t="s">
        <v>112</v>
      </c>
      <c r="G65" s="171" t="s">
        <v>99</v>
      </c>
      <c r="H65" s="172">
        <v>43875</v>
      </c>
      <c r="I65" s="173">
        <f>+IFERROR(VLOOKUP($C65,'[1]Tăng ca Hr'!$E:$DN,114,0),"")</f>
        <v>0</v>
      </c>
      <c r="J65" s="174">
        <f t="shared" ref="J65:J95" si="11">IF(I65&lt;=8,I65,"")</f>
        <v>0</v>
      </c>
      <c r="K65" s="174" t="str">
        <f t="shared" ref="K65:K95" si="12">IF(AND(I65&gt;8,I65&lt;12),I65,"")</f>
        <v/>
      </c>
      <c r="L65" s="175" t="str">
        <f t="shared" ref="L65:L95" si="13">IF(I65&gt;=12,I65,"")</f>
        <v/>
      </c>
      <c r="M65" s="173">
        <f>VLOOKUP(C65,'[1]Tăng ca Hr'!$E:$DJ,110,0)</f>
        <v>0</v>
      </c>
      <c r="N65" s="174">
        <f t="shared" ref="N65:N95" si="14">IF(M65&lt;=28,M65,"")</f>
        <v>0</v>
      </c>
      <c r="O65" s="174" t="str">
        <f t="shared" ref="O65:O95" si="15">IF(AND(M65&gt;28,M65&lt;36),M65,"")</f>
        <v/>
      </c>
      <c r="P65" s="175" t="str">
        <f t="shared" ref="P65:P95" si="16">IF(M65&gt;=36,M65,"")</f>
        <v/>
      </c>
      <c r="Q65" s="173">
        <f>+IFERROR(VLOOKUP($C65,[2]Detail!$B:$AR,43,0),"")</f>
        <v>315.5</v>
      </c>
      <c r="R65" s="161" t="str">
        <f t="shared" ref="R65:R95" si="17">IF(Q65&lt;=250,Q65,"")</f>
        <v/>
      </c>
      <c r="S65" s="161" t="str">
        <f t="shared" si="10"/>
        <v/>
      </c>
      <c r="T65" s="162">
        <f t="shared" ref="T65:T95" si="18">IF(Q65&gt;=300,Q65,"")</f>
        <v>315.5</v>
      </c>
      <c r="U65" s="163" t="str">
        <f>+IFERROR(VLOOKUP(C65,'[3]20.25'!B:D,3,0),"")</f>
        <v>Đổ</v>
      </c>
      <c r="V65" s="163" t="s">
        <v>433</v>
      </c>
      <c r="W65" s="163"/>
      <c r="X65" s="163" t="s">
        <v>459</v>
      </c>
      <c r="Y65" s="35"/>
      <c r="Z65" s="35"/>
      <c r="AA65" s="35"/>
      <c r="AB65" s="35"/>
      <c r="AC65" s="35"/>
      <c r="AD65" s="35"/>
      <c r="AE65" s="35"/>
      <c r="AF65" s="35"/>
      <c r="AG65" s="35"/>
      <c r="AH65" s="35"/>
    </row>
    <row r="66" spans="1:151" s="42" customFormat="1" ht="31" hidden="1" customHeight="1" x14ac:dyDescent="0.45">
      <c r="A66" s="159">
        <v>30</v>
      </c>
      <c r="B66" s="160" t="s">
        <v>109</v>
      </c>
      <c r="C66" s="167" t="s">
        <v>294</v>
      </c>
      <c r="D66" s="168" t="s">
        <v>295</v>
      </c>
      <c r="E66" s="168"/>
      <c r="F66" s="171" t="s">
        <v>112</v>
      </c>
      <c r="G66" s="171" t="s">
        <v>93</v>
      </c>
      <c r="H66" s="172">
        <v>45372</v>
      </c>
      <c r="I66" s="173">
        <f>+IFERROR(VLOOKUP($C66,'[1]Tăng ca Hr'!$E:$DN,114,0),"")</f>
        <v>0</v>
      </c>
      <c r="J66" s="174">
        <f t="shared" si="11"/>
        <v>0</v>
      </c>
      <c r="K66" s="174" t="str">
        <f t="shared" si="12"/>
        <v/>
      </c>
      <c r="L66" s="175" t="str">
        <f t="shared" si="13"/>
        <v/>
      </c>
      <c r="M66" s="173">
        <f>VLOOKUP(C66,'[1]Tăng ca Hr'!$E:$DJ,110,0)</f>
        <v>0</v>
      </c>
      <c r="N66" s="174">
        <f t="shared" si="14"/>
        <v>0</v>
      </c>
      <c r="O66" s="174" t="str">
        <f t="shared" si="15"/>
        <v/>
      </c>
      <c r="P66" s="175" t="str">
        <f t="shared" si="16"/>
        <v/>
      </c>
      <c r="Q66" s="173">
        <f>+IFERROR(VLOOKUP($C66,[2]Detail!$B:$AR,43,0),"")</f>
        <v>272</v>
      </c>
      <c r="R66" s="161" t="str">
        <f t="shared" si="17"/>
        <v/>
      </c>
      <c r="S66" s="161">
        <f t="shared" si="10"/>
        <v>272</v>
      </c>
      <c r="T66" s="162" t="str">
        <f t="shared" si="18"/>
        <v/>
      </c>
      <c r="U66" s="163" t="str">
        <f>+IFERROR(VLOOKUP(C66,'[3]20.25'!B:D,3,0),"")</f>
        <v>Đổ</v>
      </c>
      <c r="V66" s="163" t="s">
        <v>433</v>
      </c>
      <c r="W66" s="165"/>
      <c r="X66" s="163" t="s">
        <v>458</v>
      </c>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row>
    <row r="67" spans="1:151" s="42" customFormat="1" ht="31" hidden="1" customHeight="1" x14ac:dyDescent="0.45">
      <c r="A67" s="159">
        <v>31</v>
      </c>
      <c r="B67" s="160" t="s">
        <v>109</v>
      </c>
      <c r="C67" s="167" t="s">
        <v>187</v>
      </c>
      <c r="D67" s="168" t="s">
        <v>188</v>
      </c>
      <c r="E67" s="168"/>
      <c r="F67" s="171" t="s">
        <v>112</v>
      </c>
      <c r="G67" s="171" t="s">
        <v>93</v>
      </c>
      <c r="H67" s="172" t="s">
        <v>359</v>
      </c>
      <c r="I67" s="173">
        <f>+IFERROR(VLOOKUP($C67,'[1]Tăng ca Hr'!$E:$DN,114,0),"")</f>
        <v>0</v>
      </c>
      <c r="J67" s="174">
        <f t="shared" si="11"/>
        <v>0</v>
      </c>
      <c r="K67" s="174" t="str">
        <f t="shared" si="12"/>
        <v/>
      </c>
      <c r="L67" s="175" t="str">
        <f t="shared" si="13"/>
        <v/>
      </c>
      <c r="M67" s="173">
        <f>VLOOKUP(C67,'[1]Tăng ca Hr'!$E:$DJ,110,0)</f>
        <v>0</v>
      </c>
      <c r="N67" s="174">
        <f t="shared" si="14"/>
        <v>0</v>
      </c>
      <c r="O67" s="174" t="str">
        <f t="shared" si="15"/>
        <v/>
      </c>
      <c r="P67" s="175" t="str">
        <f t="shared" si="16"/>
        <v/>
      </c>
      <c r="Q67" s="173">
        <f>+IFERROR(VLOOKUP($C67,[2]Detail!$B:$AR,43,0),"")</f>
        <v>298</v>
      </c>
      <c r="R67" s="161" t="str">
        <f t="shared" si="17"/>
        <v/>
      </c>
      <c r="S67" s="161">
        <f t="shared" si="10"/>
        <v>298</v>
      </c>
      <c r="T67" s="162" t="str">
        <f t="shared" si="18"/>
        <v/>
      </c>
      <c r="U67" s="163" t="str">
        <f>+IFERROR(VLOOKUP(C67,'[3]20.25'!B:D,3,0),"")</f>
        <v>Đổ</v>
      </c>
      <c r="V67" s="163" t="s">
        <v>433</v>
      </c>
      <c r="W67" s="165"/>
      <c r="X67" s="163" t="s">
        <v>456</v>
      </c>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row>
    <row r="68" spans="1:151" s="42" customFormat="1" ht="30" hidden="1" customHeight="1" x14ac:dyDescent="0.45">
      <c r="A68" s="159">
        <v>32</v>
      </c>
      <c r="B68" s="160" t="s">
        <v>109</v>
      </c>
      <c r="C68" s="167" t="s">
        <v>193</v>
      </c>
      <c r="D68" s="168" t="s">
        <v>194</v>
      </c>
      <c r="E68" s="168"/>
      <c r="F68" s="171" t="s">
        <v>112</v>
      </c>
      <c r="G68" s="171" t="s">
        <v>93</v>
      </c>
      <c r="H68" s="172" t="s">
        <v>359</v>
      </c>
      <c r="I68" s="173">
        <f>+IFERROR(VLOOKUP($C68,'[1]Tăng ca Hr'!$E:$DN,114,0),"")</f>
        <v>0</v>
      </c>
      <c r="J68" s="174">
        <f t="shared" si="11"/>
        <v>0</v>
      </c>
      <c r="K68" s="174" t="str">
        <f t="shared" si="12"/>
        <v/>
      </c>
      <c r="L68" s="175" t="str">
        <f t="shared" si="13"/>
        <v/>
      </c>
      <c r="M68" s="173">
        <f>VLOOKUP(C68,'[1]Tăng ca Hr'!$E:$DJ,110,0)</f>
        <v>0</v>
      </c>
      <c r="N68" s="174">
        <f t="shared" si="14"/>
        <v>0</v>
      </c>
      <c r="O68" s="174" t="str">
        <f t="shared" si="15"/>
        <v/>
      </c>
      <c r="P68" s="175" t="str">
        <f t="shared" si="16"/>
        <v/>
      </c>
      <c r="Q68" s="173">
        <f>+IFERROR(VLOOKUP($C68,[2]Detail!$B:$AR,43,0),"")</f>
        <v>316</v>
      </c>
      <c r="R68" s="161" t="str">
        <f t="shared" si="17"/>
        <v/>
      </c>
      <c r="S68" s="161" t="str">
        <f t="shared" si="10"/>
        <v/>
      </c>
      <c r="T68" s="162">
        <f t="shared" si="18"/>
        <v>316</v>
      </c>
      <c r="U68" s="163" t="str">
        <f>+IFERROR(VLOOKUP(C68,'[3]20.25'!B:D,3,0),"")</f>
        <v>Đổ</v>
      </c>
      <c r="V68" s="163" t="s">
        <v>433</v>
      </c>
      <c r="W68" s="165"/>
      <c r="X68" s="163" t="s">
        <v>461</v>
      </c>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row>
    <row r="69" spans="1:151" s="42" customFormat="1" ht="31" hidden="1" customHeight="1" x14ac:dyDescent="0.35">
      <c r="A69" s="159">
        <v>33</v>
      </c>
      <c r="B69" s="164" t="s">
        <v>94</v>
      </c>
      <c r="C69" s="167" t="s">
        <v>195</v>
      </c>
      <c r="D69" s="168" t="s">
        <v>196</v>
      </c>
      <c r="E69" s="171"/>
      <c r="F69" s="171" t="s">
        <v>112</v>
      </c>
      <c r="G69" s="171" t="s">
        <v>91</v>
      </c>
      <c r="H69" s="172">
        <v>44249</v>
      </c>
      <c r="I69" s="173">
        <f>+IFERROR(VLOOKUP($C69,'[1]Tăng ca Hr'!$E:$DN,114,0),"")</f>
        <v>0</v>
      </c>
      <c r="J69" s="174">
        <f t="shared" si="11"/>
        <v>0</v>
      </c>
      <c r="K69" s="174" t="str">
        <f t="shared" si="12"/>
        <v/>
      </c>
      <c r="L69" s="175" t="str">
        <f t="shared" si="13"/>
        <v/>
      </c>
      <c r="M69" s="173">
        <f>VLOOKUP(C69,'[1]Tăng ca Hr'!$E:$DJ,110,0)</f>
        <v>0</v>
      </c>
      <c r="N69" s="174">
        <f t="shared" si="14"/>
        <v>0</v>
      </c>
      <c r="O69" s="174" t="str">
        <f t="shared" si="15"/>
        <v/>
      </c>
      <c r="P69" s="175" t="str">
        <f t="shared" si="16"/>
        <v/>
      </c>
      <c r="Q69" s="173">
        <f>+IFERROR(VLOOKUP($C69,[2]Detail!$B:$AR,43,0),"")</f>
        <v>330.5</v>
      </c>
      <c r="R69" s="161" t="str">
        <f t="shared" si="17"/>
        <v/>
      </c>
      <c r="S69" s="161" t="str">
        <f t="shared" si="10"/>
        <v/>
      </c>
      <c r="T69" s="162">
        <f t="shared" si="18"/>
        <v>330.5</v>
      </c>
      <c r="U69" s="163" t="str">
        <f>+IFERROR(VLOOKUP(C69,'[3]20.25'!B:D,3,0),"")</f>
        <v>Sang</v>
      </c>
      <c r="V69" s="163">
        <v>306</v>
      </c>
      <c r="W69" s="163">
        <f>T69-V69</f>
        <v>24.5</v>
      </c>
      <c r="X69" s="163" t="s">
        <v>457</v>
      </c>
      <c r="Y69" s="35"/>
      <c r="Z69" s="35"/>
      <c r="AA69" s="35"/>
      <c r="AB69" s="35"/>
      <c r="AC69" s="35"/>
      <c r="AD69" s="35"/>
      <c r="AE69" s="35"/>
      <c r="AF69" s="35"/>
      <c r="AG69" s="35"/>
      <c r="AH69" s="35"/>
    </row>
    <row r="70" spans="1:151" s="42" customFormat="1" ht="31" hidden="1" customHeight="1" x14ac:dyDescent="0.35">
      <c r="A70" s="159">
        <v>34</v>
      </c>
      <c r="B70" s="160" t="s">
        <v>94</v>
      </c>
      <c r="C70" s="167" t="s">
        <v>197</v>
      </c>
      <c r="D70" s="168" t="s">
        <v>198</v>
      </c>
      <c r="E70" s="171"/>
      <c r="F70" s="171" t="s">
        <v>112</v>
      </c>
      <c r="G70" s="171" t="s">
        <v>92</v>
      </c>
      <c r="H70" s="172">
        <v>44256</v>
      </c>
      <c r="I70" s="173">
        <f>+IFERROR(VLOOKUP($C70,'[1]Tăng ca Hr'!$E:$DN,114,0),"")</f>
        <v>8</v>
      </c>
      <c r="J70" s="174">
        <f t="shared" si="11"/>
        <v>8</v>
      </c>
      <c r="K70" s="174" t="str">
        <f t="shared" si="12"/>
        <v/>
      </c>
      <c r="L70" s="175" t="str">
        <f t="shared" si="13"/>
        <v/>
      </c>
      <c r="M70" s="173">
        <f>VLOOKUP(C70,'[1]Tăng ca Hr'!$E:$DJ,110,0)</f>
        <v>8</v>
      </c>
      <c r="N70" s="174">
        <f t="shared" si="14"/>
        <v>8</v>
      </c>
      <c r="O70" s="174" t="str">
        <f t="shared" si="15"/>
        <v/>
      </c>
      <c r="P70" s="175" t="str">
        <f t="shared" si="16"/>
        <v/>
      </c>
      <c r="Q70" s="173">
        <f>+IFERROR(VLOOKUP($C70,[2]Detail!$B:$AR,43,0),"")</f>
        <v>243.5</v>
      </c>
      <c r="R70" s="161">
        <f t="shared" si="17"/>
        <v>243.5</v>
      </c>
      <c r="S70" s="161" t="str">
        <f t="shared" si="10"/>
        <v/>
      </c>
      <c r="T70" s="162" t="str">
        <f t="shared" si="18"/>
        <v/>
      </c>
      <c r="U70" s="163" t="str">
        <f>+IFERROR(VLOOKUP(C70,'[3]20.25'!B:D,3,0),"")</f>
        <v>Đổ</v>
      </c>
      <c r="V70" s="163" t="s">
        <v>433</v>
      </c>
      <c r="W70" s="163"/>
      <c r="X70" s="163" t="s">
        <v>460</v>
      </c>
      <c r="Y70" s="35"/>
      <c r="Z70" s="35"/>
      <c r="AA70" s="35"/>
      <c r="AB70" s="35"/>
      <c r="AC70" s="35"/>
      <c r="AD70" s="35"/>
      <c r="AE70" s="35"/>
      <c r="AF70" s="35"/>
      <c r="AG70" s="35"/>
      <c r="AH70" s="35"/>
    </row>
    <row r="71" spans="1:151" s="42" customFormat="1" ht="31" hidden="1" customHeight="1" x14ac:dyDescent="0.45">
      <c r="A71" s="159">
        <v>35</v>
      </c>
      <c r="B71" s="160" t="s">
        <v>109</v>
      </c>
      <c r="C71" s="167" t="s">
        <v>200</v>
      </c>
      <c r="D71" s="168" t="s">
        <v>201</v>
      </c>
      <c r="E71" s="168"/>
      <c r="F71" s="171" t="s">
        <v>112</v>
      </c>
      <c r="G71" s="171" t="s">
        <v>91</v>
      </c>
      <c r="H71" s="172" t="s">
        <v>352</v>
      </c>
      <c r="I71" s="173">
        <f>+IFERROR(VLOOKUP($C71,'[1]Tăng ca Hr'!$E:$DN,114,0),"")</f>
        <v>0</v>
      </c>
      <c r="J71" s="174">
        <f t="shared" si="11"/>
        <v>0</v>
      </c>
      <c r="K71" s="174" t="str">
        <f t="shared" si="12"/>
        <v/>
      </c>
      <c r="L71" s="175" t="str">
        <f t="shared" si="13"/>
        <v/>
      </c>
      <c r="M71" s="173">
        <f>VLOOKUP(C71,'[1]Tăng ca Hr'!$E:$DJ,110,0)</f>
        <v>0</v>
      </c>
      <c r="N71" s="174">
        <f t="shared" si="14"/>
        <v>0</v>
      </c>
      <c r="O71" s="174" t="str">
        <f t="shared" si="15"/>
        <v/>
      </c>
      <c r="P71" s="175" t="str">
        <f t="shared" si="16"/>
        <v/>
      </c>
      <c r="Q71" s="173">
        <f>+IFERROR(VLOOKUP($C71,[2]Detail!$B:$AR,43,0),"")</f>
        <v>294</v>
      </c>
      <c r="R71" s="161" t="str">
        <f t="shared" si="17"/>
        <v/>
      </c>
      <c r="S71" s="161">
        <f t="shared" si="10"/>
        <v>294</v>
      </c>
      <c r="T71" s="162" t="str">
        <f t="shared" si="18"/>
        <v/>
      </c>
      <c r="U71" s="163" t="str">
        <f>+IFERROR(VLOOKUP(C71,'[3]20.25'!B:D,3,0),"")</f>
        <v>Linh</v>
      </c>
      <c r="V71" s="163" t="s">
        <v>433</v>
      </c>
      <c r="W71" s="165"/>
      <c r="X71" s="163" t="s">
        <v>458</v>
      </c>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row>
    <row r="72" spans="1:151" s="42" customFormat="1" ht="31" hidden="1" customHeight="1" x14ac:dyDescent="0.35">
      <c r="A72" s="159">
        <v>36</v>
      </c>
      <c r="B72" s="160" t="s">
        <v>94</v>
      </c>
      <c r="C72" s="167" t="s">
        <v>208</v>
      </c>
      <c r="D72" s="168" t="s">
        <v>209</v>
      </c>
      <c r="E72" s="171"/>
      <c r="F72" s="171" t="s">
        <v>112</v>
      </c>
      <c r="G72" s="171" t="s">
        <v>99</v>
      </c>
      <c r="H72" s="172">
        <v>43846</v>
      </c>
      <c r="I72" s="173">
        <f>+IFERROR(VLOOKUP($C72,'[1]Tăng ca Hr'!$E:$DN,114,0),"")</f>
        <v>0</v>
      </c>
      <c r="J72" s="174">
        <f t="shared" si="11"/>
        <v>0</v>
      </c>
      <c r="K72" s="174" t="str">
        <f t="shared" si="12"/>
        <v/>
      </c>
      <c r="L72" s="175" t="str">
        <f t="shared" si="13"/>
        <v/>
      </c>
      <c r="M72" s="173">
        <f>VLOOKUP(C72,'[1]Tăng ca Hr'!$E:$DJ,110,0)</f>
        <v>0</v>
      </c>
      <c r="N72" s="174">
        <f t="shared" si="14"/>
        <v>0</v>
      </c>
      <c r="O72" s="174" t="str">
        <f t="shared" si="15"/>
        <v/>
      </c>
      <c r="P72" s="175" t="str">
        <f t="shared" si="16"/>
        <v/>
      </c>
      <c r="Q72" s="173">
        <f>+IFERROR(VLOOKUP($C72,[2]Detail!$B:$AR,43,0),"")</f>
        <v>299.5</v>
      </c>
      <c r="R72" s="161" t="str">
        <f t="shared" si="17"/>
        <v/>
      </c>
      <c r="S72" s="161">
        <f t="shared" si="10"/>
        <v>299.5</v>
      </c>
      <c r="T72" s="162" t="str">
        <f t="shared" si="18"/>
        <v/>
      </c>
      <c r="U72" s="163" t="str">
        <f>+IFERROR(VLOOKUP(C72,'[3]20.25'!B:D,3,0),"")</f>
        <v>Đổ</v>
      </c>
      <c r="V72" s="163" t="s">
        <v>433</v>
      </c>
      <c r="W72" s="163"/>
      <c r="X72" s="163" t="s">
        <v>459</v>
      </c>
      <c r="Y72" s="35"/>
      <c r="Z72" s="35"/>
      <c r="AA72" s="35"/>
      <c r="AB72" s="35"/>
      <c r="AC72" s="35"/>
      <c r="AD72" s="35"/>
      <c r="AE72" s="35"/>
      <c r="AF72" s="35"/>
      <c r="AG72" s="35"/>
      <c r="AH72" s="35"/>
    </row>
    <row r="73" spans="1:151" s="42" customFormat="1" ht="31" hidden="1" customHeight="1" x14ac:dyDescent="0.35">
      <c r="A73" s="159">
        <v>37</v>
      </c>
      <c r="B73" s="160" t="s">
        <v>366</v>
      </c>
      <c r="C73" s="167" t="s">
        <v>304</v>
      </c>
      <c r="D73" s="168" t="s">
        <v>305</v>
      </c>
      <c r="E73" s="171"/>
      <c r="F73" s="171" t="s">
        <v>112</v>
      </c>
      <c r="G73" s="171" t="s">
        <v>91</v>
      </c>
      <c r="H73" s="172">
        <v>41246</v>
      </c>
      <c r="I73" s="173">
        <f>+IFERROR(VLOOKUP($C73,'[1]Tăng ca Hr'!$E:$DN,114,0),"")</f>
        <v>0</v>
      </c>
      <c r="J73" s="174">
        <f t="shared" si="11"/>
        <v>0</v>
      </c>
      <c r="K73" s="174" t="str">
        <f t="shared" si="12"/>
        <v/>
      </c>
      <c r="L73" s="175" t="str">
        <f t="shared" si="13"/>
        <v/>
      </c>
      <c r="M73" s="173">
        <f>VLOOKUP(C73,'[1]Tăng ca Hr'!$E:$DJ,110,0)</f>
        <v>0</v>
      </c>
      <c r="N73" s="174">
        <f t="shared" si="14"/>
        <v>0</v>
      </c>
      <c r="O73" s="174" t="str">
        <f t="shared" si="15"/>
        <v/>
      </c>
      <c r="P73" s="175" t="str">
        <f t="shared" si="16"/>
        <v/>
      </c>
      <c r="Q73" s="173">
        <f>+IFERROR(VLOOKUP($C73,[2]Detail!$B:$AR,43,0),"")</f>
        <v>279</v>
      </c>
      <c r="R73" s="161" t="str">
        <f t="shared" si="17"/>
        <v/>
      </c>
      <c r="S73" s="161">
        <f t="shared" si="10"/>
        <v>279</v>
      </c>
      <c r="T73" s="162" t="str">
        <f t="shared" si="18"/>
        <v/>
      </c>
      <c r="U73" s="163" t="str">
        <f>+IFERROR(VLOOKUP(C73,'[3]20.25'!B:D,3,0),"")</f>
        <v>Đổ</v>
      </c>
      <c r="V73" s="163" t="s">
        <v>433</v>
      </c>
      <c r="W73" s="163"/>
      <c r="X73" s="163">
        <v>0</v>
      </c>
      <c r="Y73" s="35"/>
      <c r="Z73" s="35"/>
      <c r="AA73" s="35"/>
      <c r="AB73" s="35"/>
      <c r="AC73" s="35"/>
      <c r="AD73" s="35"/>
      <c r="AE73" s="35"/>
      <c r="AF73" s="35"/>
      <c r="AG73" s="35"/>
      <c r="AH73" s="35"/>
    </row>
    <row r="74" spans="1:151" s="42" customFormat="1" ht="31" hidden="1" customHeight="1" x14ac:dyDescent="0.35">
      <c r="A74" s="159">
        <v>38</v>
      </c>
      <c r="B74" s="164" t="s">
        <v>109</v>
      </c>
      <c r="C74" s="167" t="s">
        <v>210</v>
      </c>
      <c r="D74" s="168" t="s">
        <v>211</v>
      </c>
      <c r="E74" s="171"/>
      <c r="F74" s="171" t="s">
        <v>112</v>
      </c>
      <c r="G74" s="171" t="s">
        <v>91</v>
      </c>
      <c r="H74" s="172">
        <v>44504</v>
      </c>
      <c r="I74" s="173">
        <f>+IFERROR(VLOOKUP($C74,'[1]Tăng ca Hr'!$E:$DN,114,0),"")</f>
        <v>0</v>
      </c>
      <c r="J74" s="174">
        <f t="shared" si="11"/>
        <v>0</v>
      </c>
      <c r="K74" s="174" t="str">
        <f t="shared" si="12"/>
        <v/>
      </c>
      <c r="L74" s="175" t="str">
        <f t="shared" si="13"/>
        <v/>
      </c>
      <c r="M74" s="173">
        <f>VLOOKUP(C74,'[1]Tăng ca Hr'!$E:$DJ,110,0)</f>
        <v>0</v>
      </c>
      <c r="N74" s="174">
        <f t="shared" si="14"/>
        <v>0</v>
      </c>
      <c r="O74" s="174" t="str">
        <f t="shared" si="15"/>
        <v/>
      </c>
      <c r="P74" s="175" t="str">
        <f t="shared" si="16"/>
        <v/>
      </c>
      <c r="Q74" s="173">
        <f>+IFERROR(VLOOKUP($C74,[2]Detail!$B:$AR,43,0),"")</f>
        <v>312</v>
      </c>
      <c r="R74" s="161" t="str">
        <f t="shared" si="17"/>
        <v/>
      </c>
      <c r="S74" s="161" t="str">
        <f t="shared" si="10"/>
        <v/>
      </c>
      <c r="T74" s="162">
        <f t="shared" si="18"/>
        <v>312</v>
      </c>
      <c r="U74" s="163" t="str">
        <f>+IFERROR(VLOOKUP(C74,'[3]20.25'!B:D,3,0),"")</f>
        <v>Đổ</v>
      </c>
      <c r="V74" s="163">
        <v>311</v>
      </c>
      <c r="W74" s="163">
        <f>T74-V74</f>
        <v>1</v>
      </c>
      <c r="X74" s="163" t="s">
        <v>462</v>
      </c>
      <c r="Y74" s="35"/>
      <c r="Z74" s="35"/>
      <c r="AA74" s="35"/>
      <c r="AB74" s="35"/>
      <c r="AC74" s="35"/>
      <c r="AD74" s="35" t="s">
        <v>464</v>
      </c>
      <c r="AE74" s="35"/>
      <c r="AF74" s="35"/>
      <c r="AG74" s="35"/>
      <c r="AH74" s="35"/>
    </row>
    <row r="75" spans="1:151" s="42" customFormat="1" ht="31" hidden="1" customHeight="1" x14ac:dyDescent="0.35">
      <c r="A75" s="159">
        <v>39</v>
      </c>
      <c r="B75" s="160" t="s">
        <v>94</v>
      </c>
      <c r="C75" s="176" t="s">
        <v>309</v>
      </c>
      <c r="D75" s="177" t="s">
        <v>310</v>
      </c>
      <c r="E75" s="171"/>
      <c r="F75" s="180" t="s">
        <v>112</v>
      </c>
      <c r="G75" s="180" t="s">
        <v>91</v>
      </c>
      <c r="H75" s="172">
        <v>43875</v>
      </c>
      <c r="I75" s="173">
        <f>+IFERROR(VLOOKUP($C75,'[1]Tăng ca Hr'!$E:$DN,114,0),"")</f>
        <v>0</v>
      </c>
      <c r="J75" s="181">
        <f t="shared" si="11"/>
        <v>0</v>
      </c>
      <c r="K75" s="181" t="str">
        <f t="shared" si="12"/>
        <v/>
      </c>
      <c r="L75" s="182" t="str">
        <f t="shared" si="13"/>
        <v/>
      </c>
      <c r="M75" s="173">
        <f>VLOOKUP(C75,'[1]Tăng ca Hr'!$E:$DJ,110,0)</f>
        <v>0</v>
      </c>
      <c r="N75" s="181">
        <f t="shared" si="14"/>
        <v>0</v>
      </c>
      <c r="O75" s="181" t="str">
        <f t="shared" si="15"/>
        <v/>
      </c>
      <c r="P75" s="182" t="str">
        <f t="shared" si="16"/>
        <v/>
      </c>
      <c r="Q75" s="173">
        <f>+IFERROR(VLOOKUP($C75,[2]Detail!$B:$AR,43,0),"")</f>
        <v>290</v>
      </c>
      <c r="R75" s="161" t="str">
        <f t="shared" si="17"/>
        <v/>
      </c>
      <c r="S75" s="161">
        <f t="shared" si="10"/>
        <v>290</v>
      </c>
      <c r="T75" s="162" t="str">
        <f t="shared" si="18"/>
        <v/>
      </c>
      <c r="U75" s="163" t="str">
        <f>+IFERROR(VLOOKUP(C75,'[3]20.25'!B:D,3,0),"")</f>
        <v>Đổ</v>
      </c>
      <c r="V75" s="163" t="s">
        <v>433</v>
      </c>
      <c r="W75" s="163"/>
      <c r="X75" s="163" t="s">
        <v>459</v>
      </c>
      <c r="Y75" s="35"/>
      <c r="Z75" s="35"/>
      <c r="AA75" s="35"/>
      <c r="AB75" s="35"/>
      <c r="AC75" s="35"/>
      <c r="AD75" s="35"/>
      <c r="AE75" s="35"/>
      <c r="AF75" s="35"/>
      <c r="AG75" s="35"/>
      <c r="AH75" s="35"/>
    </row>
    <row r="76" spans="1:151" s="42" customFormat="1" ht="31" hidden="1" customHeight="1" x14ac:dyDescent="0.35">
      <c r="A76" s="159">
        <v>40</v>
      </c>
      <c r="B76" s="160" t="s">
        <v>109</v>
      </c>
      <c r="C76" s="167" t="s">
        <v>316</v>
      </c>
      <c r="D76" s="168" t="s">
        <v>317</v>
      </c>
      <c r="E76" s="171"/>
      <c r="F76" s="171" t="s">
        <v>112</v>
      </c>
      <c r="G76" s="171" t="s">
        <v>91</v>
      </c>
      <c r="H76" s="172">
        <v>44516</v>
      </c>
      <c r="I76" s="173">
        <f>+IFERROR(VLOOKUP($C76,'[1]Tăng ca Hr'!$E:$DN,114,0),"")</f>
        <v>0</v>
      </c>
      <c r="J76" s="174">
        <f t="shared" si="11"/>
        <v>0</v>
      </c>
      <c r="K76" s="174" t="str">
        <f t="shared" si="12"/>
        <v/>
      </c>
      <c r="L76" s="175" t="str">
        <f t="shared" si="13"/>
        <v/>
      </c>
      <c r="M76" s="173">
        <f>VLOOKUP(C76,'[1]Tăng ca Hr'!$E:$DJ,110,0)</f>
        <v>0</v>
      </c>
      <c r="N76" s="174">
        <f t="shared" si="14"/>
        <v>0</v>
      </c>
      <c r="O76" s="174" t="str">
        <f t="shared" si="15"/>
        <v/>
      </c>
      <c r="P76" s="175" t="str">
        <f t="shared" si="16"/>
        <v/>
      </c>
      <c r="Q76" s="173">
        <f>+IFERROR(VLOOKUP($C76,[2]Detail!$B:$AR,43,0),"")</f>
        <v>292</v>
      </c>
      <c r="R76" s="161" t="str">
        <f t="shared" si="17"/>
        <v/>
      </c>
      <c r="S76" s="161">
        <f t="shared" si="10"/>
        <v>292</v>
      </c>
      <c r="T76" s="162" t="str">
        <f t="shared" si="18"/>
        <v/>
      </c>
      <c r="U76" s="163" t="str">
        <f>+IFERROR(VLOOKUP(C76,'[3]20.25'!B:D,3,0),"")</f>
        <v>Đổ</v>
      </c>
      <c r="V76" s="163" t="s">
        <v>433</v>
      </c>
      <c r="W76" s="163"/>
      <c r="X76" s="163" t="s">
        <v>456</v>
      </c>
      <c r="Y76" s="35"/>
      <c r="Z76" s="35"/>
      <c r="AA76" s="35"/>
      <c r="AB76" s="35"/>
      <c r="AC76" s="35"/>
      <c r="AD76" s="35"/>
      <c r="AE76" s="35"/>
      <c r="AF76" s="35"/>
      <c r="AG76" s="35"/>
      <c r="AH76" s="35"/>
    </row>
    <row r="77" spans="1:151" s="42" customFormat="1" ht="31" hidden="1" customHeight="1" x14ac:dyDescent="0.35">
      <c r="A77" s="159">
        <v>41</v>
      </c>
      <c r="B77" s="160" t="s">
        <v>94</v>
      </c>
      <c r="C77" s="167" t="s">
        <v>231</v>
      </c>
      <c r="D77" s="168" t="s">
        <v>232</v>
      </c>
      <c r="E77" s="171"/>
      <c r="F77" s="171" t="s">
        <v>112</v>
      </c>
      <c r="G77" s="171" t="s">
        <v>91</v>
      </c>
      <c r="H77" s="172">
        <v>44516</v>
      </c>
      <c r="I77" s="173">
        <f>+IFERROR(VLOOKUP($C77,'[1]Tăng ca Hr'!$E:$DN,114,0),"")</f>
        <v>0</v>
      </c>
      <c r="J77" s="174">
        <f t="shared" si="11"/>
        <v>0</v>
      </c>
      <c r="K77" s="174" t="str">
        <f t="shared" si="12"/>
        <v/>
      </c>
      <c r="L77" s="175" t="str">
        <f t="shared" si="13"/>
        <v/>
      </c>
      <c r="M77" s="173">
        <f>VLOOKUP(C77,'[1]Tăng ca Hr'!$E:$DJ,110,0)</f>
        <v>0</v>
      </c>
      <c r="N77" s="174">
        <f t="shared" si="14"/>
        <v>0</v>
      </c>
      <c r="O77" s="174" t="str">
        <f t="shared" si="15"/>
        <v/>
      </c>
      <c r="P77" s="175" t="str">
        <f t="shared" si="16"/>
        <v/>
      </c>
      <c r="Q77" s="173">
        <f>+IFERROR(VLOOKUP($C77,[2]Detail!$B:$AR,43,0),"")</f>
        <v>327</v>
      </c>
      <c r="R77" s="161" t="str">
        <f t="shared" si="17"/>
        <v/>
      </c>
      <c r="S77" s="161" t="str">
        <f t="shared" si="10"/>
        <v/>
      </c>
      <c r="T77" s="162">
        <f t="shared" si="18"/>
        <v>327</v>
      </c>
      <c r="U77" s="163" t="str">
        <f>+IFERROR(VLOOKUP(C77,'[3]20.25'!B:D,3,0),"")</f>
        <v>Đổ</v>
      </c>
      <c r="V77" s="163" t="s">
        <v>433</v>
      </c>
      <c r="W77" s="163"/>
      <c r="X77" s="163" t="s">
        <v>457</v>
      </c>
      <c r="Y77" s="35"/>
      <c r="Z77" s="35"/>
      <c r="AA77" s="35"/>
      <c r="AB77" s="35"/>
      <c r="AC77" s="35"/>
      <c r="AD77" s="35"/>
      <c r="AE77" s="35"/>
      <c r="AF77" s="35"/>
      <c r="AG77" s="35"/>
      <c r="AH77" s="35"/>
    </row>
    <row r="78" spans="1:151" s="42" customFormat="1" ht="33" hidden="1" customHeight="1" x14ac:dyDescent="0.45">
      <c r="A78" s="159">
        <v>42</v>
      </c>
      <c r="B78" s="160" t="s">
        <v>109</v>
      </c>
      <c r="C78" s="167" t="s">
        <v>318</v>
      </c>
      <c r="D78" s="168" t="s">
        <v>319</v>
      </c>
      <c r="E78" s="168"/>
      <c r="F78" s="171" t="s">
        <v>112</v>
      </c>
      <c r="G78" s="171" t="s">
        <v>91</v>
      </c>
      <c r="H78" s="172">
        <v>46150</v>
      </c>
      <c r="I78" s="173">
        <f>+IFERROR(VLOOKUP($C78,'[1]Tăng ca Hr'!$E:$DN,114,0),"")</f>
        <v>2</v>
      </c>
      <c r="J78" s="174">
        <f t="shared" si="11"/>
        <v>2</v>
      </c>
      <c r="K78" s="174" t="str">
        <f t="shared" si="12"/>
        <v/>
      </c>
      <c r="L78" s="175" t="str">
        <f t="shared" si="13"/>
        <v/>
      </c>
      <c r="M78" s="173">
        <f>VLOOKUP(C78,'[1]Tăng ca Hr'!$E:$DJ,110,0)</f>
        <v>2</v>
      </c>
      <c r="N78" s="174">
        <f t="shared" si="14"/>
        <v>2</v>
      </c>
      <c r="O78" s="174" t="str">
        <f t="shared" si="15"/>
        <v/>
      </c>
      <c r="P78" s="175" t="str">
        <f t="shared" si="16"/>
        <v/>
      </c>
      <c r="Q78" s="173">
        <f>+IFERROR(VLOOKUP($C78,[2]Detail!$B:$AR,43,0),"")</f>
        <v>283</v>
      </c>
      <c r="R78" s="161" t="str">
        <f t="shared" si="17"/>
        <v/>
      </c>
      <c r="S78" s="161">
        <f t="shared" si="10"/>
        <v>283</v>
      </c>
      <c r="T78" s="162" t="str">
        <f t="shared" si="18"/>
        <v/>
      </c>
      <c r="U78" s="163"/>
      <c r="V78" s="163"/>
      <c r="W78" s="165"/>
      <c r="X78" s="163" t="s">
        <v>458</v>
      </c>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row>
    <row r="79" spans="1:151" s="42" customFormat="1" ht="33" hidden="1" customHeight="1" x14ac:dyDescent="0.35">
      <c r="A79" s="159">
        <v>43</v>
      </c>
      <c r="B79" s="160" t="s">
        <v>94</v>
      </c>
      <c r="C79" s="167" t="s">
        <v>237</v>
      </c>
      <c r="D79" s="168" t="s">
        <v>238</v>
      </c>
      <c r="E79" s="171"/>
      <c r="F79" s="171" t="s">
        <v>112</v>
      </c>
      <c r="G79" s="171" t="s">
        <v>91</v>
      </c>
      <c r="H79" s="172">
        <v>44529</v>
      </c>
      <c r="I79" s="173">
        <f>+IFERROR(VLOOKUP($C79,'[1]Tăng ca Hr'!$E:$DN,114,0),"")</f>
        <v>0</v>
      </c>
      <c r="J79" s="174">
        <f t="shared" si="11"/>
        <v>0</v>
      </c>
      <c r="K79" s="174" t="str">
        <f t="shared" si="12"/>
        <v/>
      </c>
      <c r="L79" s="175" t="str">
        <f t="shared" si="13"/>
        <v/>
      </c>
      <c r="M79" s="173">
        <f>VLOOKUP(C79,'[1]Tăng ca Hr'!$E:$DJ,110,0)</f>
        <v>4</v>
      </c>
      <c r="N79" s="174">
        <f t="shared" si="14"/>
        <v>4</v>
      </c>
      <c r="O79" s="174" t="str">
        <f t="shared" si="15"/>
        <v/>
      </c>
      <c r="P79" s="175" t="str">
        <f t="shared" si="16"/>
        <v/>
      </c>
      <c r="Q79" s="173">
        <f>+IFERROR(VLOOKUP($C79,[2]Detail!$B:$AR,43,0),"")</f>
        <v>300</v>
      </c>
      <c r="R79" s="161" t="str">
        <f t="shared" si="17"/>
        <v/>
      </c>
      <c r="S79" s="161" t="str">
        <f t="shared" si="10"/>
        <v/>
      </c>
      <c r="T79" s="162">
        <f t="shared" si="18"/>
        <v>300</v>
      </c>
      <c r="U79" s="163" t="str">
        <f>+IFERROR(VLOOKUP(C79,'[3]20.25'!B:D,3,0),"")</f>
        <v>Đổ</v>
      </c>
      <c r="V79" s="163" t="s">
        <v>433</v>
      </c>
      <c r="W79" s="163"/>
      <c r="X79" s="163" t="s">
        <v>457</v>
      </c>
      <c r="Y79" s="35"/>
      <c r="Z79" s="35"/>
      <c r="AA79" s="35"/>
      <c r="AB79" s="35"/>
      <c r="AC79" s="35"/>
      <c r="AD79" s="35"/>
      <c r="AE79" s="35"/>
      <c r="AF79" s="35"/>
      <c r="AG79" s="35"/>
      <c r="AH79" s="35"/>
    </row>
    <row r="80" spans="1:151" s="42" customFormat="1" ht="33" hidden="1" customHeight="1" x14ac:dyDescent="0.35">
      <c r="A80" s="159">
        <v>44</v>
      </c>
      <c r="B80" s="160" t="s">
        <v>94</v>
      </c>
      <c r="C80" s="167" t="s">
        <v>239</v>
      </c>
      <c r="D80" s="168" t="s">
        <v>240</v>
      </c>
      <c r="E80" s="171"/>
      <c r="F80" s="171" t="s">
        <v>112</v>
      </c>
      <c r="G80" s="171" t="s">
        <v>91</v>
      </c>
      <c r="H80" s="172">
        <v>43808</v>
      </c>
      <c r="I80" s="173">
        <f>+IFERROR(VLOOKUP($C80,'[1]Tăng ca Hr'!$E:$DN,114,0),"")</f>
        <v>0</v>
      </c>
      <c r="J80" s="174">
        <f t="shared" si="11"/>
        <v>0</v>
      </c>
      <c r="K80" s="174" t="str">
        <f t="shared" si="12"/>
        <v/>
      </c>
      <c r="L80" s="175" t="str">
        <f t="shared" si="13"/>
        <v/>
      </c>
      <c r="M80" s="173">
        <f>VLOOKUP(C80,'[1]Tăng ca Hr'!$E:$DJ,110,0)</f>
        <v>0</v>
      </c>
      <c r="N80" s="174">
        <f t="shared" si="14"/>
        <v>0</v>
      </c>
      <c r="O80" s="174" t="str">
        <f t="shared" si="15"/>
        <v/>
      </c>
      <c r="P80" s="175" t="str">
        <f t="shared" si="16"/>
        <v/>
      </c>
      <c r="Q80" s="173">
        <f>+IFERROR(VLOOKUP($C80,[2]Detail!$B:$AR,43,0),"")</f>
        <v>299</v>
      </c>
      <c r="R80" s="161" t="str">
        <f t="shared" si="17"/>
        <v/>
      </c>
      <c r="S80" s="161">
        <f t="shared" si="10"/>
        <v>299</v>
      </c>
      <c r="T80" s="162" t="str">
        <f t="shared" si="18"/>
        <v/>
      </c>
      <c r="U80" s="163" t="str">
        <f>+IFERROR(VLOOKUP(C80,'[3]20.25'!B:D,3,0),"")</f>
        <v>Đổ</v>
      </c>
      <c r="V80" s="163" t="s">
        <v>433</v>
      </c>
      <c r="W80" s="163"/>
      <c r="X80" s="163" t="s">
        <v>458</v>
      </c>
      <c r="Y80" s="35"/>
      <c r="Z80" s="35"/>
      <c r="AA80" s="35"/>
      <c r="AB80" s="35"/>
      <c r="AC80" s="35"/>
      <c r="AD80" s="35"/>
      <c r="AE80" s="35"/>
      <c r="AF80" s="35"/>
      <c r="AG80" s="35"/>
      <c r="AH80" s="35"/>
    </row>
    <row r="81" spans="1:151" s="42" customFormat="1" ht="33" hidden="1" customHeight="1" x14ac:dyDescent="0.35">
      <c r="A81" s="159">
        <v>45</v>
      </c>
      <c r="B81" s="164" t="s">
        <v>109</v>
      </c>
      <c r="C81" s="167" t="s">
        <v>241</v>
      </c>
      <c r="D81" s="168" t="s">
        <v>242</v>
      </c>
      <c r="E81" s="171"/>
      <c r="F81" s="171" t="s">
        <v>112</v>
      </c>
      <c r="G81" s="171" t="s">
        <v>91</v>
      </c>
      <c r="H81" s="172">
        <v>44610</v>
      </c>
      <c r="I81" s="173">
        <f>+IFERROR(VLOOKUP($C81,'[1]Tăng ca Hr'!$E:$DN,114,0),"")</f>
        <v>0</v>
      </c>
      <c r="J81" s="174">
        <f t="shared" si="11"/>
        <v>0</v>
      </c>
      <c r="K81" s="174" t="str">
        <f t="shared" si="12"/>
        <v/>
      </c>
      <c r="L81" s="175" t="str">
        <f t="shared" si="13"/>
        <v/>
      </c>
      <c r="M81" s="173">
        <f>VLOOKUP(C81,'[1]Tăng ca Hr'!$E:$DJ,110,0)</f>
        <v>0</v>
      </c>
      <c r="N81" s="174">
        <f t="shared" si="14"/>
        <v>0</v>
      </c>
      <c r="O81" s="174" t="str">
        <f t="shared" si="15"/>
        <v/>
      </c>
      <c r="P81" s="175" t="str">
        <f t="shared" si="16"/>
        <v/>
      </c>
      <c r="Q81" s="173">
        <f>+IFERROR(VLOOKUP($C81,[2]Detail!$B:$AR,43,0),"")</f>
        <v>316</v>
      </c>
      <c r="R81" s="161" t="str">
        <f t="shared" si="17"/>
        <v/>
      </c>
      <c r="S81" s="161" t="str">
        <f t="shared" si="10"/>
        <v/>
      </c>
      <c r="T81" s="162">
        <f t="shared" si="18"/>
        <v>316</v>
      </c>
      <c r="U81" s="163" t="str">
        <f>+IFERROR(VLOOKUP(C81,'[3]20.25'!B:D,3,0),"")</f>
        <v>Đổ</v>
      </c>
      <c r="V81" s="163">
        <v>309</v>
      </c>
      <c r="W81" s="163">
        <f>T81-V81</f>
        <v>7</v>
      </c>
      <c r="X81" s="163" t="s">
        <v>459</v>
      </c>
      <c r="Y81" s="35"/>
      <c r="Z81" s="35"/>
      <c r="AA81" s="35"/>
      <c r="AB81" s="35"/>
      <c r="AC81" s="35"/>
      <c r="AD81" s="35"/>
      <c r="AE81" s="35"/>
      <c r="AF81" s="35"/>
      <c r="AG81" s="35"/>
      <c r="AH81" s="35"/>
    </row>
    <row r="82" spans="1:151" s="42" customFormat="1" ht="33" hidden="1" customHeight="1" x14ac:dyDescent="0.45">
      <c r="A82" s="159">
        <v>46</v>
      </c>
      <c r="B82" s="160" t="s">
        <v>109</v>
      </c>
      <c r="C82" s="167" t="s">
        <v>243</v>
      </c>
      <c r="D82" s="168" t="s">
        <v>244</v>
      </c>
      <c r="E82" s="168"/>
      <c r="F82" s="171" t="s">
        <v>112</v>
      </c>
      <c r="G82" s="171" t="s">
        <v>91</v>
      </c>
      <c r="H82" s="172" t="s">
        <v>361</v>
      </c>
      <c r="I82" s="173">
        <f>+IFERROR(VLOOKUP($C82,'[1]Tăng ca Hr'!$E:$DN,114,0),"")</f>
        <v>0</v>
      </c>
      <c r="J82" s="174">
        <f t="shared" si="11"/>
        <v>0</v>
      </c>
      <c r="K82" s="174" t="str">
        <f t="shared" si="12"/>
        <v/>
      </c>
      <c r="L82" s="175" t="str">
        <f t="shared" si="13"/>
        <v/>
      </c>
      <c r="M82" s="173">
        <f>VLOOKUP(C82,'[1]Tăng ca Hr'!$E:$DJ,110,0)</f>
        <v>0</v>
      </c>
      <c r="N82" s="174">
        <f t="shared" si="14"/>
        <v>0</v>
      </c>
      <c r="O82" s="174" t="str">
        <f t="shared" si="15"/>
        <v/>
      </c>
      <c r="P82" s="175" t="str">
        <f t="shared" si="16"/>
        <v/>
      </c>
      <c r="Q82" s="173">
        <f>+IFERROR(VLOOKUP($C82,[2]Detail!$B:$AR,43,0),"")</f>
        <v>340</v>
      </c>
      <c r="R82" s="161" t="str">
        <f t="shared" si="17"/>
        <v/>
      </c>
      <c r="S82" s="161" t="str">
        <f t="shared" si="10"/>
        <v/>
      </c>
      <c r="T82" s="162">
        <f t="shared" si="18"/>
        <v>340</v>
      </c>
      <c r="U82" s="163" t="str">
        <f>+IFERROR(VLOOKUP(C82,'[3]20.25'!B:D,3,0),"")</f>
        <v>Sang</v>
      </c>
      <c r="V82" s="163" t="s">
        <v>433</v>
      </c>
      <c r="W82" s="165"/>
      <c r="X82" s="163" t="s">
        <v>455</v>
      </c>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row>
    <row r="83" spans="1:151" ht="33" hidden="1" customHeight="1" x14ac:dyDescent="0.35">
      <c r="A83" s="159">
        <v>47</v>
      </c>
      <c r="B83" s="160" t="s">
        <v>94</v>
      </c>
      <c r="C83" s="167" t="s">
        <v>253</v>
      </c>
      <c r="D83" s="168" t="s">
        <v>254</v>
      </c>
      <c r="E83" s="171"/>
      <c r="F83" s="171" t="s">
        <v>112</v>
      </c>
      <c r="G83" s="171" t="s">
        <v>91</v>
      </c>
      <c r="H83" s="172">
        <v>43881</v>
      </c>
      <c r="I83" s="173">
        <f>+IFERROR(VLOOKUP($C83,'[1]Tăng ca Hr'!$E:$DN,114,0),"")</f>
        <v>8</v>
      </c>
      <c r="J83" s="174">
        <f t="shared" si="11"/>
        <v>8</v>
      </c>
      <c r="K83" s="174" t="str">
        <f t="shared" si="12"/>
        <v/>
      </c>
      <c r="L83" s="175" t="str">
        <f t="shared" si="13"/>
        <v/>
      </c>
      <c r="M83" s="173">
        <f>VLOOKUP(C83,'[1]Tăng ca Hr'!$E:$DJ,110,0)</f>
        <v>8</v>
      </c>
      <c r="N83" s="174">
        <f t="shared" si="14"/>
        <v>8</v>
      </c>
      <c r="O83" s="174" t="str">
        <f t="shared" si="15"/>
        <v/>
      </c>
      <c r="P83" s="175" t="str">
        <f t="shared" si="16"/>
        <v/>
      </c>
      <c r="Q83" s="173">
        <f>+IFERROR(VLOOKUP($C83,[2]Detail!$B:$AR,43,0),"")</f>
        <v>193.5</v>
      </c>
      <c r="R83" s="161">
        <f t="shared" si="17"/>
        <v>193.5</v>
      </c>
      <c r="S83" s="161" t="str">
        <f t="shared" si="10"/>
        <v/>
      </c>
      <c r="T83" s="162" t="str">
        <f t="shared" si="18"/>
        <v/>
      </c>
      <c r="U83" s="163" t="str">
        <f>+IFERROR(VLOOKUP(C83,'[3]20.25'!B:D,3,0),"")</f>
        <v>Đổ</v>
      </c>
      <c r="V83" s="163" t="s">
        <v>433</v>
      </c>
      <c r="W83" s="163"/>
      <c r="X83" s="163" t="s">
        <v>459</v>
      </c>
      <c r="Y83" s="35"/>
      <c r="Z83" s="35"/>
      <c r="AA83" s="35"/>
      <c r="AB83" s="35"/>
      <c r="AC83" s="35"/>
      <c r="AD83" s="35"/>
      <c r="AE83" s="35"/>
      <c r="AF83" s="35"/>
      <c r="AG83" s="35"/>
      <c r="AH83" s="35"/>
      <c r="AI83" s="42"/>
      <c r="AJ83" s="42"/>
      <c r="AK83" s="42"/>
      <c r="AL83" s="42"/>
      <c r="AM83" s="42"/>
      <c r="AN83" s="42"/>
      <c r="AO83" s="42"/>
      <c r="AP83" s="42"/>
      <c r="AQ83" s="42"/>
      <c r="AR83" s="42"/>
      <c r="AS83" s="42"/>
      <c r="AT83" s="42"/>
      <c r="AU83" s="42"/>
      <c r="AV83" s="42"/>
      <c r="AW83" s="42"/>
      <c r="AX83" s="42"/>
      <c r="AY83" s="42"/>
      <c r="AZ83" s="42"/>
      <c r="BA83" s="42"/>
      <c r="BB83" s="42"/>
      <c r="BC83" s="42"/>
      <c r="BD83" s="42"/>
      <c r="BE83" s="42"/>
      <c r="BF83" s="42"/>
      <c r="BG83" s="42"/>
      <c r="BH83" s="42"/>
      <c r="BI83" s="42"/>
      <c r="BJ83" s="42"/>
      <c r="BK83" s="42"/>
      <c r="BL83" s="42"/>
      <c r="BM83" s="42"/>
      <c r="BN83" s="42"/>
      <c r="BO83" s="42"/>
      <c r="BP83" s="42"/>
      <c r="BQ83" s="42"/>
      <c r="BR83" s="42"/>
      <c r="BS83" s="42"/>
      <c r="BT83" s="42"/>
      <c r="BU83" s="42"/>
      <c r="BV83" s="42"/>
      <c r="BW83" s="42"/>
      <c r="BX83" s="42"/>
      <c r="BY83" s="42"/>
      <c r="BZ83" s="42"/>
      <c r="CA83" s="42"/>
      <c r="CB83" s="42"/>
      <c r="CC83" s="42"/>
      <c r="CD83" s="42"/>
      <c r="CE83" s="42"/>
      <c r="CF83" s="42"/>
      <c r="CG83" s="42"/>
      <c r="CH83" s="42"/>
      <c r="CI83" s="42"/>
      <c r="CJ83" s="42"/>
      <c r="CK83" s="42"/>
      <c r="CL83" s="42"/>
      <c r="CM83" s="42"/>
      <c r="CN83" s="42"/>
      <c r="CO83" s="42"/>
      <c r="CP83" s="42"/>
      <c r="CQ83" s="42"/>
      <c r="CR83" s="42"/>
      <c r="CS83" s="42"/>
      <c r="CT83" s="42"/>
      <c r="CU83" s="42"/>
      <c r="CV83" s="42"/>
      <c r="CW83" s="42"/>
      <c r="CX83" s="42"/>
      <c r="CY83" s="42"/>
      <c r="CZ83" s="42"/>
      <c r="DA83" s="42"/>
      <c r="DB83" s="42"/>
      <c r="DC83" s="42"/>
      <c r="DD83" s="42"/>
      <c r="DE83" s="42"/>
      <c r="DF83" s="42"/>
      <c r="DG83" s="42"/>
      <c r="DH83" s="42"/>
      <c r="DI83" s="42"/>
      <c r="DJ83" s="42"/>
      <c r="DK83" s="42"/>
      <c r="DL83" s="42"/>
      <c r="DM83" s="42"/>
      <c r="DN83" s="42"/>
      <c r="DO83" s="42"/>
      <c r="DP83" s="42"/>
      <c r="DQ83" s="42"/>
      <c r="DR83" s="42"/>
      <c r="DS83" s="42"/>
      <c r="DT83" s="42"/>
      <c r="DU83" s="42"/>
      <c r="DV83" s="42"/>
      <c r="DW83" s="42"/>
      <c r="DX83" s="42"/>
      <c r="DY83" s="42"/>
      <c r="DZ83" s="42"/>
      <c r="EA83" s="42"/>
      <c r="EB83" s="42"/>
      <c r="EC83" s="42"/>
      <c r="ED83" s="42"/>
      <c r="EE83" s="42"/>
      <c r="EF83" s="42"/>
      <c r="EG83" s="42"/>
      <c r="EH83" s="42"/>
      <c r="EI83" s="42"/>
      <c r="EJ83" s="42"/>
      <c r="EK83" s="42"/>
      <c r="EL83" s="42"/>
      <c r="EM83" s="42"/>
      <c r="EN83" s="42"/>
      <c r="EO83" s="42"/>
      <c r="EP83" s="42"/>
      <c r="EQ83" s="42"/>
      <c r="ER83" s="42"/>
      <c r="ES83" s="42"/>
      <c r="ET83" s="42"/>
      <c r="EU83" s="42"/>
    </row>
    <row r="84" spans="1:151" ht="33" hidden="1" customHeight="1" x14ac:dyDescent="0.35">
      <c r="A84" s="159">
        <v>48</v>
      </c>
      <c r="B84" s="160" t="s">
        <v>94</v>
      </c>
      <c r="C84" s="178" t="s">
        <v>255</v>
      </c>
      <c r="D84" s="179" t="s">
        <v>256</v>
      </c>
      <c r="E84" s="171"/>
      <c r="F84" s="171" t="s">
        <v>112</v>
      </c>
      <c r="G84" s="171" t="s">
        <v>91</v>
      </c>
      <c r="H84" s="172">
        <v>44634</v>
      </c>
      <c r="I84" s="173">
        <f>+IFERROR(VLOOKUP($C84,'[1]Tăng ca Hr'!$E:$DN,114,0),"")</f>
        <v>4</v>
      </c>
      <c r="J84" s="174">
        <f t="shared" si="11"/>
        <v>4</v>
      </c>
      <c r="K84" s="174" t="str">
        <f t="shared" si="12"/>
        <v/>
      </c>
      <c r="L84" s="175" t="str">
        <f t="shared" si="13"/>
        <v/>
      </c>
      <c r="M84" s="173">
        <f>VLOOKUP(C84,'[1]Tăng ca Hr'!$E:$DJ,110,0)</f>
        <v>4</v>
      </c>
      <c r="N84" s="174">
        <f t="shared" si="14"/>
        <v>4</v>
      </c>
      <c r="O84" s="174" t="str">
        <f t="shared" si="15"/>
        <v/>
      </c>
      <c r="P84" s="175" t="str">
        <f t="shared" si="16"/>
        <v/>
      </c>
      <c r="Q84" s="173">
        <f>+IFERROR(VLOOKUP($C84,[2]Detail!$B:$AR,43,0),"")</f>
        <v>170</v>
      </c>
      <c r="R84" s="161">
        <f t="shared" si="17"/>
        <v>170</v>
      </c>
      <c r="S84" s="161" t="str">
        <f t="shared" si="10"/>
        <v/>
      </c>
      <c r="T84" s="162" t="str">
        <f t="shared" si="18"/>
        <v/>
      </c>
      <c r="U84" s="163" t="str">
        <f>+IFERROR(VLOOKUP(C84,'[3]20.25'!B:D,3,0),"")</f>
        <v>Đổ</v>
      </c>
      <c r="V84" s="163" t="s">
        <v>433</v>
      </c>
      <c r="W84" s="163"/>
      <c r="X84" s="163" t="s">
        <v>456</v>
      </c>
      <c r="Y84" s="35"/>
      <c r="Z84" s="35"/>
      <c r="AA84" s="35"/>
      <c r="AB84" s="35"/>
      <c r="AC84" s="35"/>
      <c r="AD84" s="35"/>
      <c r="AE84" s="35"/>
      <c r="AF84" s="35"/>
      <c r="AG84" s="35"/>
      <c r="AH84" s="35"/>
    </row>
    <row r="85" spans="1:151" ht="33" hidden="1" customHeight="1" x14ac:dyDescent="0.35">
      <c r="A85" s="159">
        <v>49</v>
      </c>
      <c r="B85" s="160" t="s">
        <v>94</v>
      </c>
      <c r="C85" s="167" t="s">
        <v>260</v>
      </c>
      <c r="D85" s="168" t="s">
        <v>261</v>
      </c>
      <c r="E85" s="171"/>
      <c r="F85" s="171" t="s">
        <v>112</v>
      </c>
      <c r="G85" s="171" t="s">
        <v>91</v>
      </c>
      <c r="H85" s="172">
        <v>43803</v>
      </c>
      <c r="I85" s="173">
        <f>+IFERROR(VLOOKUP($C85,'[1]Tăng ca Hr'!$E:$DN,114,0),"")</f>
        <v>4</v>
      </c>
      <c r="J85" s="174">
        <f t="shared" si="11"/>
        <v>4</v>
      </c>
      <c r="K85" s="174" t="str">
        <f t="shared" si="12"/>
        <v/>
      </c>
      <c r="L85" s="175" t="str">
        <f t="shared" si="13"/>
        <v/>
      </c>
      <c r="M85" s="173">
        <f>VLOOKUP(C85,'[1]Tăng ca Hr'!$E:$DJ,110,0)</f>
        <v>4</v>
      </c>
      <c r="N85" s="174">
        <f t="shared" si="14"/>
        <v>4</v>
      </c>
      <c r="O85" s="174" t="str">
        <f t="shared" si="15"/>
        <v/>
      </c>
      <c r="P85" s="175" t="str">
        <f t="shared" si="16"/>
        <v/>
      </c>
      <c r="Q85" s="173">
        <f>+IFERROR(VLOOKUP($C85,[2]Detail!$B:$AR,43,0),"")</f>
        <v>193.5</v>
      </c>
      <c r="R85" s="161">
        <f t="shared" si="17"/>
        <v>193.5</v>
      </c>
      <c r="S85" s="161" t="str">
        <f t="shared" si="10"/>
        <v/>
      </c>
      <c r="T85" s="162" t="str">
        <f t="shared" si="18"/>
        <v/>
      </c>
      <c r="U85" s="163" t="str">
        <f>+IFERROR(VLOOKUP(C85,'[3]20.25'!B:D,3,0),"")</f>
        <v>Đổ</v>
      </c>
      <c r="V85" s="163" t="s">
        <v>433</v>
      </c>
      <c r="W85" s="163"/>
      <c r="X85" s="163" t="s">
        <v>458</v>
      </c>
      <c r="Y85" s="35"/>
      <c r="Z85" s="35"/>
      <c r="AA85" s="35"/>
      <c r="AB85" s="35"/>
      <c r="AC85" s="35"/>
      <c r="AD85" s="35"/>
      <c r="AE85" s="35"/>
      <c r="AF85" s="35"/>
      <c r="AG85" s="35"/>
      <c r="AH85" s="35"/>
      <c r="AI85" s="42"/>
      <c r="AJ85" s="42"/>
      <c r="AK85" s="42"/>
      <c r="AL85" s="42"/>
      <c r="AM85" s="42"/>
      <c r="AN85" s="42"/>
      <c r="AO85" s="42"/>
      <c r="AP85" s="42"/>
      <c r="AQ85" s="42"/>
      <c r="AR85" s="42"/>
      <c r="AS85" s="42"/>
      <c r="AT85" s="42"/>
      <c r="AU85" s="42"/>
      <c r="AV85" s="42"/>
      <c r="AW85" s="42"/>
      <c r="AX85" s="42"/>
      <c r="AY85" s="42"/>
      <c r="AZ85" s="42"/>
      <c r="BA85" s="42"/>
      <c r="BB85" s="42"/>
      <c r="BC85" s="42"/>
      <c r="BD85" s="42"/>
      <c r="BE85" s="42"/>
      <c r="BF85" s="42"/>
      <c r="BG85" s="42"/>
      <c r="BH85" s="42"/>
      <c r="BI85" s="42"/>
      <c r="BJ85" s="42"/>
      <c r="BK85" s="42"/>
      <c r="BL85" s="42"/>
      <c r="BM85" s="42"/>
      <c r="BN85" s="42"/>
      <c r="BO85" s="42"/>
      <c r="BP85" s="42"/>
      <c r="BQ85" s="42"/>
      <c r="BR85" s="42"/>
      <c r="BS85" s="42"/>
      <c r="BT85" s="42"/>
      <c r="BU85" s="42"/>
      <c r="BV85" s="42"/>
      <c r="BW85" s="42"/>
      <c r="BX85" s="42"/>
      <c r="BY85" s="42"/>
      <c r="BZ85" s="42"/>
      <c r="CA85" s="42"/>
      <c r="CB85" s="42"/>
      <c r="CC85" s="42"/>
      <c r="CD85" s="42"/>
      <c r="CE85" s="42"/>
      <c r="CF85" s="42"/>
      <c r="CG85" s="42"/>
      <c r="CH85" s="42"/>
      <c r="CI85" s="42"/>
      <c r="CJ85" s="42"/>
      <c r="CK85" s="42"/>
      <c r="CL85" s="42"/>
      <c r="CM85" s="42"/>
      <c r="CN85" s="42"/>
      <c r="CO85" s="42"/>
      <c r="CP85" s="42"/>
      <c r="CQ85" s="42"/>
      <c r="CR85" s="42"/>
      <c r="CS85" s="42"/>
      <c r="CT85" s="42"/>
      <c r="CU85" s="42"/>
      <c r="CV85" s="42"/>
      <c r="CW85" s="42"/>
      <c r="CX85" s="42"/>
      <c r="CY85" s="42"/>
      <c r="CZ85" s="42"/>
      <c r="DA85" s="42"/>
      <c r="DB85" s="42"/>
      <c r="DC85" s="42"/>
      <c r="DD85" s="42"/>
      <c r="DE85" s="42"/>
      <c r="DF85" s="42"/>
      <c r="DG85" s="42"/>
      <c r="DH85" s="42"/>
      <c r="DI85" s="42"/>
      <c r="DJ85" s="42"/>
      <c r="DK85" s="42"/>
      <c r="DL85" s="42"/>
      <c r="DM85" s="42"/>
      <c r="DN85" s="42"/>
      <c r="DO85" s="42"/>
      <c r="DP85" s="42"/>
      <c r="DQ85" s="42"/>
      <c r="DR85" s="42"/>
      <c r="DS85" s="42"/>
      <c r="DT85" s="42"/>
      <c r="DU85" s="42"/>
      <c r="DV85" s="42"/>
      <c r="DW85" s="42"/>
      <c r="DX85" s="42"/>
      <c r="DY85" s="42"/>
      <c r="DZ85" s="42"/>
      <c r="EA85" s="42"/>
      <c r="EB85" s="42"/>
      <c r="EC85" s="42"/>
      <c r="ED85" s="42"/>
      <c r="EE85" s="42"/>
      <c r="EF85" s="42"/>
      <c r="EG85" s="42"/>
      <c r="EH85" s="42"/>
      <c r="EI85" s="42"/>
      <c r="EJ85" s="42"/>
      <c r="EK85" s="42"/>
      <c r="EL85" s="42"/>
      <c r="EM85" s="42"/>
      <c r="EN85" s="42"/>
      <c r="EO85" s="42"/>
      <c r="EP85" s="42"/>
      <c r="EQ85" s="42"/>
      <c r="ER85" s="42"/>
      <c r="ES85" s="42"/>
      <c r="ET85" s="42"/>
      <c r="EU85" s="42"/>
    </row>
    <row r="86" spans="1:151" ht="33" hidden="1" customHeight="1" x14ac:dyDescent="0.35">
      <c r="A86" s="159">
        <v>50</v>
      </c>
      <c r="B86" s="160" t="s">
        <v>94</v>
      </c>
      <c r="C86" s="178" t="s">
        <v>270</v>
      </c>
      <c r="D86" s="179" t="s">
        <v>271</v>
      </c>
      <c r="E86" s="171"/>
      <c r="F86" s="171" t="s">
        <v>112</v>
      </c>
      <c r="G86" s="171" t="s">
        <v>91</v>
      </c>
      <c r="H86" s="172">
        <v>44704</v>
      </c>
      <c r="I86" s="173">
        <f>+IFERROR(VLOOKUP($C86,'[1]Tăng ca Hr'!$E:$DN,114,0),"")</f>
        <v>0</v>
      </c>
      <c r="J86" s="174">
        <f t="shared" si="11"/>
        <v>0</v>
      </c>
      <c r="K86" s="174" t="str">
        <f t="shared" si="12"/>
        <v/>
      </c>
      <c r="L86" s="175" t="str">
        <f t="shared" si="13"/>
        <v/>
      </c>
      <c r="M86" s="173">
        <f>VLOOKUP(C86,'[1]Tăng ca Hr'!$E:$DJ,110,0)</f>
        <v>0</v>
      </c>
      <c r="N86" s="174">
        <f t="shared" si="14"/>
        <v>0</v>
      </c>
      <c r="O86" s="174" t="str">
        <f t="shared" si="15"/>
        <v/>
      </c>
      <c r="P86" s="175" t="str">
        <f t="shared" si="16"/>
        <v/>
      </c>
      <c r="Q86" s="173">
        <f>+IFERROR(VLOOKUP($C86,[2]Detail!$B:$AR,43,0),"")</f>
        <v>32</v>
      </c>
      <c r="R86" s="161">
        <f t="shared" si="17"/>
        <v>32</v>
      </c>
      <c r="S86" s="161" t="str">
        <f t="shared" si="10"/>
        <v/>
      </c>
      <c r="T86" s="162" t="str">
        <f t="shared" si="18"/>
        <v/>
      </c>
      <c r="U86" s="163" t="str">
        <f>+IFERROR(VLOOKUP(C86,'[3]20.25'!B:D,3,0),"")</f>
        <v>Đổ</v>
      </c>
      <c r="V86" s="163" t="s">
        <v>433</v>
      </c>
      <c r="W86" s="163"/>
      <c r="X86" s="163" t="s">
        <v>460</v>
      </c>
      <c r="Y86" s="35"/>
      <c r="Z86" s="35"/>
      <c r="AA86" s="35"/>
      <c r="AB86" s="35"/>
      <c r="AC86" s="35"/>
      <c r="AD86" s="35"/>
      <c r="AE86" s="35"/>
      <c r="AF86" s="35"/>
      <c r="AG86" s="35"/>
      <c r="AH86" s="35"/>
    </row>
    <row r="87" spans="1:151" ht="33" hidden="1" customHeight="1" x14ac:dyDescent="0.35">
      <c r="A87" s="159">
        <v>51</v>
      </c>
      <c r="B87" s="160" t="s">
        <v>94</v>
      </c>
      <c r="C87" s="178" t="s">
        <v>328</v>
      </c>
      <c r="D87" s="179" t="s">
        <v>329</v>
      </c>
      <c r="E87" s="171"/>
      <c r="F87" s="171" t="s">
        <v>112</v>
      </c>
      <c r="G87" s="171" t="s">
        <v>91</v>
      </c>
      <c r="H87" s="172">
        <v>44704</v>
      </c>
      <c r="I87" s="173">
        <f>+IFERROR(VLOOKUP($C87,'[1]Tăng ca Hr'!$E:$DN,114,0),"")</f>
        <v>8</v>
      </c>
      <c r="J87" s="174">
        <f t="shared" si="11"/>
        <v>8</v>
      </c>
      <c r="K87" s="174" t="str">
        <f t="shared" si="12"/>
        <v/>
      </c>
      <c r="L87" s="175" t="str">
        <f t="shared" si="13"/>
        <v/>
      </c>
      <c r="M87" s="173">
        <f>VLOOKUP(C87,'[1]Tăng ca Hr'!$E:$DJ,110,0)</f>
        <v>8</v>
      </c>
      <c r="N87" s="174">
        <f t="shared" si="14"/>
        <v>8</v>
      </c>
      <c r="O87" s="174" t="str">
        <f t="shared" si="15"/>
        <v/>
      </c>
      <c r="P87" s="175" t="str">
        <f t="shared" si="16"/>
        <v/>
      </c>
      <c r="Q87" s="173">
        <f>+IFERROR(VLOOKUP($C87,[2]Detail!$B:$AR,43,0),"")</f>
        <v>77</v>
      </c>
      <c r="R87" s="161">
        <f t="shared" si="17"/>
        <v>77</v>
      </c>
      <c r="S87" s="161" t="str">
        <f t="shared" si="10"/>
        <v/>
      </c>
      <c r="T87" s="162" t="str">
        <f t="shared" si="18"/>
        <v/>
      </c>
      <c r="U87" s="163" t="str">
        <f>+IFERROR(VLOOKUP(C87,'[3]20.25'!B:D,3,0),"")</f>
        <v>Đóng gói</v>
      </c>
      <c r="V87" s="163" t="s">
        <v>433</v>
      </c>
      <c r="W87" s="163"/>
      <c r="X87" s="163" t="s">
        <v>457</v>
      </c>
      <c r="Y87" s="35"/>
      <c r="Z87" s="35"/>
      <c r="AA87" s="35"/>
      <c r="AB87" s="35"/>
      <c r="AC87" s="35"/>
      <c r="AD87" s="35"/>
      <c r="AE87" s="35"/>
      <c r="AF87" s="35"/>
      <c r="AG87" s="35"/>
      <c r="AH87" s="35"/>
    </row>
    <row r="88" spans="1:151" ht="33" hidden="1" customHeight="1" x14ac:dyDescent="0.35">
      <c r="A88" s="159">
        <v>52</v>
      </c>
      <c r="B88" s="164" t="s">
        <v>109</v>
      </c>
      <c r="C88" s="178" t="s">
        <v>332</v>
      </c>
      <c r="D88" s="179" t="s">
        <v>333</v>
      </c>
      <c r="E88" s="171"/>
      <c r="F88" s="171" t="s">
        <v>112</v>
      </c>
      <c r="G88" s="171" t="s">
        <v>91</v>
      </c>
      <c r="H88" s="172">
        <v>44707</v>
      </c>
      <c r="I88" s="173">
        <f>+IFERROR(VLOOKUP($C88,'[1]Tăng ca Hr'!$E:$DN,114,0),"")</f>
        <v>4</v>
      </c>
      <c r="J88" s="174">
        <f t="shared" si="11"/>
        <v>4</v>
      </c>
      <c r="K88" s="174" t="str">
        <f t="shared" si="12"/>
        <v/>
      </c>
      <c r="L88" s="175" t="str">
        <f t="shared" si="13"/>
        <v/>
      </c>
      <c r="M88" s="173">
        <f>VLOOKUP(C88,'[1]Tăng ca Hr'!$E:$DJ,110,0)</f>
        <v>4</v>
      </c>
      <c r="N88" s="174">
        <f t="shared" si="14"/>
        <v>4</v>
      </c>
      <c r="O88" s="174" t="str">
        <f t="shared" si="15"/>
        <v/>
      </c>
      <c r="P88" s="175" t="str">
        <f t="shared" si="16"/>
        <v/>
      </c>
      <c r="Q88" s="173">
        <f>+IFERROR(VLOOKUP($C88,[2]Detail!$B:$AR,43,0),"")</f>
        <v>95</v>
      </c>
      <c r="R88" s="161">
        <f t="shared" si="17"/>
        <v>95</v>
      </c>
      <c r="S88" s="161" t="str">
        <f t="shared" si="10"/>
        <v/>
      </c>
      <c r="T88" s="162" t="str">
        <f t="shared" si="18"/>
        <v/>
      </c>
      <c r="U88" s="163" t="str">
        <f>+IFERROR(VLOOKUP(C88,'[3]20.25'!B:D,3,0),"")</f>
        <v>TÁCH CƠ</v>
      </c>
      <c r="V88" s="163">
        <v>308</v>
      </c>
      <c r="W88" s="163" t="e">
        <f>T88-V88</f>
        <v>#VALUE!</v>
      </c>
      <c r="X88" s="163" t="s">
        <v>455</v>
      </c>
      <c r="Y88" s="35"/>
      <c r="Z88" s="35"/>
      <c r="AA88" s="35"/>
      <c r="AB88" s="35"/>
      <c r="AC88" s="35"/>
      <c r="AD88" s="35"/>
      <c r="AE88" s="35"/>
      <c r="AF88" s="35"/>
      <c r="AG88" s="35"/>
      <c r="AH88" s="35"/>
    </row>
    <row r="89" spans="1:151" ht="33" hidden="1" customHeight="1" x14ac:dyDescent="0.35">
      <c r="A89" s="159">
        <v>53</v>
      </c>
      <c r="B89" s="164" t="s">
        <v>109</v>
      </c>
      <c r="C89" s="178" t="s">
        <v>439</v>
      </c>
      <c r="D89" s="179" t="s">
        <v>440</v>
      </c>
      <c r="E89" s="171"/>
      <c r="F89" s="171" t="s">
        <v>112</v>
      </c>
      <c r="G89" s="171" t="s">
        <v>91</v>
      </c>
      <c r="H89" s="172">
        <v>44719</v>
      </c>
      <c r="I89" s="173">
        <f>+IFERROR(VLOOKUP($C89,'[1]Tăng ca Hr'!$E:$DN,114,0),"")</f>
        <v>4</v>
      </c>
      <c r="J89" s="174">
        <f t="shared" si="11"/>
        <v>4</v>
      </c>
      <c r="K89" s="174" t="str">
        <f t="shared" si="12"/>
        <v/>
      </c>
      <c r="L89" s="175" t="str">
        <f t="shared" si="13"/>
        <v/>
      </c>
      <c r="M89" s="173">
        <f>VLOOKUP(C89,'[1]Tăng ca Hr'!$E:$DJ,110,0)</f>
        <v>4</v>
      </c>
      <c r="N89" s="174">
        <f t="shared" si="14"/>
        <v>4</v>
      </c>
      <c r="O89" s="174" t="str">
        <f t="shared" si="15"/>
        <v/>
      </c>
      <c r="P89" s="175" t="str">
        <f t="shared" si="16"/>
        <v/>
      </c>
      <c r="Q89" s="173">
        <f>+IFERROR(VLOOKUP($C89,[2]Detail!$B:$AR,43,0),"")</f>
        <v>56</v>
      </c>
      <c r="R89" s="161">
        <f t="shared" si="17"/>
        <v>56</v>
      </c>
      <c r="S89" s="161" t="str">
        <f t="shared" si="10"/>
        <v/>
      </c>
      <c r="T89" s="162" t="str">
        <f t="shared" si="18"/>
        <v/>
      </c>
      <c r="U89" s="163" t="str">
        <f>+IFERROR(VLOOKUP(C89,'[3]20.25'!B:D,3,0),"")</f>
        <v/>
      </c>
      <c r="V89" s="163">
        <v>312</v>
      </c>
      <c r="W89" s="163" t="e">
        <f>T89-V89</f>
        <v>#VALUE!</v>
      </c>
      <c r="X89" s="163" t="s">
        <v>462</v>
      </c>
      <c r="Y89" s="35"/>
      <c r="Z89" s="35"/>
      <c r="AA89" s="35"/>
      <c r="AB89" s="35"/>
      <c r="AC89" s="35"/>
      <c r="AD89" s="35"/>
      <c r="AE89" s="35"/>
      <c r="AF89" s="35"/>
      <c r="AG89" s="35"/>
      <c r="AH89" s="35"/>
    </row>
    <row r="90" spans="1:151" ht="33" hidden="1" customHeight="1" x14ac:dyDescent="0.35">
      <c r="A90" s="159">
        <v>54</v>
      </c>
      <c r="B90" s="160" t="s">
        <v>94</v>
      </c>
      <c r="C90" s="167" t="s">
        <v>441</v>
      </c>
      <c r="D90" s="168" t="s">
        <v>442</v>
      </c>
      <c r="E90" s="171"/>
      <c r="F90" s="171" t="s">
        <v>112</v>
      </c>
      <c r="G90" s="171" t="s">
        <v>91</v>
      </c>
      <c r="H90" s="172">
        <v>44728</v>
      </c>
      <c r="I90" s="173">
        <f>+IFERROR(VLOOKUP($C90,'[1]Tăng ca Hr'!$E:$DN,114,0),"")</f>
        <v>4</v>
      </c>
      <c r="J90" s="174">
        <f t="shared" si="11"/>
        <v>4</v>
      </c>
      <c r="K90" s="174" t="str">
        <f t="shared" si="12"/>
        <v/>
      </c>
      <c r="L90" s="175" t="str">
        <f t="shared" si="13"/>
        <v/>
      </c>
      <c r="M90" s="173">
        <f>VLOOKUP(C90,'[1]Tăng ca Hr'!$E:$DJ,110,0)</f>
        <v>4</v>
      </c>
      <c r="N90" s="174">
        <f t="shared" si="14"/>
        <v>4</v>
      </c>
      <c r="O90" s="174" t="str">
        <f t="shared" si="15"/>
        <v/>
      </c>
      <c r="P90" s="175" t="str">
        <f t="shared" si="16"/>
        <v/>
      </c>
      <c r="Q90" s="173">
        <f>+IFERROR(VLOOKUP($C90,[2]Detail!$B:$AR,43,0),"")</f>
        <v>50</v>
      </c>
      <c r="R90" s="161">
        <f t="shared" si="17"/>
        <v>50</v>
      </c>
      <c r="S90" s="161" t="str">
        <f t="shared" ref="S90:S119" si="19">IF(AND(Q90&gt;250,Q90&lt;300),Q90,"")</f>
        <v/>
      </c>
      <c r="T90" s="162" t="str">
        <f t="shared" si="18"/>
        <v/>
      </c>
      <c r="U90" s="163" t="str">
        <f>+IFERROR(VLOOKUP(C90,'[3]20.25'!B:D,3,0),"")</f>
        <v/>
      </c>
      <c r="V90" s="163" t="s">
        <v>433</v>
      </c>
      <c r="W90" s="163"/>
      <c r="X90" s="163" t="s">
        <v>457</v>
      </c>
      <c r="Y90" s="35"/>
      <c r="Z90" s="35"/>
      <c r="AA90" s="35"/>
      <c r="AB90" s="35"/>
      <c r="AC90" s="35"/>
      <c r="AD90" s="35"/>
      <c r="AE90" s="35"/>
      <c r="AF90" s="35"/>
      <c r="AG90" s="35"/>
      <c r="AH90" s="35"/>
    </row>
    <row r="91" spans="1:151" ht="33" hidden="1" customHeight="1" x14ac:dyDescent="0.35">
      <c r="A91" s="159">
        <v>55</v>
      </c>
      <c r="B91" s="160" t="s">
        <v>366</v>
      </c>
      <c r="C91" s="167" t="s">
        <v>445</v>
      </c>
      <c r="D91" s="168" t="s">
        <v>446</v>
      </c>
      <c r="E91" s="171"/>
      <c r="F91" s="171" t="s">
        <v>112</v>
      </c>
      <c r="G91" s="171" t="s">
        <v>91</v>
      </c>
      <c r="H91" s="172">
        <v>44809</v>
      </c>
      <c r="I91" s="173">
        <f>+IFERROR(VLOOKUP($C91,'[1]Tăng ca Hr'!$E:$DN,114,0),"")</f>
        <v>8</v>
      </c>
      <c r="J91" s="174">
        <f t="shared" si="11"/>
        <v>8</v>
      </c>
      <c r="K91" s="174" t="str">
        <f t="shared" si="12"/>
        <v/>
      </c>
      <c r="L91" s="175" t="str">
        <f t="shared" si="13"/>
        <v/>
      </c>
      <c r="M91" s="173">
        <f>VLOOKUP(C91,'[1]Tăng ca Hr'!$E:$DJ,110,0)</f>
        <v>8</v>
      </c>
      <c r="N91" s="174">
        <f t="shared" si="14"/>
        <v>8</v>
      </c>
      <c r="O91" s="174" t="str">
        <f t="shared" si="15"/>
        <v/>
      </c>
      <c r="P91" s="175" t="str">
        <f t="shared" si="16"/>
        <v/>
      </c>
      <c r="Q91" s="173">
        <f>+IFERROR(VLOOKUP($C91,[2]Detail!$B:$AR,43,0),"")</f>
        <v>26</v>
      </c>
      <c r="R91" s="161">
        <f t="shared" si="17"/>
        <v>26</v>
      </c>
      <c r="S91" s="161" t="str">
        <f t="shared" si="19"/>
        <v/>
      </c>
      <c r="T91" s="162" t="str">
        <f t="shared" si="18"/>
        <v/>
      </c>
      <c r="U91" s="163" t="str">
        <f>+IFERROR(VLOOKUP(C91,'[3]20.25'!B:D,3,0),"")</f>
        <v/>
      </c>
      <c r="V91" s="163" t="s">
        <v>433</v>
      </c>
      <c r="W91" s="163"/>
      <c r="X91" s="163">
        <v>0</v>
      </c>
      <c r="Y91" s="35"/>
      <c r="Z91" s="35"/>
      <c r="AA91" s="35"/>
      <c r="AB91" s="35"/>
      <c r="AC91" s="35"/>
      <c r="AD91" s="35"/>
      <c r="AE91" s="35"/>
      <c r="AF91" s="35"/>
      <c r="AG91" s="35"/>
      <c r="AH91" s="35"/>
    </row>
    <row r="92" spans="1:151" ht="33" hidden="1" customHeight="1" x14ac:dyDescent="0.35">
      <c r="A92" s="159">
        <v>56</v>
      </c>
      <c r="B92" s="160" t="s">
        <v>94</v>
      </c>
      <c r="C92" s="167" t="s">
        <v>156</v>
      </c>
      <c r="D92" s="168" t="s">
        <v>157</v>
      </c>
      <c r="E92" s="171"/>
      <c r="F92" s="171" t="s">
        <v>98</v>
      </c>
      <c r="G92" s="171" t="s">
        <v>92</v>
      </c>
      <c r="H92" s="172">
        <v>44090</v>
      </c>
      <c r="I92" s="173">
        <f>+IFERROR(VLOOKUP($C92,'[1]Tăng ca Hr'!$E:$DN,114,0),"")</f>
        <v>4</v>
      </c>
      <c r="J92" s="174">
        <f t="shared" si="11"/>
        <v>4</v>
      </c>
      <c r="K92" s="174" t="str">
        <f t="shared" si="12"/>
        <v/>
      </c>
      <c r="L92" s="175" t="str">
        <f t="shared" si="13"/>
        <v/>
      </c>
      <c r="M92" s="173">
        <f>VLOOKUP(C92,'[1]Tăng ca Hr'!$E:$DJ,110,0)</f>
        <v>8</v>
      </c>
      <c r="N92" s="174">
        <f t="shared" si="14"/>
        <v>8</v>
      </c>
      <c r="O92" s="174" t="str">
        <f t="shared" si="15"/>
        <v/>
      </c>
      <c r="P92" s="175" t="str">
        <f t="shared" si="16"/>
        <v/>
      </c>
      <c r="Q92" s="173">
        <f>+IFERROR(VLOOKUP($C92,[2]Detail!$B:$AR,43,0),"")</f>
        <v>271.5</v>
      </c>
      <c r="R92" s="161" t="str">
        <f t="shared" si="17"/>
        <v/>
      </c>
      <c r="S92" s="161">
        <f t="shared" si="19"/>
        <v>271.5</v>
      </c>
      <c r="T92" s="162" t="str">
        <f t="shared" si="18"/>
        <v/>
      </c>
      <c r="U92" s="163" t="str">
        <f>+IFERROR(VLOOKUP(C92,'[3]20.25'!B:D,3,0),"")</f>
        <v>Leader</v>
      </c>
      <c r="V92" s="163" t="s">
        <v>433</v>
      </c>
      <c r="W92" s="163"/>
      <c r="X92" s="163" t="s">
        <v>460</v>
      </c>
      <c r="Y92" s="35"/>
      <c r="Z92" s="35"/>
      <c r="AA92" s="35"/>
      <c r="AB92" s="35"/>
      <c r="AC92" s="35"/>
      <c r="AD92" s="35"/>
      <c r="AE92" s="35"/>
      <c r="AF92" s="35"/>
      <c r="AG92" s="35"/>
      <c r="AH92" s="35"/>
    </row>
    <row r="93" spans="1:151" ht="33" hidden="1" customHeight="1" x14ac:dyDescent="0.45">
      <c r="A93" s="159">
        <v>57</v>
      </c>
      <c r="B93" s="160" t="s">
        <v>109</v>
      </c>
      <c r="C93" s="167" t="s">
        <v>101</v>
      </c>
      <c r="D93" s="168" t="s">
        <v>102</v>
      </c>
      <c r="E93" s="168"/>
      <c r="F93" s="171" t="s">
        <v>98</v>
      </c>
      <c r="G93" s="171" t="s">
        <v>99</v>
      </c>
      <c r="H93" s="172">
        <v>46157</v>
      </c>
      <c r="I93" s="173">
        <f>+IFERROR(VLOOKUP($C93,'[1]Tăng ca Hr'!$E:$DN,114,0),"")</f>
        <v>0</v>
      </c>
      <c r="J93" s="174">
        <f t="shared" si="11"/>
        <v>0</v>
      </c>
      <c r="K93" s="174" t="str">
        <f t="shared" si="12"/>
        <v/>
      </c>
      <c r="L93" s="175" t="str">
        <f t="shared" si="13"/>
        <v/>
      </c>
      <c r="M93" s="173">
        <f>VLOOKUP(C93,'[1]Tăng ca Hr'!$E:$DJ,110,0)</f>
        <v>0</v>
      </c>
      <c r="N93" s="174">
        <f t="shared" si="14"/>
        <v>0</v>
      </c>
      <c r="O93" s="174" t="str">
        <f t="shared" si="15"/>
        <v/>
      </c>
      <c r="P93" s="175" t="str">
        <f t="shared" si="16"/>
        <v/>
      </c>
      <c r="Q93" s="173">
        <f>+IFERROR(VLOOKUP($C93,[2]Detail!$B:$AR,43,0),"")</f>
        <v>313</v>
      </c>
      <c r="R93" s="161" t="str">
        <f t="shared" si="17"/>
        <v/>
      </c>
      <c r="S93" s="161" t="str">
        <f t="shared" si="19"/>
        <v/>
      </c>
      <c r="T93" s="162">
        <f t="shared" si="18"/>
        <v>313</v>
      </c>
      <c r="U93" s="163"/>
      <c r="V93" s="163"/>
      <c r="W93" s="165"/>
      <c r="X93" s="163" t="s">
        <v>456</v>
      </c>
    </row>
    <row r="94" spans="1:151" ht="33" hidden="1" customHeight="1" x14ac:dyDescent="0.45">
      <c r="A94" s="159">
        <v>58</v>
      </c>
      <c r="B94" s="160" t="s">
        <v>366</v>
      </c>
      <c r="C94" s="167" t="s">
        <v>95</v>
      </c>
      <c r="D94" s="168" t="s">
        <v>96</v>
      </c>
      <c r="E94" s="168"/>
      <c r="F94" s="171" t="s">
        <v>98</v>
      </c>
      <c r="G94" s="171" t="s">
        <v>91</v>
      </c>
      <c r="H94" s="172">
        <v>44993</v>
      </c>
      <c r="I94" s="173">
        <f>+IFERROR(VLOOKUP($C94,'[1]Tăng ca Hr'!$E:$DN,114,0),"")</f>
        <v>3</v>
      </c>
      <c r="J94" s="174">
        <f t="shared" si="11"/>
        <v>3</v>
      </c>
      <c r="K94" s="174" t="str">
        <f t="shared" si="12"/>
        <v/>
      </c>
      <c r="L94" s="175" t="str">
        <f t="shared" si="13"/>
        <v/>
      </c>
      <c r="M94" s="173">
        <f>VLOOKUP(C94,'[1]Tăng ca Hr'!$E:$DJ,110,0)</f>
        <v>6</v>
      </c>
      <c r="N94" s="174">
        <f t="shared" si="14"/>
        <v>6</v>
      </c>
      <c r="O94" s="174" t="str">
        <f t="shared" si="15"/>
        <v/>
      </c>
      <c r="P94" s="175" t="str">
        <f t="shared" si="16"/>
        <v/>
      </c>
      <c r="Q94" s="173">
        <f>+IFERROR(VLOOKUP($C94,[2]Detail!$B:$AR,43,0),"")</f>
        <v>298</v>
      </c>
      <c r="R94" s="161" t="str">
        <f t="shared" si="17"/>
        <v/>
      </c>
      <c r="S94" s="161">
        <f t="shared" si="19"/>
        <v>298</v>
      </c>
      <c r="T94" s="162" t="str">
        <f t="shared" si="18"/>
        <v/>
      </c>
      <c r="U94" s="163" t="str">
        <f>+IFERROR(VLOOKUP(C94,'[3]20.25'!B:D,3,0),"")</f>
        <v>Đóng gói</v>
      </c>
      <c r="V94" s="163" t="s">
        <v>433</v>
      </c>
      <c r="W94" s="165"/>
      <c r="X94" s="163">
        <v>0</v>
      </c>
    </row>
    <row r="95" spans="1:151" ht="33" hidden="1" customHeight="1" x14ac:dyDescent="0.45">
      <c r="A95" s="159">
        <v>59</v>
      </c>
      <c r="B95" s="160" t="s">
        <v>366</v>
      </c>
      <c r="C95" s="167" t="s">
        <v>104</v>
      </c>
      <c r="D95" s="168" t="s">
        <v>105</v>
      </c>
      <c r="E95" s="168"/>
      <c r="F95" s="171" t="s">
        <v>98</v>
      </c>
      <c r="G95" s="171" t="s">
        <v>91</v>
      </c>
      <c r="H95" s="172">
        <v>45138</v>
      </c>
      <c r="I95" s="173">
        <f>+IFERROR(VLOOKUP($C95,'[1]Tăng ca Hr'!$E:$DN,114,0),"")</f>
        <v>0</v>
      </c>
      <c r="J95" s="174">
        <f t="shared" si="11"/>
        <v>0</v>
      </c>
      <c r="K95" s="174" t="str">
        <f t="shared" si="12"/>
        <v/>
      </c>
      <c r="L95" s="175" t="str">
        <f t="shared" si="13"/>
        <v/>
      </c>
      <c r="M95" s="173">
        <f>VLOOKUP(C95,'[1]Tăng ca Hr'!$E:$DJ,110,0)</f>
        <v>0</v>
      </c>
      <c r="N95" s="174">
        <f t="shared" si="14"/>
        <v>0</v>
      </c>
      <c r="O95" s="174" t="str">
        <f t="shared" si="15"/>
        <v/>
      </c>
      <c r="P95" s="175" t="str">
        <f t="shared" si="16"/>
        <v/>
      </c>
      <c r="Q95" s="173">
        <f>+IFERROR(VLOOKUP($C95,[2]Detail!$B:$AR,43,0),"")</f>
        <v>307</v>
      </c>
      <c r="R95" s="161" t="str">
        <f t="shared" si="17"/>
        <v/>
      </c>
      <c r="S95" s="161" t="str">
        <f t="shared" si="19"/>
        <v/>
      </c>
      <c r="T95" s="162">
        <f t="shared" si="18"/>
        <v>307</v>
      </c>
      <c r="U95" s="163" t="str">
        <f>+IFERROR(VLOOKUP(C95,'[3]20.25'!B:D,3,0),"")</f>
        <v>Đóng gói</v>
      </c>
      <c r="V95" s="163" t="s">
        <v>433</v>
      </c>
      <c r="W95" s="165"/>
      <c r="X95" s="163" t="e">
        <v>#N/A</v>
      </c>
    </row>
    <row r="96" spans="1:151" ht="33" hidden="1" customHeight="1" x14ac:dyDescent="0.45">
      <c r="A96" s="159">
        <v>60</v>
      </c>
      <c r="B96" s="160" t="s">
        <v>109</v>
      </c>
      <c r="C96" s="167" t="s">
        <v>106</v>
      </c>
      <c r="D96" s="168" t="s">
        <v>381</v>
      </c>
      <c r="E96" s="168"/>
      <c r="F96" s="171" t="s">
        <v>98</v>
      </c>
      <c r="G96" s="171" t="s">
        <v>99</v>
      </c>
      <c r="H96" s="172">
        <v>45225</v>
      </c>
      <c r="I96" s="173">
        <f>+IFERROR(VLOOKUP($C96,'[1]Tăng ca Hr'!$E:$DN,114,0),"")</f>
        <v>0</v>
      </c>
      <c r="J96" s="174">
        <f t="shared" ref="J96:J125" si="20">IF(I96&lt;=8,I96,"")</f>
        <v>0</v>
      </c>
      <c r="K96" s="174" t="str">
        <f t="shared" ref="K96:K125" si="21">IF(AND(I96&gt;8,I96&lt;12),I96,"")</f>
        <v/>
      </c>
      <c r="L96" s="175" t="str">
        <f t="shared" ref="L96:L125" si="22">IF(I96&gt;=12,I96,"")</f>
        <v/>
      </c>
      <c r="M96" s="173">
        <f>VLOOKUP(C96,'[1]Tăng ca Hr'!$E:$DJ,110,0)</f>
        <v>0</v>
      </c>
      <c r="N96" s="174">
        <f t="shared" ref="N96:N125" si="23">IF(M96&lt;=28,M96,"")</f>
        <v>0</v>
      </c>
      <c r="O96" s="174" t="str">
        <f t="shared" ref="O96:O125" si="24">IF(AND(M96&gt;28,M96&lt;36),M96,"")</f>
        <v/>
      </c>
      <c r="P96" s="175" t="str">
        <f t="shared" ref="P96:P125" si="25">IF(M96&gt;=36,M96,"")</f>
        <v/>
      </c>
      <c r="Q96" s="173">
        <f>+IFERROR(VLOOKUP($C96,[2]Detail!$B:$AR,43,0),"")</f>
        <v>303.5</v>
      </c>
      <c r="R96" s="161" t="str">
        <f t="shared" ref="R96:R125" si="26">IF(Q96&lt;=250,Q96,"")</f>
        <v/>
      </c>
      <c r="S96" s="161" t="str">
        <f t="shared" si="19"/>
        <v/>
      </c>
      <c r="T96" s="162">
        <f t="shared" ref="T96:T125" si="27">IF(Q96&gt;=300,Q96,"")</f>
        <v>303.5</v>
      </c>
      <c r="U96" s="163" t="str">
        <f>+IFERROR(VLOOKUP(C96,'[3]20.25'!B:D,3,0),"")</f>
        <v>TÁCH CƠ</v>
      </c>
      <c r="V96" s="163" t="s">
        <v>433</v>
      </c>
      <c r="W96" s="165"/>
      <c r="X96" s="163">
        <v>0</v>
      </c>
    </row>
    <row r="97" spans="1:151" ht="33" hidden="1" customHeight="1" x14ac:dyDescent="0.45">
      <c r="A97" s="159">
        <v>61</v>
      </c>
      <c r="B97" s="160" t="s">
        <v>366</v>
      </c>
      <c r="C97" s="167" t="s">
        <v>113</v>
      </c>
      <c r="D97" s="168" t="s">
        <v>114</v>
      </c>
      <c r="E97" s="168"/>
      <c r="F97" s="171" t="s">
        <v>98</v>
      </c>
      <c r="G97" s="171" t="s">
        <v>99</v>
      </c>
      <c r="H97" s="172">
        <v>45355</v>
      </c>
      <c r="I97" s="173">
        <f>+IFERROR(VLOOKUP($C97,'[1]Tăng ca Hr'!$E:$DN,114,0),"")</f>
        <v>0</v>
      </c>
      <c r="J97" s="174">
        <f t="shared" si="20"/>
        <v>0</v>
      </c>
      <c r="K97" s="174" t="str">
        <f t="shared" si="21"/>
        <v/>
      </c>
      <c r="L97" s="175" t="str">
        <f t="shared" si="22"/>
        <v/>
      </c>
      <c r="M97" s="173">
        <f>VLOOKUP(C97,'[1]Tăng ca Hr'!$E:$DJ,110,0)</f>
        <v>0</v>
      </c>
      <c r="N97" s="174">
        <f t="shared" si="23"/>
        <v>0</v>
      </c>
      <c r="O97" s="174" t="str">
        <f t="shared" si="24"/>
        <v/>
      </c>
      <c r="P97" s="175" t="str">
        <f t="shared" si="25"/>
        <v/>
      </c>
      <c r="Q97" s="173">
        <f>+IFERROR(VLOOKUP($C97,[2]Detail!$B:$AR,43,0),"")</f>
        <v>299</v>
      </c>
      <c r="R97" s="161" t="str">
        <f t="shared" si="26"/>
        <v/>
      </c>
      <c r="S97" s="161">
        <f t="shared" si="19"/>
        <v>299</v>
      </c>
      <c r="T97" s="162" t="str">
        <f t="shared" si="27"/>
        <v/>
      </c>
      <c r="U97" s="163" t="str">
        <f>+IFERROR(VLOOKUP(C97,'[3]20.25'!B:D,3,0),"")</f>
        <v>TÁCH CƠ</v>
      </c>
      <c r="V97" s="163" t="s">
        <v>433</v>
      </c>
      <c r="W97" s="165"/>
      <c r="X97" s="163">
        <v>0</v>
      </c>
    </row>
    <row r="98" spans="1:151" ht="33" hidden="1" customHeight="1" x14ac:dyDescent="0.45">
      <c r="A98" s="159">
        <v>62</v>
      </c>
      <c r="B98" s="160" t="s">
        <v>94</v>
      </c>
      <c r="C98" s="167" t="s">
        <v>107</v>
      </c>
      <c r="D98" s="168" t="s">
        <v>108</v>
      </c>
      <c r="E98" s="168"/>
      <c r="F98" s="171" t="s">
        <v>98</v>
      </c>
      <c r="G98" s="171" t="s">
        <v>99</v>
      </c>
      <c r="H98" s="172">
        <v>45358</v>
      </c>
      <c r="I98" s="173">
        <f>+IFERROR(VLOOKUP($C98,'[1]Tăng ca Hr'!$E:$DN,114,0),"")</f>
        <v>0</v>
      </c>
      <c r="J98" s="174">
        <f t="shared" si="20"/>
        <v>0</v>
      </c>
      <c r="K98" s="174" t="str">
        <f t="shared" si="21"/>
        <v/>
      </c>
      <c r="L98" s="175" t="str">
        <f t="shared" si="22"/>
        <v/>
      </c>
      <c r="M98" s="173">
        <f>VLOOKUP(C98,'[1]Tăng ca Hr'!$E:$DJ,110,0)</f>
        <v>0</v>
      </c>
      <c r="N98" s="174">
        <f t="shared" si="23"/>
        <v>0</v>
      </c>
      <c r="O98" s="174" t="str">
        <f t="shared" si="24"/>
        <v/>
      </c>
      <c r="P98" s="175" t="str">
        <f t="shared" si="25"/>
        <v/>
      </c>
      <c r="Q98" s="173">
        <f>+IFERROR(VLOOKUP($C98,[2]Detail!$B:$AR,43,0),"")</f>
        <v>290</v>
      </c>
      <c r="R98" s="161" t="str">
        <f t="shared" si="26"/>
        <v/>
      </c>
      <c r="S98" s="161">
        <f t="shared" si="19"/>
        <v>290</v>
      </c>
      <c r="T98" s="162" t="str">
        <f t="shared" si="27"/>
        <v/>
      </c>
      <c r="U98" s="163" t="str">
        <f>+IFERROR(VLOOKUP(C98,'[3]20.25'!B:D,3,0),"")</f>
        <v>AUTO Dương</v>
      </c>
      <c r="V98" s="163" t="s">
        <v>433</v>
      </c>
      <c r="W98" s="165"/>
      <c r="X98" s="163" t="s">
        <v>457</v>
      </c>
    </row>
    <row r="99" spans="1:151" ht="33" hidden="1" customHeight="1" x14ac:dyDescent="0.35">
      <c r="A99" s="159">
        <v>63</v>
      </c>
      <c r="B99" s="164" t="s">
        <v>94</v>
      </c>
      <c r="C99" s="167" t="s">
        <v>115</v>
      </c>
      <c r="D99" s="168" t="s">
        <v>116</v>
      </c>
      <c r="E99" s="168"/>
      <c r="F99" s="171" t="s">
        <v>98</v>
      </c>
      <c r="G99" s="171" t="s">
        <v>91</v>
      </c>
      <c r="H99" s="172">
        <v>45358</v>
      </c>
      <c r="I99" s="173">
        <f>+IFERROR(VLOOKUP($C99,'[1]Tăng ca Hr'!$E:$DN,114,0),"")</f>
        <v>0</v>
      </c>
      <c r="J99" s="174">
        <f t="shared" si="20"/>
        <v>0</v>
      </c>
      <c r="K99" s="174" t="str">
        <f t="shared" si="21"/>
        <v/>
      </c>
      <c r="L99" s="175" t="str">
        <f t="shared" si="22"/>
        <v/>
      </c>
      <c r="M99" s="173">
        <f>VLOOKUP(C99,'[1]Tăng ca Hr'!$E:$DJ,110,0)</f>
        <v>0</v>
      </c>
      <c r="N99" s="174">
        <f t="shared" si="23"/>
        <v>0</v>
      </c>
      <c r="O99" s="174" t="str">
        <f t="shared" si="24"/>
        <v/>
      </c>
      <c r="P99" s="175" t="str">
        <f t="shared" si="25"/>
        <v/>
      </c>
      <c r="Q99" s="173">
        <f>+IFERROR(VLOOKUP($C99,[2]Detail!$B:$AR,43,0),"")</f>
        <v>289</v>
      </c>
      <c r="R99" s="161" t="str">
        <f t="shared" si="26"/>
        <v/>
      </c>
      <c r="S99" s="161">
        <f t="shared" si="19"/>
        <v>289</v>
      </c>
      <c r="T99" s="162" t="str">
        <f t="shared" si="27"/>
        <v/>
      </c>
      <c r="U99" s="163" t="str">
        <f>+IFERROR(VLOOKUP(C99,'[3]20.25'!B:D,3,0),"")</f>
        <v>Đóng gói</v>
      </c>
      <c r="V99" s="163"/>
      <c r="W99" s="163" t="e">
        <f>T99-V99</f>
        <v>#VALUE!</v>
      </c>
      <c r="X99" s="163" t="s">
        <v>456</v>
      </c>
    </row>
    <row r="100" spans="1:151" ht="33" hidden="1" customHeight="1" x14ac:dyDescent="0.35">
      <c r="A100" s="159">
        <v>64</v>
      </c>
      <c r="B100" s="160" t="s">
        <v>94</v>
      </c>
      <c r="C100" s="167" t="s">
        <v>127</v>
      </c>
      <c r="D100" s="168" t="s">
        <v>128</v>
      </c>
      <c r="E100" s="168"/>
      <c r="F100" s="171" t="s">
        <v>98</v>
      </c>
      <c r="G100" s="171" t="s">
        <v>92</v>
      </c>
      <c r="H100" s="172">
        <v>45358</v>
      </c>
      <c r="I100" s="173">
        <f>+IFERROR(VLOOKUP($C100,'[1]Tăng ca Hr'!$E:$DN,114,0),"")</f>
        <v>4</v>
      </c>
      <c r="J100" s="174">
        <f t="shared" si="20"/>
        <v>4</v>
      </c>
      <c r="K100" s="174" t="str">
        <f t="shared" si="21"/>
        <v/>
      </c>
      <c r="L100" s="175" t="str">
        <f t="shared" si="22"/>
        <v/>
      </c>
      <c r="M100" s="173">
        <f>VLOOKUP(C100,'[1]Tăng ca Hr'!$E:$DJ,110,0)</f>
        <v>4</v>
      </c>
      <c r="N100" s="174">
        <f t="shared" si="23"/>
        <v>4</v>
      </c>
      <c r="O100" s="174" t="str">
        <f t="shared" si="24"/>
        <v/>
      </c>
      <c r="P100" s="175" t="str">
        <f t="shared" si="25"/>
        <v/>
      </c>
      <c r="Q100" s="173">
        <f>+IFERROR(VLOOKUP($C100,[2]Detail!$B:$AR,43,0),"")</f>
        <v>297</v>
      </c>
      <c r="R100" s="161" t="str">
        <f t="shared" si="26"/>
        <v/>
      </c>
      <c r="S100" s="161">
        <f t="shared" si="19"/>
        <v>297</v>
      </c>
      <c r="T100" s="162" t="str">
        <f t="shared" si="27"/>
        <v/>
      </c>
      <c r="U100" s="163" t="str">
        <f>+IFERROR(VLOOKUP(C100,'[3]20.25'!B:D,3,0),"")</f>
        <v>AUTO Dương</v>
      </c>
      <c r="V100" s="163"/>
      <c r="W100" s="163" t="e">
        <f>T100-V100</f>
        <v>#VALUE!</v>
      </c>
      <c r="X100" s="163" t="s">
        <v>459</v>
      </c>
    </row>
    <row r="101" spans="1:151" ht="33" hidden="1" customHeight="1" x14ac:dyDescent="0.45">
      <c r="A101" s="159">
        <v>65</v>
      </c>
      <c r="B101" s="160" t="s">
        <v>109</v>
      </c>
      <c r="C101" s="167" t="s">
        <v>129</v>
      </c>
      <c r="D101" s="168" t="s">
        <v>130</v>
      </c>
      <c r="E101" s="168"/>
      <c r="F101" s="171" t="s">
        <v>98</v>
      </c>
      <c r="G101" s="171" t="s">
        <v>92</v>
      </c>
      <c r="H101" s="172">
        <v>45372</v>
      </c>
      <c r="I101" s="173">
        <f>+IFERROR(VLOOKUP($C101,'[1]Tăng ca Hr'!$E:$DN,114,0),"")</f>
        <v>0</v>
      </c>
      <c r="J101" s="174">
        <f t="shared" si="20"/>
        <v>0</v>
      </c>
      <c r="K101" s="174" t="str">
        <f t="shared" si="21"/>
        <v/>
      </c>
      <c r="L101" s="175" t="str">
        <f t="shared" si="22"/>
        <v/>
      </c>
      <c r="M101" s="173">
        <f>VLOOKUP(C101,'[1]Tăng ca Hr'!$E:$DJ,110,0)</f>
        <v>0</v>
      </c>
      <c r="N101" s="174">
        <f t="shared" si="23"/>
        <v>0</v>
      </c>
      <c r="O101" s="174" t="str">
        <f t="shared" si="24"/>
        <v/>
      </c>
      <c r="P101" s="175" t="str">
        <f t="shared" si="25"/>
        <v/>
      </c>
      <c r="Q101" s="173">
        <f>+IFERROR(VLOOKUP($C101,[2]Detail!$B:$AR,43,0),"")</f>
        <v>291.5</v>
      </c>
      <c r="R101" s="161" t="str">
        <f t="shared" si="26"/>
        <v/>
      </c>
      <c r="S101" s="161">
        <f t="shared" si="19"/>
        <v>291.5</v>
      </c>
      <c r="T101" s="162" t="str">
        <f t="shared" si="27"/>
        <v/>
      </c>
      <c r="U101" s="163" t="str">
        <f>+IFERROR(VLOOKUP(C101,'[3]20.25'!B:D,3,0),"")</f>
        <v>Đóng gói</v>
      </c>
      <c r="V101" s="163" t="s">
        <v>433</v>
      </c>
      <c r="W101" s="165"/>
      <c r="X101" s="163" t="s">
        <v>456</v>
      </c>
    </row>
    <row r="102" spans="1:151" ht="33" hidden="1" customHeight="1" x14ac:dyDescent="0.35">
      <c r="A102" s="159">
        <v>66</v>
      </c>
      <c r="B102" s="160" t="s">
        <v>94</v>
      </c>
      <c r="C102" s="167" t="s">
        <v>133</v>
      </c>
      <c r="D102" s="168" t="s">
        <v>134</v>
      </c>
      <c r="E102" s="171"/>
      <c r="F102" s="171" t="s">
        <v>98</v>
      </c>
      <c r="G102" s="171" t="s">
        <v>92</v>
      </c>
      <c r="H102" s="172">
        <v>43867</v>
      </c>
      <c r="I102" s="173">
        <f>+IFERROR(VLOOKUP($C102,'[1]Tăng ca Hr'!$E:$DN,114,0),"")</f>
        <v>4</v>
      </c>
      <c r="J102" s="174">
        <f t="shared" si="20"/>
        <v>4</v>
      </c>
      <c r="K102" s="174" t="str">
        <f t="shared" si="21"/>
        <v/>
      </c>
      <c r="L102" s="175" t="str">
        <f t="shared" si="22"/>
        <v/>
      </c>
      <c r="M102" s="173">
        <f>VLOOKUP(C102,'[1]Tăng ca Hr'!$E:$DJ,110,0)</f>
        <v>4</v>
      </c>
      <c r="N102" s="174">
        <f t="shared" si="23"/>
        <v>4</v>
      </c>
      <c r="O102" s="174" t="str">
        <f t="shared" si="24"/>
        <v/>
      </c>
      <c r="P102" s="175" t="str">
        <f t="shared" si="25"/>
        <v/>
      </c>
      <c r="Q102" s="173">
        <f>+IFERROR(VLOOKUP($C102,[2]Detail!$B:$AR,43,0),"")</f>
        <v>287</v>
      </c>
      <c r="R102" s="161" t="str">
        <f t="shared" si="26"/>
        <v/>
      </c>
      <c r="S102" s="161">
        <f t="shared" si="19"/>
        <v>287</v>
      </c>
      <c r="T102" s="162" t="str">
        <f t="shared" si="27"/>
        <v/>
      </c>
      <c r="U102" s="163" t="str">
        <f>+IFERROR(VLOOKUP(C102,'[3]20.25'!B:D,3,0),"")</f>
        <v>AUTO Hưởng</v>
      </c>
      <c r="V102" s="163" t="s">
        <v>433</v>
      </c>
      <c r="W102" s="163"/>
      <c r="X102" s="163" t="s">
        <v>458</v>
      </c>
      <c r="Y102" s="35"/>
      <c r="Z102" s="35"/>
      <c r="AA102" s="35"/>
      <c r="AB102" s="35"/>
      <c r="AC102" s="35"/>
      <c r="AD102" s="35"/>
      <c r="AE102" s="35"/>
      <c r="AF102" s="35"/>
      <c r="AG102" s="35"/>
      <c r="AH102" s="35"/>
      <c r="AI102" s="42"/>
      <c r="AJ102" s="42"/>
      <c r="AK102" s="42"/>
      <c r="AL102" s="42"/>
      <c r="AM102" s="42"/>
      <c r="AN102" s="42"/>
      <c r="AO102" s="42"/>
      <c r="AP102" s="42"/>
      <c r="AQ102" s="42"/>
      <c r="AR102" s="42"/>
      <c r="AS102" s="42"/>
      <c r="AT102" s="42"/>
      <c r="AU102" s="42"/>
      <c r="AV102" s="42"/>
      <c r="AW102" s="42"/>
      <c r="AX102" s="42"/>
      <c r="AY102" s="42"/>
      <c r="AZ102" s="42"/>
      <c r="BA102" s="42"/>
      <c r="BB102" s="42"/>
      <c r="BC102" s="42"/>
      <c r="BD102" s="42"/>
      <c r="BE102" s="42"/>
      <c r="BF102" s="42"/>
      <c r="BG102" s="42"/>
      <c r="BH102" s="42"/>
      <c r="BI102" s="42"/>
      <c r="BJ102" s="42"/>
      <c r="BK102" s="42"/>
      <c r="BL102" s="42"/>
      <c r="BM102" s="42"/>
      <c r="BN102" s="42"/>
      <c r="BO102" s="42"/>
      <c r="BP102" s="42"/>
      <c r="BQ102" s="42"/>
      <c r="BR102" s="42"/>
      <c r="BS102" s="42"/>
      <c r="BT102" s="42"/>
      <c r="BU102" s="42"/>
      <c r="BV102" s="42"/>
      <c r="BW102" s="42"/>
      <c r="BX102" s="42"/>
      <c r="BY102" s="42"/>
      <c r="BZ102" s="42"/>
      <c r="CA102" s="42"/>
      <c r="CB102" s="42"/>
      <c r="CC102" s="42"/>
      <c r="CD102" s="42"/>
      <c r="CE102" s="42"/>
      <c r="CF102" s="42"/>
      <c r="CG102" s="42"/>
      <c r="CH102" s="42"/>
      <c r="CI102" s="42"/>
      <c r="CJ102" s="42"/>
      <c r="CK102" s="42"/>
      <c r="CL102" s="42"/>
      <c r="CM102" s="42"/>
      <c r="CN102" s="42"/>
      <c r="CO102" s="42"/>
      <c r="CP102" s="42"/>
      <c r="CQ102" s="42"/>
      <c r="CR102" s="42"/>
      <c r="CS102" s="42"/>
      <c r="CT102" s="42"/>
      <c r="CU102" s="42"/>
      <c r="CV102" s="42"/>
      <c r="CW102" s="42"/>
      <c r="CX102" s="42"/>
      <c r="CY102" s="42"/>
      <c r="CZ102" s="42"/>
      <c r="DA102" s="42"/>
      <c r="DB102" s="42"/>
      <c r="DC102" s="42"/>
      <c r="DD102" s="42"/>
      <c r="DE102" s="42"/>
      <c r="DF102" s="42"/>
      <c r="DG102" s="42"/>
      <c r="DH102" s="42"/>
      <c r="DI102" s="42"/>
      <c r="DJ102" s="42"/>
      <c r="DK102" s="42"/>
      <c r="DL102" s="42"/>
      <c r="DM102" s="42"/>
      <c r="DN102" s="42"/>
      <c r="DO102" s="42"/>
      <c r="DP102" s="42"/>
      <c r="DQ102" s="42"/>
      <c r="DR102" s="42"/>
      <c r="DS102" s="42"/>
      <c r="DT102" s="42"/>
      <c r="DU102" s="42"/>
      <c r="DV102" s="42"/>
      <c r="DW102" s="42"/>
      <c r="DX102" s="42"/>
      <c r="DY102" s="42"/>
      <c r="DZ102" s="42"/>
      <c r="EA102" s="42"/>
      <c r="EB102" s="42"/>
      <c r="EC102" s="42"/>
      <c r="ED102" s="42"/>
      <c r="EE102" s="42"/>
      <c r="EF102" s="42"/>
      <c r="EG102" s="42"/>
      <c r="EH102" s="42"/>
      <c r="EI102" s="42"/>
      <c r="EJ102" s="42"/>
      <c r="EK102" s="42"/>
      <c r="EL102" s="42"/>
      <c r="EM102" s="42"/>
      <c r="EN102" s="42"/>
      <c r="EO102" s="42"/>
      <c r="EP102" s="42"/>
      <c r="EQ102" s="42"/>
      <c r="ER102" s="42"/>
      <c r="ES102" s="42"/>
      <c r="ET102" s="42"/>
      <c r="EU102" s="42"/>
    </row>
    <row r="103" spans="1:151" ht="33" hidden="1" customHeight="1" x14ac:dyDescent="0.35">
      <c r="A103" s="159">
        <v>67</v>
      </c>
      <c r="B103" s="164" t="s">
        <v>109</v>
      </c>
      <c r="C103" s="167" t="s">
        <v>119</v>
      </c>
      <c r="D103" s="168" t="s">
        <v>120</v>
      </c>
      <c r="E103" s="168"/>
      <c r="F103" s="171" t="s">
        <v>98</v>
      </c>
      <c r="G103" s="171" t="s">
        <v>99</v>
      </c>
      <c r="H103" s="172">
        <v>45372</v>
      </c>
      <c r="I103" s="173">
        <f>+IFERROR(VLOOKUP($C103,'[1]Tăng ca Hr'!$E:$DN,114,0),"")</f>
        <v>4</v>
      </c>
      <c r="J103" s="174">
        <f t="shared" si="20"/>
        <v>4</v>
      </c>
      <c r="K103" s="174" t="str">
        <f t="shared" si="21"/>
        <v/>
      </c>
      <c r="L103" s="175" t="str">
        <f t="shared" si="22"/>
        <v/>
      </c>
      <c r="M103" s="173">
        <f>VLOOKUP(C103,'[1]Tăng ca Hr'!$E:$DJ,110,0)</f>
        <v>4</v>
      </c>
      <c r="N103" s="174">
        <f t="shared" si="23"/>
        <v>4</v>
      </c>
      <c r="O103" s="174" t="str">
        <f t="shared" si="24"/>
        <v/>
      </c>
      <c r="P103" s="175" t="str">
        <f t="shared" si="25"/>
        <v/>
      </c>
      <c r="Q103" s="173">
        <f>+IFERROR(VLOOKUP($C103,[2]Detail!$B:$AR,43,0),"")</f>
        <v>294</v>
      </c>
      <c r="R103" s="161" t="str">
        <f t="shared" si="26"/>
        <v/>
      </c>
      <c r="S103" s="161">
        <f t="shared" si="19"/>
        <v>294</v>
      </c>
      <c r="T103" s="162" t="str">
        <f t="shared" si="27"/>
        <v/>
      </c>
      <c r="U103" s="163" t="str">
        <f>+IFERROR(VLOOKUP(C103,'[3]20.25'!B:D,3,0),"")</f>
        <v>TÁCH CƠ</v>
      </c>
      <c r="V103" s="163"/>
      <c r="W103" s="163" t="e">
        <f>T103-V103</f>
        <v>#VALUE!</v>
      </c>
      <c r="X103" s="163" t="s">
        <v>456</v>
      </c>
    </row>
    <row r="104" spans="1:151" ht="33" hidden="1" customHeight="1" x14ac:dyDescent="0.35">
      <c r="A104" s="159">
        <v>68</v>
      </c>
      <c r="B104" s="160" t="s">
        <v>94</v>
      </c>
      <c r="C104" s="183" t="s">
        <v>125</v>
      </c>
      <c r="D104" s="184" t="s">
        <v>126</v>
      </c>
      <c r="E104" s="185"/>
      <c r="F104" s="171" t="s">
        <v>98</v>
      </c>
      <c r="G104" s="171" t="s">
        <v>99</v>
      </c>
      <c r="H104" s="172">
        <v>44019</v>
      </c>
      <c r="I104" s="173">
        <f>+IFERROR(VLOOKUP($C104,'[1]Tăng ca Hr'!$E:$DN,114,0),"")</f>
        <v>0</v>
      </c>
      <c r="J104" s="174">
        <f t="shared" si="20"/>
        <v>0</v>
      </c>
      <c r="K104" s="174" t="str">
        <f t="shared" si="21"/>
        <v/>
      </c>
      <c r="L104" s="175" t="str">
        <f t="shared" si="22"/>
        <v/>
      </c>
      <c r="M104" s="173">
        <f>VLOOKUP(C104,'[1]Tăng ca Hr'!$E:$DJ,110,0)</f>
        <v>0</v>
      </c>
      <c r="N104" s="174">
        <f t="shared" si="23"/>
        <v>0</v>
      </c>
      <c r="O104" s="174" t="str">
        <f t="shared" si="24"/>
        <v/>
      </c>
      <c r="P104" s="175" t="str">
        <f t="shared" si="25"/>
        <v/>
      </c>
      <c r="Q104" s="173">
        <f>+IFERROR(VLOOKUP($C104,[2]Detail!$B:$AR,43,0),"")</f>
        <v>298</v>
      </c>
      <c r="R104" s="161" t="str">
        <f t="shared" si="26"/>
        <v/>
      </c>
      <c r="S104" s="161">
        <f t="shared" si="19"/>
        <v>298</v>
      </c>
      <c r="T104" s="162" t="str">
        <f t="shared" si="27"/>
        <v/>
      </c>
      <c r="U104" s="163" t="str">
        <f>+IFERROR(VLOOKUP(C104,'[3]20.25'!B:D,3,0),"")</f>
        <v>AUTO Linh</v>
      </c>
      <c r="V104" s="163" t="s">
        <v>433</v>
      </c>
      <c r="W104" s="163"/>
      <c r="X104" s="163" t="s">
        <v>459</v>
      </c>
      <c r="Y104" s="35"/>
      <c r="Z104" s="35"/>
      <c r="AA104" s="35"/>
      <c r="AB104" s="35"/>
      <c r="AC104" s="35"/>
      <c r="AD104" s="35"/>
      <c r="AE104" s="35"/>
      <c r="AF104" s="35"/>
      <c r="AG104" s="35"/>
      <c r="AH104" s="35"/>
      <c r="AI104" s="42"/>
      <c r="AJ104" s="42"/>
      <c r="AK104" s="42"/>
      <c r="AL104" s="42"/>
      <c r="AM104" s="42"/>
      <c r="AN104" s="42"/>
      <c r="AO104" s="42"/>
      <c r="AP104" s="42"/>
      <c r="AQ104" s="42"/>
      <c r="AR104" s="42"/>
      <c r="AS104" s="42"/>
      <c r="AT104" s="42"/>
      <c r="AU104" s="42"/>
      <c r="AV104" s="42"/>
      <c r="AW104" s="42"/>
      <c r="AX104" s="42"/>
      <c r="AY104" s="42"/>
      <c r="AZ104" s="42"/>
      <c r="BA104" s="42"/>
      <c r="BB104" s="42"/>
      <c r="BC104" s="42"/>
      <c r="BD104" s="42"/>
      <c r="BE104" s="42"/>
      <c r="BF104" s="42"/>
      <c r="BG104" s="42"/>
      <c r="BH104" s="42"/>
      <c r="BI104" s="42"/>
      <c r="BJ104" s="42"/>
      <c r="BK104" s="42"/>
      <c r="BL104" s="42"/>
      <c r="BM104" s="42"/>
      <c r="BN104" s="42"/>
      <c r="BO104" s="42"/>
      <c r="BP104" s="42"/>
      <c r="BQ104" s="42"/>
      <c r="BR104" s="42"/>
      <c r="BS104" s="42"/>
      <c r="BT104" s="42"/>
      <c r="BU104" s="42"/>
      <c r="BV104" s="42"/>
      <c r="BW104" s="42"/>
      <c r="BX104" s="42"/>
      <c r="BY104" s="42"/>
      <c r="BZ104" s="42"/>
      <c r="CA104" s="42"/>
      <c r="CB104" s="42"/>
      <c r="CC104" s="42"/>
      <c r="CD104" s="42"/>
      <c r="CE104" s="42"/>
      <c r="CF104" s="42"/>
      <c r="CG104" s="42"/>
      <c r="CH104" s="42"/>
      <c r="CI104" s="42"/>
      <c r="CJ104" s="42"/>
      <c r="CK104" s="42"/>
      <c r="CL104" s="42"/>
      <c r="CM104" s="42"/>
      <c r="CN104" s="42"/>
      <c r="CO104" s="42"/>
      <c r="CP104" s="42"/>
      <c r="CQ104" s="42"/>
      <c r="CR104" s="42"/>
      <c r="CS104" s="42"/>
      <c r="CT104" s="42"/>
      <c r="CU104" s="42"/>
      <c r="CV104" s="42"/>
      <c r="CW104" s="42"/>
      <c r="CX104" s="42"/>
      <c r="CY104" s="42"/>
      <c r="CZ104" s="42"/>
      <c r="DA104" s="42"/>
      <c r="DB104" s="42"/>
      <c r="DC104" s="42"/>
      <c r="DD104" s="42"/>
      <c r="DE104" s="42"/>
      <c r="DF104" s="42"/>
      <c r="DG104" s="42"/>
      <c r="DH104" s="42"/>
      <c r="DI104" s="42"/>
      <c r="DJ104" s="42"/>
      <c r="DK104" s="42"/>
      <c r="DL104" s="42"/>
      <c r="DM104" s="42"/>
      <c r="DN104" s="42"/>
      <c r="DO104" s="42"/>
      <c r="DP104" s="42"/>
      <c r="DQ104" s="42"/>
      <c r="DR104" s="42"/>
      <c r="DS104" s="42"/>
      <c r="DT104" s="42"/>
      <c r="DU104" s="42"/>
      <c r="DV104" s="42"/>
      <c r="DW104" s="42"/>
      <c r="DX104" s="42"/>
      <c r="DY104" s="42"/>
      <c r="DZ104" s="42"/>
      <c r="EA104" s="42"/>
      <c r="EB104" s="42"/>
      <c r="EC104" s="42"/>
      <c r="ED104" s="42"/>
      <c r="EE104" s="42"/>
      <c r="EF104" s="42"/>
      <c r="EG104" s="42"/>
      <c r="EH104" s="42"/>
      <c r="EI104" s="42"/>
      <c r="EJ104" s="42"/>
      <c r="EK104" s="42"/>
      <c r="EL104" s="42"/>
      <c r="EM104" s="42"/>
      <c r="EN104" s="42"/>
      <c r="EO104" s="42"/>
      <c r="EP104" s="42"/>
      <c r="EQ104" s="42"/>
      <c r="ER104" s="42"/>
      <c r="ES104" s="42"/>
      <c r="ET104" s="42"/>
      <c r="EU104" s="42"/>
    </row>
    <row r="105" spans="1:151" ht="33" hidden="1" customHeight="1" x14ac:dyDescent="0.35">
      <c r="A105" s="159">
        <v>69</v>
      </c>
      <c r="B105" s="160" t="s">
        <v>94</v>
      </c>
      <c r="C105" s="183" t="s">
        <v>136</v>
      </c>
      <c r="D105" s="184" t="s">
        <v>137</v>
      </c>
      <c r="E105" s="185"/>
      <c r="F105" s="171" t="s">
        <v>98</v>
      </c>
      <c r="G105" s="171" t="s">
        <v>99</v>
      </c>
      <c r="H105" s="172">
        <v>44033</v>
      </c>
      <c r="I105" s="173">
        <f>+IFERROR(VLOOKUP($C105,'[1]Tăng ca Hr'!$E:$DN,114,0),"")</f>
        <v>0</v>
      </c>
      <c r="J105" s="174">
        <f t="shared" si="20"/>
        <v>0</v>
      </c>
      <c r="K105" s="174" t="str">
        <f t="shared" si="21"/>
        <v/>
      </c>
      <c r="L105" s="175" t="str">
        <f t="shared" si="22"/>
        <v/>
      </c>
      <c r="M105" s="173">
        <f>VLOOKUP(C105,'[1]Tăng ca Hr'!$E:$DJ,110,0)</f>
        <v>0</v>
      </c>
      <c r="N105" s="174">
        <f t="shared" si="23"/>
        <v>0</v>
      </c>
      <c r="O105" s="174" t="str">
        <f t="shared" si="24"/>
        <v/>
      </c>
      <c r="P105" s="175" t="str">
        <f t="shared" si="25"/>
        <v/>
      </c>
      <c r="Q105" s="173">
        <f>+IFERROR(VLOOKUP($C105,[2]Detail!$B:$AR,43,0),"")</f>
        <v>300</v>
      </c>
      <c r="R105" s="161" t="str">
        <f t="shared" si="26"/>
        <v/>
      </c>
      <c r="S105" s="161" t="str">
        <f t="shared" si="19"/>
        <v/>
      </c>
      <c r="T105" s="162">
        <f t="shared" si="27"/>
        <v>300</v>
      </c>
      <c r="U105" s="163" t="str">
        <f>+IFERROR(VLOOKUP(C105,'[3]20.25'!B:D,3,0),"")</f>
        <v>TÁCH CƠ</v>
      </c>
      <c r="V105" s="163" t="s">
        <v>433</v>
      </c>
      <c r="W105" s="163"/>
      <c r="X105" s="163" t="s">
        <v>459</v>
      </c>
      <c r="Y105" s="35"/>
      <c r="Z105" s="35"/>
      <c r="AA105" s="35"/>
      <c r="AB105" s="35"/>
      <c r="AC105" s="35"/>
      <c r="AD105" s="35"/>
      <c r="AE105" s="35"/>
      <c r="AF105" s="35"/>
      <c r="AG105" s="35"/>
      <c r="AH105" s="35"/>
      <c r="AI105" s="42"/>
      <c r="AJ105" s="42"/>
      <c r="AK105" s="42"/>
      <c r="AL105" s="42"/>
      <c r="AM105" s="42"/>
      <c r="AN105" s="42"/>
      <c r="AO105" s="42"/>
      <c r="AP105" s="42"/>
      <c r="AQ105" s="42"/>
      <c r="AR105" s="42"/>
      <c r="AS105" s="42"/>
      <c r="AT105" s="42"/>
      <c r="AU105" s="42"/>
      <c r="AV105" s="42"/>
      <c r="AW105" s="42"/>
      <c r="AX105" s="42"/>
      <c r="AY105" s="42"/>
      <c r="AZ105" s="42"/>
      <c r="BA105" s="42"/>
      <c r="BB105" s="42"/>
      <c r="BC105" s="42"/>
      <c r="BD105" s="42"/>
      <c r="BE105" s="42"/>
      <c r="BF105" s="42"/>
      <c r="BG105" s="42"/>
      <c r="BH105" s="42"/>
      <c r="BI105" s="42"/>
      <c r="BJ105" s="42"/>
      <c r="BK105" s="42"/>
      <c r="BL105" s="42"/>
      <c r="BM105" s="42"/>
      <c r="BN105" s="42"/>
      <c r="BO105" s="42"/>
      <c r="BP105" s="42"/>
      <c r="BQ105" s="42"/>
      <c r="BR105" s="42"/>
      <c r="BS105" s="42"/>
      <c r="BT105" s="42"/>
      <c r="BU105" s="42"/>
      <c r="BV105" s="42"/>
      <c r="BW105" s="42"/>
      <c r="BX105" s="42"/>
      <c r="BY105" s="42"/>
      <c r="BZ105" s="42"/>
      <c r="CA105" s="42"/>
      <c r="CB105" s="42"/>
      <c r="CC105" s="42"/>
      <c r="CD105" s="42"/>
      <c r="CE105" s="42"/>
      <c r="CF105" s="42"/>
      <c r="CG105" s="42"/>
      <c r="CH105" s="42"/>
      <c r="CI105" s="42"/>
      <c r="CJ105" s="42"/>
      <c r="CK105" s="42"/>
      <c r="CL105" s="42"/>
      <c r="CM105" s="42"/>
      <c r="CN105" s="42"/>
      <c r="CO105" s="42"/>
      <c r="CP105" s="42"/>
      <c r="CQ105" s="42"/>
      <c r="CR105" s="42"/>
      <c r="CS105" s="42"/>
      <c r="CT105" s="42"/>
      <c r="CU105" s="42"/>
      <c r="CV105" s="42"/>
      <c r="CW105" s="42"/>
      <c r="CX105" s="42"/>
      <c r="CY105" s="42"/>
      <c r="CZ105" s="42"/>
      <c r="DA105" s="42"/>
      <c r="DB105" s="42"/>
      <c r="DC105" s="42"/>
      <c r="DD105" s="42"/>
      <c r="DE105" s="42"/>
      <c r="DF105" s="42"/>
      <c r="DG105" s="42"/>
      <c r="DH105" s="42"/>
      <c r="DI105" s="42"/>
      <c r="DJ105" s="42"/>
      <c r="DK105" s="42"/>
      <c r="DL105" s="42"/>
      <c r="DM105" s="42"/>
      <c r="DN105" s="42"/>
      <c r="DO105" s="42"/>
      <c r="DP105" s="42"/>
      <c r="DQ105" s="42"/>
      <c r="DR105" s="42"/>
      <c r="DS105" s="42"/>
      <c r="DT105" s="42"/>
      <c r="DU105" s="42"/>
      <c r="DV105" s="42"/>
      <c r="DW105" s="42"/>
      <c r="DX105" s="42"/>
      <c r="DY105" s="42"/>
      <c r="DZ105" s="42"/>
      <c r="EA105" s="42"/>
      <c r="EB105" s="42"/>
      <c r="EC105" s="42"/>
      <c r="ED105" s="42"/>
      <c r="EE105" s="42"/>
      <c r="EF105" s="42"/>
      <c r="EG105" s="42"/>
      <c r="EH105" s="42"/>
      <c r="EI105" s="42"/>
      <c r="EJ105" s="42"/>
      <c r="EK105" s="42"/>
      <c r="EL105" s="42"/>
      <c r="EM105" s="42"/>
      <c r="EN105" s="42"/>
      <c r="EO105" s="42"/>
      <c r="EP105" s="42"/>
      <c r="EQ105" s="42"/>
      <c r="ER105" s="42"/>
      <c r="ES105" s="42"/>
      <c r="ET105" s="42"/>
      <c r="EU105" s="42"/>
    </row>
    <row r="106" spans="1:151" s="43" customFormat="1" ht="33" hidden="1" customHeight="1" x14ac:dyDescent="0.35">
      <c r="A106" s="159">
        <v>70</v>
      </c>
      <c r="B106" s="160" t="s">
        <v>94</v>
      </c>
      <c r="C106" s="169" t="s">
        <v>138</v>
      </c>
      <c r="D106" s="170" t="s">
        <v>139</v>
      </c>
      <c r="E106" s="185"/>
      <c r="F106" s="171" t="s">
        <v>98</v>
      </c>
      <c r="G106" s="171" t="s">
        <v>91</v>
      </c>
      <c r="H106" s="172">
        <v>43867</v>
      </c>
      <c r="I106" s="173">
        <f>+IFERROR(VLOOKUP($C106,'[1]Tăng ca Hr'!$E:$DN,114,0),"")</f>
        <v>4</v>
      </c>
      <c r="J106" s="174">
        <f t="shared" si="20"/>
        <v>4</v>
      </c>
      <c r="K106" s="174" t="str">
        <f t="shared" si="21"/>
        <v/>
      </c>
      <c r="L106" s="175" t="str">
        <f t="shared" si="22"/>
        <v/>
      </c>
      <c r="M106" s="173">
        <f>VLOOKUP(C106,'[1]Tăng ca Hr'!$E:$DJ,110,0)</f>
        <v>4</v>
      </c>
      <c r="N106" s="174">
        <f t="shared" si="23"/>
        <v>4</v>
      </c>
      <c r="O106" s="174" t="str">
        <f t="shared" si="24"/>
        <v/>
      </c>
      <c r="P106" s="175" t="str">
        <f t="shared" si="25"/>
        <v/>
      </c>
      <c r="Q106" s="173">
        <f>+IFERROR(VLOOKUP($C106,[2]Detail!$B:$AR,43,0),"")</f>
        <v>291</v>
      </c>
      <c r="R106" s="161" t="str">
        <f t="shared" si="26"/>
        <v/>
      </c>
      <c r="S106" s="161">
        <f t="shared" si="19"/>
        <v>291</v>
      </c>
      <c r="T106" s="162" t="str">
        <f t="shared" si="27"/>
        <v/>
      </c>
      <c r="U106" s="163" t="str">
        <f>+IFERROR(VLOOKUP(C106,'[3]20.25'!B:D,3,0),"")</f>
        <v>TÁCH CƠ</v>
      </c>
      <c r="V106" s="163" t="s">
        <v>433</v>
      </c>
      <c r="W106" s="163"/>
      <c r="X106" s="163" t="s">
        <v>458</v>
      </c>
      <c r="Y106" s="35"/>
      <c r="Z106" s="35"/>
      <c r="AA106" s="35"/>
      <c r="AB106" s="35"/>
      <c r="AC106" s="35"/>
      <c r="AD106" s="35"/>
      <c r="AE106" s="35"/>
      <c r="AF106" s="35"/>
      <c r="AG106" s="35"/>
      <c r="AH106" s="35"/>
      <c r="AI106" s="42"/>
      <c r="AJ106" s="42"/>
      <c r="AK106" s="42"/>
      <c r="AL106" s="42"/>
      <c r="AM106" s="42"/>
      <c r="AN106" s="42"/>
      <c r="AO106" s="42"/>
      <c r="AP106" s="42"/>
      <c r="AQ106" s="42"/>
      <c r="AR106" s="42"/>
      <c r="AS106" s="42"/>
      <c r="AT106" s="42"/>
      <c r="AU106" s="42"/>
      <c r="AV106" s="42"/>
      <c r="AW106" s="42"/>
      <c r="AX106" s="42"/>
      <c r="AY106" s="42"/>
      <c r="AZ106" s="42"/>
      <c r="BA106" s="42"/>
      <c r="BB106" s="42"/>
      <c r="BC106" s="42"/>
      <c r="BD106" s="42"/>
      <c r="BE106" s="42"/>
      <c r="BF106" s="42"/>
      <c r="BG106" s="42"/>
      <c r="BH106" s="42"/>
      <c r="BI106" s="42"/>
      <c r="BJ106" s="42"/>
      <c r="BK106" s="42"/>
      <c r="BL106" s="42"/>
      <c r="BM106" s="42"/>
      <c r="BN106" s="42"/>
      <c r="BO106" s="42"/>
      <c r="BP106" s="42"/>
      <c r="BQ106" s="42"/>
      <c r="BR106" s="42"/>
      <c r="BS106" s="42"/>
      <c r="BT106" s="42"/>
      <c r="BU106" s="42"/>
      <c r="BV106" s="42"/>
      <c r="BW106" s="42"/>
      <c r="BX106" s="42"/>
      <c r="BY106" s="42"/>
      <c r="BZ106" s="42"/>
      <c r="CA106" s="42"/>
      <c r="CB106" s="42"/>
      <c r="CC106" s="42"/>
      <c r="CD106" s="42"/>
      <c r="CE106" s="42"/>
      <c r="CF106" s="42"/>
      <c r="CG106" s="42"/>
      <c r="CH106" s="42"/>
      <c r="CI106" s="42"/>
      <c r="CJ106" s="42"/>
      <c r="CK106" s="42"/>
      <c r="CL106" s="42"/>
      <c r="CM106" s="42"/>
      <c r="CN106" s="42"/>
      <c r="CO106" s="42"/>
      <c r="CP106" s="42"/>
      <c r="CQ106" s="42"/>
      <c r="CR106" s="42"/>
      <c r="CS106" s="42"/>
      <c r="CT106" s="42"/>
      <c r="CU106" s="42"/>
      <c r="CV106" s="42"/>
      <c r="CW106" s="42"/>
      <c r="CX106" s="42"/>
      <c r="CY106" s="42"/>
      <c r="CZ106" s="42"/>
      <c r="DA106" s="42"/>
      <c r="DB106" s="42"/>
      <c r="DC106" s="42"/>
      <c r="DD106" s="42"/>
      <c r="DE106" s="42"/>
      <c r="DF106" s="42"/>
      <c r="DG106" s="42"/>
      <c r="DH106" s="42"/>
      <c r="DI106" s="42"/>
      <c r="DJ106" s="42"/>
      <c r="DK106" s="42"/>
      <c r="DL106" s="42"/>
      <c r="DM106" s="42"/>
      <c r="DN106" s="42"/>
      <c r="DO106" s="42"/>
      <c r="DP106" s="42"/>
      <c r="DQ106" s="42"/>
      <c r="DR106" s="42"/>
      <c r="DS106" s="42"/>
      <c r="DT106" s="42"/>
      <c r="DU106" s="42"/>
      <c r="DV106" s="42"/>
      <c r="DW106" s="42"/>
      <c r="DX106" s="42"/>
      <c r="DY106" s="42"/>
      <c r="DZ106" s="42"/>
      <c r="EA106" s="42"/>
      <c r="EB106" s="42"/>
      <c r="EC106" s="42"/>
      <c r="ED106" s="42"/>
      <c r="EE106" s="42"/>
      <c r="EF106" s="42"/>
      <c r="EG106" s="42"/>
      <c r="EH106" s="42"/>
      <c r="EI106" s="42"/>
      <c r="EJ106" s="42"/>
      <c r="EK106" s="42"/>
      <c r="EL106" s="42"/>
      <c r="EM106" s="42"/>
      <c r="EN106" s="42"/>
      <c r="EO106" s="42"/>
      <c r="EP106" s="42"/>
      <c r="EQ106" s="42"/>
      <c r="ER106" s="42"/>
      <c r="ES106" s="42"/>
      <c r="ET106" s="42"/>
      <c r="EU106" s="42"/>
    </row>
    <row r="107" spans="1:151" ht="33" hidden="1" customHeight="1" x14ac:dyDescent="0.45">
      <c r="A107" s="159">
        <v>71</v>
      </c>
      <c r="B107" s="160" t="s">
        <v>94</v>
      </c>
      <c r="C107" s="183" t="s">
        <v>117</v>
      </c>
      <c r="D107" s="184" t="s">
        <v>118</v>
      </c>
      <c r="E107" s="184"/>
      <c r="F107" s="171" t="s">
        <v>98</v>
      </c>
      <c r="G107" s="171" t="s">
        <v>99</v>
      </c>
      <c r="H107" s="172" t="s">
        <v>344</v>
      </c>
      <c r="I107" s="173">
        <f>+IFERROR(VLOOKUP($C107,'[1]Tăng ca Hr'!$E:$DN,114,0),"")</f>
        <v>4</v>
      </c>
      <c r="J107" s="174">
        <f t="shared" si="20"/>
        <v>4</v>
      </c>
      <c r="K107" s="174" t="str">
        <f t="shared" si="21"/>
        <v/>
      </c>
      <c r="L107" s="175" t="str">
        <f t="shared" si="22"/>
        <v/>
      </c>
      <c r="M107" s="173">
        <f>VLOOKUP(C107,'[1]Tăng ca Hr'!$E:$DJ,110,0)</f>
        <v>4</v>
      </c>
      <c r="N107" s="174">
        <f t="shared" si="23"/>
        <v>4</v>
      </c>
      <c r="O107" s="174" t="str">
        <f t="shared" si="24"/>
        <v/>
      </c>
      <c r="P107" s="175" t="str">
        <f t="shared" si="25"/>
        <v/>
      </c>
      <c r="Q107" s="173">
        <f>+IFERROR(VLOOKUP($C107,[2]Detail!$B:$AR,43,0),"")</f>
        <v>289</v>
      </c>
      <c r="R107" s="161" t="str">
        <f t="shared" si="26"/>
        <v/>
      </c>
      <c r="S107" s="161">
        <f t="shared" si="19"/>
        <v>289</v>
      </c>
      <c r="T107" s="162" t="str">
        <f t="shared" si="27"/>
        <v/>
      </c>
      <c r="U107" s="163" t="str">
        <f>+IFERROR(VLOOKUP(C107,'[3]20.25'!B:D,3,0),"")</f>
        <v>TÁCH CƠ</v>
      </c>
      <c r="V107" s="163" t="s">
        <v>433</v>
      </c>
      <c r="W107" s="165"/>
      <c r="X107" s="163" t="s">
        <v>457</v>
      </c>
    </row>
    <row r="108" spans="1:151" ht="33" hidden="1" customHeight="1" x14ac:dyDescent="0.45">
      <c r="A108" s="159">
        <v>72</v>
      </c>
      <c r="B108" s="160" t="s">
        <v>94</v>
      </c>
      <c r="C108" s="183" t="s">
        <v>140</v>
      </c>
      <c r="D108" s="184" t="s">
        <v>141</v>
      </c>
      <c r="E108" s="184"/>
      <c r="F108" s="171" t="s">
        <v>98</v>
      </c>
      <c r="G108" s="171" t="s">
        <v>91</v>
      </c>
      <c r="H108" s="172" t="s">
        <v>344</v>
      </c>
      <c r="I108" s="173">
        <f>+IFERROR(VLOOKUP($C108,'[1]Tăng ca Hr'!$E:$DN,114,0),"")</f>
        <v>0</v>
      </c>
      <c r="J108" s="174">
        <f t="shared" si="20"/>
        <v>0</v>
      </c>
      <c r="K108" s="174" t="str">
        <f t="shared" si="21"/>
        <v/>
      </c>
      <c r="L108" s="175" t="str">
        <f t="shared" si="22"/>
        <v/>
      </c>
      <c r="M108" s="173">
        <f>VLOOKUP(C108,'[1]Tăng ca Hr'!$E:$DJ,110,0)</f>
        <v>0</v>
      </c>
      <c r="N108" s="174">
        <f t="shared" si="23"/>
        <v>0</v>
      </c>
      <c r="O108" s="174" t="str">
        <f t="shared" si="24"/>
        <v/>
      </c>
      <c r="P108" s="175" t="str">
        <f t="shared" si="25"/>
        <v/>
      </c>
      <c r="Q108" s="173">
        <f>+IFERROR(VLOOKUP($C108,[2]Detail!$B:$AR,43,0),"")</f>
        <v>297</v>
      </c>
      <c r="R108" s="161" t="str">
        <f t="shared" si="26"/>
        <v/>
      </c>
      <c r="S108" s="161">
        <f t="shared" si="19"/>
        <v>297</v>
      </c>
      <c r="T108" s="162" t="str">
        <f t="shared" si="27"/>
        <v/>
      </c>
      <c r="U108" s="163" t="str">
        <f>+IFERROR(VLOOKUP(C108,'[3]20.25'!B:D,3,0),"")</f>
        <v>TÁCH CƠ</v>
      </c>
      <c r="V108" s="163" t="s">
        <v>433</v>
      </c>
      <c r="W108" s="165"/>
      <c r="X108" s="163" t="s">
        <v>456</v>
      </c>
    </row>
    <row r="109" spans="1:151" ht="33" hidden="1" customHeight="1" x14ac:dyDescent="0.45">
      <c r="A109" s="159">
        <v>73</v>
      </c>
      <c r="B109" s="160" t="s">
        <v>109</v>
      </c>
      <c r="C109" s="183" t="s">
        <v>142</v>
      </c>
      <c r="D109" s="184" t="s">
        <v>143</v>
      </c>
      <c r="E109" s="184"/>
      <c r="F109" s="171" t="s">
        <v>98</v>
      </c>
      <c r="G109" s="171" t="s">
        <v>91</v>
      </c>
      <c r="H109" s="172" t="s">
        <v>345</v>
      </c>
      <c r="I109" s="173">
        <f>+IFERROR(VLOOKUP($C109,'[1]Tăng ca Hr'!$E:$DN,114,0),"")</f>
        <v>0</v>
      </c>
      <c r="J109" s="174">
        <f t="shared" si="20"/>
        <v>0</v>
      </c>
      <c r="K109" s="174" t="str">
        <f t="shared" si="21"/>
        <v/>
      </c>
      <c r="L109" s="175" t="str">
        <f t="shared" si="22"/>
        <v/>
      </c>
      <c r="M109" s="173">
        <f>VLOOKUP(C109,'[1]Tăng ca Hr'!$E:$DJ,110,0)</f>
        <v>0</v>
      </c>
      <c r="N109" s="174">
        <f t="shared" si="23"/>
        <v>0</v>
      </c>
      <c r="O109" s="174" t="str">
        <f t="shared" si="24"/>
        <v/>
      </c>
      <c r="P109" s="175" t="str">
        <f t="shared" si="25"/>
        <v/>
      </c>
      <c r="Q109" s="173">
        <f>+IFERROR(VLOOKUP($C109,[2]Detail!$B:$AR,43,0),"")</f>
        <v>289.5</v>
      </c>
      <c r="R109" s="161" t="str">
        <f t="shared" si="26"/>
        <v/>
      </c>
      <c r="S109" s="161">
        <f t="shared" si="19"/>
        <v>289.5</v>
      </c>
      <c r="T109" s="162" t="str">
        <f t="shared" si="27"/>
        <v/>
      </c>
      <c r="U109" s="163" t="str">
        <f>+IFERROR(VLOOKUP(C109,'[3]20.25'!B:D,3,0),"")</f>
        <v>QT ĐỔ</v>
      </c>
      <c r="V109" s="163" t="s">
        <v>433</v>
      </c>
      <c r="W109" s="165"/>
      <c r="X109" s="163" t="s">
        <v>457</v>
      </c>
    </row>
    <row r="110" spans="1:151" ht="33" hidden="1" customHeight="1" x14ac:dyDescent="0.45">
      <c r="A110" s="159">
        <v>74</v>
      </c>
      <c r="B110" s="160" t="s">
        <v>366</v>
      </c>
      <c r="C110" s="183" t="s">
        <v>148</v>
      </c>
      <c r="D110" s="184" t="s">
        <v>288</v>
      </c>
      <c r="E110" s="184"/>
      <c r="F110" s="171" t="s">
        <v>98</v>
      </c>
      <c r="G110" s="171" t="s">
        <v>91</v>
      </c>
      <c r="H110" s="172" t="s">
        <v>347</v>
      </c>
      <c r="I110" s="173">
        <f>+IFERROR(VLOOKUP($C110,'[1]Tăng ca Hr'!$E:$DN,114,0),"")</f>
        <v>4</v>
      </c>
      <c r="J110" s="174">
        <f t="shared" si="20"/>
        <v>4</v>
      </c>
      <c r="K110" s="174" t="str">
        <f t="shared" si="21"/>
        <v/>
      </c>
      <c r="L110" s="175" t="str">
        <f t="shared" si="22"/>
        <v/>
      </c>
      <c r="M110" s="173">
        <f>VLOOKUP(C110,'[1]Tăng ca Hr'!$E:$DJ,110,0)</f>
        <v>4</v>
      </c>
      <c r="N110" s="174">
        <f t="shared" si="23"/>
        <v>4</v>
      </c>
      <c r="O110" s="174" t="str">
        <f t="shared" si="24"/>
        <v/>
      </c>
      <c r="P110" s="175" t="str">
        <f t="shared" si="25"/>
        <v/>
      </c>
      <c r="Q110" s="173">
        <f>+IFERROR(VLOOKUP($C110,[2]Detail!$B:$AR,43,0),"")</f>
        <v>296</v>
      </c>
      <c r="R110" s="161" t="str">
        <f t="shared" si="26"/>
        <v/>
      </c>
      <c r="S110" s="161">
        <f t="shared" si="19"/>
        <v>296</v>
      </c>
      <c r="T110" s="162" t="str">
        <f t="shared" si="27"/>
        <v/>
      </c>
      <c r="U110" s="163" t="str">
        <f>+IFERROR(VLOOKUP(C110,'[3]20.25'!B:D,3,0),"")</f>
        <v>AUTO Hưởng</v>
      </c>
      <c r="V110" s="163" t="s">
        <v>433</v>
      </c>
      <c r="W110" s="165"/>
      <c r="X110" s="163">
        <v>0</v>
      </c>
    </row>
    <row r="111" spans="1:151" ht="33" hidden="1" customHeight="1" x14ac:dyDescent="0.35">
      <c r="A111" s="159">
        <v>75</v>
      </c>
      <c r="B111" s="160" t="s">
        <v>94</v>
      </c>
      <c r="C111" s="183" t="s">
        <v>152</v>
      </c>
      <c r="D111" s="184" t="s">
        <v>153</v>
      </c>
      <c r="E111" s="185"/>
      <c r="F111" s="171" t="s">
        <v>98</v>
      </c>
      <c r="G111" s="171" t="s">
        <v>91</v>
      </c>
      <c r="H111" s="172">
        <v>44529</v>
      </c>
      <c r="I111" s="173">
        <f>+IFERROR(VLOOKUP($C111,'[1]Tăng ca Hr'!$E:$DN,114,0),"")</f>
        <v>8</v>
      </c>
      <c r="J111" s="174">
        <f t="shared" si="20"/>
        <v>8</v>
      </c>
      <c r="K111" s="174" t="str">
        <f t="shared" si="21"/>
        <v/>
      </c>
      <c r="L111" s="175" t="str">
        <f t="shared" si="22"/>
        <v/>
      </c>
      <c r="M111" s="173">
        <f>VLOOKUP(C111,'[1]Tăng ca Hr'!$E:$DJ,110,0)</f>
        <v>8</v>
      </c>
      <c r="N111" s="174">
        <f t="shared" si="23"/>
        <v>8</v>
      </c>
      <c r="O111" s="174" t="str">
        <f t="shared" si="24"/>
        <v/>
      </c>
      <c r="P111" s="175" t="str">
        <f t="shared" si="25"/>
        <v/>
      </c>
      <c r="Q111" s="173">
        <f>+IFERROR(VLOOKUP($C111,[2]Detail!$B:$AR,43,0),"")</f>
        <v>293.5</v>
      </c>
      <c r="R111" s="161" t="str">
        <f t="shared" si="26"/>
        <v/>
      </c>
      <c r="S111" s="161">
        <f t="shared" si="19"/>
        <v>293.5</v>
      </c>
      <c r="T111" s="162" t="str">
        <f t="shared" si="27"/>
        <v/>
      </c>
      <c r="U111" s="163" t="str">
        <f>+IFERROR(VLOOKUP(C111,'[3]20.25'!B:D,3,0),"")</f>
        <v>TÁCH CƠ</v>
      </c>
      <c r="V111" s="163" t="s">
        <v>433</v>
      </c>
      <c r="W111" s="163"/>
      <c r="X111" s="163" t="s">
        <v>458</v>
      </c>
      <c r="Y111" s="35"/>
      <c r="Z111" s="35"/>
      <c r="AA111" s="35"/>
      <c r="AB111" s="35"/>
      <c r="AC111" s="35"/>
      <c r="AD111" s="35"/>
      <c r="AE111" s="35"/>
      <c r="AF111" s="35"/>
      <c r="AG111" s="35"/>
      <c r="AH111" s="35"/>
      <c r="AI111" s="42"/>
      <c r="AJ111" s="42"/>
      <c r="AK111" s="42"/>
      <c r="AL111" s="42"/>
      <c r="AM111" s="42"/>
      <c r="AN111" s="42"/>
      <c r="AO111" s="42"/>
      <c r="AP111" s="42"/>
      <c r="AQ111" s="42"/>
      <c r="AR111" s="42"/>
      <c r="AS111" s="42"/>
      <c r="AT111" s="42"/>
      <c r="AU111" s="42"/>
      <c r="AV111" s="42"/>
      <c r="AW111" s="42"/>
      <c r="AX111" s="42"/>
      <c r="AY111" s="42"/>
      <c r="AZ111" s="42"/>
      <c r="BA111" s="42"/>
      <c r="BB111" s="42"/>
      <c r="BC111" s="42"/>
      <c r="BD111" s="42"/>
      <c r="BE111" s="42"/>
      <c r="BF111" s="42"/>
      <c r="BG111" s="42"/>
      <c r="BH111" s="42"/>
      <c r="BI111" s="42"/>
      <c r="BJ111" s="42"/>
      <c r="BK111" s="42"/>
      <c r="BL111" s="42"/>
      <c r="BM111" s="42"/>
      <c r="BN111" s="42"/>
      <c r="BO111" s="42"/>
      <c r="BP111" s="42"/>
      <c r="BQ111" s="42"/>
      <c r="BR111" s="42"/>
      <c r="BS111" s="42"/>
      <c r="BT111" s="42"/>
      <c r="BU111" s="42"/>
      <c r="BV111" s="42"/>
      <c r="BW111" s="42"/>
      <c r="BX111" s="42"/>
      <c r="BY111" s="42"/>
      <c r="BZ111" s="42"/>
      <c r="CA111" s="42"/>
      <c r="CB111" s="42"/>
      <c r="CC111" s="42"/>
      <c r="CD111" s="42"/>
      <c r="CE111" s="42"/>
      <c r="CF111" s="42"/>
      <c r="CG111" s="42"/>
      <c r="CH111" s="42"/>
      <c r="CI111" s="42"/>
      <c r="CJ111" s="42"/>
      <c r="CK111" s="42"/>
      <c r="CL111" s="42"/>
      <c r="CM111" s="42"/>
      <c r="CN111" s="42"/>
      <c r="CO111" s="42"/>
      <c r="CP111" s="42"/>
      <c r="CQ111" s="42"/>
      <c r="CR111" s="42"/>
      <c r="CS111" s="42"/>
      <c r="CT111" s="42"/>
      <c r="CU111" s="42"/>
      <c r="CV111" s="42"/>
      <c r="CW111" s="42"/>
      <c r="CX111" s="42"/>
      <c r="CY111" s="42"/>
      <c r="CZ111" s="42"/>
      <c r="DA111" s="42"/>
      <c r="DB111" s="42"/>
      <c r="DC111" s="42"/>
      <c r="DD111" s="42"/>
      <c r="DE111" s="42"/>
      <c r="DF111" s="42"/>
      <c r="DG111" s="42"/>
      <c r="DH111" s="42"/>
      <c r="DI111" s="42"/>
      <c r="DJ111" s="42"/>
      <c r="DK111" s="42"/>
      <c r="DL111" s="42"/>
      <c r="DM111" s="42"/>
      <c r="DN111" s="42"/>
      <c r="DO111" s="42"/>
      <c r="DP111" s="42"/>
      <c r="DQ111" s="42"/>
      <c r="DR111" s="42"/>
      <c r="DS111" s="42"/>
      <c r="DT111" s="42"/>
      <c r="DU111" s="42"/>
      <c r="DV111" s="42"/>
      <c r="DW111" s="42"/>
      <c r="DX111" s="42"/>
      <c r="DY111" s="42"/>
      <c r="DZ111" s="42"/>
      <c r="EA111" s="42"/>
      <c r="EB111" s="42"/>
      <c r="EC111" s="42"/>
      <c r="ED111" s="42"/>
      <c r="EE111" s="42"/>
      <c r="EF111" s="42"/>
      <c r="EG111" s="42"/>
      <c r="EH111" s="42"/>
      <c r="EI111" s="42"/>
      <c r="EJ111" s="42"/>
      <c r="EK111" s="42"/>
      <c r="EL111" s="42"/>
      <c r="EM111" s="42"/>
      <c r="EN111" s="42"/>
      <c r="EO111" s="42"/>
      <c r="EP111" s="42"/>
      <c r="EQ111" s="42"/>
      <c r="ER111" s="42"/>
      <c r="ES111" s="42"/>
      <c r="ET111" s="42"/>
      <c r="EU111" s="42"/>
    </row>
    <row r="112" spans="1:151" ht="33" hidden="1" customHeight="1" x14ac:dyDescent="0.45">
      <c r="A112" s="159">
        <v>76</v>
      </c>
      <c r="B112" s="160" t="s">
        <v>109</v>
      </c>
      <c r="C112" s="183" t="s">
        <v>158</v>
      </c>
      <c r="D112" s="184" t="s">
        <v>159</v>
      </c>
      <c r="E112" s="184"/>
      <c r="F112" s="171" t="s">
        <v>98</v>
      </c>
      <c r="G112" s="171" t="s">
        <v>99</v>
      </c>
      <c r="H112" s="172">
        <v>46162</v>
      </c>
      <c r="I112" s="173">
        <f>+IFERROR(VLOOKUP($C112,'[1]Tăng ca Hr'!$E:$DN,114,0),"")</f>
        <v>0</v>
      </c>
      <c r="J112" s="174">
        <f t="shared" si="20"/>
        <v>0</v>
      </c>
      <c r="K112" s="174" t="str">
        <f t="shared" si="21"/>
        <v/>
      </c>
      <c r="L112" s="175" t="str">
        <f t="shared" si="22"/>
        <v/>
      </c>
      <c r="M112" s="173">
        <f>VLOOKUP(C112,'[1]Tăng ca Hr'!$E:$DJ,110,0)</f>
        <v>0</v>
      </c>
      <c r="N112" s="174">
        <f t="shared" si="23"/>
        <v>0</v>
      </c>
      <c r="O112" s="174" t="str">
        <f t="shared" si="24"/>
        <v/>
      </c>
      <c r="P112" s="175" t="str">
        <f t="shared" si="25"/>
        <v/>
      </c>
      <c r="Q112" s="173">
        <f>+IFERROR(VLOOKUP($C112,[2]Detail!$B:$AR,43,0),"")</f>
        <v>286</v>
      </c>
      <c r="R112" s="161" t="str">
        <f t="shared" si="26"/>
        <v/>
      </c>
      <c r="S112" s="161">
        <f t="shared" si="19"/>
        <v>286</v>
      </c>
      <c r="T112" s="162" t="str">
        <f t="shared" si="27"/>
        <v/>
      </c>
      <c r="U112" s="163"/>
      <c r="V112" s="163"/>
      <c r="W112" s="165"/>
      <c r="X112" s="163" t="s">
        <v>456</v>
      </c>
    </row>
    <row r="113" spans="1:151" ht="33" hidden="1" customHeight="1" x14ac:dyDescent="0.35">
      <c r="A113" s="159">
        <v>77</v>
      </c>
      <c r="B113" s="160" t="s">
        <v>94</v>
      </c>
      <c r="C113" s="183" t="s">
        <v>160</v>
      </c>
      <c r="D113" s="184" t="s">
        <v>161</v>
      </c>
      <c r="E113" s="185"/>
      <c r="F113" s="171" t="s">
        <v>98</v>
      </c>
      <c r="G113" s="171" t="s">
        <v>91</v>
      </c>
      <c r="H113" s="172">
        <v>44511</v>
      </c>
      <c r="I113" s="173">
        <f>+IFERROR(VLOOKUP($C113,'[1]Tăng ca Hr'!$E:$DN,114,0),"")</f>
        <v>0</v>
      </c>
      <c r="J113" s="174">
        <f t="shared" si="20"/>
        <v>0</v>
      </c>
      <c r="K113" s="174" t="str">
        <f t="shared" si="21"/>
        <v/>
      </c>
      <c r="L113" s="175" t="str">
        <f t="shared" si="22"/>
        <v/>
      </c>
      <c r="M113" s="173">
        <f>VLOOKUP(C113,'[1]Tăng ca Hr'!$E:$DJ,110,0)</f>
        <v>0</v>
      </c>
      <c r="N113" s="174">
        <f t="shared" si="23"/>
        <v>0</v>
      </c>
      <c r="O113" s="174" t="str">
        <f t="shared" si="24"/>
        <v/>
      </c>
      <c r="P113" s="175" t="str">
        <f t="shared" si="25"/>
        <v/>
      </c>
      <c r="Q113" s="173">
        <f>+IFERROR(VLOOKUP($C113,[2]Detail!$B:$AR,43,0),"")</f>
        <v>308</v>
      </c>
      <c r="R113" s="161" t="str">
        <f t="shared" si="26"/>
        <v/>
      </c>
      <c r="S113" s="161" t="str">
        <f t="shared" si="19"/>
        <v/>
      </c>
      <c r="T113" s="162">
        <f t="shared" si="27"/>
        <v>308</v>
      </c>
      <c r="U113" s="163" t="str">
        <f>+IFERROR(VLOOKUP(C113,'[3]20.25'!B:D,3,0),"")</f>
        <v>Đóng gói</v>
      </c>
      <c r="V113" s="163" t="s">
        <v>433</v>
      </c>
      <c r="W113" s="163"/>
      <c r="X113" s="163" t="s">
        <v>459</v>
      </c>
      <c r="Y113" s="35"/>
      <c r="Z113" s="35"/>
      <c r="AA113" s="35"/>
      <c r="AB113" s="35"/>
      <c r="AC113" s="35"/>
      <c r="AD113" s="35"/>
      <c r="AE113" s="35"/>
      <c r="AF113" s="35"/>
      <c r="AG113" s="35"/>
      <c r="AH113" s="35"/>
      <c r="AI113" s="42"/>
      <c r="AJ113" s="42"/>
      <c r="AK113" s="42"/>
      <c r="AL113" s="42"/>
      <c r="AM113" s="42"/>
      <c r="AN113" s="42"/>
      <c r="AO113" s="42"/>
      <c r="AP113" s="42"/>
      <c r="AQ113" s="42"/>
      <c r="AR113" s="42"/>
      <c r="AS113" s="42"/>
      <c r="AT113" s="42"/>
      <c r="AU113" s="42"/>
      <c r="AV113" s="42"/>
      <c r="AW113" s="42"/>
      <c r="AX113" s="42"/>
      <c r="AY113" s="42"/>
      <c r="AZ113" s="42"/>
      <c r="BA113" s="42"/>
      <c r="BB113" s="42"/>
      <c r="BC113" s="42"/>
      <c r="BD113" s="42"/>
      <c r="BE113" s="42"/>
      <c r="BF113" s="42"/>
      <c r="BG113" s="42"/>
      <c r="BH113" s="42"/>
      <c r="BI113" s="42"/>
      <c r="BJ113" s="42"/>
      <c r="BK113" s="42"/>
      <c r="BL113" s="42"/>
      <c r="BM113" s="42"/>
      <c r="BN113" s="42"/>
      <c r="BO113" s="42"/>
      <c r="BP113" s="42"/>
      <c r="BQ113" s="42"/>
      <c r="BR113" s="42"/>
      <c r="BS113" s="42"/>
      <c r="BT113" s="42"/>
      <c r="BU113" s="42"/>
      <c r="BV113" s="42"/>
      <c r="BW113" s="42"/>
      <c r="BX113" s="42"/>
      <c r="BY113" s="42"/>
      <c r="BZ113" s="42"/>
      <c r="CA113" s="42"/>
      <c r="CB113" s="42"/>
      <c r="CC113" s="42"/>
      <c r="CD113" s="42"/>
      <c r="CE113" s="42"/>
      <c r="CF113" s="42"/>
      <c r="CG113" s="42"/>
      <c r="CH113" s="42"/>
      <c r="CI113" s="42"/>
      <c r="CJ113" s="42"/>
      <c r="CK113" s="42"/>
      <c r="CL113" s="42"/>
      <c r="CM113" s="42"/>
      <c r="CN113" s="42"/>
      <c r="CO113" s="42"/>
      <c r="CP113" s="42"/>
      <c r="CQ113" s="42"/>
      <c r="CR113" s="42"/>
      <c r="CS113" s="42"/>
      <c r="CT113" s="42"/>
      <c r="CU113" s="42"/>
      <c r="CV113" s="42"/>
      <c r="CW113" s="42"/>
      <c r="CX113" s="42"/>
      <c r="CY113" s="42"/>
      <c r="CZ113" s="42"/>
      <c r="DA113" s="42"/>
      <c r="DB113" s="42"/>
      <c r="DC113" s="42"/>
      <c r="DD113" s="42"/>
      <c r="DE113" s="42"/>
      <c r="DF113" s="42"/>
      <c r="DG113" s="42"/>
      <c r="DH113" s="42"/>
      <c r="DI113" s="42"/>
      <c r="DJ113" s="42"/>
      <c r="DK113" s="42"/>
      <c r="DL113" s="42"/>
      <c r="DM113" s="42"/>
      <c r="DN113" s="42"/>
      <c r="DO113" s="42"/>
      <c r="DP113" s="42"/>
      <c r="DQ113" s="42"/>
      <c r="DR113" s="42"/>
      <c r="DS113" s="42"/>
      <c r="DT113" s="42"/>
      <c r="DU113" s="42"/>
      <c r="DV113" s="42"/>
      <c r="DW113" s="42"/>
      <c r="DX113" s="42"/>
      <c r="DY113" s="42"/>
      <c r="DZ113" s="42"/>
      <c r="EA113" s="42"/>
      <c r="EB113" s="42"/>
      <c r="EC113" s="42"/>
      <c r="ED113" s="42"/>
      <c r="EE113" s="42"/>
      <c r="EF113" s="42"/>
      <c r="EG113" s="42"/>
      <c r="EH113" s="42"/>
      <c r="EI113" s="42"/>
      <c r="EJ113" s="42"/>
      <c r="EK113" s="42"/>
      <c r="EL113" s="42"/>
      <c r="EM113" s="42"/>
      <c r="EN113" s="42"/>
      <c r="EO113" s="42"/>
      <c r="EP113" s="42"/>
      <c r="EQ113" s="42"/>
      <c r="ER113" s="42"/>
      <c r="ES113" s="42"/>
      <c r="ET113" s="42"/>
      <c r="EU113" s="42"/>
    </row>
    <row r="114" spans="1:151" ht="33" hidden="1" customHeight="1" x14ac:dyDescent="0.45">
      <c r="A114" s="159">
        <v>78</v>
      </c>
      <c r="B114" s="160" t="s">
        <v>94</v>
      </c>
      <c r="C114" s="183" t="s">
        <v>162</v>
      </c>
      <c r="D114" s="184" t="s">
        <v>163</v>
      </c>
      <c r="E114" s="184"/>
      <c r="F114" s="171" t="s">
        <v>98</v>
      </c>
      <c r="G114" s="171" t="s">
        <v>91</v>
      </c>
      <c r="H114" s="172">
        <v>45453</v>
      </c>
      <c r="I114" s="173">
        <f>+IFERROR(VLOOKUP($C114,'[1]Tăng ca Hr'!$E:$DN,114,0),"")</f>
        <v>8</v>
      </c>
      <c r="J114" s="174">
        <f t="shared" si="20"/>
        <v>8</v>
      </c>
      <c r="K114" s="174" t="str">
        <f t="shared" si="21"/>
        <v/>
      </c>
      <c r="L114" s="175" t="str">
        <f t="shared" si="22"/>
        <v/>
      </c>
      <c r="M114" s="173">
        <f>VLOOKUP(C114,'[1]Tăng ca Hr'!$E:$DJ,110,0)</f>
        <v>8</v>
      </c>
      <c r="N114" s="174">
        <f t="shared" si="23"/>
        <v>8</v>
      </c>
      <c r="O114" s="174" t="str">
        <f t="shared" si="24"/>
        <v/>
      </c>
      <c r="P114" s="175" t="str">
        <f t="shared" si="25"/>
        <v/>
      </c>
      <c r="Q114" s="173">
        <f>+IFERROR(VLOOKUP($C114,[2]Detail!$B:$AR,43,0),"")</f>
        <v>285</v>
      </c>
      <c r="R114" s="161" t="str">
        <f t="shared" si="26"/>
        <v/>
      </c>
      <c r="S114" s="161">
        <f t="shared" si="19"/>
        <v>285</v>
      </c>
      <c r="T114" s="162" t="str">
        <f t="shared" si="27"/>
        <v/>
      </c>
      <c r="U114" s="163" t="str">
        <f>+IFERROR(VLOOKUP(C114,'[3]20.25'!B:D,3,0),"")</f>
        <v>QT ĐỔ</v>
      </c>
      <c r="V114" s="163" t="s">
        <v>433</v>
      </c>
      <c r="W114" s="165"/>
      <c r="X114" s="163" t="s">
        <v>458</v>
      </c>
    </row>
    <row r="115" spans="1:151" ht="33" hidden="1" customHeight="1" x14ac:dyDescent="0.45">
      <c r="A115" s="159">
        <v>79</v>
      </c>
      <c r="B115" s="160" t="s">
        <v>94</v>
      </c>
      <c r="C115" s="183" t="s">
        <v>170</v>
      </c>
      <c r="D115" s="184" t="s">
        <v>171</v>
      </c>
      <c r="E115" s="184"/>
      <c r="F115" s="171" t="s">
        <v>98</v>
      </c>
      <c r="G115" s="171" t="s">
        <v>91</v>
      </c>
      <c r="H115" s="172" t="s">
        <v>351</v>
      </c>
      <c r="I115" s="173">
        <f>+IFERROR(VLOOKUP($C115,'[1]Tăng ca Hr'!$E:$DN,114,0),"")</f>
        <v>0</v>
      </c>
      <c r="J115" s="174">
        <f t="shared" si="20"/>
        <v>0</v>
      </c>
      <c r="K115" s="174" t="str">
        <f t="shared" si="21"/>
        <v/>
      </c>
      <c r="L115" s="175" t="str">
        <f t="shared" si="22"/>
        <v/>
      </c>
      <c r="M115" s="173">
        <f>VLOOKUP(C115,'[1]Tăng ca Hr'!$E:$DJ,110,0)</f>
        <v>0</v>
      </c>
      <c r="N115" s="174">
        <f t="shared" si="23"/>
        <v>0</v>
      </c>
      <c r="O115" s="174" t="str">
        <f t="shared" si="24"/>
        <v/>
      </c>
      <c r="P115" s="175" t="str">
        <f t="shared" si="25"/>
        <v/>
      </c>
      <c r="Q115" s="173">
        <f>+IFERROR(VLOOKUP($C115,[2]Detail!$B:$AR,43,0),"")</f>
        <v>298.5</v>
      </c>
      <c r="R115" s="161" t="str">
        <f t="shared" si="26"/>
        <v/>
      </c>
      <c r="S115" s="161">
        <f t="shared" si="19"/>
        <v>298.5</v>
      </c>
      <c r="T115" s="162" t="str">
        <f t="shared" si="27"/>
        <v/>
      </c>
      <c r="U115" s="163" t="str">
        <f>+IFERROR(VLOOKUP(C115,'[3]20.25'!B:D,3,0),"")</f>
        <v>TÁCH CƠ</v>
      </c>
      <c r="V115" s="163" t="s">
        <v>433</v>
      </c>
      <c r="W115" s="165"/>
      <c r="X115" s="163" t="s">
        <v>457</v>
      </c>
    </row>
    <row r="116" spans="1:151" ht="33" hidden="1" customHeight="1" x14ac:dyDescent="0.45">
      <c r="A116" s="159">
        <v>80</v>
      </c>
      <c r="B116" s="160" t="s">
        <v>94</v>
      </c>
      <c r="C116" s="183" t="s">
        <v>174</v>
      </c>
      <c r="D116" s="184" t="s">
        <v>175</v>
      </c>
      <c r="E116" s="184"/>
      <c r="F116" s="171" t="s">
        <v>98</v>
      </c>
      <c r="G116" s="171" t="s">
        <v>91</v>
      </c>
      <c r="H116" s="172" t="s">
        <v>351</v>
      </c>
      <c r="I116" s="173">
        <f>+IFERROR(VLOOKUP($C116,'[1]Tăng ca Hr'!$E:$DN,114,0),"")</f>
        <v>6</v>
      </c>
      <c r="J116" s="174">
        <f t="shared" si="20"/>
        <v>6</v>
      </c>
      <c r="K116" s="174" t="str">
        <f t="shared" si="21"/>
        <v/>
      </c>
      <c r="L116" s="175" t="str">
        <f t="shared" si="22"/>
        <v/>
      </c>
      <c r="M116" s="173">
        <f>VLOOKUP(C116,'[1]Tăng ca Hr'!$E:$DJ,110,0)</f>
        <v>9</v>
      </c>
      <c r="N116" s="174">
        <f t="shared" si="23"/>
        <v>9</v>
      </c>
      <c r="O116" s="174" t="str">
        <f t="shared" si="24"/>
        <v/>
      </c>
      <c r="P116" s="175" t="str">
        <f t="shared" si="25"/>
        <v/>
      </c>
      <c r="Q116" s="173">
        <f>+IFERROR(VLOOKUP($C116,[2]Detail!$B:$AR,43,0),"")</f>
        <v>286</v>
      </c>
      <c r="R116" s="161" t="str">
        <f t="shared" si="26"/>
        <v/>
      </c>
      <c r="S116" s="161">
        <f t="shared" si="19"/>
        <v>286</v>
      </c>
      <c r="T116" s="162" t="str">
        <f t="shared" si="27"/>
        <v/>
      </c>
      <c r="U116" s="163" t="str">
        <f>+IFERROR(VLOOKUP(C116,'[3]20.25'!B:D,3,0),"")</f>
        <v>Đóng gói</v>
      </c>
      <c r="V116" s="163" t="s">
        <v>433</v>
      </c>
      <c r="W116" s="165"/>
      <c r="X116" s="163" t="s">
        <v>457</v>
      </c>
    </row>
    <row r="117" spans="1:151" ht="33" hidden="1" customHeight="1" x14ac:dyDescent="0.35">
      <c r="A117" s="159">
        <v>81</v>
      </c>
      <c r="B117" s="164" t="s">
        <v>109</v>
      </c>
      <c r="C117" s="183" t="s">
        <v>176</v>
      </c>
      <c r="D117" s="184" t="s">
        <v>100</v>
      </c>
      <c r="E117" s="184"/>
      <c r="F117" s="171" t="s">
        <v>98</v>
      </c>
      <c r="G117" s="171" t="s">
        <v>91</v>
      </c>
      <c r="H117" s="172" t="s">
        <v>351</v>
      </c>
      <c r="I117" s="173">
        <f>+IFERROR(VLOOKUP($C117,'[1]Tăng ca Hr'!$E:$DN,114,0),"")</f>
        <v>0</v>
      </c>
      <c r="J117" s="174">
        <f t="shared" si="20"/>
        <v>0</v>
      </c>
      <c r="K117" s="174" t="str">
        <f t="shared" si="21"/>
        <v/>
      </c>
      <c r="L117" s="175" t="str">
        <f t="shared" si="22"/>
        <v/>
      </c>
      <c r="M117" s="173">
        <f>VLOOKUP(C117,'[1]Tăng ca Hr'!$E:$DJ,110,0)</f>
        <v>0</v>
      </c>
      <c r="N117" s="174">
        <f t="shared" si="23"/>
        <v>0</v>
      </c>
      <c r="O117" s="174" t="str">
        <f t="shared" si="24"/>
        <v/>
      </c>
      <c r="P117" s="175" t="str">
        <f t="shared" si="25"/>
        <v/>
      </c>
      <c r="Q117" s="173">
        <f>+IFERROR(VLOOKUP($C117,[2]Detail!$B:$AR,43,0),"")</f>
        <v>268.75</v>
      </c>
      <c r="R117" s="161" t="str">
        <f t="shared" si="26"/>
        <v/>
      </c>
      <c r="S117" s="161">
        <f t="shared" si="19"/>
        <v>268.75</v>
      </c>
      <c r="T117" s="162" t="str">
        <f t="shared" si="27"/>
        <v/>
      </c>
      <c r="U117" s="163" t="str">
        <f>+IFERROR(VLOOKUP(C117,'[3]20.25'!B:D,3,0),"")</f>
        <v>TÁCH CƠ</v>
      </c>
      <c r="V117" s="163">
        <v>316</v>
      </c>
      <c r="W117" s="163" t="e">
        <f>T117-V117</f>
        <v>#VALUE!</v>
      </c>
      <c r="X117" s="163" t="s">
        <v>459</v>
      </c>
    </row>
    <row r="118" spans="1:151" ht="33" hidden="1" customHeight="1" x14ac:dyDescent="0.45">
      <c r="A118" s="159">
        <v>82</v>
      </c>
      <c r="B118" s="160" t="s">
        <v>109</v>
      </c>
      <c r="C118" s="183" t="s">
        <v>177</v>
      </c>
      <c r="D118" s="184" t="s">
        <v>178</v>
      </c>
      <c r="E118" s="184"/>
      <c r="F118" s="171" t="s">
        <v>98</v>
      </c>
      <c r="G118" s="171" t="s">
        <v>91</v>
      </c>
      <c r="H118" s="172" t="s">
        <v>351</v>
      </c>
      <c r="I118" s="173">
        <f>+IFERROR(VLOOKUP($C118,'[1]Tăng ca Hr'!$E:$DN,114,0),"")</f>
        <v>4</v>
      </c>
      <c r="J118" s="174">
        <f t="shared" si="20"/>
        <v>4</v>
      </c>
      <c r="K118" s="174" t="str">
        <f t="shared" si="21"/>
        <v/>
      </c>
      <c r="L118" s="175" t="str">
        <f t="shared" si="22"/>
        <v/>
      </c>
      <c r="M118" s="173">
        <f>VLOOKUP(C118,'[1]Tăng ca Hr'!$E:$DJ,110,0)</f>
        <v>9</v>
      </c>
      <c r="N118" s="174">
        <f t="shared" si="23"/>
        <v>9</v>
      </c>
      <c r="O118" s="174" t="str">
        <f t="shared" si="24"/>
        <v/>
      </c>
      <c r="P118" s="175" t="str">
        <f t="shared" si="25"/>
        <v/>
      </c>
      <c r="Q118" s="173">
        <f>+IFERROR(VLOOKUP($C118,[2]Detail!$B:$AR,43,0),"")</f>
        <v>168</v>
      </c>
      <c r="R118" s="161">
        <f t="shared" si="26"/>
        <v>168</v>
      </c>
      <c r="S118" s="161" t="str">
        <f t="shared" si="19"/>
        <v/>
      </c>
      <c r="T118" s="162" t="str">
        <f t="shared" si="27"/>
        <v/>
      </c>
      <c r="U118" s="163" t="str">
        <f>+IFERROR(VLOOKUP(C118,'[3]20.25'!B:D,3,0),"")</f>
        <v>Linh</v>
      </c>
      <c r="V118" s="163" t="s">
        <v>433</v>
      </c>
      <c r="W118" s="165"/>
      <c r="X118" s="163" t="s">
        <v>457</v>
      </c>
    </row>
    <row r="119" spans="1:151" ht="33" hidden="1" customHeight="1" x14ac:dyDescent="0.45">
      <c r="A119" s="159">
        <v>83</v>
      </c>
      <c r="B119" s="160" t="s">
        <v>94</v>
      </c>
      <c r="C119" s="183" t="s">
        <v>183</v>
      </c>
      <c r="D119" s="184" t="s">
        <v>184</v>
      </c>
      <c r="E119" s="184"/>
      <c r="F119" s="171" t="s">
        <v>98</v>
      </c>
      <c r="G119" s="171" t="s">
        <v>99</v>
      </c>
      <c r="H119" s="172" t="s">
        <v>352</v>
      </c>
      <c r="I119" s="173">
        <f>+IFERROR(VLOOKUP($C119,'[1]Tăng ca Hr'!$E:$DN,114,0),"")</f>
        <v>0</v>
      </c>
      <c r="J119" s="174">
        <f t="shared" si="20"/>
        <v>0</v>
      </c>
      <c r="K119" s="174" t="str">
        <f t="shared" si="21"/>
        <v/>
      </c>
      <c r="L119" s="175" t="str">
        <f t="shared" si="22"/>
        <v/>
      </c>
      <c r="M119" s="173">
        <f>VLOOKUP(C119,'[1]Tăng ca Hr'!$E:$DJ,110,0)</f>
        <v>0</v>
      </c>
      <c r="N119" s="174">
        <f t="shared" si="23"/>
        <v>0</v>
      </c>
      <c r="O119" s="174" t="str">
        <f t="shared" si="24"/>
        <v/>
      </c>
      <c r="P119" s="175" t="str">
        <f t="shared" si="25"/>
        <v/>
      </c>
      <c r="Q119" s="173">
        <f>+IFERROR(VLOOKUP($C119,[2]Detail!$B:$AR,43,0),"")</f>
        <v>268.5</v>
      </c>
      <c r="R119" s="161" t="str">
        <f t="shared" si="26"/>
        <v/>
      </c>
      <c r="S119" s="161">
        <f t="shared" si="19"/>
        <v>268.5</v>
      </c>
      <c r="T119" s="162" t="str">
        <f t="shared" si="27"/>
        <v/>
      </c>
      <c r="U119" s="163" t="str">
        <f>+IFERROR(VLOOKUP(C119,'[3]20.25'!B:D,3,0),"")</f>
        <v>AUTO Hưởng</v>
      </c>
      <c r="V119" s="163" t="s">
        <v>433</v>
      </c>
      <c r="W119" s="165"/>
      <c r="X119" s="163" t="s">
        <v>457</v>
      </c>
    </row>
    <row r="120" spans="1:151" ht="33" hidden="1" customHeight="1" x14ac:dyDescent="0.45">
      <c r="A120" s="159">
        <v>84</v>
      </c>
      <c r="B120" s="160" t="s">
        <v>109</v>
      </c>
      <c r="C120" s="183" t="s">
        <v>185</v>
      </c>
      <c r="D120" s="184" t="s">
        <v>186</v>
      </c>
      <c r="E120" s="184"/>
      <c r="F120" s="171" t="s">
        <v>98</v>
      </c>
      <c r="G120" s="171" t="s">
        <v>99</v>
      </c>
      <c r="H120" s="172" t="s">
        <v>352</v>
      </c>
      <c r="I120" s="173">
        <f>+IFERROR(VLOOKUP($C120,'[1]Tăng ca Hr'!$E:$DN,114,0),"")</f>
        <v>0</v>
      </c>
      <c r="J120" s="174">
        <f t="shared" si="20"/>
        <v>0</v>
      </c>
      <c r="K120" s="174" t="str">
        <f t="shared" si="21"/>
        <v/>
      </c>
      <c r="L120" s="175" t="str">
        <f t="shared" si="22"/>
        <v/>
      </c>
      <c r="M120" s="173">
        <f>VLOOKUP(C120,'[1]Tăng ca Hr'!$E:$DJ,110,0)</f>
        <v>0</v>
      </c>
      <c r="N120" s="174">
        <f t="shared" si="23"/>
        <v>0</v>
      </c>
      <c r="O120" s="174" t="str">
        <f t="shared" si="24"/>
        <v/>
      </c>
      <c r="P120" s="175" t="str">
        <f t="shared" si="25"/>
        <v/>
      </c>
      <c r="Q120" s="173">
        <f>+IFERROR(VLOOKUP($C120,[2]Detail!$B:$AR,43,0),"")</f>
        <v>300</v>
      </c>
      <c r="R120" s="161" t="str">
        <f t="shared" si="26"/>
        <v/>
      </c>
      <c r="S120" s="161" t="str">
        <f t="shared" ref="S120:S138" si="28">IF(AND(Q120&gt;250,Q120&lt;300),Q120,"")</f>
        <v/>
      </c>
      <c r="T120" s="162">
        <f t="shared" si="27"/>
        <v>300</v>
      </c>
      <c r="U120" s="163" t="str">
        <f>+IFERROR(VLOOKUP(C120,'[3]20.25'!B:D,3,0),"")</f>
        <v>AUTO Linh</v>
      </c>
      <c r="V120" s="163" t="s">
        <v>433</v>
      </c>
      <c r="W120" s="165"/>
      <c r="X120" s="163" t="s">
        <v>459</v>
      </c>
    </row>
    <row r="121" spans="1:151" ht="33" hidden="1" customHeight="1" x14ac:dyDescent="0.45">
      <c r="A121" s="159">
        <v>85</v>
      </c>
      <c r="B121" s="160" t="s">
        <v>94</v>
      </c>
      <c r="C121" s="183" t="s">
        <v>189</v>
      </c>
      <c r="D121" s="184" t="s">
        <v>190</v>
      </c>
      <c r="E121" s="184"/>
      <c r="F121" s="171" t="s">
        <v>98</v>
      </c>
      <c r="G121" s="171" t="s">
        <v>91</v>
      </c>
      <c r="H121" s="172" t="s">
        <v>348</v>
      </c>
      <c r="I121" s="173">
        <f>+IFERROR(VLOOKUP($C121,'[1]Tăng ca Hr'!$E:$DN,114,0),"")</f>
        <v>7</v>
      </c>
      <c r="J121" s="174">
        <f t="shared" si="20"/>
        <v>7</v>
      </c>
      <c r="K121" s="174" t="str">
        <f t="shared" si="21"/>
        <v/>
      </c>
      <c r="L121" s="175" t="str">
        <f t="shared" si="22"/>
        <v/>
      </c>
      <c r="M121" s="173">
        <f>VLOOKUP(C121,'[1]Tăng ca Hr'!$E:$DJ,110,0)</f>
        <v>7</v>
      </c>
      <c r="N121" s="174">
        <f t="shared" si="23"/>
        <v>7</v>
      </c>
      <c r="O121" s="174" t="str">
        <f t="shared" si="24"/>
        <v/>
      </c>
      <c r="P121" s="175" t="str">
        <f t="shared" si="25"/>
        <v/>
      </c>
      <c r="Q121" s="173">
        <f>+IFERROR(VLOOKUP($C121,[2]Detail!$B:$AR,43,0),"")</f>
        <v>299</v>
      </c>
      <c r="R121" s="161" t="str">
        <f t="shared" si="26"/>
        <v/>
      </c>
      <c r="S121" s="161">
        <f t="shared" si="28"/>
        <v>299</v>
      </c>
      <c r="T121" s="162" t="str">
        <f t="shared" si="27"/>
        <v/>
      </c>
      <c r="U121" s="163" t="str">
        <f>+IFERROR(VLOOKUP(C121,'[3]20.25'!B:D,3,0),"")</f>
        <v>QT ĐỔ</v>
      </c>
      <c r="V121" s="163" t="s">
        <v>433</v>
      </c>
      <c r="W121" s="165"/>
      <c r="X121" s="163" t="s">
        <v>458</v>
      </c>
    </row>
    <row r="122" spans="1:151" ht="33" hidden="1" customHeight="1" x14ac:dyDescent="0.35">
      <c r="A122" s="159">
        <v>86</v>
      </c>
      <c r="B122" s="164" t="s">
        <v>109</v>
      </c>
      <c r="C122" s="183" t="s">
        <v>191</v>
      </c>
      <c r="D122" s="184" t="s">
        <v>192</v>
      </c>
      <c r="E122" s="184"/>
      <c r="F122" s="171" t="s">
        <v>98</v>
      </c>
      <c r="G122" s="171" t="s">
        <v>91</v>
      </c>
      <c r="H122" s="172" t="s">
        <v>353</v>
      </c>
      <c r="I122" s="173">
        <f>+IFERROR(VLOOKUP($C122,'[1]Tăng ca Hr'!$E:$DN,114,0),"")</f>
        <v>6</v>
      </c>
      <c r="J122" s="174">
        <f t="shared" si="20"/>
        <v>6</v>
      </c>
      <c r="K122" s="174" t="str">
        <f t="shared" si="21"/>
        <v/>
      </c>
      <c r="L122" s="175" t="str">
        <f t="shared" si="22"/>
        <v/>
      </c>
      <c r="M122" s="173">
        <f>VLOOKUP(C122,'[1]Tăng ca Hr'!$E:$DJ,110,0)</f>
        <v>9</v>
      </c>
      <c r="N122" s="174">
        <f t="shared" si="23"/>
        <v>9</v>
      </c>
      <c r="O122" s="174" t="str">
        <f t="shared" si="24"/>
        <v/>
      </c>
      <c r="P122" s="175" t="str">
        <f t="shared" si="25"/>
        <v/>
      </c>
      <c r="Q122" s="173">
        <f>+IFERROR(VLOOKUP($C122,[2]Detail!$B:$AR,43,0),"")</f>
        <v>288</v>
      </c>
      <c r="R122" s="161" t="str">
        <f t="shared" si="26"/>
        <v/>
      </c>
      <c r="S122" s="161">
        <f t="shared" si="28"/>
        <v>288</v>
      </c>
      <c r="T122" s="162" t="str">
        <f t="shared" si="27"/>
        <v/>
      </c>
      <c r="U122" s="163" t="str">
        <f>+IFERROR(VLOOKUP(C122,'[3]20.25'!B:D,3,0),"")</f>
        <v>Đóng gói</v>
      </c>
      <c r="V122" s="163">
        <v>312</v>
      </c>
      <c r="W122" s="163" t="e">
        <f>T122-V122</f>
        <v>#VALUE!</v>
      </c>
      <c r="X122" s="163" t="s">
        <v>455</v>
      </c>
    </row>
    <row r="123" spans="1:151" ht="33" hidden="1" customHeight="1" x14ac:dyDescent="0.35">
      <c r="A123" s="159">
        <v>87</v>
      </c>
      <c r="B123" s="164" t="s">
        <v>109</v>
      </c>
      <c r="C123" s="183" t="s">
        <v>233</v>
      </c>
      <c r="D123" s="184" t="s">
        <v>234</v>
      </c>
      <c r="E123" s="184"/>
      <c r="F123" s="171" t="s">
        <v>98</v>
      </c>
      <c r="G123" s="171" t="s">
        <v>91</v>
      </c>
      <c r="H123" s="172" t="s">
        <v>354</v>
      </c>
      <c r="I123" s="173">
        <f>+IFERROR(VLOOKUP($C123,'[1]Tăng ca Hr'!$E:$DN,114,0),"")</f>
        <v>0</v>
      </c>
      <c r="J123" s="174">
        <f t="shared" si="20"/>
        <v>0</v>
      </c>
      <c r="K123" s="174" t="str">
        <f t="shared" si="21"/>
        <v/>
      </c>
      <c r="L123" s="175" t="str">
        <f t="shared" si="22"/>
        <v/>
      </c>
      <c r="M123" s="173">
        <f>VLOOKUP(C123,'[1]Tăng ca Hr'!$E:$DJ,110,0)</f>
        <v>3</v>
      </c>
      <c r="N123" s="174">
        <f t="shared" si="23"/>
        <v>3</v>
      </c>
      <c r="O123" s="174" t="str">
        <f t="shared" si="24"/>
        <v/>
      </c>
      <c r="P123" s="175" t="str">
        <f t="shared" si="25"/>
        <v/>
      </c>
      <c r="Q123" s="173">
        <f>+IFERROR(VLOOKUP($C123,[2]Detail!$B:$AR,43,0),"")</f>
        <v>296</v>
      </c>
      <c r="R123" s="161" t="str">
        <f t="shared" si="26"/>
        <v/>
      </c>
      <c r="S123" s="161">
        <f t="shared" si="28"/>
        <v>296</v>
      </c>
      <c r="T123" s="162" t="str">
        <f t="shared" si="27"/>
        <v/>
      </c>
      <c r="U123" s="163" t="str">
        <f>+IFERROR(VLOOKUP(C123,'[3]20.25'!B:D,3,0),"")</f>
        <v>Đóng gói</v>
      </c>
      <c r="V123" s="163">
        <v>326</v>
      </c>
      <c r="W123" s="163" t="e">
        <f>T123-V123</f>
        <v>#VALUE!</v>
      </c>
      <c r="X123" s="163" t="s">
        <v>462</v>
      </c>
    </row>
    <row r="124" spans="1:151" ht="33" hidden="1" customHeight="1" x14ac:dyDescent="0.45">
      <c r="A124" s="159">
        <v>88</v>
      </c>
      <c r="B124" s="159" t="e">
        <f t="shared" ref="B124:B125" si="29">B123+1</f>
        <v>#VALUE!</v>
      </c>
      <c r="C124" s="183" t="s">
        <v>154</v>
      </c>
      <c r="D124" s="184" t="s">
        <v>155</v>
      </c>
      <c r="E124" s="184"/>
      <c r="F124" s="171" t="s">
        <v>98</v>
      </c>
      <c r="G124" s="171" t="s">
        <v>91</v>
      </c>
      <c r="H124" s="172" t="s">
        <v>356</v>
      </c>
      <c r="I124" s="173">
        <f>+IFERROR(VLOOKUP($C124,'[1]Tăng ca Hr'!$E:$DN,114,0),"")</f>
        <v>6</v>
      </c>
      <c r="J124" s="174">
        <f t="shared" si="20"/>
        <v>6</v>
      </c>
      <c r="K124" s="174" t="str">
        <f t="shared" si="21"/>
        <v/>
      </c>
      <c r="L124" s="175" t="str">
        <f t="shared" si="22"/>
        <v/>
      </c>
      <c r="M124" s="173">
        <f>VLOOKUP(C124,'[1]Tăng ca Hr'!$E:$DJ,110,0)</f>
        <v>6</v>
      </c>
      <c r="N124" s="174">
        <f t="shared" si="23"/>
        <v>6</v>
      </c>
      <c r="O124" s="174" t="str">
        <f t="shared" si="24"/>
        <v/>
      </c>
      <c r="P124" s="175" t="str">
        <f t="shared" si="25"/>
        <v/>
      </c>
      <c r="Q124" s="173">
        <f>+IFERROR(VLOOKUP($C124,[2]Detail!$B:$AR,43,0),"")</f>
        <v>221</v>
      </c>
      <c r="R124" s="161">
        <f t="shared" si="26"/>
        <v>221</v>
      </c>
      <c r="S124" s="161" t="str">
        <f t="shared" si="28"/>
        <v/>
      </c>
      <c r="T124" s="162" t="str">
        <f t="shared" si="27"/>
        <v/>
      </c>
      <c r="U124" s="163" t="str">
        <f>+IFERROR(VLOOKUP(C124,'[3]20.25'!B:D,3,0),"")</f>
        <v>Đóng gói</v>
      </c>
      <c r="V124" s="163" t="s">
        <v>433</v>
      </c>
      <c r="W124" s="165"/>
      <c r="X124" s="163">
        <v>0</v>
      </c>
    </row>
    <row r="125" spans="1:151" ht="33" hidden="1" customHeight="1" x14ac:dyDescent="0.45">
      <c r="A125" s="159">
        <v>89</v>
      </c>
      <c r="B125" s="159" t="e">
        <f t="shared" si="29"/>
        <v>#VALUE!</v>
      </c>
      <c r="C125" s="183" t="s">
        <v>202</v>
      </c>
      <c r="D125" s="184" t="s">
        <v>203</v>
      </c>
      <c r="E125" s="184"/>
      <c r="F125" s="171" t="s">
        <v>98</v>
      </c>
      <c r="G125" s="171" t="s">
        <v>91</v>
      </c>
      <c r="H125" s="172" t="s">
        <v>357</v>
      </c>
      <c r="I125" s="173">
        <f>+IFERROR(VLOOKUP($C125,'[1]Tăng ca Hr'!$E:$DN,114,0),"")</f>
        <v>0</v>
      </c>
      <c r="J125" s="174">
        <f t="shared" si="20"/>
        <v>0</v>
      </c>
      <c r="K125" s="174" t="str">
        <f t="shared" si="21"/>
        <v/>
      </c>
      <c r="L125" s="175" t="str">
        <f t="shared" si="22"/>
        <v/>
      </c>
      <c r="M125" s="173">
        <f>VLOOKUP(C125,'[1]Tăng ca Hr'!$E:$DJ,110,0)</f>
        <v>0</v>
      </c>
      <c r="N125" s="174">
        <f t="shared" si="23"/>
        <v>0</v>
      </c>
      <c r="O125" s="174" t="str">
        <f t="shared" si="24"/>
        <v/>
      </c>
      <c r="P125" s="175" t="str">
        <f t="shared" si="25"/>
        <v/>
      </c>
      <c r="Q125" s="173">
        <f>+IFERROR(VLOOKUP($C125,[2]Detail!$B:$AR,43,0),"")</f>
        <v>291</v>
      </c>
      <c r="R125" s="161" t="str">
        <f t="shared" si="26"/>
        <v/>
      </c>
      <c r="S125" s="161">
        <f t="shared" si="28"/>
        <v>291</v>
      </c>
      <c r="T125" s="162" t="str">
        <f t="shared" si="27"/>
        <v/>
      </c>
      <c r="U125" s="163" t="str">
        <f>+IFERROR(VLOOKUP(C125,'[3]20.25'!B:D,3,0),"")</f>
        <v>Đóng gói</v>
      </c>
      <c r="V125" s="163" t="s">
        <v>433</v>
      </c>
      <c r="W125" s="165"/>
      <c r="X125" s="163" t="e">
        <v>#N/A</v>
      </c>
    </row>
    <row r="126" spans="1:151" ht="33" hidden="1" customHeight="1" x14ac:dyDescent="0.45">
      <c r="A126" s="159">
        <v>90</v>
      </c>
      <c r="B126" s="160" t="s">
        <v>94</v>
      </c>
      <c r="C126" s="183" t="s">
        <v>204</v>
      </c>
      <c r="D126" s="184" t="s">
        <v>205</v>
      </c>
      <c r="E126" s="184"/>
      <c r="F126" s="171" t="s">
        <v>98</v>
      </c>
      <c r="G126" s="171" t="s">
        <v>91</v>
      </c>
      <c r="H126" s="172">
        <v>45377</v>
      </c>
      <c r="I126" s="173">
        <f>+IFERROR(VLOOKUP($C126,'[1]Tăng ca Hr'!$E:$DN,114,0),"")</f>
        <v>0</v>
      </c>
      <c r="J126" s="174">
        <f t="shared" ref="J126:J146" si="30">IF(I126&lt;=8,I126,"")</f>
        <v>0</v>
      </c>
      <c r="K126" s="174" t="str">
        <f t="shared" ref="K126:K146" si="31">IF(AND(I126&gt;8,I126&lt;12),I126,"")</f>
        <v/>
      </c>
      <c r="L126" s="175" t="str">
        <f t="shared" ref="L126:L146" si="32">IF(I126&gt;=12,I126,"")</f>
        <v/>
      </c>
      <c r="M126" s="173">
        <f>VLOOKUP(C126,'[1]Tăng ca Hr'!$E:$DJ,110,0)</f>
        <v>0</v>
      </c>
      <c r="N126" s="174">
        <f t="shared" ref="N126:N146" si="33">IF(M126&lt;=28,M126,"")</f>
        <v>0</v>
      </c>
      <c r="O126" s="174" t="str">
        <f t="shared" ref="O126:O146" si="34">IF(AND(M126&gt;28,M126&lt;36),M126,"")</f>
        <v/>
      </c>
      <c r="P126" s="175" t="str">
        <f t="shared" ref="P126:P146" si="35">IF(M126&gt;=36,M126,"")</f>
        <v/>
      </c>
      <c r="Q126" s="173">
        <f>+IFERROR(VLOOKUP($C126,[2]Detail!$B:$AR,43,0),"")</f>
        <v>300.5</v>
      </c>
      <c r="R126" s="161" t="str">
        <f t="shared" ref="R126:R146" si="36">IF(Q126&lt;=250,Q126,"")</f>
        <v/>
      </c>
      <c r="S126" s="161" t="str">
        <f t="shared" si="28"/>
        <v/>
      </c>
      <c r="T126" s="162">
        <f t="shared" ref="T126:T138" si="37">IF(Q126&gt;=300,Q126,"")</f>
        <v>300.5</v>
      </c>
      <c r="U126" s="163" t="str">
        <f>+IFERROR(VLOOKUP(C126,'[3]20.25'!B:D,3,0),"")</f>
        <v>AUTO Dương</v>
      </c>
      <c r="V126" s="163" t="s">
        <v>433</v>
      </c>
      <c r="W126" s="165"/>
      <c r="X126" s="163" t="s">
        <v>459</v>
      </c>
    </row>
    <row r="127" spans="1:151" ht="33" hidden="1" customHeight="1" x14ac:dyDescent="0.45">
      <c r="A127" s="159">
        <v>91</v>
      </c>
      <c r="B127" s="160" t="s">
        <v>94</v>
      </c>
      <c r="C127" s="183" t="s">
        <v>206</v>
      </c>
      <c r="D127" s="186" t="s">
        <v>207</v>
      </c>
      <c r="E127" s="184"/>
      <c r="F127" s="171" t="s">
        <v>98</v>
      </c>
      <c r="G127" s="171" t="s">
        <v>91</v>
      </c>
      <c r="H127" s="172">
        <v>0</v>
      </c>
      <c r="I127" s="173">
        <f>+IFERROR(VLOOKUP($C127,'[1]Tăng ca Hr'!$E:$DN,114,0),"")</f>
        <v>0</v>
      </c>
      <c r="J127" s="174">
        <f t="shared" si="30"/>
        <v>0</v>
      </c>
      <c r="K127" s="174" t="str">
        <f t="shared" si="31"/>
        <v/>
      </c>
      <c r="L127" s="175" t="str">
        <f t="shared" si="32"/>
        <v/>
      </c>
      <c r="M127" s="173">
        <f>VLOOKUP(C127,'[1]Tăng ca Hr'!$E:$DJ,110,0)</f>
        <v>0</v>
      </c>
      <c r="N127" s="174">
        <f t="shared" si="33"/>
        <v>0</v>
      </c>
      <c r="O127" s="174" t="str">
        <f t="shared" si="34"/>
        <v/>
      </c>
      <c r="P127" s="175" t="str">
        <f t="shared" si="35"/>
        <v/>
      </c>
      <c r="Q127" s="173">
        <f>+IFERROR(VLOOKUP($C127,[2]Detail!$B:$AR,43,0),"")</f>
        <v>300</v>
      </c>
      <c r="R127" s="161" t="str">
        <f t="shared" si="36"/>
        <v/>
      </c>
      <c r="S127" s="161" t="str">
        <f t="shared" si="28"/>
        <v/>
      </c>
      <c r="T127" s="162">
        <f t="shared" si="37"/>
        <v>300</v>
      </c>
      <c r="U127" s="163" t="str">
        <f>+IFERROR(VLOOKUP(C127,'[3]20.25'!B:D,3,0),"")</f>
        <v>AUTO Linh</v>
      </c>
      <c r="V127" s="163" t="s">
        <v>433</v>
      </c>
      <c r="W127" s="165"/>
      <c r="X127" s="163" t="s">
        <v>457</v>
      </c>
    </row>
    <row r="128" spans="1:151" ht="33" hidden="1" customHeight="1" x14ac:dyDescent="0.45">
      <c r="A128" s="159">
        <v>92</v>
      </c>
      <c r="B128" s="160" t="s">
        <v>366</v>
      </c>
      <c r="C128" s="183" t="s">
        <v>306</v>
      </c>
      <c r="D128" s="184" t="s">
        <v>307</v>
      </c>
      <c r="E128" s="184"/>
      <c r="F128" s="171" t="s">
        <v>98</v>
      </c>
      <c r="G128" s="171" t="s">
        <v>91</v>
      </c>
      <c r="H128" s="172">
        <v>46143</v>
      </c>
      <c r="I128" s="173">
        <f>+IFERROR(VLOOKUP($C128,'[1]Tăng ca Hr'!$E:$DN,114,0),"")</f>
        <v>0</v>
      </c>
      <c r="J128" s="174">
        <f t="shared" si="30"/>
        <v>0</v>
      </c>
      <c r="K128" s="174" t="str">
        <f t="shared" si="31"/>
        <v/>
      </c>
      <c r="L128" s="175" t="str">
        <f t="shared" si="32"/>
        <v/>
      </c>
      <c r="M128" s="173">
        <f>VLOOKUP(C128,'[1]Tăng ca Hr'!$E:$DJ,110,0)</f>
        <v>0</v>
      </c>
      <c r="N128" s="174">
        <f t="shared" si="33"/>
        <v>0</v>
      </c>
      <c r="O128" s="174" t="str">
        <f t="shared" si="34"/>
        <v/>
      </c>
      <c r="P128" s="175" t="str">
        <f t="shared" si="35"/>
        <v/>
      </c>
      <c r="Q128" s="173">
        <f>+IFERROR(VLOOKUP($C128,[2]Detail!$B:$AR,43,0),"")</f>
        <v>299</v>
      </c>
      <c r="R128" s="161" t="str">
        <f t="shared" si="36"/>
        <v/>
      </c>
      <c r="S128" s="161">
        <f t="shared" si="28"/>
        <v>299</v>
      </c>
      <c r="T128" s="162" t="str">
        <f t="shared" si="37"/>
        <v/>
      </c>
      <c r="U128" s="163" t="str">
        <f>+IFERROR(VLOOKUP(C128,'[3]20.25'!B:D,3,0),"")</f>
        <v>Đổ</v>
      </c>
      <c r="V128" s="163" t="s">
        <v>433</v>
      </c>
      <c r="W128" s="165"/>
      <c r="X128" s="163">
        <v>0</v>
      </c>
    </row>
    <row r="129" spans="1:151" ht="33" hidden="1" customHeight="1" x14ac:dyDescent="0.35">
      <c r="A129" s="159">
        <v>93</v>
      </c>
      <c r="B129" s="160" t="s">
        <v>94</v>
      </c>
      <c r="C129" s="169" t="s">
        <v>212</v>
      </c>
      <c r="D129" s="186" t="s">
        <v>213</v>
      </c>
      <c r="E129" s="185"/>
      <c r="F129" s="171" t="s">
        <v>98</v>
      </c>
      <c r="G129" s="171" t="s">
        <v>91</v>
      </c>
      <c r="H129" s="172">
        <v>44118</v>
      </c>
      <c r="I129" s="173">
        <f>+IFERROR(VLOOKUP($C129,'[1]Tăng ca Hr'!$E:$DN,114,0),"")</f>
        <v>4</v>
      </c>
      <c r="J129" s="174">
        <f t="shared" si="30"/>
        <v>4</v>
      </c>
      <c r="K129" s="174" t="str">
        <f t="shared" si="31"/>
        <v/>
      </c>
      <c r="L129" s="175" t="str">
        <f t="shared" si="32"/>
        <v/>
      </c>
      <c r="M129" s="173">
        <f>VLOOKUP(C129,'[1]Tăng ca Hr'!$E:$DJ,110,0)</f>
        <v>4</v>
      </c>
      <c r="N129" s="174">
        <f t="shared" si="33"/>
        <v>4</v>
      </c>
      <c r="O129" s="174" t="str">
        <f t="shared" si="34"/>
        <v/>
      </c>
      <c r="P129" s="175" t="str">
        <f t="shared" si="35"/>
        <v/>
      </c>
      <c r="Q129" s="173">
        <f>+IFERROR(VLOOKUP($C129,[2]Detail!$B:$AR,43,0),"")</f>
        <v>296</v>
      </c>
      <c r="R129" s="161" t="str">
        <f t="shared" si="36"/>
        <v/>
      </c>
      <c r="S129" s="161">
        <f t="shared" si="28"/>
        <v>296</v>
      </c>
      <c r="T129" s="162" t="str">
        <f t="shared" si="37"/>
        <v/>
      </c>
      <c r="U129" s="163" t="str">
        <f>+IFERROR(VLOOKUP(C129,'[3]20.25'!B:D,3,0),"")</f>
        <v>AUTO Hưởng</v>
      </c>
      <c r="V129" s="163" t="s">
        <v>433</v>
      </c>
      <c r="W129" s="163"/>
      <c r="X129" s="163" t="s">
        <v>456</v>
      </c>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c r="BM129" s="35"/>
      <c r="BN129" s="35"/>
      <c r="BO129" s="35"/>
      <c r="BP129" s="35"/>
      <c r="BQ129" s="35"/>
      <c r="BR129" s="35"/>
      <c r="BS129" s="35"/>
      <c r="BT129" s="35"/>
      <c r="BU129" s="35"/>
      <c r="BV129" s="35"/>
      <c r="BW129" s="35"/>
      <c r="BX129" s="35"/>
      <c r="BY129" s="35"/>
      <c r="BZ129" s="35"/>
      <c r="CA129" s="35"/>
      <c r="CB129" s="35"/>
      <c r="CC129" s="35"/>
      <c r="CD129" s="35"/>
      <c r="CE129" s="35"/>
      <c r="CF129" s="35"/>
      <c r="CG129" s="35"/>
      <c r="CH129" s="35"/>
      <c r="CI129" s="35"/>
      <c r="CJ129" s="35"/>
      <c r="CK129" s="35"/>
      <c r="CL129" s="35"/>
      <c r="CM129" s="35"/>
      <c r="CN129" s="35"/>
      <c r="CO129" s="35"/>
      <c r="CP129" s="35"/>
      <c r="CQ129" s="35"/>
      <c r="CR129" s="35"/>
      <c r="CS129" s="35"/>
      <c r="CT129" s="35"/>
      <c r="CU129" s="35"/>
      <c r="CV129" s="35"/>
      <c r="CW129" s="35"/>
      <c r="CX129" s="35"/>
      <c r="CY129" s="35"/>
      <c r="CZ129" s="35"/>
      <c r="DA129" s="35"/>
      <c r="DB129" s="35"/>
      <c r="DC129" s="35"/>
      <c r="DD129" s="35"/>
      <c r="DE129" s="35"/>
      <c r="DF129" s="35"/>
      <c r="DG129" s="35"/>
      <c r="DH129" s="35"/>
      <c r="DI129" s="35"/>
      <c r="DJ129" s="35"/>
      <c r="DK129" s="35"/>
      <c r="DL129" s="35"/>
      <c r="DM129" s="35"/>
      <c r="DN129" s="35"/>
      <c r="DO129" s="35"/>
      <c r="DP129" s="35"/>
      <c r="DQ129" s="35"/>
      <c r="DR129" s="35"/>
      <c r="DS129" s="35"/>
      <c r="DT129" s="35"/>
      <c r="DU129" s="35"/>
      <c r="DV129" s="35"/>
      <c r="DW129" s="35"/>
      <c r="DX129" s="35"/>
      <c r="DY129" s="35"/>
      <c r="DZ129" s="35"/>
      <c r="EA129" s="35"/>
      <c r="EB129" s="35"/>
      <c r="EC129" s="35"/>
      <c r="ED129" s="35"/>
      <c r="EE129" s="35"/>
      <c r="EF129" s="35"/>
      <c r="EG129" s="35"/>
      <c r="EH129" s="35"/>
      <c r="EI129" s="35"/>
      <c r="EJ129" s="35"/>
      <c r="EK129" s="35"/>
      <c r="EL129" s="35"/>
      <c r="EM129" s="35"/>
      <c r="EN129" s="35"/>
      <c r="EO129" s="35"/>
      <c r="EP129" s="35"/>
      <c r="EQ129" s="35"/>
      <c r="ER129" s="35"/>
      <c r="ES129" s="35"/>
      <c r="ET129" s="35"/>
      <c r="EU129" s="35"/>
    </row>
    <row r="130" spans="1:151" ht="33" hidden="1" customHeight="1" x14ac:dyDescent="0.35">
      <c r="A130" s="159">
        <v>94</v>
      </c>
      <c r="B130" s="160" t="s">
        <v>94</v>
      </c>
      <c r="C130" s="183" t="s">
        <v>214</v>
      </c>
      <c r="D130" s="184" t="s">
        <v>308</v>
      </c>
      <c r="E130" s="185"/>
      <c r="F130" s="171" t="s">
        <v>98</v>
      </c>
      <c r="G130" s="171" t="s">
        <v>91</v>
      </c>
      <c r="H130" s="172">
        <v>43844</v>
      </c>
      <c r="I130" s="173">
        <f>+IFERROR(VLOOKUP($C130,'[1]Tăng ca Hr'!$E:$DN,114,0),"")</f>
        <v>0</v>
      </c>
      <c r="J130" s="174">
        <f t="shared" si="30"/>
        <v>0</v>
      </c>
      <c r="K130" s="174" t="str">
        <f t="shared" si="31"/>
        <v/>
      </c>
      <c r="L130" s="175" t="str">
        <f t="shared" si="32"/>
        <v/>
      </c>
      <c r="M130" s="173">
        <f>VLOOKUP(C130,'[1]Tăng ca Hr'!$E:$DJ,110,0)</f>
        <v>0</v>
      </c>
      <c r="N130" s="174">
        <f t="shared" si="33"/>
        <v>0</v>
      </c>
      <c r="O130" s="174" t="str">
        <f t="shared" si="34"/>
        <v/>
      </c>
      <c r="P130" s="175" t="str">
        <f t="shared" si="35"/>
        <v/>
      </c>
      <c r="Q130" s="173">
        <f>+IFERROR(VLOOKUP($C130,[2]Detail!$B:$AR,43,0),"")</f>
        <v>298</v>
      </c>
      <c r="R130" s="161" t="str">
        <f t="shared" si="36"/>
        <v/>
      </c>
      <c r="S130" s="161">
        <f t="shared" si="28"/>
        <v>298</v>
      </c>
      <c r="T130" s="162" t="str">
        <f t="shared" si="37"/>
        <v/>
      </c>
      <c r="U130" s="163" t="str">
        <f>+IFERROR(VLOOKUP(C130,'[3]20.25'!B:D,3,0),"")</f>
        <v>AUTO Dương</v>
      </c>
      <c r="V130" s="163" t="s">
        <v>433</v>
      </c>
      <c r="W130" s="163"/>
      <c r="X130" s="163" t="s">
        <v>456</v>
      </c>
      <c r="Y130" s="35"/>
      <c r="Z130" s="35"/>
      <c r="AA130" s="35"/>
      <c r="AB130" s="35"/>
      <c r="AC130" s="35"/>
      <c r="AD130" s="35"/>
      <c r="AE130" s="35"/>
      <c r="AF130" s="35"/>
      <c r="AG130" s="35"/>
      <c r="AH130" s="35"/>
      <c r="AI130" s="42"/>
      <c r="AJ130" s="42"/>
      <c r="AK130" s="42"/>
      <c r="AL130" s="42"/>
      <c r="AM130" s="42"/>
      <c r="AN130" s="42"/>
      <c r="AO130" s="42"/>
      <c r="AP130" s="42"/>
      <c r="AQ130" s="42"/>
      <c r="AR130" s="42"/>
      <c r="AS130" s="42"/>
      <c r="AT130" s="42"/>
      <c r="AU130" s="42"/>
      <c r="AV130" s="42"/>
      <c r="AW130" s="42"/>
      <c r="AX130" s="42"/>
      <c r="AY130" s="42"/>
      <c r="AZ130" s="42"/>
      <c r="BA130" s="42"/>
      <c r="BB130" s="42"/>
      <c r="BC130" s="42"/>
      <c r="BD130" s="42"/>
      <c r="BE130" s="42"/>
      <c r="BF130" s="42"/>
      <c r="BG130" s="42"/>
      <c r="BH130" s="42"/>
      <c r="BI130" s="42"/>
      <c r="BJ130" s="42"/>
      <c r="BK130" s="42"/>
      <c r="BL130" s="42"/>
      <c r="BM130" s="42"/>
      <c r="BN130" s="42"/>
      <c r="BO130" s="42"/>
      <c r="BP130" s="42"/>
      <c r="BQ130" s="42"/>
      <c r="BR130" s="42"/>
      <c r="BS130" s="42"/>
      <c r="BT130" s="42"/>
      <c r="BU130" s="42"/>
      <c r="BV130" s="42"/>
      <c r="BW130" s="42"/>
      <c r="BX130" s="42"/>
      <c r="BY130" s="42"/>
      <c r="BZ130" s="42"/>
      <c r="CA130" s="42"/>
      <c r="CB130" s="42"/>
      <c r="CC130" s="42"/>
      <c r="CD130" s="42"/>
      <c r="CE130" s="42"/>
      <c r="CF130" s="42"/>
      <c r="CG130" s="42"/>
      <c r="CH130" s="42"/>
      <c r="CI130" s="42"/>
      <c r="CJ130" s="42"/>
      <c r="CK130" s="42"/>
      <c r="CL130" s="42"/>
      <c r="CM130" s="42"/>
      <c r="CN130" s="42"/>
      <c r="CO130" s="42"/>
      <c r="CP130" s="42"/>
      <c r="CQ130" s="42"/>
      <c r="CR130" s="42"/>
      <c r="CS130" s="42"/>
      <c r="CT130" s="42"/>
      <c r="CU130" s="42"/>
      <c r="CV130" s="42"/>
      <c r="CW130" s="42"/>
      <c r="CX130" s="42"/>
      <c r="CY130" s="42"/>
      <c r="CZ130" s="42"/>
      <c r="DA130" s="42"/>
      <c r="DB130" s="42"/>
      <c r="DC130" s="42"/>
      <c r="DD130" s="42"/>
      <c r="DE130" s="42"/>
      <c r="DF130" s="42"/>
      <c r="DG130" s="42"/>
      <c r="DH130" s="42"/>
      <c r="DI130" s="42"/>
      <c r="DJ130" s="42"/>
      <c r="DK130" s="42"/>
      <c r="DL130" s="42"/>
      <c r="DM130" s="42"/>
      <c r="DN130" s="42"/>
      <c r="DO130" s="42"/>
      <c r="DP130" s="42"/>
      <c r="DQ130" s="42"/>
      <c r="DR130" s="42"/>
      <c r="DS130" s="42"/>
      <c r="DT130" s="42"/>
      <c r="DU130" s="42"/>
      <c r="DV130" s="42"/>
      <c r="DW130" s="42"/>
      <c r="DX130" s="42"/>
      <c r="DY130" s="42"/>
      <c r="DZ130" s="42"/>
      <c r="EA130" s="42"/>
      <c r="EB130" s="42"/>
      <c r="EC130" s="42"/>
      <c r="ED130" s="42"/>
      <c r="EE130" s="42"/>
      <c r="EF130" s="42"/>
      <c r="EG130" s="42"/>
      <c r="EH130" s="42"/>
      <c r="EI130" s="42"/>
      <c r="EJ130" s="42"/>
      <c r="EK130" s="42"/>
      <c r="EL130" s="42"/>
      <c r="EM130" s="42"/>
      <c r="EN130" s="42"/>
      <c r="EO130" s="42"/>
      <c r="EP130" s="42"/>
      <c r="EQ130" s="42"/>
      <c r="ER130" s="42"/>
      <c r="ES130" s="42"/>
      <c r="ET130" s="42"/>
      <c r="EU130" s="42"/>
    </row>
    <row r="131" spans="1:151" ht="33" hidden="1" customHeight="1" x14ac:dyDescent="0.35">
      <c r="A131" s="159">
        <v>95</v>
      </c>
      <c r="B131" s="160" t="s">
        <v>94</v>
      </c>
      <c r="C131" s="187" t="s">
        <v>215</v>
      </c>
      <c r="D131" s="188" t="s">
        <v>216</v>
      </c>
      <c r="E131" s="185"/>
      <c r="F131" s="171" t="s">
        <v>98</v>
      </c>
      <c r="G131" s="171" t="s">
        <v>91</v>
      </c>
      <c r="H131" s="172">
        <v>44144</v>
      </c>
      <c r="I131" s="173">
        <f>+IFERROR(VLOOKUP($C131,'[1]Tăng ca Hr'!$E:$DN,114,0),"")</f>
        <v>0</v>
      </c>
      <c r="J131" s="174">
        <f t="shared" si="30"/>
        <v>0</v>
      </c>
      <c r="K131" s="174" t="str">
        <f t="shared" si="31"/>
        <v/>
      </c>
      <c r="L131" s="175" t="str">
        <f t="shared" si="32"/>
        <v/>
      </c>
      <c r="M131" s="173">
        <f>VLOOKUP(C131,'[1]Tăng ca Hr'!$E:$DJ,110,0)</f>
        <v>0</v>
      </c>
      <c r="N131" s="174">
        <f t="shared" si="33"/>
        <v>0</v>
      </c>
      <c r="O131" s="174" t="str">
        <f t="shared" si="34"/>
        <v/>
      </c>
      <c r="P131" s="175" t="str">
        <f t="shared" si="35"/>
        <v/>
      </c>
      <c r="Q131" s="173">
        <f>+IFERROR(VLOOKUP($C131,[2]Detail!$B:$AR,43,0),"")</f>
        <v>298</v>
      </c>
      <c r="R131" s="161" t="str">
        <f t="shared" si="36"/>
        <v/>
      </c>
      <c r="S131" s="161">
        <f t="shared" si="28"/>
        <v>298</v>
      </c>
      <c r="T131" s="162" t="str">
        <f t="shared" si="37"/>
        <v/>
      </c>
      <c r="U131" s="163" t="str">
        <f>+IFERROR(VLOOKUP(C131,'[3]20.25'!B:D,3,0),"")</f>
        <v>Đóng gói</v>
      </c>
      <c r="V131" s="163" t="s">
        <v>433</v>
      </c>
      <c r="W131" s="163"/>
      <c r="X131" s="163" t="s">
        <v>456</v>
      </c>
      <c r="Y131" s="35"/>
      <c r="Z131" s="35"/>
      <c r="AA131" s="35"/>
      <c r="AB131" s="35"/>
      <c r="AC131" s="35"/>
      <c r="AD131" s="35"/>
      <c r="AE131" s="35"/>
      <c r="AF131" s="35"/>
      <c r="AG131" s="35"/>
      <c r="AH131" s="35"/>
      <c r="AI131" s="42"/>
      <c r="AJ131" s="42"/>
      <c r="AK131" s="42"/>
      <c r="AL131" s="42"/>
      <c r="AM131" s="42"/>
      <c r="AN131" s="42"/>
      <c r="AO131" s="42"/>
      <c r="AP131" s="42"/>
      <c r="AQ131" s="42"/>
      <c r="AR131" s="42"/>
      <c r="AS131" s="42"/>
      <c r="AT131" s="42"/>
      <c r="AU131" s="42"/>
      <c r="AV131" s="42"/>
      <c r="AW131" s="42"/>
      <c r="AX131" s="42"/>
      <c r="AY131" s="42"/>
      <c r="AZ131" s="42"/>
      <c r="BA131" s="42"/>
      <c r="BB131" s="42"/>
      <c r="BC131" s="42"/>
      <c r="BD131" s="42"/>
      <c r="BE131" s="42"/>
      <c r="BF131" s="42"/>
      <c r="BG131" s="42"/>
      <c r="BH131" s="42"/>
      <c r="BI131" s="42"/>
      <c r="BJ131" s="42"/>
      <c r="BK131" s="42"/>
      <c r="BL131" s="42"/>
      <c r="BM131" s="42"/>
      <c r="BN131" s="42"/>
      <c r="BO131" s="42"/>
      <c r="BP131" s="42"/>
      <c r="BQ131" s="42"/>
      <c r="BR131" s="42"/>
      <c r="BS131" s="42"/>
      <c r="BT131" s="42"/>
      <c r="BU131" s="42"/>
      <c r="BV131" s="42"/>
      <c r="BW131" s="42"/>
      <c r="BX131" s="42"/>
      <c r="BY131" s="42"/>
      <c r="BZ131" s="42"/>
      <c r="CA131" s="42"/>
      <c r="CB131" s="42"/>
      <c r="CC131" s="42"/>
      <c r="CD131" s="42"/>
      <c r="CE131" s="42"/>
      <c r="CF131" s="42"/>
      <c r="CG131" s="42"/>
      <c r="CH131" s="42"/>
      <c r="CI131" s="42"/>
      <c r="CJ131" s="42"/>
      <c r="CK131" s="42"/>
      <c r="CL131" s="42"/>
      <c r="CM131" s="42"/>
      <c r="CN131" s="42"/>
      <c r="CO131" s="42"/>
      <c r="CP131" s="42"/>
      <c r="CQ131" s="42"/>
      <c r="CR131" s="42"/>
      <c r="CS131" s="42"/>
      <c r="CT131" s="42"/>
      <c r="CU131" s="42"/>
      <c r="CV131" s="42"/>
      <c r="CW131" s="42"/>
      <c r="CX131" s="42"/>
      <c r="CY131" s="42"/>
      <c r="CZ131" s="42"/>
      <c r="DA131" s="42"/>
      <c r="DB131" s="42"/>
      <c r="DC131" s="42"/>
      <c r="DD131" s="42"/>
      <c r="DE131" s="42"/>
      <c r="DF131" s="42"/>
      <c r="DG131" s="42"/>
      <c r="DH131" s="42"/>
      <c r="DI131" s="42"/>
      <c r="DJ131" s="42"/>
      <c r="DK131" s="42"/>
      <c r="DL131" s="42"/>
      <c r="DM131" s="42"/>
      <c r="DN131" s="42"/>
      <c r="DO131" s="42"/>
      <c r="DP131" s="42"/>
      <c r="DQ131" s="42"/>
      <c r="DR131" s="42"/>
      <c r="DS131" s="42"/>
      <c r="DT131" s="42"/>
      <c r="DU131" s="42"/>
      <c r="DV131" s="42"/>
      <c r="DW131" s="42"/>
      <c r="DX131" s="42"/>
      <c r="DY131" s="42"/>
      <c r="DZ131" s="42"/>
      <c r="EA131" s="42"/>
      <c r="EB131" s="42"/>
      <c r="EC131" s="42"/>
      <c r="ED131" s="42"/>
      <c r="EE131" s="42"/>
      <c r="EF131" s="42"/>
      <c r="EG131" s="42"/>
      <c r="EH131" s="42"/>
      <c r="EI131" s="42"/>
      <c r="EJ131" s="42"/>
      <c r="EK131" s="42"/>
      <c r="EL131" s="42"/>
      <c r="EM131" s="42"/>
      <c r="EN131" s="42"/>
      <c r="EO131" s="42"/>
      <c r="EP131" s="42"/>
      <c r="EQ131" s="42"/>
      <c r="ER131" s="42"/>
      <c r="ES131" s="42"/>
      <c r="ET131" s="42"/>
      <c r="EU131" s="42"/>
    </row>
    <row r="132" spans="1:151" ht="33" hidden="1" customHeight="1" x14ac:dyDescent="0.35">
      <c r="A132" s="159">
        <v>96</v>
      </c>
      <c r="B132" s="160" t="s">
        <v>94</v>
      </c>
      <c r="C132" s="183" t="s">
        <v>217</v>
      </c>
      <c r="D132" s="184" t="s">
        <v>218</v>
      </c>
      <c r="E132" s="185"/>
      <c r="F132" s="171" t="s">
        <v>98</v>
      </c>
      <c r="G132" s="171" t="s">
        <v>91</v>
      </c>
      <c r="H132" s="172">
        <v>44118</v>
      </c>
      <c r="I132" s="173">
        <f>+IFERROR(VLOOKUP($C132,'[1]Tăng ca Hr'!$E:$DN,114,0),"")</f>
        <v>0</v>
      </c>
      <c r="J132" s="174">
        <f t="shared" si="30"/>
        <v>0</v>
      </c>
      <c r="K132" s="174" t="str">
        <f t="shared" si="31"/>
        <v/>
      </c>
      <c r="L132" s="175" t="str">
        <f t="shared" si="32"/>
        <v/>
      </c>
      <c r="M132" s="173">
        <f>VLOOKUP(C132,'[1]Tăng ca Hr'!$E:$DJ,110,0)</f>
        <v>0</v>
      </c>
      <c r="N132" s="174">
        <f t="shared" si="33"/>
        <v>0</v>
      </c>
      <c r="O132" s="174" t="str">
        <f t="shared" si="34"/>
        <v/>
      </c>
      <c r="P132" s="175" t="str">
        <f t="shared" si="35"/>
        <v/>
      </c>
      <c r="Q132" s="173">
        <f>+IFERROR(VLOOKUP($C132,[2]Detail!$B:$AR,43,0),"")</f>
        <v>297.5</v>
      </c>
      <c r="R132" s="161" t="str">
        <f t="shared" si="36"/>
        <v/>
      </c>
      <c r="S132" s="161">
        <f t="shared" si="28"/>
        <v>297.5</v>
      </c>
      <c r="T132" s="162" t="str">
        <f t="shared" si="37"/>
        <v/>
      </c>
      <c r="U132" s="163" t="str">
        <f>+IFERROR(VLOOKUP(C132,'[3]20.25'!B:D,3,0),"")</f>
        <v>AUTO Linh</v>
      </c>
      <c r="V132" s="163" t="s">
        <v>433</v>
      </c>
      <c r="W132" s="163"/>
      <c r="X132" s="163" t="s">
        <v>456</v>
      </c>
      <c r="Y132" s="35"/>
      <c r="Z132" s="35"/>
      <c r="AA132" s="35"/>
      <c r="AB132" s="35"/>
      <c r="AC132" s="35"/>
      <c r="AD132" s="35"/>
      <c r="AE132" s="35"/>
      <c r="AF132" s="35"/>
      <c r="AG132" s="35"/>
      <c r="AH132" s="35"/>
      <c r="AI132" s="42"/>
      <c r="AJ132" s="42"/>
      <c r="AK132" s="42"/>
      <c r="AL132" s="42"/>
      <c r="AM132" s="42"/>
      <c r="AN132" s="42"/>
      <c r="AO132" s="42"/>
      <c r="AP132" s="42"/>
      <c r="AQ132" s="42"/>
      <c r="AR132" s="42"/>
      <c r="AS132" s="42"/>
      <c r="AT132" s="42"/>
      <c r="AU132" s="42"/>
      <c r="AV132" s="42"/>
      <c r="AW132" s="42"/>
      <c r="AX132" s="42"/>
      <c r="AY132" s="42"/>
      <c r="AZ132" s="42"/>
      <c r="BA132" s="42"/>
      <c r="BB132" s="42"/>
      <c r="BC132" s="42"/>
      <c r="BD132" s="42"/>
      <c r="BE132" s="42"/>
      <c r="BF132" s="42"/>
      <c r="BG132" s="42"/>
      <c r="BH132" s="42"/>
      <c r="BI132" s="42"/>
      <c r="BJ132" s="42"/>
      <c r="BK132" s="42"/>
      <c r="BL132" s="42"/>
      <c r="BM132" s="42"/>
      <c r="BN132" s="42"/>
      <c r="BO132" s="42"/>
      <c r="BP132" s="42"/>
      <c r="BQ132" s="42"/>
      <c r="BR132" s="42"/>
      <c r="BS132" s="42"/>
      <c r="BT132" s="42"/>
      <c r="BU132" s="42"/>
      <c r="BV132" s="42"/>
      <c r="BW132" s="42"/>
      <c r="BX132" s="42"/>
      <c r="BY132" s="42"/>
      <c r="BZ132" s="42"/>
      <c r="CA132" s="42"/>
      <c r="CB132" s="42"/>
      <c r="CC132" s="42"/>
      <c r="CD132" s="42"/>
      <c r="CE132" s="42"/>
      <c r="CF132" s="42"/>
      <c r="CG132" s="42"/>
      <c r="CH132" s="42"/>
      <c r="CI132" s="42"/>
      <c r="CJ132" s="42"/>
      <c r="CK132" s="42"/>
      <c r="CL132" s="42"/>
      <c r="CM132" s="42"/>
      <c r="CN132" s="42"/>
      <c r="CO132" s="42"/>
      <c r="CP132" s="42"/>
      <c r="CQ132" s="42"/>
      <c r="CR132" s="42"/>
      <c r="CS132" s="42"/>
      <c r="CT132" s="42"/>
      <c r="CU132" s="42"/>
      <c r="CV132" s="42"/>
      <c r="CW132" s="42"/>
      <c r="CX132" s="42"/>
      <c r="CY132" s="42"/>
      <c r="CZ132" s="42"/>
      <c r="DA132" s="42"/>
      <c r="DB132" s="42"/>
      <c r="DC132" s="42"/>
      <c r="DD132" s="42"/>
      <c r="DE132" s="42"/>
      <c r="DF132" s="42"/>
      <c r="DG132" s="42"/>
      <c r="DH132" s="42"/>
      <c r="DI132" s="42"/>
      <c r="DJ132" s="42"/>
      <c r="DK132" s="42"/>
      <c r="DL132" s="42"/>
      <c r="DM132" s="42"/>
      <c r="DN132" s="42"/>
      <c r="DO132" s="42"/>
      <c r="DP132" s="42"/>
      <c r="DQ132" s="42"/>
      <c r="DR132" s="42"/>
      <c r="DS132" s="42"/>
      <c r="DT132" s="42"/>
      <c r="DU132" s="42"/>
      <c r="DV132" s="42"/>
      <c r="DW132" s="42"/>
      <c r="DX132" s="42"/>
      <c r="DY132" s="42"/>
      <c r="DZ132" s="42"/>
      <c r="EA132" s="42"/>
      <c r="EB132" s="42"/>
      <c r="EC132" s="42"/>
      <c r="ED132" s="42"/>
      <c r="EE132" s="42"/>
      <c r="EF132" s="42"/>
      <c r="EG132" s="42"/>
      <c r="EH132" s="42"/>
      <c r="EI132" s="42"/>
      <c r="EJ132" s="42"/>
      <c r="EK132" s="42"/>
      <c r="EL132" s="42"/>
      <c r="EM132" s="42"/>
      <c r="EN132" s="42"/>
      <c r="EO132" s="42"/>
      <c r="EP132" s="42"/>
      <c r="EQ132" s="42"/>
      <c r="ER132" s="42"/>
      <c r="ES132" s="42"/>
      <c r="ET132" s="42"/>
      <c r="EU132" s="42"/>
    </row>
    <row r="133" spans="1:151" ht="33" hidden="1" customHeight="1" x14ac:dyDescent="0.45">
      <c r="A133" s="159">
        <v>97</v>
      </c>
      <c r="B133" s="160" t="s">
        <v>94</v>
      </c>
      <c r="C133" s="183" t="s">
        <v>219</v>
      </c>
      <c r="D133" s="184" t="s">
        <v>220</v>
      </c>
      <c r="E133" s="184"/>
      <c r="F133" s="171" t="s">
        <v>98</v>
      </c>
      <c r="G133" s="171" t="s">
        <v>91</v>
      </c>
      <c r="H133" s="172">
        <v>45377</v>
      </c>
      <c r="I133" s="173">
        <f>+IFERROR(VLOOKUP($C133,'[1]Tăng ca Hr'!$E:$DN,114,0),"")</f>
        <v>0</v>
      </c>
      <c r="J133" s="174">
        <f t="shared" si="30"/>
        <v>0</v>
      </c>
      <c r="K133" s="174" t="str">
        <f t="shared" si="31"/>
        <v/>
      </c>
      <c r="L133" s="175" t="str">
        <f t="shared" si="32"/>
        <v/>
      </c>
      <c r="M133" s="173">
        <f>VLOOKUP(C133,'[1]Tăng ca Hr'!$E:$DJ,110,0)</f>
        <v>0</v>
      </c>
      <c r="N133" s="174">
        <f t="shared" si="33"/>
        <v>0</v>
      </c>
      <c r="O133" s="174" t="str">
        <f t="shared" si="34"/>
        <v/>
      </c>
      <c r="P133" s="175" t="str">
        <f t="shared" si="35"/>
        <v/>
      </c>
      <c r="Q133" s="173">
        <f>+IFERROR(VLOOKUP($C133,[2]Detail!$B:$AR,43,0),"")</f>
        <v>278</v>
      </c>
      <c r="R133" s="161" t="str">
        <f t="shared" si="36"/>
        <v/>
      </c>
      <c r="S133" s="161">
        <f t="shared" si="28"/>
        <v>278</v>
      </c>
      <c r="T133" s="162" t="str">
        <f t="shared" si="37"/>
        <v/>
      </c>
      <c r="U133" s="163" t="str">
        <f>+IFERROR(VLOOKUP(C133,'[3]20.25'!B:D,3,0),"")</f>
        <v>AUTO Dương</v>
      </c>
      <c r="V133" s="163" t="s">
        <v>433</v>
      </c>
      <c r="W133" s="165"/>
      <c r="X133" s="163" t="s">
        <v>459</v>
      </c>
    </row>
    <row r="134" spans="1:151" ht="33" hidden="1" customHeight="1" x14ac:dyDescent="0.45">
      <c r="A134" s="159">
        <v>98</v>
      </c>
      <c r="B134" s="160" t="s">
        <v>94</v>
      </c>
      <c r="C134" s="183" t="s">
        <v>223</v>
      </c>
      <c r="D134" s="184" t="s">
        <v>224</v>
      </c>
      <c r="E134" s="184"/>
      <c r="F134" s="171" t="s">
        <v>98</v>
      </c>
      <c r="G134" s="171" t="s">
        <v>91</v>
      </c>
      <c r="H134" s="172" t="s">
        <v>350</v>
      </c>
      <c r="I134" s="173">
        <f>+IFERROR(VLOOKUP($C134,'[1]Tăng ca Hr'!$E:$DN,114,0),"")</f>
        <v>4</v>
      </c>
      <c r="J134" s="174">
        <f t="shared" si="30"/>
        <v>4</v>
      </c>
      <c r="K134" s="174" t="str">
        <f t="shared" si="31"/>
        <v/>
      </c>
      <c r="L134" s="175" t="str">
        <f t="shared" si="32"/>
        <v/>
      </c>
      <c r="M134" s="173">
        <f>VLOOKUP(C134,'[1]Tăng ca Hr'!$E:$DJ,110,0)</f>
        <v>4</v>
      </c>
      <c r="N134" s="174">
        <f t="shared" si="33"/>
        <v>4</v>
      </c>
      <c r="O134" s="174" t="str">
        <f t="shared" si="34"/>
        <v/>
      </c>
      <c r="P134" s="175" t="str">
        <f t="shared" si="35"/>
        <v/>
      </c>
      <c r="Q134" s="173">
        <f>+IFERROR(VLOOKUP($C134,[2]Detail!$B:$AR,43,0),"")</f>
        <v>296</v>
      </c>
      <c r="R134" s="161" t="str">
        <f t="shared" si="36"/>
        <v/>
      </c>
      <c r="S134" s="161">
        <f t="shared" si="28"/>
        <v>296</v>
      </c>
      <c r="T134" s="162" t="str">
        <f t="shared" si="37"/>
        <v/>
      </c>
      <c r="U134" s="163" t="str">
        <f>+IFERROR(VLOOKUP(C134,'[3]20.25'!B:D,3,0),"")</f>
        <v>AUTO Hưởng</v>
      </c>
      <c r="V134" s="163" t="s">
        <v>433</v>
      </c>
      <c r="W134" s="165"/>
      <c r="X134" s="163" t="s">
        <v>458</v>
      </c>
    </row>
    <row r="135" spans="1:151" ht="33" hidden="1" customHeight="1" x14ac:dyDescent="0.35">
      <c r="A135" s="159">
        <v>99</v>
      </c>
      <c r="B135" s="160" t="s">
        <v>94</v>
      </c>
      <c r="C135" s="183" t="s">
        <v>225</v>
      </c>
      <c r="D135" s="184" t="s">
        <v>226</v>
      </c>
      <c r="E135" s="185"/>
      <c r="F135" s="171" t="s">
        <v>98</v>
      </c>
      <c r="G135" s="171" t="s">
        <v>91</v>
      </c>
      <c r="H135" s="172">
        <v>44630</v>
      </c>
      <c r="I135" s="173">
        <f>+IFERROR(VLOOKUP($C135,'[1]Tăng ca Hr'!$E:$DN,114,0),"")</f>
        <v>0</v>
      </c>
      <c r="J135" s="174">
        <f t="shared" si="30"/>
        <v>0</v>
      </c>
      <c r="K135" s="174" t="str">
        <f t="shared" si="31"/>
        <v/>
      </c>
      <c r="L135" s="175" t="str">
        <f t="shared" si="32"/>
        <v/>
      </c>
      <c r="M135" s="173">
        <f>VLOOKUP(C135,'[1]Tăng ca Hr'!$E:$DJ,110,0)</f>
        <v>0</v>
      </c>
      <c r="N135" s="174">
        <f t="shared" si="33"/>
        <v>0</v>
      </c>
      <c r="O135" s="174" t="str">
        <f t="shared" si="34"/>
        <v/>
      </c>
      <c r="P135" s="175" t="str">
        <f t="shared" si="35"/>
        <v/>
      </c>
      <c r="Q135" s="173">
        <f>+IFERROR(VLOOKUP($C135,[2]Detail!$B:$AR,43,0),"")</f>
        <v>285</v>
      </c>
      <c r="R135" s="161" t="str">
        <f t="shared" si="36"/>
        <v/>
      </c>
      <c r="S135" s="161">
        <f t="shared" si="28"/>
        <v>285</v>
      </c>
      <c r="T135" s="162" t="str">
        <f t="shared" si="37"/>
        <v/>
      </c>
      <c r="U135" s="163" t="str">
        <f>+IFERROR(VLOOKUP(C135,'[3]20.25'!B:D,3,0),"")</f>
        <v>TÁCH CƠ</v>
      </c>
      <c r="V135" s="163" t="s">
        <v>433</v>
      </c>
      <c r="W135" s="163"/>
      <c r="X135" s="163" t="s">
        <v>456</v>
      </c>
      <c r="Y135" s="35"/>
      <c r="Z135" s="35"/>
      <c r="AA135" s="35"/>
      <c r="AB135" s="35"/>
      <c r="AC135" s="35"/>
      <c r="AD135" s="35"/>
      <c r="AE135" s="35"/>
      <c r="AF135" s="35"/>
      <c r="AG135" s="35"/>
      <c r="AH135" s="35"/>
      <c r="AI135" s="42"/>
      <c r="AJ135" s="42"/>
      <c r="AK135" s="42"/>
      <c r="AL135" s="42"/>
      <c r="AM135" s="42"/>
      <c r="AN135" s="42"/>
      <c r="AO135" s="42"/>
      <c r="AP135" s="42"/>
      <c r="AQ135" s="42"/>
      <c r="AR135" s="42"/>
      <c r="AS135" s="42"/>
      <c r="AT135" s="42"/>
      <c r="AU135" s="42"/>
      <c r="AV135" s="42"/>
      <c r="AW135" s="42"/>
      <c r="AX135" s="42"/>
      <c r="AY135" s="42"/>
      <c r="AZ135" s="42"/>
      <c r="BA135" s="42"/>
      <c r="BB135" s="42"/>
      <c r="BC135" s="42"/>
      <c r="BD135" s="42"/>
      <c r="BE135" s="42"/>
      <c r="BF135" s="42"/>
      <c r="BG135" s="42"/>
      <c r="BH135" s="42"/>
      <c r="BI135" s="42"/>
      <c r="BJ135" s="42"/>
      <c r="BK135" s="42"/>
      <c r="BL135" s="42"/>
      <c r="BM135" s="42"/>
      <c r="BN135" s="42"/>
      <c r="BO135" s="42"/>
      <c r="BP135" s="42"/>
      <c r="BQ135" s="42"/>
      <c r="BR135" s="42"/>
      <c r="BS135" s="42"/>
      <c r="BT135" s="42"/>
      <c r="BU135" s="42"/>
      <c r="BV135" s="42"/>
      <c r="BW135" s="42"/>
      <c r="BX135" s="42"/>
      <c r="BY135" s="42"/>
      <c r="BZ135" s="42"/>
      <c r="CA135" s="42"/>
      <c r="CB135" s="42"/>
      <c r="CC135" s="42"/>
      <c r="CD135" s="42"/>
      <c r="CE135" s="42"/>
      <c r="CF135" s="42"/>
      <c r="CG135" s="42"/>
      <c r="CH135" s="42"/>
      <c r="CI135" s="42"/>
      <c r="CJ135" s="42"/>
      <c r="CK135" s="42"/>
      <c r="CL135" s="42"/>
      <c r="CM135" s="42"/>
      <c r="CN135" s="42"/>
      <c r="CO135" s="42"/>
      <c r="CP135" s="42"/>
      <c r="CQ135" s="42"/>
      <c r="CR135" s="42"/>
      <c r="CS135" s="42"/>
      <c r="CT135" s="42"/>
      <c r="CU135" s="42"/>
      <c r="CV135" s="42"/>
      <c r="CW135" s="42"/>
      <c r="CX135" s="42"/>
      <c r="CY135" s="42"/>
      <c r="CZ135" s="42"/>
      <c r="DA135" s="42"/>
      <c r="DB135" s="42"/>
      <c r="DC135" s="42"/>
      <c r="DD135" s="42"/>
      <c r="DE135" s="42"/>
      <c r="DF135" s="42"/>
      <c r="DG135" s="42"/>
      <c r="DH135" s="42"/>
      <c r="DI135" s="42"/>
      <c r="DJ135" s="42"/>
      <c r="DK135" s="42"/>
      <c r="DL135" s="42"/>
      <c r="DM135" s="42"/>
      <c r="DN135" s="42"/>
      <c r="DO135" s="42"/>
      <c r="DP135" s="42"/>
      <c r="DQ135" s="42"/>
      <c r="DR135" s="42"/>
      <c r="DS135" s="42"/>
      <c r="DT135" s="42"/>
      <c r="DU135" s="42"/>
      <c r="DV135" s="42"/>
      <c r="DW135" s="42"/>
      <c r="DX135" s="42"/>
      <c r="DY135" s="42"/>
      <c r="DZ135" s="42"/>
      <c r="EA135" s="42"/>
      <c r="EB135" s="42"/>
      <c r="EC135" s="42"/>
      <c r="ED135" s="42"/>
      <c r="EE135" s="42"/>
      <c r="EF135" s="42"/>
      <c r="EG135" s="42"/>
      <c r="EH135" s="42"/>
      <c r="EI135" s="42"/>
      <c r="EJ135" s="42"/>
      <c r="EK135" s="42"/>
      <c r="EL135" s="42"/>
      <c r="EM135" s="42"/>
      <c r="EN135" s="42"/>
      <c r="EO135" s="42"/>
      <c r="EP135" s="42"/>
      <c r="EQ135" s="42"/>
      <c r="ER135" s="42"/>
      <c r="ES135" s="42"/>
      <c r="ET135" s="42"/>
      <c r="EU135" s="42"/>
    </row>
    <row r="136" spans="1:151" ht="33" hidden="1" customHeight="1" x14ac:dyDescent="0.45">
      <c r="A136" s="159">
        <v>100</v>
      </c>
      <c r="B136" s="160" t="s">
        <v>94</v>
      </c>
      <c r="C136" s="183" t="s">
        <v>227</v>
      </c>
      <c r="D136" s="184" t="s">
        <v>228</v>
      </c>
      <c r="E136" s="184"/>
      <c r="F136" s="171" t="s">
        <v>98</v>
      </c>
      <c r="G136" s="171" t="s">
        <v>91</v>
      </c>
      <c r="H136" s="172" t="s">
        <v>359</v>
      </c>
      <c r="I136" s="173">
        <f>+IFERROR(VLOOKUP($C136,'[1]Tăng ca Hr'!$E:$DN,114,0),"")</f>
        <v>0</v>
      </c>
      <c r="J136" s="174">
        <f t="shared" si="30"/>
        <v>0</v>
      </c>
      <c r="K136" s="174" t="str">
        <f t="shared" si="31"/>
        <v/>
      </c>
      <c r="L136" s="175" t="str">
        <f t="shared" si="32"/>
        <v/>
      </c>
      <c r="M136" s="173">
        <f>VLOOKUP(C136,'[1]Tăng ca Hr'!$E:$DJ,110,0)</f>
        <v>0</v>
      </c>
      <c r="N136" s="174">
        <f t="shared" si="33"/>
        <v>0</v>
      </c>
      <c r="O136" s="174" t="str">
        <f t="shared" si="34"/>
        <v/>
      </c>
      <c r="P136" s="175" t="str">
        <f t="shared" si="35"/>
        <v/>
      </c>
      <c r="Q136" s="173">
        <f>+IFERROR(VLOOKUP($C136,[2]Detail!$B:$AR,43,0),"")</f>
        <v>296</v>
      </c>
      <c r="R136" s="161" t="str">
        <f t="shared" si="36"/>
        <v/>
      </c>
      <c r="S136" s="161">
        <f t="shared" si="28"/>
        <v>296</v>
      </c>
      <c r="T136" s="162" t="str">
        <f t="shared" si="37"/>
        <v/>
      </c>
      <c r="U136" s="163" t="str">
        <f>+IFERROR(VLOOKUP(C136,'[3]20.25'!B:D,3,0),"")</f>
        <v>Mẫu</v>
      </c>
      <c r="V136" s="163" t="s">
        <v>433</v>
      </c>
      <c r="W136" s="165"/>
      <c r="X136" s="163" t="s">
        <v>456</v>
      </c>
    </row>
    <row r="137" spans="1:151" ht="33" hidden="1" customHeight="1" x14ac:dyDescent="0.45">
      <c r="A137" s="159">
        <v>101</v>
      </c>
      <c r="B137" s="160" t="s">
        <v>366</v>
      </c>
      <c r="C137" s="183" t="s">
        <v>229</v>
      </c>
      <c r="D137" s="184" t="s">
        <v>230</v>
      </c>
      <c r="E137" s="184"/>
      <c r="F137" s="171" t="s">
        <v>98</v>
      </c>
      <c r="G137" s="171" t="s">
        <v>91</v>
      </c>
      <c r="H137" s="172" t="s">
        <v>364</v>
      </c>
      <c r="I137" s="173">
        <f>+IFERROR(VLOOKUP($C137,'[1]Tăng ca Hr'!$E:$DN,114,0),"")</f>
        <v>4</v>
      </c>
      <c r="J137" s="174">
        <f t="shared" si="30"/>
        <v>4</v>
      </c>
      <c r="K137" s="174" t="str">
        <f t="shared" si="31"/>
        <v/>
      </c>
      <c r="L137" s="175" t="str">
        <f t="shared" si="32"/>
        <v/>
      </c>
      <c r="M137" s="173">
        <f>VLOOKUP(C137,'[1]Tăng ca Hr'!$E:$DJ,110,0)</f>
        <v>4</v>
      </c>
      <c r="N137" s="174">
        <f t="shared" si="33"/>
        <v>4</v>
      </c>
      <c r="O137" s="174" t="str">
        <f t="shared" si="34"/>
        <v/>
      </c>
      <c r="P137" s="189" t="str">
        <f t="shared" si="35"/>
        <v/>
      </c>
      <c r="Q137" s="173">
        <f>+IFERROR(VLOOKUP($C137,[2]Detail!$B:$AR,43,0),"")</f>
        <v>238</v>
      </c>
      <c r="R137" s="161">
        <f t="shared" si="36"/>
        <v>238</v>
      </c>
      <c r="S137" s="161" t="str">
        <f t="shared" si="28"/>
        <v/>
      </c>
      <c r="T137" s="162" t="str">
        <f t="shared" si="37"/>
        <v/>
      </c>
      <c r="U137" s="163" t="str">
        <f>+IFERROR(VLOOKUP(C137,'[3]20.25'!B:D,3,0),"")</f>
        <v>TÁCH CƠ</v>
      </c>
      <c r="V137" s="163" t="s">
        <v>433</v>
      </c>
      <c r="W137" s="165"/>
      <c r="X137" s="163">
        <v>0</v>
      </c>
    </row>
    <row r="138" spans="1:151" ht="33" hidden="1" customHeight="1" x14ac:dyDescent="0.45">
      <c r="A138" s="159">
        <v>102</v>
      </c>
      <c r="B138" s="160" t="s">
        <v>94</v>
      </c>
      <c r="C138" s="183" t="s">
        <v>235</v>
      </c>
      <c r="D138" s="184" t="s">
        <v>236</v>
      </c>
      <c r="E138" s="184"/>
      <c r="F138" s="171" t="s">
        <v>98</v>
      </c>
      <c r="G138" s="171" t="s">
        <v>91</v>
      </c>
      <c r="H138" s="172" t="s">
        <v>350</v>
      </c>
      <c r="I138" s="173">
        <f>+IFERROR(VLOOKUP($C138,'[1]Tăng ca Hr'!$E:$DN,114,0),"")</f>
        <v>2</v>
      </c>
      <c r="J138" s="174">
        <f t="shared" si="30"/>
        <v>2</v>
      </c>
      <c r="K138" s="174" t="str">
        <f t="shared" si="31"/>
        <v/>
      </c>
      <c r="L138" s="175" t="str">
        <f t="shared" si="32"/>
        <v/>
      </c>
      <c r="M138" s="173">
        <f>VLOOKUP(C138,'[1]Tăng ca Hr'!$E:$DJ,110,0)</f>
        <v>2</v>
      </c>
      <c r="N138" s="174">
        <f t="shared" si="33"/>
        <v>2</v>
      </c>
      <c r="O138" s="174" t="str">
        <f t="shared" si="34"/>
        <v/>
      </c>
      <c r="P138" s="189" t="str">
        <f t="shared" si="35"/>
        <v/>
      </c>
      <c r="Q138" s="173">
        <f>+IFERROR(VLOOKUP($C138,[2]Detail!$B:$AR,43,0),"")</f>
        <v>253</v>
      </c>
      <c r="R138" s="161" t="str">
        <f t="shared" si="36"/>
        <v/>
      </c>
      <c r="S138" s="161">
        <f t="shared" si="28"/>
        <v>253</v>
      </c>
      <c r="T138" s="162" t="str">
        <f t="shared" si="37"/>
        <v/>
      </c>
      <c r="U138" s="163" t="str">
        <f>+IFERROR(VLOOKUP(C138,'[3]20.25'!B:D,3,0),"")</f>
        <v>Đổ</v>
      </c>
      <c r="V138" s="163" t="s">
        <v>433</v>
      </c>
      <c r="W138" s="165"/>
      <c r="X138" s="163" t="s">
        <v>459</v>
      </c>
    </row>
    <row r="139" spans="1:151" ht="33" hidden="1" customHeight="1" x14ac:dyDescent="0.45">
      <c r="A139" s="159">
        <v>103</v>
      </c>
      <c r="B139" s="160" t="s">
        <v>94</v>
      </c>
      <c r="C139" s="183" t="s">
        <v>247</v>
      </c>
      <c r="D139" s="184" t="s">
        <v>248</v>
      </c>
      <c r="E139" s="184"/>
      <c r="F139" s="171" t="s">
        <v>98</v>
      </c>
      <c r="G139" s="171" t="s">
        <v>199</v>
      </c>
      <c r="H139" s="172" t="s">
        <v>358</v>
      </c>
      <c r="I139" s="173">
        <f>+IFERROR(VLOOKUP($C139,'[1]Tăng ca Hr'!$E:$DN,114,0),"")</f>
        <v>0</v>
      </c>
      <c r="J139" s="174">
        <f t="shared" si="30"/>
        <v>0</v>
      </c>
      <c r="K139" s="174" t="str">
        <f t="shared" si="31"/>
        <v/>
      </c>
      <c r="L139" s="175" t="str">
        <f t="shared" si="32"/>
        <v/>
      </c>
      <c r="M139" s="173">
        <f>VLOOKUP(C139,'[1]Tăng ca Hr'!$E:$DJ,110,0)</f>
        <v>0</v>
      </c>
      <c r="N139" s="174">
        <f t="shared" si="33"/>
        <v>0</v>
      </c>
      <c r="O139" s="174" t="str">
        <f t="shared" si="34"/>
        <v/>
      </c>
      <c r="P139" s="189" t="str">
        <f t="shared" si="35"/>
        <v/>
      </c>
      <c r="Q139" s="173">
        <f>+IFERROR(VLOOKUP($C139,[2]Detail!$B:$AR,43,0),"")</f>
        <v>219</v>
      </c>
      <c r="R139" s="161">
        <f t="shared" si="36"/>
        <v>219</v>
      </c>
      <c r="S139" s="161" t="str">
        <f t="shared" ref="S139:S147" si="38">IF(AND(Q139&gt;250,Q139&lt;300),Q139,"")</f>
        <v/>
      </c>
      <c r="T139" s="162" t="str">
        <f t="shared" ref="T139:T147" si="39">IF(Q139&gt;=300,Q139,"")</f>
        <v/>
      </c>
      <c r="U139" s="163" t="str">
        <f>+IFERROR(VLOOKUP(C139,'[3]20.25'!B:D,3,0),"")</f>
        <v>VP</v>
      </c>
      <c r="V139" s="163" t="s">
        <v>433</v>
      </c>
      <c r="W139" s="165"/>
      <c r="X139" s="163" t="s">
        <v>459</v>
      </c>
    </row>
    <row r="140" spans="1:151" ht="33" customHeight="1" x14ac:dyDescent="0.45">
      <c r="A140" s="159">
        <v>104</v>
      </c>
      <c r="B140" s="160" t="s">
        <v>94</v>
      </c>
      <c r="C140" s="183" t="s">
        <v>249</v>
      </c>
      <c r="D140" s="184" t="s">
        <v>250</v>
      </c>
      <c r="E140" s="184"/>
      <c r="F140" s="171" t="s">
        <v>98</v>
      </c>
      <c r="G140" s="171" t="s">
        <v>91</v>
      </c>
      <c r="H140" s="172" t="s">
        <v>360</v>
      </c>
      <c r="I140" s="173">
        <f>+IFERROR(VLOOKUP($C140,'[1]Tăng ca Hr'!$E:$DN,114,0),"")</f>
        <v>7</v>
      </c>
      <c r="J140" s="174">
        <f t="shared" si="30"/>
        <v>7</v>
      </c>
      <c r="K140" s="174" t="str">
        <f t="shared" si="31"/>
        <v/>
      </c>
      <c r="L140" s="175" t="str">
        <f t="shared" si="32"/>
        <v/>
      </c>
      <c r="M140" s="173">
        <f>VLOOKUP(C140,'[1]Tăng ca Hr'!$E:$DJ,110,0)</f>
        <v>7</v>
      </c>
      <c r="N140" s="174">
        <f t="shared" si="33"/>
        <v>7</v>
      </c>
      <c r="O140" s="174" t="str">
        <f t="shared" si="34"/>
        <v/>
      </c>
      <c r="P140" s="189" t="str">
        <f t="shared" si="35"/>
        <v/>
      </c>
      <c r="Q140" s="173">
        <f>+IFERROR(VLOOKUP($C140,[2]Detail!$B:$AR,43,0),"")</f>
        <v>299</v>
      </c>
      <c r="R140" s="161" t="str">
        <f t="shared" si="36"/>
        <v/>
      </c>
      <c r="S140" s="161">
        <f t="shared" si="38"/>
        <v>299</v>
      </c>
      <c r="T140" s="162" t="str">
        <f t="shared" si="39"/>
        <v/>
      </c>
      <c r="U140" s="163" t="str">
        <f>+IFERROR(VLOOKUP(C140,'[3]20.25'!B:D,3,0),"")</f>
        <v>Đóng gói</v>
      </c>
      <c r="V140" s="163" t="s">
        <v>433</v>
      </c>
      <c r="W140" s="165"/>
      <c r="X140" s="163" t="s">
        <v>458</v>
      </c>
    </row>
    <row r="141" spans="1:151" ht="33" hidden="1" customHeight="1" x14ac:dyDescent="0.45">
      <c r="A141" s="159">
        <v>105</v>
      </c>
      <c r="B141" s="160" t="s">
        <v>94</v>
      </c>
      <c r="C141" s="183" t="s">
        <v>251</v>
      </c>
      <c r="D141" s="171" t="s">
        <v>252</v>
      </c>
      <c r="E141" s="184"/>
      <c r="F141" s="171" t="s">
        <v>98</v>
      </c>
      <c r="G141" s="171" t="s">
        <v>91</v>
      </c>
      <c r="H141" s="172" t="s">
        <v>365</v>
      </c>
      <c r="I141" s="173">
        <f>+IFERROR(VLOOKUP($C141,'[1]Tăng ca Hr'!$E:$DN,114,0),"")</f>
        <v>8</v>
      </c>
      <c r="J141" s="174">
        <f t="shared" si="30"/>
        <v>8</v>
      </c>
      <c r="K141" s="174" t="str">
        <f t="shared" si="31"/>
        <v/>
      </c>
      <c r="L141" s="175" t="str">
        <f t="shared" si="32"/>
        <v/>
      </c>
      <c r="M141" s="173">
        <f>VLOOKUP(C141,'[1]Tăng ca Hr'!$E:$DJ,110,0)</f>
        <v>8</v>
      </c>
      <c r="N141" s="174">
        <f t="shared" si="33"/>
        <v>8</v>
      </c>
      <c r="O141" s="174" t="str">
        <f t="shared" si="34"/>
        <v/>
      </c>
      <c r="P141" s="189" t="str">
        <f t="shared" si="35"/>
        <v/>
      </c>
      <c r="Q141" s="173">
        <f>+IFERROR(VLOOKUP($C141,[2]Detail!$B:$AR,43,0),"")</f>
        <v>142</v>
      </c>
      <c r="R141" s="161">
        <f t="shared" si="36"/>
        <v>142</v>
      </c>
      <c r="S141" s="161" t="str">
        <f t="shared" si="38"/>
        <v/>
      </c>
      <c r="T141" s="162" t="str">
        <f t="shared" si="39"/>
        <v/>
      </c>
      <c r="U141" s="163" t="str">
        <f>+IFERROR(VLOOKUP(C141,'[3]20.25'!B:D,3,0),"")</f>
        <v>TÁCH CƠ</v>
      </c>
      <c r="V141" s="163" t="s">
        <v>433</v>
      </c>
      <c r="W141" s="165"/>
      <c r="X141" s="163" t="s">
        <v>458</v>
      </c>
    </row>
    <row r="142" spans="1:151" ht="33" hidden="1" customHeight="1" x14ac:dyDescent="0.45">
      <c r="A142" s="159">
        <v>106</v>
      </c>
      <c r="B142" s="160" t="s">
        <v>94</v>
      </c>
      <c r="C142" s="183" t="s">
        <v>257</v>
      </c>
      <c r="D142" s="171" t="s">
        <v>258</v>
      </c>
      <c r="E142" s="184"/>
      <c r="F142" s="171" t="s">
        <v>98</v>
      </c>
      <c r="G142" s="171" t="s">
        <v>91</v>
      </c>
      <c r="H142" s="172">
        <v>46146</v>
      </c>
      <c r="I142" s="173">
        <f>+IFERROR(VLOOKUP($C142,'[1]Tăng ca Hr'!$E:$DN,114,0),"")</f>
        <v>8</v>
      </c>
      <c r="J142" s="174">
        <f t="shared" si="30"/>
        <v>8</v>
      </c>
      <c r="K142" s="174" t="str">
        <f t="shared" si="31"/>
        <v/>
      </c>
      <c r="L142" s="175" t="str">
        <f t="shared" si="32"/>
        <v/>
      </c>
      <c r="M142" s="173">
        <f>VLOOKUP(C142,'[1]Tăng ca Hr'!$E:$DJ,110,0)</f>
        <v>8</v>
      </c>
      <c r="N142" s="174">
        <f t="shared" si="33"/>
        <v>8</v>
      </c>
      <c r="O142" s="174" t="str">
        <f t="shared" si="34"/>
        <v/>
      </c>
      <c r="P142" s="189" t="str">
        <f t="shared" si="35"/>
        <v/>
      </c>
      <c r="Q142" s="173">
        <f>+IFERROR(VLOOKUP($C142,[2]Detail!$B:$AR,43,0),"")</f>
        <v>186.5</v>
      </c>
      <c r="R142" s="161">
        <f t="shared" si="36"/>
        <v>186.5</v>
      </c>
      <c r="S142" s="161" t="str">
        <f t="shared" si="38"/>
        <v/>
      </c>
      <c r="T142" s="162" t="str">
        <f t="shared" si="39"/>
        <v/>
      </c>
      <c r="U142" s="163"/>
      <c r="V142" s="163"/>
      <c r="W142" s="165"/>
      <c r="X142" s="163" t="s">
        <v>458</v>
      </c>
    </row>
    <row r="143" spans="1:151" ht="33" hidden="1" customHeight="1" x14ac:dyDescent="0.45">
      <c r="A143" s="159">
        <v>107</v>
      </c>
      <c r="B143" s="160" t="s">
        <v>94</v>
      </c>
      <c r="C143" s="183" t="s">
        <v>262</v>
      </c>
      <c r="D143" s="171" t="s">
        <v>263</v>
      </c>
      <c r="E143" s="184"/>
      <c r="F143" s="171" t="s">
        <v>98</v>
      </c>
      <c r="G143" s="171" t="s">
        <v>91</v>
      </c>
      <c r="H143" s="172" t="s">
        <v>359</v>
      </c>
      <c r="I143" s="173">
        <f>+IFERROR(VLOOKUP($C143,'[1]Tăng ca Hr'!$E:$DN,114,0),"")</f>
        <v>4</v>
      </c>
      <c r="J143" s="174">
        <f t="shared" si="30"/>
        <v>4</v>
      </c>
      <c r="K143" s="174" t="str">
        <f t="shared" si="31"/>
        <v/>
      </c>
      <c r="L143" s="175" t="str">
        <f t="shared" si="32"/>
        <v/>
      </c>
      <c r="M143" s="173">
        <f>VLOOKUP(C143,'[1]Tăng ca Hr'!$E:$DJ,110,0)</f>
        <v>4</v>
      </c>
      <c r="N143" s="174">
        <f t="shared" si="33"/>
        <v>4</v>
      </c>
      <c r="O143" s="174" t="str">
        <f t="shared" si="34"/>
        <v/>
      </c>
      <c r="P143" s="189" t="str">
        <f t="shared" si="35"/>
        <v/>
      </c>
      <c r="Q143" s="173">
        <f>+IFERROR(VLOOKUP($C143,[2]Detail!$B:$AR,43,0),"")</f>
        <v>174</v>
      </c>
      <c r="R143" s="161">
        <f t="shared" si="36"/>
        <v>174</v>
      </c>
      <c r="S143" s="161" t="str">
        <f t="shared" si="38"/>
        <v/>
      </c>
      <c r="T143" s="162" t="str">
        <f t="shared" si="39"/>
        <v/>
      </c>
      <c r="U143" s="163" t="str">
        <f>+IFERROR(VLOOKUP(C143,'[3]20.25'!B:D,3,0),"")</f>
        <v>Đóng gói</v>
      </c>
      <c r="V143" s="163" t="s">
        <v>433</v>
      </c>
      <c r="W143" s="165"/>
      <c r="X143" s="163" t="s">
        <v>456</v>
      </c>
    </row>
    <row r="144" spans="1:151" ht="33" hidden="1" customHeight="1" x14ac:dyDescent="0.45">
      <c r="A144" s="159">
        <v>108</v>
      </c>
      <c r="B144" s="160" t="s">
        <v>366</v>
      </c>
      <c r="C144" s="183" t="s">
        <v>264</v>
      </c>
      <c r="D144" s="171" t="s">
        <v>265</v>
      </c>
      <c r="E144" s="184"/>
      <c r="F144" s="171" t="s">
        <v>98</v>
      </c>
      <c r="G144" s="171" t="s">
        <v>91</v>
      </c>
      <c r="H144" s="172">
        <v>46162</v>
      </c>
      <c r="I144" s="173">
        <f>+IFERROR(VLOOKUP($C144,'[1]Tăng ca Hr'!$E:$DN,114,0),"")</f>
        <v>8</v>
      </c>
      <c r="J144" s="174">
        <f t="shared" si="30"/>
        <v>8</v>
      </c>
      <c r="K144" s="174" t="str">
        <f t="shared" si="31"/>
        <v/>
      </c>
      <c r="L144" s="175" t="str">
        <f t="shared" si="32"/>
        <v/>
      </c>
      <c r="M144" s="173">
        <f>VLOOKUP(C144,'[1]Tăng ca Hr'!$E:$DJ,110,0)</f>
        <v>8</v>
      </c>
      <c r="N144" s="174">
        <f t="shared" si="33"/>
        <v>8</v>
      </c>
      <c r="O144" s="174" t="str">
        <f t="shared" si="34"/>
        <v/>
      </c>
      <c r="P144" s="189" t="str">
        <f t="shared" si="35"/>
        <v/>
      </c>
      <c r="Q144" s="173">
        <f>+IFERROR(VLOOKUP($C144,[2]Detail!$B:$AR,43,0),"")</f>
        <v>191</v>
      </c>
      <c r="R144" s="161">
        <f t="shared" si="36"/>
        <v>191</v>
      </c>
      <c r="S144" s="161" t="str">
        <f t="shared" si="38"/>
        <v/>
      </c>
      <c r="T144" s="162" t="str">
        <f t="shared" si="39"/>
        <v/>
      </c>
      <c r="U144" s="163"/>
      <c r="V144" s="163"/>
      <c r="W144" s="165"/>
      <c r="X144" s="163">
        <v>0</v>
      </c>
    </row>
    <row r="145" spans="1:24" ht="33" hidden="1" customHeight="1" x14ac:dyDescent="0.45">
      <c r="A145" s="159">
        <v>109</v>
      </c>
      <c r="B145" s="160" t="s">
        <v>94</v>
      </c>
      <c r="C145" s="183" t="s">
        <v>330</v>
      </c>
      <c r="D145" s="171" t="s">
        <v>331</v>
      </c>
      <c r="E145" s="184"/>
      <c r="F145" s="171" t="s">
        <v>98</v>
      </c>
      <c r="G145" s="171" t="s">
        <v>91</v>
      </c>
      <c r="H145" s="172" t="s">
        <v>360</v>
      </c>
      <c r="I145" s="173">
        <f>+IFERROR(VLOOKUP($C145,'[1]Tăng ca Hr'!$E:$DN,114,0),"")</f>
        <v>4</v>
      </c>
      <c r="J145" s="174">
        <f t="shared" si="30"/>
        <v>4</v>
      </c>
      <c r="K145" s="174" t="str">
        <f t="shared" si="31"/>
        <v/>
      </c>
      <c r="L145" s="175" t="str">
        <f t="shared" si="32"/>
        <v/>
      </c>
      <c r="M145" s="173">
        <f>VLOOKUP(C145,'[1]Tăng ca Hr'!$E:$DJ,110,0)</f>
        <v>8</v>
      </c>
      <c r="N145" s="174">
        <f t="shared" si="33"/>
        <v>8</v>
      </c>
      <c r="O145" s="174" t="str">
        <f t="shared" si="34"/>
        <v/>
      </c>
      <c r="P145" s="189" t="str">
        <f t="shared" si="35"/>
        <v/>
      </c>
      <c r="Q145" s="173">
        <f>+IFERROR(VLOOKUP($C145,[2]Detail!$B:$AR,43,0),"")</f>
        <v>74</v>
      </c>
      <c r="R145" s="161">
        <f t="shared" si="36"/>
        <v>74</v>
      </c>
      <c r="S145" s="161" t="str">
        <f t="shared" si="38"/>
        <v/>
      </c>
      <c r="T145" s="162" t="str">
        <f t="shared" si="39"/>
        <v/>
      </c>
      <c r="U145" s="163" t="str">
        <f>+IFERROR(VLOOKUP(C145,'[3]20.25'!B:D,3,0),"")</f>
        <v>TÁCH CƠ</v>
      </c>
      <c r="V145" s="163" t="s">
        <v>433</v>
      </c>
      <c r="W145" s="165"/>
      <c r="X145" s="163" t="s">
        <v>456</v>
      </c>
    </row>
    <row r="146" spans="1:24" ht="33" hidden="1" customHeight="1" x14ac:dyDescent="0.45">
      <c r="A146" s="159">
        <v>110</v>
      </c>
      <c r="B146" s="160" t="s">
        <v>109</v>
      </c>
      <c r="C146" s="183" t="s">
        <v>334</v>
      </c>
      <c r="D146" s="171" t="s">
        <v>335</v>
      </c>
      <c r="E146" s="184"/>
      <c r="F146" s="171" t="s">
        <v>98</v>
      </c>
      <c r="G146" s="171" t="s">
        <v>91</v>
      </c>
      <c r="H146" s="172" t="s">
        <v>449</v>
      </c>
      <c r="I146" s="173">
        <f>+IFERROR(VLOOKUP($C146,'[1]Tăng ca Hr'!$E:$DN,114,0),"")</f>
        <v>4</v>
      </c>
      <c r="J146" s="174">
        <f t="shared" si="30"/>
        <v>4</v>
      </c>
      <c r="K146" s="174" t="str">
        <f t="shared" si="31"/>
        <v/>
      </c>
      <c r="L146" s="175" t="str">
        <f t="shared" si="32"/>
        <v/>
      </c>
      <c r="M146" s="173">
        <f>VLOOKUP(C146,'[1]Tăng ca Hr'!$E:$DJ,110,0)</f>
        <v>4</v>
      </c>
      <c r="N146" s="174">
        <f t="shared" si="33"/>
        <v>4</v>
      </c>
      <c r="O146" s="174" t="str">
        <f t="shared" si="34"/>
        <v/>
      </c>
      <c r="P146" s="189" t="str">
        <f t="shared" si="35"/>
        <v/>
      </c>
      <c r="Q146" s="173">
        <f>+IFERROR(VLOOKUP($C146,[2]Detail!$B:$AR,43,0),"")</f>
        <v>98</v>
      </c>
      <c r="R146" s="161">
        <f t="shared" si="36"/>
        <v>98</v>
      </c>
      <c r="S146" s="161" t="str">
        <f t="shared" si="38"/>
        <v/>
      </c>
      <c r="T146" s="162" t="str">
        <f t="shared" si="39"/>
        <v/>
      </c>
      <c r="U146" s="163"/>
      <c r="V146" s="163"/>
      <c r="W146" s="165"/>
      <c r="X146" s="163" t="s">
        <v>458</v>
      </c>
    </row>
    <row r="147" spans="1:24" ht="33" hidden="1" customHeight="1" x14ac:dyDescent="0.45">
      <c r="A147" s="159">
        <v>111</v>
      </c>
      <c r="B147" s="160" t="s">
        <v>366</v>
      </c>
      <c r="C147" s="183" t="s">
        <v>472</v>
      </c>
      <c r="D147" s="171" t="s">
        <v>473</v>
      </c>
      <c r="E147" s="184"/>
      <c r="F147" s="171" t="s">
        <v>98</v>
      </c>
      <c r="G147" s="172" t="s">
        <v>199</v>
      </c>
      <c r="H147" s="190"/>
      <c r="I147" s="173">
        <f>+IFERROR(VLOOKUP($C147,'[1]Tăng ca Hr'!$E:$DN,114,0),"")</f>
        <v>1</v>
      </c>
      <c r="J147" s="174">
        <f t="shared" ref="J147" si="40">IF(I147&lt;=8,I147,"")</f>
        <v>1</v>
      </c>
      <c r="K147" s="174" t="str">
        <f t="shared" ref="K147" si="41">IF(AND(I147&gt;8,I147&lt;12),I147,"")</f>
        <v/>
      </c>
      <c r="L147" s="175" t="str">
        <f t="shared" ref="L147" si="42">IF(I147&gt;=12,I147,"")</f>
        <v/>
      </c>
      <c r="M147" s="173">
        <f>VLOOKUP(C147,'[1]Tăng ca Hr'!$E:$DJ,110,0)</f>
        <v>1</v>
      </c>
      <c r="N147" s="174">
        <f t="shared" ref="N147" si="43">IF(M147&lt;=28,M147,"")</f>
        <v>1</v>
      </c>
      <c r="O147" s="174" t="str">
        <f t="shared" ref="O147" si="44">IF(AND(M147&gt;28,M147&lt;36),M147,"")</f>
        <v/>
      </c>
      <c r="P147" s="189" t="str">
        <f t="shared" ref="P147" si="45">IF(M147&gt;=36,M147,"")</f>
        <v/>
      </c>
      <c r="Q147" s="173">
        <f>+IFERROR(VLOOKUP($C147,[2]Detail!$B:$AR,43,0),"")</f>
        <v>141</v>
      </c>
      <c r="R147" s="161">
        <f t="shared" ref="R147" si="46">IF(Q147&lt;=250,Q147,"")</f>
        <v>141</v>
      </c>
      <c r="S147" s="161" t="str">
        <f t="shared" si="38"/>
        <v/>
      </c>
      <c r="T147" s="162" t="str">
        <f t="shared" si="39"/>
        <v/>
      </c>
      <c r="U147" s="163"/>
      <c r="V147" s="163"/>
      <c r="W147" s="165"/>
      <c r="X147" s="163">
        <v>0</v>
      </c>
    </row>
    <row r="148" spans="1:24" ht="33" hidden="1" customHeight="1" x14ac:dyDescent="0.45">
      <c r="A148" s="159">
        <v>112</v>
      </c>
      <c r="B148" s="160" t="s">
        <v>94</v>
      </c>
      <c r="C148" s="191" t="s">
        <v>437</v>
      </c>
      <c r="D148" s="171" t="s">
        <v>438</v>
      </c>
      <c r="E148" s="168"/>
      <c r="F148" s="168" t="s">
        <v>98</v>
      </c>
      <c r="G148" s="171" t="s">
        <v>91</v>
      </c>
      <c r="H148" s="172">
        <v>46185</v>
      </c>
      <c r="I148" s="173">
        <f>+IFERROR(VLOOKUP($C148,'[1]Tăng ca Hr'!$E:$DN,114,0),"")</f>
        <v>4</v>
      </c>
      <c r="J148" s="174">
        <f t="shared" ref="J148:J152" si="47">IF(I148&lt;=8,I148,"")</f>
        <v>4</v>
      </c>
      <c r="K148" s="174" t="str">
        <f t="shared" ref="K148:K152" si="48">IF(AND(I148&gt;8,I148&lt;12),I148,"")</f>
        <v/>
      </c>
      <c r="L148" s="175" t="str">
        <f t="shared" ref="L148:L152" si="49">IF(I148&gt;=12,I148,"")</f>
        <v/>
      </c>
      <c r="M148" s="173">
        <f>VLOOKUP(C148,'[1]Tăng ca Hr'!$E:$DJ,110,0)</f>
        <v>4</v>
      </c>
      <c r="N148" s="174">
        <f t="shared" ref="N148:N152" si="50">IF(M148&lt;=28,M148,"")</f>
        <v>4</v>
      </c>
      <c r="O148" s="174" t="str">
        <f t="shared" ref="O148:O152" si="51">IF(AND(M148&gt;28,M148&lt;36),M148,"")</f>
        <v/>
      </c>
      <c r="P148" s="189" t="str">
        <f t="shared" ref="P148:P152" si="52">IF(M148&gt;=36,M148,"")</f>
        <v/>
      </c>
      <c r="Q148" s="173">
        <f>+IFERROR(VLOOKUP($C148,[2]Detail!$B:$AR,43,0),"")</f>
        <v>56</v>
      </c>
      <c r="R148" s="161">
        <f t="shared" ref="R148:R152" si="53">IF(Q148&lt;=250,Q148,"")</f>
        <v>56</v>
      </c>
      <c r="S148" s="161" t="str">
        <f t="shared" ref="S148:S152" si="54">IF(AND(Q148&gt;250,Q148&lt;300),Q148,"")</f>
        <v/>
      </c>
      <c r="T148" s="162" t="str">
        <f t="shared" ref="T148:T152" si="55">IF(Q148&gt;=300,Q148,"")</f>
        <v/>
      </c>
      <c r="U148" s="163"/>
      <c r="V148" s="163"/>
      <c r="W148" s="165"/>
      <c r="X148" s="163" t="s">
        <v>457</v>
      </c>
    </row>
    <row r="149" spans="1:24" ht="33" hidden="1" customHeight="1" x14ac:dyDescent="0.45">
      <c r="A149" s="159">
        <v>113</v>
      </c>
      <c r="B149" s="166" t="s">
        <v>94</v>
      </c>
      <c r="C149" s="191" t="s">
        <v>447</v>
      </c>
      <c r="D149" s="171" t="s">
        <v>448</v>
      </c>
      <c r="E149" s="168"/>
      <c r="F149" s="194" t="s">
        <v>98</v>
      </c>
      <c r="G149" s="195" t="s">
        <v>91</v>
      </c>
      <c r="H149" s="172">
        <v>46185</v>
      </c>
      <c r="I149" s="173">
        <f>+IFERROR(VLOOKUP($C149,'[1]Tăng ca Hr'!$E:$DN,114,0),"")</f>
        <v>4</v>
      </c>
      <c r="J149" s="174">
        <f t="shared" si="47"/>
        <v>4</v>
      </c>
      <c r="K149" s="174" t="str">
        <f t="shared" si="48"/>
        <v/>
      </c>
      <c r="L149" s="174" t="str">
        <f t="shared" si="49"/>
        <v/>
      </c>
      <c r="M149" s="173">
        <f>VLOOKUP(C149,'[1]Tăng ca Hr'!$E:$DJ,110,0)</f>
        <v>4</v>
      </c>
      <c r="N149" s="174">
        <f t="shared" si="50"/>
        <v>4</v>
      </c>
      <c r="O149" s="174" t="str">
        <f t="shared" si="51"/>
        <v/>
      </c>
      <c r="P149" s="174" t="str">
        <f t="shared" si="52"/>
        <v/>
      </c>
      <c r="Q149" s="173">
        <f>+IFERROR(VLOOKUP($C149,[2]Detail!$B:$AR,43,0),"")</f>
        <v>40</v>
      </c>
      <c r="R149" s="161">
        <f t="shared" si="53"/>
        <v>40</v>
      </c>
      <c r="S149" s="161" t="str">
        <f t="shared" si="54"/>
        <v/>
      </c>
      <c r="T149" s="161" t="str">
        <f t="shared" si="55"/>
        <v/>
      </c>
      <c r="U149" s="163"/>
      <c r="V149" s="163"/>
      <c r="W149" s="165"/>
      <c r="X149" s="163" t="s">
        <v>459</v>
      </c>
    </row>
    <row r="150" spans="1:24" s="192" customFormat="1" ht="33" hidden="1" customHeight="1" x14ac:dyDescent="0.35">
      <c r="A150" s="159">
        <v>114</v>
      </c>
      <c r="B150" s="193"/>
      <c r="C150" s="193" t="s">
        <v>452</v>
      </c>
      <c r="D150" s="171" t="s">
        <v>453</v>
      </c>
      <c r="E150" s="193"/>
      <c r="F150" s="161" t="s">
        <v>98</v>
      </c>
      <c r="G150" s="161" t="s">
        <v>91</v>
      </c>
      <c r="H150" s="193" t="s">
        <v>467</v>
      </c>
      <c r="I150" s="173">
        <f>+IFERROR(VLOOKUP($C150,'[1]Tăng ca Hr'!$E:$DN,114,0),"")</f>
        <v>4</v>
      </c>
      <c r="J150" s="174">
        <f t="shared" si="47"/>
        <v>4</v>
      </c>
      <c r="K150" s="174" t="str">
        <f t="shared" si="48"/>
        <v/>
      </c>
      <c r="L150" s="174" t="str">
        <f t="shared" si="49"/>
        <v/>
      </c>
      <c r="M150" s="173">
        <f>VLOOKUP(C150,'[1]Tăng ca Hr'!$E:$DJ,110,0)</f>
        <v>8</v>
      </c>
      <c r="N150" s="174">
        <f t="shared" si="50"/>
        <v>8</v>
      </c>
      <c r="O150" s="174" t="str">
        <f t="shared" si="51"/>
        <v/>
      </c>
      <c r="P150" s="174" t="str">
        <f t="shared" si="52"/>
        <v/>
      </c>
      <c r="Q150" s="173">
        <f>+IFERROR(VLOOKUP($C150,[2]Detail!$B:$AR,43,0),"")</f>
        <v>16</v>
      </c>
      <c r="R150" s="161">
        <f t="shared" si="53"/>
        <v>16</v>
      </c>
      <c r="S150" s="161" t="str">
        <f t="shared" si="54"/>
        <v/>
      </c>
      <c r="T150" s="161" t="str">
        <f t="shared" si="55"/>
        <v/>
      </c>
    </row>
    <row r="151" spans="1:24" s="192" customFormat="1" ht="33" hidden="1" customHeight="1" x14ac:dyDescent="0.35">
      <c r="A151" s="159">
        <v>115</v>
      </c>
      <c r="B151" s="193"/>
      <c r="C151" s="193" t="s">
        <v>465</v>
      </c>
      <c r="D151" s="171" t="s">
        <v>466</v>
      </c>
      <c r="E151" s="193"/>
      <c r="F151" s="161" t="s">
        <v>98</v>
      </c>
      <c r="G151" s="161" t="s">
        <v>91</v>
      </c>
      <c r="H151" s="193"/>
      <c r="I151" s="173">
        <f>+IFERROR(VLOOKUP($C151,'[1]Tăng ca Hr'!$E:$DN,114,0),"")</f>
        <v>4</v>
      </c>
      <c r="J151" s="174">
        <f t="shared" si="47"/>
        <v>4</v>
      </c>
      <c r="K151" s="174" t="str">
        <f t="shared" si="48"/>
        <v/>
      </c>
      <c r="L151" s="174" t="str">
        <f t="shared" si="49"/>
        <v/>
      </c>
      <c r="M151" s="173">
        <f>VLOOKUP(C151,'[1]Tăng ca Hr'!$E:$DJ,110,0)</f>
        <v>8</v>
      </c>
      <c r="N151" s="174">
        <f t="shared" si="50"/>
        <v>8</v>
      </c>
      <c r="O151" s="174" t="str">
        <f t="shared" si="51"/>
        <v/>
      </c>
      <c r="P151" s="174" t="str">
        <f t="shared" si="52"/>
        <v/>
      </c>
      <c r="Q151" s="173">
        <f>+IFERROR(VLOOKUP($C151,[2]Detail!$B:$AR,43,0),"")</f>
        <v>16</v>
      </c>
      <c r="R151" s="161">
        <f t="shared" si="53"/>
        <v>16</v>
      </c>
      <c r="S151" s="161" t="str">
        <f t="shared" si="54"/>
        <v/>
      </c>
      <c r="T151" s="161" t="str">
        <f t="shared" si="55"/>
        <v/>
      </c>
    </row>
    <row r="152" spans="1:24" s="192" customFormat="1" ht="33" hidden="1" customHeight="1" x14ac:dyDescent="0.35">
      <c r="A152" s="159">
        <v>116</v>
      </c>
      <c r="B152" s="193"/>
      <c r="C152" s="193" t="s">
        <v>468</v>
      </c>
      <c r="D152" s="171" t="s">
        <v>469</v>
      </c>
      <c r="E152" s="193"/>
      <c r="F152" s="161" t="s">
        <v>98</v>
      </c>
      <c r="G152" s="161" t="s">
        <v>103</v>
      </c>
      <c r="H152" s="193"/>
      <c r="I152" s="173">
        <f>+IFERROR(VLOOKUP($C152,'[1]Tăng ca Hr'!$E:$DN,114,0),"")</f>
        <v>4</v>
      </c>
      <c r="J152" s="174">
        <f t="shared" si="47"/>
        <v>4</v>
      </c>
      <c r="K152" s="174" t="str">
        <f t="shared" si="48"/>
        <v/>
      </c>
      <c r="L152" s="174" t="str">
        <f t="shared" si="49"/>
        <v/>
      </c>
      <c r="M152" s="173">
        <f>VLOOKUP(C152,'[1]Tăng ca Hr'!$E:$DJ,110,0)</f>
        <v>4</v>
      </c>
      <c r="N152" s="174">
        <f t="shared" si="50"/>
        <v>4</v>
      </c>
      <c r="O152" s="174" t="str">
        <f t="shared" si="51"/>
        <v/>
      </c>
      <c r="P152" s="174" t="str">
        <f t="shared" si="52"/>
        <v/>
      </c>
      <c r="Q152" s="173">
        <f>+IFERROR(VLOOKUP($C152,[2]Detail!$B:$AR,43,0),"")</f>
        <v>4</v>
      </c>
      <c r="R152" s="161">
        <f t="shared" si="53"/>
        <v>4</v>
      </c>
      <c r="S152" s="161" t="str">
        <f t="shared" si="54"/>
        <v/>
      </c>
      <c r="T152" s="161" t="str">
        <f t="shared" si="55"/>
        <v/>
      </c>
    </row>
    <row r="153" spans="1:24" s="192" customFormat="1" ht="33" hidden="1" customHeight="1" x14ac:dyDescent="0.35">
      <c r="A153" s="159">
        <v>117</v>
      </c>
      <c r="B153" s="193"/>
      <c r="C153" s="193" t="s">
        <v>474</v>
      </c>
      <c r="D153" s="171" t="s">
        <v>475</v>
      </c>
      <c r="E153" s="193"/>
      <c r="F153" s="161" t="s">
        <v>98</v>
      </c>
      <c r="G153" s="161" t="s">
        <v>91</v>
      </c>
      <c r="H153" s="193"/>
      <c r="I153" s="173">
        <f>+IFERROR(VLOOKUP($C153,'[1]Tăng ca Hr'!$E:$DN,114,0),"")</f>
        <v>5</v>
      </c>
      <c r="J153" s="174">
        <f t="shared" ref="J153:J157" si="56">IF(I153&lt;=8,I153,"")</f>
        <v>5</v>
      </c>
      <c r="K153" s="174" t="str">
        <f t="shared" ref="K153:K157" si="57">IF(AND(I153&gt;8,I153&lt;12),I153,"")</f>
        <v/>
      </c>
      <c r="L153" s="174" t="str">
        <f t="shared" ref="L153:L157" si="58">IF(I153&gt;=12,I153,"")</f>
        <v/>
      </c>
      <c r="M153" s="173">
        <f>VLOOKUP(C153,'[1]Tăng ca Hr'!$E:$DJ,110,0)</f>
        <v>5</v>
      </c>
      <c r="N153" s="174">
        <f t="shared" ref="N153:N157" si="59">IF(M153&lt;=28,M153,"")</f>
        <v>5</v>
      </c>
      <c r="O153" s="174" t="str">
        <f t="shared" ref="O153:O157" si="60">IF(AND(M153&gt;28,M153&lt;36),M153,"")</f>
        <v/>
      </c>
      <c r="P153" s="174" t="str">
        <f t="shared" ref="P153:P157" si="61">IF(M153&gt;=36,M153,"")</f>
        <v/>
      </c>
      <c r="Q153" s="173">
        <f>+IFERROR(VLOOKUP($C153,[2]Detail!$B:$AR,43,0),"")</f>
        <v>5</v>
      </c>
      <c r="R153" s="161">
        <f t="shared" ref="R153:R157" si="62">IF(Q153&lt;=250,Q153,"")</f>
        <v>5</v>
      </c>
      <c r="S153" s="161" t="str">
        <f t="shared" ref="S153:S157" si="63">IF(AND(Q153&gt;250,Q153&lt;300),Q153,"")</f>
        <v/>
      </c>
      <c r="T153" s="161" t="str">
        <f t="shared" ref="T153:T157" si="64">IF(Q153&gt;=300,Q153,"")</f>
        <v/>
      </c>
    </row>
    <row r="154" spans="1:24" s="192" customFormat="1" ht="33" hidden="1" customHeight="1" x14ac:dyDescent="0.35">
      <c r="A154" s="159">
        <v>118</v>
      </c>
      <c r="B154" s="193"/>
      <c r="C154" s="193" t="s">
        <v>476</v>
      </c>
      <c r="D154" s="171" t="s">
        <v>477</v>
      </c>
      <c r="E154" s="193"/>
      <c r="F154" s="161" t="s">
        <v>98</v>
      </c>
      <c r="G154" s="161" t="s">
        <v>91</v>
      </c>
      <c r="H154" s="193"/>
      <c r="I154" s="173">
        <f>+IFERROR(VLOOKUP($C154,'[1]Tăng ca Hr'!$E:$DN,114,0),"")</f>
        <v>4</v>
      </c>
      <c r="J154" s="174">
        <f t="shared" si="56"/>
        <v>4</v>
      </c>
      <c r="K154" s="174" t="str">
        <f t="shared" si="57"/>
        <v/>
      </c>
      <c r="L154" s="174" t="str">
        <f t="shared" si="58"/>
        <v/>
      </c>
      <c r="M154" s="173">
        <f>VLOOKUP(C154,'[1]Tăng ca Hr'!$E:$DJ,110,0)</f>
        <v>4</v>
      </c>
      <c r="N154" s="174">
        <f t="shared" si="59"/>
        <v>4</v>
      </c>
      <c r="O154" s="174" t="str">
        <f t="shared" si="60"/>
        <v/>
      </c>
      <c r="P154" s="174" t="str">
        <f t="shared" si="61"/>
        <v/>
      </c>
      <c r="Q154" s="173">
        <f>+IFERROR(VLOOKUP($C154,[2]Detail!$B:$AR,43,0),"")</f>
        <v>4</v>
      </c>
      <c r="R154" s="161">
        <f t="shared" si="62"/>
        <v>4</v>
      </c>
      <c r="S154" s="161" t="str">
        <f t="shared" si="63"/>
        <v/>
      </c>
      <c r="T154" s="161" t="str">
        <f t="shared" si="64"/>
        <v/>
      </c>
    </row>
    <row r="155" spans="1:24" s="192" customFormat="1" ht="33" hidden="1" customHeight="1" x14ac:dyDescent="0.35">
      <c r="A155" s="159">
        <v>119</v>
      </c>
      <c r="B155" s="193"/>
      <c r="C155" s="193" t="s">
        <v>478</v>
      </c>
      <c r="D155" s="171" t="s">
        <v>479</v>
      </c>
      <c r="E155" s="193"/>
      <c r="F155" s="161" t="s">
        <v>112</v>
      </c>
      <c r="G155" s="161" t="s">
        <v>91</v>
      </c>
      <c r="H155" s="193"/>
      <c r="I155" s="173">
        <f>+IFERROR(VLOOKUP($C155,'[1]Tăng ca Hr'!$E:$DN,114,0),"")</f>
        <v>5</v>
      </c>
      <c r="J155" s="174">
        <f t="shared" si="56"/>
        <v>5</v>
      </c>
      <c r="K155" s="174" t="str">
        <f t="shared" si="57"/>
        <v/>
      </c>
      <c r="L155" s="174" t="str">
        <f t="shared" si="58"/>
        <v/>
      </c>
      <c r="M155" s="173">
        <f>VLOOKUP(C155,'[1]Tăng ca Hr'!$E:$DJ,110,0)</f>
        <v>5</v>
      </c>
      <c r="N155" s="174">
        <f t="shared" si="59"/>
        <v>5</v>
      </c>
      <c r="O155" s="174" t="str">
        <f t="shared" si="60"/>
        <v/>
      </c>
      <c r="P155" s="174" t="str">
        <f t="shared" si="61"/>
        <v/>
      </c>
      <c r="Q155" s="173">
        <f>+IFERROR(VLOOKUP($C155,[2]Detail!$B:$AR,43,0),"")</f>
        <v>5</v>
      </c>
      <c r="R155" s="161">
        <f t="shared" si="62"/>
        <v>5</v>
      </c>
      <c r="S155" s="161" t="str">
        <f t="shared" si="63"/>
        <v/>
      </c>
      <c r="T155" s="161" t="str">
        <f t="shared" si="64"/>
        <v/>
      </c>
    </row>
    <row r="156" spans="1:24" s="192" customFormat="1" ht="33" hidden="1" customHeight="1" x14ac:dyDescent="0.35">
      <c r="A156" s="159">
        <v>120</v>
      </c>
      <c r="B156" s="193"/>
      <c r="C156" s="193" t="s">
        <v>480</v>
      </c>
      <c r="D156" s="171" t="s">
        <v>481</v>
      </c>
      <c r="E156" s="193"/>
      <c r="F156" s="161" t="s">
        <v>112</v>
      </c>
      <c r="G156" s="161" t="s">
        <v>91</v>
      </c>
      <c r="H156" s="193"/>
      <c r="I156" s="173">
        <f>+IFERROR(VLOOKUP($C156,'[1]Tăng ca Hr'!$E:$DN,114,0),"")</f>
        <v>0</v>
      </c>
      <c r="J156" s="174">
        <f t="shared" si="56"/>
        <v>0</v>
      </c>
      <c r="K156" s="174" t="str">
        <f t="shared" si="57"/>
        <v/>
      </c>
      <c r="L156" s="174" t="str">
        <f t="shared" si="58"/>
        <v/>
      </c>
      <c r="M156" s="173">
        <f>VLOOKUP(C156,'[1]Tăng ca Hr'!$E:$DJ,110,0)</f>
        <v>0</v>
      </c>
      <c r="N156" s="174">
        <f t="shared" si="59"/>
        <v>0</v>
      </c>
      <c r="O156" s="174" t="str">
        <f t="shared" si="60"/>
        <v/>
      </c>
      <c r="P156" s="174" t="str">
        <f t="shared" si="61"/>
        <v/>
      </c>
      <c r="Q156" s="173">
        <f>+IFERROR(VLOOKUP($C156,[2]Detail!$B:$AR,43,0),"")</f>
        <v>0</v>
      </c>
      <c r="R156" s="161">
        <f t="shared" si="62"/>
        <v>0</v>
      </c>
      <c r="S156" s="161" t="str">
        <f t="shared" si="63"/>
        <v/>
      </c>
      <c r="T156" s="161" t="str">
        <f t="shared" si="64"/>
        <v/>
      </c>
    </row>
    <row r="157" spans="1:24" s="192" customFormat="1" ht="33" hidden="1" customHeight="1" x14ac:dyDescent="0.35">
      <c r="A157" s="159">
        <v>121</v>
      </c>
      <c r="B157" s="193"/>
      <c r="C157" s="193" t="s">
        <v>482</v>
      </c>
      <c r="D157" s="171" t="s">
        <v>483</v>
      </c>
      <c r="E157" s="193"/>
      <c r="F157" s="161" t="s">
        <v>112</v>
      </c>
      <c r="G157" s="161" t="s">
        <v>91</v>
      </c>
      <c r="H157" s="193"/>
      <c r="I157" s="173">
        <f>+IFERROR(VLOOKUP($C157,'[1]Tăng ca Hr'!$E:$DN,114,0),"")</f>
        <v>8</v>
      </c>
      <c r="J157" s="174">
        <f t="shared" si="56"/>
        <v>8</v>
      </c>
      <c r="K157" s="174" t="str">
        <f t="shared" si="57"/>
        <v/>
      </c>
      <c r="L157" s="174" t="str">
        <f t="shared" si="58"/>
        <v/>
      </c>
      <c r="M157" s="173">
        <f>VLOOKUP(C157,'[1]Tăng ca Hr'!$E:$DJ,110,0)</f>
        <v>8</v>
      </c>
      <c r="N157" s="174">
        <f t="shared" si="59"/>
        <v>8</v>
      </c>
      <c r="O157" s="174" t="str">
        <f t="shared" si="60"/>
        <v/>
      </c>
      <c r="P157" s="174" t="str">
        <f t="shared" si="61"/>
        <v/>
      </c>
      <c r="Q157" s="173">
        <f>+IFERROR(VLOOKUP($C157,[2]Detail!$B:$AR,43,0),"")</f>
        <v>8</v>
      </c>
      <c r="R157" s="161">
        <f t="shared" si="62"/>
        <v>8</v>
      </c>
      <c r="S157" s="161" t="str">
        <f t="shared" si="63"/>
        <v/>
      </c>
      <c r="T157" s="161" t="str">
        <f t="shared" si="64"/>
        <v/>
      </c>
    </row>
  </sheetData>
  <autoFilter ref="A36:X157" xr:uid="{DA58BE2A-8D8E-4BDF-8C3C-69D773839672}">
    <filterColumn colId="3">
      <filters>
        <filter val="Trương Hồng Gấm"/>
      </filters>
    </filterColumn>
  </autoFilter>
  <mergeCells count="2">
    <mergeCell ref="I35:L35"/>
    <mergeCell ref="M35:P35"/>
  </mergeCells>
  <conditionalFormatting sqref="C1:C7 C10:C35">
    <cfRule type="duplicateValues" dxfId="42" priority="10"/>
    <cfRule type="duplicateValues" dxfId="41" priority="11"/>
    <cfRule type="duplicateValues" dxfId="40" priority="12"/>
  </conditionalFormatting>
  <conditionalFormatting sqref="D1:D35">
    <cfRule type="duplicateValues" dxfId="39" priority="13"/>
  </conditionalFormatting>
  <conditionalFormatting sqref="I37:I157">
    <cfRule type="cellIs" dxfId="38" priority="7" operator="greaterThanOrEqual">
      <formula>12</formula>
    </cfRule>
    <cfRule type="cellIs" dxfId="37" priority="8" operator="between">
      <formula>8</formula>
      <formula>12</formula>
    </cfRule>
    <cfRule type="cellIs" dxfId="36" priority="9" operator="lessThanOrEqual">
      <formula>8</formula>
    </cfRule>
  </conditionalFormatting>
  <conditionalFormatting sqref="M37:M157">
    <cfRule type="cellIs" dxfId="35" priority="4" operator="greaterThanOrEqual">
      <formula>36</formula>
    </cfRule>
    <cfRule type="cellIs" dxfId="34" priority="5" operator="between">
      <formula>28</formula>
      <formula>36</formula>
    </cfRule>
    <cfRule type="cellIs" dxfId="33" priority="6" operator="lessThanOrEqual">
      <formula>28</formula>
    </cfRule>
  </conditionalFormatting>
  <conditionalFormatting sqref="Q37:Q157">
    <cfRule type="cellIs" dxfId="32" priority="1" operator="lessThanOrEqual">
      <formula>250</formula>
    </cfRule>
    <cfRule type="cellIs" dxfId="31" priority="2" operator="between">
      <formula>250</formula>
      <formula>300</formula>
    </cfRule>
    <cfRule type="cellIs" dxfId="30" priority="3" operator="greaterThanOrEqual">
      <formula>300</formula>
    </cfRule>
  </conditionalFormatting>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58362-D6E0-4E0C-B87D-8186D4CD3178}">
  <sheetPr>
    <tabColor rgb="FFFF0000"/>
  </sheetPr>
  <dimension ref="B1:U6"/>
  <sheetViews>
    <sheetView topLeftCell="C1" workbookViewId="0">
      <selection activeCell="E12" sqref="E12"/>
    </sheetView>
  </sheetViews>
  <sheetFormatPr defaultRowHeight="14.5" x14ac:dyDescent="0.35"/>
  <cols>
    <col min="2" max="4" width="7.26953125" customWidth="1"/>
    <col min="5" max="5" width="18.453125" customWidth="1"/>
    <col min="6" max="6" width="14.26953125" customWidth="1"/>
    <col min="7" max="7" width="19.26953125" bestFit="1" customWidth="1"/>
    <col min="8" max="8" width="9.1796875" bestFit="1" customWidth="1"/>
    <col min="9" max="9" width="10.453125" bestFit="1" customWidth="1"/>
    <col min="10" max="21" width="10" customWidth="1"/>
  </cols>
  <sheetData>
    <row r="1" spans="2:21" ht="29.25" customHeight="1" x14ac:dyDescent="0.35">
      <c r="G1" s="199" t="s">
        <v>434</v>
      </c>
      <c r="H1" s="199"/>
      <c r="I1" s="199"/>
      <c r="J1" s="199"/>
      <c r="K1" s="199"/>
      <c r="L1" s="199"/>
      <c r="M1" s="199"/>
    </row>
    <row r="2" spans="2:21" ht="91.5" customHeight="1" x14ac:dyDescent="0.35">
      <c r="B2" s="26" t="s">
        <v>274</v>
      </c>
      <c r="C2" s="26" t="s">
        <v>84</v>
      </c>
      <c r="D2" s="27" t="s">
        <v>85</v>
      </c>
      <c r="E2" s="28" t="s">
        <v>86</v>
      </c>
      <c r="F2" s="28" t="s">
        <v>87</v>
      </c>
      <c r="G2" s="28" t="s">
        <v>88</v>
      </c>
      <c r="H2" s="28" t="s">
        <v>89</v>
      </c>
      <c r="I2" s="47" t="s">
        <v>90</v>
      </c>
      <c r="J2" s="50" t="s">
        <v>376</v>
      </c>
      <c r="K2" s="52" t="s">
        <v>380</v>
      </c>
      <c r="L2" s="53" t="s">
        <v>379</v>
      </c>
      <c r="M2" s="54" t="s">
        <v>378</v>
      </c>
      <c r="N2" s="50" t="s">
        <v>376</v>
      </c>
      <c r="O2" s="52" t="s">
        <v>368</v>
      </c>
      <c r="P2" s="53" t="s">
        <v>367</v>
      </c>
      <c r="Q2" s="54" t="s">
        <v>369</v>
      </c>
      <c r="R2" s="50" t="s">
        <v>372</v>
      </c>
      <c r="S2" s="52" t="s">
        <v>375</v>
      </c>
      <c r="T2" s="53" t="s">
        <v>374</v>
      </c>
      <c r="U2" s="54" t="s">
        <v>373</v>
      </c>
    </row>
    <row r="3" spans="2:21" ht="27.75" customHeight="1" x14ac:dyDescent="0.35">
      <c r="B3" s="30">
        <v>1</v>
      </c>
      <c r="C3" s="31" t="s">
        <v>94</v>
      </c>
      <c r="D3" s="36" t="s">
        <v>106</v>
      </c>
      <c r="E3" s="37" t="s">
        <v>381</v>
      </c>
      <c r="F3" s="34" t="s">
        <v>97</v>
      </c>
      <c r="G3" s="34" t="s">
        <v>98</v>
      </c>
      <c r="H3" s="34" t="s">
        <v>99</v>
      </c>
      <c r="I3" s="55">
        <v>43356</v>
      </c>
      <c r="J3" s="48">
        <v>0</v>
      </c>
      <c r="K3" s="46">
        <v>0</v>
      </c>
      <c r="L3" s="46" t="s">
        <v>433</v>
      </c>
      <c r="M3" s="49" t="s">
        <v>433</v>
      </c>
      <c r="N3" s="48">
        <v>31</v>
      </c>
      <c r="O3" s="46" t="s">
        <v>433</v>
      </c>
      <c r="P3" s="46">
        <v>31</v>
      </c>
      <c r="Q3" s="49" t="s">
        <v>433</v>
      </c>
      <c r="R3" s="48">
        <v>303</v>
      </c>
      <c r="S3" s="46" t="s">
        <v>433</v>
      </c>
      <c r="T3" s="46" t="s">
        <v>433</v>
      </c>
      <c r="U3" s="49">
        <v>303</v>
      </c>
    </row>
    <row r="4" spans="2:21" ht="27.75" customHeight="1" x14ac:dyDescent="0.35">
      <c r="B4" s="30">
        <v>2</v>
      </c>
      <c r="C4" s="31" t="s">
        <v>109</v>
      </c>
      <c r="D4" s="36" t="s">
        <v>146</v>
      </c>
      <c r="E4" s="37" t="s">
        <v>147</v>
      </c>
      <c r="F4" s="34" t="s">
        <v>97</v>
      </c>
      <c r="G4" s="34" t="s">
        <v>112</v>
      </c>
      <c r="H4" s="34" t="s">
        <v>99</v>
      </c>
      <c r="I4" s="55">
        <v>44029</v>
      </c>
      <c r="J4" s="48">
        <v>4</v>
      </c>
      <c r="K4" s="46">
        <v>4</v>
      </c>
      <c r="L4" s="46" t="s">
        <v>433</v>
      </c>
      <c r="M4" s="49" t="s">
        <v>433</v>
      </c>
      <c r="N4" s="48">
        <v>27</v>
      </c>
      <c r="O4" s="46">
        <v>27</v>
      </c>
      <c r="P4" s="46" t="s">
        <v>433</v>
      </c>
      <c r="Q4" s="49" t="s">
        <v>433</v>
      </c>
      <c r="R4" s="48">
        <v>305</v>
      </c>
      <c r="S4" s="46" t="s">
        <v>433</v>
      </c>
      <c r="T4" s="46" t="s">
        <v>433</v>
      </c>
      <c r="U4" s="49">
        <v>305</v>
      </c>
    </row>
    <row r="5" spans="2:21" ht="27.75" customHeight="1" x14ac:dyDescent="0.35">
      <c r="B5" s="30">
        <v>3</v>
      </c>
      <c r="C5" s="31" t="s">
        <v>109</v>
      </c>
      <c r="D5" s="36" t="s">
        <v>179</v>
      </c>
      <c r="E5" s="37" t="s">
        <v>180</v>
      </c>
      <c r="F5" s="34" t="s">
        <v>97</v>
      </c>
      <c r="G5" s="34" t="s">
        <v>112</v>
      </c>
      <c r="H5" s="34" t="s">
        <v>91</v>
      </c>
      <c r="I5" s="55">
        <v>44603</v>
      </c>
      <c r="J5" s="48">
        <v>12</v>
      </c>
      <c r="K5" s="46" t="s">
        <v>433</v>
      </c>
      <c r="L5" s="46" t="s">
        <v>433</v>
      </c>
      <c r="M5" s="49">
        <v>12</v>
      </c>
      <c r="N5" s="48">
        <v>36</v>
      </c>
      <c r="O5" s="46" t="s">
        <v>433</v>
      </c>
      <c r="P5" s="46" t="s">
        <v>433</v>
      </c>
      <c r="Q5" s="49">
        <v>36</v>
      </c>
      <c r="R5" s="48">
        <v>307</v>
      </c>
      <c r="S5" s="46" t="s">
        <v>433</v>
      </c>
      <c r="T5" s="46" t="s">
        <v>433</v>
      </c>
      <c r="U5" s="49">
        <v>307</v>
      </c>
    </row>
    <row r="6" spans="2:21" ht="27.75" customHeight="1" x14ac:dyDescent="0.35">
      <c r="B6" s="30">
        <v>4</v>
      </c>
      <c r="C6" s="31" t="s">
        <v>109</v>
      </c>
      <c r="D6" s="36" t="s">
        <v>210</v>
      </c>
      <c r="E6" s="37" t="s">
        <v>211</v>
      </c>
      <c r="F6" s="37" t="s">
        <v>97</v>
      </c>
      <c r="G6" s="34" t="s">
        <v>112</v>
      </c>
      <c r="H6" s="34" t="s">
        <v>91</v>
      </c>
      <c r="I6" s="55">
        <v>45372</v>
      </c>
      <c r="J6" s="48">
        <v>4</v>
      </c>
      <c r="K6" s="46">
        <v>4</v>
      </c>
      <c r="L6" s="46" t="s">
        <v>433</v>
      </c>
      <c r="M6" s="49" t="s">
        <v>433</v>
      </c>
      <c r="N6" s="48">
        <v>32</v>
      </c>
      <c r="O6" s="46" t="s">
        <v>433</v>
      </c>
      <c r="P6" s="46">
        <v>32</v>
      </c>
      <c r="Q6" s="49" t="s">
        <v>433</v>
      </c>
      <c r="R6" s="48">
        <v>311</v>
      </c>
      <c r="S6" s="46" t="s">
        <v>433</v>
      </c>
      <c r="T6" s="46" t="s">
        <v>433</v>
      </c>
      <c r="U6" s="49">
        <v>311</v>
      </c>
    </row>
  </sheetData>
  <mergeCells count="1">
    <mergeCell ref="G1:M1"/>
  </mergeCells>
  <conditionalFormatting sqref="J3:J6">
    <cfRule type="cellIs" dxfId="29" priority="7" operator="greaterThanOrEqual">
      <formula>12</formula>
    </cfRule>
    <cfRule type="cellIs" dxfId="28" priority="8" operator="between">
      <formula>8</formula>
      <formula>12</formula>
    </cfRule>
    <cfRule type="cellIs" dxfId="27" priority="9" operator="lessThanOrEqual">
      <formula>8</formula>
    </cfRule>
  </conditionalFormatting>
  <conditionalFormatting sqref="N3:N6">
    <cfRule type="cellIs" dxfId="26" priority="4" operator="greaterThanOrEqual">
      <formula>36</formula>
    </cfRule>
    <cfRule type="cellIs" dxfId="25" priority="5" operator="between">
      <formula>28</formula>
      <formula>36</formula>
    </cfRule>
    <cfRule type="cellIs" dxfId="24" priority="6" operator="lessThanOrEqual">
      <formula>28</formula>
    </cfRule>
  </conditionalFormatting>
  <conditionalFormatting sqref="R3:R6">
    <cfRule type="cellIs" dxfId="23" priority="1" operator="lessThanOrEqual">
      <formula>250</formula>
    </cfRule>
    <cfRule type="cellIs" dxfId="22" priority="2" operator="between">
      <formula>250</formula>
      <formula>300</formula>
    </cfRule>
    <cfRule type="cellIs" dxfId="21" priority="3" operator="greaterThanOrEqual">
      <formula>300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DA44A-4C77-4ABF-9BBF-7ED55B37B0C5}">
  <sheetPr>
    <tabColor rgb="FFFF0000"/>
  </sheetPr>
  <dimension ref="A2:T20"/>
  <sheetViews>
    <sheetView workbookViewId="0">
      <selection activeCell="E12" sqref="E12"/>
    </sheetView>
  </sheetViews>
  <sheetFormatPr defaultRowHeight="14.5" x14ac:dyDescent="0.35"/>
  <cols>
    <col min="1" max="1" width="5.54296875" bestFit="1" customWidth="1"/>
    <col min="2" max="2" width="7.1796875" bestFit="1" customWidth="1"/>
    <col min="3" max="3" width="8.7265625" bestFit="1" customWidth="1"/>
    <col min="4" max="4" width="23.7265625" customWidth="1"/>
    <col min="5" max="5" width="14" bestFit="1" customWidth="1"/>
    <col min="6" max="6" width="23.7265625" customWidth="1"/>
    <col min="7" max="7" width="11.54296875" bestFit="1" customWidth="1"/>
    <col min="8" max="8" width="17.1796875" customWidth="1"/>
    <col min="9" max="19" width="9.81640625" customWidth="1"/>
    <col min="20" max="20" width="10.81640625" customWidth="1"/>
  </cols>
  <sheetData>
    <row r="2" spans="1:20" ht="19" x14ac:dyDescent="0.4">
      <c r="A2" s="200" t="s">
        <v>434</v>
      </c>
      <c r="B2" s="200"/>
      <c r="C2" s="200"/>
      <c r="D2" s="200"/>
      <c r="E2" s="200"/>
      <c r="F2" s="200"/>
      <c r="G2" s="200"/>
    </row>
    <row r="3" spans="1:20" ht="52" x14ac:dyDescent="0.35">
      <c r="A3" s="131" t="s">
        <v>274</v>
      </c>
      <c r="B3" s="131" t="s">
        <v>84</v>
      </c>
      <c r="C3" s="131" t="s">
        <v>85</v>
      </c>
      <c r="D3" s="132" t="s">
        <v>86</v>
      </c>
      <c r="E3" s="132" t="s">
        <v>87</v>
      </c>
      <c r="F3" s="132" t="s">
        <v>88</v>
      </c>
      <c r="G3" s="132" t="s">
        <v>89</v>
      </c>
      <c r="H3" s="133" t="s">
        <v>90</v>
      </c>
      <c r="I3" s="134" t="s">
        <v>376</v>
      </c>
      <c r="J3" s="135" t="s">
        <v>380</v>
      </c>
      <c r="K3" s="136" t="s">
        <v>379</v>
      </c>
      <c r="L3" s="137" t="s">
        <v>378</v>
      </c>
      <c r="M3" s="134" t="s">
        <v>435</v>
      </c>
      <c r="N3" s="135" t="s">
        <v>368</v>
      </c>
      <c r="O3" s="136" t="s">
        <v>367</v>
      </c>
      <c r="P3" s="137" t="s">
        <v>369</v>
      </c>
      <c r="Q3" s="134" t="s">
        <v>372</v>
      </c>
      <c r="R3" s="135" t="s">
        <v>375</v>
      </c>
      <c r="S3" s="136" t="s">
        <v>374</v>
      </c>
      <c r="T3" s="138" t="s">
        <v>373</v>
      </c>
    </row>
    <row r="4" spans="1:20" x14ac:dyDescent="0.35">
      <c r="A4" s="129">
        <v>1</v>
      </c>
      <c r="B4" s="31" t="s">
        <v>94</v>
      </c>
      <c r="C4" s="32" t="s">
        <v>101</v>
      </c>
      <c r="D4" s="33" t="s">
        <v>102</v>
      </c>
      <c r="E4" s="34" t="s">
        <v>97</v>
      </c>
      <c r="F4" s="34" t="s">
        <v>98</v>
      </c>
      <c r="G4" s="34" t="s">
        <v>99</v>
      </c>
      <c r="H4" s="55">
        <v>43040</v>
      </c>
      <c r="I4" s="48">
        <v>0</v>
      </c>
      <c r="J4" s="46">
        <v>0</v>
      </c>
      <c r="K4" s="46" t="s">
        <v>433</v>
      </c>
      <c r="L4" s="49" t="s">
        <v>433</v>
      </c>
      <c r="M4" s="48">
        <v>36</v>
      </c>
      <c r="N4" s="46" t="s">
        <v>433</v>
      </c>
      <c r="O4" s="46" t="s">
        <v>433</v>
      </c>
      <c r="P4" s="49">
        <v>36</v>
      </c>
      <c r="Q4" s="48">
        <v>313</v>
      </c>
      <c r="R4" s="46" t="s">
        <v>433</v>
      </c>
      <c r="S4" s="46" t="s">
        <v>433</v>
      </c>
      <c r="T4" s="130">
        <v>313</v>
      </c>
    </row>
    <row r="5" spans="1:20" x14ac:dyDescent="0.35">
      <c r="A5" s="129">
        <f>A4+1</f>
        <v>2</v>
      </c>
      <c r="B5" s="31" t="s">
        <v>94</v>
      </c>
      <c r="C5" s="38" t="s">
        <v>104</v>
      </c>
      <c r="D5" s="33" t="s">
        <v>105</v>
      </c>
      <c r="E5" s="34" t="s">
        <v>97</v>
      </c>
      <c r="F5" s="34" t="s">
        <v>98</v>
      </c>
      <c r="G5" s="34" t="s">
        <v>91</v>
      </c>
      <c r="H5" s="55">
        <v>43195</v>
      </c>
      <c r="I5" s="48">
        <v>0</v>
      </c>
      <c r="J5" s="46">
        <v>0</v>
      </c>
      <c r="K5" s="46" t="s">
        <v>433</v>
      </c>
      <c r="L5" s="49" t="s">
        <v>433</v>
      </c>
      <c r="M5" s="48">
        <v>36</v>
      </c>
      <c r="N5" s="46" t="s">
        <v>433</v>
      </c>
      <c r="O5" s="46" t="s">
        <v>433</v>
      </c>
      <c r="P5" s="49">
        <v>36</v>
      </c>
      <c r="Q5" s="48">
        <v>307</v>
      </c>
      <c r="R5" s="46" t="s">
        <v>433</v>
      </c>
      <c r="S5" s="46" t="s">
        <v>433</v>
      </c>
      <c r="T5" s="130">
        <v>307</v>
      </c>
    </row>
    <row r="6" spans="1:20" x14ac:dyDescent="0.35">
      <c r="A6" s="129">
        <f t="shared" ref="A6:A20" si="0">A5+1</f>
        <v>3</v>
      </c>
      <c r="B6" s="31" t="s">
        <v>94</v>
      </c>
      <c r="C6" s="36" t="s">
        <v>106</v>
      </c>
      <c r="D6" s="37" t="s">
        <v>381</v>
      </c>
      <c r="E6" s="34" t="s">
        <v>97</v>
      </c>
      <c r="F6" s="34" t="s">
        <v>98</v>
      </c>
      <c r="G6" s="34" t="s">
        <v>99</v>
      </c>
      <c r="H6" s="55">
        <v>43356</v>
      </c>
      <c r="I6" s="48">
        <v>0</v>
      </c>
      <c r="J6" s="46">
        <v>0</v>
      </c>
      <c r="K6" s="46" t="s">
        <v>433</v>
      </c>
      <c r="L6" s="49" t="s">
        <v>433</v>
      </c>
      <c r="M6" s="48">
        <v>31</v>
      </c>
      <c r="N6" s="46" t="s">
        <v>433</v>
      </c>
      <c r="O6" s="46">
        <v>31</v>
      </c>
      <c r="P6" s="49" t="s">
        <v>433</v>
      </c>
      <c r="Q6" s="48">
        <v>303</v>
      </c>
      <c r="R6" s="46" t="s">
        <v>433</v>
      </c>
      <c r="S6" s="46" t="s">
        <v>433</v>
      </c>
      <c r="T6" s="130">
        <v>303</v>
      </c>
    </row>
    <row r="7" spans="1:20" x14ac:dyDescent="0.35">
      <c r="A7" s="129">
        <f t="shared" si="0"/>
        <v>4</v>
      </c>
      <c r="B7" s="56" t="s">
        <v>109</v>
      </c>
      <c r="C7" s="57" t="s">
        <v>123</v>
      </c>
      <c r="D7" s="58" t="s">
        <v>124</v>
      </c>
      <c r="E7" s="34" t="s">
        <v>97</v>
      </c>
      <c r="F7" s="34" t="s">
        <v>112</v>
      </c>
      <c r="G7" s="34" t="s">
        <v>99</v>
      </c>
      <c r="H7" s="55">
        <v>43867</v>
      </c>
      <c r="I7" s="48">
        <v>0</v>
      </c>
      <c r="J7" s="46">
        <v>0</v>
      </c>
      <c r="K7" s="46" t="s">
        <v>433</v>
      </c>
      <c r="L7" s="49" t="s">
        <v>433</v>
      </c>
      <c r="M7" s="48">
        <v>24</v>
      </c>
      <c r="N7" s="46">
        <v>24</v>
      </c>
      <c r="O7" s="46" t="s">
        <v>433</v>
      </c>
      <c r="P7" s="49" t="s">
        <v>433</v>
      </c>
      <c r="Q7" s="48">
        <v>303</v>
      </c>
      <c r="R7" s="46" t="s">
        <v>433</v>
      </c>
      <c r="S7" s="46" t="s">
        <v>433</v>
      </c>
      <c r="T7" s="130">
        <v>303</v>
      </c>
    </row>
    <row r="8" spans="1:20" x14ac:dyDescent="0.35">
      <c r="A8" s="129">
        <f t="shared" si="0"/>
        <v>5</v>
      </c>
      <c r="B8" s="31" t="s">
        <v>109</v>
      </c>
      <c r="C8" s="36" t="s">
        <v>146</v>
      </c>
      <c r="D8" s="37" t="s">
        <v>147</v>
      </c>
      <c r="E8" s="34" t="s">
        <v>97</v>
      </c>
      <c r="F8" s="34" t="s">
        <v>112</v>
      </c>
      <c r="G8" s="34" t="s">
        <v>99</v>
      </c>
      <c r="H8" s="55">
        <v>44029</v>
      </c>
      <c r="I8" s="48">
        <v>4</v>
      </c>
      <c r="J8" s="46">
        <v>4</v>
      </c>
      <c r="K8" s="46" t="s">
        <v>433</v>
      </c>
      <c r="L8" s="49" t="s">
        <v>433</v>
      </c>
      <c r="M8" s="48">
        <v>27</v>
      </c>
      <c r="N8" s="46">
        <v>27</v>
      </c>
      <c r="O8" s="46" t="s">
        <v>433</v>
      </c>
      <c r="P8" s="49" t="s">
        <v>433</v>
      </c>
      <c r="Q8" s="48">
        <v>305</v>
      </c>
      <c r="R8" s="46" t="s">
        <v>433</v>
      </c>
      <c r="S8" s="46" t="s">
        <v>433</v>
      </c>
      <c r="T8" s="130">
        <v>305</v>
      </c>
    </row>
    <row r="9" spans="1:20" x14ac:dyDescent="0.35">
      <c r="A9" s="129">
        <f t="shared" si="0"/>
        <v>6</v>
      </c>
      <c r="B9" s="56" t="s">
        <v>109</v>
      </c>
      <c r="C9" s="57" t="s">
        <v>149</v>
      </c>
      <c r="D9" s="58" t="s">
        <v>150</v>
      </c>
      <c r="E9" s="34" t="s">
        <v>97</v>
      </c>
      <c r="F9" s="34" t="s">
        <v>112</v>
      </c>
      <c r="G9" s="34" t="s">
        <v>93</v>
      </c>
      <c r="H9" s="55">
        <v>44043</v>
      </c>
      <c r="I9" s="48">
        <v>0</v>
      </c>
      <c r="J9" s="46">
        <v>0</v>
      </c>
      <c r="K9" s="46" t="s">
        <v>433</v>
      </c>
      <c r="L9" s="49" t="s">
        <v>433</v>
      </c>
      <c r="M9" s="48">
        <v>32</v>
      </c>
      <c r="N9" s="46" t="s">
        <v>433</v>
      </c>
      <c r="O9" s="46">
        <v>32</v>
      </c>
      <c r="P9" s="49" t="s">
        <v>433</v>
      </c>
      <c r="Q9" s="48">
        <v>309</v>
      </c>
      <c r="R9" s="46" t="s">
        <v>433</v>
      </c>
      <c r="S9" s="46" t="s">
        <v>433</v>
      </c>
      <c r="T9" s="130">
        <v>309</v>
      </c>
    </row>
    <row r="10" spans="1:20" x14ac:dyDescent="0.35">
      <c r="A10" s="129">
        <f t="shared" si="0"/>
        <v>7</v>
      </c>
      <c r="B10" s="31" t="s">
        <v>94</v>
      </c>
      <c r="C10" s="36" t="s">
        <v>160</v>
      </c>
      <c r="D10" s="37" t="s">
        <v>161</v>
      </c>
      <c r="E10" s="34" t="s">
        <v>97</v>
      </c>
      <c r="F10" s="34" t="s">
        <v>98</v>
      </c>
      <c r="G10" s="34" t="s">
        <v>91</v>
      </c>
      <c r="H10" s="55">
        <v>44249</v>
      </c>
      <c r="I10" s="48">
        <v>0</v>
      </c>
      <c r="J10" s="46">
        <v>0</v>
      </c>
      <c r="K10" s="46" t="s">
        <v>433</v>
      </c>
      <c r="L10" s="49" t="s">
        <v>433</v>
      </c>
      <c r="M10" s="48">
        <v>38</v>
      </c>
      <c r="N10" s="46" t="s">
        <v>433</v>
      </c>
      <c r="O10" s="46" t="s">
        <v>433</v>
      </c>
      <c r="P10" s="49">
        <v>38</v>
      </c>
      <c r="Q10" s="48">
        <v>308</v>
      </c>
      <c r="R10" s="46" t="s">
        <v>433</v>
      </c>
      <c r="S10" s="46" t="s">
        <v>433</v>
      </c>
      <c r="T10" s="130">
        <v>308</v>
      </c>
    </row>
    <row r="11" spans="1:20" x14ac:dyDescent="0.35">
      <c r="A11" s="129">
        <f t="shared" si="0"/>
        <v>8</v>
      </c>
      <c r="B11" s="31" t="s">
        <v>109</v>
      </c>
      <c r="C11" s="36" t="s">
        <v>168</v>
      </c>
      <c r="D11" s="37" t="s">
        <v>169</v>
      </c>
      <c r="E11" s="34" t="s">
        <v>97</v>
      </c>
      <c r="F11" s="34" t="s">
        <v>112</v>
      </c>
      <c r="G11" s="34" t="s">
        <v>91</v>
      </c>
      <c r="H11" s="55">
        <v>44504</v>
      </c>
      <c r="I11" s="48">
        <v>0</v>
      </c>
      <c r="J11" s="46">
        <v>0</v>
      </c>
      <c r="K11" s="46" t="s">
        <v>433</v>
      </c>
      <c r="L11" s="49" t="s">
        <v>433</v>
      </c>
      <c r="M11" s="48">
        <v>36</v>
      </c>
      <c r="N11" s="46" t="s">
        <v>433</v>
      </c>
      <c r="O11" s="46" t="s">
        <v>433</v>
      </c>
      <c r="P11" s="49">
        <v>36</v>
      </c>
      <c r="Q11" s="48">
        <v>319</v>
      </c>
      <c r="R11" s="46" t="s">
        <v>433</v>
      </c>
      <c r="S11" s="46" t="s">
        <v>433</v>
      </c>
      <c r="T11" s="130">
        <v>319</v>
      </c>
    </row>
    <row r="12" spans="1:20" x14ac:dyDescent="0.35">
      <c r="A12" s="129">
        <f t="shared" si="0"/>
        <v>9</v>
      </c>
      <c r="B12" s="31" t="s">
        <v>109</v>
      </c>
      <c r="C12" s="36" t="s">
        <v>179</v>
      </c>
      <c r="D12" s="37" t="s">
        <v>180</v>
      </c>
      <c r="E12" s="34" t="s">
        <v>97</v>
      </c>
      <c r="F12" s="34" t="s">
        <v>112</v>
      </c>
      <c r="G12" s="34" t="s">
        <v>91</v>
      </c>
      <c r="H12" s="55">
        <v>44603</v>
      </c>
      <c r="I12" s="48">
        <v>12</v>
      </c>
      <c r="J12" s="46" t="s">
        <v>433</v>
      </c>
      <c r="K12" s="46" t="s">
        <v>433</v>
      </c>
      <c r="L12" s="49">
        <v>12</v>
      </c>
      <c r="M12" s="48">
        <v>36</v>
      </c>
      <c r="N12" s="46" t="s">
        <v>433</v>
      </c>
      <c r="O12" s="46" t="s">
        <v>433</v>
      </c>
      <c r="P12" s="49">
        <v>36</v>
      </c>
      <c r="Q12" s="48">
        <v>307</v>
      </c>
      <c r="R12" s="46" t="s">
        <v>433</v>
      </c>
      <c r="S12" s="46" t="s">
        <v>433</v>
      </c>
      <c r="T12" s="130">
        <v>307</v>
      </c>
    </row>
    <row r="13" spans="1:20" x14ac:dyDescent="0.35">
      <c r="A13" s="129">
        <f t="shared" si="0"/>
        <v>10</v>
      </c>
      <c r="B13" s="56" t="s">
        <v>109</v>
      </c>
      <c r="C13" s="57" t="s">
        <v>181</v>
      </c>
      <c r="D13" s="58" t="s">
        <v>182</v>
      </c>
      <c r="E13" s="34" t="s">
        <v>97</v>
      </c>
      <c r="F13" s="34" t="s">
        <v>112</v>
      </c>
      <c r="G13" s="34" t="s">
        <v>99</v>
      </c>
      <c r="H13" s="55">
        <v>44610</v>
      </c>
      <c r="I13" s="48">
        <v>0</v>
      </c>
      <c r="J13" s="46">
        <v>0</v>
      </c>
      <c r="K13" s="46" t="s">
        <v>433</v>
      </c>
      <c r="L13" s="49" t="s">
        <v>433</v>
      </c>
      <c r="M13" s="48">
        <v>32</v>
      </c>
      <c r="N13" s="46" t="s">
        <v>433</v>
      </c>
      <c r="O13" s="46">
        <v>32</v>
      </c>
      <c r="P13" s="49" t="s">
        <v>433</v>
      </c>
      <c r="Q13" s="48">
        <v>313</v>
      </c>
      <c r="R13" s="46" t="s">
        <v>433</v>
      </c>
      <c r="S13" s="46" t="s">
        <v>433</v>
      </c>
      <c r="T13" s="130">
        <v>313</v>
      </c>
    </row>
    <row r="14" spans="1:20" x14ac:dyDescent="0.35">
      <c r="A14" s="129">
        <f t="shared" si="0"/>
        <v>11</v>
      </c>
      <c r="B14" s="56" t="s">
        <v>109</v>
      </c>
      <c r="C14" s="59" t="s">
        <v>193</v>
      </c>
      <c r="D14" s="60" t="s">
        <v>194</v>
      </c>
      <c r="E14" s="34" t="s">
        <v>97</v>
      </c>
      <c r="F14" s="34" t="s">
        <v>112</v>
      </c>
      <c r="G14" s="34" t="s">
        <v>93</v>
      </c>
      <c r="H14" s="55">
        <v>44707</v>
      </c>
      <c r="I14" s="48">
        <v>0</v>
      </c>
      <c r="J14" s="46">
        <v>0</v>
      </c>
      <c r="K14" s="46" t="s">
        <v>433</v>
      </c>
      <c r="L14" s="49" t="s">
        <v>433</v>
      </c>
      <c r="M14" s="48">
        <v>36</v>
      </c>
      <c r="N14" s="46" t="s">
        <v>433</v>
      </c>
      <c r="O14" s="46" t="s">
        <v>433</v>
      </c>
      <c r="P14" s="49">
        <v>36</v>
      </c>
      <c r="Q14" s="48">
        <v>316</v>
      </c>
      <c r="R14" s="46" t="s">
        <v>433</v>
      </c>
      <c r="S14" s="46" t="s">
        <v>433</v>
      </c>
      <c r="T14" s="130">
        <v>316</v>
      </c>
    </row>
    <row r="15" spans="1:20" x14ac:dyDescent="0.35">
      <c r="A15" s="129">
        <f t="shared" si="0"/>
        <v>12</v>
      </c>
      <c r="B15" s="31" t="s">
        <v>109</v>
      </c>
      <c r="C15" s="38" t="s">
        <v>195</v>
      </c>
      <c r="D15" s="41" t="s">
        <v>196</v>
      </c>
      <c r="E15" s="34" t="s">
        <v>97</v>
      </c>
      <c r="F15" s="34" t="s">
        <v>112</v>
      </c>
      <c r="G15" s="34" t="s">
        <v>91</v>
      </c>
      <c r="H15" s="55">
        <v>44719</v>
      </c>
      <c r="I15" s="48">
        <v>0</v>
      </c>
      <c r="J15" s="46">
        <v>0</v>
      </c>
      <c r="K15" s="46" t="s">
        <v>433</v>
      </c>
      <c r="L15" s="49" t="s">
        <v>433</v>
      </c>
      <c r="M15" s="48">
        <v>36</v>
      </c>
      <c r="N15" s="46" t="s">
        <v>433</v>
      </c>
      <c r="O15" s="46" t="s">
        <v>433</v>
      </c>
      <c r="P15" s="49">
        <v>36</v>
      </c>
      <c r="Q15" s="48">
        <v>328</v>
      </c>
      <c r="R15" s="46" t="s">
        <v>433</v>
      </c>
      <c r="S15" s="46" t="s">
        <v>433</v>
      </c>
      <c r="T15" s="130">
        <v>328</v>
      </c>
    </row>
    <row r="16" spans="1:20" x14ac:dyDescent="0.35">
      <c r="A16" s="129">
        <f t="shared" si="0"/>
        <v>13</v>
      </c>
      <c r="B16" s="31" t="s">
        <v>109</v>
      </c>
      <c r="C16" s="36" t="s">
        <v>210</v>
      </c>
      <c r="D16" s="37" t="s">
        <v>211</v>
      </c>
      <c r="E16" s="37" t="s">
        <v>97</v>
      </c>
      <c r="F16" s="34" t="s">
        <v>112</v>
      </c>
      <c r="G16" s="34" t="s">
        <v>91</v>
      </c>
      <c r="H16" s="55">
        <v>45372</v>
      </c>
      <c r="I16" s="48">
        <v>4</v>
      </c>
      <c r="J16" s="46">
        <v>4</v>
      </c>
      <c r="K16" s="46" t="s">
        <v>433</v>
      </c>
      <c r="L16" s="49" t="s">
        <v>433</v>
      </c>
      <c r="M16" s="48">
        <v>32</v>
      </c>
      <c r="N16" s="46" t="s">
        <v>433</v>
      </c>
      <c r="O16" s="46">
        <v>32</v>
      </c>
      <c r="P16" s="49" t="s">
        <v>433</v>
      </c>
      <c r="Q16" s="48">
        <v>311</v>
      </c>
      <c r="R16" s="46" t="s">
        <v>433</v>
      </c>
      <c r="S16" s="46" t="s">
        <v>433</v>
      </c>
      <c r="T16" s="130">
        <v>311</v>
      </c>
    </row>
    <row r="17" spans="1:20" x14ac:dyDescent="0.35">
      <c r="A17" s="129">
        <f t="shared" si="0"/>
        <v>14</v>
      </c>
      <c r="B17" s="31" t="s">
        <v>109</v>
      </c>
      <c r="C17" s="39" t="s">
        <v>221</v>
      </c>
      <c r="D17" s="40" t="s">
        <v>222</v>
      </c>
      <c r="E17" s="40" t="s">
        <v>97</v>
      </c>
      <c r="F17" s="34" t="s">
        <v>112</v>
      </c>
      <c r="G17" s="34" t="s">
        <v>91</v>
      </c>
      <c r="H17" s="55" t="s">
        <v>349</v>
      </c>
      <c r="I17" s="48">
        <v>0</v>
      </c>
      <c r="J17" s="46">
        <v>0</v>
      </c>
      <c r="K17" s="46" t="s">
        <v>433</v>
      </c>
      <c r="L17" s="49" t="s">
        <v>433</v>
      </c>
      <c r="M17" s="48">
        <v>32</v>
      </c>
      <c r="N17" s="46" t="s">
        <v>433</v>
      </c>
      <c r="O17" s="46">
        <v>32</v>
      </c>
      <c r="P17" s="49" t="s">
        <v>433</v>
      </c>
      <c r="Q17" s="48">
        <v>316</v>
      </c>
      <c r="R17" s="46" t="s">
        <v>433</v>
      </c>
      <c r="S17" s="46" t="s">
        <v>433</v>
      </c>
      <c r="T17" s="130">
        <v>316</v>
      </c>
    </row>
    <row r="18" spans="1:20" x14ac:dyDescent="0.35">
      <c r="A18" s="129">
        <f t="shared" si="0"/>
        <v>15</v>
      </c>
      <c r="B18" s="56" t="s">
        <v>109</v>
      </c>
      <c r="C18" s="61" t="s">
        <v>231</v>
      </c>
      <c r="D18" s="62" t="s">
        <v>232</v>
      </c>
      <c r="E18" s="40" t="s">
        <v>97</v>
      </c>
      <c r="F18" s="34" t="s">
        <v>112</v>
      </c>
      <c r="G18" s="34" t="s">
        <v>91</v>
      </c>
      <c r="H18" s="55" t="s">
        <v>351</v>
      </c>
      <c r="I18" s="48">
        <v>0</v>
      </c>
      <c r="J18" s="46">
        <v>0</v>
      </c>
      <c r="K18" s="46" t="s">
        <v>433</v>
      </c>
      <c r="L18" s="49" t="s">
        <v>433</v>
      </c>
      <c r="M18" s="48">
        <v>35</v>
      </c>
      <c r="N18" s="46" t="s">
        <v>433</v>
      </c>
      <c r="O18" s="46">
        <v>35</v>
      </c>
      <c r="P18" s="49" t="s">
        <v>433</v>
      </c>
      <c r="Q18" s="48">
        <v>327</v>
      </c>
      <c r="R18" s="46" t="s">
        <v>433</v>
      </c>
      <c r="S18" s="46" t="s">
        <v>433</v>
      </c>
      <c r="T18" s="130">
        <v>327</v>
      </c>
    </row>
    <row r="19" spans="1:20" x14ac:dyDescent="0.35">
      <c r="A19" s="129">
        <f t="shared" si="0"/>
        <v>16</v>
      </c>
      <c r="B19" s="56" t="s">
        <v>109</v>
      </c>
      <c r="C19" s="61" t="s">
        <v>241</v>
      </c>
      <c r="D19" s="62" t="s">
        <v>242</v>
      </c>
      <c r="E19" s="40" t="s">
        <v>97</v>
      </c>
      <c r="F19" s="34" t="s">
        <v>112</v>
      </c>
      <c r="G19" s="34" t="s">
        <v>91</v>
      </c>
      <c r="H19" s="55" t="s">
        <v>353</v>
      </c>
      <c r="I19" s="48">
        <v>0</v>
      </c>
      <c r="J19" s="46">
        <v>0</v>
      </c>
      <c r="K19" s="46" t="s">
        <v>433</v>
      </c>
      <c r="L19" s="49" t="s">
        <v>433</v>
      </c>
      <c r="M19" s="48">
        <v>22</v>
      </c>
      <c r="N19" s="46">
        <v>22</v>
      </c>
      <c r="O19" s="46" t="s">
        <v>433</v>
      </c>
      <c r="P19" s="49" t="s">
        <v>433</v>
      </c>
      <c r="Q19" s="48">
        <v>316</v>
      </c>
      <c r="R19" s="46" t="s">
        <v>433</v>
      </c>
      <c r="S19" s="46" t="s">
        <v>433</v>
      </c>
      <c r="T19" s="130">
        <v>316</v>
      </c>
    </row>
    <row r="20" spans="1:20" x14ac:dyDescent="0.35">
      <c r="A20" s="129">
        <f t="shared" si="0"/>
        <v>17</v>
      </c>
      <c r="B20" s="121" t="s">
        <v>109</v>
      </c>
      <c r="C20" s="122" t="s">
        <v>243</v>
      </c>
      <c r="D20" s="123" t="s">
        <v>244</v>
      </c>
      <c r="E20" s="123" t="s">
        <v>97</v>
      </c>
      <c r="F20" s="124" t="s">
        <v>112</v>
      </c>
      <c r="G20" s="124" t="s">
        <v>91</v>
      </c>
      <c r="H20" s="125" t="s">
        <v>354</v>
      </c>
      <c r="I20" s="126">
        <v>0</v>
      </c>
      <c r="J20" s="127">
        <v>0</v>
      </c>
      <c r="K20" s="127" t="s">
        <v>433</v>
      </c>
      <c r="L20" s="128" t="s">
        <v>433</v>
      </c>
      <c r="M20" s="126">
        <v>36</v>
      </c>
      <c r="N20" s="127" t="s">
        <v>433</v>
      </c>
      <c r="O20" s="127" t="s">
        <v>433</v>
      </c>
      <c r="P20" s="128">
        <v>36</v>
      </c>
      <c r="Q20" s="126">
        <v>340</v>
      </c>
      <c r="R20" s="127" t="s">
        <v>433</v>
      </c>
      <c r="S20" s="127" t="s">
        <v>433</v>
      </c>
      <c r="T20" s="139">
        <v>340</v>
      </c>
    </row>
  </sheetData>
  <mergeCells count="1">
    <mergeCell ref="A2:G2"/>
  </mergeCells>
  <conditionalFormatting sqref="I4:I20">
    <cfRule type="cellIs" dxfId="20" priority="7" operator="greaterThanOrEqual">
      <formula>12</formula>
    </cfRule>
    <cfRule type="cellIs" dxfId="19" priority="8" operator="between">
      <formula>8</formula>
      <formula>12</formula>
    </cfRule>
    <cfRule type="cellIs" dxfId="18" priority="9" operator="lessThanOrEqual">
      <formula>8</formula>
    </cfRule>
  </conditionalFormatting>
  <conditionalFormatting sqref="M4:M20">
    <cfRule type="cellIs" dxfId="17" priority="4" operator="greaterThanOrEqual">
      <formula>36</formula>
    </cfRule>
    <cfRule type="cellIs" dxfId="16" priority="5" operator="between">
      <formula>28</formula>
      <formula>36</formula>
    </cfRule>
    <cfRule type="cellIs" dxfId="15" priority="6" operator="lessThanOrEqual">
      <formula>28</formula>
    </cfRule>
  </conditionalFormatting>
  <conditionalFormatting sqref="Q4:Q20">
    <cfRule type="cellIs" dxfId="14" priority="1" operator="lessThanOrEqual">
      <formula>250</formula>
    </cfRule>
    <cfRule type="cellIs" dxfId="13" priority="2" operator="between">
      <formula>250</formula>
      <formula>300</formula>
    </cfRule>
    <cfRule type="cellIs" dxfId="12" priority="3" operator="greaterThanOrEqual">
      <formula>300</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1C77C-09E1-4DC3-9143-4705DF0E8653}">
  <sheetPr>
    <tabColor rgb="FFFF0000"/>
  </sheetPr>
  <dimension ref="A1:BG122"/>
  <sheetViews>
    <sheetView zoomScaleNormal="100" workbookViewId="0">
      <pane xSplit="4" ySplit="3" topLeftCell="G4" activePane="bottomRight" state="frozen"/>
      <selection activeCell="E12" sqref="E12"/>
      <selection pane="topRight" activeCell="E12" sqref="E12"/>
      <selection pane="bottomLeft" activeCell="E12" sqref="E12"/>
      <selection pane="bottomRight" activeCell="E12" sqref="E12"/>
    </sheetView>
  </sheetViews>
  <sheetFormatPr defaultRowHeight="15.5" x14ac:dyDescent="0.35"/>
  <cols>
    <col min="1" max="1" width="4.54296875" customWidth="1"/>
    <col min="2" max="2" width="10.1796875" customWidth="1"/>
    <col min="3" max="3" width="24" bestFit="1" customWidth="1"/>
    <col min="4" max="4" width="21" customWidth="1"/>
    <col min="5" max="6" width="20.1796875" customWidth="1"/>
    <col min="7" max="7" width="15" bestFit="1" customWidth="1"/>
    <col min="8" max="8" width="9.1796875" style="116" customWidth="1"/>
    <col min="9" max="10" width="9.1796875" style="117" customWidth="1"/>
    <col min="11" max="11" width="10" style="118" customWidth="1"/>
    <col min="12" max="13" width="10" style="117" customWidth="1"/>
    <col min="14" max="14" width="9.1796875" style="118" customWidth="1"/>
    <col min="15" max="19" width="9.1796875" style="117" customWidth="1"/>
    <col min="20" max="29" width="9.1796875" style="117" hidden="1" customWidth="1"/>
    <col min="30" max="43" width="11" style="117" hidden="1" customWidth="1"/>
    <col min="44" max="44" width="13.453125" customWidth="1"/>
    <col min="45" max="45" width="12.26953125" customWidth="1"/>
    <col min="46" max="46" width="13.54296875" style="119" customWidth="1"/>
    <col min="47" max="47" width="11.26953125" style="120" customWidth="1"/>
    <col min="48" max="48" width="11.1796875" customWidth="1"/>
    <col min="49" max="49" width="13.453125" customWidth="1"/>
    <col min="50" max="50" width="11.26953125" customWidth="1"/>
    <col min="51" max="51" width="9.1796875" customWidth="1"/>
    <col min="52" max="52" width="9.453125" customWidth="1"/>
    <col min="53" max="53" width="8.453125" customWidth="1"/>
    <col min="54" max="54" width="8.1796875" customWidth="1"/>
    <col min="55" max="55" width="10.1796875" customWidth="1"/>
    <col min="56" max="59" width="8.453125" customWidth="1"/>
  </cols>
  <sheetData>
    <row r="1" spans="1:59" s="72" customFormat="1" ht="26" x14ac:dyDescent="0.6">
      <c r="A1" s="63"/>
      <c r="B1" s="64"/>
      <c r="C1" s="64"/>
      <c r="D1" s="64"/>
      <c r="E1" s="64"/>
      <c r="F1" s="64">
        <v>52662.5</v>
      </c>
      <c r="G1" s="64"/>
      <c r="H1" s="202" t="s">
        <v>382</v>
      </c>
      <c r="I1" s="203"/>
      <c r="J1" s="65"/>
      <c r="K1" s="204" t="s">
        <v>383</v>
      </c>
      <c r="L1" s="205"/>
      <c r="M1" s="66"/>
      <c r="N1" s="206" t="s">
        <v>384</v>
      </c>
      <c r="O1" s="207"/>
      <c r="P1" s="67"/>
      <c r="Q1" s="68" t="s">
        <v>385</v>
      </c>
      <c r="R1" s="68"/>
      <c r="S1" s="68"/>
      <c r="T1" s="207" t="s">
        <v>386</v>
      </c>
      <c r="U1" s="207"/>
      <c r="V1" s="207"/>
      <c r="W1" s="205" t="s">
        <v>387</v>
      </c>
      <c r="X1" s="205"/>
      <c r="Y1" s="69"/>
      <c r="Z1" s="201" t="s">
        <v>388</v>
      </c>
      <c r="AA1" s="201"/>
      <c r="AB1" s="201"/>
      <c r="AC1" s="213" t="s">
        <v>389</v>
      </c>
      <c r="AD1" s="213"/>
      <c r="AE1" s="213"/>
      <c r="AF1" s="214" t="s">
        <v>390</v>
      </c>
      <c r="AG1" s="214"/>
      <c r="AH1" s="215"/>
      <c r="AI1" s="204" t="s">
        <v>391</v>
      </c>
      <c r="AJ1" s="205"/>
      <c r="AK1" s="216"/>
      <c r="AL1" s="217" t="s">
        <v>392</v>
      </c>
      <c r="AM1" s="218"/>
      <c r="AN1" s="219"/>
      <c r="AO1" s="220" t="s">
        <v>393</v>
      </c>
      <c r="AP1" s="221"/>
      <c r="AQ1" s="222"/>
      <c r="AR1" s="223" t="s">
        <v>394</v>
      </c>
      <c r="AS1" s="208" t="s">
        <v>395</v>
      </c>
      <c r="AT1" s="211" t="s">
        <v>396</v>
      </c>
      <c r="AU1" s="70"/>
      <c r="AV1" s="71"/>
      <c r="AW1" s="71"/>
      <c r="AX1" s="71"/>
      <c r="AY1" s="70"/>
      <c r="AZ1" s="71"/>
      <c r="BA1" s="71"/>
      <c r="BB1" s="71"/>
      <c r="BC1" s="71"/>
      <c r="BD1" s="71"/>
      <c r="BE1" s="71"/>
      <c r="BF1" s="71"/>
      <c r="BG1" s="71"/>
    </row>
    <row r="2" spans="1:59" ht="31.5" x14ac:dyDescent="0.35">
      <c r="A2" s="73" t="s">
        <v>397</v>
      </c>
      <c r="B2" s="74" t="s">
        <v>84</v>
      </c>
      <c r="C2" s="73" t="s">
        <v>398</v>
      </c>
      <c r="D2" s="75" t="s">
        <v>399</v>
      </c>
      <c r="E2" s="75" t="s">
        <v>400</v>
      </c>
      <c r="F2" s="75" t="s">
        <v>401</v>
      </c>
      <c r="G2" s="75" t="s">
        <v>402</v>
      </c>
      <c r="H2" s="76" t="s">
        <v>403</v>
      </c>
      <c r="I2" s="77" t="s">
        <v>404</v>
      </c>
      <c r="J2" s="77" t="s">
        <v>405</v>
      </c>
      <c r="K2" s="78" t="s">
        <v>403</v>
      </c>
      <c r="L2" s="79" t="s">
        <v>404</v>
      </c>
      <c r="M2" s="79" t="s">
        <v>405</v>
      </c>
      <c r="N2" s="80" t="s">
        <v>403</v>
      </c>
      <c r="O2" s="81" t="s">
        <v>404</v>
      </c>
      <c r="P2" s="77" t="s">
        <v>405</v>
      </c>
      <c r="Q2" s="82" t="s">
        <v>403</v>
      </c>
      <c r="R2" s="82" t="s">
        <v>404</v>
      </c>
      <c r="S2" s="82" t="s">
        <v>405</v>
      </c>
      <c r="T2" s="83" t="s">
        <v>403</v>
      </c>
      <c r="U2" s="83" t="s">
        <v>404</v>
      </c>
      <c r="V2" s="83" t="s">
        <v>405</v>
      </c>
      <c r="W2" s="84" t="s">
        <v>403</v>
      </c>
      <c r="X2" s="84" t="s">
        <v>404</v>
      </c>
      <c r="Y2" s="84" t="s">
        <v>405</v>
      </c>
      <c r="Z2" s="85" t="s">
        <v>403</v>
      </c>
      <c r="AA2" s="85" t="s">
        <v>404</v>
      </c>
      <c r="AB2" s="85" t="s">
        <v>405</v>
      </c>
      <c r="AC2" s="86" t="s">
        <v>403</v>
      </c>
      <c r="AD2" s="86" t="s">
        <v>404</v>
      </c>
      <c r="AE2" s="87" t="s">
        <v>405</v>
      </c>
      <c r="AF2" s="88" t="s">
        <v>403</v>
      </c>
      <c r="AG2" s="88" t="s">
        <v>404</v>
      </c>
      <c r="AH2" s="88" t="s">
        <v>405</v>
      </c>
      <c r="AI2" s="89" t="s">
        <v>403</v>
      </c>
      <c r="AJ2" s="84" t="s">
        <v>404</v>
      </c>
      <c r="AK2" s="84" t="s">
        <v>405</v>
      </c>
      <c r="AL2" s="90" t="s">
        <v>403</v>
      </c>
      <c r="AM2" s="90" t="s">
        <v>404</v>
      </c>
      <c r="AN2" s="90" t="s">
        <v>405</v>
      </c>
      <c r="AO2" s="84" t="s">
        <v>403</v>
      </c>
      <c r="AP2" s="84" t="s">
        <v>404</v>
      </c>
      <c r="AQ2" s="84" t="s">
        <v>405</v>
      </c>
      <c r="AR2" s="224"/>
      <c r="AS2" s="209"/>
      <c r="AT2" s="212"/>
      <c r="AU2" s="91"/>
      <c r="AV2" s="92"/>
      <c r="AW2" s="93"/>
      <c r="AX2" s="93"/>
      <c r="AY2" s="70"/>
      <c r="AZ2" s="94"/>
      <c r="BA2" s="92"/>
      <c r="BB2" s="92"/>
      <c r="BC2" s="92"/>
      <c r="BD2" s="92"/>
      <c r="BE2" s="92">
        <v>11</v>
      </c>
      <c r="BF2" s="95" t="s">
        <v>406</v>
      </c>
      <c r="BG2" s="92"/>
    </row>
    <row r="3" spans="1:59" ht="26.25" customHeight="1" x14ac:dyDescent="0.35">
      <c r="A3" s="96"/>
      <c r="B3" s="97"/>
      <c r="C3" s="98"/>
      <c r="D3" s="98"/>
      <c r="E3" s="99"/>
      <c r="F3" s="99"/>
      <c r="G3" s="100"/>
      <c r="H3" s="101">
        <f>SUBTOTAL(9,H4:H57)</f>
        <v>11128</v>
      </c>
      <c r="I3" s="101">
        <f t="shared" ref="I3:N3" si="0">SUBTOTAL(9,I4:I101)</f>
        <v>7012.75</v>
      </c>
      <c r="J3" s="101">
        <f t="shared" si="0"/>
        <v>84</v>
      </c>
      <c r="K3" s="101">
        <f t="shared" si="0"/>
        <v>20958</v>
      </c>
      <c r="L3" s="101">
        <f t="shared" si="0"/>
        <v>4386</v>
      </c>
      <c r="M3" s="101">
        <f t="shared" si="0"/>
        <v>78</v>
      </c>
      <c r="N3" s="101">
        <f t="shared" si="0"/>
        <v>18501.733333333003</v>
      </c>
      <c r="O3" s="101">
        <f>SUBTOTAL(9,O4:O1048576)</f>
        <v>10946</v>
      </c>
      <c r="P3" s="101">
        <f>SUBTOTAL(9,P4:P101)</f>
        <v>86</v>
      </c>
      <c r="Q3" s="101">
        <f>SUBTOTAL(9,Q4:Q116)</f>
        <v>0</v>
      </c>
      <c r="R3" s="101">
        <f>SUBTOTAL(9,R4:R116)</f>
        <v>0</v>
      </c>
      <c r="S3" s="101">
        <f>SUBTOTAL(9,S4:S116)</f>
        <v>0</v>
      </c>
      <c r="T3" s="101">
        <f t="shared" ref="T3:AB3" si="1">SUBTOTAL(9,T4:T101)</f>
        <v>0</v>
      </c>
      <c r="U3" s="101">
        <f t="shared" si="1"/>
        <v>0</v>
      </c>
      <c r="V3" s="101">
        <f t="shared" si="1"/>
        <v>0</v>
      </c>
      <c r="W3" s="101">
        <f t="shared" si="1"/>
        <v>0</v>
      </c>
      <c r="X3" s="101">
        <f t="shared" si="1"/>
        <v>0</v>
      </c>
      <c r="Y3" s="101">
        <f t="shared" si="1"/>
        <v>0</v>
      </c>
      <c r="Z3" s="101">
        <f t="shared" si="1"/>
        <v>0</v>
      </c>
      <c r="AA3" s="101">
        <f t="shared" si="1"/>
        <v>0</v>
      </c>
      <c r="AB3" s="101">
        <f t="shared" si="1"/>
        <v>0</v>
      </c>
      <c r="AC3" s="101">
        <f t="shared" ref="AC3:AQ3" si="2">SUBTOTAL(9,AC4:AC1048576)</f>
        <v>0</v>
      </c>
      <c r="AD3" s="101">
        <f t="shared" si="2"/>
        <v>0</v>
      </c>
      <c r="AE3" s="101">
        <f t="shared" si="2"/>
        <v>0</v>
      </c>
      <c r="AF3" s="101">
        <f t="shared" si="2"/>
        <v>0</v>
      </c>
      <c r="AG3" s="101">
        <f t="shared" si="2"/>
        <v>0</v>
      </c>
      <c r="AH3" s="101">
        <f t="shared" si="2"/>
        <v>0</v>
      </c>
      <c r="AI3" s="101">
        <f t="shared" si="2"/>
        <v>0</v>
      </c>
      <c r="AJ3" s="101">
        <f t="shared" si="2"/>
        <v>0</v>
      </c>
      <c r="AK3" s="101">
        <f t="shared" si="2"/>
        <v>0</v>
      </c>
      <c r="AL3" s="101">
        <f t="shared" si="2"/>
        <v>0</v>
      </c>
      <c r="AM3" s="101">
        <f t="shared" si="2"/>
        <v>0</v>
      </c>
      <c r="AN3" s="101">
        <f t="shared" si="2"/>
        <v>0</v>
      </c>
      <c r="AO3" s="101">
        <f t="shared" si="2"/>
        <v>0</v>
      </c>
      <c r="AP3" s="101">
        <f t="shared" si="2"/>
        <v>0</v>
      </c>
      <c r="AQ3" s="101">
        <f t="shared" si="2"/>
        <v>0</v>
      </c>
      <c r="AR3" s="225"/>
      <c r="AS3" s="210"/>
      <c r="AT3" s="102">
        <f>SUBTOTAL(9,AT4:AT116)</f>
        <v>1</v>
      </c>
      <c r="AU3" s="70" t="s">
        <v>407</v>
      </c>
      <c r="AV3" s="103" t="s">
        <v>408</v>
      </c>
      <c r="AW3" s="103" t="s">
        <v>409</v>
      </c>
      <c r="AX3" s="103" t="s">
        <v>410</v>
      </c>
      <c r="AY3" s="103" t="s">
        <v>411</v>
      </c>
      <c r="AZ3" s="103" t="s">
        <v>412</v>
      </c>
      <c r="BA3" s="103" t="s">
        <v>413</v>
      </c>
      <c r="BB3" s="103" t="s">
        <v>414</v>
      </c>
      <c r="BC3" s="103" t="s">
        <v>415</v>
      </c>
      <c r="BD3" s="103" t="s">
        <v>416</v>
      </c>
      <c r="BE3" s="103" t="s">
        <v>417</v>
      </c>
      <c r="BF3" s="103" t="s">
        <v>418</v>
      </c>
      <c r="BG3" s="103" t="s">
        <v>419</v>
      </c>
    </row>
    <row r="4" spans="1:59" ht="22.5" customHeight="1" x14ac:dyDescent="0.35">
      <c r="A4" s="104">
        <v>1</v>
      </c>
      <c r="B4" s="105" t="s">
        <v>95</v>
      </c>
      <c r="C4" s="105" t="s">
        <v>96</v>
      </c>
      <c r="D4" s="105" t="s">
        <v>97</v>
      </c>
      <c r="E4" s="105" t="s">
        <v>98</v>
      </c>
      <c r="F4" s="105" t="s">
        <v>91</v>
      </c>
      <c r="G4" s="106">
        <v>41690</v>
      </c>
      <c r="H4" s="107">
        <v>208</v>
      </c>
      <c r="I4" s="108">
        <v>82</v>
      </c>
      <c r="J4" s="109">
        <v>1</v>
      </c>
      <c r="K4" s="108">
        <v>216</v>
      </c>
      <c r="L4" s="108">
        <v>52</v>
      </c>
      <c r="M4" s="109">
        <v>1</v>
      </c>
      <c r="N4" s="108">
        <f>VLOOKUP(B4,'[4]BCC Tổng 03.2026'!C$37:BG$1383,57,0)</f>
        <v>192</v>
      </c>
      <c r="O4" s="108">
        <f>VLOOKUP(B4,'[4]BCC Tổng 03.2026'!C$37:CZ$1048576,102,0)</f>
        <v>122</v>
      </c>
      <c r="P4" s="109">
        <f t="shared" ref="P4:P62" si="3">IF(O4&gt;40,1,0)</f>
        <v>1</v>
      </c>
      <c r="Q4" s="109"/>
      <c r="R4" s="108">
        <f>+IFERROR(VLOOKUP(B4,'[5]Tháng 04.2026'!E:DY,125,0),"")</f>
        <v>0</v>
      </c>
      <c r="S4" s="109"/>
      <c r="T4" s="109"/>
      <c r="U4" s="109"/>
      <c r="V4" s="109"/>
      <c r="W4" s="109"/>
      <c r="X4" s="109"/>
      <c r="Y4" s="109"/>
      <c r="Z4" s="109"/>
      <c r="AA4" s="109"/>
      <c r="AB4" s="109"/>
      <c r="AC4" s="109"/>
      <c r="AD4" s="109"/>
      <c r="AE4" s="109"/>
      <c r="AF4" s="109"/>
      <c r="AG4" s="109"/>
      <c r="AH4" s="109"/>
      <c r="AI4" s="109"/>
      <c r="AJ4" s="109"/>
      <c r="AK4" s="109"/>
      <c r="AL4" s="109"/>
      <c r="AM4" s="109"/>
      <c r="AN4" s="110"/>
      <c r="AO4" s="110"/>
      <c r="AP4" s="110"/>
      <c r="AQ4" s="110"/>
      <c r="AR4" s="111">
        <f t="shared" ref="AR4:AR63" si="4">SUM(I4,L4,O4,R4,U4,X4,AA4,AD4,AG4,AJ4,AM4,AP4)</f>
        <v>256</v>
      </c>
      <c r="AS4" s="112">
        <f t="shared" ref="AS4:AS11" si="5">AR4-300</f>
        <v>-44</v>
      </c>
      <c r="AT4" s="113">
        <f>IF(AR4&gt;300,1,0)</f>
        <v>0</v>
      </c>
      <c r="AU4" s="114"/>
      <c r="AV4" s="115">
        <f t="shared" ref="AV4:AV62" si="6">SUM(I4,L4)</f>
        <v>134</v>
      </c>
      <c r="AW4" s="115"/>
      <c r="AX4" s="92"/>
      <c r="AY4" s="92"/>
      <c r="AZ4" s="92"/>
      <c r="BA4" s="92"/>
      <c r="BB4" s="92"/>
      <c r="BC4" s="92"/>
      <c r="BD4" s="92"/>
      <c r="BE4" s="92"/>
      <c r="BF4" s="92"/>
      <c r="BG4" s="92"/>
    </row>
    <row r="5" spans="1:59" ht="22.5" customHeight="1" x14ac:dyDescent="0.35">
      <c r="A5" s="104">
        <f>A4+1</f>
        <v>2</v>
      </c>
      <c r="B5" s="105" t="s">
        <v>101</v>
      </c>
      <c r="C5" s="105" t="s">
        <v>102</v>
      </c>
      <c r="D5" s="105" t="s">
        <v>97</v>
      </c>
      <c r="E5" s="105" t="s">
        <v>98</v>
      </c>
      <c r="F5" s="105" t="s">
        <v>99</v>
      </c>
      <c r="G5" s="106">
        <v>43040</v>
      </c>
      <c r="H5" s="107">
        <v>208</v>
      </c>
      <c r="I5" s="108">
        <v>86</v>
      </c>
      <c r="J5" s="109">
        <v>1</v>
      </c>
      <c r="K5" s="108">
        <v>216</v>
      </c>
      <c r="L5" s="108">
        <v>54</v>
      </c>
      <c r="M5" s="109">
        <v>1</v>
      </c>
      <c r="N5" s="108">
        <f>VLOOKUP(B5,'[4]BCC Tổng 03.2026'!C$37:BG$1383,57,0)</f>
        <v>192</v>
      </c>
      <c r="O5" s="108">
        <f>VLOOKUP(B5,'[4]BCC Tổng 03.2026'!C$37:CZ$1048576,102,0)</f>
        <v>137</v>
      </c>
      <c r="P5" s="109">
        <f t="shared" si="3"/>
        <v>1</v>
      </c>
      <c r="Q5" s="109"/>
      <c r="R5" s="108">
        <f>+IFERROR(VLOOKUP(B5,'[5]Tháng 04.2026'!E:DY,125,0),"")</f>
        <v>0</v>
      </c>
      <c r="S5" s="109"/>
      <c r="T5" s="109"/>
      <c r="U5" s="109"/>
      <c r="V5" s="109"/>
      <c r="W5" s="109"/>
      <c r="X5" s="109"/>
      <c r="Y5" s="109"/>
      <c r="Z5" s="109"/>
      <c r="AA5" s="109"/>
      <c r="AB5" s="109"/>
      <c r="AC5" s="109"/>
      <c r="AD5" s="109"/>
      <c r="AE5" s="109"/>
      <c r="AF5" s="109"/>
      <c r="AG5" s="109"/>
      <c r="AH5" s="109"/>
      <c r="AI5" s="109"/>
      <c r="AJ5" s="109"/>
      <c r="AK5" s="109"/>
      <c r="AL5" s="109"/>
      <c r="AM5" s="109"/>
      <c r="AN5" s="109"/>
      <c r="AO5" s="110"/>
      <c r="AP5" s="110"/>
      <c r="AQ5" s="110"/>
      <c r="AR5" s="111">
        <f t="shared" si="4"/>
        <v>277</v>
      </c>
      <c r="AS5" s="112">
        <f t="shared" si="5"/>
        <v>-23</v>
      </c>
      <c r="AT5" s="113">
        <f t="shared" ref="AT5:AT62" si="7">IF(AR5&gt;300,1,0)</f>
        <v>0</v>
      </c>
      <c r="AU5" s="114"/>
      <c r="AV5" s="115">
        <f t="shared" si="6"/>
        <v>140</v>
      </c>
      <c r="AW5" s="115"/>
      <c r="AX5" s="92"/>
      <c r="AY5" s="92"/>
      <c r="AZ5" s="92"/>
      <c r="BA5" s="92"/>
      <c r="BB5" s="92"/>
      <c r="BC5" s="92"/>
      <c r="BD5" s="92"/>
      <c r="BE5" s="92"/>
      <c r="BF5" s="92"/>
      <c r="BG5" s="92"/>
    </row>
    <row r="6" spans="1:59" ht="22.5" customHeight="1" x14ac:dyDescent="0.35">
      <c r="A6" s="104">
        <f t="shared" ref="A6:A69" si="8">A5+1</f>
        <v>3</v>
      </c>
      <c r="B6" s="105" t="s">
        <v>104</v>
      </c>
      <c r="C6" s="105" t="s">
        <v>105</v>
      </c>
      <c r="D6" s="105" t="s">
        <v>97</v>
      </c>
      <c r="E6" s="105" t="s">
        <v>98</v>
      </c>
      <c r="F6" s="105" t="s">
        <v>91</v>
      </c>
      <c r="G6" s="106">
        <v>43195</v>
      </c>
      <c r="H6" s="107">
        <v>208</v>
      </c>
      <c r="I6" s="108">
        <v>85</v>
      </c>
      <c r="J6" s="109">
        <v>1</v>
      </c>
      <c r="K6" s="108">
        <v>216</v>
      </c>
      <c r="L6" s="108">
        <v>58</v>
      </c>
      <c r="M6" s="109">
        <v>1</v>
      </c>
      <c r="N6" s="108">
        <f>VLOOKUP(B6,'[4]BCC Tổng 03.2026'!C$37:BG$1383,57,0)</f>
        <v>192</v>
      </c>
      <c r="O6" s="108">
        <f>VLOOKUP(B6,'[4]BCC Tổng 03.2026'!C$37:CZ$1048576,102,0)</f>
        <v>128</v>
      </c>
      <c r="P6" s="109">
        <f t="shared" si="3"/>
        <v>1</v>
      </c>
      <c r="Q6" s="109"/>
      <c r="R6" s="108">
        <f>+IFERROR(VLOOKUP(B6,'[5]Tháng 04.2026'!E:DY,125,0),"")</f>
        <v>0</v>
      </c>
      <c r="S6" s="109"/>
      <c r="T6" s="109"/>
      <c r="U6" s="109"/>
      <c r="V6" s="109"/>
      <c r="W6" s="109"/>
      <c r="X6" s="109"/>
      <c r="Y6" s="109"/>
      <c r="Z6" s="109"/>
      <c r="AA6" s="109"/>
      <c r="AB6" s="109"/>
      <c r="AC6" s="109"/>
      <c r="AD6" s="109"/>
      <c r="AE6" s="109"/>
      <c r="AF6" s="109"/>
      <c r="AG6" s="109"/>
      <c r="AH6" s="109"/>
      <c r="AI6" s="109"/>
      <c r="AJ6" s="109"/>
      <c r="AK6" s="109"/>
      <c r="AL6" s="109"/>
      <c r="AM6" s="109"/>
      <c r="AN6" s="110"/>
      <c r="AO6" s="110"/>
      <c r="AP6" s="110"/>
      <c r="AQ6" s="110"/>
      <c r="AR6" s="111">
        <f t="shared" si="4"/>
        <v>271</v>
      </c>
      <c r="AS6" s="112">
        <f t="shared" si="5"/>
        <v>-29</v>
      </c>
      <c r="AT6" s="113">
        <f t="shared" si="7"/>
        <v>0</v>
      </c>
      <c r="AU6" s="114"/>
      <c r="AV6" s="115">
        <f t="shared" si="6"/>
        <v>143</v>
      </c>
      <c r="AW6" s="115"/>
      <c r="AX6" s="92"/>
      <c r="AY6" s="92"/>
      <c r="AZ6" s="92"/>
      <c r="BA6" s="92"/>
      <c r="BB6" s="92"/>
      <c r="BC6" s="92"/>
      <c r="BD6" s="92"/>
      <c r="BE6" s="92"/>
      <c r="BF6" s="92"/>
      <c r="BG6" s="92"/>
    </row>
    <row r="7" spans="1:59" ht="22.5" customHeight="1" x14ac:dyDescent="0.35">
      <c r="A7" s="104">
        <f t="shared" si="8"/>
        <v>4</v>
      </c>
      <c r="B7" s="105" t="s">
        <v>106</v>
      </c>
      <c r="C7" s="105" t="s">
        <v>381</v>
      </c>
      <c r="D7" s="105" t="s">
        <v>97</v>
      </c>
      <c r="E7" s="105" t="s">
        <v>98</v>
      </c>
      <c r="F7" s="105" t="s">
        <v>99</v>
      </c>
      <c r="G7" s="106">
        <v>43356</v>
      </c>
      <c r="H7" s="107">
        <v>208</v>
      </c>
      <c r="I7" s="108">
        <v>85</v>
      </c>
      <c r="J7" s="109">
        <v>1</v>
      </c>
      <c r="K7" s="108">
        <v>216</v>
      </c>
      <c r="L7" s="108">
        <v>56</v>
      </c>
      <c r="M7" s="109">
        <v>1</v>
      </c>
      <c r="N7" s="108">
        <f>VLOOKUP(B7,'[4]BCC Tổng 03.2026'!C$37:BG$1383,57,0)</f>
        <v>192</v>
      </c>
      <c r="O7" s="108">
        <f>VLOOKUP(B7,'[4]BCC Tổng 03.2026'!C$37:CZ$1048576,102,0)</f>
        <v>131</v>
      </c>
      <c r="P7" s="109">
        <f t="shared" si="3"/>
        <v>1</v>
      </c>
      <c r="Q7" s="109"/>
      <c r="R7" s="108">
        <f>+IFERROR(VLOOKUP(B7,'[5]Tháng 04.2026'!E:DY,125,0),"")</f>
        <v>0</v>
      </c>
      <c r="S7" s="109"/>
      <c r="T7" s="109"/>
      <c r="U7" s="109"/>
      <c r="V7" s="109"/>
      <c r="W7" s="109"/>
      <c r="X7" s="109"/>
      <c r="Y7" s="109"/>
      <c r="Z7" s="109"/>
      <c r="AA7" s="109"/>
      <c r="AB7" s="109"/>
      <c r="AC7" s="109"/>
      <c r="AD7" s="109"/>
      <c r="AE7" s="109"/>
      <c r="AF7" s="109"/>
      <c r="AG7" s="109"/>
      <c r="AH7" s="109"/>
      <c r="AI7" s="109"/>
      <c r="AJ7" s="109"/>
      <c r="AK7" s="109"/>
      <c r="AL7" s="109"/>
      <c r="AM7" s="109"/>
      <c r="AN7" s="110"/>
      <c r="AO7" s="110"/>
      <c r="AP7" s="110"/>
      <c r="AQ7" s="110"/>
      <c r="AR7" s="111">
        <f t="shared" si="4"/>
        <v>272</v>
      </c>
      <c r="AS7" s="112">
        <f t="shared" si="5"/>
        <v>-28</v>
      </c>
      <c r="AT7" s="113">
        <f t="shared" si="7"/>
        <v>0</v>
      </c>
      <c r="AU7" s="114"/>
      <c r="AV7" s="115">
        <f t="shared" si="6"/>
        <v>141</v>
      </c>
      <c r="AW7" s="115"/>
      <c r="AX7" s="92"/>
      <c r="AY7" s="92"/>
      <c r="AZ7" s="92"/>
      <c r="BA7" s="92"/>
      <c r="BB7" s="92"/>
      <c r="BC7" s="92"/>
      <c r="BD7" s="92"/>
      <c r="BE7" s="92"/>
      <c r="BF7" s="92"/>
      <c r="BG7" s="92"/>
    </row>
    <row r="8" spans="1:59" ht="22.5" customHeight="1" x14ac:dyDescent="0.35">
      <c r="A8" s="104">
        <f t="shared" si="8"/>
        <v>5</v>
      </c>
      <c r="B8" s="105" t="s">
        <v>107</v>
      </c>
      <c r="C8" s="105" t="s">
        <v>108</v>
      </c>
      <c r="D8" s="105" t="s">
        <v>97</v>
      </c>
      <c r="E8" s="105" t="s">
        <v>98</v>
      </c>
      <c r="F8" s="105" t="s">
        <v>99</v>
      </c>
      <c r="G8" s="106">
        <v>43803</v>
      </c>
      <c r="H8" s="107">
        <v>200</v>
      </c>
      <c r="I8" s="108">
        <v>82</v>
      </c>
      <c r="J8" s="109">
        <v>1</v>
      </c>
      <c r="K8" s="108">
        <v>216</v>
      </c>
      <c r="L8" s="108">
        <v>48</v>
      </c>
      <c r="M8" s="109">
        <v>1</v>
      </c>
      <c r="N8" s="108">
        <f>VLOOKUP(B8,'[4]BCC Tổng 03.2026'!C$37:BG$1383,57,0)</f>
        <v>192</v>
      </c>
      <c r="O8" s="108">
        <f>VLOOKUP(B8,'[4]BCC Tổng 03.2026'!C$37:CZ$1048576,102,0)</f>
        <v>116</v>
      </c>
      <c r="P8" s="109">
        <f t="shared" si="3"/>
        <v>1</v>
      </c>
      <c r="Q8" s="109"/>
      <c r="R8" s="108">
        <f>+IFERROR(VLOOKUP(B8,'[5]Tháng 04.2026'!E:DY,125,0),"")</f>
        <v>0</v>
      </c>
      <c r="S8" s="109"/>
      <c r="T8" s="109"/>
      <c r="U8" s="109"/>
      <c r="V8" s="109"/>
      <c r="W8" s="109"/>
      <c r="X8" s="109"/>
      <c r="Y8" s="109"/>
      <c r="Z8" s="109"/>
      <c r="AA8" s="109"/>
      <c r="AB8" s="109"/>
      <c r="AC8" s="109"/>
      <c r="AD8" s="109"/>
      <c r="AE8" s="109"/>
      <c r="AF8" s="109"/>
      <c r="AG8" s="109"/>
      <c r="AH8" s="109"/>
      <c r="AI8" s="109"/>
      <c r="AJ8" s="109"/>
      <c r="AK8" s="109"/>
      <c r="AL8" s="109"/>
      <c r="AM8" s="109"/>
      <c r="AN8" s="110"/>
      <c r="AO8" s="110"/>
      <c r="AP8" s="110"/>
      <c r="AQ8" s="110"/>
      <c r="AR8" s="111">
        <f t="shared" si="4"/>
        <v>246</v>
      </c>
      <c r="AS8" s="112">
        <f t="shared" si="5"/>
        <v>-54</v>
      </c>
      <c r="AT8" s="113">
        <f t="shared" si="7"/>
        <v>0</v>
      </c>
      <c r="AU8" s="114"/>
      <c r="AV8" s="115">
        <f t="shared" si="6"/>
        <v>130</v>
      </c>
      <c r="AW8" s="115"/>
      <c r="AX8" s="92"/>
      <c r="AY8" s="92"/>
      <c r="AZ8" s="92"/>
      <c r="BA8" s="92"/>
      <c r="BB8" s="92"/>
      <c r="BC8" s="92"/>
      <c r="BD8" s="92"/>
      <c r="BE8" s="92"/>
      <c r="BF8" s="92"/>
      <c r="BG8" s="92"/>
    </row>
    <row r="9" spans="1:59" ht="22.5" customHeight="1" x14ac:dyDescent="0.35">
      <c r="A9" s="104">
        <f t="shared" si="8"/>
        <v>6</v>
      </c>
      <c r="B9" s="105" t="s">
        <v>110</v>
      </c>
      <c r="C9" s="105" t="s">
        <v>111</v>
      </c>
      <c r="D9" s="105" t="s">
        <v>97</v>
      </c>
      <c r="E9" s="105" t="s">
        <v>112</v>
      </c>
      <c r="F9" s="105" t="s">
        <v>92</v>
      </c>
      <c r="G9" s="106">
        <v>43808</v>
      </c>
      <c r="H9" s="107">
        <v>208</v>
      </c>
      <c r="I9" s="108">
        <v>38.5</v>
      </c>
      <c r="J9" s="109">
        <v>0</v>
      </c>
      <c r="K9" s="108">
        <v>212</v>
      </c>
      <c r="L9" s="108">
        <v>20</v>
      </c>
      <c r="M9" s="109">
        <v>0</v>
      </c>
      <c r="N9" s="108">
        <f>VLOOKUP(B9,'[4]BCC Tổng 03.2026'!C$37:BG$1383,57,0)</f>
        <v>192</v>
      </c>
      <c r="O9" s="108">
        <f>VLOOKUP(B9,'[4]BCC Tổng 03.2026'!C$37:CZ$1048576,102,0)</f>
        <v>118</v>
      </c>
      <c r="P9" s="109">
        <f t="shared" si="3"/>
        <v>1</v>
      </c>
      <c r="Q9" s="109"/>
      <c r="R9" s="108">
        <f>+IFERROR(VLOOKUP(B9,'[5]Tháng 04.2026'!E:DY,125,0),"")</f>
        <v>0</v>
      </c>
      <c r="S9" s="109"/>
      <c r="T9" s="109"/>
      <c r="U9" s="109"/>
      <c r="V9" s="109"/>
      <c r="W9" s="109"/>
      <c r="X9" s="109"/>
      <c r="Y9" s="109"/>
      <c r="Z9" s="109"/>
      <c r="AA9" s="109"/>
      <c r="AB9" s="109"/>
      <c r="AC9" s="109"/>
      <c r="AD9" s="109"/>
      <c r="AE9" s="109"/>
      <c r="AF9" s="109"/>
      <c r="AG9" s="109"/>
      <c r="AH9" s="109"/>
      <c r="AI9" s="109"/>
      <c r="AJ9" s="109"/>
      <c r="AK9" s="109"/>
      <c r="AL9" s="109"/>
      <c r="AM9" s="109"/>
      <c r="AN9" s="109"/>
      <c r="AO9" s="110"/>
      <c r="AP9" s="110"/>
      <c r="AQ9" s="110"/>
      <c r="AR9" s="111">
        <f t="shared" si="4"/>
        <v>176.5</v>
      </c>
      <c r="AS9" s="112">
        <f t="shared" si="5"/>
        <v>-123.5</v>
      </c>
      <c r="AT9" s="113">
        <f t="shared" si="7"/>
        <v>0</v>
      </c>
      <c r="AU9" s="114"/>
      <c r="AV9" s="115">
        <f t="shared" si="6"/>
        <v>58.5</v>
      </c>
      <c r="AW9" s="115"/>
      <c r="AX9" s="92"/>
      <c r="AY9" s="92"/>
      <c r="AZ9" s="92"/>
      <c r="BA9" s="92"/>
      <c r="BB9" s="92"/>
      <c r="BC9" s="92"/>
      <c r="BD9" s="92"/>
      <c r="BE9" s="92"/>
      <c r="BF9" s="92"/>
      <c r="BG9" s="92"/>
    </row>
    <row r="10" spans="1:59" ht="22.5" customHeight="1" x14ac:dyDescent="0.35">
      <c r="A10" s="104">
        <f t="shared" si="8"/>
        <v>7</v>
      </c>
      <c r="B10" s="105" t="s">
        <v>113</v>
      </c>
      <c r="C10" s="105" t="s">
        <v>114</v>
      </c>
      <c r="D10" s="105" t="s">
        <v>97</v>
      </c>
      <c r="E10" s="105" t="s">
        <v>98</v>
      </c>
      <c r="F10" s="105" t="s">
        <v>99</v>
      </c>
      <c r="G10" s="106">
        <v>43808</v>
      </c>
      <c r="H10" s="107">
        <v>208</v>
      </c>
      <c r="I10" s="108">
        <v>80</v>
      </c>
      <c r="J10" s="109">
        <v>1</v>
      </c>
      <c r="K10" s="108">
        <v>216</v>
      </c>
      <c r="L10" s="108">
        <v>50</v>
      </c>
      <c r="M10" s="109">
        <v>1</v>
      </c>
      <c r="N10" s="108">
        <f>VLOOKUP(B10,'[4]BCC Tổng 03.2026'!C$37:BG$1383,57,0)</f>
        <v>192</v>
      </c>
      <c r="O10" s="108">
        <f>VLOOKUP(B10,'[4]BCC Tổng 03.2026'!C$37:CZ$1048576,102,0)</f>
        <v>136</v>
      </c>
      <c r="P10" s="109">
        <f t="shared" si="3"/>
        <v>1</v>
      </c>
      <c r="Q10" s="109"/>
      <c r="R10" s="108">
        <f>+IFERROR(VLOOKUP(B10,'[5]Tháng 04.2026'!E:DY,125,0),"")</f>
        <v>0</v>
      </c>
      <c r="S10" s="109"/>
      <c r="T10" s="109"/>
      <c r="U10" s="109"/>
      <c r="V10" s="109"/>
      <c r="W10" s="109"/>
      <c r="X10" s="109"/>
      <c r="Y10" s="109"/>
      <c r="Z10" s="109"/>
      <c r="AA10" s="109"/>
      <c r="AB10" s="109"/>
      <c r="AC10" s="109"/>
      <c r="AD10" s="109"/>
      <c r="AE10" s="109"/>
      <c r="AF10" s="109"/>
      <c r="AG10" s="109"/>
      <c r="AH10" s="109"/>
      <c r="AI10" s="109"/>
      <c r="AJ10" s="109"/>
      <c r="AK10" s="109"/>
      <c r="AL10" s="109"/>
      <c r="AM10" s="109"/>
      <c r="AN10" s="110"/>
      <c r="AO10" s="110"/>
      <c r="AP10" s="110"/>
      <c r="AQ10" s="110"/>
      <c r="AR10" s="111">
        <f t="shared" si="4"/>
        <v>266</v>
      </c>
      <c r="AS10" s="112">
        <f t="shared" si="5"/>
        <v>-34</v>
      </c>
      <c r="AT10" s="113">
        <f t="shared" si="7"/>
        <v>0</v>
      </c>
      <c r="AU10" s="114"/>
      <c r="AV10" s="115">
        <f t="shared" si="6"/>
        <v>130</v>
      </c>
      <c r="AW10" s="115"/>
      <c r="AX10" s="92"/>
      <c r="AY10" s="92"/>
      <c r="AZ10" s="92"/>
      <c r="BA10" s="92"/>
      <c r="BB10" s="92"/>
      <c r="BC10" s="92"/>
      <c r="BD10" s="92"/>
      <c r="BE10" s="92"/>
      <c r="BF10" s="92"/>
      <c r="BG10" s="92"/>
    </row>
    <row r="11" spans="1:59" ht="22.5" customHeight="1" x14ac:dyDescent="0.35">
      <c r="A11" s="104">
        <f t="shared" si="8"/>
        <v>8</v>
      </c>
      <c r="B11" s="105" t="s">
        <v>115</v>
      </c>
      <c r="C11" s="105" t="s">
        <v>116</v>
      </c>
      <c r="D11" s="105" t="s">
        <v>97</v>
      </c>
      <c r="E11" s="105" t="s">
        <v>98</v>
      </c>
      <c r="F11" s="105" t="s">
        <v>91</v>
      </c>
      <c r="G11" s="106">
        <v>43836</v>
      </c>
      <c r="H11" s="107">
        <v>208</v>
      </c>
      <c r="I11" s="108">
        <v>81</v>
      </c>
      <c r="J11" s="109">
        <v>1</v>
      </c>
      <c r="K11" s="108">
        <v>216</v>
      </c>
      <c r="L11" s="108">
        <v>50</v>
      </c>
      <c r="M11" s="109">
        <v>1</v>
      </c>
      <c r="N11" s="108">
        <f>VLOOKUP(B11,'[4]BCC Tổng 03.2026'!C$37:BG$1383,57,0)</f>
        <v>192</v>
      </c>
      <c r="O11" s="108">
        <f>VLOOKUP(B11,'[4]BCC Tổng 03.2026'!C$37:CZ$1048576,102,0)</f>
        <v>120</v>
      </c>
      <c r="P11" s="109">
        <f t="shared" si="3"/>
        <v>1</v>
      </c>
      <c r="Q11" s="109"/>
      <c r="R11" s="108">
        <f>+IFERROR(VLOOKUP(B11,'[5]Tháng 04.2026'!E:DY,125,0),"")</f>
        <v>0</v>
      </c>
      <c r="S11" s="109"/>
      <c r="T11" s="109"/>
      <c r="U11" s="109"/>
      <c r="V11" s="109"/>
      <c r="W11" s="109"/>
      <c r="X11" s="109"/>
      <c r="Y11" s="109"/>
      <c r="Z11" s="109"/>
      <c r="AA11" s="109"/>
      <c r="AB11" s="109"/>
      <c r="AC11" s="109"/>
      <c r="AD11" s="109"/>
      <c r="AE11" s="109"/>
      <c r="AF11" s="109"/>
      <c r="AG11" s="109"/>
      <c r="AH11" s="109"/>
      <c r="AI11" s="109"/>
      <c r="AJ11" s="109"/>
      <c r="AK11" s="109"/>
      <c r="AL11" s="109"/>
      <c r="AM11" s="109"/>
      <c r="AN11" s="109"/>
      <c r="AO11" s="110"/>
      <c r="AP11" s="110"/>
      <c r="AQ11" s="110"/>
      <c r="AR11" s="111">
        <f t="shared" si="4"/>
        <v>251</v>
      </c>
      <c r="AS11" s="112">
        <f t="shared" si="5"/>
        <v>-49</v>
      </c>
      <c r="AT11" s="113">
        <f t="shared" si="7"/>
        <v>0</v>
      </c>
      <c r="AU11" s="114"/>
      <c r="AV11" s="115">
        <f t="shared" si="6"/>
        <v>131</v>
      </c>
      <c r="AW11" s="115"/>
      <c r="AX11" s="92"/>
      <c r="AY11" s="92"/>
      <c r="AZ11" s="92"/>
      <c r="BA11" s="92"/>
      <c r="BB11" s="92"/>
      <c r="BC11" s="92"/>
      <c r="BD11" s="92"/>
      <c r="BE11" s="92"/>
      <c r="BF11" s="92"/>
      <c r="BG11" s="92"/>
    </row>
    <row r="12" spans="1:59" ht="22.5" customHeight="1" x14ac:dyDescent="0.35">
      <c r="A12" s="104">
        <f t="shared" si="8"/>
        <v>9</v>
      </c>
      <c r="B12" s="105" t="s">
        <v>285</v>
      </c>
      <c r="C12" s="105" t="s">
        <v>420</v>
      </c>
      <c r="D12" s="105" t="s">
        <v>97</v>
      </c>
      <c r="E12" s="105" t="s">
        <v>112</v>
      </c>
      <c r="F12" s="105" t="s">
        <v>91</v>
      </c>
      <c r="G12" s="106">
        <v>43844</v>
      </c>
      <c r="H12" s="107">
        <v>208</v>
      </c>
      <c r="I12" s="108">
        <v>84</v>
      </c>
      <c r="J12" s="109">
        <v>1</v>
      </c>
      <c r="K12" s="108">
        <v>216</v>
      </c>
      <c r="L12" s="108">
        <v>60</v>
      </c>
      <c r="M12" s="109">
        <v>1</v>
      </c>
      <c r="N12" s="108">
        <f>VLOOKUP(B12,'[4]BCC Tổng 03.2026'!C$37:BG$1383,57,0)</f>
        <v>192</v>
      </c>
      <c r="O12" s="108">
        <f>VLOOKUP(B12,'[4]BCC Tổng 03.2026'!C$37:CZ$1048576,102,0)</f>
        <v>122</v>
      </c>
      <c r="P12" s="109">
        <f t="shared" si="3"/>
        <v>1</v>
      </c>
      <c r="Q12" s="109"/>
      <c r="R12" s="108">
        <f>+IFERROR(VLOOKUP(B12,'[5]Tháng 04.2026'!E:DY,125,0),"")</f>
        <v>0</v>
      </c>
      <c r="S12" s="109"/>
      <c r="T12" s="109"/>
      <c r="U12" s="109"/>
      <c r="V12" s="109"/>
      <c r="W12" s="109"/>
      <c r="X12" s="109"/>
      <c r="Y12" s="109"/>
      <c r="Z12" s="109"/>
      <c r="AA12" s="109"/>
      <c r="AB12" s="109"/>
      <c r="AC12" s="109"/>
      <c r="AD12" s="109"/>
      <c r="AE12" s="109"/>
      <c r="AF12" s="109"/>
      <c r="AG12" s="109"/>
      <c r="AH12" s="109"/>
      <c r="AI12" s="109"/>
      <c r="AJ12" s="109"/>
      <c r="AK12" s="109"/>
      <c r="AL12" s="109"/>
      <c r="AM12" s="109"/>
      <c r="AN12" s="110"/>
      <c r="AO12" s="110"/>
      <c r="AP12" s="110"/>
      <c r="AQ12" s="110"/>
      <c r="AR12" s="111">
        <f t="shared" si="4"/>
        <v>266</v>
      </c>
      <c r="AS12" s="112">
        <f>AR12-300</f>
        <v>-34</v>
      </c>
      <c r="AT12" s="113">
        <f t="shared" si="7"/>
        <v>0</v>
      </c>
      <c r="AU12" s="114"/>
      <c r="AV12" s="115">
        <f t="shared" si="6"/>
        <v>144</v>
      </c>
      <c r="AW12" s="115"/>
      <c r="AX12" s="92"/>
      <c r="AY12" s="92"/>
      <c r="AZ12" s="92"/>
      <c r="BA12" s="92"/>
      <c r="BB12" s="92"/>
      <c r="BC12" s="92"/>
      <c r="BD12" s="92"/>
      <c r="BE12" s="92"/>
      <c r="BF12" s="92"/>
      <c r="BG12" s="92"/>
    </row>
    <row r="13" spans="1:59" ht="22.5" customHeight="1" x14ac:dyDescent="0.35">
      <c r="A13" s="104">
        <f t="shared" si="8"/>
        <v>10</v>
      </c>
      <c r="B13" s="105" t="s">
        <v>117</v>
      </c>
      <c r="C13" s="105" t="s">
        <v>118</v>
      </c>
      <c r="D13" s="105" t="s">
        <v>97</v>
      </c>
      <c r="E13" s="105" t="s">
        <v>98</v>
      </c>
      <c r="F13" s="105" t="s">
        <v>99</v>
      </c>
      <c r="G13" s="106">
        <v>43844</v>
      </c>
      <c r="H13" s="107">
        <v>208</v>
      </c>
      <c r="I13" s="108">
        <v>82</v>
      </c>
      <c r="J13" s="109">
        <v>1</v>
      </c>
      <c r="K13" s="108">
        <v>216</v>
      </c>
      <c r="L13" s="108">
        <v>52</v>
      </c>
      <c r="M13" s="109">
        <v>1</v>
      </c>
      <c r="N13" s="108">
        <f>VLOOKUP(B13,'[4]BCC Tổng 03.2026'!C$37:BG$1383,57,0)</f>
        <v>192</v>
      </c>
      <c r="O13" s="108">
        <f>VLOOKUP(B13,'[4]BCC Tổng 03.2026'!C$37:CZ$1048576,102,0)</f>
        <v>126</v>
      </c>
      <c r="P13" s="109">
        <f t="shared" si="3"/>
        <v>1</v>
      </c>
      <c r="Q13" s="109"/>
      <c r="R13" s="108">
        <f>+IFERROR(VLOOKUP(B13,'[5]Tháng 04.2026'!E:DY,125,0),"")</f>
        <v>0</v>
      </c>
      <c r="S13" s="109"/>
      <c r="T13" s="109"/>
      <c r="U13" s="109"/>
      <c r="V13" s="109"/>
      <c r="W13" s="109"/>
      <c r="X13" s="109"/>
      <c r="Y13" s="109"/>
      <c r="Z13" s="109"/>
      <c r="AA13" s="109"/>
      <c r="AB13" s="109"/>
      <c r="AC13" s="109"/>
      <c r="AD13" s="109"/>
      <c r="AE13" s="109"/>
      <c r="AF13" s="109"/>
      <c r="AG13" s="109"/>
      <c r="AH13" s="109"/>
      <c r="AI13" s="109"/>
      <c r="AJ13" s="109"/>
      <c r="AK13" s="109"/>
      <c r="AL13" s="109"/>
      <c r="AM13" s="109"/>
      <c r="AN13" s="110"/>
      <c r="AO13" s="110"/>
      <c r="AP13" s="110"/>
      <c r="AQ13" s="110"/>
      <c r="AR13" s="111">
        <f t="shared" si="4"/>
        <v>260</v>
      </c>
      <c r="AS13" s="112">
        <f t="shared" ref="AS13:AS74" si="9">AR13-300</f>
        <v>-40</v>
      </c>
      <c r="AT13" s="113">
        <f t="shared" si="7"/>
        <v>0</v>
      </c>
      <c r="AU13" s="114"/>
      <c r="AV13" s="115">
        <f t="shared" si="6"/>
        <v>134</v>
      </c>
      <c r="AW13" s="115"/>
      <c r="AX13" s="92"/>
      <c r="AY13" s="92"/>
      <c r="AZ13" s="92"/>
      <c r="BA13" s="92"/>
      <c r="BB13" s="92"/>
      <c r="BC13" s="92"/>
      <c r="BD13" s="92"/>
      <c r="BE13" s="92"/>
      <c r="BF13" s="92"/>
      <c r="BG13" s="92"/>
    </row>
    <row r="14" spans="1:59" ht="22.5" customHeight="1" x14ac:dyDescent="0.35">
      <c r="A14" s="104">
        <f t="shared" si="8"/>
        <v>11</v>
      </c>
      <c r="B14" s="105" t="s">
        <v>119</v>
      </c>
      <c r="C14" s="105" t="s">
        <v>120</v>
      </c>
      <c r="D14" s="105" t="s">
        <v>97</v>
      </c>
      <c r="E14" s="105" t="s">
        <v>98</v>
      </c>
      <c r="F14" s="105" t="s">
        <v>99</v>
      </c>
      <c r="G14" s="106">
        <v>43846</v>
      </c>
      <c r="H14" s="107">
        <v>208</v>
      </c>
      <c r="I14" s="108">
        <v>76</v>
      </c>
      <c r="J14" s="109">
        <v>1</v>
      </c>
      <c r="K14" s="108">
        <v>216</v>
      </c>
      <c r="L14" s="108">
        <v>50</v>
      </c>
      <c r="M14" s="109">
        <v>1</v>
      </c>
      <c r="N14" s="108">
        <f>VLOOKUP(B14,'[4]BCC Tổng 03.2026'!C$37:BG$1383,57,0)</f>
        <v>192</v>
      </c>
      <c r="O14" s="108">
        <f>VLOOKUP(B14,'[4]BCC Tổng 03.2026'!C$37:CZ$1048576,102,0)</f>
        <v>124</v>
      </c>
      <c r="P14" s="109">
        <f t="shared" si="3"/>
        <v>1</v>
      </c>
      <c r="Q14" s="109"/>
      <c r="R14" s="108">
        <f>+IFERROR(VLOOKUP(B14,'[5]Tháng 04.2026'!E:DY,125,0),"")</f>
        <v>0</v>
      </c>
      <c r="S14" s="109"/>
      <c r="T14" s="109"/>
      <c r="U14" s="109"/>
      <c r="V14" s="109"/>
      <c r="W14" s="109"/>
      <c r="X14" s="109"/>
      <c r="Y14" s="109"/>
      <c r="Z14" s="109"/>
      <c r="AA14" s="109"/>
      <c r="AB14" s="109"/>
      <c r="AC14" s="109"/>
      <c r="AD14" s="109"/>
      <c r="AE14" s="109"/>
      <c r="AF14" s="109"/>
      <c r="AG14" s="109"/>
      <c r="AH14" s="109"/>
      <c r="AI14" s="109"/>
      <c r="AJ14" s="109"/>
      <c r="AK14" s="109"/>
      <c r="AL14" s="109"/>
      <c r="AM14" s="109"/>
      <c r="AN14" s="110"/>
      <c r="AO14" s="110"/>
      <c r="AP14" s="110"/>
      <c r="AQ14" s="110"/>
      <c r="AR14" s="111">
        <f t="shared" si="4"/>
        <v>250</v>
      </c>
      <c r="AS14" s="112">
        <f t="shared" si="9"/>
        <v>-50</v>
      </c>
      <c r="AT14" s="113">
        <f t="shared" si="7"/>
        <v>0</v>
      </c>
      <c r="AU14" s="114"/>
      <c r="AV14" s="115">
        <f t="shared" si="6"/>
        <v>126</v>
      </c>
      <c r="AW14" s="115"/>
      <c r="AX14" s="92"/>
      <c r="AY14" s="92"/>
      <c r="AZ14" s="92"/>
      <c r="BA14" s="92"/>
      <c r="BB14" s="92"/>
      <c r="BC14" s="92"/>
      <c r="BD14" s="92"/>
      <c r="BE14" s="92"/>
      <c r="BF14" s="92"/>
      <c r="BG14" s="92"/>
    </row>
    <row r="15" spans="1:59" ht="22.5" customHeight="1" x14ac:dyDescent="0.35">
      <c r="A15" s="104">
        <f t="shared" si="8"/>
        <v>12</v>
      </c>
      <c r="B15" s="105" t="s">
        <v>121</v>
      </c>
      <c r="C15" s="105" t="s">
        <v>122</v>
      </c>
      <c r="D15" s="105" t="s">
        <v>97</v>
      </c>
      <c r="E15" s="105" t="s">
        <v>112</v>
      </c>
      <c r="F15" s="105" t="s">
        <v>91</v>
      </c>
      <c r="G15" s="106">
        <v>43867</v>
      </c>
      <c r="H15" s="107">
        <v>208</v>
      </c>
      <c r="I15" s="108">
        <v>91</v>
      </c>
      <c r="J15" s="109">
        <v>1</v>
      </c>
      <c r="K15" s="108">
        <v>216</v>
      </c>
      <c r="L15" s="108">
        <v>57</v>
      </c>
      <c r="M15" s="109">
        <v>1</v>
      </c>
      <c r="N15" s="108">
        <f>VLOOKUP(B15,'[4]BCC Tổng 03.2026'!C$37:BG$1383,57,0)</f>
        <v>192</v>
      </c>
      <c r="O15" s="108">
        <f>VLOOKUP(B15,'[4]BCC Tổng 03.2026'!C$37:CZ$1048576,102,0)</f>
        <v>87</v>
      </c>
      <c r="P15" s="109">
        <f t="shared" si="3"/>
        <v>1</v>
      </c>
      <c r="Q15" s="109"/>
      <c r="R15" s="108">
        <f>+IFERROR(VLOOKUP(B15,'[5]Tháng 04.2026'!E:DY,125,0),"")</f>
        <v>0</v>
      </c>
      <c r="S15" s="109"/>
      <c r="T15" s="109"/>
      <c r="U15" s="109"/>
      <c r="V15" s="109"/>
      <c r="W15" s="109"/>
      <c r="X15" s="109"/>
      <c r="Y15" s="109"/>
      <c r="Z15" s="109"/>
      <c r="AA15" s="109"/>
      <c r="AB15" s="109"/>
      <c r="AC15" s="109"/>
      <c r="AD15" s="109"/>
      <c r="AE15" s="109"/>
      <c r="AF15" s="109"/>
      <c r="AG15" s="109"/>
      <c r="AH15" s="109"/>
      <c r="AI15" s="109"/>
      <c r="AJ15" s="109"/>
      <c r="AK15" s="109"/>
      <c r="AL15" s="109"/>
      <c r="AM15" s="109"/>
      <c r="AN15" s="110"/>
      <c r="AO15" s="110"/>
      <c r="AP15" s="110"/>
      <c r="AQ15" s="110"/>
      <c r="AR15" s="111">
        <f t="shared" si="4"/>
        <v>235</v>
      </c>
      <c r="AS15" s="112">
        <f t="shared" si="9"/>
        <v>-65</v>
      </c>
      <c r="AT15" s="113">
        <f t="shared" si="7"/>
        <v>0</v>
      </c>
      <c r="AU15" s="114"/>
      <c r="AV15" s="115">
        <f t="shared" si="6"/>
        <v>148</v>
      </c>
      <c r="AW15" s="115"/>
      <c r="AX15" s="92"/>
      <c r="AY15" s="92"/>
      <c r="AZ15" s="92"/>
      <c r="BA15" s="92"/>
      <c r="BB15" s="92"/>
      <c r="BC15" s="92"/>
      <c r="BD15" s="92"/>
      <c r="BE15" s="92"/>
      <c r="BF15" s="92"/>
      <c r="BG15" s="92"/>
    </row>
    <row r="16" spans="1:59" ht="22.5" customHeight="1" x14ac:dyDescent="0.35">
      <c r="A16" s="104">
        <f t="shared" si="8"/>
        <v>13</v>
      </c>
      <c r="B16" s="105" t="s">
        <v>123</v>
      </c>
      <c r="C16" s="105" t="s">
        <v>124</v>
      </c>
      <c r="D16" s="105" t="s">
        <v>97</v>
      </c>
      <c r="E16" s="105" t="s">
        <v>112</v>
      </c>
      <c r="F16" s="105" t="s">
        <v>99</v>
      </c>
      <c r="G16" s="106">
        <v>43867</v>
      </c>
      <c r="H16" s="107">
        <v>208</v>
      </c>
      <c r="I16" s="108">
        <v>88</v>
      </c>
      <c r="J16" s="109">
        <v>1</v>
      </c>
      <c r="K16" s="108">
        <v>216</v>
      </c>
      <c r="L16" s="108">
        <v>64</v>
      </c>
      <c r="M16" s="109">
        <v>1</v>
      </c>
      <c r="N16" s="108">
        <f>VLOOKUP(B16,'[4]BCC Tổng 03.2026'!C$37:BG$1383,57,0)</f>
        <v>192</v>
      </c>
      <c r="O16" s="108">
        <f>VLOOKUP(B16,'[4]BCC Tổng 03.2026'!C$37:CZ$1048576,102,0)</f>
        <v>127</v>
      </c>
      <c r="P16" s="109">
        <f t="shared" si="3"/>
        <v>1</v>
      </c>
      <c r="Q16" s="109"/>
      <c r="R16" s="108">
        <f>+IFERROR(VLOOKUP(B16,'[5]Tháng 04.2026'!E:DY,125,0),"")</f>
        <v>0</v>
      </c>
      <c r="S16" s="109"/>
      <c r="T16" s="109"/>
      <c r="U16" s="109"/>
      <c r="V16" s="109"/>
      <c r="W16" s="109"/>
      <c r="X16" s="109"/>
      <c r="Y16" s="109"/>
      <c r="Z16" s="109"/>
      <c r="AA16" s="109"/>
      <c r="AB16" s="109"/>
      <c r="AC16" s="109"/>
      <c r="AD16" s="109"/>
      <c r="AE16" s="109"/>
      <c r="AF16" s="109"/>
      <c r="AG16" s="109"/>
      <c r="AH16" s="109"/>
      <c r="AI16" s="109"/>
      <c r="AJ16" s="109"/>
      <c r="AK16" s="109"/>
      <c r="AL16" s="109"/>
      <c r="AM16" s="109"/>
      <c r="AN16" s="110"/>
      <c r="AO16" s="110"/>
      <c r="AP16" s="110"/>
      <c r="AQ16" s="110"/>
      <c r="AR16" s="111">
        <f t="shared" si="4"/>
        <v>279</v>
      </c>
      <c r="AS16" s="112">
        <f t="shared" si="9"/>
        <v>-21</v>
      </c>
      <c r="AT16" s="113">
        <f t="shared" si="7"/>
        <v>0</v>
      </c>
      <c r="AU16" s="114"/>
      <c r="AV16" s="115">
        <f t="shared" si="6"/>
        <v>152</v>
      </c>
      <c r="AW16" s="115"/>
      <c r="AX16" s="92"/>
      <c r="AY16" s="92"/>
      <c r="AZ16" s="92"/>
      <c r="BA16" s="92"/>
      <c r="BB16" s="92"/>
      <c r="BC16" s="92"/>
      <c r="BD16" s="92"/>
      <c r="BE16" s="92"/>
      <c r="BF16" s="92"/>
      <c r="BG16" s="92"/>
    </row>
    <row r="17" spans="1:59" ht="22.5" customHeight="1" x14ac:dyDescent="0.35">
      <c r="A17" s="104">
        <f t="shared" si="8"/>
        <v>14</v>
      </c>
      <c r="B17" s="105" t="s">
        <v>125</v>
      </c>
      <c r="C17" s="105" t="s">
        <v>126</v>
      </c>
      <c r="D17" s="105" t="s">
        <v>97</v>
      </c>
      <c r="E17" s="105" t="s">
        <v>98</v>
      </c>
      <c r="F17" s="105" t="s">
        <v>99</v>
      </c>
      <c r="G17" s="106">
        <v>43867</v>
      </c>
      <c r="H17" s="107">
        <v>208</v>
      </c>
      <c r="I17" s="108">
        <v>80</v>
      </c>
      <c r="J17" s="109">
        <v>1</v>
      </c>
      <c r="K17" s="108">
        <v>216</v>
      </c>
      <c r="L17" s="108">
        <v>50</v>
      </c>
      <c r="M17" s="109">
        <v>1</v>
      </c>
      <c r="N17" s="108">
        <f>VLOOKUP(B17,'[4]BCC Tổng 03.2026'!C$37:BG$1383,57,0)</f>
        <v>192</v>
      </c>
      <c r="O17" s="108">
        <f>VLOOKUP(B17,'[4]BCC Tổng 03.2026'!C$37:CZ$1048576,102,0)</f>
        <v>132</v>
      </c>
      <c r="P17" s="109">
        <f t="shared" si="3"/>
        <v>1</v>
      </c>
      <c r="Q17" s="109"/>
      <c r="R17" s="108">
        <f>+IFERROR(VLOOKUP(B17,'[5]Tháng 04.2026'!E:DY,125,0),"")</f>
        <v>0</v>
      </c>
      <c r="S17" s="109"/>
      <c r="T17" s="109"/>
      <c r="U17" s="109"/>
      <c r="V17" s="109"/>
      <c r="W17" s="109"/>
      <c r="X17" s="109"/>
      <c r="Y17" s="109"/>
      <c r="Z17" s="109"/>
      <c r="AA17" s="109"/>
      <c r="AB17" s="109"/>
      <c r="AC17" s="109"/>
      <c r="AD17" s="109"/>
      <c r="AE17" s="109"/>
      <c r="AF17" s="109"/>
      <c r="AG17" s="109"/>
      <c r="AH17" s="109"/>
      <c r="AI17" s="109"/>
      <c r="AJ17" s="109"/>
      <c r="AK17" s="109"/>
      <c r="AL17" s="109"/>
      <c r="AM17" s="109"/>
      <c r="AN17" s="110"/>
      <c r="AO17" s="110"/>
      <c r="AP17" s="110"/>
      <c r="AQ17" s="110"/>
      <c r="AR17" s="111">
        <f t="shared" si="4"/>
        <v>262</v>
      </c>
      <c r="AS17" s="112">
        <f t="shared" si="9"/>
        <v>-38</v>
      </c>
      <c r="AT17" s="113">
        <f t="shared" si="7"/>
        <v>0</v>
      </c>
      <c r="AU17" s="114"/>
      <c r="AV17" s="115">
        <f t="shared" si="6"/>
        <v>130</v>
      </c>
      <c r="AW17" s="115"/>
      <c r="AX17" s="92"/>
      <c r="AY17" s="92"/>
      <c r="AZ17" s="92"/>
      <c r="BA17" s="92"/>
      <c r="BB17" s="92"/>
      <c r="BC17" s="92"/>
      <c r="BD17" s="92"/>
      <c r="BE17" s="92"/>
      <c r="BF17" s="92"/>
      <c r="BG17" s="92"/>
    </row>
    <row r="18" spans="1:59" ht="22.5" customHeight="1" x14ac:dyDescent="0.35">
      <c r="A18" s="104">
        <f t="shared" si="8"/>
        <v>15</v>
      </c>
      <c r="B18" s="105" t="s">
        <v>127</v>
      </c>
      <c r="C18" s="105" t="s">
        <v>128</v>
      </c>
      <c r="D18" s="105" t="s">
        <v>97</v>
      </c>
      <c r="E18" s="105" t="s">
        <v>98</v>
      </c>
      <c r="F18" s="105" t="s">
        <v>92</v>
      </c>
      <c r="G18" s="106">
        <v>43867</v>
      </c>
      <c r="H18" s="107">
        <v>208</v>
      </c>
      <c r="I18" s="108">
        <v>82</v>
      </c>
      <c r="J18" s="109">
        <v>1</v>
      </c>
      <c r="K18" s="108">
        <v>216</v>
      </c>
      <c r="L18" s="108">
        <v>53</v>
      </c>
      <c r="M18" s="109">
        <v>1</v>
      </c>
      <c r="N18" s="108">
        <f>VLOOKUP(B18,'[4]BCC Tổng 03.2026'!C$37:BG$1383,57,0)</f>
        <v>192</v>
      </c>
      <c r="O18" s="108">
        <f>VLOOKUP(B18,'[4]BCC Tổng 03.2026'!C$37:CZ$1048576,102,0)</f>
        <v>124</v>
      </c>
      <c r="P18" s="109">
        <f t="shared" si="3"/>
        <v>1</v>
      </c>
      <c r="Q18" s="109"/>
      <c r="R18" s="108">
        <f>+IFERROR(VLOOKUP(B18,'[5]Tháng 04.2026'!E:DY,125,0),"")</f>
        <v>0</v>
      </c>
      <c r="S18" s="109"/>
      <c r="T18" s="109"/>
      <c r="U18" s="109"/>
      <c r="V18" s="109"/>
      <c r="W18" s="109"/>
      <c r="X18" s="109"/>
      <c r="Y18" s="109"/>
      <c r="Z18" s="109"/>
      <c r="AA18" s="109"/>
      <c r="AB18" s="109"/>
      <c r="AC18" s="109"/>
      <c r="AD18" s="109"/>
      <c r="AE18" s="109"/>
      <c r="AF18" s="109"/>
      <c r="AG18" s="109"/>
      <c r="AH18" s="109"/>
      <c r="AI18" s="109"/>
      <c r="AJ18" s="109"/>
      <c r="AK18" s="109"/>
      <c r="AL18" s="109"/>
      <c r="AM18" s="109"/>
      <c r="AN18" s="109"/>
      <c r="AO18" s="110"/>
      <c r="AP18" s="110"/>
      <c r="AQ18" s="110"/>
      <c r="AR18" s="111">
        <f t="shared" si="4"/>
        <v>259</v>
      </c>
      <c r="AS18" s="112">
        <f t="shared" si="9"/>
        <v>-41</v>
      </c>
      <c r="AT18" s="113">
        <f t="shared" si="7"/>
        <v>0</v>
      </c>
      <c r="AU18" s="114"/>
      <c r="AV18" s="115">
        <f t="shared" si="6"/>
        <v>135</v>
      </c>
      <c r="AW18" s="115"/>
      <c r="AX18" s="92"/>
      <c r="AY18" s="92"/>
      <c r="AZ18" s="92"/>
      <c r="BA18" s="92"/>
      <c r="BB18" s="92"/>
      <c r="BC18" s="92"/>
      <c r="BD18" s="92"/>
      <c r="BE18" s="92"/>
      <c r="BF18" s="92"/>
      <c r="BG18" s="92"/>
    </row>
    <row r="19" spans="1:59" ht="22.5" customHeight="1" x14ac:dyDescent="0.35">
      <c r="A19" s="104">
        <f t="shared" si="8"/>
        <v>16</v>
      </c>
      <c r="B19" s="105" t="s">
        <v>275</v>
      </c>
      <c r="C19" s="105" t="s">
        <v>276</v>
      </c>
      <c r="D19" s="105" t="s">
        <v>97</v>
      </c>
      <c r="E19" s="105" t="s">
        <v>336</v>
      </c>
      <c r="F19" s="105" t="s">
        <v>337</v>
      </c>
      <c r="G19" s="106">
        <v>43871</v>
      </c>
      <c r="H19" s="107">
        <v>208</v>
      </c>
      <c r="I19" s="108">
        <v>6</v>
      </c>
      <c r="J19" s="109">
        <v>0</v>
      </c>
      <c r="K19" s="108">
        <v>216</v>
      </c>
      <c r="L19" s="108">
        <v>2.75</v>
      </c>
      <c r="M19" s="109">
        <v>0</v>
      </c>
      <c r="N19" s="108">
        <f>VLOOKUP(B19,'[4]BCC Tổng 03.2026'!C$37:BG$1383,57,0)</f>
        <v>192</v>
      </c>
      <c r="O19" s="108">
        <f>VLOOKUP(B19,'[4]BCC Tổng 03.2026'!C$37:CZ$1048576,102,0)</f>
        <v>5</v>
      </c>
      <c r="P19" s="109">
        <f t="shared" si="3"/>
        <v>0</v>
      </c>
      <c r="Q19" s="109"/>
      <c r="R19" s="108">
        <f>+IFERROR(VLOOKUP(B19,'[5]Tháng 04.2026'!E:DY,125,0),"")</f>
        <v>0</v>
      </c>
      <c r="S19" s="109"/>
      <c r="T19" s="109"/>
      <c r="U19" s="109"/>
      <c r="V19" s="109"/>
      <c r="W19" s="109"/>
      <c r="X19" s="109"/>
      <c r="Y19" s="109"/>
      <c r="Z19" s="109"/>
      <c r="AA19" s="109"/>
      <c r="AB19" s="109"/>
      <c r="AC19" s="109"/>
      <c r="AD19" s="109"/>
      <c r="AE19" s="109"/>
      <c r="AF19" s="109"/>
      <c r="AG19" s="109"/>
      <c r="AH19" s="109"/>
      <c r="AI19" s="109"/>
      <c r="AJ19" s="109"/>
      <c r="AK19" s="109"/>
      <c r="AL19" s="109"/>
      <c r="AM19" s="109"/>
      <c r="AN19" s="110"/>
      <c r="AO19" s="110"/>
      <c r="AP19" s="110"/>
      <c r="AQ19" s="110"/>
      <c r="AR19" s="111">
        <f t="shared" si="4"/>
        <v>13.75</v>
      </c>
      <c r="AS19" s="112">
        <f t="shared" si="9"/>
        <v>-286.25</v>
      </c>
      <c r="AT19" s="113">
        <f t="shared" si="7"/>
        <v>0</v>
      </c>
      <c r="AU19" s="114"/>
      <c r="AV19" s="115">
        <f t="shared" si="6"/>
        <v>8.75</v>
      </c>
      <c r="AW19" s="115"/>
      <c r="AX19" s="92"/>
      <c r="AY19" s="92"/>
      <c r="AZ19" s="92"/>
      <c r="BA19" s="92"/>
      <c r="BB19" s="92"/>
      <c r="BC19" s="92"/>
      <c r="BD19" s="92"/>
      <c r="BE19" s="92"/>
      <c r="BF19" s="92"/>
      <c r="BG19" s="92"/>
    </row>
    <row r="20" spans="1:59" ht="22.5" customHeight="1" x14ac:dyDescent="0.35">
      <c r="A20" s="104">
        <f t="shared" si="8"/>
        <v>17</v>
      </c>
      <c r="B20" s="105" t="s">
        <v>129</v>
      </c>
      <c r="C20" s="105" t="s">
        <v>130</v>
      </c>
      <c r="D20" s="105" t="s">
        <v>97</v>
      </c>
      <c r="E20" s="105" t="s">
        <v>98</v>
      </c>
      <c r="F20" s="105" t="s">
        <v>92</v>
      </c>
      <c r="G20" s="106">
        <v>43871</v>
      </c>
      <c r="H20" s="107">
        <v>208</v>
      </c>
      <c r="I20" s="108">
        <v>85</v>
      </c>
      <c r="J20" s="109">
        <v>1</v>
      </c>
      <c r="K20" s="108">
        <v>216</v>
      </c>
      <c r="L20" s="108">
        <v>47</v>
      </c>
      <c r="M20" s="109">
        <v>1</v>
      </c>
      <c r="N20" s="108">
        <f>VLOOKUP(B20,'[4]BCC Tổng 03.2026'!C$37:BG$1383,57,0)</f>
        <v>192</v>
      </c>
      <c r="O20" s="108">
        <f>VLOOKUP(B20,'[4]BCC Tổng 03.2026'!C$37:CZ$1048576,102,0)</f>
        <v>111.5</v>
      </c>
      <c r="P20" s="109">
        <f t="shared" si="3"/>
        <v>1</v>
      </c>
      <c r="Q20" s="109"/>
      <c r="R20" s="108">
        <f>+IFERROR(VLOOKUP(B20,'[5]Tháng 04.2026'!E:DY,125,0),"")</f>
        <v>0</v>
      </c>
      <c r="S20" s="109"/>
      <c r="T20" s="109"/>
      <c r="U20" s="109"/>
      <c r="V20" s="109"/>
      <c r="W20" s="109"/>
      <c r="X20" s="109"/>
      <c r="Y20" s="109"/>
      <c r="Z20" s="109"/>
      <c r="AA20" s="109"/>
      <c r="AB20" s="109"/>
      <c r="AC20" s="109"/>
      <c r="AD20" s="109"/>
      <c r="AE20" s="109"/>
      <c r="AF20" s="109"/>
      <c r="AG20" s="109"/>
      <c r="AH20" s="109"/>
      <c r="AI20" s="109"/>
      <c r="AJ20" s="109"/>
      <c r="AK20" s="109"/>
      <c r="AL20" s="109"/>
      <c r="AM20" s="109"/>
      <c r="AN20" s="109"/>
      <c r="AO20" s="110"/>
      <c r="AP20" s="110"/>
      <c r="AQ20" s="110"/>
      <c r="AR20" s="111">
        <f t="shared" si="4"/>
        <v>243.5</v>
      </c>
      <c r="AS20" s="112">
        <f t="shared" si="9"/>
        <v>-56.5</v>
      </c>
      <c r="AT20" s="113">
        <f t="shared" si="7"/>
        <v>0</v>
      </c>
      <c r="AU20" s="114"/>
      <c r="AV20" s="115">
        <f t="shared" si="6"/>
        <v>132</v>
      </c>
      <c r="AW20" s="115"/>
      <c r="AX20" s="92"/>
      <c r="AY20" s="92"/>
      <c r="AZ20" s="92"/>
      <c r="BA20" s="92"/>
      <c r="BB20" s="92"/>
      <c r="BC20" s="92"/>
      <c r="BD20" s="92"/>
      <c r="BE20" s="92"/>
      <c r="BF20" s="92"/>
      <c r="BG20" s="92"/>
    </row>
    <row r="21" spans="1:59" ht="22.5" customHeight="1" x14ac:dyDescent="0.35">
      <c r="A21" s="104">
        <f t="shared" si="8"/>
        <v>18</v>
      </c>
      <c r="B21" s="105" t="s">
        <v>131</v>
      </c>
      <c r="C21" s="105" t="s">
        <v>132</v>
      </c>
      <c r="D21" s="105" t="s">
        <v>97</v>
      </c>
      <c r="E21" s="105" t="s">
        <v>98</v>
      </c>
      <c r="F21" s="105" t="s">
        <v>99</v>
      </c>
      <c r="G21" s="106">
        <v>43875</v>
      </c>
      <c r="H21" s="107">
        <v>208</v>
      </c>
      <c r="I21" s="108">
        <v>80</v>
      </c>
      <c r="J21" s="109">
        <v>1</v>
      </c>
      <c r="K21" s="108">
        <v>216</v>
      </c>
      <c r="L21" s="108">
        <v>45</v>
      </c>
      <c r="M21" s="109">
        <v>1</v>
      </c>
      <c r="N21" s="108">
        <f>VLOOKUP(B21,'[4]BCC Tổng 03.2026'!C$37:BG$1383,57,0)</f>
        <v>192</v>
      </c>
      <c r="O21" s="108">
        <f>VLOOKUP(B21,'[4]BCC Tổng 03.2026'!C$37:CZ$1048576,102,0)</f>
        <v>114</v>
      </c>
      <c r="P21" s="109">
        <f t="shared" si="3"/>
        <v>1</v>
      </c>
      <c r="Q21" s="109"/>
      <c r="R21" s="108">
        <f>+IFERROR(VLOOKUP(B21,'[5]Tháng 04.2026'!E:DY,125,0),"")</f>
        <v>0</v>
      </c>
      <c r="S21" s="109"/>
      <c r="T21" s="109"/>
      <c r="U21" s="109"/>
      <c r="V21" s="109"/>
      <c r="W21" s="109"/>
      <c r="X21" s="109"/>
      <c r="Y21" s="109"/>
      <c r="Z21" s="109"/>
      <c r="AA21" s="109"/>
      <c r="AB21" s="109"/>
      <c r="AC21" s="109"/>
      <c r="AD21" s="109"/>
      <c r="AE21" s="109"/>
      <c r="AF21" s="109"/>
      <c r="AG21" s="109"/>
      <c r="AH21" s="109"/>
      <c r="AI21" s="109"/>
      <c r="AJ21" s="109"/>
      <c r="AK21" s="109"/>
      <c r="AL21" s="109"/>
      <c r="AM21" s="109"/>
      <c r="AN21" s="110"/>
      <c r="AO21" s="110"/>
      <c r="AP21" s="110"/>
      <c r="AQ21" s="110"/>
      <c r="AR21" s="111">
        <f t="shared" si="4"/>
        <v>239</v>
      </c>
      <c r="AS21" s="112">
        <f t="shared" si="9"/>
        <v>-61</v>
      </c>
      <c r="AT21" s="113">
        <f t="shared" si="7"/>
        <v>0</v>
      </c>
      <c r="AU21" s="114"/>
      <c r="AV21" s="115">
        <f t="shared" si="6"/>
        <v>125</v>
      </c>
      <c r="AW21" s="115"/>
      <c r="AX21" s="92"/>
      <c r="AY21" s="92"/>
      <c r="AZ21" s="92"/>
      <c r="BA21" s="92"/>
      <c r="BB21" s="92"/>
      <c r="BC21" s="92"/>
      <c r="BD21" s="92"/>
      <c r="BE21" s="92"/>
      <c r="BF21" s="92"/>
      <c r="BG21" s="92"/>
    </row>
    <row r="22" spans="1:59" ht="22.5" customHeight="1" x14ac:dyDescent="0.35">
      <c r="A22" s="104">
        <f t="shared" si="8"/>
        <v>19</v>
      </c>
      <c r="B22" s="105" t="s">
        <v>277</v>
      </c>
      <c r="C22" s="105" t="s">
        <v>278</v>
      </c>
      <c r="D22" s="105" t="s">
        <v>97</v>
      </c>
      <c r="E22" s="105" t="s">
        <v>112</v>
      </c>
      <c r="F22" s="105" t="s">
        <v>91</v>
      </c>
      <c r="G22" s="106">
        <v>43875</v>
      </c>
      <c r="H22" s="107">
        <v>208</v>
      </c>
      <c r="I22" s="108">
        <v>91</v>
      </c>
      <c r="J22" s="109">
        <v>1</v>
      </c>
      <c r="K22" s="108">
        <v>216</v>
      </c>
      <c r="L22" s="108">
        <v>56</v>
      </c>
      <c r="M22" s="109">
        <v>1</v>
      </c>
      <c r="N22" s="108">
        <f>VLOOKUP(B22,'[4]BCC Tổng 03.2026'!C$37:BG$1383,57,0)</f>
        <v>186</v>
      </c>
      <c r="O22" s="108">
        <f>VLOOKUP(B22,'[4]BCC Tổng 03.2026'!C$37:CZ$1048576,102,0)</f>
        <v>114</v>
      </c>
      <c r="P22" s="109">
        <f t="shared" si="3"/>
        <v>1</v>
      </c>
      <c r="Q22" s="109"/>
      <c r="R22" s="108">
        <f>+IFERROR(VLOOKUP(B22,'[5]Tháng 04.2026'!E:DY,125,0),"")</f>
        <v>0</v>
      </c>
      <c r="S22" s="109"/>
      <c r="T22" s="109"/>
      <c r="U22" s="109"/>
      <c r="V22" s="109"/>
      <c r="W22" s="109"/>
      <c r="X22" s="109"/>
      <c r="Y22" s="109"/>
      <c r="Z22" s="109"/>
      <c r="AA22" s="109"/>
      <c r="AB22" s="109"/>
      <c r="AC22" s="109"/>
      <c r="AD22" s="109"/>
      <c r="AE22" s="109"/>
      <c r="AF22" s="109"/>
      <c r="AG22" s="109"/>
      <c r="AH22" s="109"/>
      <c r="AI22" s="109"/>
      <c r="AJ22" s="109"/>
      <c r="AK22" s="109"/>
      <c r="AL22" s="109"/>
      <c r="AM22" s="109"/>
      <c r="AN22" s="110"/>
      <c r="AO22" s="110"/>
      <c r="AP22" s="110"/>
      <c r="AQ22" s="110"/>
      <c r="AR22" s="111">
        <f t="shared" si="4"/>
        <v>261</v>
      </c>
      <c r="AS22" s="112">
        <f t="shared" si="9"/>
        <v>-39</v>
      </c>
      <c r="AT22" s="113">
        <f t="shared" si="7"/>
        <v>0</v>
      </c>
      <c r="AU22" s="114"/>
      <c r="AV22" s="115">
        <f t="shared" si="6"/>
        <v>147</v>
      </c>
      <c r="AW22" s="115"/>
      <c r="AX22" s="92"/>
      <c r="AY22" s="92"/>
      <c r="AZ22" s="92"/>
      <c r="BA22" s="92"/>
      <c r="BB22" s="92"/>
      <c r="BC22" s="92"/>
      <c r="BD22" s="92"/>
      <c r="BE22" s="92"/>
      <c r="BF22" s="92"/>
      <c r="BG22" s="92"/>
    </row>
    <row r="23" spans="1:59" ht="22.5" customHeight="1" x14ac:dyDescent="0.35">
      <c r="A23" s="104">
        <f t="shared" si="8"/>
        <v>20</v>
      </c>
      <c r="B23" s="105" t="s">
        <v>133</v>
      </c>
      <c r="C23" s="105" t="s">
        <v>134</v>
      </c>
      <c r="D23" s="105" t="s">
        <v>97</v>
      </c>
      <c r="E23" s="105" t="s">
        <v>98</v>
      </c>
      <c r="F23" s="105" t="s">
        <v>92</v>
      </c>
      <c r="G23" s="106">
        <v>43875</v>
      </c>
      <c r="H23" s="107">
        <v>208</v>
      </c>
      <c r="I23" s="108">
        <v>74</v>
      </c>
      <c r="J23" s="109">
        <v>1</v>
      </c>
      <c r="K23" s="108">
        <v>216</v>
      </c>
      <c r="L23" s="108">
        <v>48</v>
      </c>
      <c r="M23" s="109">
        <v>1</v>
      </c>
      <c r="N23" s="108">
        <f>VLOOKUP(B23,'[4]BCC Tổng 03.2026'!C$37:BG$1383,57,0)</f>
        <v>192</v>
      </c>
      <c r="O23" s="108">
        <f>VLOOKUP(B23,'[4]BCC Tổng 03.2026'!C$37:CZ$1048576,102,0)</f>
        <v>112</v>
      </c>
      <c r="P23" s="109">
        <f t="shared" si="3"/>
        <v>1</v>
      </c>
      <c r="Q23" s="109"/>
      <c r="R23" s="108">
        <f>+IFERROR(VLOOKUP(B23,'[5]Tháng 04.2026'!E:DY,125,0),"")</f>
        <v>0</v>
      </c>
      <c r="S23" s="109"/>
      <c r="T23" s="109"/>
      <c r="U23" s="109"/>
      <c r="V23" s="109"/>
      <c r="W23" s="109"/>
      <c r="X23" s="109"/>
      <c r="Y23" s="109"/>
      <c r="Z23" s="109"/>
      <c r="AA23" s="109"/>
      <c r="AB23" s="109"/>
      <c r="AC23" s="109"/>
      <c r="AD23" s="109"/>
      <c r="AE23" s="109"/>
      <c r="AF23" s="109"/>
      <c r="AG23" s="109"/>
      <c r="AH23" s="109"/>
      <c r="AI23" s="109"/>
      <c r="AJ23" s="109"/>
      <c r="AK23" s="109"/>
      <c r="AL23" s="109"/>
      <c r="AM23" s="109"/>
      <c r="AN23" s="110"/>
      <c r="AO23" s="110"/>
      <c r="AP23" s="110"/>
      <c r="AQ23" s="110"/>
      <c r="AR23" s="111">
        <f t="shared" si="4"/>
        <v>234</v>
      </c>
      <c r="AS23" s="112">
        <f t="shared" si="9"/>
        <v>-66</v>
      </c>
      <c r="AT23" s="113">
        <f t="shared" si="7"/>
        <v>0</v>
      </c>
      <c r="AU23" s="114"/>
      <c r="AV23" s="115">
        <f t="shared" si="6"/>
        <v>122</v>
      </c>
      <c r="AW23" s="115"/>
      <c r="AX23" s="92"/>
      <c r="AY23" s="92"/>
      <c r="AZ23" s="92"/>
      <c r="BA23" s="92"/>
      <c r="BB23" s="92"/>
      <c r="BC23" s="92"/>
      <c r="BD23" s="92"/>
      <c r="BE23" s="92"/>
      <c r="BF23" s="92"/>
      <c r="BG23" s="92"/>
    </row>
    <row r="24" spans="1:59" ht="22.5" customHeight="1" x14ac:dyDescent="0.35">
      <c r="A24" s="104">
        <f t="shared" si="8"/>
        <v>21</v>
      </c>
      <c r="B24" s="105" t="s">
        <v>135</v>
      </c>
      <c r="C24" s="105" t="s">
        <v>421</v>
      </c>
      <c r="D24" s="105" t="s">
        <v>97</v>
      </c>
      <c r="E24" s="105" t="s">
        <v>112</v>
      </c>
      <c r="F24" s="105" t="s">
        <v>92</v>
      </c>
      <c r="G24" s="106">
        <v>43875</v>
      </c>
      <c r="H24" s="107">
        <v>208</v>
      </c>
      <c r="I24" s="108">
        <v>70</v>
      </c>
      <c r="J24" s="109">
        <v>1</v>
      </c>
      <c r="K24" s="108">
        <v>216</v>
      </c>
      <c r="L24" s="108">
        <v>50</v>
      </c>
      <c r="M24" s="109">
        <v>1</v>
      </c>
      <c r="N24" s="108">
        <f>VLOOKUP(B24,'[4]BCC Tổng 03.2026'!C$37:BG$1383,57,0)</f>
        <v>192</v>
      </c>
      <c r="O24" s="108">
        <f>VLOOKUP(B24,'[4]BCC Tổng 03.2026'!C$37:CZ$1048576,102,0)</f>
        <v>101</v>
      </c>
      <c r="P24" s="109">
        <f t="shared" si="3"/>
        <v>1</v>
      </c>
      <c r="Q24" s="109"/>
      <c r="R24" s="108">
        <f>+IFERROR(VLOOKUP(B24,'[5]Tháng 04.2026'!E:DY,125,0),"")</f>
        <v>0</v>
      </c>
      <c r="S24" s="109"/>
      <c r="T24" s="109"/>
      <c r="U24" s="109"/>
      <c r="V24" s="109"/>
      <c r="W24" s="109"/>
      <c r="X24" s="109"/>
      <c r="Y24" s="109"/>
      <c r="Z24" s="109"/>
      <c r="AA24" s="109"/>
      <c r="AB24" s="109"/>
      <c r="AC24" s="109"/>
      <c r="AD24" s="109"/>
      <c r="AE24" s="109"/>
      <c r="AF24" s="109"/>
      <c r="AG24" s="109"/>
      <c r="AH24" s="109"/>
      <c r="AI24" s="109"/>
      <c r="AJ24" s="109"/>
      <c r="AK24" s="109"/>
      <c r="AL24" s="109"/>
      <c r="AM24" s="109"/>
      <c r="AN24" s="110"/>
      <c r="AO24" s="110"/>
      <c r="AP24" s="110"/>
      <c r="AQ24" s="110"/>
      <c r="AR24" s="111">
        <f t="shared" si="4"/>
        <v>221</v>
      </c>
      <c r="AS24" s="112">
        <f t="shared" si="9"/>
        <v>-79</v>
      </c>
      <c r="AT24" s="113">
        <f t="shared" si="7"/>
        <v>0</v>
      </c>
      <c r="AU24" s="114"/>
      <c r="AV24" s="115">
        <f t="shared" si="6"/>
        <v>120</v>
      </c>
      <c r="AW24" s="115"/>
      <c r="AX24" s="92"/>
      <c r="AY24" s="92"/>
      <c r="AZ24" s="92"/>
      <c r="BA24" s="92"/>
      <c r="BB24" s="92"/>
      <c r="BC24" s="92"/>
      <c r="BD24" s="92"/>
      <c r="BE24" s="92"/>
      <c r="BF24" s="92"/>
      <c r="BG24" s="92"/>
    </row>
    <row r="25" spans="1:59" ht="22.5" customHeight="1" x14ac:dyDescent="0.35">
      <c r="A25" s="104">
        <f t="shared" si="8"/>
        <v>22</v>
      </c>
      <c r="B25" s="105" t="s">
        <v>136</v>
      </c>
      <c r="C25" s="105" t="s">
        <v>137</v>
      </c>
      <c r="D25" s="105" t="s">
        <v>97</v>
      </c>
      <c r="E25" s="105" t="s">
        <v>98</v>
      </c>
      <c r="F25" s="105" t="s">
        <v>99</v>
      </c>
      <c r="G25" s="106">
        <v>43875</v>
      </c>
      <c r="H25" s="107">
        <v>204</v>
      </c>
      <c r="I25" s="108">
        <v>82</v>
      </c>
      <c r="J25" s="109">
        <v>1</v>
      </c>
      <c r="K25" s="108">
        <v>216</v>
      </c>
      <c r="L25" s="108">
        <v>51</v>
      </c>
      <c r="M25" s="109">
        <v>1</v>
      </c>
      <c r="N25" s="108">
        <f>VLOOKUP(B25,'[4]BCC Tổng 03.2026'!C$37:BG$1383,57,0)</f>
        <v>192</v>
      </c>
      <c r="O25" s="108">
        <f>VLOOKUP(B25,'[4]BCC Tổng 03.2026'!C$37:CZ$1048576,102,0)</f>
        <v>122</v>
      </c>
      <c r="P25" s="109">
        <f t="shared" si="3"/>
        <v>1</v>
      </c>
      <c r="Q25" s="109"/>
      <c r="R25" s="108">
        <f>+IFERROR(VLOOKUP(B25,'[5]Tháng 04.2026'!E:DY,125,0),"")</f>
        <v>0</v>
      </c>
      <c r="S25" s="109"/>
      <c r="T25" s="109"/>
      <c r="U25" s="109"/>
      <c r="V25" s="109"/>
      <c r="W25" s="109"/>
      <c r="X25" s="109"/>
      <c r="Y25" s="109"/>
      <c r="Z25" s="109"/>
      <c r="AA25" s="109"/>
      <c r="AB25" s="109"/>
      <c r="AC25" s="109"/>
      <c r="AD25" s="109"/>
      <c r="AE25" s="109"/>
      <c r="AF25" s="109"/>
      <c r="AG25" s="109"/>
      <c r="AH25" s="109"/>
      <c r="AI25" s="109"/>
      <c r="AJ25" s="109"/>
      <c r="AK25" s="109"/>
      <c r="AL25" s="109"/>
      <c r="AM25" s="109"/>
      <c r="AN25" s="110"/>
      <c r="AO25" s="110"/>
      <c r="AP25" s="110"/>
      <c r="AQ25" s="110"/>
      <c r="AR25" s="111">
        <f t="shared" si="4"/>
        <v>255</v>
      </c>
      <c r="AS25" s="112">
        <f t="shared" si="9"/>
        <v>-45</v>
      </c>
      <c r="AT25" s="113">
        <f t="shared" si="7"/>
        <v>0</v>
      </c>
      <c r="AU25" s="114"/>
      <c r="AV25" s="115">
        <f t="shared" si="6"/>
        <v>133</v>
      </c>
      <c r="AW25" s="115"/>
      <c r="AX25" s="92"/>
      <c r="AY25" s="92"/>
      <c r="AZ25" s="92"/>
      <c r="BA25" s="92"/>
      <c r="BB25" s="92"/>
      <c r="BC25" s="92"/>
      <c r="BD25" s="92"/>
      <c r="BE25" s="92"/>
      <c r="BF25" s="92"/>
      <c r="BG25" s="92"/>
    </row>
    <row r="26" spans="1:59" ht="22.5" customHeight="1" x14ac:dyDescent="0.35">
      <c r="A26" s="104">
        <f t="shared" si="8"/>
        <v>23</v>
      </c>
      <c r="B26" s="105" t="s">
        <v>138</v>
      </c>
      <c r="C26" s="105" t="s">
        <v>139</v>
      </c>
      <c r="D26" s="105" t="s">
        <v>97</v>
      </c>
      <c r="E26" s="105" t="s">
        <v>98</v>
      </c>
      <c r="F26" s="105" t="s">
        <v>91</v>
      </c>
      <c r="G26" s="106">
        <v>43881</v>
      </c>
      <c r="H26" s="107">
        <v>208</v>
      </c>
      <c r="I26" s="108">
        <v>82</v>
      </c>
      <c r="J26" s="109">
        <v>1</v>
      </c>
      <c r="K26" s="108">
        <v>216</v>
      </c>
      <c r="L26" s="108">
        <v>52</v>
      </c>
      <c r="M26" s="109">
        <v>1</v>
      </c>
      <c r="N26" s="108">
        <f>VLOOKUP(B26,'[4]BCC Tổng 03.2026'!C$37:BG$1383,57,0)</f>
        <v>192</v>
      </c>
      <c r="O26" s="108">
        <f>VLOOKUP(B26,'[4]BCC Tổng 03.2026'!C$37:CZ$1048576,102,0)</f>
        <v>122</v>
      </c>
      <c r="P26" s="109">
        <f t="shared" si="3"/>
        <v>1</v>
      </c>
      <c r="Q26" s="109"/>
      <c r="R26" s="108">
        <f>+IFERROR(VLOOKUP(B26,'[5]Tháng 04.2026'!E:DY,125,0),"")</f>
        <v>0</v>
      </c>
      <c r="S26" s="109"/>
      <c r="T26" s="109"/>
      <c r="U26" s="109"/>
      <c r="V26" s="109"/>
      <c r="W26" s="109"/>
      <c r="X26" s="109"/>
      <c r="Y26" s="109"/>
      <c r="Z26" s="109"/>
      <c r="AA26" s="109"/>
      <c r="AB26" s="109"/>
      <c r="AC26" s="109"/>
      <c r="AD26" s="109"/>
      <c r="AE26" s="109"/>
      <c r="AF26" s="109"/>
      <c r="AG26" s="109"/>
      <c r="AH26" s="109"/>
      <c r="AI26" s="109"/>
      <c r="AJ26" s="109"/>
      <c r="AK26" s="109"/>
      <c r="AL26" s="109"/>
      <c r="AM26" s="109"/>
      <c r="AN26" s="110"/>
      <c r="AO26" s="110"/>
      <c r="AP26" s="110"/>
      <c r="AQ26" s="110"/>
      <c r="AR26" s="111">
        <f t="shared" si="4"/>
        <v>256</v>
      </c>
      <c r="AS26" s="112">
        <f t="shared" si="9"/>
        <v>-44</v>
      </c>
      <c r="AT26" s="113">
        <f t="shared" si="7"/>
        <v>0</v>
      </c>
      <c r="AU26" s="114"/>
      <c r="AV26" s="115">
        <f t="shared" si="6"/>
        <v>134</v>
      </c>
      <c r="AW26" s="115"/>
      <c r="AX26" s="92"/>
      <c r="AY26" s="92"/>
      <c r="AZ26" s="92"/>
      <c r="BA26" s="92"/>
      <c r="BB26" s="92"/>
      <c r="BC26" s="92"/>
      <c r="BD26" s="92"/>
      <c r="BE26" s="92"/>
      <c r="BF26" s="92"/>
      <c r="BG26" s="92"/>
    </row>
    <row r="27" spans="1:59" ht="22.5" customHeight="1" x14ac:dyDescent="0.35">
      <c r="A27" s="104">
        <f t="shared" si="8"/>
        <v>24</v>
      </c>
      <c r="B27" s="105" t="s">
        <v>279</v>
      </c>
      <c r="C27" s="105" t="s">
        <v>280</v>
      </c>
      <c r="D27" s="105" t="s">
        <v>97</v>
      </c>
      <c r="E27" s="105" t="s">
        <v>336</v>
      </c>
      <c r="F27" s="105" t="s">
        <v>338</v>
      </c>
      <c r="G27" s="106">
        <v>43903</v>
      </c>
      <c r="H27" s="107">
        <v>208</v>
      </c>
      <c r="I27" s="108">
        <v>3.25</v>
      </c>
      <c r="J27" s="109">
        <v>0</v>
      </c>
      <c r="K27" s="108">
        <v>216</v>
      </c>
      <c r="L27" s="108">
        <v>0.5</v>
      </c>
      <c r="M27" s="109">
        <v>0</v>
      </c>
      <c r="N27" s="108">
        <f>VLOOKUP(B27,'[4]BCC Tổng 03.2026'!C$37:BG$1383,57,0)</f>
        <v>192</v>
      </c>
      <c r="O27" s="108">
        <f>VLOOKUP(B27,'[4]BCC Tổng 03.2026'!C$37:CZ$1048576,102,0)</f>
        <v>1</v>
      </c>
      <c r="P27" s="109">
        <f t="shared" si="3"/>
        <v>0</v>
      </c>
      <c r="Q27" s="109"/>
      <c r="R27" s="108">
        <f>+IFERROR(VLOOKUP(B27,'[5]Tháng 04.2026'!E:DY,125,0),"")</f>
        <v>0</v>
      </c>
      <c r="S27" s="109"/>
      <c r="T27" s="109"/>
      <c r="U27" s="109"/>
      <c r="V27" s="109"/>
      <c r="W27" s="109"/>
      <c r="X27" s="109"/>
      <c r="Y27" s="109"/>
      <c r="Z27" s="109"/>
      <c r="AA27" s="109"/>
      <c r="AB27" s="109"/>
      <c r="AC27" s="109"/>
      <c r="AD27" s="109"/>
      <c r="AE27" s="109"/>
      <c r="AF27" s="109"/>
      <c r="AG27" s="109"/>
      <c r="AH27" s="109"/>
      <c r="AI27" s="109"/>
      <c r="AJ27" s="109"/>
      <c r="AK27" s="109"/>
      <c r="AL27" s="109"/>
      <c r="AM27" s="109"/>
      <c r="AN27" s="110"/>
      <c r="AO27" s="110"/>
      <c r="AP27" s="110"/>
      <c r="AQ27" s="110"/>
      <c r="AR27" s="111">
        <f t="shared" si="4"/>
        <v>4.75</v>
      </c>
      <c r="AS27" s="112">
        <f t="shared" si="9"/>
        <v>-295.25</v>
      </c>
      <c r="AT27" s="113">
        <f t="shared" si="7"/>
        <v>0</v>
      </c>
      <c r="AU27" s="114"/>
      <c r="AV27" s="115">
        <f>SUM(I27,L27)</f>
        <v>3.75</v>
      </c>
      <c r="AW27" s="115"/>
      <c r="AX27" s="92"/>
      <c r="AY27" s="92"/>
      <c r="AZ27" s="92"/>
      <c r="BA27" s="92"/>
      <c r="BB27" s="92"/>
      <c r="BC27" s="92"/>
      <c r="BD27" s="92"/>
      <c r="BE27" s="92"/>
      <c r="BF27" s="92"/>
      <c r="BG27" s="92"/>
    </row>
    <row r="28" spans="1:59" ht="22.5" customHeight="1" x14ac:dyDescent="0.35">
      <c r="A28" s="104">
        <f t="shared" si="8"/>
        <v>25</v>
      </c>
      <c r="B28" s="105" t="s">
        <v>281</v>
      </c>
      <c r="C28" s="105" t="s">
        <v>282</v>
      </c>
      <c r="D28" s="105" t="s">
        <v>97</v>
      </c>
      <c r="E28" s="105" t="s">
        <v>336</v>
      </c>
      <c r="F28" s="105" t="s">
        <v>339</v>
      </c>
      <c r="G28" s="106">
        <v>43964</v>
      </c>
      <c r="H28" s="107">
        <v>208</v>
      </c>
      <c r="I28" s="108">
        <v>1.5</v>
      </c>
      <c r="J28" s="109">
        <v>0</v>
      </c>
      <c r="K28" s="108">
        <v>216</v>
      </c>
      <c r="L28" s="108">
        <v>2.25</v>
      </c>
      <c r="M28" s="109">
        <v>0</v>
      </c>
      <c r="N28" s="108">
        <f>VLOOKUP(B28,'[4]BCC Tổng 03.2026'!C$37:BG$1383,57,0)</f>
        <v>192</v>
      </c>
      <c r="O28" s="108">
        <f>VLOOKUP(B28,'[4]BCC Tổng 03.2026'!C$37:CZ$1048576,102,0)</f>
        <v>7.25</v>
      </c>
      <c r="P28" s="109">
        <f t="shared" si="3"/>
        <v>0</v>
      </c>
      <c r="Q28" s="109"/>
      <c r="R28" s="108">
        <f>+IFERROR(VLOOKUP(B28,'[5]Tháng 04.2026'!E:DY,125,0),"")</f>
        <v>0</v>
      </c>
      <c r="S28" s="109"/>
      <c r="T28" s="109"/>
      <c r="U28" s="109"/>
      <c r="V28" s="109"/>
      <c r="W28" s="109"/>
      <c r="X28" s="109"/>
      <c r="Y28" s="109"/>
      <c r="Z28" s="109"/>
      <c r="AA28" s="109"/>
      <c r="AB28" s="109"/>
      <c r="AC28" s="109"/>
      <c r="AD28" s="109"/>
      <c r="AE28" s="109"/>
      <c r="AF28" s="109"/>
      <c r="AG28" s="109"/>
      <c r="AH28" s="109"/>
      <c r="AI28" s="109"/>
      <c r="AJ28" s="109"/>
      <c r="AK28" s="109"/>
      <c r="AL28" s="109"/>
      <c r="AM28" s="109"/>
      <c r="AN28" s="110"/>
      <c r="AO28" s="110"/>
      <c r="AP28" s="110"/>
      <c r="AQ28" s="110"/>
      <c r="AR28" s="111">
        <f t="shared" si="4"/>
        <v>11</v>
      </c>
      <c r="AS28" s="112">
        <f t="shared" si="9"/>
        <v>-289</v>
      </c>
      <c r="AT28" s="113">
        <f t="shared" si="7"/>
        <v>0</v>
      </c>
      <c r="AU28" s="114"/>
      <c r="AV28" s="115">
        <f t="shared" si="6"/>
        <v>3.75</v>
      </c>
      <c r="AW28" s="115"/>
      <c r="AX28" s="92"/>
      <c r="AY28" s="92"/>
      <c r="AZ28" s="92"/>
      <c r="BA28" s="92"/>
      <c r="BB28" s="92"/>
      <c r="BC28" s="92"/>
      <c r="BD28" s="92"/>
      <c r="BE28" s="92"/>
      <c r="BF28" s="92"/>
      <c r="BG28" s="92"/>
    </row>
    <row r="29" spans="1:59" ht="22.5" customHeight="1" x14ac:dyDescent="0.35">
      <c r="A29" s="104">
        <f t="shared" si="8"/>
        <v>26</v>
      </c>
      <c r="B29" s="105" t="s">
        <v>140</v>
      </c>
      <c r="C29" s="105" t="s">
        <v>141</v>
      </c>
      <c r="D29" s="105" t="s">
        <v>97</v>
      </c>
      <c r="E29" s="105" t="s">
        <v>98</v>
      </c>
      <c r="F29" s="105" t="s">
        <v>91</v>
      </c>
      <c r="G29" s="106">
        <v>44019</v>
      </c>
      <c r="H29" s="107">
        <v>208</v>
      </c>
      <c r="I29" s="108">
        <v>82</v>
      </c>
      <c r="J29" s="109">
        <v>1</v>
      </c>
      <c r="K29" s="108">
        <v>216</v>
      </c>
      <c r="L29" s="108">
        <v>52</v>
      </c>
      <c r="M29" s="109">
        <v>1</v>
      </c>
      <c r="N29" s="108">
        <f>VLOOKUP(B29,'[4]BCC Tổng 03.2026'!C$37:BG$1383,57,0)</f>
        <v>192</v>
      </c>
      <c r="O29" s="108">
        <f>VLOOKUP(B29,'[4]BCC Tổng 03.2026'!C$37:CZ$1048576,102,0)</f>
        <v>122</v>
      </c>
      <c r="P29" s="109">
        <f t="shared" si="3"/>
        <v>1</v>
      </c>
      <c r="Q29" s="109"/>
      <c r="R29" s="108">
        <f>+IFERROR(VLOOKUP(B29,'[5]Tháng 04.2026'!E:DY,125,0),"")</f>
        <v>0</v>
      </c>
      <c r="S29" s="109"/>
      <c r="T29" s="109"/>
      <c r="U29" s="109"/>
      <c r="V29" s="109"/>
      <c r="W29" s="109"/>
      <c r="X29" s="109"/>
      <c r="Y29" s="109"/>
      <c r="Z29" s="109"/>
      <c r="AA29" s="109"/>
      <c r="AB29" s="109"/>
      <c r="AC29" s="109"/>
      <c r="AD29" s="109"/>
      <c r="AE29" s="109"/>
      <c r="AF29" s="109"/>
      <c r="AG29" s="109"/>
      <c r="AH29" s="109"/>
      <c r="AI29" s="109"/>
      <c r="AJ29" s="109"/>
      <c r="AK29" s="109"/>
      <c r="AL29" s="109"/>
      <c r="AM29" s="109"/>
      <c r="AN29" s="110"/>
      <c r="AO29" s="110"/>
      <c r="AP29" s="110"/>
      <c r="AQ29" s="110"/>
      <c r="AR29" s="111">
        <f t="shared" si="4"/>
        <v>256</v>
      </c>
      <c r="AS29" s="112">
        <f t="shared" si="9"/>
        <v>-44</v>
      </c>
      <c r="AT29" s="113">
        <f t="shared" si="7"/>
        <v>0</v>
      </c>
      <c r="AU29" s="114"/>
      <c r="AV29" s="115">
        <f t="shared" si="6"/>
        <v>134</v>
      </c>
      <c r="AW29" s="115"/>
      <c r="AX29" s="92"/>
      <c r="AY29" s="92"/>
      <c r="AZ29" s="92"/>
      <c r="BA29" s="92"/>
      <c r="BB29" s="92"/>
      <c r="BC29" s="92"/>
      <c r="BD29" s="92"/>
      <c r="BE29" s="92"/>
      <c r="BF29" s="92"/>
      <c r="BG29" s="92"/>
    </row>
    <row r="30" spans="1:59" ht="22.5" customHeight="1" x14ac:dyDescent="0.35">
      <c r="A30" s="104">
        <f t="shared" si="8"/>
        <v>27</v>
      </c>
      <c r="B30" s="105" t="s">
        <v>142</v>
      </c>
      <c r="C30" s="105" t="s">
        <v>143</v>
      </c>
      <c r="D30" s="105" t="s">
        <v>97</v>
      </c>
      <c r="E30" s="105" t="s">
        <v>98</v>
      </c>
      <c r="F30" s="105" t="s">
        <v>91</v>
      </c>
      <c r="G30" s="106">
        <v>44025</v>
      </c>
      <c r="H30" s="107">
        <v>208</v>
      </c>
      <c r="I30" s="108">
        <v>78</v>
      </c>
      <c r="J30" s="109">
        <v>1</v>
      </c>
      <c r="K30" s="108">
        <v>216</v>
      </c>
      <c r="L30" s="108">
        <v>47</v>
      </c>
      <c r="M30" s="109">
        <v>1</v>
      </c>
      <c r="N30" s="108">
        <f>VLOOKUP(B30,'[4]BCC Tổng 03.2026'!C$37:BG$1383,57,0)</f>
        <v>192</v>
      </c>
      <c r="O30" s="108">
        <f>VLOOKUP(B30,'[4]BCC Tổng 03.2026'!C$37:CZ$1048576,102,0)</f>
        <v>128</v>
      </c>
      <c r="P30" s="109">
        <f t="shared" si="3"/>
        <v>1</v>
      </c>
      <c r="Q30" s="109"/>
      <c r="R30" s="108">
        <f>+IFERROR(VLOOKUP(B30,'[5]Tháng 04.2026'!E:DY,125,0),"")</f>
        <v>0</v>
      </c>
      <c r="S30" s="109"/>
      <c r="T30" s="109"/>
      <c r="U30" s="109"/>
      <c r="V30" s="109"/>
      <c r="W30" s="109"/>
      <c r="X30" s="109"/>
      <c r="Y30" s="109"/>
      <c r="Z30" s="109"/>
      <c r="AA30" s="109"/>
      <c r="AB30" s="109"/>
      <c r="AC30" s="109"/>
      <c r="AD30" s="109"/>
      <c r="AE30" s="109"/>
      <c r="AF30" s="109"/>
      <c r="AG30" s="109"/>
      <c r="AH30" s="109"/>
      <c r="AI30" s="109"/>
      <c r="AJ30" s="109"/>
      <c r="AK30" s="109"/>
      <c r="AL30" s="109"/>
      <c r="AM30" s="109"/>
      <c r="AN30" s="110"/>
      <c r="AO30" s="110"/>
      <c r="AP30" s="110"/>
      <c r="AQ30" s="110"/>
      <c r="AR30" s="111">
        <f t="shared" si="4"/>
        <v>253</v>
      </c>
      <c r="AS30" s="112">
        <f t="shared" si="9"/>
        <v>-47</v>
      </c>
      <c r="AT30" s="113">
        <f t="shared" si="7"/>
        <v>0</v>
      </c>
      <c r="AU30" s="114"/>
      <c r="AV30" s="115">
        <f t="shared" si="6"/>
        <v>125</v>
      </c>
      <c r="AW30" s="115"/>
      <c r="AX30" s="92"/>
      <c r="AY30" s="92"/>
      <c r="AZ30" s="92"/>
      <c r="BA30" s="92"/>
      <c r="BB30" s="92"/>
      <c r="BC30" s="92"/>
      <c r="BD30" s="92"/>
      <c r="BE30" s="92"/>
      <c r="BF30" s="92"/>
      <c r="BG30" s="92"/>
    </row>
    <row r="31" spans="1:59" ht="22.5" customHeight="1" x14ac:dyDescent="0.35">
      <c r="A31" s="104">
        <f t="shared" si="8"/>
        <v>28</v>
      </c>
      <c r="B31" s="105" t="s">
        <v>144</v>
      </c>
      <c r="C31" s="105" t="s">
        <v>145</v>
      </c>
      <c r="D31" s="105" t="s">
        <v>97</v>
      </c>
      <c r="E31" s="105" t="s">
        <v>98</v>
      </c>
      <c r="F31" s="105" t="s">
        <v>91</v>
      </c>
      <c r="G31" s="106">
        <v>44025</v>
      </c>
      <c r="H31" s="107">
        <v>208</v>
      </c>
      <c r="I31" s="108">
        <v>82</v>
      </c>
      <c r="J31" s="109">
        <v>1</v>
      </c>
      <c r="K31" s="108">
        <v>216</v>
      </c>
      <c r="L31" s="108">
        <v>52</v>
      </c>
      <c r="M31" s="109">
        <v>1</v>
      </c>
      <c r="N31" s="108">
        <f>VLOOKUP(B31,'[4]BCC Tổng 03.2026'!C$37:BG$1383,57,0)</f>
        <v>192</v>
      </c>
      <c r="O31" s="108">
        <f>VLOOKUP(B31,'[4]BCC Tổng 03.2026'!C$37:CZ$1048576,102,0)</f>
        <v>122</v>
      </c>
      <c r="P31" s="109">
        <f t="shared" si="3"/>
        <v>1</v>
      </c>
      <c r="Q31" s="109"/>
      <c r="R31" s="108">
        <f>+IFERROR(VLOOKUP(B31,'[5]Tháng 04.2026'!E:DY,125,0),"")</f>
        <v>0</v>
      </c>
      <c r="S31" s="109"/>
      <c r="T31" s="109"/>
      <c r="U31" s="109"/>
      <c r="V31" s="109"/>
      <c r="W31" s="109"/>
      <c r="X31" s="109"/>
      <c r="Y31" s="109"/>
      <c r="Z31" s="109"/>
      <c r="AA31" s="109"/>
      <c r="AB31" s="109"/>
      <c r="AC31" s="109"/>
      <c r="AD31" s="109"/>
      <c r="AE31" s="109"/>
      <c r="AF31" s="109"/>
      <c r="AG31" s="109"/>
      <c r="AH31" s="109"/>
      <c r="AI31" s="109"/>
      <c r="AJ31" s="109"/>
      <c r="AK31" s="109"/>
      <c r="AL31" s="109"/>
      <c r="AM31" s="109"/>
      <c r="AN31" s="110"/>
      <c r="AO31" s="110"/>
      <c r="AP31" s="110"/>
      <c r="AQ31" s="110"/>
      <c r="AR31" s="111">
        <f t="shared" si="4"/>
        <v>256</v>
      </c>
      <c r="AS31" s="112">
        <f t="shared" si="9"/>
        <v>-44</v>
      </c>
      <c r="AT31" s="113">
        <f t="shared" si="7"/>
        <v>0</v>
      </c>
      <c r="AU31" s="114"/>
      <c r="AV31" s="115">
        <f t="shared" si="6"/>
        <v>134</v>
      </c>
      <c r="AW31" s="115"/>
      <c r="AX31" s="92"/>
      <c r="AY31" s="92"/>
      <c r="AZ31" s="92"/>
      <c r="BA31" s="92"/>
      <c r="BB31" s="92"/>
      <c r="BC31" s="92"/>
      <c r="BD31" s="92"/>
      <c r="BE31" s="92"/>
      <c r="BF31" s="92"/>
      <c r="BG31" s="92"/>
    </row>
    <row r="32" spans="1:59" ht="22.5" customHeight="1" x14ac:dyDescent="0.35">
      <c r="A32" s="104">
        <f t="shared" si="8"/>
        <v>29</v>
      </c>
      <c r="B32" s="105" t="s">
        <v>146</v>
      </c>
      <c r="C32" s="105" t="s">
        <v>147</v>
      </c>
      <c r="D32" s="105" t="s">
        <v>97</v>
      </c>
      <c r="E32" s="105" t="s">
        <v>112</v>
      </c>
      <c r="F32" s="105" t="s">
        <v>99</v>
      </c>
      <c r="G32" s="106">
        <v>44029</v>
      </c>
      <c r="H32" s="107">
        <v>200</v>
      </c>
      <c r="I32" s="108">
        <v>98</v>
      </c>
      <c r="J32" s="109">
        <v>1</v>
      </c>
      <c r="K32" s="108">
        <v>216</v>
      </c>
      <c r="L32" s="108">
        <v>60</v>
      </c>
      <c r="M32" s="109">
        <v>1</v>
      </c>
      <c r="N32" s="108">
        <f>VLOOKUP(B32,'[4]BCC Tổng 03.2026'!C$37:BG$1383,57,0)</f>
        <v>192</v>
      </c>
      <c r="O32" s="108">
        <f>VLOOKUP(B32,'[4]BCC Tổng 03.2026'!C$37:CZ$1048576,102,0)</f>
        <v>120</v>
      </c>
      <c r="P32" s="109">
        <f t="shared" si="3"/>
        <v>1</v>
      </c>
      <c r="Q32" s="109"/>
      <c r="R32" s="108">
        <f>+IFERROR(VLOOKUP(B32,'[5]Tháng 04.2026'!E:DY,125,0),"")</f>
        <v>0</v>
      </c>
      <c r="S32" s="109"/>
      <c r="T32" s="109"/>
      <c r="U32" s="109"/>
      <c r="V32" s="109"/>
      <c r="W32" s="109"/>
      <c r="X32" s="109"/>
      <c r="Y32" s="109"/>
      <c r="Z32" s="109"/>
      <c r="AA32" s="109"/>
      <c r="AB32" s="109"/>
      <c r="AC32" s="109"/>
      <c r="AD32" s="109"/>
      <c r="AE32" s="109"/>
      <c r="AF32" s="109"/>
      <c r="AG32" s="109"/>
      <c r="AH32" s="109"/>
      <c r="AI32" s="109"/>
      <c r="AJ32" s="109"/>
      <c r="AK32" s="109"/>
      <c r="AL32" s="109"/>
      <c r="AM32" s="109"/>
      <c r="AN32" s="110"/>
      <c r="AO32" s="110"/>
      <c r="AP32" s="110"/>
      <c r="AQ32" s="110"/>
      <c r="AR32" s="111">
        <f t="shared" si="4"/>
        <v>278</v>
      </c>
      <c r="AS32" s="112">
        <f t="shared" si="9"/>
        <v>-22</v>
      </c>
      <c r="AT32" s="113">
        <f t="shared" si="7"/>
        <v>0</v>
      </c>
      <c r="AU32" s="114"/>
      <c r="AV32" s="115">
        <f t="shared" si="6"/>
        <v>158</v>
      </c>
      <c r="AW32" s="115"/>
      <c r="AX32" s="92"/>
      <c r="AY32" s="92"/>
      <c r="AZ32" s="92"/>
      <c r="BA32" s="92"/>
      <c r="BB32" s="92"/>
      <c r="BC32" s="92"/>
      <c r="BD32" s="92"/>
      <c r="BE32" s="92"/>
      <c r="BF32" s="92"/>
      <c r="BG32" s="92"/>
    </row>
    <row r="33" spans="1:59" ht="22.5" customHeight="1" x14ac:dyDescent="0.35">
      <c r="A33" s="104">
        <f t="shared" si="8"/>
        <v>30</v>
      </c>
      <c r="B33" s="105" t="s">
        <v>148</v>
      </c>
      <c r="C33" s="105" t="s">
        <v>422</v>
      </c>
      <c r="D33" s="105" t="s">
        <v>97</v>
      </c>
      <c r="E33" s="105" t="s">
        <v>98</v>
      </c>
      <c r="F33" s="105" t="s">
        <v>91</v>
      </c>
      <c r="G33" s="106">
        <v>44033</v>
      </c>
      <c r="H33" s="107">
        <v>208</v>
      </c>
      <c r="I33" s="108">
        <v>82</v>
      </c>
      <c r="J33" s="109">
        <v>1</v>
      </c>
      <c r="K33" s="108">
        <v>216</v>
      </c>
      <c r="L33" s="108">
        <v>52</v>
      </c>
      <c r="M33" s="109">
        <v>1</v>
      </c>
      <c r="N33" s="108">
        <f>VLOOKUP(B33,'[4]BCC Tổng 03.2026'!C$37:BG$1383,57,0)</f>
        <v>192</v>
      </c>
      <c r="O33" s="108">
        <f>VLOOKUP(B33,'[4]BCC Tổng 03.2026'!C$37:CZ$1048576,102,0)</f>
        <v>122</v>
      </c>
      <c r="P33" s="109">
        <f t="shared" si="3"/>
        <v>1</v>
      </c>
      <c r="Q33" s="109"/>
      <c r="R33" s="108">
        <f>+IFERROR(VLOOKUP(B33,'[5]Tháng 04.2026'!E:DY,125,0),"")</f>
        <v>0</v>
      </c>
      <c r="S33" s="109"/>
      <c r="T33" s="109"/>
      <c r="U33" s="109"/>
      <c r="V33" s="109"/>
      <c r="W33" s="109"/>
      <c r="X33" s="109"/>
      <c r="Y33" s="109"/>
      <c r="Z33" s="109"/>
      <c r="AA33" s="109"/>
      <c r="AB33" s="109"/>
      <c r="AC33" s="109"/>
      <c r="AD33" s="109"/>
      <c r="AE33" s="109"/>
      <c r="AF33" s="109"/>
      <c r="AG33" s="109"/>
      <c r="AH33" s="109"/>
      <c r="AI33" s="109"/>
      <c r="AJ33" s="109"/>
      <c r="AK33" s="109"/>
      <c r="AL33" s="109"/>
      <c r="AM33" s="109"/>
      <c r="AN33" s="110"/>
      <c r="AO33" s="110"/>
      <c r="AP33" s="110"/>
      <c r="AQ33" s="110"/>
      <c r="AR33" s="111">
        <f t="shared" si="4"/>
        <v>256</v>
      </c>
      <c r="AS33" s="112">
        <f t="shared" si="9"/>
        <v>-44</v>
      </c>
      <c r="AT33" s="113">
        <f t="shared" si="7"/>
        <v>0</v>
      </c>
      <c r="AU33" s="114"/>
      <c r="AV33" s="115">
        <f t="shared" si="6"/>
        <v>134</v>
      </c>
      <c r="AW33" s="115"/>
      <c r="AX33" s="92"/>
      <c r="AY33" s="92"/>
      <c r="AZ33" s="92"/>
      <c r="BA33" s="92"/>
      <c r="BB33" s="92"/>
      <c r="BC33" s="92"/>
      <c r="BD33" s="92"/>
      <c r="BE33" s="92"/>
      <c r="BF33" s="92"/>
      <c r="BG33" s="92"/>
    </row>
    <row r="34" spans="1:59" ht="22.5" customHeight="1" x14ac:dyDescent="0.35">
      <c r="A34" s="104">
        <f t="shared" si="8"/>
        <v>31</v>
      </c>
      <c r="B34" s="105" t="s">
        <v>149</v>
      </c>
      <c r="C34" s="105" t="s">
        <v>150</v>
      </c>
      <c r="D34" s="105" t="s">
        <v>97</v>
      </c>
      <c r="E34" s="105" t="s">
        <v>112</v>
      </c>
      <c r="F34" s="105" t="s">
        <v>93</v>
      </c>
      <c r="G34" s="106">
        <v>44043</v>
      </c>
      <c r="H34" s="107">
        <v>176</v>
      </c>
      <c r="I34" s="108">
        <v>100</v>
      </c>
      <c r="J34" s="109">
        <v>1</v>
      </c>
      <c r="K34" s="108">
        <v>216</v>
      </c>
      <c r="L34" s="108">
        <v>60</v>
      </c>
      <c r="M34" s="109">
        <v>1</v>
      </c>
      <c r="N34" s="108">
        <f>VLOOKUP(B34,'[4]BCC Tổng 03.2026'!C$37:BG$1383,57,0)</f>
        <v>192</v>
      </c>
      <c r="O34" s="108">
        <f>VLOOKUP(B34,'[4]BCC Tổng 03.2026'!C$37:CZ$1048576,102,0)</f>
        <v>117</v>
      </c>
      <c r="P34" s="109">
        <f t="shared" si="3"/>
        <v>1</v>
      </c>
      <c r="Q34" s="109"/>
      <c r="R34" s="108">
        <f>+IFERROR(VLOOKUP(B34,'[5]Tháng 04.2026'!E:DY,125,0),"")</f>
        <v>0</v>
      </c>
      <c r="S34" s="109"/>
      <c r="T34" s="109"/>
      <c r="U34" s="109"/>
      <c r="V34" s="109"/>
      <c r="W34" s="109"/>
      <c r="X34" s="109"/>
      <c r="Y34" s="109"/>
      <c r="Z34" s="109"/>
      <c r="AA34" s="109"/>
      <c r="AB34" s="109"/>
      <c r="AC34" s="109"/>
      <c r="AD34" s="109"/>
      <c r="AE34" s="109"/>
      <c r="AF34" s="109"/>
      <c r="AG34" s="109"/>
      <c r="AH34" s="109"/>
      <c r="AI34" s="109"/>
      <c r="AJ34" s="109"/>
      <c r="AK34" s="109"/>
      <c r="AL34" s="109"/>
      <c r="AM34" s="109"/>
      <c r="AN34" s="110"/>
      <c r="AO34" s="110"/>
      <c r="AP34" s="110"/>
      <c r="AQ34" s="110"/>
      <c r="AR34" s="111">
        <f t="shared" si="4"/>
        <v>277</v>
      </c>
      <c r="AS34" s="112">
        <f t="shared" si="9"/>
        <v>-23</v>
      </c>
      <c r="AT34" s="113">
        <f t="shared" si="7"/>
        <v>0</v>
      </c>
      <c r="AU34" s="114"/>
      <c r="AV34" s="115">
        <f t="shared" si="6"/>
        <v>160</v>
      </c>
      <c r="AW34" s="115"/>
      <c r="AX34" s="92"/>
      <c r="AY34" s="92"/>
      <c r="AZ34" s="92"/>
      <c r="BA34" s="92"/>
      <c r="BB34" s="92"/>
      <c r="BC34" s="92"/>
      <c r="BD34" s="92"/>
      <c r="BE34" s="92"/>
      <c r="BF34" s="92"/>
      <c r="BG34" s="92"/>
    </row>
    <row r="35" spans="1:59" ht="22.5" customHeight="1" x14ac:dyDescent="0.35">
      <c r="A35" s="104">
        <f t="shared" si="8"/>
        <v>32</v>
      </c>
      <c r="B35" s="105" t="s">
        <v>151</v>
      </c>
      <c r="C35" s="105" t="s">
        <v>423</v>
      </c>
      <c r="D35" s="105" t="s">
        <v>97</v>
      </c>
      <c r="E35" s="105" t="s">
        <v>112</v>
      </c>
      <c r="F35" s="105" t="s">
        <v>99</v>
      </c>
      <c r="G35" s="106">
        <v>44077</v>
      </c>
      <c r="H35" s="107">
        <v>208</v>
      </c>
      <c r="I35" s="108">
        <v>91</v>
      </c>
      <c r="J35" s="109">
        <v>1</v>
      </c>
      <c r="K35" s="108">
        <v>216</v>
      </c>
      <c r="L35" s="108">
        <v>49</v>
      </c>
      <c r="M35" s="109">
        <v>1</v>
      </c>
      <c r="N35" s="108">
        <f>VLOOKUP(B35,'[4]BCC Tổng 03.2026'!C$37:BG$1383,57,0)</f>
        <v>192</v>
      </c>
      <c r="O35" s="108">
        <f>VLOOKUP(B35,'[4]BCC Tổng 03.2026'!C$37:CZ$1048576,102,0)</f>
        <v>106</v>
      </c>
      <c r="P35" s="109">
        <f t="shared" si="3"/>
        <v>1</v>
      </c>
      <c r="Q35" s="109"/>
      <c r="R35" s="108">
        <f>+IFERROR(VLOOKUP(B35,'[5]Tháng 04.2026'!E:DY,125,0),"")</f>
        <v>0</v>
      </c>
      <c r="S35" s="109"/>
      <c r="T35" s="109"/>
      <c r="U35" s="109"/>
      <c r="V35" s="109"/>
      <c r="W35" s="109"/>
      <c r="X35" s="109"/>
      <c r="Y35" s="109"/>
      <c r="Z35" s="109"/>
      <c r="AA35" s="109"/>
      <c r="AB35" s="109"/>
      <c r="AC35" s="109"/>
      <c r="AD35" s="109"/>
      <c r="AE35" s="109"/>
      <c r="AF35" s="109"/>
      <c r="AG35" s="109"/>
      <c r="AH35" s="109"/>
      <c r="AI35" s="109"/>
      <c r="AJ35" s="109"/>
      <c r="AK35" s="109"/>
      <c r="AL35" s="109"/>
      <c r="AM35" s="109"/>
      <c r="AN35" s="109"/>
      <c r="AO35" s="110"/>
      <c r="AP35" s="110"/>
      <c r="AQ35" s="110"/>
      <c r="AR35" s="111">
        <f t="shared" si="4"/>
        <v>246</v>
      </c>
      <c r="AS35" s="112">
        <f t="shared" si="9"/>
        <v>-54</v>
      </c>
      <c r="AT35" s="113">
        <f t="shared" si="7"/>
        <v>0</v>
      </c>
      <c r="AU35" s="114"/>
      <c r="AV35" s="115">
        <f t="shared" si="6"/>
        <v>140</v>
      </c>
      <c r="AW35" s="115"/>
      <c r="AX35" s="92"/>
      <c r="AY35" s="92"/>
      <c r="AZ35" s="92"/>
      <c r="BA35" s="92"/>
      <c r="BB35" s="92"/>
      <c r="BC35" s="92"/>
      <c r="BD35" s="92"/>
      <c r="BE35" s="92"/>
      <c r="BF35" s="92"/>
      <c r="BG35" s="92"/>
    </row>
    <row r="36" spans="1:59" ht="22.5" customHeight="1" x14ac:dyDescent="0.35">
      <c r="A36" s="104">
        <f t="shared" si="8"/>
        <v>33</v>
      </c>
      <c r="B36" s="105" t="s">
        <v>152</v>
      </c>
      <c r="C36" s="105" t="s">
        <v>153</v>
      </c>
      <c r="D36" s="105" t="s">
        <v>97</v>
      </c>
      <c r="E36" s="105" t="s">
        <v>98</v>
      </c>
      <c r="F36" s="105" t="s">
        <v>91</v>
      </c>
      <c r="G36" s="106">
        <v>44085</v>
      </c>
      <c r="H36" s="107">
        <v>208</v>
      </c>
      <c r="I36" s="108">
        <v>80</v>
      </c>
      <c r="J36" s="109">
        <v>1</v>
      </c>
      <c r="K36" s="108">
        <v>216</v>
      </c>
      <c r="L36" s="108">
        <v>48</v>
      </c>
      <c r="M36" s="109">
        <v>1</v>
      </c>
      <c r="N36" s="108">
        <f>VLOOKUP(B36,'[4]BCC Tổng 03.2026'!C$37:BG$1383,57,0)</f>
        <v>192</v>
      </c>
      <c r="O36" s="108">
        <f>VLOOKUP(B36,'[4]BCC Tổng 03.2026'!C$37:CZ$1048576,102,0)</f>
        <v>122</v>
      </c>
      <c r="P36" s="109">
        <f t="shared" si="3"/>
        <v>1</v>
      </c>
      <c r="Q36" s="109"/>
      <c r="R36" s="108">
        <f>+IFERROR(VLOOKUP(B36,'[5]Tháng 04.2026'!E:DY,125,0),"")</f>
        <v>0</v>
      </c>
      <c r="S36" s="109"/>
      <c r="T36" s="109"/>
      <c r="U36" s="109"/>
      <c r="V36" s="109"/>
      <c r="W36" s="109"/>
      <c r="X36" s="109"/>
      <c r="Y36" s="109"/>
      <c r="Z36" s="109"/>
      <c r="AA36" s="109"/>
      <c r="AB36" s="109"/>
      <c r="AC36" s="109"/>
      <c r="AD36" s="109"/>
      <c r="AE36" s="109"/>
      <c r="AF36" s="109"/>
      <c r="AG36" s="109"/>
      <c r="AH36" s="109"/>
      <c r="AI36" s="109"/>
      <c r="AJ36" s="109"/>
      <c r="AK36" s="109"/>
      <c r="AL36" s="109"/>
      <c r="AM36" s="109"/>
      <c r="AN36" s="110"/>
      <c r="AO36" s="110"/>
      <c r="AP36" s="110"/>
      <c r="AQ36" s="110"/>
      <c r="AR36" s="111">
        <f t="shared" si="4"/>
        <v>250</v>
      </c>
      <c r="AS36" s="112">
        <f t="shared" si="9"/>
        <v>-50</v>
      </c>
      <c r="AT36" s="113">
        <f t="shared" si="7"/>
        <v>0</v>
      </c>
      <c r="AU36" s="114"/>
      <c r="AV36" s="115">
        <f t="shared" si="6"/>
        <v>128</v>
      </c>
      <c r="AW36" s="115"/>
      <c r="AX36" s="92"/>
      <c r="AY36" s="92"/>
      <c r="AZ36" s="92"/>
      <c r="BA36" s="92"/>
      <c r="BB36" s="92"/>
      <c r="BC36" s="92"/>
      <c r="BD36" s="92"/>
      <c r="BE36" s="92"/>
      <c r="BF36" s="92"/>
      <c r="BG36" s="92"/>
    </row>
    <row r="37" spans="1:59" ht="22.5" customHeight="1" x14ac:dyDescent="0.35">
      <c r="A37" s="104">
        <f t="shared" si="8"/>
        <v>34</v>
      </c>
      <c r="B37" s="105" t="s">
        <v>154</v>
      </c>
      <c r="C37" s="105" t="s">
        <v>155</v>
      </c>
      <c r="D37" s="105" t="s">
        <v>97</v>
      </c>
      <c r="E37" s="105" t="s">
        <v>98</v>
      </c>
      <c r="F37" s="105" t="s">
        <v>91</v>
      </c>
      <c r="G37" s="106">
        <v>44090</v>
      </c>
      <c r="H37" s="107">
        <v>208</v>
      </c>
      <c r="I37" s="108">
        <v>74</v>
      </c>
      <c r="J37" s="109">
        <v>1</v>
      </c>
      <c r="K37" s="108">
        <v>216</v>
      </c>
      <c r="L37" s="108">
        <v>25</v>
      </c>
      <c r="M37" s="109">
        <v>0</v>
      </c>
      <c r="N37" s="108">
        <f>VLOOKUP(B37,'[4]BCC Tổng 03.2026'!C$37:BG$1383,57,0)</f>
        <v>192</v>
      </c>
      <c r="O37" s="108">
        <f>VLOOKUP(B37,'[4]BCC Tổng 03.2026'!C$37:CZ$1048576,102,0)</f>
        <v>81</v>
      </c>
      <c r="P37" s="109">
        <f t="shared" si="3"/>
        <v>1</v>
      </c>
      <c r="Q37" s="109"/>
      <c r="R37" s="108">
        <f>+IFERROR(VLOOKUP(B37,'[5]Tháng 04.2026'!E:DY,125,0),"")</f>
        <v>0</v>
      </c>
      <c r="S37" s="109"/>
      <c r="T37" s="109"/>
      <c r="U37" s="109"/>
      <c r="V37" s="109"/>
      <c r="W37" s="109"/>
      <c r="X37" s="109"/>
      <c r="Y37" s="109"/>
      <c r="Z37" s="109"/>
      <c r="AA37" s="109"/>
      <c r="AB37" s="109"/>
      <c r="AC37" s="109"/>
      <c r="AD37" s="109"/>
      <c r="AE37" s="109"/>
      <c r="AF37" s="109"/>
      <c r="AG37" s="109"/>
      <c r="AH37" s="109"/>
      <c r="AI37" s="109"/>
      <c r="AJ37" s="109"/>
      <c r="AK37" s="109"/>
      <c r="AL37" s="109"/>
      <c r="AM37" s="109"/>
      <c r="AN37" s="110"/>
      <c r="AO37" s="110"/>
      <c r="AP37" s="110"/>
      <c r="AQ37" s="110"/>
      <c r="AR37" s="111">
        <f t="shared" si="4"/>
        <v>180</v>
      </c>
      <c r="AS37" s="112">
        <f t="shared" si="9"/>
        <v>-120</v>
      </c>
      <c r="AT37" s="113">
        <f t="shared" si="7"/>
        <v>0</v>
      </c>
      <c r="AU37" s="114"/>
      <c r="AV37" s="115">
        <f t="shared" si="6"/>
        <v>99</v>
      </c>
      <c r="AW37" s="115"/>
      <c r="AX37" s="92"/>
      <c r="AY37" s="92"/>
      <c r="AZ37" s="92"/>
      <c r="BA37" s="92"/>
      <c r="BB37" s="92"/>
      <c r="BC37" s="92"/>
      <c r="BD37" s="92"/>
      <c r="BE37" s="92"/>
      <c r="BF37" s="92"/>
      <c r="BG37" s="92"/>
    </row>
    <row r="38" spans="1:59" ht="22.5" customHeight="1" x14ac:dyDescent="0.35">
      <c r="A38" s="104">
        <f t="shared" si="8"/>
        <v>35</v>
      </c>
      <c r="B38" s="105" t="s">
        <v>156</v>
      </c>
      <c r="C38" s="105" t="s">
        <v>157</v>
      </c>
      <c r="D38" s="105" t="s">
        <v>97</v>
      </c>
      <c r="E38" s="105" t="s">
        <v>98</v>
      </c>
      <c r="F38" s="105" t="s">
        <v>92</v>
      </c>
      <c r="G38" s="106">
        <v>44118</v>
      </c>
      <c r="H38" s="107">
        <v>208</v>
      </c>
      <c r="I38" s="108">
        <v>66</v>
      </c>
      <c r="J38" s="109">
        <v>1</v>
      </c>
      <c r="K38" s="108">
        <v>216</v>
      </c>
      <c r="L38" s="108">
        <v>43</v>
      </c>
      <c r="M38" s="109">
        <v>1</v>
      </c>
      <c r="N38" s="108">
        <f>VLOOKUP(B38,'[4]BCC Tổng 03.2026'!C$37:BG$1383,57,0)</f>
        <v>188</v>
      </c>
      <c r="O38" s="108">
        <f>VLOOKUP(B38,'[4]BCC Tổng 03.2026'!C$37:CZ$1048576,102,0)</f>
        <v>108</v>
      </c>
      <c r="P38" s="109">
        <f t="shared" si="3"/>
        <v>1</v>
      </c>
      <c r="Q38" s="109"/>
      <c r="R38" s="108">
        <f>+IFERROR(VLOOKUP(B38,'[5]Tháng 04.2026'!E:DY,125,0),"")</f>
        <v>0</v>
      </c>
      <c r="S38" s="109"/>
      <c r="T38" s="109"/>
      <c r="U38" s="109"/>
      <c r="V38" s="109"/>
      <c r="W38" s="109"/>
      <c r="X38" s="109"/>
      <c r="Y38" s="109"/>
      <c r="Z38" s="109"/>
      <c r="AA38" s="109"/>
      <c r="AB38" s="109"/>
      <c r="AC38" s="109"/>
      <c r="AD38" s="109"/>
      <c r="AE38" s="109"/>
      <c r="AF38" s="109"/>
      <c r="AG38" s="109"/>
      <c r="AH38" s="109"/>
      <c r="AI38" s="109"/>
      <c r="AJ38" s="109"/>
      <c r="AK38" s="109"/>
      <c r="AL38" s="109"/>
      <c r="AM38" s="109"/>
      <c r="AN38" s="110"/>
      <c r="AO38" s="110"/>
      <c r="AP38" s="110"/>
      <c r="AQ38" s="110"/>
      <c r="AR38" s="111">
        <f t="shared" si="4"/>
        <v>217</v>
      </c>
      <c r="AS38" s="112">
        <f t="shared" si="9"/>
        <v>-83</v>
      </c>
      <c r="AT38" s="113">
        <f t="shared" si="7"/>
        <v>0</v>
      </c>
      <c r="AU38" s="114"/>
      <c r="AV38" s="115">
        <f t="shared" si="6"/>
        <v>109</v>
      </c>
      <c r="AW38" s="115"/>
      <c r="AX38" s="92"/>
      <c r="AY38" s="92"/>
      <c r="AZ38" s="92"/>
      <c r="BA38" s="92"/>
      <c r="BB38" s="92"/>
      <c r="BC38" s="92"/>
      <c r="BD38" s="92"/>
      <c r="BE38" s="92"/>
      <c r="BF38" s="92"/>
      <c r="BG38" s="92"/>
    </row>
    <row r="39" spans="1:59" ht="22.5" customHeight="1" x14ac:dyDescent="0.35">
      <c r="A39" s="104">
        <f t="shared" si="8"/>
        <v>36</v>
      </c>
      <c r="B39" s="105" t="s">
        <v>158</v>
      </c>
      <c r="C39" s="105" t="s">
        <v>159</v>
      </c>
      <c r="D39" s="105" t="s">
        <v>97</v>
      </c>
      <c r="E39" s="105" t="s">
        <v>98</v>
      </c>
      <c r="F39" s="105" t="s">
        <v>99</v>
      </c>
      <c r="G39" s="106">
        <v>44118</v>
      </c>
      <c r="H39" s="107">
        <v>208</v>
      </c>
      <c r="I39" s="108">
        <v>82</v>
      </c>
      <c r="J39" s="109">
        <v>1</v>
      </c>
      <c r="K39" s="108">
        <v>216</v>
      </c>
      <c r="L39" s="108">
        <v>47</v>
      </c>
      <c r="M39" s="109">
        <v>1</v>
      </c>
      <c r="N39" s="108">
        <f>VLOOKUP(B39,'[4]BCC Tổng 03.2026'!C$37:BG$1383,57,0)</f>
        <v>192</v>
      </c>
      <c r="O39" s="108">
        <f>VLOOKUP(B39,'[4]BCC Tổng 03.2026'!C$37:CZ$1048576,102,0)</f>
        <v>121</v>
      </c>
      <c r="P39" s="109">
        <f t="shared" si="3"/>
        <v>1</v>
      </c>
      <c r="Q39" s="109"/>
      <c r="R39" s="108">
        <f>+IFERROR(VLOOKUP(B39,'[5]Tháng 04.2026'!E:DY,125,0),"")</f>
        <v>0</v>
      </c>
      <c r="S39" s="109"/>
      <c r="T39" s="109"/>
      <c r="U39" s="109"/>
      <c r="V39" s="109"/>
      <c r="W39" s="109"/>
      <c r="X39" s="109"/>
      <c r="Y39" s="109"/>
      <c r="Z39" s="109"/>
      <c r="AA39" s="109"/>
      <c r="AB39" s="109"/>
      <c r="AC39" s="109"/>
      <c r="AD39" s="109"/>
      <c r="AE39" s="109"/>
      <c r="AF39" s="109"/>
      <c r="AG39" s="109"/>
      <c r="AH39" s="109"/>
      <c r="AI39" s="109"/>
      <c r="AJ39" s="109"/>
      <c r="AK39" s="109"/>
      <c r="AL39" s="109"/>
      <c r="AM39" s="109"/>
      <c r="AN39" s="110"/>
      <c r="AO39" s="110"/>
      <c r="AP39" s="110"/>
      <c r="AQ39" s="110"/>
      <c r="AR39" s="111">
        <f t="shared" si="4"/>
        <v>250</v>
      </c>
      <c r="AS39" s="112">
        <f t="shared" si="9"/>
        <v>-50</v>
      </c>
      <c r="AT39" s="113">
        <f t="shared" si="7"/>
        <v>0</v>
      </c>
      <c r="AU39" s="114"/>
      <c r="AV39" s="115">
        <f t="shared" si="6"/>
        <v>129</v>
      </c>
      <c r="AW39" s="115"/>
      <c r="AX39" s="92"/>
      <c r="AY39" s="92"/>
      <c r="AZ39" s="92"/>
      <c r="BA39" s="92"/>
      <c r="BB39" s="92"/>
      <c r="BC39" s="92"/>
      <c r="BD39" s="92"/>
      <c r="BE39" s="92"/>
      <c r="BF39" s="92"/>
      <c r="BG39" s="92"/>
    </row>
    <row r="40" spans="1:59" ht="22.5" customHeight="1" x14ac:dyDescent="0.35">
      <c r="A40" s="104">
        <f t="shared" si="8"/>
        <v>37</v>
      </c>
      <c r="B40" s="105" t="s">
        <v>160</v>
      </c>
      <c r="C40" s="105" t="s">
        <v>161</v>
      </c>
      <c r="D40" s="105" t="s">
        <v>97</v>
      </c>
      <c r="E40" s="105" t="s">
        <v>98</v>
      </c>
      <c r="F40" s="105" t="s">
        <v>91</v>
      </c>
      <c r="G40" s="106" t="s">
        <v>424</v>
      </c>
      <c r="H40" s="107">
        <v>208</v>
      </c>
      <c r="I40" s="108">
        <v>84</v>
      </c>
      <c r="J40" s="109">
        <v>1</v>
      </c>
      <c r="K40" s="108">
        <v>216</v>
      </c>
      <c r="L40" s="108">
        <v>58</v>
      </c>
      <c r="M40" s="109">
        <v>1</v>
      </c>
      <c r="N40" s="108">
        <f>VLOOKUP(B40,'[4]BCC Tổng 03.2026'!C$37:BG$1383,57,0)</f>
        <v>192</v>
      </c>
      <c r="O40" s="108">
        <f>VLOOKUP(B40,'[4]BCC Tổng 03.2026'!C$37:CZ$1048576,102,0)</f>
        <v>128</v>
      </c>
      <c r="P40" s="109">
        <f t="shared" si="3"/>
        <v>1</v>
      </c>
      <c r="Q40" s="109"/>
      <c r="R40" s="108">
        <f>+IFERROR(VLOOKUP(B40,'[5]Tháng 04.2026'!E:DY,125,0),"")</f>
        <v>0</v>
      </c>
      <c r="S40" s="109"/>
      <c r="T40" s="109"/>
      <c r="U40" s="109"/>
      <c r="V40" s="109"/>
      <c r="W40" s="109"/>
      <c r="X40" s="109"/>
      <c r="Y40" s="109"/>
      <c r="Z40" s="109"/>
      <c r="AA40" s="109"/>
      <c r="AB40" s="109"/>
      <c r="AC40" s="109"/>
      <c r="AD40" s="109"/>
      <c r="AE40" s="109"/>
      <c r="AF40" s="109"/>
      <c r="AG40" s="109"/>
      <c r="AH40" s="109"/>
      <c r="AI40" s="109"/>
      <c r="AJ40" s="109"/>
      <c r="AK40" s="109"/>
      <c r="AL40" s="109"/>
      <c r="AM40" s="109"/>
      <c r="AN40" s="109"/>
      <c r="AO40" s="110"/>
      <c r="AP40" s="110"/>
      <c r="AQ40" s="110"/>
      <c r="AR40" s="111">
        <f t="shared" si="4"/>
        <v>270</v>
      </c>
      <c r="AS40" s="112">
        <f t="shared" si="9"/>
        <v>-30</v>
      </c>
      <c r="AT40" s="113">
        <f t="shared" si="7"/>
        <v>0</v>
      </c>
      <c r="AU40" s="114"/>
      <c r="AV40" s="115">
        <f t="shared" si="6"/>
        <v>142</v>
      </c>
      <c r="AW40" s="115"/>
      <c r="AX40" s="92"/>
      <c r="AY40" s="92"/>
      <c r="AZ40" s="92"/>
      <c r="BA40" s="92"/>
      <c r="BB40" s="92"/>
      <c r="BC40" s="92"/>
      <c r="BD40" s="92"/>
      <c r="BE40" s="92"/>
      <c r="BF40" s="92"/>
      <c r="BG40" s="92"/>
    </row>
    <row r="41" spans="1:59" ht="22.5" customHeight="1" x14ac:dyDescent="0.35">
      <c r="A41" s="104">
        <f t="shared" si="8"/>
        <v>38</v>
      </c>
      <c r="B41" s="105" t="s">
        <v>162</v>
      </c>
      <c r="C41" s="105" t="s">
        <v>163</v>
      </c>
      <c r="D41" s="105" t="s">
        <v>97</v>
      </c>
      <c r="E41" s="105" t="s">
        <v>98</v>
      </c>
      <c r="F41" s="105" t="s">
        <v>91</v>
      </c>
      <c r="G41" s="106">
        <v>44256</v>
      </c>
      <c r="H41" s="107">
        <v>208</v>
      </c>
      <c r="I41" s="108">
        <v>78</v>
      </c>
      <c r="J41" s="109">
        <v>1</v>
      </c>
      <c r="K41" s="108">
        <v>216</v>
      </c>
      <c r="L41" s="108">
        <v>54</v>
      </c>
      <c r="M41" s="109">
        <v>1</v>
      </c>
      <c r="N41" s="108">
        <f>VLOOKUP(B41,'[4]BCC Tổng 03.2026'!C$37:BG$1383,57,0)</f>
        <v>192</v>
      </c>
      <c r="O41" s="108">
        <f>VLOOKUP(B41,'[4]BCC Tổng 03.2026'!C$37:CZ$1048576,102,0)</f>
        <v>106</v>
      </c>
      <c r="P41" s="109">
        <f t="shared" si="3"/>
        <v>1</v>
      </c>
      <c r="Q41" s="109"/>
      <c r="R41" s="108">
        <f>+IFERROR(VLOOKUP(B41,'[5]Tháng 04.2026'!E:DY,125,0),"")</f>
        <v>0</v>
      </c>
      <c r="S41" s="109"/>
      <c r="T41" s="109"/>
      <c r="U41" s="109"/>
      <c r="V41" s="109"/>
      <c r="W41" s="109"/>
      <c r="X41" s="109"/>
      <c r="Y41" s="109"/>
      <c r="Z41" s="109"/>
      <c r="AA41" s="109"/>
      <c r="AB41" s="109"/>
      <c r="AC41" s="109"/>
      <c r="AD41" s="109"/>
      <c r="AE41" s="109"/>
      <c r="AF41" s="109"/>
      <c r="AG41" s="109"/>
      <c r="AH41" s="109"/>
      <c r="AI41" s="109"/>
      <c r="AJ41" s="109"/>
      <c r="AK41" s="109"/>
      <c r="AL41" s="109"/>
      <c r="AM41" s="109"/>
      <c r="AN41" s="109"/>
      <c r="AO41" s="110"/>
      <c r="AP41" s="110"/>
      <c r="AQ41" s="110"/>
      <c r="AR41" s="111">
        <f t="shared" si="4"/>
        <v>238</v>
      </c>
      <c r="AS41" s="112">
        <f t="shared" si="9"/>
        <v>-62</v>
      </c>
      <c r="AT41" s="113">
        <f t="shared" si="7"/>
        <v>0</v>
      </c>
      <c r="AU41" s="114"/>
      <c r="AV41" s="115">
        <f t="shared" si="6"/>
        <v>132</v>
      </c>
      <c r="AW41" s="115"/>
      <c r="AX41" s="92"/>
      <c r="AY41" s="92"/>
      <c r="AZ41" s="92"/>
      <c r="BA41" s="92"/>
      <c r="BB41" s="92"/>
      <c r="BC41" s="92"/>
      <c r="BD41" s="92"/>
      <c r="BE41" s="92"/>
      <c r="BF41" s="92"/>
      <c r="BG41" s="92"/>
    </row>
    <row r="42" spans="1:59" ht="22.5" customHeight="1" x14ac:dyDescent="0.35">
      <c r="A42" s="104">
        <f t="shared" si="8"/>
        <v>39</v>
      </c>
      <c r="B42" s="105" t="s">
        <v>164</v>
      </c>
      <c r="C42" s="105" t="s">
        <v>165</v>
      </c>
      <c r="D42" s="105" t="s">
        <v>97</v>
      </c>
      <c r="E42" s="105" t="s">
        <v>112</v>
      </c>
      <c r="F42" s="105" t="s">
        <v>92</v>
      </c>
      <c r="G42" s="106">
        <v>44256</v>
      </c>
      <c r="H42" s="107">
        <v>208</v>
      </c>
      <c r="I42" s="108">
        <v>73</v>
      </c>
      <c r="J42" s="109">
        <v>1</v>
      </c>
      <c r="K42" s="108">
        <v>216</v>
      </c>
      <c r="L42" s="108">
        <v>60</v>
      </c>
      <c r="M42" s="109">
        <v>1</v>
      </c>
      <c r="N42" s="108">
        <f>VLOOKUP(B42,'[4]BCC Tổng 03.2026'!C$37:BG$1383,57,0)</f>
        <v>192</v>
      </c>
      <c r="O42" s="108">
        <f>VLOOKUP(B42,'[4]BCC Tổng 03.2026'!C$37:CZ$1048576,102,0)</f>
        <v>136</v>
      </c>
      <c r="P42" s="109">
        <f t="shared" si="3"/>
        <v>1</v>
      </c>
      <c r="Q42" s="109"/>
      <c r="R42" s="108">
        <f>+IFERROR(VLOOKUP(B42,'[5]Tháng 04.2026'!E:DY,125,0),"")</f>
        <v>0</v>
      </c>
      <c r="S42" s="109"/>
      <c r="T42" s="109"/>
      <c r="U42" s="109"/>
      <c r="V42" s="109"/>
      <c r="W42" s="109"/>
      <c r="X42" s="109"/>
      <c r="Y42" s="109"/>
      <c r="Z42" s="109"/>
      <c r="AA42" s="109"/>
      <c r="AB42" s="109"/>
      <c r="AC42" s="109"/>
      <c r="AD42" s="109"/>
      <c r="AE42" s="109"/>
      <c r="AF42" s="109"/>
      <c r="AG42" s="109"/>
      <c r="AH42" s="109"/>
      <c r="AI42" s="109"/>
      <c r="AJ42" s="109"/>
      <c r="AK42" s="109"/>
      <c r="AL42" s="109"/>
      <c r="AM42" s="109"/>
      <c r="AN42" s="110"/>
      <c r="AO42" s="110"/>
      <c r="AP42" s="110"/>
      <c r="AQ42" s="110"/>
      <c r="AR42" s="111">
        <f t="shared" si="4"/>
        <v>269</v>
      </c>
      <c r="AS42" s="112">
        <f t="shared" si="9"/>
        <v>-31</v>
      </c>
      <c r="AT42" s="113">
        <f t="shared" si="7"/>
        <v>0</v>
      </c>
      <c r="AU42" s="114"/>
      <c r="AV42" s="115">
        <f t="shared" si="6"/>
        <v>133</v>
      </c>
      <c r="AW42" s="115"/>
      <c r="AX42" s="92"/>
      <c r="AY42" s="92"/>
      <c r="AZ42" s="92"/>
      <c r="BA42" s="92"/>
      <c r="BB42" s="92"/>
      <c r="BC42" s="92"/>
      <c r="BD42" s="92"/>
      <c r="BE42" s="92"/>
      <c r="BF42" s="92"/>
      <c r="BG42" s="92"/>
    </row>
    <row r="43" spans="1:59" ht="22.5" customHeight="1" x14ac:dyDescent="0.35">
      <c r="A43" s="104">
        <f t="shared" si="8"/>
        <v>40</v>
      </c>
      <c r="B43" s="105" t="s">
        <v>166</v>
      </c>
      <c r="C43" s="105" t="s">
        <v>167</v>
      </c>
      <c r="D43" s="105" t="s">
        <v>97</v>
      </c>
      <c r="E43" s="105" t="s">
        <v>112</v>
      </c>
      <c r="F43" s="105" t="s">
        <v>93</v>
      </c>
      <c r="G43" s="106" t="s">
        <v>425</v>
      </c>
      <c r="H43" s="107">
        <v>208</v>
      </c>
      <c r="I43" s="108">
        <v>89</v>
      </c>
      <c r="J43" s="109">
        <v>1</v>
      </c>
      <c r="K43" s="108">
        <v>216</v>
      </c>
      <c r="L43" s="108">
        <v>46</v>
      </c>
      <c r="M43" s="109">
        <v>1</v>
      </c>
      <c r="N43" s="108">
        <f>VLOOKUP(B43,'[4]BCC Tổng 03.2026'!C$37:BG$1383,57,0)</f>
        <v>192</v>
      </c>
      <c r="O43" s="108">
        <f>VLOOKUP(B43,'[4]BCC Tổng 03.2026'!C$37:CZ$1048576,102,0)</f>
        <v>120</v>
      </c>
      <c r="P43" s="109">
        <f t="shared" si="3"/>
        <v>1</v>
      </c>
      <c r="Q43" s="109"/>
      <c r="R43" s="108">
        <f>+IFERROR(VLOOKUP(B43,'[5]Tháng 04.2026'!E:DY,125,0),"")</f>
        <v>0</v>
      </c>
      <c r="S43" s="109"/>
      <c r="T43" s="109"/>
      <c r="U43" s="109"/>
      <c r="V43" s="109"/>
      <c r="W43" s="109"/>
      <c r="X43" s="109"/>
      <c r="Y43" s="109"/>
      <c r="Z43" s="109"/>
      <c r="AA43" s="109"/>
      <c r="AB43" s="109"/>
      <c r="AC43" s="109"/>
      <c r="AD43" s="109"/>
      <c r="AE43" s="109"/>
      <c r="AF43" s="109"/>
      <c r="AG43" s="109"/>
      <c r="AH43" s="109"/>
      <c r="AI43" s="109"/>
      <c r="AJ43" s="109"/>
      <c r="AK43" s="109"/>
      <c r="AL43" s="109"/>
      <c r="AM43" s="109"/>
      <c r="AN43" s="110"/>
      <c r="AO43" s="110"/>
      <c r="AP43" s="110"/>
      <c r="AQ43" s="110"/>
      <c r="AR43" s="111">
        <f t="shared" si="4"/>
        <v>255</v>
      </c>
      <c r="AS43" s="112">
        <f t="shared" si="9"/>
        <v>-45</v>
      </c>
      <c r="AT43" s="113">
        <f t="shared" si="7"/>
        <v>0</v>
      </c>
      <c r="AU43" s="114"/>
      <c r="AV43" s="115">
        <f t="shared" si="6"/>
        <v>135</v>
      </c>
      <c r="AW43" s="115"/>
      <c r="AX43" s="92"/>
      <c r="AY43" s="92"/>
      <c r="AZ43" s="92"/>
      <c r="BA43" s="92"/>
      <c r="BB43" s="92"/>
      <c r="BC43" s="92"/>
      <c r="BD43" s="92"/>
      <c r="BE43" s="92"/>
      <c r="BF43" s="92"/>
      <c r="BG43" s="92"/>
    </row>
    <row r="44" spans="1:59" ht="22.5" customHeight="1" x14ac:dyDescent="0.35">
      <c r="A44" s="104">
        <f t="shared" si="8"/>
        <v>41</v>
      </c>
      <c r="B44" s="105" t="s">
        <v>290</v>
      </c>
      <c r="C44" s="105" t="s">
        <v>291</v>
      </c>
      <c r="D44" s="105" t="s">
        <v>97</v>
      </c>
      <c r="E44" s="105" t="s">
        <v>336</v>
      </c>
      <c r="F44" s="105" t="s">
        <v>337</v>
      </c>
      <c r="G44" s="106" t="s">
        <v>426</v>
      </c>
      <c r="H44" s="107">
        <v>208</v>
      </c>
      <c r="I44" s="108">
        <v>0</v>
      </c>
      <c r="J44" s="109">
        <v>0</v>
      </c>
      <c r="K44" s="108">
        <v>216</v>
      </c>
      <c r="L44" s="108">
        <v>0</v>
      </c>
      <c r="M44" s="109">
        <v>0</v>
      </c>
      <c r="N44" s="108">
        <f>VLOOKUP(B44,'[4]BCC Tổng 03.2026'!C$37:BG$1383,57,0)</f>
        <v>192</v>
      </c>
      <c r="O44" s="108">
        <f>VLOOKUP(B44,'[4]BCC Tổng 03.2026'!C$37:CZ$1048576,102,0)</f>
        <v>0</v>
      </c>
      <c r="P44" s="109">
        <f t="shared" si="3"/>
        <v>0</v>
      </c>
      <c r="Q44" s="109"/>
      <c r="R44" s="108">
        <f>+IFERROR(VLOOKUP(B44,'[5]Tháng 04.2026'!E:DY,125,0),"")</f>
        <v>0</v>
      </c>
      <c r="S44" s="109"/>
      <c r="T44" s="109"/>
      <c r="U44" s="109"/>
      <c r="V44" s="109"/>
      <c r="W44" s="109"/>
      <c r="X44" s="109"/>
      <c r="Y44" s="109"/>
      <c r="Z44" s="109"/>
      <c r="AA44" s="109"/>
      <c r="AB44" s="109"/>
      <c r="AC44" s="109"/>
      <c r="AD44" s="109"/>
      <c r="AE44" s="109"/>
      <c r="AF44" s="109"/>
      <c r="AG44" s="109"/>
      <c r="AH44" s="109"/>
      <c r="AI44" s="109"/>
      <c r="AJ44" s="109"/>
      <c r="AK44" s="109"/>
      <c r="AL44" s="109"/>
      <c r="AM44" s="109"/>
      <c r="AN44" s="109"/>
      <c r="AO44" s="110"/>
      <c r="AP44" s="110"/>
      <c r="AQ44" s="110"/>
      <c r="AR44" s="111">
        <f t="shared" si="4"/>
        <v>0</v>
      </c>
      <c r="AS44" s="112">
        <f t="shared" si="9"/>
        <v>-300</v>
      </c>
      <c r="AT44" s="113">
        <f t="shared" si="7"/>
        <v>0</v>
      </c>
      <c r="AU44" s="114"/>
      <c r="AV44" s="115">
        <f t="shared" si="6"/>
        <v>0</v>
      </c>
      <c r="AW44" s="115"/>
      <c r="AX44" s="92"/>
      <c r="AY44" s="92"/>
      <c r="AZ44" s="92"/>
      <c r="BA44" s="92"/>
      <c r="BB44" s="92"/>
      <c r="BC44" s="92"/>
      <c r="BD44" s="92"/>
      <c r="BE44" s="92"/>
      <c r="BF44" s="92"/>
      <c r="BG44" s="92"/>
    </row>
    <row r="45" spans="1:59" ht="22.5" customHeight="1" x14ac:dyDescent="0.35">
      <c r="A45" s="104">
        <f t="shared" si="8"/>
        <v>42</v>
      </c>
      <c r="B45" s="105" t="s">
        <v>168</v>
      </c>
      <c r="C45" s="105" t="s">
        <v>169</v>
      </c>
      <c r="D45" s="105" t="s">
        <v>97</v>
      </c>
      <c r="E45" s="105" t="s">
        <v>112</v>
      </c>
      <c r="F45" s="105" t="s">
        <v>91</v>
      </c>
      <c r="G45" s="106">
        <v>44504</v>
      </c>
      <c r="H45" s="107">
        <v>208</v>
      </c>
      <c r="I45" s="108">
        <v>91</v>
      </c>
      <c r="J45" s="109">
        <v>1</v>
      </c>
      <c r="K45" s="108">
        <v>216</v>
      </c>
      <c r="L45" s="108">
        <v>60</v>
      </c>
      <c r="M45" s="109">
        <v>1</v>
      </c>
      <c r="N45" s="108">
        <f>VLOOKUP(B45,'[4]BCC Tổng 03.2026'!C$37:BG$1383,57,0)</f>
        <v>192</v>
      </c>
      <c r="O45" s="108">
        <f>VLOOKUP(B45,'[4]BCC Tổng 03.2026'!C$37:CZ$1048576,102,0)</f>
        <v>132</v>
      </c>
      <c r="P45" s="109">
        <f t="shared" si="3"/>
        <v>1</v>
      </c>
      <c r="Q45" s="109"/>
      <c r="R45" s="108">
        <f>+IFERROR(VLOOKUP(B45,'[5]Tháng 04.2026'!E:DY,125,0),"")</f>
        <v>0</v>
      </c>
      <c r="S45" s="109"/>
      <c r="T45" s="109"/>
      <c r="U45" s="109"/>
      <c r="V45" s="109"/>
      <c r="W45" s="109"/>
      <c r="X45" s="109"/>
      <c r="Y45" s="109"/>
      <c r="Z45" s="109"/>
      <c r="AA45" s="109"/>
      <c r="AB45" s="109"/>
      <c r="AC45" s="109"/>
      <c r="AD45" s="109"/>
      <c r="AE45" s="109"/>
      <c r="AF45" s="109"/>
      <c r="AG45" s="109"/>
      <c r="AH45" s="109"/>
      <c r="AI45" s="109"/>
      <c r="AJ45" s="109"/>
      <c r="AK45" s="109"/>
      <c r="AL45" s="109"/>
      <c r="AM45" s="109"/>
      <c r="AN45" s="109"/>
      <c r="AO45" s="110"/>
      <c r="AP45" s="110"/>
      <c r="AQ45" s="110"/>
      <c r="AR45" s="111">
        <f t="shared" si="4"/>
        <v>283</v>
      </c>
      <c r="AS45" s="112">
        <f t="shared" si="9"/>
        <v>-17</v>
      </c>
      <c r="AT45" s="113">
        <f t="shared" si="7"/>
        <v>0</v>
      </c>
      <c r="AU45" s="114"/>
      <c r="AV45" s="115">
        <f t="shared" si="6"/>
        <v>151</v>
      </c>
      <c r="AW45" s="115"/>
      <c r="AX45" s="92"/>
      <c r="AY45" s="92"/>
      <c r="AZ45" s="92"/>
      <c r="BA45" s="92"/>
      <c r="BB45" s="92"/>
      <c r="BC45" s="92"/>
      <c r="BD45" s="92"/>
      <c r="BE45" s="92"/>
      <c r="BF45" s="92"/>
      <c r="BG45" s="92"/>
    </row>
    <row r="46" spans="1:59" ht="22.5" customHeight="1" x14ac:dyDescent="0.35">
      <c r="A46" s="104">
        <f t="shared" si="8"/>
        <v>43</v>
      </c>
      <c r="B46" s="105" t="s">
        <v>170</v>
      </c>
      <c r="C46" s="105" t="s">
        <v>171</v>
      </c>
      <c r="D46" s="105" t="s">
        <v>97</v>
      </c>
      <c r="E46" s="105" t="s">
        <v>98</v>
      </c>
      <c r="F46" s="105" t="s">
        <v>91</v>
      </c>
      <c r="G46" s="106" t="s">
        <v>427</v>
      </c>
      <c r="H46" s="107">
        <v>208</v>
      </c>
      <c r="I46" s="108">
        <v>80</v>
      </c>
      <c r="J46" s="109">
        <v>1</v>
      </c>
      <c r="K46" s="108">
        <v>216</v>
      </c>
      <c r="L46" s="108">
        <v>54</v>
      </c>
      <c r="M46" s="109">
        <v>1</v>
      </c>
      <c r="N46" s="108">
        <f>VLOOKUP(B46,'[4]BCC Tổng 03.2026'!C$37:BG$1383,57,0)</f>
        <v>192</v>
      </c>
      <c r="O46" s="108">
        <f>VLOOKUP(B46,'[4]BCC Tổng 03.2026'!C$37:CZ$1048576,102,0)</f>
        <v>125</v>
      </c>
      <c r="P46" s="109">
        <f t="shared" si="3"/>
        <v>1</v>
      </c>
      <c r="Q46" s="109"/>
      <c r="R46" s="108">
        <f>+IFERROR(VLOOKUP(B46,'[5]Tháng 04.2026'!E:DY,125,0),"")</f>
        <v>0</v>
      </c>
      <c r="S46" s="109"/>
      <c r="T46" s="109"/>
      <c r="U46" s="109"/>
      <c r="V46" s="109"/>
      <c r="W46" s="109"/>
      <c r="X46" s="109"/>
      <c r="Y46" s="109"/>
      <c r="Z46" s="109"/>
      <c r="AA46" s="109"/>
      <c r="AB46" s="109"/>
      <c r="AC46" s="109"/>
      <c r="AD46" s="109"/>
      <c r="AE46" s="109"/>
      <c r="AF46" s="109"/>
      <c r="AG46" s="109"/>
      <c r="AH46" s="109"/>
      <c r="AI46" s="109"/>
      <c r="AJ46" s="109"/>
      <c r="AK46" s="109"/>
      <c r="AL46" s="109"/>
      <c r="AM46" s="109"/>
      <c r="AN46" s="110"/>
      <c r="AO46" s="110"/>
      <c r="AP46" s="110"/>
      <c r="AQ46" s="110"/>
      <c r="AR46" s="111">
        <f t="shared" si="4"/>
        <v>259</v>
      </c>
      <c r="AS46" s="112">
        <f t="shared" si="9"/>
        <v>-41</v>
      </c>
      <c r="AT46" s="113">
        <f t="shared" si="7"/>
        <v>0</v>
      </c>
      <c r="AU46" s="114"/>
      <c r="AV46" s="115">
        <f t="shared" si="6"/>
        <v>134</v>
      </c>
      <c r="AW46" s="115"/>
      <c r="AX46" s="92"/>
      <c r="AY46" s="92"/>
      <c r="AZ46" s="92"/>
      <c r="BA46" s="92"/>
      <c r="BB46" s="92"/>
      <c r="BC46" s="92"/>
      <c r="BD46" s="92"/>
      <c r="BE46" s="92"/>
      <c r="BF46" s="92"/>
      <c r="BG46" s="92"/>
    </row>
    <row r="47" spans="1:59" ht="22.5" customHeight="1" x14ac:dyDescent="0.35">
      <c r="A47" s="104">
        <f t="shared" si="8"/>
        <v>44</v>
      </c>
      <c r="B47" s="105" t="s">
        <v>172</v>
      </c>
      <c r="C47" s="105" t="s">
        <v>173</v>
      </c>
      <c r="D47" s="105" t="s">
        <v>97</v>
      </c>
      <c r="E47" s="105" t="s">
        <v>112</v>
      </c>
      <c r="F47" s="105" t="s">
        <v>99</v>
      </c>
      <c r="G47" s="106">
        <v>44516</v>
      </c>
      <c r="H47" s="107">
        <v>208</v>
      </c>
      <c r="I47" s="108">
        <v>90</v>
      </c>
      <c r="J47" s="109">
        <v>1</v>
      </c>
      <c r="K47" s="108">
        <v>216</v>
      </c>
      <c r="L47" s="108">
        <v>58</v>
      </c>
      <c r="M47" s="109">
        <v>1</v>
      </c>
      <c r="N47" s="108">
        <f>VLOOKUP(B47,'[4]BCC Tổng 03.2026'!C$37:BG$1383,57,0)</f>
        <v>136</v>
      </c>
      <c r="O47" s="108">
        <f>VLOOKUP(B47,'[4]BCC Tổng 03.2026'!C$37:CZ$1048576,102,0)</f>
        <v>92</v>
      </c>
      <c r="P47" s="109">
        <f t="shared" si="3"/>
        <v>1</v>
      </c>
      <c r="Q47" s="109"/>
      <c r="R47" s="108">
        <f>+IFERROR(VLOOKUP(B47,'[5]Tháng 04.2026'!E:DY,125,0),"")</f>
        <v>0</v>
      </c>
      <c r="S47" s="109"/>
      <c r="T47" s="109"/>
      <c r="U47" s="109"/>
      <c r="V47" s="109"/>
      <c r="W47" s="109"/>
      <c r="X47" s="109"/>
      <c r="Y47" s="109"/>
      <c r="Z47" s="109"/>
      <c r="AA47" s="109"/>
      <c r="AB47" s="109"/>
      <c r="AC47" s="109"/>
      <c r="AD47" s="109"/>
      <c r="AE47" s="109"/>
      <c r="AF47" s="109"/>
      <c r="AG47" s="109"/>
      <c r="AH47" s="109"/>
      <c r="AI47" s="109"/>
      <c r="AJ47" s="109"/>
      <c r="AK47" s="109"/>
      <c r="AL47" s="109"/>
      <c r="AM47" s="109"/>
      <c r="AN47" s="110"/>
      <c r="AO47" s="110"/>
      <c r="AP47" s="110"/>
      <c r="AQ47" s="110"/>
      <c r="AR47" s="111">
        <f t="shared" si="4"/>
        <v>240</v>
      </c>
      <c r="AS47" s="112">
        <f t="shared" si="9"/>
        <v>-60</v>
      </c>
      <c r="AT47" s="113">
        <f t="shared" si="7"/>
        <v>0</v>
      </c>
      <c r="AU47" s="114"/>
      <c r="AV47" s="115">
        <f t="shared" si="6"/>
        <v>148</v>
      </c>
      <c r="AW47" s="115"/>
      <c r="AX47" s="92"/>
      <c r="AY47" s="92"/>
      <c r="AZ47" s="92"/>
      <c r="BA47" s="92"/>
      <c r="BB47" s="92"/>
      <c r="BC47" s="92"/>
      <c r="BD47" s="92"/>
      <c r="BE47" s="92"/>
      <c r="BF47" s="92"/>
      <c r="BG47" s="92"/>
    </row>
    <row r="48" spans="1:59" ht="22.5" customHeight="1" x14ac:dyDescent="0.35">
      <c r="A48" s="104">
        <f t="shared" si="8"/>
        <v>45</v>
      </c>
      <c r="B48" s="105" t="s">
        <v>174</v>
      </c>
      <c r="C48" s="105" t="s">
        <v>175</v>
      </c>
      <c r="D48" s="105" t="s">
        <v>97</v>
      </c>
      <c r="E48" s="105" t="s">
        <v>98</v>
      </c>
      <c r="F48" s="105" t="s">
        <v>91</v>
      </c>
      <c r="G48" s="106">
        <v>44516</v>
      </c>
      <c r="H48" s="107">
        <v>208</v>
      </c>
      <c r="I48" s="108">
        <v>84</v>
      </c>
      <c r="J48" s="109">
        <v>1</v>
      </c>
      <c r="K48" s="108">
        <v>216</v>
      </c>
      <c r="L48" s="108">
        <v>51</v>
      </c>
      <c r="M48" s="109">
        <v>1</v>
      </c>
      <c r="N48" s="108">
        <f>VLOOKUP(B48,'[4]BCC Tổng 03.2026'!C$37:BG$1383,57,0)</f>
        <v>192</v>
      </c>
      <c r="O48" s="108">
        <f>VLOOKUP(B48,'[4]BCC Tổng 03.2026'!C$37:CZ$1048576,102,0)</f>
        <v>106</v>
      </c>
      <c r="P48" s="109">
        <f t="shared" si="3"/>
        <v>1</v>
      </c>
      <c r="Q48" s="109"/>
      <c r="R48" s="108">
        <f>+IFERROR(VLOOKUP(B48,'[5]Tháng 04.2026'!E:DY,125,0),"")</f>
        <v>0</v>
      </c>
      <c r="S48" s="109"/>
      <c r="T48" s="109"/>
      <c r="U48" s="109"/>
      <c r="V48" s="109"/>
      <c r="W48" s="109"/>
      <c r="X48" s="109"/>
      <c r="Y48" s="109"/>
      <c r="Z48" s="109"/>
      <c r="AA48" s="109"/>
      <c r="AB48" s="109"/>
      <c r="AC48" s="109"/>
      <c r="AD48" s="109"/>
      <c r="AE48" s="109"/>
      <c r="AF48" s="109"/>
      <c r="AG48" s="109"/>
      <c r="AH48" s="109"/>
      <c r="AI48" s="109"/>
      <c r="AJ48" s="109"/>
      <c r="AK48" s="109"/>
      <c r="AL48" s="109"/>
      <c r="AM48" s="109"/>
      <c r="AN48" s="109"/>
      <c r="AO48" s="110"/>
      <c r="AP48" s="110"/>
      <c r="AQ48" s="110"/>
      <c r="AR48" s="111">
        <f t="shared" si="4"/>
        <v>241</v>
      </c>
      <c r="AS48" s="112">
        <f t="shared" si="9"/>
        <v>-59</v>
      </c>
      <c r="AT48" s="113">
        <f t="shared" si="7"/>
        <v>0</v>
      </c>
      <c r="AU48" s="114"/>
      <c r="AV48" s="115">
        <f t="shared" si="6"/>
        <v>135</v>
      </c>
      <c r="AW48" s="115"/>
      <c r="AX48" s="92"/>
      <c r="AY48" s="92"/>
      <c r="AZ48" s="92"/>
      <c r="BA48" s="92"/>
      <c r="BB48" s="92"/>
      <c r="BC48" s="92"/>
      <c r="BD48" s="92"/>
      <c r="BE48" s="92"/>
      <c r="BF48" s="92"/>
      <c r="BG48" s="92"/>
    </row>
    <row r="49" spans="1:59" ht="22.5" customHeight="1" x14ac:dyDescent="0.35">
      <c r="A49" s="104">
        <f t="shared" si="8"/>
        <v>46</v>
      </c>
      <c r="B49" s="105" t="s">
        <v>176</v>
      </c>
      <c r="C49" s="105" t="s">
        <v>100</v>
      </c>
      <c r="D49" s="105" t="s">
        <v>97</v>
      </c>
      <c r="E49" s="105" t="s">
        <v>98</v>
      </c>
      <c r="F49" s="105" t="s">
        <v>91</v>
      </c>
      <c r="G49" s="106">
        <v>44529</v>
      </c>
      <c r="H49" s="107">
        <v>184</v>
      </c>
      <c r="I49" s="108">
        <v>67.75</v>
      </c>
      <c r="J49" s="109">
        <v>1</v>
      </c>
      <c r="K49" s="108">
        <v>216</v>
      </c>
      <c r="L49" s="108">
        <v>43</v>
      </c>
      <c r="M49" s="109">
        <v>1</v>
      </c>
      <c r="N49" s="108">
        <f>VLOOKUP(B49,'[4]BCC Tổng 03.2026'!C$37:BG$1383,57,0)</f>
        <v>192</v>
      </c>
      <c r="O49" s="108">
        <f>VLOOKUP(B49,'[4]BCC Tổng 03.2026'!C$37:CZ$1048576,102,0)</f>
        <v>124</v>
      </c>
      <c r="P49" s="109">
        <f t="shared" si="3"/>
        <v>1</v>
      </c>
      <c r="Q49" s="109"/>
      <c r="R49" s="108">
        <f>+IFERROR(VLOOKUP(B49,'[5]Tháng 04.2026'!E:DY,125,0),"")</f>
        <v>0</v>
      </c>
      <c r="S49" s="109"/>
      <c r="T49" s="109"/>
      <c r="U49" s="109"/>
      <c r="V49" s="109"/>
      <c r="W49" s="109"/>
      <c r="X49" s="109"/>
      <c r="Y49" s="109"/>
      <c r="Z49" s="109"/>
      <c r="AA49" s="109"/>
      <c r="AB49" s="109"/>
      <c r="AC49" s="109"/>
      <c r="AD49" s="109"/>
      <c r="AE49" s="109"/>
      <c r="AF49" s="109"/>
      <c r="AG49" s="109"/>
      <c r="AH49" s="109"/>
      <c r="AI49" s="109"/>
      <c r="AJ49" s="109"/>
      <c r="AK49" s="109"/>
      <c r="AL49" s="109"/>
      <c r="AM49" s="109"/>
      <c r="AN49" s="110"/>
      <c r="AO49" s="110"/>
      <c r="AP49" s="110"/>
      <c r="AQ49" s="110"/>
      <c r="AR49" s="111">
        <f t="shared" si="4"/>
        <v>234.75</v>
      </c>
      <c r="AS49" s="112">
        <f t="shared" si="9"/>
        <v>-65.25</v>
      </c>
      <c r="AT49" s="113">
        <f t="shared" si="7"/>
        <v>0</v>
      </c>
      <c r="AU49" s="114"/>
      <c r="AV49" s="115">
        <f t="shared" si="6"/>
        <v>110.75</v>
      </c>
      <c r="AW49" s="115"/>
      <c r="AX49" s="92"/>
      <c r="AY49" s="92"/>
      <c r="AZ49" s="92"/>
      <c r="BA49" s="92"/>
      <c r="BB49" s="92"/>
      <c r="BC49" s="92"/>
      <c r="BD49" s="92"/>
      <c r="BE49" s="92"/>
      <c r="BF49" s="92"/>
      <c r="BG49" s="92"/>
    </row>
    <row r="50" spans="1:59" ht="22.5" customHeight="1" x14ac:dyDescent="0.35">
      <c r="A50" s="104">
        <f t="shared" si="8"/>
        <v>47</v>
      </c>
      <c r="B50" s="105" t="s">
        <v>177</v>
      </c>
      <c r="C50" s="105" t="s">
        <v>178</v>
      </c>
      <c r="D50" s="105" t="s">
        <v>97</v>
      </c>
      <c r="E50" s="105" t="s">
        <v>98</v>
      </c>
      <c r="F50" s="105" t="s">
        <v>91</v>
      </c>
      <c r="G50" s="106">
        <v>44529</v>
      </c>
      <c r="H50" s="107">
        <v>208</v>
      </c>
      <c r="I50" s="108">
        <v>19</v>
      </c>
      <c r="J50" s="109">
        <v>0</v>
      </c>
      <c r="K50" s="108">
        <v>216</v>
      </c>
      <c r="L50" s="108">
        <v>0</v>
      </c>
      <c r="M50" s="109">
        <v>0</v>
      </c>
      <c r="N50" s="108">
        <f>VLOOKUP(B50,'[4]BCC Tổng 03.2026'!C$37:BG$1383,57,0)</f>
        <v>192</v>
      </c>
      <c r="O50" s="108">
        <f>VLOOKUP(B50,'[4]BCC Tổng 03.2026'!C$37:CZ$1048576,102,0)</f>
        <v>78</v>
      </c>
      <c r="P50" s="109">
        <f t="shared" si="3"/>
        <v>1</v>
      </c>
      <c r="Q50" s="109"/>
      <c r="R50" s="108">
        <f>+IFERROR(VLOOKUP(B50,'[5]Tháng 04.2026'!E:DY,125,0),"")</f>
        <v>0</v>
      </c>
      <c r="S50" s="109"/>
      <c r="T50" s="109"/>
      <c r="U50" s="109"/>
      <c r="V50" s="109"/>
      <c r="W50" s="109"/>
      <c r="X50" s="109"/>
      <c r="Y50" s="109"/>
      <c r="Z50" s="109"/>
      <c r="AA50" s="109"/>
      <c r="AB50" s="109"/>
      <c r="AC50" s="109"/>
      <c r="AD50" s="109"/>
      <c r="AE50" s="109"/>
      <c r="AF50" s="109"/>
      <c r="AG50" s="109"/>
      <c r="AH50" s="109"/>
      <c r="AI50" s="109"/>
      <c r="AJ50" s="109"/>
      <c r="AK50" s="109"/>
      <c r="AL50" s="109"/>
      <c r="AM50" s="109"/>
      <c r="AN50" s="110"/>
      <c r="AO50" s="110"/>
      <c r="AP50" s="110"/>
      <c r="AQ50" s="110"/>
      <c r="AR50" s="111">
        <f t="shared" si="4"/>
        <v>97</v>
      </c>
      <c r="AS50" s="112">
        <f t="shared" si="9"/>
        <v>-203</v>
      </c>
      <c r="AT50" s="113">
        <f t="shared" si="7"/>
        <v>0</v>
      </c>
      <c r="AU50" s="114"/>
      <c r="AV50" s="115">
        <f t="shared" si="6"/>
        <v>19</v>
      </c>
      <c r="AW50" s="115"/>
      <c r="AX50" s="92"/>
      <c r="AY50" s="92"/>
      <c r="AZ50" s="92"/>
      <c r="BA50" s="92"/>
      <c r="BB50" s="92"/>
      <c r="BC50" s="92"/>
      <c r="BD50" s="92"/>
      <c r="BE50" s="92"/>
      <c r="BF50" s="92"/>
      <c r="BG50" s="92"/>
    </row>
    <row r="51" spans="1:59" ht="22.5" customHeight="1" x14ac:dyDescent="0.35">
      <c r="A51" s="104">
        <f t="shared" si="8"/>
        <v>48</v>
      </c>
      <c r="B51" s="105" t="s">
        <v>179</v>
      </c>
      <c r="C51" s="105" t="s">
        <v>180</v>
      </c>
      <c r="D51" s="105" t="s">
        <v>97</v>
      </c>
      <c r="E51" s="105" t="s">
        <v>112</v>
      </c>
      <c r="F51" s="105" t="s">
        <v>99</v>
      </c>
      <c r="G51" s="106">
        <v>44603</v>
      </c>
      <c r="H51" s="107">
        <v>208</v>
      </c>
      <c r="I51" s="108">
        <v>94</v>
      </c>
      <c r="J51" s="109">
        <v>1</v>
      </c>
      <c r="K51" s="108">
        <v>216</v>
      </c>
      <c r="L51" s="108">
        <v>64</v>
      </c>
      <c r="M51" s="109">
        <v>1</v>
      </c>
      <c r="N51" s="108">
        <f>VLOOKUP(B51,'[4]BCC Tổng 03.2026'!C$37:BG$1383,57,0)</f>
        <v>192</v>
      </c>
      <c r="O51" s="108">
        <f>VLOOKUP(B51,'[4]BCC Tổng 03.2026'!C$37:CZ$1048576,102,0)</f>
        <v>113</v>
      </c>
      <c r="P51" s="109">
        <f t="shared" si="3"/>
        <v>1</v>
      </c>
      <c r="Q51" s="109"/>
      <c r="R51" s="108">
        <f>+IFERROR(VLOOKUP(B51,'[5]Tháng 04.2026'!E:DY,125,0),"")</f>
        <v>0</v>
      </c>
      <c r="S51" s="109"/>
      <c r="T51" s="109"/>
      <c r="U51" s="109"/>
      <c r="V51" s="109"/>
      <c r="W51" s="109"/>
      <c r="X51" s="109"/>
      <c r="Y51" s="109"/>
      <c r="Z51" s="109"/>
      <c r="AA51" s="109"/>
      <c r="AB51" s="109"/>
      <c r="AC51" s="109"/>
      <c r="AD51" s="109"/>
      <c r="AE51" s="109"/>
      <c r="AF51" s="109"/>
      <c r="AG51" s="109"/>
      <c r="AH51" s="109"/>
      <c r="AI51" s="109"/>
      <c r="AJ51" s="109"/>
      <c r="AK51" s="109"/>
      <c r="AL51" s="109"/>
      <c r="AM51" s="109"/>
      <c r="AN51" s="110"/>
      <c r="AO51" s="110"/>
      <c r="AP51" s="110"/>
      <c r="AQ51" s="110"/>
      <c r="AR51" s="111">
        <f t="shared" si="4"/>
        <v>271</v>
      </c>
      <c r="AS51" s="112">
        <f t="shared" si="9"/>
        <v>-29</v>
      </c>
      <c r="AT51" s="113">
        <f t="shared" si="7"/>
        <v>0</v>
      </c>
      <c r="AU51" s="114"/>
      <c r="AV51" s="115">
        <f t="shared" si="6"/>
        <v>158</v>
      </c>
      <c r="AW51" s="115"/>
      <c r="AX51" s="92"/>
      <c r="AY51" s="92"/>
      <c r="AZ51" s="92"/>
      <c r="BA51" s="92"/>
      <c r="BB51" s="92"/>
      <c r="BC51" s="92"/>
      <c r="BD51" s="92"/>
      <c r="BE51" s="92"/>
      <c r="BF51" s="92"/>
      <c r="BG51" s="92"/>
    </row>
    <row r="52" spans="1:59" ht="22.5" customHeight="1" x14ac:dyDescent="0.35">
      <c r="A52" s="104">
        <f t="shared" si="8"/>
        <v>49</v>
      </c>
      <c r="B52" s="105" t="s">
        <v>181</v>
      </c>
      <c r="C52" s="105" t="s">
        <v>182</v>
      </c>
      <c r="D52" s="105" t="s">
        <v>97</v>
      </c>
      <c r="E52" s="105" t="s">
        <v>112</v>
      </c>
      <c r="F52" s="105" t="s">
        <v>99</v>
      </c>
      <c r="G52" s="106">
        <v>44610</v>
      </c>
      <c r="H52" s="107">
        <v>208</v>
      </c>
      <c r="I52" s="108">
        <v>87</v>
      </c>
      <c r="J52" s="109">
        <v>1</v>
      </c>
      <c r="K52" s="108">
        <v>212</v>
      </c>
      <c r="L52" s="108">
        <v>58</v>
      </c>
      <c r="M52" s="109">
        <v>1</v>
      </c>
      <c r="N52" s="108">
        <f>VLOOKUP(B52,'[4]BCC Tổng 03.2026'!C$37:BG$1383,57,0)</f>
        <v>192</v>
      </c>
      <c r="O52" s="108">
        <f>VLOOKUP(B52,'[4]BCC Tổng 03.2026'!C$37:CZ$1048576,102,0)</f>
        <v>136</v>
      </c>
      <c r="P52" s="109">
        <f t="shared" si="3"/>
        <v>1</v>
      </c>
      <c r="Q52" s="109"/>
      <c r="R52" s="108">
        <f>+IFERROR(VLOOKUP(B52,'[5]Tháng 04.2026'!E:DY,125,0),"")</f>
        <v>0</v>
      </c>
      <c r="S52" s="109"/>
      <c r="T52" s="109"/>
      <c r="U52" s="109"/>
      <c r="V52" s="109"/>
      <c r="W52" s="109"/>
      <c r="X52" s="109"/>
      <c r="Y52" s="109"/>
      <c r="Z52" s="109"/>
      <c r="AA52" s="109"/>
      <c r="AB52" s="109"/>
      <c r="AC52" s="109"/>
      <c r="AD52" s="109"/>
      <c r="AE52" s="109"/>
      <c r="AF52" s="109"/>
      <c r="AG52" s="109"/>
      <c r="AH52" s="109"/>
      <c r="AI52" s="109"/>
      <c r="AJ52" s="109"/>
      <c r="AK52" s="109"/>
      <c r="AL52" s="109"/>
      <c r="AM52" s="109"/>
      <c r="AN52" s="110"/>
      <c r="AO52" s="110"/>
      <c r="AP52" s="110"/>
      <c r="AQ52" s="110"/>
      <c r="AR52" s="111">
        <f t="shared" si="4"/>
        <v>281</v>
      </c>
      <c r="AS52" s="112">
        <f t="shared" si="9"/>
        <v>-19</v>
      </c>
      <c r="AT52" s="113">
        <f t="shared" si="7"/>
        <v>0</v>
      </c>
      <c r="AU52" s="114"/>
      <c r="AV52" s="115">
        <f t="shared" si="6"/>
        <v>145</v>
      </c>
      <c r="AW52" s="115"/>
      <c r="AX52" s="92"/>
      <c r="AY52" s="92"/>
      <c r="AZ52" s="92"/>
      <c r="BA52" s="92"/>
      <c r="BB52" s="92"/>
      <c r="BC52" s="92"/>
      <c r="BD52" s="92"/>
      <c r="BE52" s="92"/>
      <c r="BF52" s="92"/>
      <c r="BG52" s="92"/>
    </row>
    <row r="53" spans="1:59" ht="22.5" customHeight="1" x14ac:dyDescent="0.35">
      <c r="A53" s="104">
        <f t="shared" si="8"/>
        <v>50</v>
      </c>
      <c r="B53" s="105" t="s">
        <v>183</v>
      </c>
      <c r="C53" s="105" t="s">
        <v>184</v>
      </c>
      <c r="D53" s="105" t="s">
        <v>97</v>
      </c>
      <c r="E53" s="105" t="s">
        <v>98</v>
      </c>
      <c r="F53" s="105" t="s">
        <v>99</v>
      </c>
      <c r="G53" s="106">
        <v>44630</v>
      </c>
      <c r="H53" s="107">
        <v>208</v>
      </c>
      <c r="I53" s="108">
        <v>82</v>
      </c>
      <c r="J53" s="109">
        <v>1</v>
      </c>
      <c r="K53" s="108">
        <v>216</v>
      </c>
      <c r="L53" s="108">
        <v>39</v>
      </c>
      <c r="M53" s="109">
        <v>0</v>
      </c>
      <c r="N53" s="108">
        <f>VLOOKUP(B53,'[4]BCC Tổng 03.2026'!C$37:BG$1383,57,0)</f>
        <v>184</v>
      </c>
      <c r="O53" s="108">
        <f>VLOOKUP(B53,'[4]BCC Tổng 03.2026'!C$37:CZ$1048576,102,0)</f>
        <v>118</v>
      </c>
      <c r="P53" s="109">
        <f t="shared" si="3"/>
        <v>1</v>
      </c>
      <c r="Q53" s="109"/>
      <c r="R53" s="108">
        <f>+IFERROR(VLOOKUP(B53,'[5]Tháng 04.2026'!E:DY,125,0),"")</f>
        <v>0</v>
      </c>
      <c r="S53" s="109"/>
      <c r="T53" s="109"/>
      <c r="U53" s="109"/>
      <c r="V53" s="109"/>
      <c r="W53" s="109"/>
      <c r="X53" s="109"/>
      <c r="Y53" s="109"/>
      <c r="Z53" s="109"/>
      <c r="AA53" s="109"/>
      <c r="AB53" s="109"/>
      <c r="AC53" s="109"/>
      <c r="AD53" s="109"/>
      <c r="AE53" s="109"/>
      <c r="AF53" s="109"/>
      <c r="AG53" s="109"/>
      <c r="AH53" s="109"/>
      <c r="AI53" s="109"/>
      <c r="AJ53" s="109"/>
      <c r="AK53" s="109"/>
      <c r="AL53" s="109"/>
      <c r="AM53" s="109"/>
      <c r="AN53" s="110"/>
      <c r="AO53" s="110"/>
      <c r="AP53" s="110"/>
      <c r="AQ53" s="110"/>
      <c r="AR53" s="111">
        <f t="shared" si="4"/>
        <v>239</v>
      </c>
      <c r="AS53" s="112">
        <f t="shared" si="9"/>
        <v>-61</v>
      </c>
      <c r="AT53" s="113">
        <f t="shared" si="7"/>
        <v>0</v>
      </c>
      <c r="AU53" s="114"/>
      <c r="AV53" s="115">
        <f t="shared" si="6"/>
        <v>121</v>
      </c>
      <c r="AW53" s="115"/>
      <c r="AX53" s="92"/>
      <c r="AY53" s="92"/>
      <c r="AZ53" s="92"/>
      <c r="BA53" s="92"/>
      <c r="BB53" s="92"/>
      <c r="BC53" s="92"/>
      <c r="BD53" s="92"/>
      <c r="BE53" s="92"/>
      <c r="BF53" s="92"/>
      <c r="BG53" s="92"/>
    </row>
    <row r="54" spans="1:59" ht="22.5" customHeight="1" x14ac:dyDescent="0.35">
      <c r="A54" s="104">
        <f t="shared" si="8"/>
        <v>51</v>
      </c>
      <c r="B54" s="105" t="s">
        <v>294</v>
      </c>
      <c r="C54" s="105" t="s">
        <v>295</v>
      </c>
      <c r="D54" s="105" t="s">
        <v>97</v>
      </c>
      <c r="E54" s="105" t="s">
        <v>112</v>
      </c>
      <c r="F54" s="105" t="s">
        <v>93</v>
      </c>
      <c r="G54" s="106">
        <v>44630</v>
      </c>
      <c r="H54" s="107">
        <v>180</v>
      </c>
      <c r="I54" s="108">
        <v>68</v>
      </c>
      <c r="J54" s="109">
        <v>1</v>
      </c>
      <c r="K54" s="108">
        <v>216</v>
      </c>
      <c r="L54" s="108">
        <v>54</v>
      </c>
      <c r="M54" s="109">
        <v>1</v>
      </c>
      <c r="N54" s="108">
        <f>VLOOKUP(B54,'[4]BCC Tổng 03.2026'!C$37:BG$1383,57,0)</f>
        <v>188</v>
      </c>
      <c r="O54" s="108">
        <f>VLOOKUP(B54,'[4]BCC Tổng 03.2026'!C$37:CZ$1048576,102,0)</f>
        <v>120</v>
      </c>
      <c r="P54" s="109">
        <f t="shared" si="3"/>
        <v>1</v>
      </c>
      <c r="Q54" s="109"/>
      <c r="R54" s="108">
        <f>+IFERROR(VLOOKUP(B54,'[5]Tháng 04.2026'!E:DY,125,0),"")</f>
        <v>0</v>
      </c>
      <c r="S54" s="109"/>
      <c r="T54" s="109"/>
      <c r="U54" s="109"/>
      <c r="V54" s="109"/>
      <c r="W54" s="109"/>
      <c r="X54" s="109"/>
      <c r="Y54" s="109"/>
      <c r="Z54" s="109"/>
      <c r="AA54" s="109"/>
      <c r="AB54" s="109"/>
      <c r="AC54" s="109"/>
      <c r="AD54" s="109"/>
      <c r="AE54" s="109"/>
      <c r="AF54" s="109"/>
      <c r="AG54" s="109"/>
      <c r="AH54" s="109"/>
      <c r="AI54" s="109"/>
      <c r="AJ54" s="109"/>
      <c r="AK54" s="109"/>
      <c r="AL54" s="109"/>
      <c r="AM54" s="109"/>
      <c r="AN54" s="110"/>
      <c r="AO54" s="110"/>
      <c r="AP54" s="110"/>
      <c r="AQ54" s="110"/>
      <c r="AR54" s="111">
        <f t="shared" si="4"/>
        <v>242</v>
      </c>
      <c r="AS54" s="112">
        <f t="shared" si="9"/>
        <v>-58</v>
      </c>
      <c r="AT54" s="113">
        <f t="shared" si="7"/>
        <v>0</v>
      </c>
      <c r="AU54" s="114"/>
      <c r="AV54" s="115">
        <f t="shared" si="6"/>
        <v>122</v>
      </c>
      <c r="AW54" s="115"/>
      <c r="AX54" s="92"/>
      <c r="AY54" s="92"/>
      <c r="AZ54" s="92"/>
      <c r="BA54" s="92"/>
      <c r="BB54" s="92"/>
      <c r="BC54" s="92"/>
      <c r="BD54" s="92"/>
      <c r="BE54" s="92"/>
      <c r="BF54" s="92"/>
      <c r="BG54" s="92"/>
    </row>
    <row r="55" spans="1:59" ht="22.5" customHeight="1" x14ac:dyDescent="0.35">
      <c r="A55" s="104">
        <f t="shared" si="8"/>
        <v>52</v>
      </c>
      <c r="B55" s="105" t="s">
        <v>185</v>
      </c>
      <c r="C55" s="105" t="s">
        <v>186</v>
      </c>
      <c r="D55" s="105" t="s">
        <v>97</v>
      </c>
      <c r="E55" s="105" t="s">
        <v>98</v>
      </c>
      <c r="F55" s="105" t="s">
        <v>99</v>
      </c>
      <c r="G55" s="106">
        <v>44634</v>
      </c>
      <c r="H55" s="107">
        <v>208</v>
      </c>
      <c r="I55" s="108">
        <v>80</v>
      </c>
      <c r="J55" s="109">
        <v>1</v>
      </c>
      <c r="K55" s="108">
        <v>216</v>
      </c>
      <c r="L55" s="108">
        <v>52</v>
      </c>
      <c r="M55" s="109">
        <v>1</v>
      </c>
      <c r="N55" s="108">
        <f>VLOOKUP(B55,'[4]BCC Tổng 03.2026'!C$37:BG$1383,57,0)</f>
        <v>192</v>
      </c>
      <c r="O55" s="108">
        <f>VLOOKUP(B55,'[4]BCC Tổng 03.2026'!C$37:CZ$1048576,102,0)</f>
        <v>131</v>
      </c>
      <c r="P55" s="109">
        <f t="shared" si="3"/>
        <v>1</v>
      </c>
      <c r="Q55" s="109"/>
      <c r="R55" s="108">
        <f>+IFERROR(VLOOKUP(B55,'[5]Tháng 04.2026'!E:DY,125,0),"")</f>
        <v>0</v>
      </c>
      <c r="S55" s="109"/>
      <c r="T55" s="109"/>
      <c r="U55" s="109"/>
      <c r="V55" s="109"/>
      <c r="W55" s="109"/>
      <c r="X55" s="109"/>
      <c r="Y55" s="109"/>
      <c r="Z55" s="109"/>
      <c r="AA55" s="109"/>
      <c r="AB55" s="109"/>
      <c r="AC55" s="109"/>
      <c r="AD55" s="109"/>
      <c r="AE55" s="109"/>
      <c r="AF55" s="109"/>
      <c r="AG55" s="109"/>
      <c r="AH55" s="109"/>
      <c r="AI55" s="109"/>
      <c r="AJ55" s="109"/>
      <c r="AK55" s="109"/>
      <c r="AL55" s="109"/>
      <c r="AM55" s="109"/>
      <c r="AN55" s="110"/>
      <c r="AO55" s="110"/>
      <c r="AP55" s="110"/>
      <c r="AQ55" s="110"/>
      <c r="AR55" s="111">
        <f t="shared" si="4"/>
        <v>263</v>
      </c>
      <c r="AS55" s="112">
        <f t="shared" si="9"/>
        <v>-37</v>
      </c>
      <c r="AT55" s="113">
        <f t="shared" si="7"/>
        <v>0</v>
      </c>
      <c r="AU55" s="114"/>
      <c r="AV55" s="115">
        <f t="shared" si="6"/>
        <v>132</v>
      </c>
      <c r="AW55" s="115"/>
      <c r="AX55" s="92"/>
      <c r="AY55" s="92"/>
      <c r="AZ55" s="92"/>
      <c r="BA55" s="92"/>
      <c r="BB55" s="92"/>
      <c r="BC55" s="92"/>
      <c r="BD55" s="92"/>
      <c r="BE55" s="92"/>
      <c r="BF55" s="92"/>
      <c r="BG55" s="92"/>
    </row>
    <row r="56" spans="1:59" ht="22.5" customHeight="1" x14ac:dyDescent="0.35">
      <c r="A56" s="104">
        <f t="shared" si="8"/>
        <v>53</v>
      </c>
      <c r="B56" s="105" t="s">
        <v>187</v>
      </c>
      <c r="C56" s="105" t="s">
        <v>188</v>
      </c>
      <c r="D56" s="105" t="s">
        <v>97</v>
      </c>
      <c r="E56" s="105" t="s">
        <v>112</v>
      </c>
      <c r="F56" s="105" t="s">
        <v>93</v>
      </c>
      <c r="G56" s="106">
        <v>44634</v>
      </c>
      <c r="H56" s="107">
        <v>208</v>
      </c>
      <c r="I56" s="108">
        <v>74</v>
      </c>
      <c r="J56" s="109">
        <v>1</v>
      </c>
      <c r="K56" s="108">
        <v>216</v>
      </c>
      <c r="L56" s="108">
        <v>60</v>
      </c>
      <c r="M56" s="109">
        <v>1</v>
      </c>
      <c r="N56" s="108">
        <f>VLOOKUP(B56,'[4]BCC Tổng 03.2026'!C$37:BG$1383,57,0)</f>
        <v>192</v>
      </c>
      <c r="O56" s="108">
        <f>VLOOKUP(B56,'[4]BCC Tổng 03.2026'!C$37:CZ$1048576,102,0)</f>
        <v>122</v>
      </c>
      <c r="P56" s="109">
        <f t="shared" si="3"/>
        <v>1</v>
      </c>
      <c r="Q56" s="109"/>
      <c r="R56" s="108">
        <f>+IFERROR(VLOOKUP(B56,'[5]Tháng 04.2026'!E:DY,125,0),"")</f>
        <v>0</v>
      </c>
      <c r="S56" s="109"/>
      <c r="T56" s="109"/>
      <c r="U56" s="109"/>
      <c r="V56" s="109"/>
      <c r="W56" s="109"/>
      <c r="X56" s="109"/>
      <c r="Y56" s="109"/>
      <c r="Z56" s="109"/>
      <c r="AA56" s="109"/>
      <c r="AB56" s="109"/>
      <c r="AC56" s="109"/>
      <c r="AD56" s="109"/>
      <c r="AE56" s="109"/>
      <c r="AF56" s="109"/>
      <c r="AG56" s="109"/>
      <c r="AH56" s="109"/>
      <c r="AI56" s="109"/>
      <c r="AJ56" s="109"/>
      <c r="AK56" s="109"/>
      <c r="AL56" s="109"/>
      <c r="AM56" s="109"/>
      <c r="AN56" s="110"/>
      <c r="AO56" s="110"/>
      <c r="AP56" s="110"/>
      <c r="AQ56" s="110"/>
      <c r="AR56" s="111">
        <f t="shared" si="4"/>
        <v>256</v>
      </c>
      <c r="AS56" s="112">
        <f t="shared" si="9"/>
        <v>-44</v>
      </c>
      <c r="AT56" s="113">
        <f t="shared" si="7"/>
        <v>0</v>
      </c>
      <c r="AU56" s="114"/>
      <c r="AV56" s="115">
        <f t="shared" si="6"/>
        <v>134</v>
      </c>
      <c r="AW56" s="115"/>
      <c r="AX56" s="92"/>
      <c r="AY56" s="92"/>
      <c r="AZ56" s="92"/>
      <c r="BA56" s="92"/>
      <c r="BB56" s="92"/>
      <c r="BC56" s="92"/>
      <c r="BD56" s="92"/>
      <c r="BE56" s="92"/>
      <c r="BF56" s="92"/>
      <c r="BG56" s="92"/>
    </row>
    <row r="57" spans="1:59" ht="22.5" customHeight="1" x14ac:dyDescent="0.35">
      <c r="A57" s="104">
        <f t="shared" si="8"/>
        <v>54</v>
      </c>
      <c r="B57" s="105" t="s">
        <v>428</v>
      </c>
      <c r="C57" s="105" t="s">
        <v>429</v>
      </c>
      <c r="D57" s="105" t="s">
        <v>97</v>
      </c>
      <c r="E57" s="105" t="s">
        <v>98</v>
      </c>
      <c r="F57" s="105" t="s">
        <v>91</v>
      </c>
      <c r="G57" s="106">
        <v>44648</v>
      </c>
      <c r="H57" s="107">
        <v>208</v>
      </c>
      <c r="I57" s="108">
        <v>0</v>
      </c>
      <c r="J57" s="109">
        <v>0</v>
      </c>
      <c r="K57" s="108">
        <v>212</v>
      </c>
      <c r="L57" s="108">
        <v>0</v>
      </c>
      <c r="M57" s="109">
        <v>0</v>
      </c>
      <c r="N57" s="108">
        <f>VLOOKUP(B57,'[4]BCC Tổng 03.2026'!C$37:BG$1383,57,0)</f>
        <v>0</v>
      </c>
      <c r="O57" s="108">
        <f>VLOOKUP(B57,'[4]BCC Tổng 03.2026'!C$37:CZ$1048576,102,0)</f>
        <v>0</v>
      </c>
      <c r="P57" s="109">
        <f t="shared" si="3"/>
        <v>0</v>
      </c>
      <c r="Q57" s="109"/>
      <c r="R57" s="108" t="str">
        <f>+IFERROR(VLOOKUP(B57,'[5]Tháng 04.2026'!E:DY,125,0),"")</f>
        <v/>
      </c>
      <c r="S57" s="109"/>
      <c r="T57" s="109"/>
      <c r="U57" s="109"/>
      <c r="V57" s="109"/>
      <c r="W57" s="109"/>
      <c r="X57" s="109"/>
      <c r="Y57" s="109"/>
      <c r="Z57" s="109"/>
      <c r="AA57" s="109"/>
      <c r="AB57" s="109"/>
      <c r="AC57" s="109"/>
      <c r="AD57" s="109"/>
      <c r="AE57" s="109"/>
      <c r="AF57" s="109"/>
      <c r="AG57" s="109"/>
      <c r="AH57" s="109"/>
      <c r="AI57" s="109"/>
      <c r="AJ57" s="109"/>
      <c r="AK57" s="109"/>
      <c r="AL57" s="109"/>
      <c r="AM57" s="109"/>
      <c r="AN57" s="110"/>
      <c r="AO57" s="110"/>
      <c r="AP57" s="110"/>
      <c r="AQ57" s="110"/>
      <c r="AR57" s="111">
        <f t="shared" si="4"/>
        <v>0</v>
      </c>
      <c r="AS57" s="112">
        <f t="shared" si="9"/>
        <v>-300</v>
      </c>
      <c r="AT57" s="113">
        <f t="shared" si="7"/>
        <v>0</v>
      </c>
      <c r="AU57" s="114"/>
      <c r="AV57" s="115">
        <f t="shared" si="6"/>
        <v>0</v>
      </c>
      <c r="AW57" s="115"/>
      <c r="AX57" s="92"/>
      <c r="AY57" s="92"/>
      <c r="AZ57" s="92"/>
      <c r="BA57" s="92"/>
      <c r="BB57" s="92"/>
      <c r="BC57" s="92"/>
      <c r="BD57" s="92"/>
      <c r="BE57" s="92"/>
      <c r="BF57" s="92"/>
      <c r="BG57" s="92"/>
    </row>
    <row r="58" spans="1:59" ht="22.5" customHeight="1" x14ac:dyDescent="0.35">
      <c r="A58" s="104">
        <f t="shared" si="8"/>
        <v>55</v>
      </c>
      <c r="B58" s="105" t="s">
        <v>189</v>
      </c>
      <c r="C58" s="105" t="s">
        <v>190</v>
      </c>
      <c r="D58" s="105" t="s">
        <v>97</v>
      </c>
      <c r="E58" s="105" t="s">
        <v>98</v>
      </c>
      <c r="F58" s="105" t="s">
        <v>91</v>
      </c>
      <c r="G58" s="106">
        <v>44704</v>
      </c>
      <c r="H58" s="107">
        <v>208</v>
      </c>
      <c r="I58" s="108">
        <v>80</v>
      </c>
      <c r="J58" s="109">
        <v>1</v>
      </c>
      <c r="K58" s="108">
        <v>216</v>
      </c>
      <c r="L58" s="108">
        <v>54</v>
      </c>
      <c r="M58" s="109">
        <v>1</v>
      </c>
      <c r="N58" s="108">
        <f>VLOOKUP(B58,'[4]BCC Tổng 03.2026'!C$37:BG$1383,57,0)</f>
        <v>192</v>
      </c>
      <c r="O58" s="108">
        <f>VLOOKUP(B58,'[4]BCC Tổng 03.2026'!C$37:CZ$1048576,102,0)</f>
        <v>116</v>
      </c>
      <c r="P58" s="109">
        <f t="shared" si="3"/>
        <v>1</v>
      </c>
      <c r="Q58" s="109"/>
      <c r="R58" s="108">
        <f>+IFERROR(VLOOKUP(B58,'[5]Tháng 04.2026'!E:DY,125,0),"")</f>
        <v>0</v>
      </c>
      <c r="S58" s="109"/>
      <c r="T58" s="109"/>
      <c r="U58" s="109"/>
      <c r="V58" s="109"/>
      <c r="W58" s="109"/>
      <c r="X58" s="109"/>
      <c r="Y58" s="109"/>
      <c r="Z58" s="109"/>
      <c r="AA58" s="109"/>
      <c r="AB58" s="109"/>
      <c r="AC58" s="109"/>
      <c r="AD58" s="109"/>
      <c r="AE58" s="109"/>
      <c r="AF58" s="109"/>
      <c r="AG58" s="109"/>
      <c r="AH58" s="109"/>
      <c r="AI58" s="109"/>
      <c r="AJ58" s="109"/>
      <c r="AK58" s="109"/>
      <c r="AL58" s="109"/>
      <c r="AM58" s="109"/>
      <c r="AN58" s="110"/>
      <c r="AO58" s="110"/>
      <c r="AP58" s="110"/>
      <c r="AQ58" s="110"/>
      <c r="AR58" s="111">
        <f t="shared" si="4"/>
        <v>250</v>
      </c>
      <c r="AS58" s="112">
        <f t="shared" si="9"/>
        <v>-50</v>
      </c>
      <c r="AT58" s="113">
        <f t="shared" si="7"/>
        <v>0</v>
      </c>
      <c r="AU58" s="114"/>
      <c r="AV58" s="115">
        <f t="shared" si="6"/>
        <v>134</v>
      </c>
      <c r="AW58" s="115"/>
      <c r="AX58" s="92"/>
      <c r="AY58" s="92"/>
      <c r="AZ58" s="92"/>
      <c r="BA58" s="92"/>
      <c r="BB58" s="92"/>
      <c r="BC58" s="92"/>
      <c r="BD58" s="92"/>
      <c r="BE58" s="92"/>
      <c r="BF58" s="92"/>
      <c r="BG58" s="92"/>
    </row>
    <row r="59" spans="1:59" ht="22.5" customHeight="1" x14ac:dyDescent="0.35">
      <c r="A59" s="104">
        <f t="shared" si="8"/>
        <v>56</v>
      </c>
      <c r="B59" s="105" t="s">
        <v>191</v>
      </c>
      <c r="C59" s="105" t="s">
        <v>192</v>
      </c>
      <c r="D59" s="105" t="s">
        <v>97</v>
      </c>
      <c r="E59" s="105" t="s">
        <v>98</v>
      </c>
      <c r="F59" s="105" t="s">
        <v>91</v>
      </c>
      <c r="G59" s="106">
        <v>44704</v>
      </c>
      <c r="H59" s="107">
        <v>208</v>
      </c>
      <c r="I59" s="108">
        <v>79</v>
      </c>
      <c r="J59" s="109">
        <v>1</v>
      </c>
      <c r="K59" s="108">
        <v>212</v>
      </c>
      <c r="L59" s="108">
        <v>44</v>
      </c>
      <c r="M59" s="109">
        <v>1</v>
      </c>
      <c r="N59" s="108">
        <f>VLOOKUP(B59,'[4]BCC Tổng 03.2026'!C$37:BG$1383,57,0)</f>
        <v>192</v>
      </c>
      <c r="O59" s="108">
        <f>VLOOKUP(B59,'[4]BCC Tổng 03.2026'!C$37:CZ$1048576,102,0)</f>
        <v>120</v>
      </c>
      <c r="P59" s="109">
        <f t="shared" si="3"/>
        <v>1</v>
      </c>
      <c r="Q59" s="109"/>
      <c r="R59" s="108">
        <f>+IFERROR(VLOOKUP(B59,'[5]Tháng 04.2026'!E:DY,125,0),"")</f>
        <v>0</v>
      </c>
      <c r="S59" s="109"/>
      <c r="T59" s="109"/>
      <c r="U59" s="109"/>
      <c r="V59" s="109"/>
      <c r="W59" s="109"/>
      <c r="X59" s="109"/>
      <c r="Y59" s="109"/>
      <c r="Z59" s="109"/>
      <c r="AA59" s="109"/>
      <c r="AB59" s="109"/>
      <c r="AC59" s="109"/>
      <c r="AD59" s="109"/>
      <c r="AE59" s="109"/>
      <c r="AF59" s="109"/>
      <c r="AG59" s="109"/>
      <c r="AH59" s="109"/>
      <c r="AI59" s="109"/>
      <c r="AJ59" s="109"/>
      <c r="AK59" s="109"/>
      <c r="AL59" s="109"/>
      <c r="AM59" s="109"/>
      <c r="AN59" s="110"/>
      <c r="AO59" s="110"/>
      <c r="AP59" s="110"/>
      <c r="AQ59" s="110"/>
      <c r="AR59" s="111">
        <f t="shared" si="4"/>
        <v>243</v>
      </c>
      <c r="AS59" s="112">
        <f t="shared" si="9"/>
        <v>-57</v>
      </c>
      <c r="AT59" s="113">
        <f t="shared" si="7"/>
        <v>0</v>
      </c>
      <c r="AU59" s="114"/>
      <c r="AV59" s="115">
        <f t="shared" si="6"/>
        <v>123</v>
      </c>
      <c r="AW59" s="115"/>
      <c r="AX59" s="92"/>
      <c r="AY59" s="92"/>
      <c r="AZ59" s="92"/>
      <c r="BA59" s="92"/>
      <c r="BB59" s="92"/>
      <c r="BC59" s="92"/>
      <c r="BD59" s="92"/>
      <c r="BE59" s="92"/>
      <c r="BF59" s="92"/>
      <c r="BG59" s="92"/>
    </row>
    <row r="60" spans="1:59" ht="22.5" customHeight="1" x14ac:dyDescent="0.35">
      <c r="A60" s="104">
        <f t="shared" si="8"/>
        <v>57</v>
      </c>
      <c r="B60" s="105" t="s">
        <v>193</v>
      </c>
      <c r="C60" s="105" t="s">
        <v>194</v>
      </c>
      <c r="D60" s="105" t="s">
        <v>97</v>
      </c>
      <c r="E60" s="105" t="s">
        <v>112</v>
      </c>
      <c r="F60" s="105" t="s">
        <v>93</v>
      </c>
      <c r="G60" s="106">
        <v>44707</v>
      </c>
      <c r="H60" s="107">
        <v>208</v>
      </c>
      <c r="I60" s="108">
        <v>88</v>
      </c>
      <c r="J60" s="109">
        <v>1</v>
      </c>
      <c r="K60" s="108">
        <v>216</v>
      </c>
      <c r="L60" s="108">
        <v>64</v>
      </c>
      <c r="M60" s="109">
        <v>1</v>
      </c>
      <c r="N60" s="108">
        <f>VLOOKUP(B60,'[4]BCC Tổng 03.2026'!C$37:BG$1383,57,0)</f>
        <v>192</v>
      </c>
      <c r="O60" s="108">
        <f>VLOOKUP(B60,'[4]BCC Tổng 03.2026'!C$37:CZ$1048576,102,0)</f>
        <v>128</v>
      </c>
      <c r="P60" s="109">
        <f t="shared" si="3"/>
        <v>1</v>
      </c>
      <c r="Q60" s="109"/>
      <c r="R60" s="108">
        <f>+IFERROR(VLOOKUP(B60,'[5]Tháng 04.2026'!E:DY,125,0),"")</f>
        <v>0</v>
      </c>
      <c r="S60" s="109"/>
      <c r="T60" s="109"/>
      <c r="U60" s="109"/>
      <c r="V60" s="109"/>
      <c r="W60" s="109"/>
      <c r="X60" s="109"/>
      <c r="Y60" s="109"/>
      <c r="Z60" s="109"/>
      <c r="AA60" s="109"/>
      <c r="AB60" s="109"/>
      <c r="AC60" s="109"/>
      <c r="AD60" s="109"/>
      <c r="AE60" s="109"/>
      <c r="AF60" s="109"/>
      <c r="AG60" s="109"/>
      <c r="AH60" s="109"/>
      <c r="AI60" s="109"/>
      <c r="AJ60" s="109"/>
      <c r="AK60" s="109"/>
      <c r="AL60" s="109"/>
      <c r="AM60" s="109"/>
      <c r="AN60" s="110"/>
      <c r="AO60" s="110"/>
      <c r="AP60" s="110"/>
      <c r="AQ60" s="110"/>
      <c r="AR60" s="111">
        <f t="shared" si="4"/>
        <v>280</v>
      </c>
      <c r="AS60" s="112">
        <f t="shared" si="9"/>
        <v>-20</v>
      </c>
      <c r="AT60" s="113">
        <f t="shared" si="7"/>
        <v>0</v>
      </c>
      <c r="AU60" s="114"/>
      <c r="AV60" s="115">
        <f t="shared" si="6"/>
        <v>152</v>
      </c>
      <c r="AW60" s="115"/>
      <c r="AX60" s="92"/>
      <c r="AY60" s="92"/>
      <c r="AZ60" s="92"/>
      <c r="BA60" s="92"/>
      <c r="BB60" s="92"/>
      <c r="BC60" s="92"/>
      <c r="BD60" s="92"/>
      <c r="BE60" s="92"/>
      <c r="BF60" s="92"/>
      <c r="BG60" s="92"/>
    </row>
    <row r="61" spans="1:59" ht="22.5" customHeight="1" x14ac:dyDescent="0.35">
      <c r="A61" s="104">
        <f t="shared" si="8"/>
        <v>58</v>
      </c>
      <c r="B61" s="105" t="s">
        <v>195</v>
      </c>
      <c r="C61" s="105" t="s">
        <v>196</v>
      </c>
      <c r="D61" s="105" t="s">
        <v>97</v>
      </c>
      <c r="E61" s="105" t="s">
        <v>112</v>
      </c>
      <c r="F61" s="105" t="s">
        <v>91</v>
      </c>
      <c r="G61" s="106">
        <v>44719</v>
      </c>
      <c r="H61" s="107">
        <v>184</v>
      </c>
      <c r="I61" s="108">
        <v>84</v>
      </c>
      <c r="J61" s="109">
        <v>1</v>
      </c>
      <c r="K61" s="108">
        <v>216</v>
      </c>
      <c r="L61" s="108">
        <v>68</v>
      </c>
      <c r="M61" s="109">
        <v>1</v>
      </c>
      <c r="N61" s="108">
        <f>VLOOKUP(B61,'[4]BCC Tổng 03.2026'!C$37:BG$1383,57,0)</f>
        <v>192</v>
      </c>
      <c r="O61" s="108">
        <f>VLOOKUP(B61,'[4]BCC Tổng 03.2026'!C$37:CZ$1048576,102,0)</f>
        <v>140</v>
      </c>
      <c r="P61" s="109">
        <f t="shared" si="3"/>
        <v>1</v>
      </c>
      <c r="Q61" s="109"/>
      <c r="R61" s="108">
        <f>+IFERROR(VLOOKUP(B61,'[5]Tháng 04.2026'!E:DY,125,0),"")</f>
        <v>0</v>
      </c>
      <c r="S61" s="109"/>
      <c r="T61" s="109"/>
      <c r="U61" s="109"/>
      <c r="V61" s="109"/>
      <c r="W61" s="109"/>
      <c r="X61" s="109"/>
      <c r="Y61" s="109"/>
      <c r="Z61" s="109"/>
      <c r="AA61" s="109"/>
      <c r="AB61" s="109"/>
      <c r="AC61" s="109"/>
      <c r="AD61" s="109"/>
      <c r="AE61" s="109"/>
      <c r="AF61" s="109"/>
      <c r="AG61" s="109"/>
      <c r="AH61" s="109"/>
      <c r="AI61" s="109"/>
      <c r="AJ61" s="109"/>
      <c r="AK61" s="109"/>
      <c r="AL61" s="109"/>
      <c r="AM61" s="109"/>
      <c r="AN61" s="110"/>
      <c r="AO61" s="110"/>
      <c r="AP61" s="110"/>
      <c r="AQ61" s="110"/>
      <c r="AR61" s="111">
        <f t="shared" si="4"/>
        <v>292</v>
      </c>
      <c r="AS61" s="112">
        <f t="shared" si="9"/>
        <v>-8</v>
      </c>
      <c r="AT61" s="113">
        <f t="shared" si="7"/>
        <v>0</v>
      </c>
      <c r="AU61" s="114"/>
      <c r="AV61" s="115">
        <f t="shared" si="6"/>
        <v>152</v>
      </c>
      <c r="AW61" s="115"/>
      <c r="AX61" s="92"/>
      <c r="AY61" s="92"/>
      <c r="AZ61" s="92"/>
      <c r="BA61" s="92"/>
      <c r="BB61" s="92"/>
      <c r="BC61" s="92"/>
      <c r="BD61" s="92"/>
      <c r="BE61" s="92"/>
      <c r="BF61" s="92"/>
      <c r="BG61" s="92"/>
    </row>
    <row r="62" spans="1:59" ht="22.5" customHeight="1" x14ac:dyDescent="0.35">
      <c r="A62" s="104">
        <f t="shared" si="8"/>
        <v>59</v>
      </c>
      <c r="B62" s="105" t="s">
        <v>296</v>
      </c>
      <c r="C62" s="105" t="s">
        <v>297</v>
      </c>
      <c r="D62" s="105" t="s">
        <v>97</v>
      </c>
      <c r="E62" s="105" t="s">
        <v>336</v>
      </c>
      <c r="F62" s="105" t="s">
        <v>341</v>
      </c>
      <c r="G62" s="106">
        <v>44809</v>
      </c>
      <c r="H62" s="107">
        <v>208</v>
      </c>
      <c r="I62" s="108">
        <v>2.75</v>
      </c>
      <c r="J62" s="109">
        <v>0</v>
      </c>
      <c r="K62" s="108">
        <v>216</v>
      </c>
      <c r="L62" s="108">
        <v>3.5</v>
      </c>
      <c r="M62" s="109">
        <v>0</v>
      </c>
      <c r="N62" s="108">
        <f>VLOOKUP(B62,'[4]BCC Tổng 03.2026'!C$37:BG$1383,57,0)</f>
        <v>192</v>
      </c>
      <c r="O62" s="108">
        <f>VLOOKUP(B62,'[4]BCC Tổng 03.2026'!C$37:CZ$1048576,102,0)</f>
        <v>0</v>
      </c>
      <c r="P62" s="109">
        <f t="shared" si="3"/>
        <v>0</v>
      </c>
      <c r="Q62" s="109"/>
      <c r="R62" s="108">
        <f>+IFERROR(VLOOKUP(B62,'[5]Tháng 04.2026'!E:DY,125,0),"")</f>
        <v>0</v>
      </c>
      <c r="S62" s="109"/>
      <c r="T62" s="109"/>
      <c r="U62" s="109"/>
      <c r="V62" s="109"/>
      <c r="W62" s="109"/>
      <c r="X62" s="109"/>
      <c r="Y62" s="109"/>
      <c r="Z62" s="109"/>
      <c r="AA62" s="109"/>
      <c r="AB62" s="109"/>
      <c r="AC62" s="109"/>
      <c r="AD62" s="109"/>
      <c r="AE62" s="109"/>
      <c r="AF62" s="109"/>
      <c r="AG62" s="109"/>
      <c r="AH62" s="109"/>
      <c r="AI62" s="109"/>
      <c r="AJ62" s="109"/>
      <c r="AK62" s="109"/>
      <c r="AL62" s="109"/>
      <c r="AM62" s="109"/>
      <c r="AN62" s="110"/>
      <c r="AO62" s="110"/>
      <c r="AP62" s="110"/>
      <c r="AQ62" s="110"/>
      <c r="AR62" s="111">
        <f t="shared" si="4"/>
        <v>6.25</v>
      </c>
      <c r="AS62" s="112">
        <f t="shared" si="9"/>
        <v>-293.75</v>
      </c>
      <c r="AT62" s="113">
        <f t="shared" si="7"/>
        <v>0</v>
      </c>
      <c r="AU62" s="114"/>
      <c r="AV62" s="115">
        <f t="shared" si="6"/>
        <v>6.25</v>
      </c>
      <c r="AW62" s="115"/>
      <c r="AX62" s="92"/>
      <c r="AY62" s="92"/>
      <c r="AZ62" s="92"/>
      <c r="BA62" s="92"/>
      <c r="BB62" s="92"/>
      <c r="BC62" s="92"/>
      <c r="BD62" s="92"/>
      <c r="BE62" s="92"/>
      <c r="BF62" s="92"/>
      <c r="BG62" s="92"/>
    </row>
    <row r="63" spans="1:59" ht="22.5" customHeight="1" x14ac:dyDescent="0.35">
      <c r="A63" s="104">
        <f t="shared" si="8"/>
        <v>60</v>
      </c>
      <c r="B63" s="105" t="s">
        <v>298</v>
      </c>
      <c r="C63" s="105" t="s">
        <v>299</v>
      </c>
      <c r="D63" s="105" t="s">
        <v>97</v>
      </c>
      <c r="E63" s="105" t="s">
        <v>336</v>
      </c>
      <c r="F63" s="105" t="s">
        <v>341</v>
      </c>
      <c r="G63" s="106">
        <v>44993</v>
      </c>
      <c r="H63" s="107">
        <v>208</v>
      </c>
      <c r="I63" s="108">
        <v>0</v>
      </c>
      <c r="J63" s="109">
        <v>0</v>
      </c>
      <c r="K63" s="108">
        <v>216</v>
      </c>
      <c r="L63" s="108">
        <v>0</v>
      </c>
      <c r="M63" s="109">
        <v>0</v>
      </c>
      <c r="N63" s="108">
        <f>VLOOKUP(B63,'[4]BCC Tổng 03.2026'!C$37:BG$1383,57,0)</f>
        <v>192</v>
      </c>
      <c r="O63" s="108">
        <f>VLOOKUP(B63,'[4]BCC Tổng 03.2026'!C$37:CZ$1048576,102,0)</f>
        <v>0</v>
      </c>
      <c r="P63" s="109">
        <f t="shared" ref="P63:P115" si="10">IF(O63&gt;40,1,0)</f>
        <v>0</v>
      </c>
      <c r="Q63" s="109"/>
      <c r="R63" s="108">
        <f>+IFERROR(VLOOKUP(B63,'[5]Tháng 04.2026'!E:DY,125,0),"")</f>
        <v>0</v>
      </c>
      <c r="S63" s="109"/>
      <c r="T63" s="109"/>
      <c r="U63" s="109"/>
      <c r="V63" s="109"/>
      <c r="W63" s="109"/>
      <c r="X63" s="109"/>
      <c r="Y63" s="109"/>
      <c r="Z63" s="109"/>
      <c r="AA63" s="109"/>
      <c r="AB63" s="109"/>
      <c r="AC63" s="109"/>
      <c r="AD63" s="109"/>
      <c r="AE63" s="109"/>
      <c r="AF63" s="109"/>
      <c r="AG63" s="109"/>
      <c r="AH63" s="109"/>
      <c r="AI63" s="109"/>
      <c r="AJ63" s="109"/>
      <c r="AK63" s="109"/>
      <c r="AL63" s="109"/>
      <c r="AM63" s="109"/>
      <c r="AN63" s="110"/>
      <c r="AO63" s="110"/>
      <c r="AP63" s="110"/>
      <c r="AQ63" s="110"/>
      <c r="AR63" s="111">
        <f t="shared" si="4"/>
        <v>0</v>
      </c>
      <c r="AS63" s="112">
        <f t="shared" si="9"/>
        <v>-300</v>
      </c>
      <c r="AT63" s="113">
        <f t="shared" ref="AT63:AT122" si="11">IF(AR63&gt;300,1,0)</f>
        <v>0</v>
      </c>
      <c r="AU63" s="114"/>
      <c r="AV63" s="115">
        <f t="shared" ref="AV63:AV116" si="12">SUM(I63,L63)</f>
        <v>0</v>
      </c>
      <c r="AW63" s="115"/>
      <c r="AX63" s="92"/>
      <c r="AY63" s="92"/>
      <c r="AZ63" s="92"/>
      <c r="BA63" s="92"/>
      <c r="BB63" s="92"/>
      <c r="BC63" s="92"/>
      <c r="BD63" s="92"/>
      <c r="BE63" s="92"/>
      <c r="BF63" s="92"/>
      <c r="BG63" s="92"/>
    </row>
    <row r="64" spans="1:59" ht="22.5" customHeight="1" x14ac:dyDescent="0.35">
      <c r="A64" s="104">
        <f t="shared" si="8"/>
        <v>61</v>
      </c>
      <c r="B64" s="105" t="s">
        <v>197</v>
      </c>
      <c r="C64" s="105" t="s">
        <v>198</v>
      </c>
      <c r="D64" s="105" t="s">
        <v>97</v>
      </c>
      <c r="E64" s="105" t="s">
        <v>112</v>
      </c>
      <c r="F64" s="105" t="s">
        <v>92</v>
      </c>
      <c r="G64" s="106">
        <v>44993</v>
      </c>
      <c r="H64" s="107">
        <v>208</v>
      </c>
      <c r="I64" s="108">
        <v>56</v>
      </c>
      <c r="J64" s="109">
        <v>1</v>
      </c>
      <c r="K64" s="108">
        <v>200</v>
      </c>
      <c r="L64" s="108">
        <v>44</v>
      </c>
      <c r="M64" s="109">
        <v>1</v>
      </c>
      <c r="N64" s="108">
        <f>VLOOKUP(B64,'[4]BCC Tổng 03.2026'!C$37:BG$1383,57,0)</f>
        <v>192</v>
      </c>
      <c r="O64" s="108">
        <f>VLOOKUP(B64,'[4]BCC Tổng 03.2026'!C$37:CZ$1048576,102,0)</f>
        <v>115</v>
      </c>
      <c r="P64" s="109">
        <f t="shared" si="10"/>
        <v>1</v>
      </c>
      <c r="Q64" s="109"/>
      <c r="R64" s="108">
        <f>+IFERROR(VLOOKUP(B64,'[5]Tháng 04.2026'!E:DY,125,0),"")</f>
        <v>0</v>
      </c>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10"/>
      <c r="AP64" s="110"/>
      <c r="AQ64" s="110"/>
      <c r="AR64" s="111">
        <f t="shared" ref="AR64:AR115" si="13">SUM(I64,L64,O64,R64,U64,X64,AA64,AD64,AG64,AJ64,AM64,AP64)</f>
        <v>215</v>
      </c>
      <c r="AS64" s="112">
        <f t="shared" si="9"/>
        <v>-85</v>
      </c>
      <c r="AT64" s="113">
        <f t="shared" si="11"/>
        <v>0</v>
      </c>
      <c r="AU64" s="114"/>
      <c r="AV64" s="115">
        <f t="shared" si="12"/>
        <v>100</v>
      </c>
      <c r="AW64" s="115"/>
      <c r="AX64" s="92"/>
      <c r="AY64" s="92"/>
      <c r="AZ64" s="92"/>
      <c r="BA64" s="92"/>
      <c r="BB64" s="92"/>
      <c r="BC64" s="92"/>
      <c r="BD64" s="92"/>
      <c r="BE64" s="92"/>
      <c r="BF64" s="92"/>
      <c r="BG64" s="92"/>
    </row>
    <row r="65" spans="1:59" ht="22.5" customHeight="1" x14ac:dyDescent="0.35">
      <c r="A65" s="104">
        <f t="shared" si="8"/>
        <v>62</v>
      </c>
      <c r="B65" s="105" t="s">
        <v>300</v>
      </c>
      <c r="C65" s="105" t="s">
        <v>301</v>
      </c>
      <c r="D65" s="105" t="s">
        <v>97</v>
      </c>
      <c r="E65" s="105" t="s">
        <v>336</v>
      </c>
      <c r="F65" s="105" t="s">
        <v>342</v>
      </c>
      <c r="G65" s="106">
        <v>45138</v>
      </c>
      <c r="H65" s="107">
        <v>208</v>
      </c>
      <c r="I65" s="108">
        <v>2.5</v>
      </c>
      <c r="J65" s="109">
        <v>0</v>
      </c>
      <c r="K65" s="108">
        <v>216</v>
      </c>
      <c r="L65" s="108">
        <v>1</v>
      </c>
      <c r="M65" s="109">
        <v>0</v>
      </c>
      <c r="N65" s="108">
        <f>VLOOKUP(B65,'[4]BCC Tổng 03.2026'!C$37:BG$1383,57,0)</f>
        <v>192</v>
      </c>
      <c r="O65" s="108">
        <f>VLOOKUP(B65,'[4]BCC Tổng 03.2026'!C$37:CZ$1048576,102,0)</f>
        <v>0</v>
      </c>
      <c r="P65" s="109">
        <f t="shared" si="10"/>
        <v>0</v>
      </c>
      <c r="Q65" s="109"/>
      <c r="R65" s="108">
        <f>+IFERROR(VLOOKUP(B65,'[5]Tháng 04.2026'!E:DY,125,0),"")</f>
        <v>0</v>
      </c>
      <c r="S65" s="109"/>
      <c r="T65" s="109"/>
      <c r="U65" s="109"/>
      <c r="V65" s="109"/>
      <c r="W65" s="109"/>
      <c r="X65" s="109"/>
      <c r="Y65" s="109"/>
      <c r="Z65" s="109"/>
      <c r="AA65" s="109"/>
      <c r="AB65" s="109"/>
      <c r="AC65" s="109"/>
      <c r="AD65" s="109"/>
      <c r="AE65" s="109"/>
      <c r="AF65" s="109"/>
      <c r="AG65" s="109"/>
      <c r="AH65" s="109"/>
      <c r="AI65" s="109"/>
      <c r="AJ65" s="109"/>
      <c r="AK65" s="109"/>
      <c r="AL65" s="109"/>
      <c r="AM65" s="109"/>
      <c r="AN65" s="110"/>
      <c r="AO65" s="110"/>
      <c r="AP65" s="110"/>
      <c r="AQ65" s="110"/>
      <c r="AR65" s="111">
        <f t="shared" si="13"/>
        <v>3.5</v>
      </c>
      <c r="AS65" s="112">
        <f t="shared" si="9"/>
        <v>-296.5</v>
      </c>
      <c r="AT65" s="113">
        <f t="shared" si="11"/>
        <v>0</v>
      </c>
      <c r="AU65" s="114"/>
      <c r="AV65" s="115">
        <f t="shared" si="12"/>
        <v>3.5</v>
      </c>
      <c r="AW65" s="115"/>
      <c r="AX65" s="92"/>
      <c r="AY65" s="92"/>
      <c r="AZ65" s="92"/>
      <c r="BA65" s="92"/>
      <c r="BB65" s="92"/>
      <c r="BC65" s="92"/>
      <c r="BD65" s="92"/>
      <c r="BE65" s="92"/>
      <c r="BF65" s="92"/>
      <c r="BG65" s="92"/>
    </row>
    <row r="66" spans="1:59" ht="22.5" customHeight="1" x14ac:dyDescent="0.35">
      <c r="A66" s="104">
        <f t="shared" si="8"/>
        <v>63</v>
      </c>
      <c r="B66" s="105" t="s">
        <v>200</v>
      </c>
      <c r="C66" s="105" t="s">
        <v>201</v>
      </c>
      <c r="D66" s="105" t="s">
        <v>97</v>
      </c>
      <c r="E66" s="105" t="s">
        <v>112</v>
      </c>
      <c r="F66" s="105" t="s">
        <v>91</v>
      </c>
      <c r="G66" s="106">
        <v>45225</v>
      </c>
      <c r="H66" s="107">
        <v>208</v>
      </c>
      <c r="I66" s="108">
        <v>91</v>
      </c>
      <c r="J66" s="109">
        <v>1</v>
      </c>
      <c r="K66" s="108">
        <v>216</v>
      </c>
      <c r="L66" s="108">
        <v>53</v>
      </c>
      <c r="M66" s="109">
        <v>1</v>
      </c>
      <c r="N66" s="108">
        <f>VLOOKUP(B66,'[4]BCC Tổng 03.2026'!C$37:BG$1383,57,0)</f>
        <v>192</v>
      </c>
      <c r="O66" s="108">
        <f>VLOOKUP(B66,'[4]BCC Tổng 03.2026'!C$37:CZ$1048576,102,0)</f>
        <v>112</v>
      </c>
      <c r="P66" s="109">
        <f t="shared" si="10"/>
        <v>1</v>
      </c>
      <c r="Q66" s="109"/>
      <c r="R66" s="108">
        <f>+IFERROR(VLOOKUP(B66,'[5]Tháng 04.2026'!E:DY,125,0),"")</f>
        <v>0</v>
      </c>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10"/>
      <c r="AP66" s="110"/>
      <c r="AQ66" s="110"/>
      <c r="AR66" s="111">
        <f t="shared" si="13"/>
        <v>256</v>
      </c>
      <c r="AS66" s="112">
        <f t="shared" si="9"/>
        <v>-44</v>
      </c>
      <c r="AT66" s="113">
        <f t="shared" si="11"/>
        <v>0</v>
      </c>
      <c r="AU66" s="114"/>
      <c r="AV66" s="115">
        <f t="shared" si="12"/>
        <v>144</v>
      </c>
      <c r="AW66" s="115"/>
      <c r="AX66" s="92"/>
      <c r="AY66" s="92"/>
      <c r="AZ66" s="92"/>
      <c r="BA66" s="92"/>
      <c r="BB66" s="92"/>
      <c r="BC66" s="92"/>
      <c r="BD66" s="92"/>
      <c r="BE66" s="92"/>
      <c r="BF66" s="92"/>
      <c r="BG66" s="92"/>
    </row>
    <row r="67" spans="1:59" ht="22.5" customHeight="1" x14ac:dyDescent="0.35">
      <c r="A67" s="104">
        <f t="shared" si="8"/>
        <v>64</v>
      </c>
      <c r="B67" s="105" t="s">
        <v>202</v>
      </c>
      <c r="C67" s="105" t="s">
        <v>203</v>
      </c>
      <c r="D67" s="105" t="s">
        <v>97</v>
      </c>
      <c r="E67" s="105" t="s">
        <v>98</v>
      </c>
      <c r="F67" s="105" t="s">
        <v>91</v>
      </c>
      <c r="G67" s="106">
        <v>45358</v>
      </c>
      <c r="H67" s="107">
        <v>208</v>
      </c>
      <c r="I67" s="108">
        <v>80</v>
      </c>
      <c r="J67" s="109">
        <v>1</v>
      </c>
      <c r="K67" s="108">
        <v>216</v>
      </c>
      <c r="L67" s="108">
        <v>54</v>
      </c>
      <c r="M67" s="109">
        <v>1</v>
      </c>
      <c r="N67" s="108">
        <f>VLOOKUP(B67,'[4]BCC Tổng 03.2026'!C$37:BG$1383,57,0)</f>
        <v>192</v>
      </c>
      <c r="O67" s="108">
        <f>VLOOKUP(B67,'[4]BCC Tổng 03.2026'!C$37:CZ$1048576,102,0)</f>
        <v>126</v>
      </c>
      <c r="P67" s="109">
        <f t="shared" si="10"/>
        <v>1</v>
      </c>
      <c r="Q67" s="109"/>
      <c r="R67" s="108">
        <f>+IFERROR(VLOOKUP(B67,'[5]Tháng 04.2026'!E:DY,125,0),"")</f>
        <v>0</v>
      </c>
      <c r="S67" s="109"/>
      <c r="T67" s="109"/>
      <c r="U67" s="109"/>
      <c r="V67" s="109"/>
      <c r="W67" s="109"/>
      <c r="X67" s="109"/>
      <c r="Y67" s="109"/>
      <c r="Z67" s="109"/>
      <c r="AA67" s="109"/>
      <c r="AB67" s="109"/>
      <c r="AC67" s="109"/>
      <c r="AD67" s="109"/>
      <c r="AE67" s="109"/>
      <c r="AF67" s="109"/>
      <c r="AG67" s="109"/>
      <c r="AH67" s="109"/>
      <c r="AI67" s="109"/>
      <c r="AJ67" s="109"/>
      <c r="AK67" s="109"/>
      <c r="AL67" s="109"/>
      <c r="AM67" s="109"/>
      <c r="AN67" s="110"/>
      <c r="AO67" s="110"/>
      <c r="AP67" s="110"/>
      <c r="AQ67" s="110"/>
      <c r="AR67" s="111">
        <f t="shared" si="13"/>
        <v>260</v>
      </c>
      <c r="AS67" s="112">
        <f t="shared" si="9"/>
        <v>-40</v>
      </c>
      <c r="AT67" s="113">
        <f t="shared" si="11"/>
        <v>0</v>
      </c>
      <c r="AU67" s="114"/>
      <c r="AV67" s="115">
        <f t="shared" si="12"/>
        <v>134</v>
      </c>
      <c r="AW67" s="115"/>
      <c r="AX67" s="92"/>
      <c r="AY67" s="92"/>
      <c r="AZ67" s="92"/>
      <c r="BA67" s="92"/>
      <c r="BB67" s="92"/>
      <c r="BC67" s="92"/>
      <c r="BD67" s="92"/>
      <c r="BE67" s="92"/>
      <c r="BF67" s="92"/>
      <c r="BG67" s="92"/>
    </row>
    <row r="68" spans="1:59" ht="22.5" customHeight="1" x14ac:dyDescent="0.35">
      <c r="A68" s="104">
        <f t="shared" si="8"/>
        <v>65</v>
      </c>
      <c r="B68" s="105" t="s">
        <v>204</v>
      </c>
      <c r="C68" s="105" t="s">
        <v>205</v>
      </c>
      <c r="D68" s="105" t="s">
        <v>97</v>
      </c>
      <c r="E68" s="105" t="s">
        <v>98</v>
      </c>
      <c r="F68" s="105" t="s">
        <v>91</v>
      </c>
      <c r="G68" s="106">
        <v>45358</v>
      </c>
      <c r="H68" s="107">
        <v>208</v>
      </c>
      <c r="I68" s="108">
        <v>85</v>
      </c>
      <c r="J68" s="109">
        <v>1</v>
      </c>
      <c r="K68" s="108">
        <v>216</v>
      </c>
      <c r="L68" s="108">
        <v>52</v>
      </c>
      <c r="M68" s="109">
        <v>1</v>
      </c>
      <c r="N68" s="108">
        <f>VLOOKUP(B68,'[4]BCC Tổng 03.2026'!C$37:BG$1383,57,0)</f>
        <v>192</v>
      </c>
      <c r="O68" s="108">
        <f>VLOOKUP(B68,'[4]BCC Tổng 03.2026'!C$37:CZ$1048576,102,0)</f>
        <v>127</v>
      </c>
      <c r="P68" s="109">
        <f t="shared" si="10"/>
        <v>1</v>
      </c>
      <c r="Q68" s="109"/>
      <c r="R68" s="108">
        <f>+IFERROR(VLOOKUP(B68,'[5]Tháng 04.2026'!E:DY,125,0),"")</f>
        <v>0</v>
      </c>
      <c r="S68" s="109"/>
      <c r="T68" s="109"/>
      <c r="U68" s="109"/>
      <c r="V68" s="109"/>
      <c r="W68" s="109"/>
      <c r="X68" s="109"/>
      <c r="Y68" s="109"/>
      <c r="Z68" s="109"/>
      <c r="AA68" s="109"/>
      <c r="AB68" s="109"/>
      <c r="AC68" s="109"/>
      <c r="AD68" s="109"/>
      <c r="AE68" s="109"/>
      <c r="AF68" s="109"/>
      <c r="AG68" s="109"/>
      <c r="AH68" s="109"/>
      <c r="AI68" s="109"/>
      <c r="AJ68" s="109"/>
      <c r="AK68" s="109"/>
      <c r="AL68" s="109"/>
      <c r="AM68" s="109"/>
      <c r="AN68" s="110"/>
      <c r="AO68" s="110"/>
      <c r="AP68" s="110"/>
      <c r="AQ68" s="110"/>
      <c r="AR68" s="111">
        <f t="shared" si="13"/>
        <v>264</v>
      </c>
      <c r="AS68" s="112">
        <f t="shared" si="9"/>
        <v>-36</v>
      </c>
      <c r="AT68" s="113">
        <f t="shared" si="11"/>
        <v>0</v>
      </c>
      <c r="AU68" s="114"/>
      <c r="AV68" s="115">
        <f t="shared" si="12"/>
        <v>137</v>
      </c>
      <c r="AW68" s="115"/>
      <c r="AX68" s="92"/>
      <c r="AY68" s="92"/>
      <c r="AZ68" s="92"/>
      <c r="BA68" s="92"/>
      <c r="BB68" s="92"/>
      <c r="BC68" s="92"/>
      <c r="BD68" s="92"/>
      <c r="BE68" s="92"/>
      <c r="BF68" s="92"/>
      <c r="BG68" s="92"/>
    </row>
    <row r="69" spans="1:59" ht="22.5" customHeight="1" x14ac:dyDescent="0.35">
      <c r="A69" s="104">
        <f t="shared" si="8"/>
        <v>66</v>
      </c>
      <c r="B69" s="105" t="s">
        <v>206</v>
      </c>
      <c r="C69" s="105" t="s">
        <v>207</v>
      </c>
      <c r="D69" s="105" t="s">
        <v>97</v>
      </c>
      <c r="E69" s="105" t="s">
        <v>98</v>
      </c>
      <c r="F69" s="105" t="s">
        <v>91</v>
      </c>
      <c r="G69" s="106">
        <v>45358</v>
      </c>
      <c r="H69" s="107">
        <v>208</v>
      </c>
      <c r="I69" s="108">
        <v>80</v>
      </c>
      <c r="J69" s="109">
        <v>1</v>
      </c>
      <c r="K69" s="108">
        <v>216</v>
      </c>
      <c r="L69" s="108">
        <v>54</v>
      </c>
      <c r="M69" s="109">
        <v>1</v>
      </c>
      <c r="N69" s="108">
        <f>VLOOKUP(B69,'[4]BCC Tổng 03.2026'!C$37:BG$1383,57,0)</f>
        <v>192</v>
      </c>
      <c r="O69" s="108">
        <f>VLOOKUP(B69,'[4]BCC Tổng 03.2026'!C$37:CZ$1048576,102,0)</f>
        <v>132</v>
      </c>
      <c r="P69" s="109">
        <f t="shared" si="10"/>
        <v>1</v>
      </c>
      <c r="Q69" s="109"/>
      <c r="R69" s="108">
        <f>+IFERROR(VLOOKUP(B69,'[5]Tháng 04.2026'!E:DY,125,0),"")</f>
        <v>0</v>
      </c>
      <c r="S69" s="109"/>
      <c r="T69" s="109"/>
      <c r="U69" s="109"/>
      <c r="V69" s="109"/>
      <c r="W69" s="109"/>
      <c r="X69" s="109"/>
      <c r="Y69" s="109"/>
      <c r="Z69" s="109"/>
      <c r="AA69" s="109"/>
      <c r="AB69" s="109"/>
      <c r="AC69" s="109"/>
      <c r="AD69" s="109"/>
      <c r="AE69" s="109"/>
      <c r="AF69" s="109"/>
      <c r="AG69" s="109"/>
      <c r="AH69" s="109"/>
      <c r="AI69" s="109"/>
      <c r="AJ69" s="109"/>
      <c r="AK69" s="109"/>
      <c r="AL69" s="109"/>
      <c r="AM69" s="109"/>
      <c r="AN69" s="110"/>
      <c r="AO69" s="110"/>
      <c r="AP69" s="110"/>
      <c r="AQ69" s="110"/>
      <c r="AR69" s="111">
        <f t="shared" si="13"/>
        <v>266</v>
      </c>
      <c r="AS69" s="112">
        <f t="shared" si="9"/>
        <v>-34</v>
      </c>
      <c r="AT69" s="113">
        <f t="shared" si="11"/>
        <v>0</v>
      </c>
      <c r="AU69" s="114"/>
      <c r="AV69" s="115">
        <f t="shared" si="12"/>
        <v>134</v>
      </c>
      <c r="AW69" s="115"/>
      <c r="AX69" s="92"/>
      <c r="AY69" s="92"/>
      <c r="AZ69" s="92"/>
      <c r="BA69" s="92"/>
      <c r="BB69" s="92"/>
      <c r="BC69" s="92"/>
      <c r="BD69" s="92"/>
      <c r="BE69" s="92"/>
      <c r="BF69" s="92"/>
      <c r="BG69" s="92"/>
    </row>
    <row r="70" spans="1:59" ht="22.5" customHeight="1" x14ac:dyDescent="0.35">
      <c r="A70" s="104">
        <f t="shared" ref="A70:A122" si="14">A69+1</f>
        <v>67</v>
      </c>
      <c r="B70" s="105" t="s">
        <v>208</v>
      </c>
      <c r="C70" s="105" t="s">
        <v>209</v>
      </c>
      <c r="D70" s="105" t="s">
        <v>97</v>
      </c>
      <c r="E70" s="105" t="s">
        <v>112</v>
      </c>
      <c r="F70" s="105" t="s">
        <v>99</v>
      </c>
      <c r="G70" s="106">
        <v>45372</v>
      </c>
      <c r="H70" s="107">
        <v>192</v>
      </c>
      <c r="I70" s="108">
        <v>88</v>
      </c>
      <c r="J70" s="109">
        <v>1</v>
      </c>
      <c r="K70" s="108">
        <v>200</v>
      </c>
      <c r="L70" s="108">
        <v>50</v>
      </c>
      <c r="M70" s="109">
        <v>1</v>
      </c>
      <c r="N70" s="108">
        <f>VLOOKUP(B70,'[4]BCC Tổng 03.2026'!C$37:BG$1383,57,0)</f>
        <v>168</v>
      </c>
      <c r="O70" s="108">
        <f>VLOOKUP(B70,'[4]BCC Tổng 03.2026'!C$37:CZ$1048576,102,0)</f>
        <v>104</v>
      </c>
      <c r="P70" s="109">
        <f t="shared" si="10"/>
        <v>1</v>
      </c>
      <c r="Q70" s="109"/>
      <c r="R70" s="108">
        <f>+IFERROR(VLOOKUP(B70,'[5]Tháng 04.2026'!E:DY,125,0),"")</f>
        <v>0</v>
      </c>
      <c r="S70" s="109"/>
      <c r="T70" s="109"/>
      <c r="U70" s="109"/>
      <c r="V70" s="109"/>
      <c r="W70" s="109"/>
      <c r="X70" s="109"/>
      <c r="Y70" s="109"/>
      <c r="Z70" s="109"/>
      <c r="AA70" s="109"/>
      <c r="AB70" s="109"/>
      <c r="AC70" s="109"/>
      <c r="AD70" s="109"/>
      <c r="AE70" s="109"/>
      <c r="AF70" s="109"/>
      <c r="AG70" s="109"/>
      <c r="AH70" s="109"/>
      <c r="AI70" s="109"/>
      <c r="AJ70" s="109"/>
      <c r="AK70" s="109"/>
      <c r="AL70" s="109"/>
      <c r="AM70" s="109"/>
      <c r="AN70" s="110"/>
      <c r="AO70" s="110"/>
      <c r="AP70" s="110"/>
      <c r="AQ70" s="110"/>
      <c r="AR70" s="111">
        <f t="shared" si="13"/>
        <v>242</v>
      </c>
      <c r="AS70" s="112">
        <f t="shared" si="9"/>
        <v>-58</v>
      </c>
      <c r="AT70" s="113">
        <f t="shared" si="11"/>
        <v>0</v>
      </c>
      <c r="AU70" s="114"/>
      <c r="AV70" s="115">
        <f t="shared" si="12"/>
        <v>138</v>
      </c>
      <c r="AW70" s="115"/>
      <c r="AX70" s="92"/>
      <c r="AY70" s="92"/>
      <c r="AZ70" s="92"/>
      <c r="BA70" s="92"/>
      <c r="BB70" s="92"/>
      <c r="BC70" s="92"/>
      <c r="BD70" s="92"/>
      <c r="BE70" s="92"/>
      <c r="BF70" s="92"/>
      <c r="BG70" s="92"/>
    </row>
    <row r="71" spans="1:59" ht="22.5" customHeight="1" x14ac:dyDescent="0.35">
      <c r="A71" s="104">
        <f t="shared" si="14"/>
        <v>68</v>
      </c>
      <c r="B71" s="105" t="s">
        <v>304</v>
      </c>
      <c r="C71" s="105" t="s">
        <v>305</v>
      </c>
      <c r="D71" s="105" t="s">
        <v>97</v>
      </c>
      <c r="E71" s="105" t="s">
        <v>112</v>
      </c>
      <c r="F71" s="105" t="s">
        <v>91</v>
      </c>
      <c r="G71" s="106">
        <v>45372</v>
      </c>
      <c r="H71" s="107">
        <v>208</v>
      </c>
      <c r="I71" s="108">
        <v>82</v>
      </c>
      <c r="J71" s="109">
        <v>1</v>
      </c>
      <c r="K71" s="108">
        <v>216</v>
      </c>
      <c r="L71" s="108">
        <v>50</v>
      </c>
      <c r="M71" s="109">
        <v>1</v>
      </c>
      <c r="N71" s="108">
        <f>VLOOKUP(B71,'[4]BCC Tổng 03.2026'!C$37:BG$1383,57,0)</f>
        <v>192</v>
      </c>
      <c r="O71" s="108">
        <f>VLOOKUP(B71,'[4]BCC Tổng 03.2026'!C$37:CZ$1048576,102,0)</f>
        <v>120</v>
      </c>
      <c r="P71" s="109">
        <f t="shared" si="10"/>
        <v>1</v>
      </c>
      <c r="Q71" s="109"/>
      <c r="R71" s="108">
        <f>+IFERROR(VLOOKUP(B71,'[5]Tháng 04.2026'!E:DY,125,0),"")</f>
        <v>0</v>
      </c>
      <c r="S71" s="109"/>
      <c r="T71" s="109"/>
      <c r="U71" s="109"/>
      <c r="V71" s="109"/>
      <c r="W71" s="109"/>
      <c r="X71" s="109"/>
      <c r="Y71" s="109"/>
      <c r="Z71" s="109"/>
      <c r="AA71" s="109"/>
      <c r="AB71" s="109"/>
      <c r="AC71" s="109"/>
      <c r="AD71" s="109"/>
      <c r="AE71" s="109"/>
      <c r="AF71" s="109"/>
      <c r="AG71" s="109"/>
      <c r="AH71" s="109"/>
      <c r="AI71" s="109"/>
      <c r="AJ71" s="109"/>
      <c r="AK71" s="109"/>
      <c r="AL71" s="109"/>
      <c r="AM71" s="109"/>
      <c r="AN71" s="110"/>
      <c r="AO71" s="110"/>
      <c r="AP71" s="110"/>
      <c r="AQ71" s="110"/>
      <c r="AR71" s="111">
        <f t="shared" si="13"/>
        <v>252</v>
      </c>
      <c r="AS71" s="112">
        <f t="shared" si="9"/>
        <v>-48</v>
      </c>
      <c r="AT71" s="113">
        <f t="shared" si="11"/>
        <v>0</v>
      </c>
      <c r="AU71" s="114"/>
      <c r="AV71" s="115">
        <f t="shared" si="12"/>
        <v>132</v>
      </c>
      <c r="AW71" s="115"/>
      <c r="AX71" s="92"/>
      <c r="AY71" s="92"/>
      <c r="AZ71" s="92"/>
      <c r="BA71" s="92"/>
      <c r="BB71" s="92"/>
      <c r="BC71" s="92"/>
      <c r="BD71" s="92"/>
      <c r="BE71" s="92"/>
      <c r="BF71" s="92"/>
      <c r="BG71" s="92"/>
    </row>
    <row r="72" spans="1:59" ht="22.5" customHeight="1" x14ac:dyDescent="0.35">
      <c r="A72" s="104">
        <f t="shared" si="14"/>
        <v>69</v>
      </c>
      <c r="B72" s="105" t="s">
        <v>210</v>
      </c>
      <c r="C72" s="105" t="s">
        <v>211</v>
      </c>
      <c r="D72" s="105" t="s">
        <v>97</v>
      </c>
      <c r="E72" s="105" t="s">
        <v>112</v>
      </c>
      <c r="F72" s="105" t="s">
        <v>91</v>
      </c>
      <c r="G72" s="106">
        <v>45372</v>
      </c>
      <c r="H72" s="107">
        <v>208</v>
      </c>
      <c r="I72" s="108">
        <v>95</v>
      </c>
      <c r="J72" s="109">
        <v>1</v>
      </c>
      <c r="K72" s="108">
        <v>216</v>
      </c>
      <c r="L72" s="108">
        <v>60</v>
      </c>
      <c r="M72" s="109">
        <v>1</v>
      </c>
      <c r="N72" s="108">
        <f>VLOOKUP(B72,'[4]BCC Tổng 03.2026'!C$37:BG$1383,57,0)</f>
        <v>192</v>
      </c>
      <c r="O72" s="108">
        <f>VLOOKUP(B72,'[4]BCC Tổng 03.2026'!C$37:CZ$1048576,102,0)</f>
        <v>124</v>
      </c>
      <c r="P72" s="109">
        <f t="shared" si="10"/>
        <v>1</v>
      </c>
      <c r="Q72" s="109"/>
      <c r="R72" s="108">
        <f>+IFERROR(VLOOKUP(B72,'[5]Tháng 04.2026'!E:DY,125,0),"")</f>
        <v>0</v>
      </c>
      <c r="S72" s="109"/>
      <c r="T72" s="109"/>
      <c r="U72" s="109"/>
      <c r="V72" s="109"/>
      <c r="W72" s="109"/>
      <c r="X72" s="109"/>
      <c r="Y72" s="109"/>
      <c r="Z72" s="109"/>
      <c r="AA72" s="109"/>
      <c r="AB72" s="109"/>
      <c r="AC72" s="109"/>
      <c r="AD72" s="109"/>
      <c r="AE72" s="109"/>
      <c r="AF72" s="109"/>
      <c r="AG72" s="109"/>
      <c r="AH72" s="109"/>
      <c r="AI72" s="109"/>
      <c r="AJ72" s="109"/>
      <c r="AK72" s="109"/>
      <c r="AL72" s="109"/>
      <c r="AM72" s="109"/>
      <c r="AN72" s="110"/>
      <c r="AO72" s="110"/>
      <c r="AP72" s="110"/>
      <c r="AQ72" s="110"/>
      <c r="AR72" s="111">
        <f t="shared" si="13"/>
        <v>279</v>
      </c>
      <c r="AS72" s="112">
        <f t="shared" si="9"/>
        <v>-21</v>
      </c>
      <c r="AT72" s="113">
        <f t="shared" si="11"/>
        <v>0</v>
      </c>
      <c r="AU72" s="114"/>
      <c r="AV72" s="115">
        <f t="shared" si="12"/>
        <v>155</v>
      </c>
      <c r="AW72" s="115"/>
      <c r="AX72" s="92"/>
      <c r="AY72" s="92"/>
      <c r="AZ72" s="92"/>
      <c r="BA72" s="92"/>
      <c r="BB72" s="92"/>
      <c r="BC72" s="92"/>
      <c r="BD72" s="92"/>
      <c r="BE72" s="92"/>
      <c r="BF72" s="92"/>
      <c r="BG72" s="92"/>
    </row>
    <row r="73" spans="1:59" ht="22.5" customHeight="1" x14ac:dyDescent="0.35">
      <c r="A73" s="104">
        <f t="shared" si="14"/>
        <v>70</v>
      </c>
      <c r="B73" s="105" t="s">
        <v>306</v>
      </c>
      <c r="C73" s="105" t="s">
        <v>307</v>
      </c>
      <c r="D73" s="105" t="s">
        <v>97</v>
      </c>
      <c r="E73" s="105" t="s">
        <v>98</v>
      </c>
      <c r="F73" s="105" t="s">
        <v>91</v>
      </c>
      <c r="G73" s="106">
        <v>45377</v>
      </c>
      <c r="H73" s="107">
        <v>208</v>
      </c>
      <c r="I73" s="108">
        <v>82</v>
      </c>
      <c r="J73" s="109">
        <v>1</v>
      </c>
      <c r="K73" s="108">
        <v>216</v>
      </c>
      <c r="L73" s="108">
        <v>52</v>
      </c>
      <c r="M73" s="109">
        <v>1</v>
      </c>
      <c r="N73" s="108">
        <f>VLOOKUP(B73,'[4]BCC Tổng 03.2026'!C$37:BG$1383,57,0)</f>
        <v>192</v>
      </c>
      <c r="O73" s="108">
        <f>VLOOKUP(B73,'[4]BCC Tổng 03.2026'!C$37:CZ$1048576,102,0)</f>
        <v>118</v>
      </c>
      <c r="P73" s="109">
        <f t="shared" si="10"/>
        <v>1</v>
      </c>
      <c r="Q73" s="109"/>
      <c r="R73" s="108">
        <f>+IFERROR(VLOOKUP(B73,'[5]Tháng 04.2026'!E:DY,125,0),"")</f>
        <v>0</v>
      </c>
      <c r="S73" s="109"/>
      <c r="T73" s="109"/>
      <c r="U73" s="109"/>
      <c r="V73" s="109"/>
      <c r="W73" s="109"/>
      <c r="X73" s="109"/>
      <c r="Y73" s="109"/>
      <c r="Z73" s="109"/>
      <c r="AA73" s="109"/>
      <c r="AB73" s="109"/>
      <c r="AC73" s="109"/>
      <c r="AD73" s="109"/>
      <c r="AE73" s="109"/>
      <c r="AF73" s="109"/>
      <c r="AG73" s="109"/>
      <c r="AH73" s="109"/>
      <c r="AI73" s="109"/>
      <c r="AJ73" s="109"/>
      <c r="AK73" s="109"/>
      <c r="AL73" s="109"/>
      <c r="AM73" s="109"/>
      <c r="AN73" s="110"/>
      <c r="AO73" s="110"/>
      <c r="AP73" s="110"/>
      <c r="AQ73" s="110"/>
      <c r="AR73" s="111">
        <f t="shared" si="13"/>
        <v>252</v>
      </c>
      <c r="AS73" s="112">
        <f t="shared" si="9"/>
        <v>-48</v>
      </c>
      <c r="AT73" s="113">
        <f t="shared" si="11"/>
        <v>0</v>
      </c>
      <c r="AU73" s="114"/>
      <c r="AV73" s="115">
        <f t="shared" si="12"/>
        <v>134</v>
      </c>
      <c r="AW73" s="115"/>
      <c r="AX73" s="92"/>
      <c r="AY73" s="92"/>
      <c r="AZ73" s="92"/>
      <c r="BA73" s="92"/>
      <c r="BB73" s="92"/>
      <c r="BC73" s="92"/>
      <c r="BD73" s="92"/>
      <c r="BE73" s="92"/>
      <c r="BF73" s="92"/>
      <c r="BG73" s="92"/>
    </row>
    <row r="74" spans="1:59" ht="22.5" customHeight="1" x14ac:dyDescent="0.35">
      <c r="A74" s="104">
        <f t="shared" si="14"/>
        <v>71</v>
      </c>
      <c r="B74" s="105" t="s">
        <v>212</v>
      </c>
      <c r="C74" s="105" t="s">
        <v>213</v>
      </c>
      <c r="D74" s="105" t="s">
        <v>97</v>
      </c>
      <c r="E74" s="105" t="s">
        <v>98</v>
      </c>
      <c r="F74" s="105" t="s">
        <v>91</v>
      </c>
      <c r="G74" s="106">
        <v>45377</v>
      </c>
      <c r="H74" s="107">
        <v>208</v>
      </c>
      <c r="I74" s="108">
        <v>84</v>
      </c>
      <c r="J74" s="109">
        <v>1</v>
      </c>
      <c r="K74" s="108">
        <v>208</v>
      </c>
      <c r="L74" s="108">
        <v>46</v>
      </c>
      <c r="M74" s="109">
        <v>1</v>
      </c>
      <c r="N74" s="108">
        <f>VLOOKUP(B74,'[4]BCC Tổng 03.2026'!C$37:BG$1383,57,0)</f>
        <v>188</v>
      </c>
      <c r="O74" s="108">
        <f>VLOOKUP(B74,'[4]BCC Tổng 03.2026'!C$37:CZ$1048576,102,0)</f>
        <v>119</v>
      </c>
      <c r="P74" s="109">
        <f t="shared" si="10"/>
        <v>1</v>
      </c>
      <c r="Q74" s="109"/>
      <c r="R74" s="108">
        <f>+IFERROR(VLOOKUP(B74,'[5]Tháng 04.2026'!E:DY,125,0),"")</f>
        <v>0</v>
      </c>
      <c r="S74" s="109"/>
      <c r="T74" s="109"/>
      <c r="U74" s="109"/>
      <c r="V74" s="109"/>
      <c r="W74" s="109"/>
      <c r="X74" s="109"/>
      <c r="Y74" s="109"/>
      <c r="Z74" s="109"/>
      <c r="AA74" s="109"/>
      <c r="AB74" s="109"/>
      <c r="AC74" s="109"/>
      <c r="AD74" s="109"/>
      <c r="AE74" s="109"/>
      <c r="AF74" s="109"/>
      <c r="AG74" s="109"/>
      <c r="AH74" s="109"/>
      <c r="AI74" s="109"/>
      <c r="AJ74" s="109"/>
      <c r="AK74" s="109"/>
      <c r="AL74" s="109"/>
      <c r="AM74" s="109"/>
      <c r="AN74" s="110"/>
      <c r="AO74" s="110"/>
      <c r="AP74" s="110"/>
      <c r="AQ74" s="110"/>
      <c r="AR74" s="111">
        <f t="shared" si="13"/>
        <v>249</v>
      </c>
      <c r="AS74" s="112">
        <f t="shared" si="9"/>
        <v>-51</v>
      </c>
      <c r="AT74" s="113">
        <f t="shared" si="11"/>
        <v>0</v>
      </c>
      <c r="AU74" s="114"/>
      <c r="AV74" s="115">
        <f t="shared" si="12"/>
        <v>130</v>
      </c>
      <c r="AW74" s="115"/>
      <c r="AX74" s="92"/>
      <c r="AY74" s="92"/>
      <c r="AZ74" s="92"/>
      <c r="BA74" s="92"/>
      <c r="BB74" s="92"/>
      <c r="BC74" s="92"/>
      <c r="BD74" s="92"/>
      <c r="BE74" s="92"/>
      <c r="BF74" s="92"/>
      <c r="BG74" s="92"/>
    </row>
    <row r="75" spans="1:59" ht="22.5" customHeight="1" x14ac:dyDescent="0.35">
      <c r="A75" s="104">
        <f t="shared" si="14"/>
        <v>72</v>
      </c>
      <c r="B75" s="105" t="s">
        <v>283</v>
      </c>
      <c r="C75" s="105" t="s">
        <v>284</v>
      </c>
      <c r="D75" s="105" t="s">
        <v>97</v>
      </c>
      <c r="E75" s="105" t="s">
        <v>336</v>
      </c>
      <c r="F75" s="105" t="s">
        <v>199</v>
      </c>
      <c r="G75" s="106">
        <v>43672</v>
      </c>
      <c r="H75" s="107">
        <v>208</v>
      </c>
      <c r="I75" s="108">
        <v>0</v>
      </c>
      <c r="J75" s="109">
        <v>0</v>
      </c>
      <c r="K75" s="108">
        <v>216</v>
      </c>
      <c r="L75" s="108">
        <v>0</v>
      </c>
      <c r="M75" s="109">
        <v>0</v>
      </c>
      <c r="N75" s="108">
        <f>VLOOKUP(B75,'[4]BCC Tổng 03.2026'!C$37:BG$1383,57,0)</f>
        <v>192</v>
      </c>
      <c r="O75" s="108">
        <f>VLOOKUP(B75,'[4]BCC Tổng 03.2026'!C$37:CZ$1048576,102,0)</f>
        <v>0</v>
      </c>
      <c r="P75" s="109">
        <f t="shared" si="10"/>
        <v>0</v>
      </c>
      <c r="Q75" s="109"/>
      <c r="R75" s="108">
        <f>+IFERROR(VLOOKUP(B75,'[5]Tháng 04.2026'!E:DY,125,0),"")</f>
        <v>0</v>
      </c>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10"/>
      <c r="AP75" s="110"/>
      <c r="AQ75" s="110"/>
      <c r="AR75" s="111">
        <f t="shared" si="13"/>
        <v>0</v>
      </c>
      <c r="AS75" s="112">
        <f t="shared" ref="AS75:AS115" si="15">AR75-300</f>
        <v>-300</v>
      </c>
      <c r="AT75" s="113">
        <f t="shared" si="11"/>
        <v>0</v>
      </c>
      <c r="AU75" s="114"/>
      <c r="AV75" s="115">
        <f t="shared" si="12"/>
        <v>0</v>
      </c>
      <c r="AW75" s="115"/>
      <c r="AX75" s="92"/>
      <c r="AY75" s="92"/>
      <c r="AZ75" s="92"/>
      <c r="BA75" s="92"/>
      <c r="BB75" s="92"/>
      <c r="BC75" s="92"/>
      <c r="BD75" s="92"/>
      <c r="BE75" s="92"/>
      <c r="BF75" s="92"/>
      <c r="BG75" s="92"/>
    </row>
    <row r="76" spans="1:59" ht="22.5" customHeight="1" x14ac:dyDescent="0.35">
      <c r="A76" s="104">
        <f t="shared" si="14"/>
        <v>73</v>
      </c>
      <c r="B76" s="105" t="s">
        <v>214</v>
      </c>
      <c r="C76" s="105" t="s">
        <v>430</v>
      </c>
      <c r="D76" s="105" t="s">
        <v>97</v>
      </c>
      <c r="E76" s="105" t="s">
        <v>98</v>
      </c>
      <c r="F76" s="105" t="s">
        <v>91</v>
      </c>
      <c r="G76" s="106">
        <v>45453</v>
      </c>
      <c r="H76" s="107">
        <v>208</v>
      </c>
      <c r="I76" s="108">
        <v>82</v>
      </c>
      <c r="J76" s="109">
        <v>1</v>
      </c>
      <c r="K76" s="108">
        <v>216</v>
      </c>
      <c r="L76" s="108">
        <v>50</v>
      </c>
      <c r="M76" s="109">
        <v>1</v>
      </c>
      <c r="N76" s="108">
        <f>VLOOKUP(B76,'[4]BCC Tổng 03.2026'!C$37:BG$1383,57,0)</f>
        <v>192</v>
      </c>
      <c r="O76" s="108">
        <f>VLOOKUP(B76,'[4]BCC Tổng 03.2026'!C$37:CZ$1048576,102,0)</f>
        <v>126</v>
      </c>
      <c r="P76" s="109">
        <f t="shared" si="10"/>
        <v>1</v>
      </c>
      <c r="Q76" s="109"/>
      <c r="R76" s="108">
        <f>+IFERROR(VLOOKUP(B76,'[5]Tháng 04.2026'!E:DY,125,0),"")</f>
        <v>0</v>
      </c>
      <c r="S76" s="109"/>
      <c r="T76" s="109"/>
      <c r="U76" s="109"/>
      <c r="V76" s="109"/>
      <c r="W76" s="109"/>
      <c r="X76" s="109"/>
      <c r="Y76" s="109"/>
      <c r="Z76" s="109"/>
      <c r="AA76" s="109"/>
      <c r="AB76" s="109"/>
      <c r="AC76" s="109"/>
      <c r="AD76" s="109"/>
      <c r="AE76" s="109"/>
      <c r="AF76" s="109"/>
      <c r="AG76" s="109"/>
      <c r="AH76" s="109"/>
      <c r="AI76" s="109"/>
      <c r="AJ76" s="109"/>
      <c r="AK76" s="109"/>
      <c r="AL76" s="109"/>
      <c r="AM76" s="109"/>
      <c r="AN76" s="110"/>
      <c r="AO76" s="110"/>
      <c r="AP76" s="110"/>
      <c r="AQ76" s="110"/>
      <c r="AR76" s="111">
        <f t="shared" si="13"/>
        <v>258</v>
      </c>
      <c r="AS76" s="112">
        <f t="shared" si="15"/>
        <v>-42</v>
      </c>
      <c r="AT76" s="113">
        <f t="shared" si="11"/>
        <v>0</v>
      </c>
      <c r="AU76" s="114"/>
      <c r="AV76" s="115">
        <f t="shared" si="12"/>
        <v>132</v>
      </c>
      <c r="AW76" s="115"/>
      <c r="AX76" s="92"/>
      <c r="AY76" s="92"/>
      <c r="AZ76" s="92"/>
      <c r="BA76" s="92"/>
      <c r="BB76" s="92"/>
      <c r="BC76" s="92"/>
      <c r="BD76" s="92"/>
      <c r="BE76" s="92"/>
      <c r="BF76" s="92"/>
      <c r="BG76" s="92"/>
    </row>
    <row r="77" spans="1:59" ht="22.5" customHeight="1" x14ac:dyDescent="0.35">
      <c r="A77" s="104">
        <f t="shared" si="14"/>
        <v>74</v>
      </c>
      <c r="B77" s="105" t="s">
        <v>215</v>
      </c>
      <c r="C77" s="105" t="s">
        <v>216</v>
      </c>
      <c r="D77" s="105" t="s">
        <v>97</v>
      </c>
      <c r="E77" s="105" t="s">
        <v>98</v>
      </c>
      <c r="F77" s="105" t="s">
        <v>91</v>
      </c>
      <c r="G77" s="106">
        <v>45519</v>
      </c>
      <c r="H77" s="107">
        <v>208</v>
      </c>
      <c r="I77" s="108">
        <v>80</v>
      </c>
      <c r="J77" s="109">
        <v>1</v>
      </c>
      <c r="K77" s="108">
        <v>216</v>
      </c>
      <c r="L77" s="108">
        <v>54</v>
      </c>
      <c r="M77" s="109">
        <v>1</v>
      </c>
      <c r="N77" s="108">
        <f>VLOOKUP(B77,'[4]BCC Tổng 03.2026'!C$37:BG$1383,57,0)</f>
        <v>192</v>
      </c>
      <c r="O77" s="108">
        <f>VLOOKUP(B77,'[4]BCC Tổng 03.2026'!C$37:CZ$1048576,102,0)</f>
        <v>128</v>
      </c>
      <c r="P77" s="109">
        <f t="shared" si="10"/>
        <v>1</v>
      </c>
      <c r="Q77" s="109"/>
      <c r="R77" s="108">
        <f>+IFERROR(VLOOKUP(B77,'[5]Tháng 04.2026'!E:DY,125,0),"")</f>
        <v>0</v>
      </c>
      <c r="S77" s="109"/>
      <c r="T77" s="109"/>
      <c r="U77" s="109"/>
      <c r="V77" s="109"/>
      <c r="W77" s="109"/>
      <c r="X77" s="109"/>
      <c r="Y77" s="109"/>
      <c r="Z77" s="109"/>
      <c r="AA77" s="109"/>
      <c r="AB77" s="109"/>
      <c r="AC77" s="109"/>
      <c r="AD77" s="109"/>
      <c r="AE77" s="109"/>
      <c r="AF77" s="109"/>
      <c r="AG77" s="109"/>
      <c r="AH77" s="109"/>
      <c r="AI77" s="109"/>
      <c r="AJ77" s="109"/>
      <c r="AK77" s="109"/>
      <c r="AL77" s="109"/>
      <c r="AM77" s="109"/>
      <c r="AN77" s="110"/>
      <c r="AO77" s="110"/>
      <c r="AP77" s="110"/>
      <c r="AQ77" s="110"/>
      <c r="AR77" s="111">
        <f t="shared" si="13"/>
        <v>262</v>
      </c>
      <c r="AS77" s="112">
        <f t="shared" si="15"/>
        <v>-38</v>
      </c>
      <c r="AT77" s="113">
        <f t="shared" si="11"/>
        <v>0</v>
      </c>
      <c r="AU77" s="114"/>
      <c r="AV77" s="115">
        <f t="shared" si="12"/>
        <v>134</v>
      </c>
      <c r="AW77" s="115"/>
      <c r="AX77" s="92"/>
      <c r="AY77" s="92"/>
      <c r="AZ77" s="92"/>
      <c r="BA77" s="92"/>
      <c r="BB77" s="92"/>
      <c r="BC77" s="92"/>
      <c r="BD77" s="92"/>
      <c r="BE77" s="92"/>
      <c r="BF77" s="92"/>
      <c r="BG77" s="92"/>
    </row>
    <row r="78" spans="1:59" ht="22.5" customHeight="1" x14ac:dyDescent="0.35">
      <c r="A78" s="104">
        <f t="shared" si="14"/>
        <v>75</v>
      </c>
      <c r="B78" s="105" t="s">
        <v>217</v>
      </c>
      <c r="C78" s="105" t="s">
        <v>218</v>
      </c>
      <c r="D78" s="105" t="s">
        <v>97</v>
      </c>
      <c r="E78" s="105" t="s">
        <v>98</v>
      </c>
      <c r="F78" s="105" t="s">
        <v>91</v>
      </c>
      <c r="G78" s="106">
        <v>45519</v>
      </c>
      <c r="H78" s="107">
        <v>208</v>
      </c>
      <c r="I78" s="108">
        <v>80</v>
      </c>
      <c r="J78" s="109">
        <v>1</v>
      </c>
      <c r="K78" s="108">
        <v>216</v>
      </c>
      <c r="L78" s="108">
        <v>52</v>
      </c>
      <c r="M78" s="109">
        <v>1</v>
      </c>
      <c r="N78" s="108">
        <f>VLOOKUP(B78,'[4]BCC Tổng 03.2026'!C$37:BG$1383,57,0)</f>
        <v>192</v>
      </c>
      <c r="O78" s="108">
        <f>VLOOKUP(B78,'[4]BCC Tổng 03.2026'!C$37:CZ$1048576,102,0)</f>
        <v>128</v>
      </c>
      <c r="P78" s="109">
        <f t="shared" si="10"/>
        <v>1</v>
      </c>
      <c r="Q78" s="109"/>
      <c r="R78" s="108">
        <f>+IFERROR(VLOOKUP(B78,'[5]Tháng 04.2026'!E:DY,125,0),"")</f>
        <v>0</v>
      </c>
      <c r="S78" s="109"/>
      <c r="T78" s="109"/>
      <c r="U78" s="109"/>
      <c r="V78" s="109"/>
      <c r="W78" s="109"/>
      <c r="X78" s="109"/>
      <c r="Y78" s="109"/>
      <c r="Z78" s="109"/>
      <c r="AA78" s="109"/>
      <c r="AB78" s="109"/>
      <c r="AC78" s="109"/>
      <c r="AD78" s="109"/>
      <c r="AE78" s="109"/>
      <c r="AF78" s="109"/>
      <c r="AG78" s="109"/>
      <c r="AH78" s="109"/>
      <c r="AI78" s="109"/>
      <c r="AJ78" s="109"/>
      <c r="AK78" s="109"/>
      <c r="AL78" s="109"/>
      <c r="AM78" s="109"/>
      <c r="AN78" s="110"/>
      <c r="AO78" s="110"/>
      <c r="AP78" s="110"/>
      <c r="AQ78" s="110"/>
      <c r="AR78" s="111">
        <f t="shared" si="13"/>
        <v>260</v>
      </c>
      <c r="AS78" s="112">
        <f t="shared" si="15"/>
        <v>-40</v>
      </c>
      <c r="AT78" s="113">
        <f t="shared" si="11"/>
        <v>0</v>
      </c>
      <c r="AU78" s="114"/>
      <c r="AV78" s="115">
        <f t="shared" si="12"/>
        <v>132</v>
      </c>
      <c r="AW78" s="115"/>
      <c r="AX78" s="92"/>
      <c r="AY78" s="92"/>
      <c r="AZ78" s="92"/>
      <c r="BA78" s="92"/>
      <c r="BB78" s="92"/>
      <c r="BC78" s="92"/>
      <c r="BD78" s="92"/>
      <c r="BE78" s="92"/>
      <c r="BF78" s="92"/>
      <c r="BG78" s="92"/>
    </row>
    <row r="79" spans="1:59" ht="22.5" customHeight="1" x14ac:dyDescent="0.35">
      <c r="A79" s="104">
        <f t="shared" si="14"/>
        <v>76</v>
      </c>
      <c r="B79" s="105" t="s">
        <v>309</v>
      </c>
      <c r="C79" s="105" t="s">
        <v>310</v>
      </c>
      <c r="D79" s="105" t="s">
        <v>97</v>
      </c>
      <c r="E79" s="105" t="s">
        <v>112</v>
      </c>
      <c r="F79" s="105" t="s">
        <v>91</v>
      </c>
      <c r="G79" s="106">
        <v>45554</v>
      </c>
      <c r="H79" s="107">
        <v>208</v>
      </c>
      <c r="I79" s="108">
        <v>100</v>
      </c>
      <c r="J79" s="109">
        <v>1</v>
      </c>
      <c r="K79" s="108">
        <v>208</v>
      </c>
      <c r="L79" s="108">
        <v>48</v>
      </c>
      <c r="M79" s="109">
        <v>1</v>
      </c>
      <c r="N79" s="108">
        <f>VLOOKUP(B79,'[4]BCC Tổng 03.2026'!C$37:BG$1383,57,0)</f>
        <v>192</v>
      </c>
      <c r="O79" s="108">
        <f>VLOOKUP(B79,'[4]BCC Tổng 03.2026'!C$37:CZ$1048576,102,0)</f>
        <v>110</v>
      </c>
      <c r="P79" s="109">
        <f t="shared" si="10"/>
        <v>1</v>
      </c>
      <c r="Q79" s="109"/>
      <c r="R79" s="108">
        <f>+IFERROR(VLOOKUP(B79,'[5]Tháng 04.2026'!E:DY,125,0),"")</f>
        <v>0</v>
      </c>
      <c r="S79" s="109"/>
      <c r="T79" s="109"/>
      <c r="U79" s="109"/>
      <c r="V79" s="109"/>
      <c r="W79" s="109"/>
      <c r="X79" s="109"/>
      <c r="Y79" s="109"/>
      <c r="Z79" s="109"/>
      <c r="AA79" s="109"/>
      <c r="AB79" s="109"/>
      <c r="AC79" s="109"/>
      <c r="AD79" s="109"/>
      <c r="AE79" s="109"/>
      <c r="AF79" s="109"/>
      <c r="AG79" s="109"/>
      <c r="AH79" s="109"/>
      <c r="AI79" s="109"/>
      <c r="AJ79" s="109"/>
      <c r="AK79" s="109"/>
      <c r="AL79" s="109"/>
      <c r="AM79" s="109"/>
      <c r="AN79" s="110"/>
      <c r="AO79" s="110"/>
      <c r="AP79" s="110"/>
      <c r="AQ79" s="110"/>
      <c r="AR79" s="111">
        <f t="shared" si="13"/>
        <v>258</v>
      </c>
      <c r="AS79" s="112">
        <f t="shared" si="15"/>
        <v>-42</v>
      </c>
      <c r="AT79" s="113">
        <f t="shared" si="11"/>
        <v>0</v>
      </c>
      <c r="AU79" s="114"/>
      <c r="AV79" s="115">
        <f t="shared" si="12"/>
        <v>148</v>
      </c>
      <c r="AW79" s="115"/>
      <c r="AX79" s="92"/>
      <c r="AY79" s="92"/>
      <c r="AZ79" s="92"/>
      <c r="BA79" s="92"/>
      <c r="BB79" s="92"/>
      <c r="BC79" s="92"/>
      <c r="BD79" s="92"/>
      <c r="BE79" s="92"/>
      <c r="BF79" s="92"/>
      <c r="BG79" s="92"/>
    </row>
    <row r="80" spans="1:59" ht="22.5" customHeight="1" x14ac:dyDescent="0.35">
      <c r="A80" s="104">
        <f t="shared" si="14"/>
        <v>77</v>
      </c>
      <c r="B80" s="105" t="s">
        <v>311</v>
      </c>
      <c r="C80" s="105" t="s">
        <v>312</v>
      </c>
      <c r="D80" s="105" t="s">
        <v>97</v>
      </c>
      <c r="E80" s="105" t="s">
        <v>112</v>
      </c>
      <c r="F80" s="105" t="s">
        <v>91</v>
      </c>
      <c r="G80" s="106">
        <v>45554</v>
      </c>
      <c r="H80" s="107">
        <v>200</v>
      </c>
      <c r="I80" s="108">
        <v>79</v>
      </c>
      <c r="J80" s="109">
        <v>1</v>
      </c>
      <c r="K80" s="108">
        <v>88</v>
      </c>
      <c r="L80" s="108">
        <v>0</v>
      </c>
      <c r="M80" s="109">
        <v>0</v>
      </c>
      <c r="N80" s="108">
        <f>VLOOKUP(B80,'[4]BCC Tổng 03.2026'!C$37:BG$1383,57,0)</f>
        <v>192</v>
      </c>
      <c r="O80" s="108">
        <f>VLOOKUP(B80,'[4]BCC Tổng 03.2026'!C$37:CZ$1048576,102,0)</f>
        <v>104</v>
      </c>
      <c r="P80" s="109">
        <f t="shared" si="10"/>
        <v>1</v>
      </c>
      <c r="Q80" s="109"/>
      <c r="R80" s="108">
        <f>+IFERROR(VLOOKUP(B80,'[5]Tháng 04.2026'!E:DY,125,0),"")</f>
        <v>0</v>
      </c>
      <c r="S80" s="109"/>
      <c r="T80" s="109"/>
      <c r="U80" s="109"/>
      <c r="V80" s="109"/>
      <c r="W80" s="109"/>
      <c r="X80" s="109"/>
      <c r="Y80" s="109"/>
      <c r="Z80" s="109"/>
      <c r="AA80" s="109"/>
      <c r="AB80" s="109"/>
      <c r="AC80" s="109"/>
      <c r="AD80" s="109"/>
      <c r="AE80" s="109"/>
      <c r="AF80" s="109"/>
      <c r="AG80" s="109"/>
      <c r="AH80" s="109"/>
      <c r="AI80" s="109"/>
      <c r="AJ80" s="109"/>
      <c r="AK80" s="109"/>
      <c r="AL80" s="109"/>
      <c r="AM80" s="109"/>
      <c r="AN80" s="110"/>
      <c r="AO80" s="110"/>
      <c r="AP80" s="110"/>
      <c r="AQ80" s="110"/>
      <c r="AR80" s="111">
        <f t="shared" si="13"/>
        <v>183</v>
      </c>
      <c r="AS80" s="112">
        <f t="shared" si="15"/>
        <v>-117</v>
      </c>
      <c r="AT80" s="113">
        <f t="shared" si="11"/>
        <v>0</v>
      </c>
      <c r="AU80" s="114"/>
      <c r="AV80" s="115">
        <f t="shared" si="12"/>
        <v>79</v>
      </c>
      <c r="AW80" s="115"/>
      <c r="AX80" s="92"/>
      <c r="AY80" s="92"/>
      <c r="AZ80" s="92"/>
      <c r="BA80" s="92"/>
      <c r="BB80" s="92"/>
      <c r="BC80" s="92"/>
      <c r="BD80" s="92"/>
      <c r="BE80" s="92"/>
      <c r="BF80" s="92"/>
      <c r="BG80" s="92"/>
    </row>
    <row r="81" spans="1:59" ht="22.5" customHeight="1" x14ac:dyDescent="0.35">
      <c r="A81" s="104">
        <f t="shared" si="14"/>
        <v>78</v>
      </c>
      <c r="B81" s="105" t="s">
        <v>313</v>
      </c>
      <c r="C81" s="105" t="s">
        <v>431</v>
      </c>
      <c r="D81" s="105" t="s">
        <v>97</v>
      </c>
      <c r="E81" s="105" t="s">
        <v>336</v>
      </c>
      <c r="F81" s="105" t="s">
        <v>342</v>
      </c>
      <c r="G81" s="106">
        <v>45561</v>
      </c>
      <c r="H81" s="107">
        <v>208</v>
      </c>
      <c r="I81" s="108">
        <v>7</v>
      </c>
      <c r="J81" s="109">
        <v>0</v>
      </c>
      <c r="K81" s="108">
        <v>216</v>
      </c>
      <c r="L81" s="108">
        <v>0.5</v>
      </c>
      <c r="M81" s="109">
        <v>0</v>
      </c>
      <c r="N81" s="108">
        <f>VLOOKUP(B81,'[4]BCC Tổng 03.2026'!C$37:BG$1383,57,0)</f>
        <v>192</v>
      </c>
      <c r="O81" s="108">
        <f>VLOOKUP(B81,'[4]BCC Tổng 03.2026'!C$37:CZ$1048576,102,0)</f>
        <v>6.25</v>
      </c>
      <c r="P81" s="109">
        <f t="shared" si="10"/>
        <v>0</v>
      </c>
      <c r="Q81" s="109"/>
      <c r="R81" s="108">
        <f>+IFERROR(VLOOKUP(B81,'[5]Tháng 04.2026'!E:DY,125,0),"")</f>
        <v>0</v>
      </c>
      <c r="S81" s="109"/>
      <c r="T81" s="109"/>
      <c r="U81" s="109"/>
      <c r="V81" s="109"/>
      <c r="W81" s="109"/>
      <c r="X81" s="109"/>
      <c r="Y81" s="109"/>
      <c r="Z81" s="109"/>
      <c r="AA81" s="109"/>
      <c r="AB81" s="109"/>
      <c r="AC81" s="109"/>
      <c r="AD81" s="109"/>
      <c r="AE81" s="109"/>
      <c r="AF81" s="109"/>
      <c r="AG81" s="109"/>
      <c r="AH81" s="109"/>
      <c r="AI81" s="109"/>
      <c r="AJ81" s="109"/>
      <c r="AK81" s="109"/>
      <c r="AL81" s="109"/>
      <c r="AM81" s="109"/>
      <c r="AN81" s="110"/>
      <c r="AO81" s="110"/>
      <c r="AP81" s="110"/>
      <c r="AQ81" s="110"/>
      <c r="AR81" s="111">
        <f t="shared" si="13"/>
        <v>13.75</v>
      </c>
      <c r="AS81" s="112">
        <f t="shared" si="15"/>
        <v>-286.25</v>
      </c>
      <c r="AT81" s="113">
        <f t="shared" si="11"/>
        <v>0</v>
      </c>
      <c r="AU81" s="114"/>
      <c r="AV81" s="115">
        <f t="shared" si="12"/>
        <v>7.5</v>
      </c>
      <c r="AW81" s="115"/>
      <c r="AX81" s="92"/>
      <c r="AY81" s="92"/>
      <c r="AZ81" s="92"/>
      <c r="BA81" s="92"/>
      <c r="BB81" s="92"/>
      <c r="BC81" s="92"/>
      <c r="BD81" s="92"/>
      <c r="BE81" s="92"/>
      <c r="BF81" s="92"/>
      <c r="BG81" s="92"/>
    </row>
    <row r="82" spans="1:59" ht="22.5" customHeight="1" x14ac:dyDescent="0.35">
      <c r="A82" s="104">
        <f t="shared" si="14"/>
        <v>79</v>
      </c>
      <c r="B82" s="105" t="s">
        <v>314</v>
      </c>
      <c r="C82" s="105" t="s">
        <v>315</v>
      </c>
      <c r="D82" s="105" t="s">
        <v>97</v>
      </c>
      <c r="E82" s="105" t="s">
        <v>336</v>
      </c>
      <c r="F82" s="105" t="s">
        <v>346</v>
      </c>
      <c r="G82" s="106">
        <v>45565</v>
      </c>
      <c r="H82" s="107">
        <v>208</v>
      </c>
      <c r="I82" s="108">
        <v>8</v>
      </c>
      <c r="J82" s="109">
        <v>0</v>
      </c>
      <c r="K82" s="108">
        <v>216</v>
      </c>
      <c r="L82" s="108">
        <v>4</v>
      </c>
      <c r="M82" s="109">
        <v>0</v>
      </c>
      <c r="N82" s="108">
        <f>VLOOKUP(B82,'[4]BCC Tổng 03.2026'!C$37:BG$1383,57,0)</f>
        <v>192</v>
      </c>
      <c r="O82" s="108">
        <f>VLOOKUP(B82,'[4]BCC Tổng 03.2026'!C$37:CZ$1048576,102,0)</f>
        <v>5</v>
      </c>
      <c r="P82" s="109">
        <f t="shared" si="10"/>
        <v>0</v>
      </c>
      <c r="Q82" s="109"/>
      <c r="R82" s="108">
        <f>+IFERROR(VLOOKUP(B82,'[5]Tháng 04.2026'!E:DY,125,0),"")</f>
        <v>0</v>
      </c>
      <c r="S82" s="109"/>
      <c r="T82" s="109"/>
      <c r="U82" s="109"/>
      <c r="V82" s="109"/>
      <c r="W82" s="109"/>
      <c r="X82" s="109"/>
      <c r="Y82" s="109"/>
      <c r="Z82" s="109"/>
      <c r="AA82" s="109"/>
      <c r="AB82" s="109"/>
      <c r="AC82" s="109"/>
      <c r="AD82" s="109"/>
      <c r="AE82" s="109"/>
      <c r="AF82" s="109"/>
      <c r="AG82" s="109"/>
      <c r="AH82" s="109"/>
      <c r="AI82" s="109"/>
      <c r="AJ82" s="109"/>
      <c r="AK82" s="109"/>
      <c r="AL82" s="109"/>
      <c r="AM82" s="109"/>
      <c r="AN82" s="110"/>
      <c r="AO82" s="110"/>
      <c r="AP82" s="110"/>
      <c r="AQ82" s="110"/>
      <c r="AR82" s="111">
        <f t="shared" si="13"/>
        <v>17</v>
      </c>
      <c r="AS82" s="112">
        <f t="shared" si="15"/>
        <v>-283</v>
      </c>
      <c r="AT82" s="113">
        <f t="shared" si="11"/>
        <v>0</v>
      </c>
      <c r="AU82" s="114"/>
      <c r="AV82" s="115">
        <f t="shared" si="12"/>
        <v>12</v>
      </c>
      <c r="AW82" s="115"/>
      <c r="AX82" s="92"/>
      <c r="AY82" s="92"/>
      <c r="AZ82" s="92"/>
      <c r="BA82" s="92"/>
      <c r="BB82" s="92"/>
      <c r="BC82" s="92"/>
      <c r="BD82" s="92"/>
      <c r="BE82" s="92"/>
      <c r="BF82" s="92"/>
      <c r="BG82" s="92"/>
    </row>
    <row r="83" spans="1:59" ht="22.5" customHeight="1" x14ac:dyDescent="0.35">
      <c r="A83" s="104">
        <f t="shared" si="14"/>
        <v>80</v>
      </c>
      <c r="B83" s="105" t="s">
        <v>219</v>
      </c>
      <c r="C83" s="105" t="s">
        <v>220</v>
      </c>
      <c r="D83" s="105" t="s">
        <v>97</v>
      </c>
      <c r="E83" s="105" t="s">
        <v>98</v>
      </c>
      <c r="F83" s="105" t="s">
        <v>91</v>
      </c>
      <c r="G83" s="106">
        <v>45580</v>
      </c>
      <c r="H83" s="107">
        <v>208</v>
      </c>
      <c r="I83" s="108">
        <v>82</v>
      </c>
      <c r="J83" s="109">
        <v>1</v>
      </c>
      <c r="K83" s="108">
        <v>200</v>
      </c>
      <c r="L83" s="108">
        <v>43</v>
      </c>
      <c r="M83" s="109">
        <v>1</v>
      </c>
      <c r="N83" s="108">
        <f>VLOOKUP(B83,'[4]BCC Tổng 03.2026'!C$37:BG$1383,57,0)</f>
        <v>192</v>
      </c>
      <c r="O83" s="108">
        <f>VLOOKUP(B83,'[4]BCC Tổng 03.2026'!C$37:CZ$1048576,102,0)</f>
        <v>117</v>
      </c>
      <c r="P83" s="109">
        <f t="shared" si="10"/>
        <v>1</v>
      </c>
      <c r="Q83" s="109"/>
      <c r="R83" s="108">
        <f>+IFERROR(VLOOKUP(B83,'[5]Tháng 04.2026'!E:DY,125,0),"")</f>
        <v>0</v>
      </c>
      <c r="S83" s="109"/>
      <c r="T83" s="109"/>
      <c r="U83" s="109"/>
      <c r="V83" s="109"/>
      <c r="W83" s="109"/>
      <c r="X83" s="109"/>
      <c r="Y83" s="109"/>
      <c r="Z83" s="109"/>
      <c r="AA83" s="109"/>
      <c r="AB83" s="109"/>
      <c r="AC83" s="109"/>
      <c r="AD83" s="109"/>
      <c r="AE83" s="109"/>
      <c r="AF83" s="109"/>
      <c r="AG83" s="109"/>
      <c r="AH83" s="109"/>
      <c r="AI83" s="109"/>
      <c r="AJ83" s="109"/>
      <c r="AK83" s="109"/>
      <c r="AL83" s="109"/>
      <c r="AM83" s="109"/>
      <c r="AN83" s="110"/>
      <c r="AO83" s="110"/>
      <c r="AP83" s="110"/>
      <c r="AQ83" s="110"/>
      <c r="AR83" s="111">
        <f t="shared" si="13"/>
        <v>242</v>
      </c>
      <c r="AS83" s="112">
        <f t="shared" si="15"/>
        <v>-58</v>
      </c>
      <c r="AT83" s="113">
        <f t="shared" si="11"/>
        <v>0</v>
      </c>
      <c r="AU83" s="114"/>
      <c r="AV83" s="115">
        <f t="shared" si="12"/>
        <v>125</v>
      </c>
      <c r="AW83" s="115"/>
      <c r="AX83" s="92"/>
      <c r="AY83" s="92"/>
      <c r="AZ83" s="92"/>
      <c r="BA83" s="92"/>
      <c r="BB83" s="92"/>
      <c r="BC83" s="92"/>
      <c r="BD83" s="92"/>
      <c r="BE83" s="92"/>
      <c r="BF83" s="92"/>
      <c r="BG83" s="92"/>
    </row>
    <row r="84" spans="1:59" ht="22.5" customHeight="1" x14ac:dyDescent="0.35">
      <c r="A84" s="104">
        <f t="shared" si="14"/>
        <v>81</v>
      </c>
      <c r="B84" s="105" t="s">
        <v>316</v>
      </c>
      <c r="C84" s="105" t="s">
        <v>317</v>
      </c>
      <c r="D84" s="105" t="s">
        <v>97</v>
      </c>
      <c r="E84" s="105" t="s">
        <v>112</v>
      </c>
      <c r="F84" s="105" t="s">
        <v>91</v>
      </c>
      <c r="G84" s="106">
        <v>45586</v>
      </c>
      <c r="H84" s="107">
        <v>204</v>
      </c>
      <c r="I84" s="108">
        <v>80</v>
      </c>
      <c r="J84" s="109">
        <v>1</v>
      </c>
      <c r="K84" s="108">
        <v>216</v>
      </c>
      <c r="L84" s="108">
        <v>64</v>
      </c>
      <c r="M84" s="109">
        <v>1</v>
      </c>
      <c r="N84" s="108">
        <f>VLOOKUP(B84,'[4]BCC Tổng 03.2026'!C$37:BG$1383,57,0)</f>
        <v>192</v>
      </c>
      <c r="O84" s="108">
        <f>VLOOKUP(B84,'[4]BCC Tổng 03.2026'!C$37:CZ$1048576,102,0)</f>
        <v>100</v>
      </c>
      <c r="P84" s="109">
        <f t="shared" si="10"/>
        <v>1</v>
      </c>
      <c r="Q84" s="109"/>
      <c r="R84" s="108">
        <f>+IFERROR(VLOOKUP(B84,'[5]Tháng 04.2026'!E:DY,125,0),"")</f>
        <v>0</v>
      </c>
      <c r="S84" s="109"/>
      <c r="T84" s="109"/>
      <c r="U84" s="109"/>
      <c r="V84" s="109"/>
      <c r="W84" s="109"/>
      <c r="X84" s="109"/>
      <c r="Y84" s="109"/>
      <c r="Z84" s="109"/>
      <c r="AA84" s="109"/>
      <c r="AB84" s="109"/>
      <c r="AC84" s="109"/>
      <c r="AD84" s="109"/>
      <c r="AE84" s="109"/>
      <c r="AF84" s="109"/>
      <c r="AG84" s="109"/>
      <c r="AH84" s="109"/>
      <c r="AI84" s="109"/>
      <c r="AJ84" s="109"/>
      <c r="AK84" s="109"/>
      <c r="AL84" s="109"/>
      <c r="AM84" s="109"/>
      <c r="AN84" s="110"/>
      <c r="AO84" s="110"/>
      <c r="AP84" s="110"/>
      <c r="AQ84" s="110"/>
      <c r="AR84" s="111">
        <f t="shared" si="13"/>
        <v>244</v>
      </c>
      <c r="AS84" s="112">
        <f t="shared" si="15"/>
        <v>-56</v>
      </c>
      <c r="AT84" s="113">
        <f t="shared" si="11"/>
        <v>0</v>
      </c>
      <c r="AU84" s="114"/>
      <c r="AV84" s="115">
        <f t="shared" si="12"/>
        <v>144</v>
      </c>
      <c r="AW84" s="115"/>
      <c r="AX84" s="92"/>
      <c r="AY84" s="92"/>
      <c r="AZ84" s="92"/>
      <c r="BA84" s="92"/>
      <c r="BB84" s="92"/>
      <c r="BC84" s="92"/>
      <c r="BD84" s="92"/>
      <c r="BE84" s="92"/>
      <c r="BF84" s="92"/>
      <c r="BG84" s="92"/>
    </row>
    <row r="85" spans="1:59" ht="22.5" customHeight="1" x14ac:dyDescent="0.35">
      <c r="A85" s="104">
        <f t="shared" si="14"/>
        <v>82</v>
      </c>
      <c r="B85" s="105" t="s">
        <v>221</v>
      </c>
      <c r="C85" s="105" t="s">
        <v>222</v>
      </c>
      <c r="D85" s="105" t="s">
        <v>97</v>
      </c>
      <c r="E85" s="105" t="s">
        <v>112</v>
      </c>
      <c r="F85" s="105" t="s">
        <v>91</v>
      </c>
      <c r="G85" s="106">
        <v>45586</v>
      </c>
      <c r="H85" s="107">
        <v>208</v>
      </c>
      <c r="I85" s="108">
        <v>90</v>
      </c>
      <c r="J85" s="109">
        <v>1</v>
      </c>
      <c r="K85" s="108">
        <v>216</v>
      </c>
      <c r="L85" s="108">
        <v>66</v>
      </c>
      <c r="M85" s="109">
        <v>1</v>
      </c>
      <c r="N85" s="108">
        <f>VLOOKUP(B85,'[4]BCC Tổng 03.2026'!C$37:BG$1383,57,0)</f>
        <v>192</v>
      </c>
      <c r="O85" s="108">
        <f>VLOOKUP(B85,'[4]BCC Tổng 03.2026'!C$37:CZ$1048576,102,0)</f>
        <v>128</v>
      </c>
      <c r="P85" s="109">
        <f t="shared" si="10"/>
        <v>1</v>
      </c>
      <c r="Q85" s="109"/>
      <c r="R85" s="108">
        <f>+IFERROR(VLOOKUP(B85,'[5]Tháng 04.2026'!E:DY,125,0),"")</f>
        <v>0</v>
      </c>
      <c r="S85" s="109"/>
      <c r="T85" s="109"/>
      <c r="U85" s="109"/>
      <c r="V85" s="109"/>
      <c r="W85" s="109"/>
      <c r="X85" s="109"/>
      <c r="Y85" s="109"/>
      <c r="Z85" s="109"/>
      <c r="AA85" s="109"/>
      <c r="AB85" s="109"/>
      <c r="AC85" s="109"/>
      <c r="AD85" s="109"/>
      <c r="AE85" s="109"/>
      <c r="AF85" s="109"/>
      <c r="AG85" s="109"/>
      <c r="AH85" s="109"/>
      <c r="AI85" s="109"/>
      <c r="AJ85" s="109"/>
      <c r="AK85" s="109"/>
      <c r="AL85" s="109"/>
      <c r="AM85" s="109"/>
      <c r="AN85" s="110"/>
      <c r="AO85" s="110"/>
      <c r="AP85" s="110"/>
      <c r="AQ85" s="110"/>
      <c r="AR85" s="111">
        <f t="shared" si="13"/>
        <v>284</v>
      </c>
      <c r="AS85" s="112">
        <f t="shared" si="15"/>
        <v>-16</v>
      </c>
      <c r="AT85" s="113">
        <f t="shared" si="11"/>
        <v>0</v>
      </c>
      <c r="AU85" s="114"/>
      <c r="AV85" s="115">
        <f t="shared" si="12"/>
        <v>156</v>
      </c>
      <c r="AW85" s="115"/>
      <c r="AX85" s="92"/>
      <c r="AY85" s="92"/>
      <c r="AZ85" s="92"/>
      <c r="BA85" s="92"/>
      <c r="BB85" s="92"/>
      <c r="BC85" s="92"/>
      <c r="BD85" s="92"/>
      <c r="BE85" s="92"/>
      <c r="BF85" s="92"/>
      <c r="BG85" s="92"/>
    </row>
    <row r="86" spans="1:59" ht="22.5" customHeight="1" x14ac:dyDescent="0.35">
      <c r="A86" s="104">
        <f t="shared" si="14"/>
        <v>83</v>
      </c>
      <c r="B86" s="105" t="s">
        <v>223</v>
      </c>
      <c r="C86" s="105" t="s">
        <v>224</v>
      </c>
      <c r="D86" s="105" t="s">
        <v>97</v>
      </c>
      <c r="E86" s="105" t="s">
        <v>98</v>
      </c>
      <c r="F86" s="105" t="s">
        <v>91</v>
      </c>
      <c r="G86" s="106">
        <v>45659</v>
      </c>
      <c r="H86" s="107">
        <v>208</v>
      </c>
      <c r="I86" s="108">
        <v>80</v>
      </c>
      <c r="J86" s="109">
        <v>1</v>
      </c>
      <c r="K86" s="108">
        <v>216</v>
      </c>
      <c r="L86" s="108">
        <v>46</v>
      </c>
      <c r="M86" s="109">
        <v>1</v>
      </c>
      <c r="N86" s="108">
        <f>VLOOKUP(B86,'[4]BCC Tổng 03.2026'!C$37:BG$1383,57,0)</f>
        <v>191.73333333300002</v>
      </c>
      <c r="O86" s="108">
        <f>VLOOKUP(B86,'[4]BCC Tổng 03.2026'!C$37:CZ$1048576,102,0)</f>
        <v>131</v>
      </c>
      <c r="P86" s="109">
        <f t="shared" si="10"/>
        <v>1</v>
      </c>
      <c r="Q86" s="109"/>
      <c r="R86" s="108">
        <f>+IFERROR(VLOOKUP(B86,'[5]Tháng 04.2026'!E:DY,125,0),"")</f>
        <v>0</v>
      </c>
      <c r="S86" s="109"/>
      <c r="T86" s="109"/>
      <c r="U86" s="109"/>
      <c r="V86" s="109"/>
      <c r="W86" s="109"/>
      <c r="X86" s="109"/>
      <c r="Y86" s="109"/>
      <c r="Z86" s="109"/>
      <c r="AA86" s="109"/>
      <c r="AB86" s="109"/>
      <c r="AC86" s="109"/>
      <c r="AD86" s="109"/>
      <c r="AE86" s="109"/>
      <c r="AF86" s="109"/>
      <c r="AG86" s="109"/>
      <c r="AH86" s="109"/>
      <c r="AI86" s="109"/>
      <c r="AJ86" s="109"/>
      <c r="AK86" s="109"/>
      <c r="AL86" s="109"/>
      <c r="AM86" s="109"/>
      <c r="AN86" s="110"/>
      <c r="AO86" s="110"/>
      <c r="AP86" s="110"/>
      <c r="AQ86" s="110"/>
      <c r="AR86" s="111">
        <f t="shared" si="13"/>
        <v>257</v>
      </c>
      <c r="AS86" s="112">
        <f t="shared" si="15"/>
        <v>-43</v>
      </c>
      <c r="AT86" s="113">
        <f t="shared" si="11"/>
        <v>0</v>
      </c>
      <c r="AU86" s="114"/>
      <c r="AV86" s="115">
        <f t="shared" si="12"/>
        <v>126</v>
      </c>
      <c r="AW86" s="115"/>
      <c r="AX86" s="92"/>
      <c r="AY86" s="92"/>
      <c r="AZ86" s="92"/>
      <c r="BA86" s="92"/>
      <c r="BB86" s="92"/>
      <c r="BC86" s="92"/>
      <c r="BD86" s="92"/>
      <c r="BE86" s="92"/>
      <c r="BF86" s="92"/>
      <c r="BG86" s="92"/>
    </row>
    <row r="87" spans="1:59" ht="22.5" customHeight="1" x14ac:dyDescent="0.35">
      <c r="A87" s="104">
        <f t="shared" si="14"/>
        <v>84</v>
      </c>
      <c r="B87" s="105" t="s">
        <v>225</v>
      </c>
      <c r="C87" s="105" t="s">
        <v>226</v>
      </c>
      <c r="D87" s="105" t="s">
        <v>97</v>
      </c>
      <c r="E87" s="105" t="s">
        <v>98</v>
      </c>
      <c r="F87" s="105" t="s">
        <v>91</v>
      </c>
      <c r="G87" s="106">
        <v>45659</v>
      </c>
      <c r="H87" s="107">
        <v>208</v>
      </c>
      <c r="I87" s="108">
        <v>80</v>
      </c>
      <c r="J87" s="109">
        <v>1</v>
      </c>
      <c r="K87" s="108">
        <v>216</v>
      </c>
      <c r="L87" s="108">
        <v>54</v>
      </c>
      <c r="M87" s="109">
        <v>1</v>
      </c>
      <c r="N87" s="108">
        <f>VLOOKUP(B87,'[4]BCC Tổng 03.2026'!C$37:BG$1383,57,0)</f>
        <v>192</v>
      </c>
      <c r="O87" s="108">
        <f>VLOOKUP(B87,'[4]BCC Tổng 03.2026'!C$37:CZ$1048576,102,0)</f>
        <v>104</v>
      </c>
      <c r="P87" s="109">
        <f t="shared" si="10"/>
        <v>1</v>
      </c>
      <c r="Q87" s="109"/>
      <c r="R87" s="108">
        <f>+IFERROR(VLOOKUP(B87,'[5]Tháng 04.2026'!E:DY,125,0),"")</f>
        <v>0</v>
      </c>
      <c r="S87" s="109"/>
      <c r="T87" s="109"/>
      <c r="U87" s="109"/>
      <c r="V87" s="109"/>
      <c r="W87" s="109"/>
      <c r="X87" s="109"/>
      <c r="Y87" s="109"/>
      <c r="Z87" s="109"/>
      <c r="AA87" s="109"/>
      <c r="AB87" s="109"/>
      <c r="AC87" s="109"/>
      <c r="AD87" s="109"/>
      <c r="AE87" s="109"/>
      <c r="AF87" s="109"/>
      <c r="AG87" s="109"/>
      <c r="AH87" s="109"/>
      <c r="AI87" s="109"/>
      <c r="AJ87" s="109"/>
      <c r="AK87" s="109"/>
      <c r="AL87" s="109"/>
      <c r="AM87" s="109"/>
      <c r="AN87" s="110"/>
      <c r="AO87" s="110"/>
      <c r="AP87" s="110"/>
      <c r="AQ87" s="110"/>
      <c r="AR87" s="111">
        <f t="shared" si="13"/>
        <v>238</v>
      </c>
      <c r="AS87" s="112">
        <f t="shared" si="15"/>
        <v>-62</v>
      </c>
      <c r="AT87" s="113">
        <f t="shared" si="11"/>
        <v>0</v>
      </c>
      <c r="AU87" s="114"/>
      <c r="AV87" s="115">
        <f t="shared" si="12"/>
        <v>134</v>
      </c>
      <c r="AW87" s="115"/>
      <c r="AX87" s="92"/>
      <c r="AY87" s="92"/>
      <c r="AZ87" s="92"/>
      <c r="BA87" s="92"/>
      <c r="BB87" s="92"/>
      <c r="BC87" s="92"/>
      <c r="BD87" s="92"/>
      <c r="BE87" s="92"/>
      <c r="BF87" s="92"/>
      <c r="BG87" s="92"/>
    </row>
    <row r="88" spans="1:59" ht="22.5" customHeight="1" x14ac:dyDescent="0.35">
      <c r="A88" s="104">
        <f t="shared" si="14"/>
        <v>85</v>
      </c>
      <c r="B88" s="105" t="s">
        <v>227</v>
      </c>
      <c r="C88" s="105" t="s">
        <v>228</v>
      </c>
      <c r="D88" s="105" t="s">
        <v>97</v>
      </c>
      <c r="E88" s="105" t="s">
        <v>98</v>
      </c>
      <c r="F88" s="105" t="s">
        <v>91</v>
      </c>
      <c r="G88" s="106">
        <v>45705</v>
      </c>
      <c r="H88" s="107">
        <v>208</v>
      </c>
      <c r="I88" s="108">
        <v>80</v>
      </c>
      <c r="J88" s="109">
        <v>1</v>
      </c>
      <c r="K88" s="108">
        <v>216</v>
      </c>
      <c r="L88" s="108">
        <v>59</v>
      </c>
      <c r="M88" s="109">
        <v>1</v>
      </c>
      <c r="N88" s="108">
        <f>VLOOKUP(B88,'[4]BCC Tổng 03.2026'!C$37:BG$1383,57,0)</f>
        <v>192</v>
      </c>
      <c r="O88" s="108">
        <f>VLOOKUP(B88,'[4]BCC Tổng 03.2026'!C$37:CZ$1048576,102,0)</f>
        <v>117</v>
      </c>
      <c r="P88" s="109">
        <f t="shared" si="10"/>
        <v>1</v>
      </c>
      <c r="Q88" s="109"/>
      <c r="R88" s="108">
        <f>+IFERROR(VLOOKUP(B88,'[5]Tháng 04.2026'!E:DY,125,0),"")</f>
        <v>0</v>
      </c>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10"/>
      <c r="AP88" s="110"/>
      <c r="AQ88" s="110"/>
      <c r="AR88" s="111">
        <f t="shared" si="13"/>
        <v>256</v>
      </c>
      <c r="AS88" s="112">
        <f t="shared" si="15"/>
        <v>-44</v>
      </c>
      <c r="AT88" s="113">
        <f t="shared" si="11"/>
        <v>0</v>
      </c>
      <c r="AU88" s="114"/>
      <c r="AV88" s="115">
        <f t="shared" si="12"/>
        <v>139</v>
      </c>
      <c r="AW88" s="115"/>
      <c r="AX88" s="92"/>
      <c r="AY88" s="92"/>
      <c r="AZ88" s="92"/>
      <c r="BA88" s="92"/>
      <c r="BB88" s="92"/>
      <c r="BC88" s="92"/>
      <c r="BD88" s="92"/>
      <c r="BE88" s="92"/>
      <c r="BF88" s="92"/>
      <c r="BG88" s="92"/>
    </row>
    <row r="89" spans="1:59" ht="22.5" customHeight="1" x14ac:dyDescent="0.35">
      <c r="A89" s="104">
        <f t="shared" si="14"/>
        <v>86</v>
      </c>
      <c r="B89" s="105" t="s">
        <v>229</v>
      </c>
      <c r="C89" s="105" t="s">
        <v>230</v>
      </c>
      <c r="D89" s="105" t="s">
        <v>97</v>
      </c>
      <c r="E89" s="105" t="s">
        <v>98</v>
      </c>
      <c r="F89" s="105" t="s">
        <v>91</v>
      </c>
      <c r="G89" s="106">
        <v>45705</v>
      </c>
      <c r="H89" s="107">
        <v>208</v>
      </c>
      <c r="I89" s="108">
        <v>67</v>
      </c>
      <c r="J89" s="109">
        <v>1</v>
      </c>
      <c r="K89" s="108">
        <v>216</v>
      </c>
      <c r="L89" s="108">
        <v>26</v>
      </c>
      <c r="M89" s="109">
        <v>0</v>
      </c>
      <c r="N89" s="108">
        <f>VLOOKUP(B89,'[4]BCC Tổng 03.2026'!C$37:BG$1383,57,0)</f>
        <v>192</v>
      </c>
      <c r="O89" s="108">
        <f>VLOOKUP(B89,'[4]BCC Tổng 03.2026'!C$37:CZ$1048576,102,0)</f>
        <v>99</v>
      </c>
      <c r="P89" s="109">
        <f t="shared" si="10"/>
        <v>1</v>
      </c>
      <c r="Q89" s="109"/>
      <c r="R89" s="108">
        <f>+IFERROR(VLOOKUP(B89,'[5]Tháng 04.2026'!E:DY,125,0),"")</f>
        <v>0</v>
      </c>
      <c r="S89" s="109"/>
      <c r="T89" s="109"/>
      <c r="U89" s="109"/>
      <c r="V89" s="109"/>
      <c r="W89" s="109"/>
      <c r="X89" s="109"/>
      <c r="Y89" s="109"/>
      <c r="Z89" s="109"/>
      <c r="AA89" s="109"/>
      <c r="AB89" s="109"/>
      <c r="AC89" s="109"/>
      <c r="AD89" s="109"/>
      <c r="AE89" s="109"/>
      <c r="AF89" s="109"/>
      <c r="AG89" s="109"/>
      <c r="AH89" s="109"/>
      <c r="AI89" s="109"/>
      <c r="AJ89" s="109"/>
      <c r="AK89" s="109"/>
      <c r="AL89" s="109"/>
      <c r="AM89" s="109"/>
      <c r="AN89" s="110"/>
      <c r="AO89" s="110"/>
      <c r="AP89" s="110"/>
      <c r="AQ89" s="110"/>
      <c r="AR89" s="111">
        <f t="shared" si="13"/>
        <v>192</v>
      </c>
      <c r="AS89" s="112">
        <f t="shared" si="15"/>
        <v>-108</v>
      </c>
      <c r="AT89" s="113">
        <f t="shared" si="11"/>
        <v>0</v>
      </c>
      <c r="AU89" s="114"/>
      <c r="AV89" s="115">
        <f t="shared" si="12"/>
        <v>93</v>
      </c>
      <c r="AW89" s="115"/>
      <c r="AX89" s="92"/>
      <c r="AY89" s="92"/>
      <c r="AZ89" s="92"/>
      <c r="BA89" s="92"/>
      <c r="BB89" s="92"/>
      <c r="BC89" s="92"/>
      <c r="BD89" s="92"/>
      <c r="BE89" s="92"/>
      <c r="BF89" s="92"/>
      <c r="BG89" s="92"/>
    </row>
    <row r="90" spans="1:59" ht="22.5" customHeight="1" x14ac:dyDescent="0.35">
      <c r="A90" s="104">
        <f t="shared" si="14"/>
        <v>87</v>
      </c>
      <c r="B90" s="105" t="s">
        <v>231</v>
      </c>
      <c r="C90" s="105" t="s">
        <v>232</v>
      </c>
      <c r="D90" s="105" t="s">
        <v>97</v>
      </c>
      <c r="E90" s="105" t="s">
        <v>112</v>
      </c>
      <c r="F90" s="105" t="s">
        <v>91</v>
      </c>
      <c r="G90" s="106">
        <v>45705</v>
      </c>
      <c r="H90" s="107">
        <v>208</v>
      </c>
      <c r="I90" s="108">
        <v>98</v>
      </c>
      <c r="J90" s="109">
        <v>1</v>
      </c>
      <c r="K90" s="108">
        <v>216</v>
      </c>
      <c r="L90" s="108">
        <v>64</v>
      </c>
      <c r="M90" s="109">
        <v>1</v>
      </c>
      <c r="N90" s="108">
        <f>VLOOKUP(B90,'[4]BCC Tổng 03.2026'!C$37:BG$1383,57,0)</f>
        <v>192</v>
      </c>
      <c r="O90" s="108">
        <f>VLOOKUP(B90,'[4]BCC Tổng 03.2026'!C$37:CZ$1048576,102,0)</f>
        <v>130</v>
      </c>
      <c r="P90" s="109">
        <f t="shared" si="10"/>
        <v>1</v>
      </c>
      <c r="Q90" s="109"/>
      <c r="R90" s="108">
        <f>+IFERROR(VLOOKUP(B90,'[5]Tháng 04.2026'!E:DY,125,0),"")</f>
        <v>0</v>
      </c>
      <c r="S90" s="109"/>
      <c r="T90" s="109"/>
      <c r="U90" s="109"/>
      <c r="V90" s="109"/>
      <c r="W90" s="109"/>
      <c r="X90" s="109"/>
      <c r="Y90" s="109"/>
      <c r="Z90" s="109"/>
      <c r="AA90" s="109"/>
      <c r="AB90" s="109"/>
      <c r="AC90" s="109"/>
      <c r="AD90" s="109"/>
      <c r="AE90" s="109"/>
      <c r="AF90" s="109"/>
      <c r="AG90" s="109"/>
      <c r="AH90" s="109"/>
      <c r="AI90" s="109"/>
      <c r="AJ90" s="109"/>
      <c r="AK90" s="109"/>
      <c r="AL90" s="109"/>
      <c r="AM90" s="109"/>
      <c r="AN90" s="110"/>
      <c r="AO90" s="110"/>
      <c r="AP90" s="110"/>
      <c r="AQ90" s="110"/>
      <c r="AR90" s="111">
        <f t="shared" si="13"/>
        <v>292</v>
      </c>
      <c r="AS90" s="112">
        <f t="shared" si="15"/>
        <v>-8</v>
      </c>
      <c r="AT90" s="113">
        <f t="shared" si="11"/>
        <v>0</v>
      </c>
      <c r="AU90" s="114"/>
      <c r="AV90" s="115">
        <f t="shared" si="12"/>
        <v>162</v>
      </c>
      <c r="AW90" s="115"/>
      <c r="AX90" s="92"/>
      <c r="AY90" s="92"/>
      <c r="AZ90" s="92"/>
      <c r="BA90" s="92"/>
      <c r="BB90" s="92"/>
      <c r="BC90" s="92"/>
      <c r="BD90" s="92"/>
      <c r="BE90" s="92"/>
      <c r="BF90" s="92"/>
      <c r="BG90" s="92"/>
    </row>
    <row r="91" spans="1:59" ht="22.5" customHeight="1" x14ac:dyDescent="0.35">
      <c r="A91" s="104">
        <f t="shared" si="14"/>
        <v>88</v>
      </c>
      <c r="B91" s="105" t="s">
        <v>318</v>
      </c>
      <c r="C91" s="105" t="s">
        <v>319</v>
      </c>
      <c r="D91" s="105" t="s">
        <v>97</v>
      </c>
      <c r="E91" s="105" t="s">
        <v>112</v>
      </c>
      <c r="F91" s="105" t="s">
        <v>91</v>
      </c>
      <c r="G91" s="106">
        <v>45705</v>
      </c>
      <c r="H91" s="107">
        <v>176</v>
      </c>
      <c r="I91" s="108">
        <v>81</v>
      </c>
      <c r="J91" s="109">
        <v>1</v>
      </c>
      <c r="K91" s="108">
        <v>216</v>
      </c>
      <c r="L91" s="108">
        <v>60</v>
      </c>
      <c r="M91" s="109">
        <v>1</v>
      </c>
      <c r="N91" s="108">
        <f>VLOOKUP(B91,'[4]BCC Tổng 03.2026'!C$37:BG$1383,57,0)</f>
        <v>192</v>
      </c>
      <c r="O91" s="108">
        <f>VLOOKUP(B91,'[4]BCC Tổng 03.2026'!C$37:CZ$1048576,102,0)</f>
        <v>116</v>
      </c>
      <c r="P91" s="109">
        <f t="shared" si="10"/>
        <v>1</v>
      </c>
      <c r="Q91" s="109"/>
      <c r="R91" s="108">
        <f>+IFERROR(VLOOKUP(B91,'[5]Tháng 04.2026'!E:DY,125,0),"")</f>
        <v>0</v>
      </c>
      <c r="S91" s="109"/>
      <c r="T91" s="109"/>
      <c r="U91" s="109"/>
      <c r="V91" s="109"/>
      <c r="W91" s="109"/>
      <c r="X91" s="109"/>
      <c r="Y91" s="109"/>
      <c r="Z91" s="109"/>
      <c r="AA91" s="109"/>
      <c r="AB91" s="109"/>
      <c r="AC91" s="109"/>
      <c r="AD91" s="109"/>
      <c r="AE91" s="109"/>
      <c r="AF91" s="109"/>
      <c r="AG91" s="109"/>
      <c r="AH91" s="109"/>
      <c r="AI91" s="109"/>
      <c r="AJ91" s="109"/>
      <c r="AK91" s="109"/>
      <c r="AL91" s="109"/>
      <c r="AM91" s="109"/>
      <c r="AN91" s="110"/>
      <c r="AO91" s="110"/>
      <c r="AP91" s="110"/>
      <c r="AQ91" s="110"/>
      <c r="AR91" s="111">
        <f t="shared" si="13"/>
        <v>257</v>
      </c>
      <c r="AS91" s="112">
        <f t="shared" si="15"/>
        <v>-43</v>
      </c>
      <c r="AT91" s="113">
        <f t="shared" si="11"/>
        <v>0</v>
      </c>
      <c r="AU91" s="114"/>
      <c r="AV91" s="115">
        <f t="shared" si="12"/>
        <v>141</v>
      </c>
      <c r="AW91" s="115"/>
      <c r="AX91" s="92"/>
      <c r="AY91" s="92"/>
      <c r="AZ91" s="92"/>
      <c r="BA91" s="92"/>
      <c r="BB91" s="92"/>
      <c r="BC91" s="92"/>
      <c r="BD91" s="92"/>
      <c r="BE91" s="92"/>
      <c r="BF91" s="92"/>
      <c r="BG91" s="92"/>
    </row>
    <row r="92" spans="1:59" ht="22.5" customHeight="1" x14ac:dyDescent="0.35">
      <c r="A92" s="104">
        <f t="shared" si="14"/>
        <v>89</v>
      </c>
      <c r="B92" s="105" t="s">
        <v>233</v>
      </c>
      <c r="C92" s="105" t="s">
        <v>234</v>
      </c>
      <c r="D92" s="105" t="s">
        <v>97</v>
      </c>
      <c r="E92" s="105" t="s">
        <v>98</v>
      </c>
      <c r="F92" s="105" t="s">
        <v>91</v>
      </c>
      <c r="G92" s="106">
        <v>44728</v>
      </c>
      <c r="H92" s="107">
        <v>208</v>
      </c>
      <c r="I92" s="108">
        <v>85</v>
      </c>
      <c r="J92" s="109">
        <v>1</v>
      </c>
      <c r="K92" s="108">
        <v>216</v>
      </c>
      <c r="L92" s="108">
        <v>51</v>
      </c>
      <c r="M92" s="109">
        <v>1</v>
      </c>
      <c r="N92" s="108">
        <f>VLOOKUP(B92,'[4]BCC Tổng 03.2026'!C$37:BG$1383,57,0)</f>
        <v>192</v>
      </c>
      <c r="O92" s="108">
        <f>VLOOKUP(B92,'[4]BCC Tổng 03.2026'!C$37:CZ$1048576,102,0)</f>
        <v>121</v>
      </c>
      <c r="P92" s="109">
        <f t="shared" si="10"/>
        <v>1</v>
      </c>
      <c r="Q92" s="109"/>
      <c r="R92" s="108">
        <f>+IFERROR(VLOOKUP(B92,'[5]Tháng 04.2026'!E:DY,125,0),"")</f>
        <v>0</v>
      </c>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10"/>
      <c r="AP92" s="110"/>
      <c r="AQ92" s="110"/>
      <c r="AR92" s="111">
        <f t="shared" si="13"/>
        <v>257</v>
      </c>
      <c r="AS92" s="112">
        <f t="shared" si="15"/>
        <v>-43</v>
      </c>
      <c r="AT92" s="113">
        <f t="shared" si="11"/>
        <v>0</v>
      </c>
      <c r="AU92" s="114"/>
      <c r="AV92" s="115">
        <f t="shared" si="12"/>
        <v>136</v>
      </c>
      <c r="AW92" s="115"/>
      <c r="AX92" s="92"/>
      <c r="AY92" s="92"/>
      <c r="AZ92" s="92"/>
      <c r="BA92" s="92"/>
      <c r="BB92" s="92"/>
      <c r="BC92" s="92"/>
      <c r="BD92" s="92"/>
      <c r="BE92" s="92"/>
      <c r="BF92" s="92"/>
      <c r="BG92" s="92"/>
    </row>
    <row r="93" spans="1:59" ht="22.5" customHeight="1" x14ac:dyDescent="0.35">
      <c r="A93" s="104">
        <f t="shared" si="14"/>
        <v>90</v>
      </c>
      <c r="B93" s="105" t="s">
        <v>235</v>
      </c>
      <c r="C93" s="105" t="s">
        <v>236</v>
      </c>
      <c r="D93" s="105" t="s">
        <v>97</v>
      </c>
      <c r="E93" s="105" t="s">
        <v>98</v>
      </c>
      <c r="F93" s="105" t="s">
        <v>91</v>
      </c>
      <c r="G93" s="106">
        <v>45714</v>
      </c>
      <c r="H93" s="107">
        <v>208</v>
      </c>
      <c r="I93" s="108">
        <v>67</v>
      </c>
      <c r="J93" s="109">
        <v>1</v>
      </c>
      <c r="K93" s="108">
        <v>216</v>
      </c>
      <c r="L93" s="108">
        <v>28</v>
      </c>
      <c r="M93" s="109">
        <v>0</v>
      </c>
      <c r="N93" s="108">
        <f>VLOOKUP(B93,'[4]BCC Tổng 03.2026'!C$37:BG$1383,57,0)</f>
        <v>192</v>
      </c>
      <c r="O93" s="108">
        <f>VLOOKUP(B93,'[4]BCC Tổng 03.2026'!C$37:CZ$1048576,102,0)</f>
        <v>100</v>
      </c>
      <c r="P93" s="109">
        <f t="shared" si="10"/>
        <v>1</v>
      </c>
      <c r="Q93" s="109"/>
      <c r="R93" s="108">
        <f>+IFERROR(VLOOKUP(B93,'[5]Tháng 04.2026'!E:DY,125,0),"")</f>
        <v>0</v>
      </c>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10"/>
      <c r="AP93" s="110"/>
      <c r="AQ93" s="110"/>
      <c r="AR93" s="111">
        <f t="shared" si="13"/>
        <v>195</v>
      </c>
      <c r="AS93" s="112">
        <f t="shared" si="15"/>
        <v>-105</v>
      </c>
      <c r="AT93" s="113">
        <f t="shared" si="11"/>
        <v>0</v>
      </c>
      <c r="AU93" s="114"/>
      <c r="AV93" s="115">
        <f t="shared" si="12"/>
        <v>95</v>
      </c>
      <c r="AW93" s="115"/>
      <c r="AX93" s="92"/>
      <c r="AY93" s="92"/>
      <c r="AZ93" s="92"/>
      <c r="BA93" s="92"/>
      <c r="BB93" s="92"/>
      <c r="BC93" s="92"/>
      <c r="BD93" s="92"/>
      <c r="BE93" s="92"/>
      <c r="BF93" s="92"/>
      <c r="BG93" s="92"/>
    </row>
    <row r="94" spans="1:59" ht="22.5" customHeight="1" x14ac:dyDescent="0.35">
      <c r="A94" s="104">
        <f t="shared" si="14"/>
        <v>91</v>
      </c>
      <c r="B94" s="105" t="s">
        <v>237</v>
      </c>
      <c r="C94" s="105" t="s">
        <v>238</v>
      </c>
      <c r="D94" s="105" t="s">
        <v>97</v>
      </c>
      <c r="E94" s="105" t="s">
        <v>112</v>
      </c>
      <c r="F94" s="105" t="s">
        <v>91</v>
      </c>
      <c r="G94" s="106">
        <v>45714</v>
      </c>
      <c r="H94" s="107">
        <v>208</v>
      </c>
      <c r="I94" s="108">
        <v>87</v>
      </c>
      <c r="J94" s="109">
        <v>1</v>
      </c>
      <c r="K94" s="108">
        <v>216</v>
      </c>
      <c r="L94" s="108">
        <v>54</v>
      </c>
      <c r="M94" s="109">
        <v>1</v>
      </c>
      <c r="N94" s="108">
        <f>VLOOKUP(B94,'[4]BCC Tổng 03.2026'!C$37:BG$1383,57,0)</f>
        <v>192</v>
      </c>
      <c r="O94" s="108">
        <f>VLOOKUP(B94,'[4]BCC Tổng 03.2026'!C$37:CZ$1048576,102,0)</f>
        <v>123</v>
      </c>
      <c r="P94" s="109">
        <f t="shared" si="10"/>
        <v>1</v>
      </c>
      <c r="Q94" s="109"/>
      <c r="R94" s="108">
        <f>+IFERROR(VLOOKUP(B94,'[5]Tháng 04.2026'!E:DY,125,0),"")</f>
        <v>0</v>
      </c>
      <c r="S94" s="109"/>
      <c r="T94" s="109"/>
      <c r="U94" s="109"/>
      <c r="V94" s="109"/>
      <c r="W94" s="109"/>
      <c r="X94" s="109"/>
      <c r="Y94" s="109"/>
      <c r="Z94" s="109"/>
      <c r="AA94" s="109"/>
      <c r="AB94" s="109"/>
      <c r="AC94" s="109"/>
      <c r="AD94" s="109"/>
      <c r="AE94" s="109"/>
      <c r="AF94" s="109"/>
      <c r="AG94" s="109"/>
      <c r="AH94" s="109"/>
      <c r="AI94" s="109"/>
      <c r="AJ94" s="109"/>
      <c r="AK94" s="109"/>
      <c r="AL94" s="109"/>
      <c r="AM94" s="109"/>
      <c r="AN94" s="110"/>
      <c r="AO94" s="110"/>
      <c r="AP94" s="110"/>
      <c r="AQ94" s="110"/>
      <c r="AR94" s="111">
        <f t="shared" si="13"/>
        <v>264</v>
      </c>
      <c r="AS94" s="112">
        <f t="shared" si="15"/>
        <v>-36</v>
      </c>
      <c r="AT94" s="113">
        <f t="shared" si="11"/>
        <v>0</v>
      </c>
      <c r="AU94" s="114"/>
      <c r="AV94" s="115">
        <f t="shared" si="12"/>
        <v>141</v>
      </c>
      <c r="AW94" s="115"/>
      <c r="AX94" s="92"/>
      <c r="AY94" s="92"/>
      <c r="AZ94" s="92"/>
      <c r="BA94" s="92"/>
      <c r="BB94" s="92"/>
      <c r="BC94" s="92"/>
      <c r="BD94" s="92"/>
      <c r="BE94" s="92"/>
      <c r="BF94" s="92"/>
      <c r="BG94" s="92"/>
    </row>
    <row r="95" spans="1:59" ht="22.5" customHeight="1" x14ac:dyDescent="0.35">
      <c r="A95" s="104">
        <f t="shared" si="14"/>
        <v>92</v>
      </c>
      <c r="B95" s="105" t="s">
        <v>239</v>
      </c>
      <c r="C95" s="105" t="s">
        <v>240</v>
      </c>
      <c r="D95" s="105" t="s">
        <v>97</v>
      </c>
      <c r="E95" s="105" t="s">
        <v>112</v>
      </c>
      <c r="F95" s="105" t="s">
        <v>91</v>
      </c>
      <c r="G95" s="106">
        <v>45714</v>
      </c>
      <c r="H95" s="107">
        <v>208</v>
      </c>
      <c r="I95" s="108">
        <v>93</v>
      </c>
      <c r="J95" s="109">
        <v>1</v>
      </c>
      <c r="K95" s="108">
        <v>216</v>
      </c>
      <c r="L95" s="108">
        <v>66</v>
      </c>
      <c r="M95" s="109">
        <v>1</v>
      </c>
      <c r="N95" s="108">
        <f>VLOOKUP(B95,'[4]BCC Tổng 03.2026'!C$37:BG$1383,57,0)</f>
        <v>184</v>
      </c>
      <c r="O95" s="108">
        <f>VLOOKUP(B95,'[4]BCC Tổng 03.2026'!C$37:CZ$1048576,102,0)</f>
        <v>104</v>
      </c>
      <c r="P95" s="109">
        <f t="shared" si="10"/>
        <v>1</v>
      </c>
      <c r="Q95" s="109"/>
      <c r="R95" s="108">
        <f>+IFERROR(VLOOKUP(B95,'[5]Tháng 04.2026'!E:DY,125,0),"")</f>
        <v>0</v>
      </c>
      <c r="S95" s="109"/>
      <c r="T95" s="109"/>
      <c r="U95" s="109"/>
      <c r="V95" s="109"/>
      <c r="W95" s="109"/>
      <c r="X95" s="109"/>
      <c r="Y95" s="109"/>
      <c r="Z95" s="109"/>
      <c r="AA95" s="109"/>
      <c r="AB95" s="109"/>
      <c r="AC95" s="109"/>
      <c r="AD95" s="109"/>
      <c r="AE95" s="109"/>
      <c r="AF95" s="109"/>
      <c r="AG95" s="109"/>
      <c r="AH95" s="109"/>
      <c r="AI95" s="109"/>
      <c r="AJ95" s="109"/>
      <c r="AK95" s="109"/>
      <c r="AL95" s="109"/>
      <c r="AM95" s="109"/>
      <c r="AN95" s="110"/>
      <c r="AO95" s="110"/>
      <c r="AP95" s="110"/>
      <c r="AQ95" s="110"/>
      <c r="AR95" s="111">
        <f t="shared" si="13"/>
        <v>263</v>
      </c>
      <c r="AS95" s="112">
        <f t="shared" si="15"/>
        <v>-37</v>
      </c>
      <c r="AT95" s="113">
        <f t="shared" si="11"/>
        <v>0</v>
      </c>
      <c r="AU95" s="114"/>
      <c r="AV95" s="115">
        <f t="shared" si="12"/>
        <v>159</v>
      </c>
      <c r="AW95" s="115"/>
      <c r="AX95" s="92"/>
      <c r="AY95" s="92"/>
      <c r="AZ95" s="92"/>
      <c r="BA95" s="92"/>
      <c r="BB95" s="92"/>
      <c r="BC95" s="92"/>
      <c r="BD95" s="92"/>
      <c r="BE95" s="92"/>
      <c r="BF95" s="92"/>
      <c r="BG95" s="92"/>
    </row>
    <row r="96" spans="1:59" ht="22.5" customHeight="1" x14ac:dyDescent="0.35">
      <c r="A96" s="104">
        <f t="shared" si="14"/>
        <v>93</v>
      </c>
      <c r="B96" s="105" t="s">
        <v>241</v>
      </c>
      <c r="C96" s="105" t="s">
        <v>242</v>
      </c>
      <c r="D96" s="105" t="s">
        <v>97</v>
      </c>
      <c r="E96" s="105" t="s">
        <v>112</v>
      </c>
      <c r="F96" s="105" t="s">
        <v>91</v>
      </c>
      <c r="G96" s="106">
        <v>45721</v>
      </c>
      <c r="H96" s="107">
        <v>208</v>
      </c>
      <c r="I96" s="108">
        <v>98</v>
      </c>
      <c r="J96" s="109">
        <v>1</v>
      </c>
      <c r="K96" s="108">
        <v>216</v>
      </c>
      <c r="L96" s="108">
        <v>64</v>
      </c>
      <c r="M96" s="109">
        <v>1</v>
      </c>
      <c r="N96" s="108">
        <f>VLOOKUP(B96,'[4]BCC Tổng 03.2026'!C$37:BG$1383,57,0)</f>
        <v>192</v>
      </c>
      <c r="O96" s="108">
        <f>VLOOKUP(B96,'[4]BCC Tổng 03.2026'!C$37:CZ$1048576,102,0)</f>
        <v>132</v>
      </c>
      <c r="P96" s="109">
        <f t="shared" si="10"/>
        <v>1</v>
      </c>
      <c r="Q96" s="109"/>
      <c r="R96" s="108">
        <f>+IFERROR(VLOOKUP(B96,'[5]Tháng 04.2026'!E:DY,125,0),"")</f>
        <v>0</v>
      </c>
      <c r="S96" s="109"/>
      <c r="T96" s="109"/>
      <c r="U96" s="109"/>
      <c r="V96" s="109"/>
      <c r="W96" s="109"/>
      <c r="X96" s="109"/>
      <c r="Y96" s="109"/>
      <c r="Z96" s="109"/>
      <c r="AA96" s="109"/>
      <c r="AB96" s="109"/>
      <c r="AC96" s="109"/>
      <c r="AD96" s="109"/>
      <c r="AE96" s="109"/>
      <c r="AF96" s="109"/>
      <c r="AG96" s="109"/>
      <c r="AH96" s="109"/>
      <c r="AI96" s="109"/>
      <c r="AJ96" s="109"/>
      <c r="AK96" s="109"/>
      <c r="AL96" s="109"/>
      <c r="AM96" s="109"/>
      <c r="AN96" s="110"/>
      <c r="AO96" s="110"/>
      <c r="AP96" s="110"/>
      <c r="AQ96" s="110"/>
      <c r="AR96" s="111">
        <f t="shared" si="13"/>
        <v>294</v>
      </c>
      <c r="AS96" s="112">
        <f t="shared" si="15"/>
        <v>-6</v>
      </c>
      <c r="AT96" s="113">
        <f t="shared" si="11"/>
        <v>0</v>
      </c>
      <c r="AU96" s="114"/>
      <c r="AV96" s="115">
        <f t="shared" si="12"/>
        <v>162</v>
      </c>
      <c r="AW96" s="115"/>
      <c r="AX96" s="92"/>
      <c r="AY96" s="92"/>
      <c r="AZ96" s="92"/>
      <c r="BA96" s="92"/>
      <c r="BB96" s="92"/>
      <c r="BC96" s="92"/>
      <c r="BD96" s="92"/>
      <c r="BE96" s="92"/>
      <c r="BF96" s="92"/>
      <c r="BG96" s="92"/>
    </row>
    <row r="97" spans="1:59" ht="22.5" customHeight="1" x14ac:dyDescent="0.35">
      <c r="A97" s="104">
        <f t="shared" si="14"/>
        <v>94</v>
      </c>
      <c r="B97" s="105" t="s">
        <v>243</v>
      </c>
      <c r="C97" s="105" t="s">
        <v>244</v>
      </c>
      <c r="D97" s="105" t="s">
        <v>97</v>
      </c>
      <c r="E97" s="105" t="s">
        <v>112</v>
      </c>
      <c r="F97" s="105" t="s">
        <v>91</v>
      </c>
      <c r="G97" s="106">
        <v>45730</v>
      </c>
      <c r="H97" s="107">
        <v>208</v>
      </c>
      <c r="I97" s="108">
        <v>100</v>
      </c>
      <c r="J97" s="109">
        <v>1</v>
      </c>
      <c r="K97" s="108">
        <v>214</v>
      </c>
      <c r="L97" s="108">
        <v>68</v>
      </c>
      <c r="M97" s="109">
        <v>1</v>
      </c>
      <c r="N97" s="108">
        <f>VLOOKUP(B97,'[4]BCC Tổng 03.2026'!C$37:BG$1383,57,0)</f>
        <v>192</v>
      </c>
      <c r="O97" s="108">
        <f>VLOOKUP(B97,'[4]BCC Tổng 03.2026'!C$37:CZ$1048576,102,0)</f>
        <v>136</v>
      </c>
      <c r="P97" s="109">
        <f t="shared" si="10"/>
        <v>1</v>
      </c>
      <c r="Q97" s="109"/>
      <c r="R97" s="108">
        <f>+IFERROR(VLOOKUP(B97,'[5]Tháng 04.2026'!E:DY,125,0),"")</f>
        <v>0</v>
      </c>
      <c r="S97" s="109"/>
      <c r="T97" s="109"/>
      <c r="U97" s="109"/>
      <c r="V97" s="109"/>
      <c r="W97" s="109"/>
      <c r="X97" s="109"/>
      <c r="Y97" s="109"/>
      <c r="Z97" s="109"/>
      <c r="AA97" s="109"/>
      <c r="AB97" s="109"/>
      <c r="AC97" s="109"/>
      <c r="AD97" s="109"/>
      <c r="AE97" s="109"/>
      <c r="AF97" s="109"/>
      <c r="AG97" s="109"/>
      <c r="AH97" s="109"/>
      <c r="AI97" s="109"/>
      <c r="AJ97" s="109"/>
      <c r="AK97" s="109"/>
      <c r="AL97" s="109"/>
      <c r="AM97" s="109"/>
      <c r="AN97" s="110"/>
      <c r="AO97" s="110"/>
      <c r="AP97" s="110"/>
      <c r="AQ97" s="110"/>
      <c r="AR97" s="111">
        <f t="shared" si="13"/>
        <v>304</v>
      </c>
      <c r="AS97" s="112">
        <f t="shared" si="15"/>
        <v>4</v>
      </c>
      <c r="AT97" s="113">
        <f t="shared" si="11"/>
        <v>1</v>
      </c>
      <c r="AU97" s="114"/>
      <c r="AV97" s="115">
        <f t="shared" si="12"/>
        <v>168</v>
      </c>
      <c r="AW97" s="115"/>
      <c r="AX97" s="92"/>
      <c r="AY97" s="92"/>
      <c r="AZ97" s="92"/>
      <c r="BA97" s="92"/>
      <c r="BB97" s="92"/>
      <c r="BC97" s="92"/>
      <c r="BD97" s="92"/>
      <c r="BE97" s="92"/>
      <c r="BF97" s="92"/>
      <c r="BG97" s="92"/>
    </row>
    <row r="98" spans="1:59" ht="22.5" customHeight="1" x14ac:dyDescent="0.35">
      <c r="A98" s="104">
        <f t="shared" si="14"/>
        <v>95</v>
      </c>
      <c r="B98" s="105" t="s">
        <v>320</v>
      </c>
      <c r="C98" s="105" t="s">
        <v>321</v>
      </c>
      <c r="D98" s="105" t="s">
        <v>97</v>
      </c>
      <c r="E98" s="105" t="s">
        <v>336</v>
      </c>
      <c r="F98" s="105" t="s">
        <v>355</v>
      </c>
      <c r="G98" s="106">
        <v>45834</v>
      </c>
      <c r="H98" s="107">
        <v>208</v>
      </c>
      <c r="I98" s="108">
        <v>11.5</v>
      </c>
      <c r="J98" s="109">
        <v>0</v>
      </c>
      <c r="K98" s="108">
        <v>216</v>
      </c>
      <c r="L98" s="108">
        <v>6.5</v>
      </c>
      <c r="M98" s="109">
        <v>0</v>
      </c>
      <c r="N98" s="108">
        <f>VLOOKUP(B98,'[4]BCC Tổng 03.2026'!C$37:BG$1383,57,0)</f>
        <v>192</v>
      </c>
      <c r="O98" s="108">
        <f>VLOOKUP(B98,'[4]BCC Tổng 03.2026'!C$37:CZ$1048576,102,0)</f>
        <v>2.5</v>
      </c>
      <c r="P98" s="109">
        <f t="shared" si="10"/>
        <v>0</v>
      </c>
      <c r="Q98" s="109"/>
      <c r="R98" s="108">
        <f>+IFERROR(VLOOKUP(B98,'[5]Tháng 04.2026'!E:DY,125,0),"")</f>
        <v>0</v>
      </c>
      <c r="S98" s="109"/>
      <c r="T98" s="109"/>
      <c r="U98" s="109"/>
      <c r="V98" s="109"/>
      <c r="W98" s="109"/>
      <c r="X98" s="109"/>
      <c r="Y98" s="109"/>
      <c r="Z98" s="109"/>
      <c r="AA98" s="109"/>
      <c r="AB98" s="109"/>
      <c r="AC98" s="109"/>
      <c r="AD98" s="109"/>
      <c r="AE98" s="109"/>
      <c r="AF98" s="109"/>
      <c r="AG98" s="109"/>
      <c r="AH98" s="109"/>
      <c r="AI98" s="109"/>
      <c r="AJ98" s="109"/>
      <c r="AK98" s="109"/>
      <c r="AL98" s="109"/>
      <c r="AM98" s="109"/>
      <c r="AN98" s="110"/>
      <c r="AO98" s="110"/>
      <c r="AP98" s="110"/>
      <c r="AQ98" s="110"/>
      <c r="AR98" s="111">
        <f t="shared" si="13"/>
        <v>20.5</v>
      </c>
      <c r="AS98" s="112">
        <f t="shared" si="15"/>
        <v>-279.5</v>
      </c>
      <c r="AT98" s="113">
        <f t="shared" si="11"/>
        <v>0</v>
      </c>
      <c r="AU98" s="114"/>
      <c r="AV98" s="115">
        <f t="shared" si="12"/>
        <v>18</v>
      </c>
      <c r="AW98" s="115"/>
      <c r="AX98" s="92"/>
      <c r="AY98" s="92"/>
      <c r="AZ98" s="92"/>
      <c r="BA98" s="92"/>
      <c r="BB98" s="92"/>
      <c r="BC98" s="92"/>
      <c r="BD98" s="92"/>
      <c r="BE98" s="92"/>
      <c r="BF98" s="92"/>
      <c r="BG98" s="92"/>
    </row>
    <row r="99" spans="1:59" ht="22.5" customHeight="1" x14ac:dyDescent="0.35">
      <c r="A99" s="104">
        <f t="shared" si="14"/>
        <v>96</v>
      </c>
      <c r="B99" s="105" t="s">
        <v>245</v>
      </c>
      <c r="C99" s="105" t="s">
        <v>246</v>
      </c>
      <c r="D99" s="105" t="s">
        <v>97</v>
      </c>
      <c r="E99" s="105" t="s">
        <v>98</v>
      </c>
      <c r="F99" s="105" t="s">
        <v>103</v>
      </c>
      <c r="G99" s="106">
        <v>45859</v>
      </c>
      <c r="H99" s="107">
        <v>208</v>
      </c>
      <c r="I99" s="108">
        <v>68</v>
      </c>
      <c r="J99" s="109">
        <v>1</v>
      </c>
      <c r="K99" s="108">
        <v>216</v>
      </c>
      <c r="L99" s="108">
        <v>49</v>
      </c>
      <c r="M99" s="109">
        <v>1</v>
      </c>
      <c r="N99" s="108">
        <f>VLOOKUP(B99,'[4]BCC Tổng 03.2026'!C$37:BG$1383,57,0)</f>
        <v>192</v>
      </c>
      <c r="O99" s="108">
        <f>VLOOKUP(B99,'[4]BCC Tổng 03.2026'!C$37:CZ$1048576,102,0)</f>
        <v>118</v>
      </c>
      <c r="P99" s="109">
        <f t="shared" si="10"/>
        <v>1</v>
      </c>
      <c r="Q99" s="109"/>
      <c r="R99" s="108">
        <f>+IFERROR(VLOOKUP(B99,'[5]Tháng 04.2026'!E:DY,125,0),"")</f>
        <v>0</v>
      </c>
      <c r="S99" s="109"/>
      <c r="T99" s="109"/>
      <c r="U99" s="109"/>
      <c r="V99" s="109"/>
      <c r="W99" s="109"/>
      <c r="X99" s="109"/>
      <c r="Y99" s="109"/>
      <c r="Z99" s="109"/>
      <c r="AA99" s="109"/>
      <c r="AB99" s="109"/>
      <c r="AC99" s="109"/>
      <c r="AD99" s="109"/>
      <c r="AE99" s="109"/>
      <c r="AF99" s="109"/>
      <c r="AG99" s="109"/>
      <c r="AH99" s="109"/>
      <c r="AI99" s="109"/>
      <c r="AJ99" s="109"/>
      <c r="AK99" s="109"/>
      <c r="AL99" s="109"/>
      <c r="AM99" s="109"/>
      <c r="AN99" s="110"/>
      <c r="AO99" s="110"/>
      <c r="AP99" s="110"/>
      <c r="AQ99" s="110"/>
      <c r="AR99" s="111">
        <f t="shared" si="13"/>
        <v>235</v>
      </c>
      <c r="AS99" s="112">
        <f t="shared" si="15"/>
        <v>-65</v>
      </c>
      <c r="AT99" s="113">
        <f t="shared" si="11"/>
        <v>0</v>
      </c>
      <c r="AU99" s="114"/>
      <c r="AV99" s="115">
        <f t="shared" si="12"/>
        <v>117</v>
      </c>
      <c r="AW99" s="115"/>
      <c r="AX99" s="92"/>
      <c r="AY99" s="92"/>
      <c r="AZ99" s="92"/>
      <c r="BA99" s="92"/>
      <c r="BB99" s="92"/>
      <c r="BC99" s="92"/>
      <c r="BD99" s="92"/>
      <c r="BE99" s="92"/>
      <c r="BF99" s="92"/>
      <c r="BG99" s="92"/>
    </row>
    <row r="100" spans="1:59" ht="22.5" customHeight="1" x14ac:dyDescent="0.35">
      <c r="A100" s="104">
        <f t="shared" si="14"/>
        <v>97</v>
      </c>
      <c r="B100" s="105" t="s">
        <v>247</v>
      </c>
      <c r="C100" s="105" t="s">
        <v>248</v>
      </c>
      <c r="D100" s="105" t="s">
        <v>97</v>
      </c>
      <c r="E100" s="105" t="s">
        <v>98</v>
      </c>
      <c r="F100" s="105" t="s">
        <v>199</v>
      </c>
      <c r="G100" s="106">
        <v>45929</v>
      </c>
      <c r="H100" s="107">
        <v>208</v>
      </c>
      <c r="I100" s="108">
        <v>52</v>
      </c>
      <c r="J100" s="109">
        <v>1</v>
      </c>
      <c r="K100" s="108">
        <v>216</v>
      </c>
      <c r="L100" s="108">
        <v>34</v>
      </c>
      <c r="M100" s="109">
        <v>0</v>
      </c>
      <c r="N100" s="108">
        <f>VLOOKUP(B100,'[4]BCC Tổng 03.2026'!C$37:BG$1383,57,0)</f>
        <v>184</v>
      </c>
      <c r="O100" s="108">
        <f>VLOOKUP(B100,'[4]BCC Tổng 03.2026'!C$37:CZ$1048576,102,0)</f>
        <v>106</v>
      </c>
      <c r="P100" s="109">
        <f t="shared" si="10"/>
        <v>1</v>
      </c>
      <c r="Q100" s="109"/>
      <c r="R100" s="108">
        <f>+IFERROR(VLOOKUP(B100,'[5]Tháng 04.2026'!E:DY,125,0),"")</f>
        <v>0</v>
      </c>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10"/>
      <c r="AO100" s="110"/>
      <c r="AP100" s="110"/>
      <c r="AQ100" s="110"/>
      <c r="AR100" s="111">
        <f t="shared" si="13"/>
        <v>192</v>
      </c>
      <c r="AS100" s="112">
        <f t="shared" si="15"/>
        <v>-108</v>
      </c>
      <c r="AT100" s="113">
        <f t="shared" si="11"/>
        <v>0</v>
      </c>
      <c r="AU100" s="114"/>
      <c r="AV100" s="115">
        <f t="shared" si="12"/>
        <v>86</v>
      </c>
      <c r="AW100" s="115"/>
      <c r="AX100" s="92"/>
      <c r="AY100" s="92"/>
      <c r="AZ100" s="92"/>
      <c r="BA100" s="92"/>
      <c r="BB100" s="92"/>
      <c r="BC100" s="92"/>
      <c r="BD100" s="92"/>
      <c r="BE100" s="92"/>
      <c r="BF100" s="92"/>
      <c r="BG100" s="92"/>
    </row>
    <row r="101" spans="1:59" ht="22.5" customHeight="1" x14ac:dyDescent="0.35">
      <c r="A101" s="104">
        <f t="shared" si="14"/>
        <v>98</v>
      </c>
      <c r="B101" s="105" t="s">
        <v>249</v>
      </c>
      <c r="C101" s="105" t="s">
        <v>250</v>
      </c>
      <c r="D101" s="105" t="s">
        <v>97</v>
      </c>
      <c r="E101" s="105" t="s">
        <v>98</v>
      </c>
      <c r="F101" s="105" t="s">
        <v>91</v>
      </c>
      <c r="G101" s="106">
        <v>44048</v>
      </c>
      <c r="H101" s="107">
        <v>208</v>
      </c>
      <c r="I101" s="108">
        <v>85</v>
      </c>
      <c r="J101" s="109">
        <v>1</v>
      </c>
      <c r="K101" s="108">
        <v>216</v>
      </c>
      <c r="L101" s="108">
        <v>51</v>
      </c>
      <c r="M101" s="109">
        <v>1</v>
      </c>
      <c r="N101" s="108">
        <f>VLOOKUP(B101,'[4]BCC Tổng 03.2026'!C$37:BG$1383,57,0)</f>
        <v>192</v>
      </c>
      <c r="O101" s="108">
        <f>VLOOKUP(B101,'[4]BCC Tổng 03.2026'!C$37:CZ$1048576,102,0)</f>
        <v>120</v>
      </c>
      <c r="P101" s="109">
        <f t="shared" si="10"/>
        <v>1</v>
      </c>
      <c r="Q101" s="109"/>
      <c r="R101" s="108">
        <f>+IFERROR(VLOOKUP(B101,'[5]Tháng 04.2026'!E:DY,125,0),"")</f>
        <v>0</v>
      </c>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10"/>
      <c r="AP101" s="110"/>
      <c r="AQ101" s="110"/>
      <c r="AR101" s="111">
        <f t="shared" si="13"/>
        <v>256</v>
      </c>
      <c r="AS101" s="112">
        <f t="shared" si="15"/>
        <v>-44</v>
      </c>
      <c r="AT101" s="113">
        <f t="shared" si="11"/>
        <v>0</v>
      </c>
      <c r="AU101" s="114"/>
      <c r="AV101" s="115">
        <f t="shared" si="12"/>
        <v>136</v>
      </c>
      <c r="AW101" s="115"/>
      <c r="AX101" s="92"/>
      <c r="AY101" s="92"/>
      <c r="AZ101" s="92"/>
      <c r="BA101" s="92"/>
      <c r="BB101" s="92"/>
      <c r="BC101" s="92"/>
      <c r="BD101" s="92"/>
      <c r="BE101" s="92"/>
      <c r="BF101" s="92"/>
      <c r="BG101" s="92"/>
    </row>
    <row r="102" spans="1:59" ht="22.5" customHeight="1" x14ac:dyDescent="0.35">
      <c r="A102" s="104">
        <f t="shared" si="14"/>
        <v>99</v>
      </c>
      <c r="B102" s="105" t="s">
        <v>322</v>
      </c>
      <c r="C102" s="105" t="s">
        <v>323</v>
      </c>
      <c r="D102" s="105" t="s">
        <v>97</v>
      </c>
      <c r="E102" s="105" t="s">
        <v>336</v>
      </c>
      <c r="F102" s="105" t="s">
        <v>342</v>
      </c>
      <c r="G102" s="106">
        <v>46027</v>
      </c>
      <c r="H102" s="107">
        <v>144</v>
      </c>
      <c r="I102" s="108">
        <v>4.5</v>
      </c>
      <c r="J102" s="109">
        <v>0</v>
      </c>
      <c r="K102" s="108">
        <v>208</v>
      </c>
      <c r="L102" s="108">
        <v>0.5</v>
      </c>
      <c r="M102" s="109">
        <v>0</v>
      </c>
      <c r="N102" s="108">
        <f>VLOOKUP(B102,'[4]BCC Tổng 03.2026'!C$37:BG$1383,57,0)</f>
        <v>192</v>
      </c>
      <c r="O102" s="108">
        <f>VLOOKUP(B102,'[4]BCC Tổng 03.2026'!C$37:CZ$1048576,102,0)</f>
        <v>2</v>
      </c>
      <c r="P102" s="109">
        <f t="shared" si="10"/>
        <v>0</v>
      </c>
      <c r="Q102" s="109"/>
      <c r="R102" s="108">
        <f>+IFERROR(VLOOKUP(B102,'[5]Tháng 04.2026'!E:DY,125,0),"")</f>
        <v>0</v>
      </c>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10"/>
      <c r="AP102" s="110"/>
      <c r="AQ102" s="110"/>
      <c r="AR102" s="111">
        <f t="shared" si="13"/>
        <v>7</v>
      </c>
      <c r="AS102" s="112">
        <f t="shared" si="15"/>
        <v>-293</v>
      </c>
      <c r="AT102" s="113">
        <f t="shared" si="11"/>
        <v>0</v>
      </c>
      <c r="AU102" s="114"/>
      <c r="AV102" s="115">
        <f t="shared" si="12"/>
        <v>5</v>
      </c>
      <c r="AW102" s="115"/>
      <c r="AX102" s="92"/>
      <c r="AY102" s="92"/>
      <c r="AZ102" s="92"/>
      <c r="BA102" s="92"/>
      <c r="BB102" s="92"/>
      <c r="BC102" s="92"/>
      <c r="BD102" s="92"/>
      <c r="BE102" s="92"/>
      <c r="BF102" s="92"/>
      <c r="BG102" s="92"/>
    </row>
    <row r="103" spans="1:59" ht="22.5" customHeight="1" x14ac:dyDescent="0.35">
      <c r="A103" s="104">
        <f t="shared" si="14"/>
        <v>100</v>
      </c>
      <c r="B103" s="105" t="s">
        <v>292</v>
      </c>
      <c r="C103" s="105" t="s">
        <v>293</v>
      </c>
      <c r="D103" s="105" t="s">
        <v>97</v>
      </c>
      <c r="E103" s="105" t="s">
        <v>336</v>
      </c>
      <c r="F103" s="105" t="s">
        <v>340</v>
      </c>
      <c r="G103" s="106">
        <v>41246</v>
      </c>
      <c r="H103" s="107">
        <v>208</v>
      </c>
      <c r="I103" s="108">
        <v>0</v>
      </c>
      <c r="J103" s="109">
        <v>0</v>
      </c>
      <c r="K103" s="108">
        <v>216</v>
      </c>
      <c r="L103" s="108">
        <v>0</v>
      </c>
      <c r="M103" s="109">
        <v>0</v>
      </c>
      <c r="N103" s="108">
        <f>VLOOKUP(B103,'[4]BCC Tổng 03.2026'!C$37:BG$1383,57,0)</f>
        <v>192</v>
      </c>
      <c r="O103" s="108"/>
      <c r="P103" s="109">
        <f t="shared" si="10"/>
        <v>0</v>
      </c>
      <c r="Q103" s="109"/>
      <c r="R103" s="108">
        <f>+IFERROR(VLOOKUP(B103,'[5]Tháng 04.2026'!E:DY,125,0),"")</f>
        <v>0</v>
      </c>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10"/>
      <c r="AO103" s="110"/>
      <c r="AP103" s="110"/>
      <c r="AQ103" s="110"/>
      <c r="AR103" s="111">
        <f t="shared" si="13"/>
        <v>0</v>
      </c>
      <c r="AS103" s="112">
        <f t="shared" si="15"/>
        <v>-300</v>
      </c>
      <c r="AT103" s="113">
        <f t="shared" si="11"/>
        <v>0</v>
      </c>
      <c r="AU103" s="114"/>
      <c r="AV103" s="115">
        <f t="shared" si="12"/>
        <v>0</v>
      </c>
      <c r="AW103" s="115"/>
      <c r="AX103" s="92"/>
      <c r="AY103" s="92"/>
      <c r="AZ103" s="92"/>
      <c r="BA103" s="92"/>
      <c r="BB103" s="92"/>
      <c r="BC103" s="92"/>
      <c r="BD103" s="92"/>
      <c r="BE103" s="92"/>
      <c r="BF103" s="92"/>
      <c r="BG103" s="92"/>
    </row>
    <row r="104" spans="1:59" ht="22.5" customHeight="1" x14ac:dyDescent="0.35">
      <c r="A104" s="104">
        <f t="shared" si="14"/>
        <v>101</v>
      </c>
      <c r="B104" s="105" t="s">
        <v>302</v>
      </c>
      <c r="C104" s="105" t="s">
        <v>303</v>
      </c>
      <c r="D104" s="105" t="s">
        <v>97</v>
      </c>
      <c r="E104" s="105" t="s">
        <v>336</v>
      </c>
      <c r="F104" s="105" t="s">
        <v>343</v>
      </c>
      <c r="G104" s="106">
        <v>45355</v>
      </c>
      <c r="H104" s="107">
        <v>208</v>
      </c>
      <c r="I104" s="108">
        <v>0</v>
      </c>
      <c r="J104" s="109">
        <v>0</v>
      </c>
      <c r="K104" s="108">
        <v>216</v>
      </c>
      <c r="L104" s="108">
        <v>0</v>
      </c>
      <c r="M104" s="109">
        <v>0</v>
      </c>
      <c r="N104" s="108">
        <f>VLOOKUP(B104,'[4]BCC Tổng 03.2026'!C$37:BG$1383,57,0)</f>
        <v>192</v>
      </c>
      <c r="O104" s="108"/>
      <c r="P104" s="109">
        <f t="shared" si="10"/>
        <v>0</v>
      </c>
      <c r="Q104" s="109"/>
      <c r="R104" s="108">
        <f>+IFERROR(VLOOKUP(B104,'[5]Tháng 04.2026'!E:DY,125,0),"")</f>
        <v>0</v>
      </c>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10"/>
      <c r="AO104" s="110"/>
      <c r="AP104" s="110"/>
      <c r="AQ104" s="110"/>
      <c r="AR104" s="111">
        <f t="shared" si="13"/>
        <v>0</v>
      </c>
      <c r="AS104" s="112">
        <f t="shared" si="15"/>
        <v>-300</v>
      </c>
      <c r="AT104" s="113">
        <f t="shared" si="11"/>
        <v>0</v>
      </c>
      <c r="AU104" s="114"/>
      <c r="AV104" s="115">
        <f t="shared" si="12"/>
        <v>0</v>
      </c>
      <c r="AW104" s="115"/>
      <c r="AX104" s="92"/>
      <c r="AY104" s="92"/>
      <c r="AZ104" s="92"/>
      <c r="BA104" s="92"/>
      <c r="BB104" s="92"/>
      <c r="BC104" s="92"/>
      <c r="BD104" s="92"/>
      <c r="BE104" s="92"/>
      <c r="BF104" s="92"/>
      <c r="BG104" s="92"/>
    </row>
    <row r="105" spans="1:59" ht="22.5" customHeight="1" x14ac:dyDescent="0.35">
      <c r="A105" s="104">
        <f t="shared" si="14"/>
        <v>102</v>
      </c>
      <c r="B105" s="105" t="s">
        <v>251</v>
      </c>
      <c r="C105" s="105" t="s">
        <v>252</v>
      </c>
      <c r="D105" s="105" t="s">
        <v>97</v>
      </c>
      <c r="E105" s="105" t="s">
        <v>98</v>
      </c>
      <c r="F105" s="105" t="s">
        <v>91</v>
      </c>
      <c r="G105" s="106">
        <v>46083</v>
      </c>
      <c r="H105" s="107"/>
      <c r="I105" s="108"/>
      <c r="J105" s="109"/>
      <c r="K105" s="108"/>
      <c r="L105" s="108"/>
      <c r="M105" s="108"/>
      <c r="N105" s="108">
        <f>VLOOKUP(B105,'[4]BCC Tổng 03.2026'!C$37:BG$1383,57,0)</f>
        <v>168</v>
      </c>
      <c r="O105" s="108">
        <f>VLOOKUP(B105,'[4]BCC Tổng 03.2026'!C$37:CZ$1048576,102,0)</f>
        <v>64</v>
      </c>
      <c r="P105" s="109">
        <f t="shared" si="10"/>
        <v>1</v>
      </c>
      <c r="Q105" s="109"/>
      <c r="R105" s="108">
        <f>+IFERROR(VLOOKUP(B105,'[5]Tháng 04.2026'!E:DY,125,0),"")</f>
        <v>0</v>
      </c>
      <c r="S105" s="109"/>
      <c r="T105" s="109"/>
      <c r="U105" s="109"/>
      <c r="V105" s="109"/>
      <c r="W105" s="109"/>
      <c r="X105" s="109"/>
      <c r="Y105" s="109"/>
      <c r="Z105" s="109"/>
      <c r="AA105" s="109"/>
      <c r="AB105" s="109"/>
      <c r="AC105" s="109"/>
      <c r="AD105" s="109"/>
      <c r="AE105" s="109"/>
      <c r="AF105" s="109"/>
      <c r="AG105" s="109"/>
      <c r="AH105" s="109"/>
      <c r="AI105" s="109"/>
      <c r="AJ105" s="109"/>
      <c r="AK105" s="109"/>
      <c r="AL105" s="109"/>
      <c r="AM105" s="109"/>
      <c r="AN105" s="110"/>
      <c r="AO105" s="110"/>
      <c r="AP105" s="110"/>
      <c r="AQ105" s="110"/>
      <c r="AR105" s="111">
        <f t="shared" si="13"/>
        <v>64</v>
      </c>
      <c r="AS105" s="112">
        <f t="shared" si="15"/>
        <v>-236</v>
      </c>
      <c r="AT105" s="113">
        <f t="shared" si="11"/>
        <v>0</v>
      </c>
      <c r="AU105" s="114"/>
      <c r="AV105" s="115">
        <f t="shared" si="12"/>
        <v>0</v>
      </c>
      <c r="AW105" s="115"/>
      <c r="AX105" s="92"/>
      <c r="AY105" s="92"/>
      <c r="AZ105" s="92"/>
      <c r="BA105" s="92"/>
      <c r="BB105" s="92"/>
      <c r="BC105" s="92"/>
      <c r="BD105" s="92"/>
      <c r="BE105" s="92"/>
      <c r="BF105" s="92"/>
      <c r="BG105" s="92"/>
    </row>
    <row r="106" spans="1:59" ht="22.5" customHeight="1" x14ac:dyDescent="0.35">
      <c r="A106" s="104">
        <f t="shared" si="14"/>
        <v>103</v>
      </c>
      <c r="B106" s="105" t="s">
        <v>253</v>
      </c>
      <c r="C106" s="105" t="s">
        <v>254</v>
      </c>
      <c r="D106" s="105" t="s">
        <v>97</v>
      </c>
      <c r="E106" s="105" t="s">
        <v>112</v>
      </c>
      <c r="F106" s="105" t="s">
        <v>91</v>
      </c>
      <c r="G106" s="106">
        <v>46083</v>
      </c>
      <c r="H106" s="107"/>
      <c r="I106" s="108"/>
      <c r="J106" s="109"/>
      <c r="K106" s="108"/>
      <c r="L106" s="108"/>
      <c r="M106" s="108"/>
      <c r="N106" s="108">
        <f>VLOOKUP(B106,'[4]BCC Tổng 03.2026'!C$37:BG$1383,57,0)</f>
        <v>168</v>
      </c>
      <c r="O106" s="108">
        <f>VLOOKUP(B106,'[4]BCC Tổng 03.2026'!C$37:CZ$1048576,102,0)</f>
        <v>96</v>
      </c>
      <c r="P106" s="109">
        <f t="shared" si="10"/>
        <v>1</v>
      </c>
      <c r="Q106" s="109"/>
      <c r="R106" s="108">
        <f>+IFERROR(VLOOKUP(B106,'[5]Tháng 04.2026'!E:DY,125,0),"")</f>
        <v>0</v>
      </c>
      <c r="S106" s="109"/>
      <c r="T106" s="109"/>
      <c r="U106" s="109"/>
      <c r="V106" s="109"/>
      <c r="W106" s="109"/>
      <c r="X106" s="109"/>
      <c r="Y106" s="109"/>
      <c r="Z106" s="109"/>
      <c r="AA106" s="109"/>
      <c r="AB106" s="109"/>
      <c r="AC106" s="109"/>
      <c r="AD106" s="109"/>
      <c r="AE106" s="109"/>
      <c r="AF106" s="109"/>
      <c r="AG106" s="109"/>
      <c r="AH106" s="109"/>
      <c r="AI106" s="109"/>
      <c r="AJ106" s="109"/>
      <c r="AK106" s="109"/>
      <c r="AL106" s="109"/>
      <c r="AM106" s="109"/>
      <c r="AN106" s="109"/>
      <c r="AO106" s="110"/>
      <c r="AP106" s="110"/>
      <c r="AQ106" s="110"/>
      <c r="AR106" s="111">
        <f t="shared" si="13"/>
        <v>96</v>
      </c>
      <c r="AS106" s="112">
        <f t="shared" si="15"/>
        <v>-204</v>
      </c>
      <c r="AT106" s="113">
        <f t="shared" si="11"/>
        <v>0</v>
      </c>
      <c r="AU106" s="114"/>
      <c r="AV106" s="115">
        <f t="shared" si="12"/>
        <v>0</v>
      </c>
      <c r="AW106" s="115"/>
      <c r="AX106" s="92"/>
      <c r="AY106" s="92"/>
      <c r="AZ106" s="92"/>
      <c r="BA106" s="92"/>
      <c r="BB106" s="92"/>
      <c r="BC106" s="92"/>
      <c r="BD106" s="92"/>
      <c r="BE106" s="92"/>
      <c r="BF106" s="92"/>
      <c r="BG106" s="92"/>
    </row>
    <row r="107" spans="1:59" ht="22.5" customHeight="1" x14ac:dyDescent="0.35">
      <c r="A107" s="104">
        <f t="shared" si="14"/>
        <v>104</v>
      </c>
      <c r="B107" s="105" t="s">
        <v>255</v>
      </c>
      <c r="C107" s="105" t="s">
        <v>256</v>
      </c>
      <c r="D107" s="105" t="s">
        <v>97</v>
      </c>
      <c r="E107" s="105" t="s">
        <v>112</v>
      </c>
      <c r="F107" s="105" t="s">
        <v>91</v>
      </c>
      <c r="G107" s="106">
        <v>46083</v>
      </c>
      <c r="H107" s="107"/>
      <c r="I107" s="108"/>
      <c r="J107" s="109"/>
      <c r="K107" s="108"/>
      <c r="L107" s="108"/>
      <c r="M107" s="108"/>
      <c r="N107" s="108">
        <f>VLOOKUP(B107,'[4]BCC Tổng 03.2026'!C$37:BG$1383,57,0)</f>
        <v>168</v>
      </c>
      <c r="O107" s="108">
        <f>VLOOKUP(B107,'[4]BCC Tổng 03.2026'!C$37:CZ$1048576,102,0)</f>
        <v>86</v>
      </c>
      <c r="P107" s="109">
        <f t="shared" si="10"/>
        <v>1</v>
      </c>
      <c r="Q107" s="109"/>
      <c r="R107" s="108">
        <f>+IFERROR(VLOOKUP(B107,'[5]Tháng 04.2026'!E:DY,125,0),"")</f>
        <v>0</v>
      </c>
      <c r="S107" s="109"/>
      <c r="T107" s="109"/>
      <c r="U107" s="109"/>
      <c r="V107" s="109"/>
      <c r="W107" s="109"/>
      <c r="X107" s="109"/>
      <c r="Y107" s="109"/>
      <c r="Z107" s="109"/>
      <c r="AA107" s="109"/>
      <c r="AB107" s="109"/>
      <c r="AC107" s="109"/>
      <c r="AD107" s="109"/>
      <c r="AE107" s="109"/>
      <c r="AF107" s="109"/>
      <c r="AG107" s="109"/>
      <c r="AH107" s="109"/>
      <c r="AI107" s="109"/>
      <c r="AJ107" s="109"/>
      <c r="AK107" s="109"/>
      <c r="AL107" s="109"/>
      <c r="AM107" s="109"/>
      <c r="AN107" s="110"/>
      <c r="AO107" s="110"/>
      <c r="AP107" s="110"/>
      <c r="AQ107" s="110"/>
      <c r="AR107" s="111">
        <f t="shared" si="13"/>
        <v>86</v>
      </c>
      <c r="AS107" s="112">
        <f t="shared" si="15"/>
        <v>-214</v>
      </c>
      <c r="AT107" s="113">
        <f t="shared" si="11"/>
        <v>0</v>
      </c>
      <c r="AU107" s="114"/>
      <c r="AV107" s="115">
        <f t="shared" si="12"/>
        <v>0</v>
      </c>
      <c r="AW107" s="115"/>
      <c r="AX107" s="92"/>
      <c r="AY107" s="92"/>
      <c r="AZ107" s="92"/>
      <c r="BA107" s="92"/>
      <c r="BB107" s="92"/>
      <c r="BC107" s="92"/>
      <c r="BD107" s="92"/>
      <c r="BE107" s="92"/>
      <c r="BF107" s="92"/>
      <c r="BG107" s="92"/>
    </row>
    <row r="108" spans="1:59" ht="22.5" customHeight="1" x14ac:dyDescent="0.35">
      <c r="A108" s="104">
        <f t="shared" si="14"/>
        <v>105</v>
      </c>
      <c r="B108" s="105" t="s">
        <v>257</v>
      </c>
      <c r="C108" s="105" t="s">
        <v>258</v>
      </c>
      <c r="D108" s="105" t="s">
        <v>97</v>
      </c>
      <c r="E108" s="105" t="s">
        <v>98</v>
      </c>
      <c r="F108" s="105" t="s">
        <v>91</v>
      </c>
      <c r="G108" s="106">
        <v>46083</v>
      </c>
      <c r="H108" s="107"/>
      <c r="I108" s="108"/>
      <c r="J108" s="109"/>
      <c r="K108" s="108"/>
      <c r="L108" s="108"/>
      <c r="M108" s="108"/>
      <c r="N108" s="108">
        <f>VLOOKUP(B108,'[4]BCC Tổng 03.2026'!C$37:BG$1383,57,0)</f>
        <v>168</v>
      </c>
      <c r="O108" s="108">
        <f>VLOOKUP(B108,'[4]BCC Tổng 03.2026'!C$37:CZ$1048576,102,0)</f>
        <v>92</v>
      </c>
      <c r="P108" s="109">
        <f t="shared" si="10"/>
        <v>1</v>
      </c>
      <c r="Q108" s="109"/>
      <c r="R108" s="108">
        <f>+IFERROR(VLOOKUP(B108,'[5]Tháng 04.2026'!E:DY,125,0),"")</f>
        <v>0</v>
      </c>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10"/>
      <c r="AO108" s="110"/>
      <c r="AP108" s="110"/>
      <c r="AQ108" s="110"/>
      <c r="AR108" s="111">
        <f t="shared" si="13"/>
        <v>92</v>
      </c>
      <c r="AS108" s="112">
        <f t="shared" si="15"/>
        <v>-208</v>
      </c>
      <c r="AT108" s="113">
        <f t="shared" si="11"/>
        <v>0</v>
      </c>
      <c r="AU108" s="114"/>
      <c r="AV108" s="115">
        <f t="shared" si="12"/>
        <v>0</v>
      </c>
      <c r="AW108" s="115"/>
      <c r="AX108" s="92"/>
      <c r="AY108" s="92"/>
      <c r="AZ108" s="92"/>
      <c r="BA108" s="92"/>
      <c r="BB108" s="92"/>
      <c r="BC108" s="92"/>
      <c r="BD108" s="92"/>
      <c r="BE108" s="92"/>
      <c r="BF108" s="92"/>
      <c r="BG108" s="92"/>
    </row>
    <row r="109" spans="1:59" ht="22.5" customHeight="1" x14ac:dyDescent="0.35">
      <c r="A109" s="104">
        <f t="shared" si="14"/>
        <v>106</v>
      </c>
      <c r="B109" s="105" t="s">
        <v>259</v>
      </c>
      <c r="C109" s="105" t="s">
        <v>432</v>
      </c>
      <c r="D109" s="105" t="s">
        <v>97</v>
      </c>
      <c r="E109" s="105" t="s">
        <v>112</v>
      </c>
      <c r="F109" s="105" t="s">
        <v>91</v>
      </c>
      <c r="G109" s="106">
        <v>46083</v>
      </c>
      <c r="H109" s="107"/>
      <c r="I109" s="108"/>
      <c r="J109" s="109"/>
      <c r="K109" s="108"/>
      <c r="L109" s="108"/>
      <c r="M109" s="108"/>
      <c r="N109" s="108">
        <f>VLOOKUP(B109,'[4]BCC Tổng 03.2026'!C$37:BG$1383,57,0)</f>
        <v>156</v>
      </c>
      <c r="O109" s="108">
        <f>VLOOKUP(B109,'[4]BCC Tổng 03.2026'!C$37:CZ$1048576,102,0)</f>
        <v>54</v>
      </c>
      <c r="P109" s="109">
        <f t="shared" si="10"/>
        <v>1</v>
      </c>
      <c r="Q109" s="109"/>
      <c r="R109" s="108">
        <f>+IFERROR(VLOOKUP(B109,'[5]Tháng 04.2026'!E:DY,125,0),"")</f>
        <v>0</v>
      </c>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10"/>
      <c r="AO109" s="110"/>
      <c r="AP109" s="110"/>
      <c r="AQ109" s="110"/>
      <c r="AR109" s="111">
        <f t="shared" si="13"/>
        <v>54</v>
      </c>
      <c r="AS109" s="112">
        <f t="shared" si="15"/>
        <v>-246</v>
      </c>
      <c r="AT109" s="113">
        <f t="shared" si="11"/>
        <v>0</v>
      </c>
      <c r="AU109" s="114"/>
      <c r="AV109" s="115">
        <f t="shared" si="12"/>
        <v>0</v>
      </c>
      <c r="AW109" s="115"/>
      <c r="AX109" s="92"/>
      <c r="AY109" s="92"/>
      <c r="AZ109" s="92"/>
      <c r="BA109" s="92"/>
      <c r="BB109" s="92"/>
      <c r="BC109" s="92"/>
      <c r="BD109" s="92"/>
      <c r="BE109" s="92"/>
      <c r="BF109" s="92"/>
      <c r="BG109" s="92"/>
    </row>
    <row r="110" spans="1:59" ht="22.5" customHeight="1" x14ac:dyDescent="0.35">
      <c r="A110" s="104">
        <f t="shared" si="14"/>
        <v>107</v>
      </c>
      <c r="B110" s="105" t="s">
        <v>260</v>
      </c>
      <c r="C110" s="105" t="s">
        <v>261</v>
      </c>
      <c r="D110" s="105" t="s">
        <v>97</v>
      </c>
      <c r="E110" s="105" t="s">
        <v>112</v>
      </c>
      <c r="F110" s="105" t="s">
        <v>91</v>
      </c>
      <c r="G110" s="106">
        <v>46083</v>
      </c>
      <c r="H110" s="107"/>
      <c r="I110" s="108"/>
      <c r="J110" s="109"/>
      <c r="K110" s="108"/>
      <c r="L110" s="108"/>
      <c r="M110" s="108"/>
      <c r="N110" s="108">
        <f>VLOOKUP(B110,'[4]BCC Tổng 03.2026'!C$37:BG$1383,57,0)</f>
        <v>168</v>
      </c>
      <c r="O110" s="108">
        <f>VLOOKUP(B110,'[4]BCC Tổng 03.2026'!C$37:CZ$1048576,102,0)</f>
        <v>103.5</v>
      </c>
      <c r="P110" s="109">
        <f t="shared" si="10"/>
        <v>1</v>
      </c>
      <c r="Q110" s="109"/>
      <c r="R110" s="108">
        <f>+IFERROR(VLOOKUP(B110,'[5]Tháng 04.2026'!E:DY,125,0),"")</f>
        <v>0</v>
      </c>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10"/>
      <c r="AP110" s="110"/>
      <c r="AQ110" s="110"/>
      <c r="AR110" s="111">
        <f t="shared" si="13"/>
        <v>103.5</v>
      </c>
      <c r="AS110" s="112">
        <f t="shared" si="15"/>
        <v>-196.5</v>
      </c>
      <c r="AT110" s="113">
        <f t="shared" si="11"/>
        <v>0</v>
      </c>
      <c r="AU110" s="114"/>
      <c r="AV110" s="115">
        <f t="shared" si="12"/>
        <v>0</v>
      </c>
      <c r="AW110" s="115"/>
      <c r="AX110" s="92"/>
      <c r="AY110" s="92"/>
      <c r="AZ110" s="92"/>
      <c r="BA110" s="92"/>
      <c r="BB110" s="92"/>
      <c r="BC110" s="92"/>
      <c r="BD110" s="92"/>
      <c r="BE110" s="92"/>
      <c r="BF110" s="92"/>
      <c r="BG110" s="92"/>
    </row>
    <row r="111" spans="1:59" ht="22.5" customHeight="1" x14ac:dyDescent="0.35">
      <c r="A111" s="104">
        <f t="shared" si="14"/>
        <v>108</v>
      </c>
      <c r="B111" s="105" t="s">
        <v>262</v>
      </c>
      <c r="C111" s="105" t="s">
        <v>263</v>
      </c>
      <c r="D111" s="105" t="s">
        <v>97</v>
      </c>
      <c r="E111" s="105" t="s">
        <v>98</v>
      </c>
      <c r="F111" s="105" t="s">
        <v>91</v>
      </c>
      <c r="G111" s="106">
        <v>46086</v>
      </c>
      <c r="H111" s="107"/>
      <c r="I111" s="108"/>
      <c r="J111" s="109"/>
      <c r="K111" s="108"/>
      <c r="L111" s="108"/>
      <c r="M111" s="108"/>
      <c r="N111" s="108">
        <f>VLOOKUP(B111,'[4]BCC Tổng 03.2026'!C$37:BG$1383,57,0)</f>
        <v>140</v>
      </c>
      <c r="O111" s="108">
        <f>VLOOKUP(B111,'[4]BCC Tổng 03.2026'!C$37:CZ$1048576,102,0)</f>
        <v>60</v>
      </c>
      <c r="P111" s="109">
        <f t="shared" si="10"/>
        <v>1</v>
      </c>
      <c r="Q111" s="109"/>
      <c r="R111" s="108">
        <f>+IFERROR(VLOOKUP(B111,'[5]Tháng 04.2026'!E:DY,125,0),"")</f>
        <v>0</v>
      </c>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10"/>
      <c r="AP111" s="110"/>
      <c r="AQ111" s="110"/>
      <c r="AR111" s="111">
        <f t="shared" si="13"/>
        <v>60</v>
      </c>
      <c r="AS111" s="112">
        <f t="shared" si="15"/>
        <v>-240</v>
      </c>
      <c r="AT111" s="113">
        <f t="shared" si="11"/>
        <v>0</v>
      </c>
      <c r="AU111" s="114"/>
      <c r="AV111" s="115">
        <f t="shared" si="12"/>
        <v>0</v>
      </c>
      <c r="AW111" s="115"/>
      <c r="AX111" s="92"/>
      <c r="AY111" s="92"/>
      <c r="AZ111" s="92"/>
      <c r="BA111" s="92"/>
      <c r="BB111" s="92"/>
      <c r="BC111" s="92"/>
      <c r="BD111" s="92"/>
      <c r="BE111" s="92"/>
      <c r="BF111" s="92"/>
      <c r="BG111" s="92"/>
    </row>
    <row r="112" spans="1:59" ht="22.5" customHeight="1" x14ac:dyDescent="0.35">
      <c r="A112" s="104">
        <f t="shared" si="14"/>
        <v>109</v>
      </c>
      <c r="B112" s="105" t="s">
        <v>264</v>
      </c>
      <c r="C112" s="105" t="s">
        <v>265</v>
      </c>
      <c r="D112" s="105" t="s">
        <v>97</v>
      </c>
      <c r="E112" s="105" t="s">
        <v>98</v>
      </c>
      <c r="F112" s="105" t="s">
        <v>91</v>
      </c>
      <c r="G112" s="106">
        <v>46086</v>
      </c>
      <c r="H112" s="107"/>
      <c r="I112" s="108"/>
      <c r="J112" s="109"/>
      <c r="K112" s="108"/>
      <c r="L112" s="108"/>
      <c r="M112" s="108"/>
      <c r="N112" s="108">
        <f>VLOOKUP(B112,'[4]BCC Tổng 03.2026'!C$37:BG$1383,57,0)</f>
        <v>144</v>
      </c>
      <c r="O112" s="108">
        <f>VLOOKUP(B112,'[4]BCC Tổng 03.2026'!C$37:CZ$1048576,102,0)</f>
        <v>92</v>
      </c>
      <c r="P112" s="109">
        <f t="shared" si="10"/>
        <v>1</v>
      </c>
      <c r="Q112" s="109"/>
      <c r="R112" s="108">
        <f>+IFERROR(VLOOKUP(B112,'[5]Tháng 04.2026'!E:DY,125,0),"")</f>
        <v>0</v>
      </c>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10"/>
      <c r="AP112" s="110"/>
      <c r="AQ112" s="110"/>
      <c r="AR112" s="111">
        <f t="shared" si="13"/>
        <v>92</v>
      </c>
      <c r="AS112" s="112">
        <f t="shared" si="15"/>
        <v>-208</v>
      </c>
      <c r="AT112" s="113">
        <f t="shared" si="11"/>
        <v>0</v>
      </c>
      <c r="AU112" s="114"/>
      <c r="AV112" s="115">
        <f t="shared" si="12"/>
        <v>0</v>
      </c>
      <c r="AW112" s="115"/>
      <c r="AX112" s="92"/>
      <c r="AY112" s="92"/>
      <c r="AZ112" s="92"/>
      <c r="BA112" s="92"/>
      <c r="BB112" s="92"/>
      <c r="BC112" s="92"/>
      <c r="BD112" s="92"/>
      <c r="BE112" s="92"/>
      <c r="BF112" s="92"/>
      <c r="BG112" s="92"/>
    </row>
    <row r="113" spans="1:59" ht="22.5" customHeight="1" x14ac:dyDescent="0.35">
      <c r="A113" s="104">
        <f t="shared" si="14"/>
        <v>110</v>
      </c>
      <c r="B113" s="105" t="s">
        <v>266</v>
      </c>
      <c r="C113" s="105" t="s">
        <v>267</v>
      </c>
      <c r="D113" s="105" t="s">
        <v>97</v>
      </c>
      <c r="E113" s="105" t="s">
        <v>98</v>
      </c>
      <c r="F113" s="105" t="s">
        <v>91</v>
      </c>
      <c r="G113" s="106">
        <v>46100</v>
      </c>
      <c r="H113" s="107"/>
      <c r="I113" s="108"/>
      <c r="J113" s="109"/>
      <c r="K113" s="108"/>
      <c r="L113" s="108"/>
      <c r="M113" s="108"/>
      <c r="N113" s="108">
        <f>VLOOKUP(B113,'[4]BCC Tổng 03.2026'!C$37:BG$1383,57,0)</f>
        <v>48</v>
      </c>
      <c r="O113" s="108">
        <f>VLOOKUP(B113,'[4]BCC Tổng 03.2026'!C$37:CZ$1048576,102,0)</f>
        <v>20</v>
      </c>
      <c r="P113" s="109">
        <f t="shared" si="10"/>
        <v>0</v>
      </c>
      <c r="Q113" s="109"/>
      <c r="R113" s="108">
        <f>+IFERROR(VLOOKUP(B113,'[5]Tháng 04.2026'!E:DY,125,0),"")</f>
        <v>0</v>
      </c>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10"/>
      <c r="AO113" s="110"/>
      <c r="AP113" s="110"/>
      <c r="AQ113" s="110"/>
      <c r="AR113" s="111">
        <f t="shared" si="13"/>
        <v>20</v>
      </c>
      <c r="AS113" s="112">
        <f t="shared" si="15"/>
        <v>-280</v>
      </c>
      <c r="AT113" s="113">
        <f t="shared" si="11"/>
        <v>0</v>
      </c>
      <c r="AU113" s="114"/>
      <c r="AV113" s="115">
        <f t="shared" si="12"/>
        <v>0</v>
      </c>
      <c r="AW113" s="115"/>
      <c r="AX113" s="92"/>
      <c r="AY113" s="92"/>
      <c r="AZ113" s="92"/>
      <c r="BA113" s="92"/>
      <c r="BB113" s="92"/>
      <c r="BC113" s="92"/>
      <c r="BD113" s="92"/>
      <c r="BE113" s="92"/>
      <c r="BF113" s="92"/>
      <c r="BG113" s="92"/>
    </row>
    <row r="114" spans="1:59" ht="22.5" customHeight="1" x14ac:dyDescent="0.35">
      <c r="A114" s="104">
        <f t="shared" si="14"/>
        <v>111</v>
      </c>
      <c r="B114" s="105" t="s">
        <v>268</v>
      </c>
      <c r="C114" s="105" t="s">
        <v>269</v>
      </c>
      <c r="D114" s="105" t="s">
        <v>97</v>
      </c>
      <c r="E114" s="105" t="s">
        <v>98</v>
      </c>
      <c r="F114" s="105" t="s">
        <v>91</v>
      </c>
      <c r="G114" s="106">
        <v>46100</v>
      </c>
      <c r="H114" s="107"/>
      <c r="I114" s="108"/>
      <c r="J114" s="109"/>
      <c r="K114" s="108"/>
      <c r="L114" s="108"/>
      <c r="M114" s="108"/>
      <c r="N114" s="108">
        <f>VLOOKUP(B114,'[4]BCC Tổng 03.2026'!C$37:BG$1383,57,0)</f>
        <v>48</v>
      </c>
      <c r="O114" s="108">
        <f>VLOOKUP(B114,'[4]BCC Tổng 03.2026'!C$37:CZ$1048576,102,0)</f>
        <v>24</v>
      </c>
      <c r="P114" s="109">
        <f t="shared" si="10"/>
        <v>0</v>
      </c>
      <c r="Q114" s="109"/>
      <c r="R114" s="108">
        <f>+IFERROR(VLOOKUP(B114,'[5]Tháng 04.2026'!E:DY,125,0),"")</f>
        <v>0</v>
      </c>
      <c r="S114" s="109"/>
      <c r="T114" s="109"/>
      <c r="U114" s="109"/>
      <c r="V114" s="109"/>
      <c r="W114" s="109"/>
      <c r="X114" s="109"/>
      <c r="Y114" s="109"/>
      <c r="Z114" s="109"/>
      <c r="AA114" s="109"/>
      <c r="AB114" s="109"/>
      <c r="AC114" s="109"/>
      <c r="AD114" s="109"/>
      <c r="AE114" s="109"/>
      <c r="AF114" s="109"/>
      <c r="AG114" s="109"/>
      <c r="AH114" s="109"/>
      <c r="AI114" s="109"/>
      <c r="AJ114" s="109"/>
      <c r="AK114" s="109"/>
      <c r="AL114" s="109"/>
      <c r="AM114" s="109"/>
      <c r="AN114" s="110"/>
      <c r="AO114" s="110"/>
      <c r="AP114" s="110"/>
      <c r="AQ114" s="110"/>
      <c r="AR114" s="111">
        <f t="shared" si="13"/>
        <v>24</v>
      </c>
      <c r="AS114" s="112">
        <f t="shared" si="15"/>
        <v>-276</v>
      </c>
      <c r="AT114" s="113">
        <f t="shared" si="11"/>
        <v>0</v>
      </c>
      <c r="AU114" s="114"/>
      <c r="AV114" s="115">
        <f t="shared" si="12"/>
        <v>0</v>
      </c>
      <c r="AW114" s="115"/>
      <c r="AX114" s="92"/>
      <c r="AY114" s="92"/>
      <c r="AZ114" s="92"/>
      <c r="BA114" s="92"/>
      <c r="BB114" s="92"/>
      <c r="BC114" s="92"/>
      <c r="BD114" s="92"/>
      <c r="BE114" s="92"/>
      <c r="BF114" s="92"/>
      <c r="BG114" s="92"/>
    </row>
    <row r="115" spans="1:59" ht="22.5" customHeight="1" x14ac:dyDescent="0.35">
      <c r="A115" s="104">
        <f t="shared" si="14"/>
        <v>112</v>
      </c>
      <c r="B115" s="105" t="s">
        <v>270</v>
      </c>
      <c r="C115" s="105" t="s">
        <v>271</v>
      </c>
      <c r="D115" s="105" t="s">
        <v>97</v>
      </c>
      <c r="E115" s="105" t="s">
        <v>112</v>
      </c>
      <c r="F115" s="105" t="s">
        <v>91</v>
      </c>
      <c r="G115" s="106">
        <v>46100</v>
      </c>
      <c r="H115" s="107"/>
      <c r="I115" s="108"/>
      <c r="J115" s="109"/>
      <c r="K115" s="108"/>
      <c r="L115" s="108"/>
      <c r="M115" s="108"/>
      <c r="N115" s="108">
        <f>VLOOKUP(B115,'[4]BCC Tổng 03.2026'!C$37:BG$1383,57,0)</f>
        <v>48</v>
      </c>
      <c r="O115" s="108">
        <f>VLOOKUP(B115,'[4]BCC Tổng 03.2026'!C$37:CZ$1048576,102,0)</f>
        <v>4</v>
      </c>
      <c r="P115" s="109">
        <f t="shared" si="10"/>
        <v>0</v>
      </c>
      <c r="Q115" s="109"/>
      <c r="R115" s="108">
        <f>+IFERROR(VLOOKUP(B115,'[5]Tháng 04.2026'!E:DY,125,0),"")</f>
        <v>0</v>
      </c>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10"/>
      <c r="AO115" s="110"/>
      <c r="AP115" s="110"/>
      <c r="AQ115" s="110"/>
      <c r="AR115" s="111">
        <f t="shared" si="13"/>
        <v>4</v>
      </c>
      <c r="AS115" s="112">
        <f t="shared" si="15"/>
        <v>-296</v>
      </c>
      <c r="AT115" s="113">
        <f t="shared" si="11"/>
        <v>0</v>
      </c>
      <c r="AU115" s="114"/>
      <c r="AV115" s="115">
        <f t="shared" si="12"/>
        <v>0</v>
      </c>
      <c r="AW115" s="115"/>
      <c r="AX115" s="92"/>
      <c r="AY115" s="92"/>
      <c r="AZ115" s="92"/>
      <c r="BA115" s="92"/>
      <c r="BB115" s="92"/>
      <c r="BC115" s="92"/>
      <c r="BD115" s="92"/>
      <c r="BE115" s="92"/>
      <c r="BF115" s="92"/>
      <c r="BG115" s="92"/>
    </row>
    <row r="116" spans="1:59" ht="22.5" customHeight="1" x14ac:dyDescent="0.35">
      <c r="A116" s="104">
        <f t="shared" si="14"/>
        <v>113</v>
      </c>
      <c r="B116" s="105" t="s">
        <v>272</v>
      </c>
      <c r="C116" s="105" t="s">
        <v>273</v>
      </c>
      <c r="D116" s="105" t="s">
        <v>97</v>
      </c>
      <c r="E116" s="105" t="s">
        <v>98</v>
      </c>
      <c r="F116" s="105" t="s">
        <v>91</v>
      </c>
      <c r="G116" s="106">
        <v>46100</v>
      </c>
      <c r="H116" s="107"/>
      <c r="I116" s="108"/>
      <c r="J116" s="109"/>
      <c r="K116" s="108"/>
      <c r="L116" s="108"/>
      <c r="M116" s="108"/>
      <c r="N116" s="108">
        <f>VLOOKUP(B116,'[4]BCC Tổng 03.2026'!C$37:BG$1383,57,0)</f>
        <v>48</v>
      </c>
      <c r="O116" s="108">
        <f>VLOOKUP(B116,'[4]BCC Tổng 03.2026'!C$37:CZ$1048576,102,0)</f>
        <v>20</v>
      </c>
      <c r="P116" s="109">
        <f t="shared" ref="P116" si="16">IF(O116&gt;40,1,0)</f>
        <v>0</v>
      </c>
      <c r="Q116" s="109"/>
      <c r="R116" s="108">
        <f>+IFERROR(VLOOKUP(B116,'[5]Tháng 04.2026'!E:DY,125,0),"")</f>
        <v>0</v>
      </c>
      <c r="S116" s="109"/>
      <c r="T116" s="109"/>
      <c r="U116" s="109"/>
      <c r="V116" s="109"/>
      <c r="W116" s="109"/>
      <c r="X116" s="109"/>
      <c r="Y116" s="109"/>
      <c r="Z116" s="109"/>
      <c r="AA116" s="109"/>
      <c r="AB116" s="109"/>
      <c r="AC116" s="109"/>
      <c r="AD116" s="109"/>
      <c r="AE116" s="109"/>
      <c r="AF116" s="109"/>
      <c r="AG116" s="109"/>
      <c r="AH116" s="109"/>
      <c r="AI116" s="109"/>
      <c r="AJ116" s="109"/>
      <c r="AK116" s="109"/>
      <c r="AL116" s="109"/>
      <c r="AM116" s="109"/>
      <c r="AN116" s="110"/>
      <c r="AO116" s="110"/>
      <c r="AP116" s="110"/>
      <c r="AQ116" s="110"/>
      <c r="AR116" s="111">
        <f t="shared" ref="AR116:AR122" si="17">SUM(I116,L116,O116,R116,U116,X116,AA116,AD116,AG116,AJ116,AM116,AP116)</f>
        <v>20</v>
      </c>
      <c r="AS116" s="112">
        <f t="shared" ref="AS116:AS122" si="18">AR116-300</f>
        <v>-280</v>
      </c>
      <c r="AT116" s="113">
        <f t="shared" si="11"/>
        <v>0</v>
      </c>
      <c r="AU116" s="114"/>
      <c r="AV116" s="115">
        <f t="shared" si="12"/>
        <v>0</v>
      </c>
      <c r="AW116" s="115"/>
      <c r="AX116" s="92"/>
      <c r="AY116" s="92"/>
      <c r="AZ116" s="92"/>
      <c r="BA116" s="92"/>
      <c r="BB116" s="92"/>
      <c r="BC116" s="92"/>
      <c r="BD116" s="92"/>
      <c r="BE116" s="92"/>
      <c r="BF116" s="92"/>
      <c r="BG116" s="92"/>
    </row>
    <row r="117" spans="1:59" ht="22.5" customHeight="1" x14ac:dyDescent="0.35">
      <c r="A117" s="104">
        <f t="shared" si="14"/>
        <v>114</v>
      </c>
      <c r="B117" s="105" t="s">
        <v>324</v>
      </c>
      <c r="C117" s="105" t="s">
        <v>325</v>
      </c>
      <c r="D117" s="105" t="s">
        <v>97</v>
      </c>
      <c r="E117" s="34" t="s">
        <v>98</v>
      </c>
      <c r="F117" s="140" t="s">
        <v>91</v>
      </c>
      <c r="G117" s="106" t="s">
        <v>362</v>
      </c>
      <c r="H117" s="107"/>
      <c r="I117" s="108"/>
      <c r="J117" s="109"/>
      <c r="K117" s="108"/>
      <c r="L117" s="108"/>
      <c r="M117" s="108"/>
      <c r="N117" s="108"/>
      <c r="O117" s="108"/>
      <c r="P117" s="109"/>
      <c r="Q117" s="109"/>
      <c r="R117" s="108">
        <f>+IFERROR(VLOOKUP(B117,'[5]Tháng 04.2026'!E:DY,125,0),"")</f>
        <v>0</v>
      </c>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09"/>
      <c r="AN117" s="110"/>
      <c r="AO117" s="110"/>
      <c r="AP117" s="110"/>
      <c r="AQ117" s="110"/>
      <c r="AR117" s="111">
        <f t="shared" si="17"/>
        <v>0</v>
      </c>
      <c r="AS117" s="112">
        <f t="shared" si="18"/>
        <v>-300</v>
      </c>
      <c r="AT117" s="113">
        <f t="shared" si="11"/>
        <v>0</v>
      </c>
      <c r="AU117" s="114"/>
      <c r="AV117" s="115"/>
      <c r="AW117" s="115"/>
      <c r="AX117" s="92"/>
      <c r="AY117" s="92"/>
      <c r="AZ117" s="92"/>
      <c r="BA117" s="92"/>
      <c r="BB117" s="92"/>
      <c r="BC117" s="92"/>
      <c r="BD117" s="92"/>
      <c r="BE117" s="92"/>
      <c r="BF117" s="92"/>
      <c r="BG117" s="92"/>
    </row>
    <row r="118" spans="1:59" ht="22.5" customHeight="1" x14ac:dyDescent="0.35">
      <c r="A118" s="104">
        <f t="shared" si="14"/>
        <v>115</v>
      </c>
      <c r="B118" s="105" t="s">
        <v>326</v>
      </c>
      <c r="C118" s="105" t="s">
        <v>327</v>
      </c>
      <c r="D118" s="105" t="s">
        <v>97</v>
      </c>
      <c r="E118" s="34" t="s">
        <v>336</v>
      </c>
      <c r="F118" s="140" t="s">
        <v>363</v>
      </c>
      <c r="G118" s="106" t="s">
        <v>364</v>
      </c>
      <c r="H118" s="107"/>
      <c r="I118" s="108"/>
      <c r="J118" s="109"/>
      <c r="K118" s="108"/>
      <c r="L118" s="108"/>
      <c r="M118" s="108"/>
      <c r="N118" s="108"/>
      <c r="O118" s="108"/>
      <c r="P118" s="109"/>
      <c r="Q118" s="109"/>
      <c r="R118" s="108">
        <f>+IFERROR(VLOOKUP(B118,'[5]Tháng 04.2026'!E:DY,125,0),"")</f>
        <v>0</v>
      </c>
      <c r="S118" s="109"/>
      <c r="T118" s="109"/>
      <c r="U118" s="109"/>
      <c r="V118" s="109"/>
      <c r="W118" s="109"/>
      <c r="X118" s="109"/>
      <c r="Y118" s="109"/>
      <c r="Z118" s="109"/>
      <c r="AA118" s="109"/>
      <c r="AB118" s="109"/>
      <c r="AC118" s="109"/>
      <c r="AD118" s="109"/>
      <c r="AE118" s="109"/>
      <c r="AF118" s="109"/>
      <c r="AG118" s="109"/>
      <c r="AH118" s="109"/>
      <c r="AI118" s="109"/>
      <c r="AJ118" s="109"/>
      <c r="AK118" s="109"/>
      <c r="AL118" s="109"/>
      <c r="AM118" s="109"/>
      <c r="AN118" s="110"/>
      <c r="AO118" s="110"/>
      <c r="AP118" s="110"/>
      <c r="AQ118" s="110"/>
      <c r="AR118" s="111">
        <f t="shared" si="17"/>
        <v>0</v>
      </c>
      <c r="AS118" s="112">
        <f t="shared" si="18"/>
        <v>-300</v>
      </c>
      <c r="AT118" s="113">
        <f t="shared" si="11"/>
        <v>0</v>
      </c>
      <c r="AU118" s="114"/>
      <c r="AV118" s="115"/>
      <c r="AW118" s="115"/>
      <c r="AX118" s="92"/>
      <c r="AY118" s="92"/>
      <c r="AZ118" s="92"/>
      <c r="BA118" s="92"/>
      <c r="BB118" s="92"/>
      <c r="BC118" s="92"/>
      <c r="BD118" s="92"/>
      <c r="BE118" s="92"/>
      <c r="BF118" s="92"/>
      <c r="BG118" s="92"/>
    </row>
    <row r="119" spans="1:59" ht="22.5" customHeight="1" x14ac:dyDescent="0.35">
      <c r="A119" s="104">
        <f t="shared" si="14"/>
        <v>116</v>
      </c>
      <c r="B119" s="105" t="s">
        <v>328</v>
      </c>
      <c r="C119" s="105" t="s">
        <v>329</v>
      </c>
      <c r="D119" s="105" t="s">
        <v>97</v>
      </c>
      <c r="E119" s="34" t="s">
        <v>112</v>
      </c>
      <c r="F119" s="140" t="s">
        <v>91</v>
      </c>
      <c r="G119" s="106" t="s">
        <v>365</v>
      </c>
      <c r="H119" s="107"/>
      <c r="I119" s="108"/>
      <c r="J119" s="109"/>
      <c r="K119" s="108"/>
      <c r="L119" s="108"/>
      <c r="M119" s="108"/>
      <c r="N119" s="108"/>
      <c r="O119" s="108"/>
      <c r="P119" s="109"/>
      <c r="Q119" s="109"/>
      <c r="R119" s="108">
        <f>+IFERROR(VLOOKUP(B119,'[5]Tháng 04.2026'!E:DY,125,0),"")</f>
        <v>0</v>
      </c>
      <c r="S119" s="109"/>
      <c r="T119" s="109"/>
      <c r="U119" s="109"/>
      <c r="V119" s="109"/>
      <c r="W119" s="109"/>
      <c r="X119" s="109"/>
      <c r="Y119" s="109"/>
      <c r="Z119" s="109"/>
      <c r="AA119" s="109"/>
      <c r="AB119" s="109"/>
      <c r="AC119" s="109"/>
      <c r="AD119" s="109"/>
      <c r="AE119" s="109"/>
      <c r="AF119" s="109"/>
      <c r="AG119" s="109"/>
      <c r="AH119" s="109"/>
      <c r="AI119" s="109"/>
      <c r="AJ119" s="109"/>
      <c r="AK119" s="109"/>
      <c r="AL119" s="109"/>
      <c r="AM119" s="109"/>
      <c r="AN119" s="110"/>
      <c r="AO119" s="110"/>
      <c r="AP119" s="110"/>
      <c r="AQ119" s="110"/>
      <c r="AR119" s="111">
        <f t="shared" si="17"/>
        <v>0</v>
      </c>
      <c r="AS119" s="112">
        <f t="shared" si="18"/>
        <v>-300</v>
      </c>
      <c r="AT119" s="113">
        <f t="shared" si="11"/>
        <v>0</v>
      </c>
      <c r="AU119" s="114"/>
      <c r="AV119" s="115"/>
      <c r="AW119" s="115"/>
      <c r="AX119" s="92"/>
      <c r="AY119" s="92"/>
      <c r="AZ119" s="92"/>
      <c r="BA119" s="92"/>
      <c r="BB119" s="92"/>
      <c r="BC119" s="92"/>
      <c r="BD119" s="92"/>
      <c r="BE119" s="92"/>
      <c r="BF119" s="92"/>
      <c r="BG119" s="92"/>
    </row>
    <row r="120" spans="1:59" ht="22.5" customHeight="1" x14ac:dyDescent="0.35">
      <c r="A120" s="104">
        <f t="shared" si="14"/>
        <v>117</v>
      </c>
      <c r="B120" s="105" t="s">
        <v>330</v>
      </c>
      <c r="C120" s="105" t="s">
        <v>331</v>
      </c>
      <c r="D120" s="105" t="s">
        <v>97</v>
      </c>
      <c r="E120" s="34" t="s">
        <v>98</v>
      </c>
      <c r="F120" s="140" t="s">
        <v>91</v>
      </c>
      <c r="G120" s="106" t="s">
        <v>365</v>
      </c>
      <c r="H120" s="107"/>
      <c r="I120" s="108"/>
      <c r="J120" s="109"/>
      <c r="K120" s="108"/>
      <c r="L120" s="108"/>
      <c r="M120" s="108"/>
      <c r="N120" s="108"/>
      <c r="O120" s="108"/>
      <c r="P120" s="109"/>
      <c r="Q120" s="109"/>
      <c r="R120" s="108">
        <f>+IFERROR(VLOOKUP(B120,'[5]Tháng 04.2026'!E:DY,125,0),"")</f>
        <v>0</v>
      </c>
      <c r="S120" s="109"/>
      <c r="T120" s="109"/>
      <c r="U120" s="109"/>
      <c r="V120" s="109"/>
      <c r="W120" s="109"/>
      <c r="X120" s="109"/>
      <c r="Y120" s="109"/>
      <c r="Z120" s="109"/>
      <c r="AA120" s="109"/>
      <c r="AB120" s="109"/>
      <c r="AC120" s="109"/>
      <c r="AD120" s="109"/>
      <c r="AE120" s="109"/>
      <c r="AF120" s="109"/>
      <c r="AG120" s="109"/>
      <c r="AH120" s="109"/>
      <c r="AI120" s="109"/>
      <c r="AJ120" s="109"/>
      <c r="AK120" s="109"/>
      <c r="AL120" s="109"/>
      <c r="AM120" s="109"/>
      <c r="AN120" s="110"/>
      <c r="AO120" s="110"/>
      <c r="AP120" s="110"/>
      <c r="AQ120" s="110"/>
      <c r="AR120" s="111">
        <f t="shared" si="17"/>
        <v>0</v>
      </c>
      <c r="AS120" s="112">
        <f t="shared" si="18"/>
        <v>-300</v>
      </c>
      <c r="AT120" s="113">
        <f t="shared" si="11"/>
        <v>0</v>
      </c>
      <c r="AU120" s="114"/>
      <c r="AV120" s="115"/>
      <c r="AW120" s="115"/>
      <c r="AX120" s="92"/>
      <c r="AY120" s="92"/>
      <c r="AZ120" s="92"/>
      <c r="BA120" s="92"/>
      <c r="BB120" s="92"/>
      <c r="BC120" s="92"/>
      <c r="BD120" s="92"/>
      <c r="BE120" s="92"/>
      <c r="BF120" s="92"/>
      <c r="BG120" s="92"/>
    </row>
    <row r="121" spans="1:59" ht="22.5" customHeight="1" x14ac:dyDescent="0.35">
      <c r="A121" s="104">
        <f t="shared" si="14"/>
        <v>118</v>
      </c>
      <c r="B121" s="105" t="s">
        <v>332</v>
      </c>
      <c r="C121" s="105" t="s">
        <v>333</v>
      </c>
      <c r="D121" s="105" t="s">
        <v>97</v>
      </c>
      <c r="E121" s="34" t="s">
        <v>112</v>
      </c>
      <c r="F121" s="140" t="s">
        <v>91</v>
      </c>
      <c r="G121" s="106" t="s">
        <v>365</v>
      </c>
      <c r="H121" s="107"/>
      <c r="I121" s="108"/>
      <c r="J121" s="109"/>
      <c r="K121" s="108"/>
      <c r="L121" s="108"/>
      <c r="M121" s="108"/>
      <c r="N121" s="108"/>
      <c r="O121" s="108"/>
      <c r="P121" s="109"/>
      <c r="Q121" s="109"/>
      <c r="R121" s="108">
        <f>+IFERROR(VLOOKUP(B121,'[5]Tháng 04.2026'!E:DY,125,0),"")</f>
        <v>0</v>
      </c>
      <c r="S121" s="109"/>
      <c r="T121" s="109"/>
      <c r="U121" s="109"/>
      <c r="V121" s="109"/>
      <c r="W121" s="109"/>
      <c r="X121" s="109"/>
      <c r="Y121" s="109"/>
      <c r="Z121" s="109"/>
      <c r="AA121" s="109"/>
      <c r="AB121" s="109"/>
      <c r="AC121" s="109"/>
      <c r="AD121" s="109"/>
      <c r="AE121" s="109"/>
      <c r="AF121" s="109"/>
      <c r="AG121" s="109"/>
      <c r="AH121" s="109"/>
      <c r="AI121" s="109"/>
      <c r="AJ121" s="109"/>
      <c r="AK121" s="109"/>
      <c r="AL121" s="109"/>
      <c r="AM121" s="109"/>
      <c r="AN121" s="110"/>
      <c r="AO121" s="110"/>
      <c r="AP121" s="110"/>
      <c r="AQ121" s="110"/>
      <c r="AR121" s="111">
        <f t="shared" si="17"/>
        <v>0</v>
      </c>
      <c r="AS121" s="112">
        <f t="shared" si="18"/>
        <v>-300</v>
      </c>
      <c r="AT121" s="113">
        <f t="shared" si="11"/>
        <v>0</v>
      </c>
      <c r="AU121" s="114"/>
      <c r="AV121" s="115"/>
      <c r="AW121" s="115"/>
      <c r="AX121" s="92"/>
      <c r="AY121" s="92"/>
      <c r="AZ121" s="92"/>
      <c r="BA121" s="92"/>
      <c r="BB121" s="92"/>
      <c r="BC121" s="92"/>
      <c r="BD121" s="92"/>
      <c r="BE121" s="92"/>
      <c r="BF121" s="92"/>
      <c r="BG121" s="92"/>
    </row>
    <row r="122" spans="1:59" ht="22.5" customHeight="1" x14ac:dyDescent="0.35">
      <c r="A122" s="104">
        <f t="shared" si="14"/>
        <v>119</v>
      </c>
      <c r="B122" s="105" t="s">
        <v>334</v>
      </c>
      <c r="C122" s="105" t="s">
        <v>335</v>
      </c>
      <c r="D122" s="105" t="s">
        <v>97</v>
      </c>
      <c r="E122" s="34" t="s">
        <v>98</v>
      </c>
      <c r="F122" s="140" t="s">
        <v>91</v>
      </c>
      <c r="G122" s="106" t="s">
        <v>365</v>
      </c>
      <c r="H122" s="107"/>
      <c r="I122" s="108"/>
      <c r="J122" s="109"/>
      <c r="K122" s="108"/>
      <c r="L122" s="108"/>
      <c r="M122" s="108"/>
      <c r="N122" s="108"/>
      <c r="O122" s="108"/>
      <c r="P122" s="109"/>
      <c r="Q122" s="109"/>
      <c r="R122" s="108">
        <f>+IFERROR(VLOOKUP(B122,'[5]Tháng 04.2026'!E:DY,125,0),"")</f>
        <v>0</v>
      </c>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c r="AN122" s="110"/>
      <c r="AO122" s="110"/>
      <c r="AP122" s="110"/>
      <c r="AQ122" s="110"/>
      <c r="AR122" s="111">
        <f t="shared" si="17"/>
        <v>0</v>
      </c>
      <c r="AS122" s="112">
        <f t="shared" si="18"/>
        <v>-300</v>
      </c>
      <c r="AT122" s="113">
        <f t="shared" si="11"/>
        <v>0</v>
      </c>
      <c r="AU122" s="114"/>
      <c r="AV122" s="115"/>
      <c r="AW122" s="115"/>
      <c r="AX122" s="92"/>
      <c r="AY122" s="92"/>
      <c r="AZ122" s="92"/>
      <c r="BA122" s="92"/>
      <c r="BB122" s="92"/>
      <c r="BC122" s="92"/>
      <c r="BD122" s="92"/>
      <c r="BE122" s="92"/>
      <c r="BF122" s="92"/>
      <c r="BG122" s="92"/>
    </row>
  </sheetData>
  <autoFilter ref="A3:BG122" xr:uid="{AD64F813-557E-447B-8925-1F02AD8ED6C7}"/>
  <mergeCells count="14">
    <mergeCell ref="AS1:AS3"/>
    <mergeCell ref="AT1:AT2"/>
    <mergeCell ref="AC1:AE1"/>
    <mergeCell ref="AF1:AH1"/>
    <mergeCell ref="AI1:AK1"/>
    <mergeCell ref="AL1:AN1"/>
    <mergeCell ref="AO1:AQ1"/>
    <mergeCell ref="AR1:AR3"/>
    <mergeCell ref="Z1:AB1"/>
    <mergeCell ref="H1:I1"/>
    <mergeCell ref="K1:L1"/>
    <mergeCell ref="N1:O1"/>
    <mergeCell ref="T1:V1"/>
    <mergeCell ref="W1:X1"/>
  </mergeCells>
  <conditionalFormatting sqref="B1:B1048576">
    <cfRule type="duplicateValues" dxfId="11" priority="10"/>
    <cfRule type="duplicateValues" dxfId="10" priority="11"/>
    <cfRule type="duplicateValues" dxfId="9" priority="12"/>
  </conditionalFormatting>
  <conditionalFormatting sqref="G4:G122">
    <cfRule type="cellIs" dxfId="8" priority="1" operator="equal">
      <formula>"PO"</formula>
    </cfRule>
    <cfRule type="cellIs" dxfId="7" priority="2" operator="equal">
      <formula>"H"</formula>
    </cfRule>
    <cfRule type="cellIs" dxfId="6" priority="3" operator="equal">
      <formula>"TV"</formula>
    </cfRule>
    <cfRule type="cellIs" dxfId="5" priority="4" operator="equal">
      <formula>"NP"</formula>
    </cfRule>
    <cfRule type="cellIs" dxfId="4" priority="5" operator="equal">
      <formula>"S"</formula>
    </cfRule>
    <cfRule type="cellIs" dxfId="3" priority="6" operator="equal">
      <formula>"UP8"</formula>
    </cfRule>
    <cfRule type="cellIs" dxfId="2" priority="7" operator="equal">
      <formula>"SL"</formula>
    </cfRule>
    <cfRule type="cellIs" dxfId="1" priority="8" operator="equal">
      <formula>"CĐ"</formula>
    </cfRule>
    <cfRule type="cellIs" dxfId="0" priority="9" operator="equal">
      <formula>"BS"</formula>
    </cfRule>
  </conditionalFormatting>
  <pageMargins left="0.15748031496062992" right="0.15748031496062992" top="0.15748031496062992" bottom="0.15748031496062992" header="0.15748031496062992" footer="0.15748031496062992"/>
  <pageSetup paperSize="9"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19e4f4-44cf-4fce-b030-0284b9b876e4" xsi:nil="true"/>
    <lcf76f155ced4ddcb4097134ff3c332f xmlns="a1379d0e-7366-4eb4-bbe2-4dfda761625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7250E43EE1F6849B530143246D94486" ma:contentTypeVersion="18" ma:contentTypeDescription="Create a new document." ma:contentTypeScope="" ma:versionID="40f0de907c6d90cd5c3dacb71963c37a">
  <xsd:schema xmlns:xsd="http://www.w3.org/2001/XMLSchema" xmlns:xs="http://www.w3.org/2001/XMLSchema" xmlns:p="http://schemas.microsoft.com/office/2006/metadata/properties" xmlns:ns2="a1379d0e-7366-4eb4-bbe2-4dfda7616253" xmlns:ns3="e119e4f4-44cf-4fce-b030-0284b9b876e4" targetNamespace="http://schemas.microsoft.com/office/2006/metadata/properties" ma:root="true" ma:fieldsID="b64251ca8e631e767c8e97efb1fe1099" ns2:_="" ns3:_="">
    <xsd:import namespace="a1379d0e-7366-4eb4-bbe2-4dfda7616253"/>
    <xsd:import namespace="e119e4f4-44cf-4fce-b030-0284b9b876e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379d0e-7366-4eb4-bbe2-4dfda76162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119e4f4-44cf-4fce-b030-0284b9b876e4"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8edb63bf-066c-4d7a-94ad-e653e637b4f9}" ma:internalName="TaxCatchAll" ma:showField="CatchAllData" ma:web="e119e4f4-44cf-4fce-b030-0284b9b876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D5D0ED1-1E69-4AF9-8422-355B0AFED932}">
  <ds:schemaRefs>
    <ds:schemaRef ds:uri="http://purl.org/dc/terms/"/>
    <ds:schemaRef ds:uri="http://purl.org/dc/elements/1.1/"/>
    <ds:schemaRef ds:uri="http://purl.org/dc/dcmitype/"/>
    <ds:schemaRef ds:uri="http://schemas.microsoft.com/office/2006/documentManagement/types"/>
    <ds:schemaRef ds:uri="http://www.w3.org/XML/1998/namespace"/>
    <ds:schemaRef ds:uri="http://schemas.microsoft.com/office/2006/metadata/properties"/>
    <ds:schemaRef ds:uri="http://schemas.microsoft.com/office/infopath/2007/PartnerControls"/>
    <ds:schemaRef ds:uri="http://schemas.openxmlformats.org/package/2006/metadata/core-properties"/>
    <ds:schemaRef ds:uri="fcf0b4ef-0374-4ce0-aa3a-934b786a6c36"/>
    <ds:schemaRef ds:uri="e119e4f4-44cf-4fce-b030-0284b9b876e4"/>
    <ds:schemaRef ds:uri="a1379d0e-7366-4eb4-bbe2-4dfda7616253"/>
  </ds:schemaRefs>
</ds:datastoreItem>
</file>

<file path=customXml/itemProps2.xml><?xml version="1.0" encoding="utf-8"?>
<ds:datastoreItem xmlns:ds="http://schemas.openxmlformats.org/officeDocument/2006/customXml" ds:itemID="{1DD7841C-601F-4AC3-9610-0C8F0081C2E8}">
  <ds:schemaRefs>
    <ds:schemaRef ds:uri="http://schemas.microsoft.com/sharepoint/v3/contenttype/forms"/>
  </ds:schemaRefs>
</ds:datastoreItem>
</file>

<file path=customXml/itemProps3.xml><?xml version="1.0" encoding="utf-8"?>
<ds:datastoreItem xmlns:ds="http://schemas.openxmlformats.org/officeDocument/2006/customXml" ds:itemID="{9E33D9B9-656A-43A0-8D09-E6F11DCA285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1379d0e-7366-4eb4-bbe2-4dfda7616253"/>
    <ds:schemaRef ds:uri="e119e4f4-44cf-4fce-b030-0284b9b876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BCC Tổng 06.2026 G</vt:lpstr>
      <vt:lpstr>phát sinh OT</vt:lpstr>
      <vt:lpstr>Total vượt OT</vt:lpstr>
      <vt:lpstr>Detail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Nguyen - HR</dc:creator>
  <cp:lastModifiedBy>Lam Duong - Foaming</cp:lastModifiedBy>
  <dcterms:created xsi:type="dcterms:W3CDTF">2026-04-11T14:13:37Z</dcterms:created>
  <dcterms:modified xsi:type="dcterms:W3CDTF">2026-07-01T14:01:31Z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0x010100A7250E43EE1F6849B530143246D94486</vt:lpwstr>
  </property>
  <property fmtid="{D5CDD505-2E9C-101B-9397-08002B2CF9AE}" pid="3" name="MediaServiceImageTags">
    <vt:lpwstr/>
  </property>
</Properties>
</file>